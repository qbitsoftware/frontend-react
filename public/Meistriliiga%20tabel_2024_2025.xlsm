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vellner\Downloads\Allar\Lauatennis\Võistkondlikud meistrivõistlused Meistriliiga - 2024_2025\"/>
    </mc:Choice>
  </mc:AlternateContent>
  <xr:revisionPtr revIDLastSave="0" documentId="13_ncr:1_{9BBB7B14-EA88-4F76-AA23-5E06E3F38407}" xr6:coauthVersionLast="47" xr6:coauthVersionMax="47" xr10:uidLastSave="{00000000-0000-0000-0000-000000000000}"/>
  <bookViews>
    <workbookView xWindow="-108" yWindow="-108" windowWidth="23256" windowHeight="12576" tabRatio="811" xr2:uid="{00000000-000D-0000-FFFF-FFFF00000000}"/>
  </bookViews>
  <sheets>
    <sheet name="Üldtabel" sheetId="11" r:id="rId1"/>
    <sheet name="Loosileht" sheetId="19" r:id="rId2"/>
    <sheet name="Finaali loosileht" sheetId="35" state="hidden" r:id="rId3"/>
    <sheet name="I_voor_1p" sheetId="4" r:id="rId4"/>
    <sheet name="II_voor_1p" sheetId="5" r:id="rId5"/>
    <sheet name="III_voor_1p" sheetId="6" r:id="rId6"/>
    <sheet name="I_voor_2p" sheetId="12" state="hidden" r:id="rId7"/>
    <sheet name="II_voor_2p" sheetId="13" state="hidden" r:id="rId8"/>
    <sheet name="III_voor_2p" sheetId="14" state="hidden" r:id="rId9"/>
    <sheet name="I_voor_3p" sheetId="15" state="hidden" r:id="rId10"/>
    <sheet name="II_voor_3p" sheetId="21" state="hidden" r:id="rId11"/>
    <sheet name="I_voor_4p" sheetId="22" state="hidden" r:id="rId12"/>
    <sheet name="II_voor_4p" sheetId="23" state="hidden" r:id="rId13"/>
    <sheet name="III_voor_4p" sheetId="24" state="hidden" r:id="rId14"/>
    <sheet name="I_voor_5p" sheetId="25" state="hidden" r:id="rId15"/>
    <sheet name="II_voor_5p" sheetId="26" state="hidden" r:id="rId16"/>
    <sheet name="III_voor_5p" sheetId="27" state="hidden" r:id="rId17"/>
    <sheet name="Protokoll_1p" sheetId="7" state="hidden" r:id="rId18"/>
    <sheet name="Protokoll_2p" sheetId="16" state="hidden" r:id="rId19"/>
    <sheet name="Protokoll_3p" sheetId="20" state="hidden" r:id="rId20"/>
    <sheet name="Protokoll_4p" sheetId="28" state="hidden" r:id="rId21"/>
    <sheet name="Protokoll_5p" sheetId="29" state="hidden" r:id="rId22"/>
    <sheet name="Finaal" sheetId="33" state="hidden" r:id="rId23"/>
    <sheet name="Protokoll_finaal" sheetId="34" state="hidden" r:id="rId24"/>
    <sheet name="Koosseisud" sheetId="3" r:id="rId25"/>
    <sheet name="Reitinguks" sheetId="8" r:id="rId26"/>
    <sheet name="Abitabel" sheetId="9" r:id="rId27"/>
    <sheet name="Abitabel2" sheetId="10" state="hidden" r:id="rId28"/>
    <sheet name="Abitabel3" sheetId="17" state="hidden" r:id="rId29"/>
    <sheet name="Abitabel4" sheetId="30" state="hidden" r:id="rId30"/>
    <sheet name="Abitabel5" sheetId="31" state="hidden" r:id="rId31"/>
    <sheet name="Abitabel6" sheetId="32" state="hidden" r:id="rId32"/>
  </sheets>
  <externalReferences>
    <externalReference r:id="rId33"/>
  </externalReferences>
  <definedNames>
    <definedName name="_xlnm._FilterDatabase" localSheetId="25" hidden="1">Reitinguks!$A$7:$D$64</definedName>
    <definedName name="Mansad">Koosseisud!$A$1:$A$8</definedName>
    <definedName name="Meeskond1">Koosseisud!$J$4:$J$13</definedName>
    <definedName name="Meeskond2">Koosseisud!$J$16:$J$25</definedName>
    <definedName name="Meeskond3">Koosseisud!$J$28:$J$37</definedName>
    <definedName name="Meeskond4">Koosseisud!$J$40:$J$49</definedName>
    <definedName name="Meeskond5">Koosseisud!$J$52:$J$61</definedName>
    <definedName name="Meeskond6">Koosseisud!$J$64:$J$73</definedName>
    <definedName name="Meeskond7">Koosseisud!$J$76:$J$85</definedName>
    <definedName name="Meeskond8">Koosseisud!$J$88:$J$97</definedName>
    <definedName name="_xlnm.Print_Area" localSheetId="22">Finaal!$A$1:$X$29,Finaal!$B$31:$X$59,Finaal!$A$61:$X$89,Finaal!$A$91:$X$119</definedName>
    <definedName name="_xlnm.Print_Area" localSheetId="2">'Finaali loosileht'!$A$1:$G$24,'Finaali loosileht'!$A$27:$G$74,'Finaali loosileht'!$A$77:$G$100</definedName>
    <definedName name="_xlnm.Print_Area" localSheetId="3">I_voor_1p!$A$1:$X$29,I_voor_1p!$A$31:$X$59,I_voor_1p!$A$61:$X$89,I_voor_1p!$A$91:$X$119</definedName>
    <definedName name="_xlnm.Print_Area" localSheetId="6">I_voor_2p!$B$1:$X$29,I_voor_2p!$B$31:$X$59,I_voor_2p!$B$61:$X$89,I_voor_2p!$B$91:$X$119</definedName>
    <definedName name="_xlnm.Print_Area" localSheetId="9">I_voor_3p!$B$1:$X$29,I_voor_3p!$B$31:$X$59,I_voor_3p!$B$61:$X$89,I_voor_3p!$B$91:$X$119</definedName>
    <definedName name="_xlnm.Print_Area" localSheetId="11">I_voor_4p!$B$1:$X$59,I_voor_4p!$B$61:$X$119</definedName>
    <definedName name="_xlnm.Print_Area" localSheetId="14">I_voor_5p!$B$1:$X$29,I_voor_5p!$B$31:$X$59,I_voor_5p!$B$61:$X$89,I_voor_5p!$B$91:$X$119</definedName>
    <definedName name="_xlnm.Print_Area" localSheetId="4">II_voor_1p!$A$1:$X$29,II_voor_1p!$A$31:$X$59,II_voor_1p!$A$61:$X$89,II_voor_1p!$A$91:$X$119</definedName>
    <definedName name="_xlnm.Print_Area" localSheetId="7">II_voor_2p!$B$1:$X$29,II_voor_2p!$B$31:$X$59,II_voor_2p!$B$61:$X$89,II_voor_2p!$B$91:$X$119</definedName>
    <definedName name="_xlnm.Print_Area" localSheetId="10">II_voor_3p!$B$1:$X$29,II_voor_3p!$B$31:$X$59,II_voor_3p!$B$61:$X$89,II_voor_3p!$B$91:$X$119</definedName>
    <definedName name="_xlnm.Print_Area" localSheetId="12">II_voor_4p!$B$1:$X$29,II_voor_4p!$B$31:$X$59,II_voor_4p!$B$61:$X$89,II_voor_4p!$B$91:$X$119</definedName>
    <definedName name="_xlnm.Print_Area" localSheetId="15">II_voor_5p!$B$1:$X$29,II_voor_5p!$B$31:$X$59,II_voor_5p!$B$61:$X$89,II_voor_5p!$B$91:$X$119</definedName>
    <definedName name="_xlnm.Print_Area" localSheetId="5">III_voor_1p!$A$1:$X$29,III_voor_1p!$A$31:$X$59,III_voor_1p!$A$61:$X$89,III_voor_1p!$A$91:$X$119</definedName>
    <definedName name="_xlnm.Print_Area" localSheetId="8">III_voor_2p!$B$1:$X$29,III_voor_2p!$B$31:$X$59,III_voor_2p!$B$61:$X$89,III_voor_2p!$B$91:$X$119</definedName>
    <definedName name="_xlnm.Print_Area" localSheetId="13">III_voor_4p!$B$1:$X$29,III_voor_4p!$B$31:$X$59,III_voor_4p!$B$61:$X$89,III_voor_4p!$B$91:$X$119</definedName>
    <definedName name="_xlnm.Print_Area" localSheetId="16">III_voor_5p!$B$1:$X$29,III_voor_5p!$B$31:$X$59,III_voor_5p!$B$61:$X$89,III_voor_5p!$B$91:$X$119</definedName>
    <definedName name="_xlnm.Print_Area" localSheetId="1">Loosileht!$A$1:$G$24,Loosileht!$A$27:$G$74,Loosileht!$A$77:$G$124,Loosileht!$A$127:$G$174,Loosileht!$A$177:$G$200</definedName>
    <definedName name="_xlnm.Print_Area" localSheetId="17">Protokoll_1p!$A$1:$N$126</definedName>
    <definedName name="_xlnm.Print_Area" localSheetId="18">Protokoll_2p!$A$1:$N$125</definedName>
    <definedName name="_xlnm.Print_Area" localSheetId="19">Protokoll_3p!$A$1:$N$85</definedName>
    <definedName name="_xlnm.Print_Area" localSheetId="20">Protokoll_4p!$A$1:$N$75,Protokoll_4p!$A$77:$M$125</definedName>
    <definedName name="_xlnm.Print_Area" localSheetId="21">Protokoll_5p!$A$1:$N$125</definedName>
    <definedName name="_xlnm.Print_Area" localSheetId="23">Protokoll_finaal!$A$1:$N$47</definedName>
    <definedName name="_xlnm.Print_Area" localSheetId="0">Üldtabel!$A$1:$AD$37</definedName>
    <definedName name="Tiim_FORUS_Maardu_LTK">Koosseisud!$I$4:$I$11</definedName>
    <definedName name="Viimsi_Pinx">Koosseisud!$I$16:$I$21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4" i="35" l="1"/>
  <c r="G58" i="35"/>
  <c r="G34" i="35"/>
  <c r="G9" i="35"/>
  <c r="G10" i="35" s="1"/>
  <c r="C85" i="35"/>
  <c r="C59" i="35"/>
  <c r="C35" i="35"/>
  <c r="J46" i="34"/>
  <c r="I46" i="34"/>
  <c r="H46" i="34"/>
  <c r="G46" i="34"/>
  <c r="F46" i="34"/>
  <c r="E46" i="34"/>
  <c r="C46" i="34"/>
  <c r="J45" i="34"/>
  <c r="I45" i="34"/>
  <c r="H45" i="34"/>
  <c r="G45" i="34"/>
  <c r="F45" i="34"/>
  <c r="E45" i="34"/>
  <c r="C45" i="34"/>
  <c r="J44" i="34"/>
  <c r="I44" i="34"/>
  <c r="H44" i="34"/>
  <c r="G44" i="34"/>
  <c r="F44" i="34"/>
  <c r="E44" i="34"/>
  <c r="C44" i="34"/>
  <c r="E43" i="34"/>
  <c r="C43" i="34"/>
  <c r="J42" i="34"/>
  <c r="I42" i="34"/>
  <c r="H42" i="34"/>
  <c r="G42" i="34"/>
  <c r="F42" i="34"/>
  <c r="K42" i="34" s="1"/>
  <c r="E42" i="34"/>
  <c r="C42" i="34"/>
  <c r="J41" i="34"/>
  <c r="I41" i="34"/>
  <c r="H41" i="34"/>
  <c r="G41" i="34"/>
  <c r="F41" i="34"/>
  <c r="E41" i="34"/>
  <c r="C41" i="34"/>
  <c r="J40" i="34"/>
  <c r="I40" i="34"/>
  <c r="H40" i="34"/>
  <c r="G40" i="34"/>
  <c r="F40" i="34"/>
  <c r="E40" i="34"/>
  <c r="C40" i="34"/>
  <c r="J39" i="34"/>
  <c r="I39" i="34"/>
  <c r="H39" i="34"/>
  <c r="G39" i="34"/>
  <c r="F39" i="34"/>
  <c r="E39" i="34"/>
  <c r="C39" i="34"/>
  <c r="E38" i="34"/>
  <c r="C38" i="34"/>
  <c r="C47" i="34" s="1"/>
  <c r="J36" i="34"/>
  <c r="I36" i="34"/>
  <c r="H36" i="34"/>
  <c r="G36" i="34"/>
  <c r="F36" i="34"/>
  <c r="K36" i="34" s="1"/>
  <c r="Q36" i="34" s="1"/>
  <c r="E36" i="34"/>
  <c r="C36" i="34"/>
  <c r="J35" i="34"/>
  <c r="I35" i="34"/>
  <c r="H35" i="34"/>
  <c r="G35" i="34"/>
  <c r="F35" i="34"/>
  <c r="K35" i="34" s="1"/>
  <c r="Q35" i="34" s="1"/>
  <c r="E35" i="34"/>
  <c r="C35" i="34"/>
  <c r="J34" i="34"/>
  <c r="I34" i="34"/>
  <c r="H34" i="34"/>
  <c r="G34" i="34"/>
  <c r="F34" i="34"/>
  <c r="K34" i="34" s="1"/>
  <c r="E34" i="34"/>
  <c r="C34" i="34"/>
  <c r="E33" i="34"/>
  <c r="C33" i="34"/>
  <c r="J32" i="34"/>
  <c r="I32" i="34"/>
  <c r="H32" i="34"/>
  <c r="G32" i="34"/>
  <c r="F32" i="34"/>
  <c r="Q32" i="34" s="1"/>
  <c r="E32" i="34"/>
  <c r="C32" i="34"/>
  <c r="J31" i="34"/>
  <c r="I31" i="34"/>
  <c r="H31" i="34"/>
  <c r="G31" i="34"/>
  <c r="F31" i="34"/>
  <c r="E31" i="34"/>
  <c r="C31" i="34"/>
  <c r="J30" i="34"/>
  <c r="I30" i="34"/>
  <c r="H30" i="34"/>
  <c r="G30" i="34"/>
  <c r="F30" i="34"/>
  <c r="E30" i="34"/>
  <c r="C30" i="34"/>
  <c r="J29" i="34"/>
  <c r="I29" i="34"/>
  <c r="H29" i="34"/>
  <c r="G29" i="34"/>
  <c r="F29" i="34"/>
  <c r="K29" i="34" s="1"/>
  <c r="E29" i="34"/>
  <c r="C29" i="34"/>
  <c r="E28" i="34"/>
  <c r="E37" i="34" s="1"/>
  <c r="C28" i="34"/>
  <c r="C37" i="34" s="1"/>
  <c r="J26" i="34"/>
  <c r="I26" i="34"/>
  <c r="H26" i="34"/>
  <c r="G26" i="34"/>
  <c r="F26" i="34"/>
  <c r="E26" i="34"/>
  <c r="C26" i="34"/>
  <c r="J25" i="34"/>
  <c r="I25" i="34"/>
  <c r="H25" i="34"/>
  <c r="G25" i="34"/>
  <c r="F25" i="34"/>
  <c r="E25" i="34"/>
  <c r="C25" i="34"/>
  <c r="J24" i="34"/>
  <c r="I24" i="34"/>
  <c r="H24" i="34"/>
  <c r="G24" i="34"/>
  <c r="F24" i="34"/>
  <c r="L24" i="34" s="1"/>
  <c r="E24" i="34"/>
  <c r="C24" i="34"/>
  <c r="E23" i="34"/>
  <c r="C23" i="34"/>
  <c r="J22" i="34"/>
  <c r="I22" i="34"/>
  <c r="H22" i="34"/>
  <c r="G22" i="34"/>
  <c r="F22" i="34"/>
  <c r="M22" i="34" s="1"/>
  <c r="E22" i="34"/>
  <c r="C22" i="34"/>
  <c r="J21" i="34"/>
  <c r="I21" i="34"/>
  <c r="H21" i="34"/>
  <c r="G21" i="34"/>
  <c r="F21" i="34"/>
  <c r="L21" i="34" s="1"/>
  <c r="E21" i="34"/>
  <c r="C21" i="34"/>
  <c r="J20" i="34"/>
  <c r="I20" i="34"/>
  <c r="H20" i="34"/>
  <c r="G20" i="34"/>
  <c r="F20" i="34"/>
  <c r="Q20" i="34" s="1"/>
  <c r="E20" i="34"/>
  <c r="C20" i="34"/>
  <c r="J19" i="34"/>
  <c r="I19" i="34"/>
  <c r="H19" i="34"/>
  <c r="G19" i="34"/>
  <c r="F19" i="34"/>
  <c r="E19" i="34"/>
  <c r="C19" i="34"/>
  <c r="E18" i="34"/>
  <c r="E27" i="34" s="1"/>
  <c r="C18" i="34"/>
  <c r="C27" i="34" s="1"/>
  <c r="J15" i="34"/>
  <c r="I15" i="34"/>
  <c r="H15" i="34"/>
  <c r="G15" i="34"/>
  <c r="F15" i="34"/>
  <c r="K15" i="34" s="1"/>
  <c r="E15" i="34"/>
  <c r="C15" i="34"/>
  <c r="J14" i="34"/>
  <c r="I14" i="34"/>
  <c r="H14" i="34"/>
  <c r="G14" i="34"/>
  <c r="F14" i="34"/>
  <c r="Q14" i="34" s="1"/>
  <c r="E14" i="34"/>
  <c r="C14" i="34"/>
  <c r="J13" i="34"/>
  <c r="I13" i="34"/>
  <c r="H13" i="34"/>
  <c r="G13" i="34"/>
  <c r="F13" i="34"/>
  <c r="K13" i="34" s="1"/>
  <c r="E13" i="34"/>
  <c r="C13" i="34"/>
  <c r="E12" i="34"/>
  <c r="C12" i="34"/>
  <c r="J11" i="34"/>
  <c r="I11" i="34"/>
  <c r="H11" i="34"/>
  <c r="G11" i="34"/>
  <c r="F11" i="34"/>
  <c r="Q11" i="34" s="1"/>
  <c r="E11" i="34"/>
  <c r="C11" i="34"/>
  <c r="J10" i="34"/>
  <c r="I10" i="34"/>
  <c r="H10" i="34"/>
  <c r="G10" i="34"/>
  <c r="F10" i="34"/>
  <c r="E10" i="34"/>
  <c r="C10" i="34"/>
  <c r="J9" i="34"/>
  <c r="I9" i="34"/>
  <c r="H9" i="34"/>
  <c r="G9" i="34"/>
  <c r="F9" i="34"/>
  <c r="K9" i="34" s="1"/>
  <c r="M9" i="34" s="1"/>
  <c r="E9" i="34"/>
  <c r="C9" i="34"/>
  <c r="J8" i="34"/>
  <c r="I8" i="34"/>
  <c r="H8" i="34"/>
  <c r="G8" i="34"/>
  <c r="F8" i="34"/>
  <c r="E8" i="34"/>
  <c r="C8" i="34"/>
  <c r="E7" i="34"/>
  <c r="E16" i="34" s="1"/>
  <c r="C7" i="34"/>
  <c r="C16" i="34" s="1"/>
  <c r="E48" i="34"/>
  <c r="C48" i="34"/>
  <c r="E47" i="34"/>
  <c r="K26" i="34"/>
  <c r="Z112" i="33"/>
  <c r="Y112" i="33"/>
  <c r="Z111" i="33"/>
  <c r="Y111" i="33"/>
  <c r="T111" i="33" s="1"/>
  <c r="Z110" i="33"/>
  <c r="Y110" i="33"/>
  <c r="T110" i="33" s="1"/>
  <c r="Z109" i="33"/>
  <c r="Y109" i="33"/>
  <c r="Z108" i="33"/>
  <c r="Y108" i="33"/>
  <c r="Z107" i="33"/>
  <c r="Y107" i="33"/>
  <c r="T107" i="33" s="1"/>
  <c r="Z106" i="33"/>
  <c r="Y106" i="33"/>
  <c r="W103" i="33"/>
  <c r="K103" i="33"/>
  <c r="E95" i="33"/>
  <c r="S93" i="33"/>
  <c r="B93" i="33"/>
  <c r="Z82" i="33"/>
  <c r="Y82" i="33"/>
  <c r="T82" i="33"/>
  <c r="W82" i="33" s="1"/>
  <c r="Z81" i="33"/>
  <c r="Y81" i="33"/>
  <c r="T81" i="33"/>
  <c r="W81" i="33" s="1"/>
  <c r="Z80" i="33"/>
  <c r="Y80" i="33"/>
  <c r="Z79" i="33"/>
  <c r="Y79" i="33"/>
  <c r="T79" i="33" s="1"/>
  <c r="Z78" i="33"/>
  <c r="Y78" i="33"/>
  <c r="Z77" i="33"/>
  <c r="Y77" i="33"/>
  <c r="Z76" i="33"/>
  <c r="Y76" i="33"/>
  <c r="W73" i="33"/>
  <c r="K73" i="33"/>
  <c r="E65" i="33"/>
  <c r="S63" i="33"/>
  <c r="B63" i="33"/>
  <c r="Z52" i="33"/>
  <c r="Y52" i="33"/>
  <c r="T52" i="33"/>
  <c r="W52" i="33" s="1"/>
  <c r="Z51" i="33"/>
  <c r="Y51" i="33"/>
  <c r="T51" i="33" s="1"/>
  <c r="W51" i="33" s="1"/>
  <c r="Z50" i="33"/>
  <c r="Y50" i="33"/>
  <c r="T50" i="33" s="1"/>
  <c r="W50" i="33" s="1"/>
  <c r="Z49" i="33"/>
  <c r="Y49" i="33"/>
  <c r="T49" i="33" s="1"/>
  <c r="Z48" i="33"/>
  <c r="Y48" i="33"/>
  <c r="T48" i="33" s="1"/>
  <c r="Z47" i="33"/>
  <c r="Y47" i="33"/>
  <c r="Z46" i="33"/>
  <c r="Y46" i="33"/>
  <c r="T46" i="33" s="1"/>
  <c r="W43" i="33"/>
  <c r="K43" i="33"/>
  <c r="E35" i="33"/>
  <c r="S33" i="33"/>
  <c r="B33" i="33"/>
  <c r="Z22" i="33"/>
  <c r="Y22" i="33"/>
  <c r="T22" i="33"/>
  <c r="W22" i="33" s="1"/>
  <c r="Z21" i="33"/>
  <c r="Y21" i="33"/>
  <c r="Z20" i="33"/>
  <c r="Y20" i="33"/>
  <c r="Z19" i="33"/>
  <c r="Y19" i="33"/>
  <c r="T19" i="33" s="1"/>
  <c r="Z18" i="33"/>
  <c r="Y18" i="33"/>
  <c r="Z17" i="33"/>
  <c r="Y17" i="33"/>
  <c r="Z16" i="33"/>
  <c r="Y16" i="33"/>
  <c r="T16" i="33" s="1"/>
  <c r="W13" i="33"/>
  <c r="K13" i="33"/>
  <c r="E73" i="9"/>
  <c r="E72" i="9"/>
  <c r="E71" i="9"/>
  <c r="E67" i="9"/>
  <c r="E66" i="9"/>
  <c r="E65" i="9"/>
  <c r="E61" i="9"/>
  <c r="E60" i="9"/>
  <c r="E59" i="9"/>
  <c r="E55" i="9"/>
  <c r="E54" i="9"/>
  <c r="E53" i="9"/>
  <c r="E49" i="9"/>
  <c r="E48" i="9"/>
  <c r="E47" i="9"/>
  <c r="E37" i="9"/>
  <c r="E36" i="9"/>
  <c r="E35" i="9"/>
  <c r="E31" i="9"/>
  <c r="E30" i="9"/>
  <c r="E19" i="9"/>
  <c r="E18" i="9"/>
  <c r="E13" i="9"/>
  <c r="E12" i="9"/>
  <c r="E7" i="9"/>
  <c r="E92" i="3"/>
  <c r="E91" i="3"/>
  <c r="E90" i="3"/>
  <c r="E89" i="3"/>
  <c r="E88" i="3"/>
  <c r="T112" i="33" l="1"/>
  <c r="W112" i="33" s="1"/>
  <c r="T109" i="33"/>
  <c r="W109" i="33" s="1"/>
  <c r="T108" i="33"/>
  <c r="W108" i="33" s="1"/>
  <c r="T106" i="33"/>
  <c r="W106" i="33" s="1"/>
  <c r="T80" i="33"/>
  <c r="U80" i="33" s="1"/>
  <c r="T78" i="33"/>
  <c r="W78" i="33" s="1"/>
  <c r="T77" i="33"/>
  <c r="W77" i="33" s="1"/>
  <c r="T76" i="33"/>
  <c r="W76" i="33" s="1"/>
  <c r="T47" i="33"/>
  <c r="W47" i="33" s="1"/>
  <c r="T21" i="33"/>
  <c r="U21" i="33" s="1"/>
  <c r="T20" i="33"/>
  <c r="W20" i="33" s="1"/>
  <c r="T18" i="33"/>
  <c r="U18" i="33" s="1"/>
  <c r="T17" i="33"/>
  <c r="W17" i="33" s="1"/>
  <c r="G86" i="35"/>
  <c r="G60" i="35"/>
  <c r="G36" i="35"/>
  <c r="G35" i="35"/>
  <c r="G59" i="35"/>
  <c r="G85" i="35"/>
  <c r="L14" i="34"/>
  <c r="M14" i="34" s="1"/>
  <c r="L9" i="34"/>
  <c r="L11" i="34"/>
  <c r="M11" i="34"/>
  <c r="Q25" i="34"/>
  <c r="L25" i="34"/>
  <c r="M25" i="34" s="1"/>
  <c r="L15" i="34"/>
  <c r="M15" i="34" s="1"/>
  <c r="Q15" i="34"/>
  <c r="L22" i="34"/>
  <c r="L13" i="34"/>
  <c r="M13" i="34"/>
  <c r="Q13" i="34"/>
  <c r="L10" i="34"/>
  <c r="Q10" i="34"/>
  <c r="M10" i="34"/>
  <c r="Q39" i="34"/>
  <c r="M39" i="34"/>
  <c r="L39" i="34"/>
  <c r="Q45" i="34"/>
  <c r="L45" i="34"/>
  <c r="M45" i="34" s="1"/>
  <c r="Q46" i="34"/>
  <c r="L46" i="34"/>
  <c r="M46" i="34" s="1"/>
  <c r="M30" i="34"/>
  <c r="Q30" i="34"/>
  <c r="L30" i="34"/>
  <c r="Q41" i="34"/>
  <c r="M41" i="34"/>
  <c r="L41" i="34"/>
  <c r="Q29" i="34"/>
  <c r="L29" i="34"/>
  <c r="M29" i="34"/>
  <c r="Q42" i="34"/>
  <c r="M42" i="34"/>
  <c r="L42" i="34"/>
  <c r="Q19" i="34"/>
  <c r="M19" i="34"/>
  <c r="L19" i="34"/>
  <c r="Q31" i="34"/>
  <c r="M31" i="34"/>
  <c r="L31" i="34"/>
  <c r="Q34" i="34"/>
  <c r="M34" i="34"/>
  <c r="L34" i="34"/>
  <c r="Q44" i="34"/>
  <c r="M44" i="34"/>
  <c r="L44" i="34"/>
  <c r="L26" i="34"/>
  <c r="M26" i="34" s="1"/>
  <c r="Q26" i="34"/>
  <c r="Q40" i="34"/>
  <c r="M40" i="34"/>
  <c r="L40" i="34"/>
  <c r="L36" i="34"/>
  <c r="M36" i="34" s="1"/>
  <c r="M8" i="34"/>
  <c r="Q9" i="34"/>
  <c r="L20" i="34"/>
  <c r="M21" i="34"/>
  <c r="Q22" i="34"/>
  <c r="M24" i="34"/>
  <c r="L32" i="34"/>
  <c r="L35" i="34"/>
  <c r="M35" i="34" s="1"/>
  <c r="L8" i="34"/>
  <c r="Q8" i="34"/>
  <c r="M20" i="34"/>
  <c r="Q21" i="34"/>
  <c r="Q24" i="34"/>
  <c r="M32" i="34"/>
  <c r="U51" i="33"/>
  <c r="W107" i="33"/>
  <c r="U107" i="33"/>
  <c r="W46" i="33"/>
  <c r="U46" i="33"/>
  <c r="W79" i="33"/>
  <c r="U79" i="33"/>
  <c r="W110" i="33"/>
  <c r="U110" i="33"/>
  <c r="U111" i="33"/>
  <c r="W111" i="33"/>
  <c r="W16" i="33"/>
  <c r="U16" i="33"/>
  <c r="U49" i="33"/>
  <c r="W49" i="33"/>
  <c r="U19" i="33"/>
  <c r="W19" i="33"/>
  <c r="W48" i="33"/>
  <c r="U48" i="33"/>
  <c r="U52" i="33"/>
  <c r="U50" i="33"/>
  <c r="U81" i="33"/>
  <c r="U22" i="33"/>
  <c r="U82" i="33"/>
  <c r="E41" i="3"/>
  <c r="E81" i="3"/>
  <c r="E18" i="3"/>
  <c r="E44" i="3"/>
  <c r="E68" i="3"/>
  <c r="E28" i="3"/>
  <c r="E45" i="3"/>
  <c r="E69" i="3"/>
  <c r="E29" i="3"/>
  <c r="E52" i="3"/>
  <c r="E70" i="3"/>
  <c r="E30" i="3"/>
  <c r="E53" i="3"/>
  <c r="E71" i="3"/>
  <c r="E31" i="3"/>
  <c r="E54" i="3"/>
  <c r="E72" i="3"/>
  <c r="E32" i="3"/>
  <c r="E55" i="3"/>
  <c r="E76" i="3"/>
  <c r="E33" i="3"/>
  <c r="E56" i="3"/>
  <c r="E77" i="3"/>
  <c r="E7" i="3"/>
  <c r="E34" i="3"/>
  <c r="E78" i="3"/>
  <c r="E40" i="3"/>
  <c r="E64" i="3"/>
  <c r="E79" i="3"/>
  <c r="E65" i="3"/>
  <c r="E80" i="3"/>
  <c r="E42" i="3"/>
  <c r="E66" i="3"/>
  <c r="E43" i="3"/>
  <c r="E67" i="3"/>
  <c r="E82" i="3"/>
  <c r="E9" i="3"/>
  <c r="E8" i="3"/>
  <c r="E6" i="3"/>
  <c r="E5" i="3"/>
  <c r="E16" i="3"/>
  <c r="E17" i="3"/>
  <c r="E4" i="3"/>
  <c r="E19" i="3"/>
  <c r="E20" i="3"/>
  <c r="E11" i="3"/>
  <c r="E21" i="3"/>
  <c r="E10" i="3"/>
  <c r="U112" i="33" l="1"/>
  <c r="U109" i="33"/>
  <c r="U108" i="33"/>
  <c r="B38" i="34"/>
  <c r="U106" i="33"/>
  <c r="D38" i="34"/>
  <c r="W80" i="33"/>
  <c r="W83" i="33" s="1"/>
  <c r="U78" i="33"/>
  <c r="U77" i="33"/>
  <c r="B28" i="34"/>
  <c r="R28" i="34" s="1"/>
  <c r="D28" i="34"/>
  <c r="U76" i="33"/>
  <c r="D18" i="34"/>
  <c r="U47" i="33"/>
  <c r="U53" i="33" s="1"/>
  <c r="W21" i="33"/>
  <c r="U20" i="33"/>
  <c r="D7" i="34"/>
  <c r="W18" i="33"/>
  <c r="U17" i="33"/>
  <c r="B7" i="34"/>
  <c r="B18" i="34"/>
  <c r="W53" i="33"/>
  <c r="W113" i="33"/>
  <c r="D11" i="19"/>
  <c r="R7" i="34" l="1"/>
  <c r="R38" i="34"/>
  <c r="U113" i="33"/>
  <c r="U83" i="33"/>
  <c r="R18" i="34"/>
  <c r="W23" i="33"/>
  <c r="U23" i="33"/>
  <c r="E92" i="29"/>
  <c r="C92" i="29"/>
  <c r="E91" i="29"/>
  <c r="C91" i="29"/>
  <c r="E102" i="29"/>
  <c r="C102" i="29"/>
  <c r="E101" i="29"/>
  <c r="C101" i="29"/>
  <c r="E112" i="29"/>
  <c r="C112" i="29"/>
  <c r="E111" i="29"/>
  <c r="C111" i="29"/>
  <c r="E122" i="29"/>
  <c r="C122" i="29"/>
  <c r="E121" i="29"/>
  <c r="C121" i="29"/>
  <c r="E122" i="28"/>
  <c r="C122" i="28"/>
  <c r="E121" i="28"/>
  <c r="C121" i="28"/>
  <c r="E112" i="28"/>
  <c r="C112" i="28"/>
  <c r="E111" i="28"/>
  <c r="C111" i="28"/>
  <c r="E102" i="28"/>
  <c r="C102" i="28"/>
  <c r="E101" i="28"/>
  <c r="C101" i="28"/>
  <c r="E92" i="28"/>
  <c r="C92" i="28"/>
  <c r="E91" i="28"/>
  <c r="C91" i="28"/>
  <c r="E112" i="16"/>
  <c r="C112" i="16"/>
  <c r="E111" i="16"/>
  <c r="C111" i="16"/>
  <c r="E92" i="16"/>
  <c r="C92" i="16"/>
  <c r="E91" i="16"/>
  <c r="C91" i="16"/>
  <c r="E102" i="16"/>
  <c r="C102" i="16"/>
  <c r="E101" i="16"/>
  <c r="C101" i="16"/>
  <c r="E122" i="16"/>
  <c r="C122" i="16"/>
  <c r="E121" i="16"/>
  <c r="C121" i="16"/>
  <c r="E122" i="7"/>
  <c r="E121" i="7"/>
  <c r="C122" i="7"/>
  <c r="C121" i="7"/>
  <c r="E112" i="7"/>
  <c r="E111" i="7"/>
  <c r="C112" i="7"/>
  <c r="C111" i="7"/>
  <c r="E102" i="7"/>
  <c r="E101" i="7"/>
  <c r="C102" i="7"/>
  <c r="C101" i="7"/>
  <c r="E92" i="7"/>
  <c r="E91" i="7"/>
  <c r="C92" i="7"/>
  <c r="C91" i="7"/>
  <c r="C87" i="7"/>
  <c r="J85" i="7"/>
  <c r="I85" i="7"/>
  <c r="H85" i="7"/>
  <c r="G85" i="7"/>
  <c r="F85" i="7"/>
  <c r="E85" i="7"/>
  <c r="C85" i="7"/>
  <c r="J84" i="7"/>
  <c r="I84" i="7"/>
  <c r="H84" i="7"/>
  <c r="G84" i="7"/>
  <c r="F84" i="7"/>
  <c r="E84" i="7"/>
  <c r="C84" i="7"/>
  <c r="J83" i="7"/>
  <c r="I83" i="7"/>
  <c r="H83" i="7"/>
  <c r="G83" i="7"/>
  <c r="F83" i="7"/>
  <c r="E83" i="7"/>
  <c r="C83" i="7"/>
  <c r="E82" i="7"/>
  <c r="C82" i="7"/>
  <c r="J81" i="7"/>
  <c r="I81" i="7"/>
  <c r="H81" i="7"/>
  <c r="G81" i="7"/>
  <c r="F81" i="7"/>
  <c r="E81" i="7"/>
  <c r="C81" i="7"/>
  <c r="J80" i="7"/>
  <c r="I80" i="7"/>
  <c r="H80" i="7"/>
  <c r="G80" i="7"/>
  <c r="F80" i="7"/>
  <c r="E80" i="7"/>
  <c r="C80" i="7"/>
  <c r="J79" i="7"/>
  <c r="I79" i="7"/>
  <c r="H79" i="7"/>
  <c r="G79" i="7"/>
  <c r="F79" i="7"/>
  <c r="E79" i="7"/>
  <c r="C79" i="7"/>
  <c r="J78" i="7"/>
  <c r="I78" i="7"/>
  <c r="H78" i="7"/>
  <c r="G78" i="7"/>
  <c r="F78" i="7"/>
  <c r="E78" i="7"/>
  <c r="C78" i="7"/>
  <c r="E77" i="7"/>
  <c r="C77" i="7"/>
  <c r="J75" i="7"/>
  <c r="I75" i="7"/>
  <c r="H75" i="7"/>
  <c r="G75" i="7"/>
  <c r="F75" i="7"/>
  <c r="E75" i="7"/>
  <c r="C75" i="7"/>
  <c r="J74" i="7"/>
  <c r="I74" i="7"/>
  <c r="H74" i="7"/>
  <c r="G74" i="7"/>
  <c r="F74" i="7"/>
  <c r="E74" i="7"/>
  <c r="C74" i="7"/>
  <c r="J73" i="7"/>
  <c r="I73" i="7"/>
  <c r="H73" i="7"/>
  <c r="G73" i="7"/>
  <c r="F73" i="7"/>
  <c r="E73" i="7"/>
  <c r="C73" i="7"/>
  <c r="E72" i="7"/>
  <c r="C72" i="7"/>
  <c r="J71" i="7"/>
  <c r="I71" i="7"/>
  <c r="H71" i="7"/>
  <c r="G71" i="7"/>
  <c r="F71" i="7"/>
  <c r="E71" i="7"/>
  <c r="C71" i="7"/>
  <c r="J70" i="7"/>
  <c r="I70" i="7"/>
  <c r="H70" i="7"/>
  <c r="G70" i="7"/>
  <c r="F70" i="7"/>
  <c r="E70" i="7"/>
  <c r="C70" i="7"/>
  <c r="J69" i="7"/>
  <c r="I69" i="7"/>
  <c r="H69" i="7"/>
  <c r="G69" i="7"/>
  <c r="F69" i="7"/>
  <c r="E69" i="7"/>
  <c r="C69" i="7"/>
  <c r="J68" i="7"/>
  <c r="I68" i="7"/>
  <c r="H68" i="7"/>
  <c r="G68" i="7"/>
  <c r="F68" i="7"/>
  <c r="E68" i="7"/>
  <c r="C68" i="7"/>
  <c r="E67" i="7"/>
  <c r="C67" i="7"/>
  <c r="J65" i="7"/>
  <c r="I65" i="7"/>
  <c r="H65" i="7"/>
  <c r="G65" i="7"/>
  <c r="F65" i="7"/>
  <c r="E65" i="7"/>
  <c r="C65" i="7"/>
  <c r="J64" i="7"/>
  <c r="I64" i="7"/>
  <c r="H64" i="7"/>
  <c r="G64" i="7"/>
  <c r="F64" i="7"/>
  <c r="E64" i="7"/>
  <c r="C64" i="7"/>
  <c r="J63" i="7"/>
  <c r="I63" i="7"/>
  <c r="H63" i="7"/>
  <c r="G63" i="7"/>
  <c r="F63" i="7"/>
  <c r="E63" i="7"/>
  <c r="C63" i="7"/>
  <c r="E62" i="7"/>
  <c r="C62" i="7"/>
  <c r="J61" i="7"/>
  <c r="I61" i="7"/>
  <c r="H61" i="7"/>
  <c r="G61" i="7"/>
  <c r="F61" i="7"/>
  <c r="E61" i="7"/>
  <c r="C61" i="7"/>
  <c r="J60" i="7"/>
  <c r="I60" i="7"/>
  <c r="H60" i="7"/>
  <c r="G60" i="7"/>
  <c r="F60" i="7"/>
  <c r="E60" i="7"/>
  <c r="C60" i="7"/>
  <c r="J59" i="7"/>
  <c r="I59" i="7"/>
  <c r="H59" i="7"/>
  <c r="G59" i="7"/>
  <c r="F59" i="7"/>
  <c r="E59" i="7"/>
  <c r="C59" i="7"/>
  <c r="J58" i="7"/>
  <c r="I58" i="7"/>
  <c r="H58" i="7"/>
  <c r="G58" i="7"/>
  <c r="F58" i="7"/>
  <c r="E58" i="7"/>
  <c r="C58" i="7"/>
  <c r="E57" i="7"/>
  <c r="C57" i="7"/>
  <c r="J55" i="7"/>
  <c r="I55" i="7"/>
  <c r="H55" i="7"/>
  <c r="G55" i="7"/>
  <c r="F55" i="7"/>
  <c r="E55" i="7"/>
  <c r="C55" i="7"/>
  <c r="J54" i="7"/>
  <c r="I54" i="7"/>
  <c r="H54" i="7"/>
  <c r="G54" i="7"/>
  <c r="F54" i="7"/>
  <c r="E54" i="7"/>
  <c r="C54" i="7"/>
  <c r="J53" i="7"/>
  <c r="I53" i="7"/>
  <c r="H53" i="7"/>
  <c r="G53" i="7"/>
  <c r="F53" i="7"/>
  <c r="E53" i="7"/>
  <c r="C53" i="7"/>
  <c r="E52" i="7"/>
  <c r="C52" i="7"/>
  <c r="J51" i="7"/>
  <c r="I51" i="7"/>
  <c r="H51" i="7"/>
  <c r="G51" i="7"/>
  <c r="F51" i="7"/>
  <c r="E51" i="7"/>
  <c r="C51" i="7"/>
  <c r="J50" i="7"/>
  <c r="I50" i="7"/>
  <c r="H50" i="7"/>
  <c r="G50" i="7"/>
  <c r="F50" i="7"/>
  <c r="E50" i="7"/>
  <c r="C50" i="7"/>
  <c r="J49" i="7"/>
  <c r="I49" i="7"/>
  <c r="H49" i="7"/>
  <c r="G49" i="7"/>
  <c r="F49" i="7"/>
  <c r="E49" i="7"/>
  <c r="C49" i="7"/>
  <c r="J48" i="7"/>
  <c r="I48" i="7"/>
  <c r="H48" i="7"/>
  <c r="G48" i="7"/>
  <c r="F48" i="7"/>
  <c r="E48" i="7"/>
  <c r="C48" i="7"/>
  <c r="E47" i="7"/>
  <c r="C47" i="7"/>
  <c r="M16" i="7"/>
  <c r="L16" i="7"/>
  <c r="M26" i="7"/>
  <c r="L26" i="7"/>
  <c r="M36" i="7"/>
  <c r="L36" i="7"/>
  <c r="M46" i="7"/>
  <c r="L46" i="7"/>
  <c r="M96" i="7"/>
  <c r="L96" i="7"/>
  <c r="M106" i="7"/>
  <c r="L106" i="7"/>
  <c r="M116" i="7"/>
  <c r="L116" i="7"/>
  <c r="M126" i="7"/>
  <c r="L126" i="7"/>
  <c r="E82" i="29" l="1"/>
  <c r="C82" i="29"/>
  <c r="E81" i="29"/>
  <c r="C81" i="29"/>
  <c r="E72" i="29"/>
  <c r="C72" i="29"/>
  <c r="E71" i="29"/>
  <c r="C71" i="29"/>
  <c r="E62" i="29"/>
  <c r="C62" i="29"/>
  <c r="E61" i="29"/>
  <c r="C61" i="29"/>
  <c r="E52" i="29"/>
  <c r="C52" i="29"/>
  <c r="E51" i="29"/>
  <c r="C51" i="29"/>
  <c r="E42" i="29"/>
  <c r="C42" i="29"/>
  <c r="E41" i="29"/>
  <c r="C41" i="29"/>
  <c r="E32" i="29"/>
  <c r="C32" i="29"/>
  <c r="E31" i="29"/>
  <c r="C31" i="29"/>
  <c r="E22" i="29"/>
  <c r="C22" i="29"/>
  <c r="E21" i="29"/>
  <c r="C21" i="29"/>
  <c r="E12" i="29"/>
  <c r="C12" i="29"/>
  <c r="E11" i="29"/>
  <c r="C11" i="29"/>
  <c r="C21" i="7"/>
  <c r="E21" i="7"/>
  <c r="C22" i="7"/>
  <c r="E22" i="7"/>
  <c r="Z112" i="27"/>
  <c r="Y112" i="27"/>
  <c r="T112" i="27"/>
  <c r="W112" i="27" s="1"/>
  <c r="Z111" i="27"/>
  <c r="Y111" i="27"/>
  <c r="T111" i="27"/>
  <c r="U111" i="27" s="1"/>
  <c r="Z110" i="27"/>
  <c r="Y110" i="27"/>
  <c r="T110" i="27"/>
  <c r="W110" i="27" s="1"/>
  <c r="Z109" i="27"/>
  <c r="Y109" i="27"/>
  <c r="Z108" i="27"/>
  <c r="Y108" i="27"/>
  <c r="Z107" i="27"/>
  <c r="Y107" i="27"/>
  <c r="T107" i="27" s="1"/>
  <c r="W107" i="27" s="1"/>
  <c r="Z106" i="27"/>
  <c r="Y106" i="27"/>
  <c r="T106" i="27" s="1"/>
  <c r="Z82" i="27"/>
  <c r="Y82" i="27"/>
  <c r="T82" i="27"/>
  <c r="W82" i="27" s="1"/>
  <c r="Z81" i="27"/>
  <c r="Y81" i="27"/>
  <c r="T81" i="27"/>
  <c r="W81" i="27" s="1"/>
  <c r="Z80" i="27"/>
  <c r="Y80" i="27"/>
  <c r="T80" i="27"/>
  <c r="W80" i="27" s="1"/>
  <c r="Z79" i="27"/>
  <c r="Y79" i="27"/>
  <c r="Z78" i="27"/>
  <c r="Y78" i="27"/>
  <c r="Z77" i="27"/>
  <c r="Y77" i="27"/>
  <c r="Z76" i="27"/>
  <c r="Y76" i="27"/>
  <c r="T76" i="27" s="1"/>
  <c r="W76" i="27" s="1"/>
  <c r="Z52" i="27"/>
  <c r="Y52" i="27"/>
  <c r="T52" i="27"/>
  <c r="W52" i="27" s="1"/>
  <c r="Z51" i="27"/>
  <c r="Y51" i="27"/>
  <c r="U51" i="27"/>
  <c r="T51" i="27"/>
  <c r="W51" i="27" s="1"/>
  <c r="Z50" i="27"/>
  <c r="Y50" i="27"/>
  <c r="W50" i="27"/>
  <c r="U50" i="27"/>
  <c r="T50" i="27"/>
  <c r="Z49" i="27"/>
  <c r="Y49" i="27"/>
  <c r="Z48" i="27"/>
  <c r="Y48" i="27"/>
  <c r="Z47" i="27"/>
  <c r="Y47" i="27"/>
  <c r="Z46" i="27"/>
  <c r="Y46" i="27"/>
  <c r="Z22" i="27"/>
  <c r="Y22" i="27"/>
  <c r="T22" i="27"/>
  <c r="W22" i="27" s="1"/>
  <c r="Z21" i="27"/>
  <c r="Y21" i="27"/>
  <c r="T21" i="27"/>
  <c r="W21" i="27" s="1"/>
  <c r="Z20" i="27"/>
  <c r="Y20" i="27"/>
  <c r="W20" i="27"/>
  <c r="T20" i="27"/>
  <c r="U20" i="27" s="1"/>
  <c r="Z19" i="27"/>
  <c r="Y19" i="27"/>
  <c r="Z18" i="27"/>
  <c r="Y18" i="27"/>
  <c r="T18" i="27" s="1"/>
  <c r="W18" i="27" s="1"/>
  <c r="Z17" i="27"/>
  <c r="Y17" i="27"/>
  <c r="Z16" i="27"/>
  <c r="Y16" i="27"/>
  <c r="T16" i="27" s="1"/>
  <c r="Z112" i="26"/>
  <c r="Y112" i="26"/>
  <c r="T112" i="26"/>
  <c r="W112" i="26" s="1"/>
  <c r="Z111" i="26"/>
  <c r="Y111" i="26"/>
  <c r="T111" i="26"/>
  <c r="W111" i="26" s="1"/>
  <c r="Z110" i="26"/>
  <c r="Y110" i="26"/>
  <c r="W110" i="26"/>
  <c r="T110" i="26"/>
  <c r="U110" i="26" s="1"/>
  <c r="Z109" i="26"/>
  <c r="Y109" i="26"/>
  <c r="T109" i="26" s="1"/>
  <c r="W109" i="26" s="1"/>
  <c r="Z108" i="26"/>
  <c r="T108" i="26" s="1"/>
  <c r="W108" i="26" s="1"/>
  <c r="Y108" i="26"/>
  <c r="Z107" i="26"/>
  <c r="Y107" i="26"/>
  <c r="Z106" i="26"/>
  <c r="Y106" i="26"/>
  <c r="Z82" i="26"/>
  <c r="Y82" i="26"/>
  <c r="Z81" i="26"/>
  <c r="Y81" i="26"/>
  <c r="Z80" i="26"/>
  <c r="Y80" i="26"/>
  <c r="T80" i="26" s="1"/>
  <c r="W80" i="26" s="1"/>
  <c r="Z79" i="26"/>
  <c r="Y79" i="26"/>
  <c r="T79" i="26" s="1"/>
  <c r="W79" i="26" s="1"/>
  <c r="Z78" i="26"/>
  <c r="Y78" i="26"/>
  <c r="Z77" i="26"/>
  <c r="Y77" i="26"/>
  <c r="T77" i="26" s="1"/>
  <c r="Z76" i="26"/>
  <c r="Y76" i="26"/>
  <c r="Z52" i="26"/>
  <c r="Y52" i="26"/>
  <c r="T52" i="26"/>
  <c r="W52" i="26" s="1"/>
  <c r="Z51" i="26"/>
  <c r="Y51" i="26"/>
  <c r="T51" i="26"/>
  <c r="W51" i="26" s="1"/>
  <c r="Z50" i="26"/>
  <c r="Y50" i="26"/>
  <c r="U50" i="26"/>
  <c r="T50" i="26"/>
  <c r="W50" i="26" s="1"/>
  <c r="Z49" i="26"/>
  <c r="Y49" i="26"/>
  <c r="Z48" i="26"/>
  <c r="Y48" i="26"/>
  <c r="T48" i="26" s="1"/>
  <c r="U48" i="26" s="1"/>
  <c r="Z47" i="26"/>
  <c r="Y47" i="26"/>
  <c r="Z46" i="26"/>
  <c r="Y46" i="26"/>
  <c r="T46" i="26" s="1"/>
  <c r="Z22" i="26"/>
  <c r="Y22" i="26"/>
  <c r="T22" i="26"/>
  <c r="W22" i="26" s="1"/>
  <c r="Z21" i="26"/>
  <c r="Y21" i="26"/>
  <c r="T21" i="26"/>
  <c r="W21" i="26" s="1"/>
  <c r="Z20" i="26"/>
  <c r="Y20" i="26"/>
  <c r="T20" i="26" s="1"/>
  <c r="Z19" i="26"/>
  <c r="Y19" i="26"/>
  <c r="Z18" i="26"/>
  <c r="Y18" i="26"/>
  <c r="T18" i="26" s="1"/>
  <c r="W18" i="26" s="1"/>
  <c r="Z17" i="26"/>
  <c r="Y17" i="26"/>
  <c r="Z16" i="26"/>
  <c r="Y16" i="26"/>
  <c r="T16" i="26" s="1"/>
  <c r="Z112" i="25"/>
  <c r="Y112" i="25"/>
  <c r="Z111" i="25"/>
  <c r="Y111" i="25"/>
  <c r="T111" i="25" s="1"/>
  <c r="W111" i="25" s="1"/>
  <c r="Z110" i="25"/>
  <c r="Y110" i="25"/>
  <c r="T110" i="25" s="1"/>
  <c r="W110" i="25" s="1"/>
  <c r="Z109" i="25"/>
  <c r="Y109" i="25"/>
  <c r="Z108" i="25"/>
  <c r="Y108" i="25"/>
  <c r="T108" i="25" s="1"/>
  <c r="W108" i="25" s="1"/>
  <c r="Z107" i="25"/>
  <c r="Y107" i="25"/>
  <c r="Z106" i="25"/>
  <c r="Y106" i="25"/>
  <c r="T106" i="25" s="1"/>
  <c r="W106" i="25" s="1"/>
  <c r="Z82" i="25"/>
  <c r="Y82" i="25"/>
  <c r="T82" i="25"/>
  <c r="W82" i="25" s="1"/>
  <c r="Z81" i="25"/>
  <c r="Y81" i="25"/>
  <c r="T81" i="25"/>
  <c r="W81" i="25" s="1"/>
  <c r="Z80" i="25"/>
  <c r="Y80" i="25"/>
  <c r="Z79" i="25"/>
  <c r="Y79" i="25"/>
  <c r="Z78" i="25"/>
  <c r="Y78" i="25"/>
  <c r="T78" i="25" s="1"/>
  <c r="Z77" i="25"/>
  <c r="Y77" i="25"/>
  <c r="T77" i="25" s="1"/>
  <c r="W77" i="25" s="1"/>
  <c r="Z76" i="25"/>
  <c r="Y76" i="25"/>
  <c r="T76" i="25" s="1"/>
  <c r="W76" i="25" s="1"/>
  <c r="Z52" i="25"/>
  <c r="Y52" i="25"/>
  <c r="U52" i="25"/>
  <c r="T52" i="25"/>
  <c r="W52" i="25" s="1"/>
  <c r="Z51" i="25"/>
  <c r="Y51" i="25"/>
  <c r="T51" i="25"/>
  <c r="W51" i="25" s="1"/>
  <c r="Z50" i="25"/>
  <c r="Y50" i="25"/>
  <c r="Z49" i="25"/>
  <c r="Y49" i="25"/>
  <c r="T49" i="25" s="1"/>
  <c r="Z48" i="25"/>
  <c r="Y48" i="25"/>
  <c r="T48" i="25" s="1"/>
  <c r="W48" i="25" s="1"/>
  <c r="Z47" i="25"/>
  <c r="Y47" i="25"/>
  <c r="Z46" i="25"/>
  <c r="Y46" i="25"/>
  <c r="Z22" i="25"/>
  <c r="Y22" i="25"/>
  <c r="T22" i="25"/>
  <c r="W22" i="25" s="1"/>
  <c r="Z21" i="25"/>
  <c r="Y21" i="25"/>
  <c r="Z20" i="25"/>
  <c r="Y20" i="25"/>
  <c r="Z19" i="25"/>
  <c r="Y19" i="25"/>
  <c r="Z18" i="25"/>
  <c r="Y18" i="25"/>
  <c r="Z17" i="25"/>
  <c r="Y17" i="25"/>
  <c r="Z16" i="25"/>
  <c r="Y16" i="25"/>
  <c r="T16" i="25" s="1"/>
  <c r="E82" i="28"/>
  <c r="C82" i="28"/>
  <c r="E81" i="28"/>
  <c r="C81" i="28"/>
  <c r="E72" i="28"/>
  <c r="C72" i="28"/>
  <c r="E71" i="28"/>
  <c r="C71" i="28"/>
  <c r="E62" i="28"/>
  <c r="C62" i="28"/>
  <c r="E61" i="28"/>
  <c r="C61" i="28"/>
  <c r="E52" i="28"/>
  <c r="C52" i="28"/>
  <c r="E51" i="28"/>
  <c r="C51" i="28"/>
  <c r="E42" i="28"/>
  <c r="C42" i="28"/>
  <c r="E41" i="28"/>
  <c r="C41" i="28"/>
  <c r="E32" i="28"/>
  <c r="C32" i="28"/>
  <c r="E31" i="28"/>
  <c r="C31" i="28"/>
  <c r="E22" i="28"/>
  <c r="C22" i="28"/>
  <c r="E21" i="28"/>
  <c r="C21" i="28"/>
  <c r="E12" i="28"/>
  <c r="C12" i="28"/>
  <c r="E11" i="28"/>
  <c r="C11" i="28"/>
  <c r="Z112" i="24"/>
  <c r="Y112" i="24"/>
  <c r="T112" i="24"/>
  <c r="W112" i="24" s="1"/>
  <c r="Z111" i="24"/>
  <c r="Y111" i="24"/>
  <c r="T111" i="24"/>
  <c r="W111" i="24" s="1"/>
  <c r="Z110" i="24"/>
  <c r="Y110" i="24"/>
  <c r="W110" i="24"/>
  <c r="U110" i="24"/>
  <c r="T110" i="24"/>
  <c r="Z109" i="24"/>
  <c r="Y109" i="24"/>
  <c r="Z108" i="24"/>
  <c r="Y108" i="24"/>
  <c r="T108" i="24" s="1"/>
  <c r="U108" i="24" s="1"/>
  <c r="Z107" i="24"/>
  <c r="T107" i="24" s="1"/>
  <c r="Y107" i="24"/>
  <c r="Z106" i="24"/>
  <c r="Y106" i="24"/>
  <c r="T106" i="24" s="1"/>
  <c r="U106" i="24" s="1"/>
  <c r="Z82" i="24"/>
  <c r="Y82" i="24"/>
  <c r="T82" i="24"/>
  <c r="W82" i="24" s="1"/>
  <c r="Z81" i="24"/>
  <c r="Y81" i="24"/>
  <c r="T81" i="24"/>
  <c r="W81" i="24" s="1"/>
  <c r="Z80" i="24"/>
  <c r="Y80" i="24"/>
  <c r="T80" i="24"/>
  <c r="W80" i="24" s="1"/>
  <c r="Z79" i="24"/>
  <c r="Y79" i="24"/>
  <c r="Z78" i="24"/>
  <c r="Y78" i="24"/>
  <c r="Z77" i="24"/>
  <c r="Y77" i="24"/>
  <c r="Z76" i="24"/>
  <c r="Y76" i="24"/>
  <c r="T76" i="24" s="1"/>
  <c r="Z52" i="24"/>
  <c r="Y52" i="24"/>
  <c r="T52" i="24"/>
  <c r="W52" i="24" s="1"/>
  <c r="Z51" i="24"/>
  <c r="Y51" i="24"/>
  <c r="W51" i="24"/>
  <c r="U51" i="24"/>
  <c r="T51" i="24"/>
  <c r="Z50" i="24"/>
  <c r="Y50" i="24"/>
  <c r="T50" i="24" s="1"/>
  <c r="W50" i="24" s="1"/>
  <c r="Z49" i="24"/>
  <c r="Y49" i="24"/>
  <c r="Z48" i="24"/>
  <c r="Y48" i="24"/>
  <c r="T48" i="24" s="1"/>
  <c r="Z47" i="24"/>
  <c r="Y47" i="24"/>
  <c r="Z46" i="24"/>
  <c r="Y46" i="24"/>
  <c r="T46" i="24" s="1"/>
  <c r="Z22" i="24"/>
  <c r="Y22" i="24"/>
  <c r="T22" i="24"/>
  <c r="W22" i="24" s="1"/>
  <c r="Z21" i="24"/>
  <c r="Y21" i="24"/>
  <c r="U21" i="24"/>
  <c r="T21" i="24"/>
  <c r="W21" i="24" s="1"/>
  <c r="Z20" i="24"/>
  <c r="Y20" i="24"/>
  <c r="T20" i="24" s="1"/>
  <c r="Z19" i="24"/>
  <c r="Y19" i="24"/>
  <c r="Z18" i="24"/>
  <c r="Y18" i="24"/>
  <c r="T18" i="24" s="1"/>
  <c r="W18" i="24" s="1"/>
  <c r="Z17" i="24"/>
  <c r="Y17" i="24"/>
  <c r="Z16" i="24"/>
  <c r="Y16" i="24"/>
  <c r="Z112" i="23"/>
  <c r="Y112" i="23"/>
  <c r="T112" i="23"/>
  <c r="W112" i="23" s="1"/>
  <c r="Z111" i="23"/>
  <c r="Y111" i="23"/>
  <c r="T111" i="23" s="1"/>
  <c r="Z110" i="23"/>
  <c r="Y110" i="23"/>
  <c r="Z109" i="23"/>
  <c r="Y109" i="23"/>
  <c r="Z108" i="23"/>
  <c r="Y108" i="23"/>
  <c r="Z107" i="23"/>
  <c r="Y107" i="23"/>
  <c r="Z106" i="23"/>
  <c r="Y106" i="23"/>
  <c r="Z82" i="23"/>
  <c r="Y82" i="23"/>
  <c r="T82" i="23"/>
  <c r="W82" i="23" s="1"/>
  <c r="Z81" i="23"/>
  <c r="Y81" i="23"/>
  <c r="T81" i="23"/>
  <c r="W81" i="23" s="1"/>
  <c r="Z80" i="23"/>
  <c r="Y80" i="23"/>
  <c r="W80" i="23"/>
  <c r="T80" i="23"/>
  <c r="U80" i="23" s="1"/>
  <c r="Z79" i="23"/>
  <c r="Y79" i="23"/>
  <c r="Z78" i="23"/>
  <c r="Y78" i="23"/>
  <c r="T78" i="23" s="1"/>
  <c r="W78" i="23" s="1"/>
  <c r="Z77" i="23"/>
  <c r="Y77" i="23"/>
  <c r="Z76" i="23"/>
  <c r="Y76" i="23"/>
  <c r="T76" i="23" s="1"/>
  <c r="Z52" i="23"/>
  <c r="Y52" i="23"/>
  <c r="W52" i="23"/>
  <c r="T52" i="23"/>
  <c r="U52" i="23" s="1"/>
  <c r="Z51" i="23"/>
  <c r="Y51" i="23"/>
  <c r="T51" i="23"/>
  <c r="W51" i="23" s="1"/>
  <c r="Z50" i="23"/>
  <c r="Y50" i="23"/>
  <c r="T50" i="23" s="1"/>
  <c r="Z49" i="23"/>
  <c r="Y49" i="23"/>
  <c r="Z48" i="23"/>
  <c r="Y48" i="23"/>
  <c r="T48" i="23" s="1"/>
  <c r="W48" i="23" s="1"/>
  <c r="Z47" i="23"/>
  <c r="Y47" i="23"/>
  <c r="T47" i="23" s="1"/>
  <c r="Z46" i="23"/>
  <c r="Y46" i="23"/>
  <c r="Z22" i="23"/>
  <c r="Y22" i="23"/>
  <c r="T22" i="23"/>
  <c r="W22" i="23" s="1"/>
  <c r="Z21" i="23"/>
  <c r="Y21" i="23"/>
  <c r="T21" i="23"/>
  <c r="W21" i="23" s="1"/>
  <c r="Z20" i="23"/>
  <c r="Y20" i="23"/>
  <c r="W20" i="23"/>
  <c r="U20" i="23"/>
  <c r="T20" i="23"/>
  <c r="Z19" i="23"/>
  <c r="Y19" i="23"/>
  <c r="T19" i="23" s="1"/>
  <c r="W19" i="23" s="1"/>
  <c r="Z18" i="23"/>
  <c r="Y18" i="23"/>
  <c r="Z17" i="23"/>
  <c r="Y17" i="23"/>
  <c r="T17" i="23" s="1"/>
  <c r="Z16" i="23"/>
  <c r="Y16" i="23"/>
  <c r="T16" i="23" s="1"/>
  <c r="Z112" i="22"/>
  <c r="Y112" i="22"/>
  <c r="T112" i="22"/>
  <c r="W112" i="22" s="1"/>
  <c r="Z111" i="22"/>
  <c r="Y111" i="22"/>
  <c r="T111" i="22" s="1"/>
  <c r="W111" i="22" s="1"/>
  <c r="Z110" i="22"/>
  <c r="Y110" i="22"/>
  <c r="T110" i="22" s="1"/>
  <c r="U110" i="22" s="1"/>
  <c r="Z109" i="22"/>
  <c r="Y109" i="22"/>
  <c r="T109" i="22" s="1"/>
  <c r="W109" i="22" s="1"/>
  <c r="Z108" i="22"/>
  <c r="Y108" i="22"/>
  <c r="Z107" i="22"/>
  <c r="Y107" i="22"/>
  <c r="Z106" i="22"/>
  <c r="Y106" i="22"/>
  <c r="Z82" i="22"/>
  <c r="Y82" i="22"/>
  <c r="Z81" i="22"/>
  <c r="Y81" i="22"/>
  <c r="Z80" i="22"/>
  <c r="Y80" i="22"/>
  <c r="T80" i="22" s="1"/>
  <c r="Z79" i="22"/>
  <c r="Y79" i="22"/>
  <c r="Z78" i="22"/>
  <c r="Y78" i="22"/>
  <c r="T78" i="22" s="1"/>
  <c r="W78" i="22" s="1"/>
  <c r="Z77" i="22"/>
  <c r="Y77" i="22"/>
  <c r="Z76" i="22"/>
  <c r="Y76" i="22"/>
  <c r="T76" i="22" s="1"/>
  <c r="Z52" i="22"/>
  <c r="Y52" i="22"/>
  <c r="U52" i="22"/>
  <c r="T52" i="22"/>
  <c r="W52" i="22" s="1"/>
  <c r="Z51" i="22"/>
  <c r="Y51" i="22"/>
  <c r="W51" i="22"/>
  <c r="U51" i="22"/>
  <c r="T51" i="22"/>
  <c r="Z50" i="22"/>
  <c r="Y50" i="22"/>
  <c r="W50" i="22"/>
  <c r="T50" i="22"/>
  <c r="U50" i="22" s="1"/>
  <c r="Z49" i="22"/>
  <c r="Y49" i="22"/>
  <c r="Z48" i="22"/>
  <c r="Y48" i="22"/>
  <c r="Z47" i="22"/>
  <c r="Y47" i="22"/>
  <c r="Z46" i="22"/>
  <c r="Y46" i="22"/>
  <c r="Z22" i="22"/>
  <c r="Y22" i="22"/>
  <c r="W22" i="22"/>
  <c r="U22" i="22"/>
  <c r="T22" i="22"/>
  <c r="Z21" i="22"/>
  <c r="Y21" i="22"/>
  <c r="T21" i="22"/>
  <c r="W21" i="22" s="1"/>
  <c r="Z20" i="22"/>
  <c r="Y20" i="22"/>
  <c r="T20" i="22"/>
  <c r="W20" i="22" s="1"/>
  <c r="Z19" i="22"/>
  <c r="Y19" i="22"/>
  <c r="Z18" i="22"/>
  <c r="Y18" i="22"/>
  <c r="T18" i="22" s="1"/>
  <c r="Z17" i="22"/>
  <c r="Y17" i="22"/>
  <c r="T17" i="22" s="1"/>
  <c r="Z16" i="22"/>
  <c r="Y16" i="22"/>
  <c r="C51" i="16"/>
  <c r="E12" i="20"/>
  <c r="C12" i="20"/>
  <c r="E11" i="20"/>
  <c r="C11" i="20"/>
  <c r="E22" i="20"/>
  <c r="C22" i="20"/>
  <c r="E21" i="20"/>
  <c r="C21" i="20"/>
  <c r="E32" i="20"/>
  <c r="C32" i="20"/>
  <c r="E31" i="20"/>
  <c r="C31" i="20"/>
  <c r="E42" i="20"/>
  <c r="C42" i="20"/>
  <c r="E41" i="20"/>
  <c r="C41" i="20"/>
  <c r="E52" i="20"/>
  <c r="C52" i="20"/>
  <c r="E51" i="20"/>
  <c r="C51" i="20"/>
  <c r="E62" i="20"/>
  <c r="C62" i="20"/>
  <c r="E61" i="20"/>
  <c r="C61" i="20"/>
  <c r="E72" i="20"/>
  <c r="C72" i="20"/>
  <c r="E71" i="20"/>
  <c r="C71" i="20"/>
  <c r="E82" i="20"/>
  <c r="C82" i="20"/>
  <c r="E81" i="20"/>
  <c r="C81" i="20"/>
  <c r="Z112" i="21"/>
  <c r="Y112" i="21"/>
  <c r="T112" i="21"/>
  <c r="W112" i="21" s="1"/>
  <c r="Z111" i="21"/>
  <c r="Y111" i="21"/>
  <c r="T111" i="21"/>
  <c r="U111" i="21" s="1"/>
  <c r="Z110" i="21"/>
  <c r="Y110" i="21"/>
  <c r="T110" i="21" s="1"/>
  <c r="W110" i="21" s="1"/>
  <c r="Z109" i="21"/>
  <c r="Y109" i="21"/>
  <c r="Z108" i="21"/>
  <c r="Y108" i="21"/>
  <c r="T108" i="21" s="1"/>
  <c r="W108" i="21" s="1"/>
  <c r="Z107" i="21"/>
  <c r="Y107" i="21"/>
  <c r="Z106" i="21"/>
  <c r="Y106" i="21"/>
  <c r="T106" i="21" s="1"/>
  <c r="U106" i="21" s="1"/>
  <c r="Z82" i="21"/>
  <c r="Y82" i="21"/>
  <c r="T82" i="21"/>
  <c r="W82" i="21" s="1"/>
  <c r="Z81" i="21"/>
  <c r="Y81" i="21"/>
  <c r="Z80" i="21"/>
  <c r="Y80" i="21"/>
  <c r="Z79" i="21"/>
  <c r="Y79" i="21"/>
  <c r="Z78" i="21"/>
  <c r="Y78" i="21"/>
  <c r="Z77" i="21"/>
  <c r="Y77" i="21"/>
  <c r="Z76" i="21"/>
  <c r="Y76" i="21"/>
  <c r="Z52" i="21"/>
  <c r="Y52" i="21"/>
  <c r="T52" i="21"/>
  <c r="W52" i="21" s="1"/>
  <c r="Z51" i="21"/>
  <c r="Y51" i="21"/>
  <c r="T51" i="21"/>
  <c r="W51" i="21" s="1"/>
  <c r="Z50" i="21"/>
  <c r="Y50" i="21"/>
  <c r="Z49" i="21"/>
  <c r="Y49" i="21"/>
  <c r="Z48" i="21"/>
  <c r="Y48" i="21"/>
  <c r="Z47" i="21"/>
  <c r="Y47" i="21"/>
  <c r="Z46" i="21"/>
  <c r="Y46" i="21"/>
  <c r="Z22" i="21"/>
  <c r="Y22" i="21"/>
  <c r="T22" i="21"/>
  <c r="W22" i="21" s="1"/>
  <c r="Z21" i="21"/>
  <c r="Y21" i="21"/>
  <c r="T21" i="21" s="1"/>
  <c r="W21" i="21" s="1"/>
  <c r="Z20" i="21"/>
  <c r="Y20" i="21"/>
  <c r="T20" i="21" s="1"/>
  <c r="W20" i="21" s="1"/>
  <c r="Z19" i="21"/>
  <c r="Y19" i="21"/>
  <c r="T19" i="21" s="1"/>
  <c r="W19" i="21" s="1"/>
  <c r="Z18" i="21"/>
  <c r="Y18" i="21"/>
  <c r="T18" i="21" s="1"/>
  <c r="Z17" i="21"/>
  <c r="Y17" i="21"/>
  <c r="T17" i="21" s="1"/>
  <c r="W17" i="21" s="1"/>
  <c r="Z16" i="21"/>
  <c r="Y16" i="21"/>
  <c r="T16" i="21" s="1"/>
  <c r="W16" i="21" s="1"/>
  <c r="Z112" i="15"/>
  <c r="Y112" i="15"/>
  <c r="T112" i="15"/>
  <c r="W112" i="15" s="1"/>
  <c r="Z111" i="15"/>
  <c r="Y111" i="15"/>
  <c r="W111" i="15"/>
  <c r="U111" i="15"/>
  <c r="T111" i="15"/>
  <c r="Z110" i="15"/>
  <c r="Y110" i="15"/>
  <c r="Z109" i="15"/>
  <c r="Y109" i="15"/>
  <c r="Z108" i="15"/>
  <c r="Y108" i="15"/>
  <c r="Z107" i="15"/>
  <c r="Y107" i="15"/>
  <c r="T107" i="15" s="1"/>
  <c r="Z106" i="15"/>
  <c r="Y106" i="15"/>
  <c r="Z82" i="15"/>
  <c r="Y82" i="15"/>
  <c r="T82" i="15"/>
  <c r="W82" i="15" s="1"/>
  <c r="Z81" i="15"/>
  <c r="Y81" i="15"/>
  <c r="T81" i="15"/>
  <c r="W81" i="15" s="1"/>
  <c r="Z80" i="15"/>
  <c r="Y80" i="15"/>
  <c r="T80" i="15"/>
  <c r="W80" i="15" s="1"/>
  <c r="Z79" i="15"/>
  <c r="Y79" i="15"/>
  <c r="T79" i="15" s="1"/>
  <c r="Z78" i="15"/>
  <c r="Y78" i="15"/>
  <c r="Z77" i="15"/>
  <c r="Y77" i="15"/>
  <c r="T77" i="15" s="1"/>
  <c r="W77" i="15" s="1"/>
  <c r="Z76" i="15"/>
  <c r="Y76" i="15"/>
  <c r="T76" i="15" s="1"/>
  <c r="U76" i="15" s="1"/>
  <c r="Z52" i="15"/>
  <c r="Y52" i="15"/>
  <c r="T52" i="15" s="1"/>
  <c r="W52" i="15" s="1"/>
  <c r="Z51" i="15"/>
  <c r="Y51" i="15"/>
  <c r="Z50" i="15"/>
  <c r="Y50" i="15"/>
  <c r="T50" i="15" s="1"/>
  <c r="Z49" i="15"/>
  <c r="Y49" i="15"/>
  <c r="Z48" i="15"/>
  <c r="Y48" i="15"/>
  <c r="Z47" i="15"/>
  <c r="Y47" i="15"/>
  <c r="Z46" i="15"/>
  <c r="Y46" i="15"/>
  <c r="Z22" i="15"/>
  <c r="Y22" i="15"/>
  <c r="T22" i="15"/>
  <c r="W22" i="15" s="1"/>
  <c r="Z21" i="15"/>
  <c r="Y21" i="15"/>
  <c r="T21" i="15"/>
  <c r="W21" i="15" s="1"/>
  <c r="Z20" i="15"/>
  <c r="T20" i="15" s="1"/>
  <c r="W20" i="15" s="1"/>
  <c r="Y20" i="15"/>
  <c r="Z19" i="15"/>
  <c r="Y19" i="15"/>
  <c r="T19" i="15" s="1"/>
  <c r="W19" i="15" s="1"/>
  <c r="Z18" i="15"/>
  <c r="Y18" i="15"/>
  <c r="Z17" i="15"/>
  <c r="Y17" i="15"/>
  <c r="T17" i="15" s="1"/>
  <c r="W17" i="15" s="1"/>
  <c r="Z16" i="15"/>
  <c r="Y16" i="15"/>
  <c r="E82" i="16"/>
  <c r="C82" i="16"/>
  <c r="E81" i="16"/>
  <c r="C81" i="16"/>
  <c r="E72" i="16"/>
  <c r="C72" i="16"/>
  <c r="E71" i="16"/>
  <c r="C71" i="16"/>
  <c r="E62" i="16"/>
  <c r="C62" i="16"/>
  <c r="E61" i="16"/>
  <c r="C61" i="16"/>
  <c r="E52" i="16"/>
  <c r="C52" i="16"/>
  <c r="E51" i="16"/>
  <c r="E42" i="16"/>
  <c r="C42" i="16"/>
  <c r="E41" i="16"/>
  <c r="C41" i="16"/>
  <c r="E32" i="16"/>
  <c r="C32" i="16"/>
  <c r="E31" i="16"/>
  <c r="C31" i="16"/>
  <c r="E22" i="16"/>
  <c r="C22" i="16"/>
  <c r="E21" i="16"/>
  <c r="C21" i="16"/>
  <c r="E12" i="16"/>
  <c r="C12" i="16"/>
  <c r="E11" i="16"/>
  <c r="C11" i="16"/>
  <c r="Z112" i="14"/>
  <c r="Y112" i="14"/>
  <c r="Z111" i="14"/>
  <c r="Y111" i="14"/>
  <c r="T111" i="14" s="1"/>
  <c r="W111" i="14" s="1"/>
  <c r="Z110" i="14"/>
  <c r="Y110" i="14"/>
  <c r="Z109" i="14"/>
  <c r="Y109" i="14"/>
  <c r="T109" i="14" s="1"/>
  <c r="Z108" i="14"/>
  <c r="Y108" i="14"/>
  <c r="Z107" i="14"/>
  <c r="Y107" i="14"/>
  <c r="T107" i="14" s="1"/>
  <c r="W107" i="14" s="1"/>
  <c r="Z106" i="14"/>
  <c r="Y106" i="14"/>
  <c r="T106" i="14" s="1"/>
  <c r="U106" i="14" s="1"/>
  <c r="Z82" i="14"/>
  <c r="Y82" i="14"/>
  <c r="T82" i="14"/>
  <c r="W82" i="14" s="1"/>
  <c r="Z81" i="14"/>
  <c r="Y81" i="14"/>
  <c r="U81" i="14"/>
  <c r="T81" i="14"/>
  <c r="W81" i="14" s="1"/>
  <c r="Z80" i="14"/>
  <c r="Y80" i="14"/>
  <c r="T80" i="14" s="1"/>
  <c r="Z79" i="14"/>
  <c r="Y79" i="14"/>
  <c r="Z78" i="14"/>
  <c r="Y78" i="14"/>
  <c r="T78" i="14" s="1"/>
  <c r="Z77" i="14"/>
  <c r="Y77" i="14"/>
  <c r="Z76" i="14"/>
  <c r="Y76" i="14"/>
  <c r="Z52" i="14"/>
  <c r="Y52" i="14"/>
  <c r="T52" i="14"/>
  <c r="W52" i="14" s="1"/>
  <c r="Z51" i="14"/>
  <c r="Y51" i="14"/>
  <c r="T51" i="14" s="1"/>
  <c r="Z50" i="14"/>
  <c r="Y50" i="14"/>
  <c r="T50" i="14" s="1"/>
  <c r="Z49" i="14"/>
  <c r="Y49" i="14"/>
  <c r="T49" i="14" s="1"/>
  <c r="W49" i="14" s="1"/>
  <c r="Z48" i="14"/>
  <c r="Y48" i="14"/>
  <c r="T48" i="14" s="1"/>
  <c r="W48" i="14" s="1"/>
  <c r="Z47" i="14"/>
  <c r="Y47" i="14"/>
  <c r="Z46" i="14"/>
  <c r="Y46" i="14"/>
  <c r="Z22" i="14"/>
  <c r="Y22" i="14"/>
  <c r="Z21" i="14"/>
  <c r="Y21" i="14"/>
  <c r="Z20" i="14"/>
  <c r="Y20" i="14"/>
  <c r="T20" i="14" s="1"/>
  <c r="Z19" i="14"/>
  <c r="Y19" i="14"/>
  <c r="Z18" i="14"/>
  <c r="Y18" i="14"/>
  <c r="Z17" i="14"/>
  <c r="Y17" i="14"/>
  <c r="T17" i="14" s="1"/>
  <c r="Z16" i="14"/>
  <c r="Y16" i="14"/>
  <c r="Z112" i="13"/>
  <c r="Y112" i="13"/>
  <c r="T112" i="13"/>
  <c r="W112" i="13" s="1"/>
  <c r="Z111" i="13"/>
  <c r="Y111" i="13"/>
  <c r="T111" i="13"/>
  <c r="W111" i="13" s="1"/>
  <c r="Z110" i="13"/>
  <c r="Y110" i="13"/>
  <c r="W110" i="13"/>
  <c r="T110" i="13"/>
  <c r="U110" i="13" s="1"/>
  <c r="Z109" i="13"/>
  <c r="Y109" i="13"/>
  <c r="T109" i="13" s="1"/>
  <c r="Z108" i="13"/>
  <c r="Y108" i="13"/>
  <c r="T108" i="13" s="1"/>
  <c r="Z107" i="13"/>
  <c r="Y107" i="13"/>
  <c r="Z106" i="13"/>
  <c r="Y106" i="13"/>
  <c r="T106" i="13" s="1"/>
  <c r="U106" i="13" s="1"/>
  <c r="Z82" i="13"/>
  <c r="Y82" i="13"/>
  <c r="T82" i="13"/>
  <c r="W82" i="13" s="1"/>
  <c r="Z81" i="13"/>
  <c r="Y81" i="13"/>
  <c r="W81" i="13"/>
  <c r="U81" i="13"/>
  <c r="T81" i="13"/>
  <c r="Z80" i="13"/>
  <c r="Y80" i="13"/>
  <c r="T80" i="13"/>
  <c r="W80" i="13" s="1"/>
  <c r="Z79" i="13"/>
  <c r="Y79" i="13"/>
  <c r="T79" i="13" s="1"/>
  <c r="W79" i="13" s="1"/>
  <c r="Z78" i="13"/>
  <c r="Y78" i="13"/>
  <c r="Z77" i="13"/>
  <c r="Y77" i="13"/>
  <c r="T77" i="13" s="1"/>
  <c r="W77" i="13" s="1"/>
  <c r="Z76" i="13"/>
  <c r="Y76" i="13"/>
  <c r="T76" i="13" s="1"/>
  <c r="Z52" i="13"/>
  <c r="Y52" i="13"/>
  <c r="T52" i="13"/>
  <c r="W52" i="13" s="1"/>
  <c r="Z51" i="13"/>
  <c r="Y51" i="13"/>
  <c r="U51" i="13"/>
  <c r="T51" i="13"/>
  <c r="W51" i="13" s="1"/>
  <c r="Z50" i="13"/>
  <c r="Y50" i="13"/>
  <c r="T50" i="13" s="1"/>
  <c r="Z49" i="13"/>
  <c r="Y49" i="13"/>
  <c r="T49" i="13" s="1"/>
  <c r="U49" i="13" s="1"/>
  <c r="Z48" i="13"/>
  <c r="Y48" i="13"/>
  <c r="Z47" i="13"/>
  <c r="Y47" i="13"/>
  <c r="T47" i="13" s="1"/>
  <c r="W47" i="13" s="1"/>
  <c r="Z46" i="13"/>
  <c r="Y46" i="13"/>
  <c r="Z22" i="13"/>
  <c r="Y22" i="13"/>
  <c r="T22" i="13"/>
  <c r="W22" i="13" s="1"/>
  <c r="Z21" i="13"/>
  <c r="Y21" i="13"/>
  <c r="T21" i="13" s="1"/>
  <c r="W21" i="13" s="1"/>
  <c r="Z20" i="13"/>
  <c r="Y20" i="13"/>
  <c r="T20" i="13" s="1"/>
  <c r="Z19" i="13"/>
  <c r="Y19" i="13"/>
  <c r="Z18" i="13"/>
  <c r="Y18" i="13"/>
  <c r="T18" i="13" s="1"/>
  <c r="W18" i="13" s="1"/>
  <c r="Z17" i="13"/>
  <c r="Y17" i="13"/>
  <c r="Z16" i="13"/>
  <c r="Y16" i="13"/>
  <c r="T16" i="13" s="1"/>
  <c r="W16" i="13" s="1"/>
  <c r="Z112" i="12"/>
  <c r="Y112" i="12"/>
  <c r="T112" i="12"/>
  <c r="W112" i="12" s="1"/>
  <c r="Z111" i="12"/>
  <c r="Y111" i="12"/>
  <c r="W111" i="12"/>
  <c r="U111" i="12"/>
  <c r="T111" i="12"/>
  <c r="Z110" i="12"/>
  <c r="Y110" i="12"/>
  <c r="T110" i="12"/>
  <c r="W110" i="12" s="1"/>
  <c r="Z109" i="12"/>
  <c r="Y109" i="12"/>
  <c r="T109" i="12" s="1"/>
  <c r="W109" i="12" s="1"/>
  <c r="Z108" i="12"/>
  <c r="Y108" i="12"/>
  <c r="Z107" i="12"/>
  <c r="Y107" i="12"/>
  <c r="T107" i="12" s="1"/>
  <c r="W107" i="12" s="1"/>
  <c r="Z106" i="12"/>
  <c r="Y106" i="12"/>
  <c r="Z82" i="12"/>
  <c r="Y82" i="12"/>
  <c r="T82" i="12"/>
  <c r="W82" i="12" s="1"/>
  <c r="Z81" i="12"/>
  <c r="Y81" i="12"/>
  <c r="W81" i="12"/>
  <c r="U81" i="12"/>
  <c r="T81" i="12"/>
  <c r="Z80" i="12"/>
  <c r="Y80" i="12"/>
  <c r="T80" i="12" s="1"/>
  <c r="W80" i="12" s="1"/>
  <c r="Z79" i="12"/>
  <c r="Y79" i="12"/>
  <c r="Z78" i="12"/>
  <c r="Y78" i="12"/>
  <c r="T78" i="12" s="1"/>
  <c r="Z77" i="12"/>
  <c r="Y77" i="12"/>
  <c r="Z76" i="12"/>
  <c r="Y76" i="12"/>
  <c r="T76" i="12" s="1"/>
  <c r="W76" i="12" s="1"/>
  <c r="Z52" i="12"/>
  <c r="Y52" i="12"/>
  <c r="T52" i="12"/>
  <c r="W52" i="12" s="1"/>
  <c r="Z51" i="12"/>
  <c r="Y51" i="12"/>
  <c r="T51" i="12"/>
  <c r="W51" i="12" s="1"/>
  <c r="Z50" i="12"/>
  <c r="Y50" i="12"/>
  <c r="W50" i="12"/>
  <c r="T50" i="12"/>
  <c r="U50" i="12" s="1"/>
  <c r="Z49" i="12"/>
  <c r="Y49" i="12"/>
  <c r="T49" i="12" s="1"/>
  <c r="W49" i="12" s="1"/>
  <c r="Z48" i="12"/>
  <c r="Y48" i="12"/>
  <c r="T48" i="12" s="1"/>
  <c r="W48" i="12" s="1"/>
  <c r="Z47" i="12"/>
  <c r="Y47" i="12"/>
  <c r="T47" i="12" s="1"/>
  <c r="Z46" i="12"/>
  <c r="Y46" i="12"/>
  <c r="Z22" i="12"/>
  <c r="Y22" i="12"/>
  <c r="T22" i="12"/>
  <c r="W22" i="12" s="1"/>
  <c r="Z21" i="12"/>
  <c r="Y21" i="12"/>
  <c r="T21" i="12"/>
  <c r="W21" i="12" s="1"/>
  <c r="Z20" i="12"/>
  <c r="Y20" i="12"/>
  <c r="T20" i="12"/>
  <c r="W20" i="12" s="1"/>
  <c r="Z19" i="12"/>
  <c r="Y19" i="12"/>
  <c r="T19" i="12" s="1"/>
  <c r="Z18" i="12"/>
  <c r="Y18" i="12"/>
  <c r="T18" i="12" s="1"/>
  <c r="Z17" i="12"/>
  <c r="Y17" i="12"/>
  <c r="Z16" i="12"/>
  <c r="Y16" i="12"/>
  <c r="E42" i="7"/>
  <c r="E41" i="7"/>
  <c r="C42" i="7"/>
  <c r="C41" i="7"/>
  <c r="E32" i="7"/>
  <c r="E31" i="7"/>
  <c r="C32" i="7"/>
  <c r="C31" i="7"/>
  <c r="E12" i="7"/>
  <c r="E11" i="7"/>
  <c r="C12" i="7"/>
  <c r="C11" i="7"/>
  <c r="Z112" i="6"/>
  <c r="Y112" i="6"/>
  <c r="T112" i="6"/>
  <c r="W112" i="6" s="1"/>
  <c r="Z111" i="6"/>
  <c r="Y111" i="6"/>
  <c r="T111" i="6"/>
  <c r="W111" i="6" s="1"/>
  <c r="Z110" i="6"/>
  <c r="Y110" i="6"/>
  <c r="T110" i="6"/>
  <c r="W110" i="6" s="1"/>
  <c r="Z109" i="6"/>
  <c r="Y109" i="6"/>
  <c r="Z108" i="6"/>
  <c r="Y108" i="6"/>
  <c r="T108" i="6" s="1"/>
  <c r="Z107" i="6"/>
  <c r="Y107" i="6"/>
  <c r="Z106" i="6"/>
  <c r="Y106" i="6"/>
  <c r="Z82" i="6"/>
  <c r="Y82" i="6"/>
  <c r="T82" i="6"/>
  <c r="W82" i="6" s="1"/>
  <c r="Z81" i="6"/>
  <c r="Y81" i="6"/>
  <c r="T81" i="6"/>
  <c r="W81" i="6" s="1"/>
  <c r="Z80" i="6"/>
  <c r="Y80" i="6"/>
  <c r="T80" i="6"/>
  <c r="W80" i="6" s="1"/>
  <c r="Z79" i="6"/>
  <c r="Y79" i="6"/>
  <c r="Z78" i="6"/>
  <c r="Y78" i="6"/>
  <c r="T78" i="6" s="1"/>
  <c r="Z77" i="6"/>
  <c r="Y77" i="6"/>
  <c r="T77" i="6" s="1"/>
  <c r="Z76" i="6"/>
  <c r="Y76" i="6"/>
  <c r="Z52" i="6"/>
  <c r="Y52" i="6"/>
  <c r="T52" i="6"/>
  <c r="W52" i="6" s="1"/>
  <c r="Z51" i="6"/>
  <c r="Y51" i="6"/>
  <c r="T51" i="6"/>
  <c r="W51" i="6" s="1"/>
  <c r="Z50" i="6"/>
  <c r="Y50" i="6"/>
  <c r="Z49" i="6"/>
  <c r="Y49" i="6"/>
  <c r="Z48" i="6"/>
  <c r="Y48" i="6"/>
  <c r="Z47" i="6"/>
  <c r="Y47" i="6"/>
  <c r="Z46" i="6"/>
  <c r="Y46" i="6"/>
  <c r="Z22" i="6"/>
  <c r="Y22" i="6"/>
  <c r="T22" i="6"/>
  <c r="W22" i="6" s="1"/>
  <c r="Z21" i="6"/>
  <c r="Y21" i="6"/>
  <c r="T21" i="6"/>
  <c r="W21" i="6" s="1"/>
  <c r="Z20" i="6"/>
  <c r="Y20" i="6"/>
  <c r="Z19" i="6"/>
  <c r="Y19" i="6"/>
  <c r="T19" i="6" s="1"/>
  <c r="Z18" i="6"/>
  <c r="Y18" i="6"/>
  <c r="Z17" i="6"/>
  <c r="Y17" i="6"/>
  <c r="T17" i="6" s="1"/>
  <c r="W17" i="6" s="1"/>
  <c r="Z16" i="6"/>
  <c r="Y16" i="6"/>
  <c r="Z112" i="5"/>
  <c r="Y112" i="5"/>
  <c r="U112" i="5"/>
  <c r="T112" i="5"/>
  <c r="W112" i="5" s="1"/>
  <c r="Z111" i="5"/>
  <c r="Y111" i="5"/>
  <c r="T111" i="5" s="1"/>
  <c r="W111" i="5" s="1"/>
  <c r="Z110" i="5"/>
  <c r="Y110" i="5"/>
  <c r="Z109" i="5"/>
  <c r="Y109" i="5"/>
  <c r="Z108" i="5"/>
  <c r="Y108" i="5"/>
  <c r="T108" i="5" s="1"/>
  <c r="W108" i="5" s="1"/>
  <c r="Z107" i="5"/>
  <c r="Y107" i="5"/>
  <c r="Z106" i="5"/>
  <c r="Y106" i="5"/>
  <c r="Z82" i="5"/>
  <c r="Y82" i="5"/>
  <c r="T82" i="5"/>
  <c r="W82" i="5" s="1"/>
  <c r="Z81" i="5"/>
  <c r="Y81" i="5"/>
  <c r="T81" i="5"/>
  <c r="W81" i="5" s="1"/>
  <c r="Z80" i="5"/>
  <c r="Y80" i="5"/>
  <c r="T80" i="5"/>
  <c r="W80" i="5" s="1"/>
  <c r="Z79" i="5"/>
  <c r="Y79" i="5"/>
  <c r="T79" i="5" s="1"/>
  <c r="Z78" i="5"/>
  <c r="Y78" i="5"/>
  <c r="Z77" i="5"/>
  <c r="Y77" i="5"/>
  <c r="T77" i="5" s="1"/>
  <c r="W77" i="5" s="1"/>
  <c r="Z76" i="5"/>
  <c r="Y76" i="5"/>
  <c r="Z52" i="5"/>
  <c r="Y52" i="5"/>
  <c r="T52" i="5"/>
  <c r="W52" i="5" s="1"/>
  <c r="Z51" i="5"/>
  <c r="Y51" i="5"/>
  <c r="T51" i="5" s="1"/>
  <c r="U51" i="5" s="1"/>
  <c r="Z50" i="5"/>
  <c r="Y50" i="5"/>
  <c r="T50" i="5" s="1"/>
  <c r="W50" i="5" s="1"/>
  <c r="Z49" i="5"/>
  <c r="Y49" i="5"/>
  <c r="Z48" i="5"/>
  <c r="Y48" i="5"/>
  <c r="T48" i="5" s="1"/>
  <c r="W48" i="5" s="1"/>
  <c r="Z47" i="5"/>
  <c r="Y47" i="5"/>
  <c r="T47" i="5" s="1"/>
  <c r="Z46" i="5"/>
  <c r="Y46" i="5"/>
  <c r="Z22" i="5"/>
  <c r="Y22" i="5"/>
  <c r="T22" i="5"/>
  <c r="W22" i="5" s="1"/>
  <c r="Z21" i="5"/>
  <c r="Y21" i="5"/>
  <c r="T21" i="5"/>
  <c r="W21" i="5" s="1"/>
  <c r="Z20" i="5"/>
  <c r="Y20" i="5"/>
  <c r="T20" i="5" s="1"/>
  <c r="W20" i="5" s="1"/>
  <c r="Z19" i="5"/>
  <c r="Y19" i="5"/>
  <c r="T19" i="5" s="1"/>
  <c r="U19" i="5" s="1"/>
  <c r="Z18" i="5"/>
  <c r="Y18" i="5"/>
  <c r="T18" i="5" s="1"/>
  <c r="U18" i="5" s="1"/>
  <c r="Z17" i="5"/>
  <c r="Y17" i="5"/>
  <c r="T17" i="5" s="1"/>
  <c r="W17" i="5" s="1"/>
  <c r="Z16" i="5"/>
  <c r="Y16" i="5"/>
  <c r="T16" i="5" s="1"/>
  <c r="W16" i="5" s="1"/>
  <c r="Z112" i="4"/>
  <c r="Y112" i="4"/>
  <c r="U112" i="4"/>
  <c r="T112" i="4"/>
  <c r="W112" i="4" s="1"/>
  <c r="Z111" i="4"/>
  <c r="Y111" i="4"/>
  <c r="T111" i="4"/>
  <c r="W111" i="4" s="1"/>
  <c r="Z110" i="4"/>
  <c r="Y110" i="4"/>
  <c r="W110" i="4"/>
  <c r="T110" i="4"/>
  <c r="U110" i="4" s="1"/>
  <c r="Z109" i="4"/>
  <c r="Y109" i="4"/>
  <c r="Z108" i="4"/>
  <c r="Y108" i="4"/>
  <c r="T108" i="4" s="1"/>
  <c r="W108" i="4" s="1"/>
  <c r="Z107" i="4"/>
  <c r="Y107" i="4"/>
  <c r="T107" i="4" s="1"/>
  <c r="W107" i="4" s="1"/>
  <c r="Z106" i="4"/>
  <c r="Y106" i="4"/>
  <c r="Z82" i="4"/>
  <c r="Y82" i="4"/>
  <c r="T82" i="4"/>
  <c r="W82" i="4" s="1"/>
  <c r="Z81" i="4"/>
  <c r="Y81" i="4"/>
  <c r="T81" i="4" s="1"/>
  <c r="W81" i="4" s="1"/>
  <c r="Z80" i="4"/>
  <c r="Y80" i="4"/>
  <c r="Z79" i="4"/>
  <c r="Y79" i="4"/>
  <c r="Z78" i="4"/>
  <c r="Y78" i="4"/>
  <c r="Z77" i="4"/>
  <c r="Y77" i="4"/>
  <c r="T77" i="4" s="1"/>
  <c r="W77" i="4" s="1"/>
  <c r="Z76" i="4"/>
  <c r="Y76" i="4"/>
  <c r="T76" i="4" s="1"/>
  <c r="U76" i="4" s="1"/>
  <c r="Z52" i="4"/>
  <c r="Y52" i="4"/>
  <c r="T52" i="4"/>
  <c r="U52" i="4" s="1"/>
  <c r="Z51" i="4"/>
  <c r="Y51" i="4"/>
  <c r="T51" i="4"/>
  <c r="W51" i="4" s="1"/>
  <c r="Z50" i="4"/>
  <c r="Y50" i="4"/>
  <c r="W50" i="4"/>
  <c r="T50" i="4"/>
  <c r="U50" i="4" s="1"/>
  <c r="Z49" i="4"/>
  <c r="Y49" i="4"/>
  <c r="T49" i="4" s="1"/>
  <c r="W49" i="4" s="1"/>
  <c r="Z48" i="4"/>
  <c r="Y48" i="4"/>
  <c r="Z47" i="4"/>
  <c r="Y47" i="4"/>
  <c r="T47" i="4" s="1"/>
  <c r="W47" i="4" s="1"/>
  <c r="Z46" i="4"/>
  <c r="Y46" i="4"/>
  <c r="U20" i="4"/>
  <c r="W20" i="4"/>
  <c r="U21" i="4"/>
  <c r="W21" i="4"/>
  <c r="T20" i="4"/>
  <c r="T21" i="4"/>
  <c r="T22" i="4"/>
  <c r="U22" i="4" s="1"/>
  <c r="Y17" i="4"/>
  <c r="T17" i="4" s="1"/>
  <c r="Z17" i="4"/>
  <c r="Y18" i="4"/>
  <c r="T18" i="4" s="1"/>
  <c r="U18" i="4" s="1"/>
  <c r="Z18" i="4"/>
  <c r="Y19" i="4"/>
  <c r="T19" i="4" s="1"/>
  <c r="Z19" i="4"/>
  <c r="Y20" i="4"/>
  <c r="Z20" i="4"/>
  <c r="Y21" i="4"/>
  <c r="Z21" i="4"/>
  <c r="Y22" i="4"/>
  <c r="Z22" i="4"/>
  <c r="Y16" i="4"/>
  <c r="Z16" i="4"/>
  <c r="T21" i="25" l="1"/>
  <c r="W21" i="25" s="1"/>
  <c r="T19" i="27"/>
  <c r="W19" i="27" s="1"/>
  <c r="T17" i="27"/>
  <c r="W17" i="27" s="1"/>
  <c r="W16" i="27"/>
  <c r="U16" i="27"/>
  <c r="T49" i="27"/>
  <c r="W49" i="27" s="1"/>
  <c r="T48" i="27"/>
  <c r="U48" i="27" s="1"/>
  <c r="T47" i="27"/>
  <c r="W47" i="27" s="1"/>
  <c r="T46" i="27"/>
  <c r="U46" i="27" s="1"/>
  <c r="T79" i="27"/>
  <c r="W79" i="27" s="1"/>
  <c r="T78" i="27"/>
  <c r="W78" i="27" s="1"/>
  <c r="T77" i="27"/>
  <c r="W77" i="27" s="1"/>
  <c r="U77" i="27"/>
  <c r="U76" i="27"/>
  <c r="T109" i="27"/>
  <c r="W109" i="27" s="1"/>
  <c r="T108" i="27"/>
  <c r="W108" i="27" s="1"/>
  <c r="W106" i="27"/>
  <c r="U106" i="27"/>
  <c r="T82" i="26"/>
  <c r="W82" i="26" s="1"/>
  <c r="T81" i="26"/>
  <c r="U81" i="26" s="1"/>
  <c r="T78" i="26"/>
  <c r="W78" i="26" s="1"/>
  <c r="W77" i="26"/>
  <c r="U77" i="26"/>
  <c r="T76" i="26"/>
  <c r="W76" i="26" s="1"/>
  <c r="U20" i="26"/>
  <c r="W20" i="26"/>
  <c r="T19" i="26"/>
  <c r="U19" i="26" s="1"/>
  <c r="T17" i="26"/>
  <c r="W17" i="26" s="1"/>
  <c r="W16" i="26"/>
  <c r="U16" i="26"/>
  <c r="U109" i="26"/>
  <c r="T107" i="26"/>
  <c r="U107" i="26" s="1"/>
  <c r="T106" i="26"/>
  <c r="W106" i="26" s="1"/>
  <c r="T49" i="26"/>
  <c r="W49" i="26" s="1"/>
  <c r="W48" i="26"/>
  <c r="T47" i="26"/>
  <c r="W47" i="26" s="1"/>
  <c r="W46" i="26"/>
  <c r="U46" i="26"/>
  <c r="T20" i="25"/>
  <c r="U20" i="25" s="1"/>
  <c r="T19" i="25"/>
  <c r="W19" i="25" s="1"/>
  <c r="T18" i="25"/>
  <c r="W18" i="25" s="1"/>
  <c r="T17" i="25"/>
  <c r="W17" i="25" s="1"/>
  <c r="W16" i="25"/>
  <c r="U16" i="25"/>
  <c r="T112" i="25"/>
  <c r="W112" i="25" s="1"/>
  <c r="T109" i="25"/>
  <c r="W109" i="25" s="1"/>
  <c r="U108" i="25"/>
  <c r="T107" i="25"/>
  <c r="W107" i="25" s="1"/>
  <c r="T50" i="25"/>
  <c r="W50" i="25" s="1"/>
  <c r="W49" i="25"/>
  <c r="U49" i="25"/>
  <c r="T47" i="25"/>
  <c r="W47" i="25" s="1"/>
  <c r="T46" i="25"/>
  <c r="W46" i="25" s="1"/>
  <c r="T80" i="25"/>
  <c r="W80" i="25" s="1"/>
  <c r="T79" i="25"/>
  <c r="W79" i="25" s="1"/>
  <c r="W78" i="25"/>
  <c r="U78" i="25"/>
  <c r="U20" i="24"/>
  <c r="W20" i="24"/>
  <c r="T19" i="24"/>
  <c r="W19" i="24" s="1"/>
  <c r="T17" i="24"/>
  <c r="W17" i="24" s="1"/>
  <c r="T16" i="24"/>
  <c r="W16" i="24" s="1"/>
  <c r="T49" i="24"/>
  <c r="W49" i="24" s="1"/>
  <c r="U48" i="24"/>
  <c r="W48" i="24"/>
  <c r="T47" i="24"/>
  <c r="U47" i="24" s="1"/>
  <c r="U46" i="24"/>
  <c r="W46" i="24"/>
  <c r="T79" i="24"/>
  <c r="U79" i="24" s="1"/>
  <c r="T78" i="24"/>
  <c r="W78" i="24" s="1"/>
  <c r="T77" i="24"/>
  <c r="W77" i="24" s="1"/>
  <c r="W76" i="24"/>
  <c r="U76" i="24"/>
  <c r="T109" i="24"/>
  <c r="W109" i="24" s="1"/>
  <c r="W108" i="24"/>
  <c r="W107" i="24"/>
  <c r="U107" i="24"/>
  <c r="U50" i="23"/>
  <c r="W50" i="23"/>
  <c r="T49" i="23"/>
  <c r="W49" i="23" s="1"/>
  <c r="W47" i="23"/>
  <c r="U47" i="23"/>
  <c r="T46" i="23"/>
  <c r="U46" i="23" s="1"/>
  <c r="U111" i="23"/>
  <c r="W111" i="23"/>
  <c r="T110" i="23"/>
  <c r="W110" i="23" s="1"/>
  <c r="T109" i="23"/>
  <c r="W109" i="23" s="1"/>
  <c r="T108" i="23"/>
  <c r="W108" i="23" s="1"/>
  <c r="T107" i="23"/>
  <c r="W107" i="23" s="1"/>
  <c r="T106" i="23"/>
  <c r="W106" i="23" s="1"/>
  <c r="W17" i="23"/>
  <c r="U17" i="23"/>
  <c r="W16" i="23"/>
  <c r="U16" i="23"/>
  <c r="T79" i="23"/>
  <c r="U79" i="23" s="1"/>
  <c r="W79" i="23"/>
  <c r="W76" i="23"/>
  <c r="U76" i="23"/>
  <c r="T82" i="22"/>
  <c r="W82" i="22" s="1"/>
  <c r="T81" i="22"/>
  <c r="W81" i="22" s="1"/>
  <c r="W80" i="22"/>
  <c r="U80" i="22"/>
  <c r="T79" i="22"/>
  <c r="W79" i="22" s="1"/>
  <c r="T77" i="22"/>
  <c r="U77" i="22" s="1"/>
  <c r="W77" i="22"/>
  <c r="U76" i="22"/>
  <c r="W76" i="22"/>
  <c r="W110" i="22"/>
  <c r="T108" i="22"/>
  <c r="W108" i="22" s="1"/>
  <c r="T107" i="22"/>
  <c r="W107" i="22" s="1"/>
  <c r="T106" i="22"/>
  <c r="W106" i="22" s="1"/>
  <c r="T49" i="22"/>
  <c r="W49" i="22" s="1"/>
  <c r="T48" i="22"/>
  <c r="W48" i="22" s="1"/>
  <c r="T47" i="22"/>
  <c r="U47" i="22" s="1"/>
  <c r="T46" i="22"/>
  <c r="U46" i="22" s="1"/>
  <c r="T19" i="22"/>
  <c r="W19" i="22" s="1"/>
  <c r="W18" i="22"/>
  <c r="U18" i="22"/>
  <c r="U17" i="22"/>
  <c r="W17" i="22"/>
  <c r="T16" i="22"/>
  <c r="W16" i="22" s="1"/>
  <c r="T109" i="21"/>
  <c r="W109" i="21" s="1"/>
  <c r="T107" i="21"/>
  <c r="W107" i="21" s="1"/>
  <c r="W111" i="21"/>
  <c r="T77" i="21"/>
  <c r="W77" i="21" s="1"/>
  <c r="U19" i="21"/>
  <c r="U17" i="21"/>
  <c r="U108" i="21"/>
  <c r="W106" i="21"/>
  <c r="T78" i="21"/>
  <c r="W78" i="21" s="1"/>
  <c r="T79" i="21"/>
  <c r="W79" i="21" s="1"/>
  <c r="U16" i="21"/>
  <c r="T47" i="21"/>
  <c r="W47" i="21" s="1"/>
  <c r="T81" i="21"/>
  <c r="U81" i="21" s="1"/>
  <c r="U77" i="21"/>
  <c r="T76" i="21"/>
  <c r="U76" i="21" s="1"/>
  <c r="T50" i="21"/>
  <c r="W50" i="21" s="1"/>
  <c r="T49" i="21"/>
  <c r="W49" i="21" s="1"/>
  <c r="T46" i="21"/>
  <c r="W46" i="21" s="1"/>
  <c r="U18" i="21"/>
  <c r="W18" i="21"/>
  <c r="W23" i="21" s="1"/>
  <c r="T51" i="15"/>
  <c r="W51" i="15" s="1"/>
  <c r="T49" i="15"/>
  <c r="W49" i="15" s="1"/>
  <c r="W50" i="15"/>
  <c r="U50" i="15"/>
  <c r="T48" i="15"/>
  <c r="W48" i="15" s="1"/>
  <c r="T47" i="15"/>
  <c r="W47" i="15" s="1"/>
  <c r="T46" i="15"/>
  <c r="W46" i="15" s="1"/>
  <c r="U46" i="15"/>
  <c r="W79" i="15"/>
  <c r="U79" i="15"/>
  <c r="T78" i="15"/>
  <c r="W78" i="15" s="1"/>
  <c r="T110" i="15"/>
  <c r="W110" i="15" s="1"/>
  <c r="T109" i="15"/>
  <c r="W109" i="15" s="1"/>
  <c r="T108" i="15"/>
  <c r="W108" i="15" s="1"/>
  <c r="U107" i="15"/>
  <c r="W107" i="15"/>
  <c r="T106" i="15"/>
  <c r="U106" i="15" s="1"/>
  <c r="T18" i="15"/>
  <c r="W18" i="15" s="1"/>
  <c r="T16" i="15"/>
  <c r="W16" i="15" s="1"/>
  <c r="T22" i="14"/>
  <c r="W22" i="14" s="1"/>
  <c r="T21" i="14"/>
  <c r="W21" i="14" s="1"/>
  <c r="W20" i="14"/>
  <c r="U20" i="14"/>
  <c r="T19" i="14"/>
  <c r="W19" i="14" s="1"/>
  <c r="T18" i="14"/>
  <c r="U18" i="14" s="1"/>
  <c r="W17" i="14"/>
  <c r="U17" i="14"/>
  <c r="T16" i="14"/>
  <c r="U16" i="14" s="1"/>
  <c r="W16" i="14"/>
  <c r="T112" i="14"/>
  <c r="W112" i="14" s="1"/>
  <c r="T110" i="14"/>
  <c r="W110" i="14" s="1"/>
  <c r="W109" i="14"/>
  <c r="U109" i="14"/>
  <c r="T108" i="14"/>
  <c r="W108" i="14" s="1"/>
  <c r="W80" i="14"/>
  <c r="U80" i="14"/>
  <c r="T77" i="14"/>
  <c r="W77" i="14" s="1"/>
  <c r="W51" i="14"/>
  <c r="U51" i="14"/>
  <c r="W50" i="14"/>
  <c r="U50" i="14"/>
  <c r="T47" i="14"/>
  <c r="W47" i="14"/>
  <c r="U47" i="14"/>
  <c r="T46" i="14"/>
  <c r="U46" i="14" s="1"/>
  <c r="U20" i="13"/>
  <c r="W20" i="13"/>
  <c r="T19" i="13"/>
  <c r="W19" i="13" s="1"/>
  <c r="T17" i="13"/>
  <c r="U17" i="13" s="1"/>
  <c r="U50" i="13"/>
  <c r="W50" i="13"/>
  <c r="W49" i="13"/>
  <c r="T48" i="13"/>
  <c r="W48" i="13" s="1"/>
  <c r="T46" i="13"/>
  <c r="U46" i="13" s="1"/>
  <c r="U109" i="13"/>
  <c r="W109" i="13"/>
  <c r="U108" i="13"/>
  <c r="W108" i="13"/>
  <c r="T107" i="13"/>
  <c r="W107" i="13" s="1"/>
  <c r="T78" i="13"/>
  <c r="W78" i="13" s="1"/>
  <c r="U76" i="13"/>
  <c r="W76" i="13"/>
  <c r="T79" i="12"/>
  <c r="W79" i="12" s="1"/>
  <c r="W78" i="12"/>
  <c r="U78" i="12"/>
  <c r="T77" i="12"/>
  <c r="W77" i="12" s="1"/>
  <c r="T16" i="12"/>
  <c r="W16" i="12" s="1"/>
  <c r="W47" i="12"/>
  <c r="U47" i="12"/>
  <c r="T46" i="12"/>
  <c r="U46" i="12" s="1"/>
  <c r="T108" i="12"/>
  <c r="W108" i="12" s="1"/>
  <c r="T106" i="12"/>
  <c r="U106" i="12" s="1"/>
  <c r="T76" i="14"/>
  <c r="W76" i="14" s="1"/>
  <c r="T79" i="14"/>
  <c r="W79" i="14" s="1"/>
  <c r="T17" i="12"/>
  <c r="U17" i="12" s="1"/>
  <c r="U78" i="14"/>
  <c r="W78" i="14"/>
  <c r="U19" i="12"/>
  <c r="W19" i="12"/>
  <c r="W18" i="12"/>
  <c r="U18" i="12"/>
  <c r="T20" i="6"/>
  <c r="W20" i="6" s="1"/>
  <c r="W19" i="6"/>
  <c r="U19" i="6"/>
  <c r="T18" i="6"/>
  <c r="W18" i="6" s="1"/>
  <c r="T16" i="6"/>
  <c r="W16" i="6" s="1"/>
  <c r="T50" i="6"/>
  <c r="W50" i="6" s="1"/>
  <c r="T49" i="6"/>
  <c r="W49" i="6" s="1"/>
  <c r="T48" i="6"/>
  <c r="W48" i="6" s="1"/>
  <c r="T47" i="6"/>
  <c r="W47" i="6" s="1"/>
  <c r="T46" i="6"/>
  <c r="U46" i="6" s="1"/>
  <c r="T109" i="6"/>
  <c r="W109" i="6" s="1"/>
  <c r="W108" i="6"/>
  <c r="U108" i="6"/>
  <c r="T107" i="6"/>
  <c r="W107" i="6" s="1"/>
  <c r="T106" i="6"/>
  <c r="U106" i="6" s="1"/>
  <c r="T79" i="6"/>
  <c r="W79" i="6" s="1"/>
  <c r="U78" i="6"/>
  <c r="W78" i="6"/>
  <c r="W77" i="6"/>
  <c r="U77" i="6"/>
  <c r="T76" i="6"/>
  <c r="U76" i="6" s="1"/>
  <c r="T49" i="5"/>
  <c r="W49" i="5" s="1"/>
  <c r="W47" i="5"/>
  <c r="U47" i="5"/>
  <c r="T46" i="5"/>
  <c r="W46" i="5" s="1"/>
  <c r="T110" i="5"/>
  <c r="U110" i="5" s="1"/>
  <c r="T109" i="5"/>
  <c r="W109" i="5" s="1"/>
  <c r="T107" i="5"/>
  <c r="W107" i="5" s="1"/>
  <c r="T106" i="5"/>
  <c r="W106" i="5" s="1"/>
  <c r="W79" i="5"/>
  <c r="U79" i="5"/>
  <c r="T78" i="5"/>
  <c r="U78" i="5" s="1"/>
  <c r="T76" i="5"/>
  <c r="W76" i="5" s="1"/>
  <c r="T80" i="4"/>
  <c r="W80" i="4" s="1"/>
  <c r="T79" i="4"/>
  <c r="W79" i="4" s="1"/>
  <c r="T78" i="4"/>
  <c r="W78" i="4" s="1"/>
  <c r="U46" i="5"/>
  <c r="W18" i="5"/>
  <c r="U77" i="5"/>
  <c r="U17" i="5"/>
  <c r="T109" i="4"/>
  <c r="W109" i="4" s="1"/>
  <c r="T106" i="4"/>
  <c r="W106" i="4" s="1"/>
  <c r="U19" i="4"/>
  <c r="W19" i="4"/>
  <c r="U17" i="4"/>
  <c r="W17" i="4"/>
  <c r="T48" i="4"/>
  <c r="W48" i="4" s="1"/>
  <c r="T46" i="4"/>
  <c r="W46" i="4" s="1"/>
  <c r="W18" i="4"/>
  <c r="W22" i="4"/>
  <c r="U49" i="4"/>
  <c r="W52" i="4"/>
  <c r="U109" i="4"/>
  <c r="W111" i="27"/>
  <c r="U109" i="27"/>
  <c r="U107" i="27"/>
  <c r="U112" i="27"/>
  <c r="U110" i="27"/>
  <c r="U81" i="27"/>
  <c r="U82" i="27"/>
  <c r="U80" i="27"/>
  <c r="U47" i="27"/>
  <c r="U52" i="27"/>
  <c r="U21" i="27"/>
  <c r="U22" i="27"/>
  <c r="U18" i="27"/>
  <c r="U111" i="26"/>
  <c r="W107" i="26"/>
  <c r="U112" i="26"/>
  <c r="U108" i="26"/>
  <c r="W81" i="26"/>
  <c r="U79" i="26"/>
  <c r="U82" i="26"/>
  <c r="U80" i="26"/>
  <c r="U51" i="26"/>
  <c r="U49" i="26"/>
  <c r="U47" i="26"/>
  <c r="U52" i="26"/>
  <c r="U21" i="26"/>
  <c r="U22" i="26"/>
  <c r="U18" i="26"/>
  <c r="U106" i="25"/>
  <c r="U111" i="25"/>
  <c r="U110" i="25"/>
  <c r="U76" i="25"/>
  <c r="U81" i="25"/>
  <c r="U77" i="25"/>
  <c r="U82" i="25"/>
  <c r="U51" i="25"/>
  <c r="U47" i="25"/>
  <c r="U48" i="25"/>
  <c r="U22" i="25"/>
  <c r="W106" i="24"/>
  <c r="U111" i="24"/>
  <c r="U109" i="24"/>
  <c r="U112" i="24"/>
  <c r="U81" i="24"/>
  <c r="U82" i="24"/>
  <c r="U80" i="24"/>
  <c r="U52" i="24"/>
  <c r="U50" i="24"/>
  <c r="U22" i="24"/>
  <c r="U18" i="24"/>
  <c r="U112" i="23"/>
  <c r="U81" i="23"/>
  <c r="U82" i="23"/>
  <c r="U78" i="23"/>
  <c r="U51" i="23"/>
  <c r="U48" i="23"/>
  <c r="U21" i="23"/>
  <c r="U19" i="23"/>
  <c r="U22" i="23"/>
  <c r="U111" i="22"/>
  <c r="U109" i="22"/>
  <c r="U112" i="22"/>
  <c r="U78" i="22"/>
  <c r="U49" i="22"/>
  <c r="U21" i="22"/>
  <c r="U20" i="22"/>
  <c r="U109" i="21"/>
  <c r="U112" i="21"/>
  <c r="U110" i="21"/>
  <c r="U79" i="21"/>
  <c r="U82" i="21"/>
  <c r="U51" i="21"/>
  <c r="U47" i="21"/>
  <c r="U52" i="21"/>
  <c r="U21" i="21"/>
  <c r="U22" i="21"/>
  <c r="U20" i="21"/>
  <c r="U112" i="15"/>
  <c r="U110" i="15"/>
  <c r="U108" i="15"/>
  <c r="W76" i="15"/>
  <c r="U81" i="15"/>
  <c r="U82" i="15"/>
  <c r="U77" i="15"/>
  <c r="U80" i="15"/>
  <c r="U47" i="15"/>
  <c r="U52" i="15"/>
  <c r="U21" i="15"/>
  <c r="U16" i="15"/>
  <c r="U19" i="15"/>
  <c r="U17" i="15"/>
  <c r="U22" i="15"/>
  <c r="U20" i="15"/>
  <c r="W106" i="14"/>
  <c r="U111" i="14"/>
  <c r="U107" i="14"/>
  <c r="U112" i="14"/>
  <c r="U110" i="14"/>
  <c r="U82" i="14"/>
  <c r="U49" i="14"/>
  <c r="U52" i="14"/>
  <c r="U48" i="14"/>
  <c r="U19" i="14"/>
  <c r="U22" i="14"/>
  <c r="W106" i="13"/>
  <c r="U111" i="13"/>
  <c r="U107" i="13"/>
  <c r="U112" i="13"/>
  <c r="U79" i="13"/>
  <c r="U77" i="13"/>
  <c r="U82" i="13"/>
  <c r="U80" i="13"/>
  <c r="U78" i="13"/>
  <c r="U47" i="13"/>
  <c r="U52" i="13"/>
  <c r="U48" i="13"/>
  <c r="U18" i="13"/>
  <c r="U16" i="13"/>
  <c r="U21" i="13"/>
  <c r="U22" i="13"/>
  <c r="U109" i="12"/>
  <c r="U107" i="12"/>
  <c r="U112" i="12"/>
  <c r="U110" i="12"/>
  <c r="U108" i="12"/>
  <c r="U76" i="12"/>
  <c r="U79" i="12"/>
  <c r="U82" i="12"/>
  <c r="U80" i="12"/>
  <c r="U51" i="12"/>
  <c r="W46" i="12"/>
  <c r="W53" i="12" s="1"/>
  <c r="U49" i="12"/>
  <c r="U52" i="12"/>
  <c r="U48" i="12"/>
  <c r="U16" i="12"/>
  <c r="U21" i="12"/>
  <c r="U22" i="12"/>
  <c r="U20" i="12"/>
  <c r="U111" i="6"/>
  <c r="U112" i="6"/>
  <c r="U110" i="6"/>
  <c r="U82" i="6"/>
  <c r="U80" i="6"/>
  <c r="U81" i="6"/>
  <c r="U51" i="6"/>
  <c r="U52" i="6"/>
  <c r="U50" i="6"/>
  <c r="U21" i="6"/>
  <c r="U17" i="6"/>
  <c r="U22" i="6"/>
  <c r="U108" i="5"/>
  <c r="U106" i="5"/>
  <c r="U111" i="5"/>
  <c r="U81" i="5"/>
  <c r="U82" i="5"/>
  <c r="U80" i="5"/>
  <c r="W51" i="5"/>
  <c r="U52" i="5"/>
  <c r="U50" i="5"/>
  <c r="U48" i="5"/>
  <c r="W19" i="5"/>
  <c r="U22" i="5"/>
  <c r="U21" i="5"/>
  <c r="U20" i="5"/>
  <c r="U16" i="5"/>
  <c r="U108" i="4"/>
  <c r="U111" i="4"/>
  <c r="U107" i="4"/>
  <c r="W76" i="4"/>
  <c r="U81" i="4"/>
  <c r="U77" i="4"/>
  <c r="U82" i="4"/>
  <c r="U80" i="4"/>
  <c r="U46" i="4"/>
  <c r="U51" i="4"/>
  <c r="U47" i="4"/>
  <c r="T16" i="4"/>
  <c r="K35" i="29"/>
  <c r="Q35" i="29" s="1"/>
  <c r="K94" i="28"/>
  <c r="K75" i="28"/>
  <c r="K24" i="28"/>
  <c r="Q24" i="28" s="1"/>
  <c r="M286" i="32"/>
  <c r="L286" i="32"/>
  <c r="K286" i="32"/>
  <c r="J286" i="32"/>
  <c r="I286" i="32"/>
  <c r="F286" i="32"/>
  <c r="E286" i="32"/>
  <c r="D286" i="32"/>
  <c r="C286" i="32"/>
  <c r="B286" i="32"/>
  <c r="M285" i="32"/>
  <c r="L285" i="32"/>
  <c r="K285" i="32"/>
  <c r="J285" i="32"/>
  <c r="I285" i="32"/>
  <c r="F285" i="32"/>
  <c r="E285" i="32"/>
  <c r="D285" i="32"/>
  <c r="C285" i="32"/>
  <c r="B285" i="32"/>
  <c r="M284" i="32"/>
  <c r="L284" i="32"/>
  <c r="K284" i="32"/>
  <c r="J284" i="32"/>
  <c r="I284" i="32"/>
  <c r="F284" i="32"/>
  <c r="E284" i="32"/>
  <c r="D284" i="32"/>
  <c r="C284" i="32"/>
  <c r="B284" i="32"/>
  <c r="M283" i="32"/>
  <c r="L283" i="32"/>
  <c r="K283" i="32"/>
  <c r="J283" i="32"/>
  <c r="I283" i="32"/>
  <c r="F283" i="32"/>
  <c r="E283" i="32"/>
  <c r="D283" i="32"/>
  <c r="C283" i="32"/>
  <c r="B283" i="32"/>
  <c r="M282" i="32"/>
  <c r="L282" i="32"/>
  <c r="K282" i="32"/>
  <c r="J282" i="32"/>
  <c r="I282" i="32"/>
  <c r="F282" i="32"/>
  <c r="E282" i="32"/>
  <c r="D282" i="32"/>
  <c r="C282" i="32"/>
  <c r="B282" i="32"/>
  <c r="M281" i="32"/>
  <c r="L281" i="32"/>
  <c r="K281" i="32"/>
  <c r="J281" i="32"/>
  <c r="I281" i="32"/>
  <c r="F281" i="32"/>
  <c r="E281" i="32"/>
  <c r="D281" i="32"/>
  <c r="C281" i="32"/>
  <c r="B281" i="32"/>
  <c r="G281" i="32" s="1"/>
  <c r="M280" i="32"/>
  <c r="L280" i="32"/>
  <c r="K280" i="32"/>
  <c r="J280" i="32"/>
  <c r="I280" i="32"/>
  <c r="F280" i="32"/>
  <c r="E280" i="32"/>
  <c r="D280" i="32"/>
  <c r="C280" i="32"/>
  <c r="B280" i="32"/>
  <c r="M279" i="32"/>
  <c r="L279" i="32"/>
  <c r="K279" i="32"/>
  <c r="J279" i="32"/>
  <c r="I279" i="32"/>
  <c r="F279" i="32"/>
  <c r="E279" i="32"/>
  <c r="D279" i="32"/>
  <c r="C279" i="32"/>
  <c r="B279" i="32"/>
  <c r="M278" i="32"/>
  <c r="L278" i="32"/>
  <c r="K278" i="32"/>
  <c r="J278" i="32"/>
  <c r="I278" i="32"/>
  <c r="F278" i="32"/>
  <c r="E278" i="32"/>
  <c r="D278" i="32"/>
  <c r="C278" i="32"/>
  <c r="B278" i="32"/>
  <c r="M277" i="32"/>
  <c r="L277" i="32"/>
  <c r="K277" i="32"/>
  <c r="J277" i="32"/>
  <c r="I277" i="32"/>
  <c r="F277" i="32"/>
  <c r="E277" i="32"/>
  <c r="D277" i="32"/>
  <c r="C277" i="32"/>
  <c r="B277" i="32"/>
  <c r="M276" i="32"/>
  <c r="L276" i="32"/>
  <c r="K276" i="32"/>
  <c r="J276" i="32"/>
  <c r="I276" i="32"/>
  <c r="F276" i="32"/>
  <c r="E276" i="32"/>
  <c r="D276" i="32"/>
  <c r="C276" i="32"/>
  <c r="B276" i="32"/>
  <c r="M275" i="32"/>
  <c r="L275" i="32"/>
  <c r="K275" i="32"/>
  <c r="J275" i="32"/>
  <c r="I275" i="32"/>
  <c r="F275" i="32"/>
  <c r="E275" i="32"/>
  <c r="D275" i="32"/>
  <c r="C275" i="32"/>
  <c r="B275" i="32"/>
  <c r="G275" i="32" s="1"/>
  <c r="M274" i="32"/>
  <c r="L274" i="32"/>
  <c r="K274" i="32"/>
  <c r="J274" i="32"/>
  <c r="I274" i="32"/>
  <c r="F274" i="32"/>
  <c r="E274" i="32"/>
  <c r="D274" i="32"/>
  <c r="C274" i="32"/>
  <c r="B274" i="32"/>
  <c r="M273" i="32"/>
  <c r="L273" i="32"/>
  <c r="K273" i="32"/>
  <c r="J273" i="32"/>
  <c r="I273" i="32"/>
  <c r="F273" i="32"/>
  <c r="E273" i="32"/>
  <c r="D273" i="32"/>
  <c r="C273" i="32"/>
  <c r="B273" i="32"/>
  <c r="M272" i="32"/>
  <c r="L272" i="32"/>
  <c r="K272" i="32"/>
  <c r="J272" i="32"/>
  <c r="I272" i="32"/>
  <c r="F272" i="32"/>
  <c r="E272" i="32"/>
  <c r="D272" i="32"/>
  <c r="C272" i="32"/>
  <c r="B272" i="32"/>
  <c r="M271" i="32"/>
  <c r="L271" i="32"/>
  <c r="K271" i="32"/>
  <c r="J271" i="32"/>
  <c r="I271" i="32"/>
  <c r="F271" i="32"/>
  <c r="E271" i="32"/>
  <c r="D271" i="32"/>
  <c r="C271" i="32"/>
  <c r="B271" i="32"/>
  <c r="M270" i="32"/>
  <c r="L270" i="32"/>
  <c r="K270" i="32"/>
  <c r="J270" i="32"/>
  <c r="I270" i="32"/>
  <c r="F270" i="32"/>
  <c r="E270" i="32"/>
  <c r="D270" i="32"/>
  <c r="C270" i="32"/>
  <c r="B270" i="32"/>
  <c r="M269" i="32"/>
  <c r="L269" i="32"/>
  <c r="K269" i="32"/>
  <c r="J269" i="32"/>
  <c r="I269" i="32"/>
  <c r="F269" i="32"/>
  <c r="E269" i="32"/>
  <c r="D269" i="32"/>
  <c r="C269" i="32"/>
  <c r="B269" i="32"/>
  <c r="G269" i="32" s="1"/>
  <c r="M268" i="32"/>
  <c r="L268" i="32"/>
  <c r="K268" i="32"/>
  <c r="J268" i="32"/>
  <c r="I268" i="32"/>
  <c r="F268" i="32"/>
  <c r="E268" i="32"/>
  <c r="D268" i="32"/>
  <c r="C268" i="32"/>
  <c r="B268" i="32"/>
  <c r="M267" i="32"/>
  <c r="L267" i="32"/>
  <c r="K267" i="32"/>
  <c r="J267" i="32"/>
  <c r="I267" i="32"/>
  <c r="F267" i="32"/>
  <c r="E267" i="32"/>
  <c r="D267" i="32"/>
  <c r="C267" i="32"/>
  <c r="B267" i="32"/>
  <c r="M266" i="32"/>
  <c r="L266" i="32"/>
  <c r="K266" i="32"/>
  <c r="J266" i="32"/>
  <c r="I266" i="32"/>
  <c r="F266" i="32"/>
  <c r="E266" i="32"/>
  <c r="D266" i="32"/>
  <c r="C266" i="32"/>
  <c r="B266" i="32"/>
  <c r="M265" i="32"/>
  <c r="L265" i="32"/>
  <c r="K265" i="32"/>
  <c r="J265" i="32"/>
  <c r="I265" i="32"/>
  <c r="F265" i="32"/>
  <c r="E265" i="32"/>
  <c r="D265" i="32"/>
  <c r="C265" i="32"/>
  <c r="B265" i="32"/>
  <c r="M264" i="32"/>
  <c r="L264" i="32"/>
  <c r="K264" i="32"/>
  <c r="J264" i="32"/>
  <c r="I264" i="32"/>
  <c r="F264" i="32"/>
  <c r="E264" i="32"/>
  <c r="D264" i="32"/>
  <c r="C264" i="32"/>
  <c r="B264" i="32"/>
  <c r="M263" i="32"/>
  <c r="L263" i="32"/>
  <c r="K263" i="32"/>
  <c r="J263" i="32"/>
  <c r="I263" i="32"/>
  <c r="F263" i="32"/>
  <c r="E263" i="32"/>
  <c r="D263" i="32"/>
  <c r="C263" i="32"/>
  <c r="B263" i="32"/>
  <c r="G263" i="32" s="1"/>
  <c r="M262" i="32"/>
  <c r="L262" i="32"/>
  <c r="K262" i="32"/>
  <c r="J262" i="32"/>
  <c r="I262" i="32"/>
  <c r="F262" i="32"/>
  <c r="E262" i="32"/>
  <c r="D262" i="32"/>
  <c r="C262" i="32"/>
  <c r="B262" i="32"/>
  <c r="M261" i="32"/>
  <c r="L261" i="32"/>
  <c r="K261" i="32"/>
  <c r="J261" i="32"/>
  <c r="I261" i="32"/>
  <c r="F261" i="32"/>
  <c r="E261" i="32"/>
  <c r="D261" i="32"/>
  <c r="C261" i="32"/>
  <c r="B261" i="32"/>
  <c r="M260" i="32"/>
  <c r="L260" i="32"/>
  <c r="K260" i="32"/>
  <c r="J260" i="32"/>
  <c r="I260" i="32"/>
  <c r="F260" i="32"/>
  <c r="E260" i="32"/>
  <c r="D260" i="32"/>
  <c r="C260" i="32"/>
  <c r="B260" i="32"/>
  <c r="M259" i="32"/>
  <c r="L259" i="32"/>
  <c r="K259" i="32"/>
  <c r="J259" i="32"/>
  <c r="I259" i="32"/>
  <c r="F259" i="32"/>
  <c r="E259" i="32"/>
  <c r="D259" i="32"/>
  <c r="C259" i="32"/>
  <c r="B259" i="32"/>
  <c r="M258" i="32"/>
  <c r="L258" i="32"/>
  <c r="K258" i="32"/>
  <c r="J258" i="32"/>
  <c r="I258" i="32"/>
  <c r="F258" i="32"/>
  <c r="E258" i="32"/>
  <c r="D258" i="32"/>
  <c r="C258" i="32"/>
  <c r="B258" i="32"/>
  <c r="M257" i="32"/>
  <c r="L257" i="32"/>
  <c r="K257" i="32"/>
  <c r="J257" i="32"/>
  <c r="I257" i="32"/>
  <c r="F257" i="32"/>
  <c r="E257" i="32"/>
  <c r="D257" i="32"/>
  <c r="C257" i="32"/>
  <c r="B257" i="32"/>
  <c r="G257" i="32" s="1"/>
  <c r="M256" i="32"/>
  <c r="L256" i="32"/>
  <c r="K256" i="32"/>
  <c r="J256" i="32"/>
  <c r="I256" i="32"/>
  <c r="F256" i="32"/>
  <c r="E256" i="32"/>
  <c r="D256" i="32"/>
  <c r="C256" i="32"/>
  <c r="B256" i="32"/>
  <c r="M255" i="32"/>
  <c r="L255" i="32"/>
  <c r="K255" i="32"/>
  <c r="J255" i="32"/>
  <c r="I255" i="32"/>
  <c r="F255" i="32"/>
  <c r="E255" i="32"/>
  <c r="D255" i="32"/>
  <c r="C255" i="32"/>
  <c r="B255" i="32"/>
  <c r="M254" i="32"/>
  <c r="L254" i="32"/>
  <c r="K254" i="32"/>
  <c r="J254" i="32"/>
  <c r="I254" i="32"/>
  <c r="F254" i="32"/>
  <c r="E254" i="32"/>
  <c r="D254" i="32"/>
  <c r="C254" i="32"/>
  <c r="B254" i="32"/>
  <c r="M253" i="32"/>
  <c r="L253" i="32"/>
  <c r="K253" i="32"/>
  <c r="J253" i="32"/>
  <c r="I253" i="32"/>
  <c r="F253" i="32"/>
  <c r="E253" i="32"/>
  <c r="D253" i="32"/>
  <c r="C253" i="32"/>
  <c r="B253" i="32"/>
  <c r="M252" i="32"/>
  <c r="L252" i="32"/>
  <c r="K252" i="32"/>
  <c r="J252" i="32"/>
  <c r="I252" i="32"/>
  <c r="F252" i="32"/>
  <c r="E252" i="32"/>
  <c r="D252" i="32"/>
  <c r="C252" i="32"/>
  <c r="B252" i="32"/>
  <c r="M251" i="32"/>
  <c r="L251" i="32"/>
  <c r="K251" i="32"/>
  <c r="J251" i="32"/>
  <c r="I251" i="32"/>
  <c r="F251" i="32"/>
  <c r="E251" i="32"/>
  <c r="D251" i="32"/>
  <c r="C251" i="32"/>
  <c r="B251" i="32"/>
  <c r="G251" i="32" s="1"/>
  <c r="M250" i="32"/>
  <c r="L250" i="32"/>
  <c r="K250" i="32"/>
  <c r="J250" i="32"/>
  <c r="I250" i="32"/>
  <c r="F250" i="32"/>
  <c r="E250" i="32"/>
  <c r="D250" i="32"/>
  <c r="C250" i="32"/>
  <c r="B250" i="32"/>
  <c r="M249" i="32"/>
  <c r="L249" i="32"/>
  <c r="K249" i="32"/>
  <c r="J249" i="32"/>
  <c r="I249" i="32"/>
  <c r="F249" i="32"/>
  <c r="E249" i="32"/>
  <c r="D249" i="32"/>
  <c r="C249" i="32"/>
  <c r="B249" i="32"/>
  <c r="M248" i="32"/>
  <c r="L248" i="32"/>
  <c r="K248" i="32"/>
  <c r="J248" i="32"/>
  <c r="I248" i="32"/>
  <c r="F248" i="32"/>
  <c r="E248" i="32"/>
  <c r="D248" i="32"/>
  <c r="C248" i="32"/>
  <c r="B248" i="32"/>
  <c r="M247" i="32"/>
  <c r="L247" i="32"/>
  <c r="K247" i="32"/>
  <c r="J247" i="32"/>
  <c r="I247" i="32"/>
  <c r="F247" i="32"/>
  <c r="E247" i="32"/>
  <c r="D247" i="32"/>
  <c r="C247" i="32"/>
  <c r="B247" i="32"/>
  <c r="M246" i="32"/>
  <c r="L246" i="32"/>
  <c r="K246" i="32"/>
  <c r="J246" i="32"/>
  <c r="I246" i="32"/>
  <c r="F246" i="32"/>
  <c r="E246" i="32"/>
  <c r="D246" i="32"/>
  <c r="C246" i="32"/>
  <c r="B246" i="32"/>
  <c r="M245" i="32"/>
  <c r="L245" i="32"/>
  <c r="K245" i="32"/>
  <c r="J245" i="32"/>
  <c r="I245" i="32"/>
  <c r="F245" i="32"/>
  <c r="E245" i="32"/>
  <c r="D245" i="32"/>
  <c r="C245" i="32"/>
  <c r="B245" i="32"/>
  <c r="G245" i="32" s="1"/>
  <c r="M244" i="32"/>
  <c r="L244" i="32"/>
  <c r="K244" i="32"/>
  <c r="J244" i="32"/>
  <c r="I244" i="32"/>
  <c r="F244" i="32"/>
  <c r="E244" i="32"/>
  <c r="D244" i="32"/>
  <c r="C244" i="32"/>
  <c r="B244" i="32"/>
  <c r="M243" i="32"/>
  <c r="L243" i="32"/>
  <c r="K243" i="32"/>
  <c r="J243" i="32"/>
  <c r="I243" i="32"/>
  <c r="F243" i="32"/>
  <c r="E243" i="32"/>
  <c r="D243" i="32"/>
  <c r="C243" i="32"/>
  <c r="B243" i="32"/>
  <c r="M242" i="32"/>
  <c r="L242" i="32"/>
  <c r="K242" i="32"/>
  <c r="J242" i="32"/>
  <c r="I242" i="32"/>
  <c r="F242" i="32"/>
  <c r="E242" i="32"/>
  <c r="D242" i="32"/>
  <c r="C242" i="32"/>
  <c r="B242" i="32"/>
  <c r="M241" i="32"/>
  <c r="L241" i="32"/>
  <c r="K241" i="32"/>
  <c r="J241" i="32"/>
  <c r="I241" i="32"/>
  <c r="F241" i="32"/>
  <c r="E241" i="32"/>
  <c r="D241" i="32"/>
  <c r="C241" i="32"/>
  <c r="B241" i="32"/>
  <c r="M240" i="32"/>
  <c r="L240" i="32"/>
  <c r="K240" i="32"/>
  <c r="J240" i="32"/>
  <c r="I240" i="32"/>
  <c r="F240" i="32"/>
  <c r="E240" i="32"/>
  <c r="D240" i="32"/>
  <c r="C240" i="32"/>
  <c r="B240" i="32"/>
  <c r="M239" i="32"/>
  <c r="L239" i="32"/>
  <c r="K239" i="32"/>
  <c r="J239" i="32"/>
  <c r="I239" i="32"/>
  <c r="F239" i="32"/>
  <c r="E239" i="32"/>
  <c r="D239" i="32"/>
  <c r="C239" i="32"/>
  <c r="B239" i="32"/>
  <c r="G239" i="32" s="1"/>
  <c r="M238" i="32"/>
  <c r="L238" i="32"/>
  <c r="K238" i="32"/>
  <c r="J238" i="32"/>
  <c r="I238" i="32"/>
  <c r="F238" i="32"/>
  <c r="E238" i="32"/>
  <c r="D238" i="32"/>
  <c r="C238" i="32"/>
  <c r="B238" i="32"/>
  <c r="M237" i="32"/>
  <c r="L237" i="32"/>
  <c r="K237" i="32"/>
  <c r="J237" i="32"/>
  <c r="I237" i="32"/>
  <c r="F237" i="32"/>
  <c r="E237" i="32"/>
  <c r="D237" i="32"/>
  <c r="C237" i="32"/>
  <c r="B237" i="32"/>
  <c r="M236" i="32"/>
  <c r="L236" i="32"/>
  <c r="K236" i="32"/>
  <c r="J236" i="32"/>
  <c r="I236" i="32"/>
  <c r="F236" i="32"/>
  <c r="E236" i="32"/>
  <c r="D236" i="32"/>
  <c r="C236" i="32"/>
  <c r="B236" i="32"/>
  <c r="M235" i="32"/>
  <c r="L235" i="32"/>
  <c r="K235" i="32"/>
  <c r="J235" i="32"/>
  <c r="I235" i="32"/>
  <c r="F235" i="32"/>
  <c r="E235" i="32"/>
  <c r="D235" i="32"/>
  <c r="C235" i="32"/>
  <c r="B235" i="32"/>
  <c r="M234" i="32"/>
  <c r="L234" i="32"/>
  <c r="K234" i="32"/>
  <c r="J234" i="32"/>
  <c r="I234" i="32"/>
  <c r="F234" i="32"/>
  <c r="E234" i="32"/>
  <c r="D234" i="32"/>
  <c r="C234" i="32"/>
  <c r="B234" i="32"/>
  <c r="M233" i="32"/>
  <c r="L233" i="32"/>
  <c r="K233" i="32"/>
  <c r="J233" i="32"/>
  <c r="I233" i="32"/>
  <c r="F233" i="32"/>
  <c r="E233" i="32"/>
  <c r="D233" i="32"/>
  <c r="C233" i="32"/>
  <c r="B233" i="32"/>
  <c r="G233" i="32" s="1"/>
  <c r="M232" i="32"/>
  <c r="L232" i="32"/>
  <c r="K232" i="32"/>
  <c r="J232" i="32"/>
  <c r="I232" i="32"/>
  <c r="F232" i="32"/>
  <c r="E232" i="32"/>
  <c r="D232" i="32"/>
  <c r="C232" i="32"/>
  <c r="B232" i="32"/>
  <c r="M231" i="32"/>
  <c r="L231" i="32"/>
  <c r="K231" i="32"/>
  <c r="J231" i="32"/>
  <c r="I231" i="32"/>
  <c r="F231" i="32"/>
  <c r="E231" i="32"/>
  <c r="D231" i="32"/>
  <c r="C231" i="32"/>
  <c r="B231" i="32"/>
  <c r="M230" i="32"/>
  <c r="L230" i="32"/>
  <c r="K230" i="32"/>
  <c r="J230" i="32"/>
  <c r="I230" i="32"/>
  <c r="F230" i="32"/>
  <c r="E230" i="32"/>
  <c r="D230" i="32"/>
  <c r="C230" i="32"/>
  <c r="B230" i="32"/>
  <c r="M229" i="32"/>
  <c r="L229" i="32"/>
  <c r="K229" i="32"/>
  <c r="J229" i="32"/>
  <c r="I229" i="32"/>
  <c r="F229" i="32"/>
  <c r="E229" i="32"/>
  <c r="D229" i="32"/>
  <c r="C229" i="32"/>
  <c r="B229" i="32"/>
  <c r="M228" i="32"/>
  <c r="L228" i="32"/>
  <c r="K228" i="32"/>
  <c r="J228" i="32"/>
  <c r="I228" i="32"/>
  <c r="F228" i="32"/>
  <c r="E228" i="32"/>
  <c r="D228" i="32"/>
  <c r="C228" i="32"/>
  <c r="B228" i="32"/>
  <c r="M227" i="32"/>
  <c r="L227" i="32"/>
  <c r="K227" i="32"/>
  <c r="J227" i="32"/>
  <c r="I227" i="32"/>
  <c r="F227" i="32"/>
  <c r="E227" i="32"/>
  <c r="D227" i="32"/>
  <c r="C227" i="32"/>
  <c r="B227" i="32"/>
  <c r="G227" i="32" s="1"/>
  <c r="M226" i="32"/>
  <c r="L226" i="32"/>
  <c r="K226" i="32"/>
  <c r="J226" i="32"/>
  <c r="I226" i="32"/>
  <c r="F226" i="32"/>
  <c r="E226" i="32"/>
  <c r="D226" i="32"/>
  <c r="C226" i="32"/>
  <c r="B226" i="32"/>
  <c r="M225" i="32"/>
  <c r="L225" i="32"/>
  <c r="K225" i="32"/>
  <c r="J225" i="32"/>
  <c r="I225" i="32"/>
  <c r="F225" i="32"/>
  <c r="E225" i="32"/>
  <c r="D225" i="32"/>
  <c r="C225" i="32"/>
  <c r="B225" i="32"/>
  <c r="M224" i="32"/>
  <c r="L224" i="32"/>
  <c r="K224" i="32"/>
  <c r="J224" i="32"/>
  <c r="I224" i="32"/>
  <c r="F224" i="32"/>
  <c r="E224" i="32"/>
  <c r="D224" i="32"/>
  <c r="C224" i="32"/>
  <c r="B224" i="32"/>
  <c r="M223" i="32"/>
  <c r="L223" i="32"/>
  <c r="K223" i="32"/>
  <c r="J223" i="32"/>
  <c r="I223" i="32"/>
  <c r="F223" i="32"/>
  <c r="E223" i="32"/>
  <c r="D223" i="32"/>
  <c r="C223" i="32"/>
  <c r="B223" i="32"/>
  <c r="M222" i="32"/>
  <c r="L222" i="32"/>
  <c r="K222" i="32"/>
  <c r="J222" i="32"/>
  <c r="I222" i="32"/>
  <c r="F222" i="32"/>
  <c r="E222" i="32"/>
  <c r="D222" i="32"/>
  <c r="C222" i="32"/>
  <c r="B222" i="32"/>
  <c r="M221" i="32"/>
  <c r="L221" i="32"/>
  <c r="K221" i="32"/>
  <c r="J221" i="32"/>
  <c r="I221" i="32"/>
  <c r="F221" i="32"/>
  <c r="E221" i="32"/>
  <c r="D221" i="32"/>
  <c r="C221" i="32"/>
  <c r="B221" i="32"/>
  <c r="G221" i="32" s="1"/>
  <c r="M220" i="32"/>
  <c r="L220" i="32"/>
  <c r="K220" i="32"/>
  <c r="J220" i="32"/>
  <c r="I220" i="32"/>
  <c r="F220" i="32"/>
  <c r="E220" i="32"/>
  <c r="D220" i="32"/>
  <c r="C220" i="32"/>
  <c r="B220" i="32"/>
  <c r="M219" i="32"/>
  <c r="L219" i="32"/>
  <c r="K219" i="32"/>
  <c r="J219" i="32"/>
  <c r="I219" i="32"/>
  <c r="F219" i="32"/>
  <c r="E219" i="32"/>
  <c r="D219" i="32"/>
  <c r="C219" i="32"/>
  <c r="B219" i="32"/>
  <c r="M218" i="32"/>
  <c r="L218" i="32"/>
  <c r="K218" i="32"/>
  <c r="J218" i="32"/>
  <c r="I218" i="32"/>
  <c r="F218" i="32"/>
  <c r="E218" i="32"/>
  <c r="D218" i="32"/>
  <c r="C218" i="32"/>
  <c r="B218" i="32"/>
  <c r="M217" i="32"/>
  <c r="L217" i="32"/>
  <c r="K217" i="32"/>
  <c r="J217" i="32"/>
  <c r="I217" i="32"/>
  <c r="F217" i="32"/>
  <c r="E217" i="32"/>
  <c r="D217" i="32"/>
  <c r="C217" i="32"/>
  <c r="B217" i="32"/>
  <c r="M216" i="32"/>
  <c r="L216" i="32"/>
  <c r="K216" i="32"/>
  <c r="J216" i="32"/>
  <c r="I216" i="32"/>
  <c r="F216" i="32"/>
  <c r="E216" i="32"/>
  <c r="D216" i="32"/>
  <c r="C216" i="32"/>
  <c r="B216" i="32"/>
  <c r="M215" i="32"/>
  <c r="L215" i="32"/>
  <c r="K215" i="32"/>
  <c r="J215" i="32"/>
  <c r="I215" i="32"/>
  <c r="F215" i="32"/>
  <c r="E215" i="32"/>
  <c r="D215" i="32"/>
  <c r="C215" i="32"/>
  <c r="B215" i="32"/>
  <c r="G215" i="32" s="1"/>
  <c r="M214" i="32"/>
  <c r="L214" i="32"/>
  <c r="K214" i="32"/>
  <c r="J214" i="32"/>
  <c r="I214" i="32"/>
  <c r="F214" i="32"/>
  <c r="E214" i="32"/>
  <c r="D214" i="32"/>
  <c r="C214" i="32"/>
  <c r="B214" i="32"/>
  <c r="M213" i="32"/>
  <c r="L213" i="32"/>
  <c r="K213" i="32"/>
  <c r="J213" i="32"/>
  <c r="I213" i="32"/>
  <c r="F213" i="32"/>
  <c r="E213" i="32"/>
  <c r="D213" i="32"/>
  <c r="C213" i="32"/>
  <c r="B213" i="32"/>
  <c r="M212" i="32"/>
  <c r="L212" i="32"/>
  <c r="K212" i="32"/>
  <c r="J212" i="32"/>
  <c r="I212" i="32"/>
  <c r="F212" i="32"/>
  <c r="E212" i="32"/>
  <c r="D212" i="32"/>
  <c r="C212" i="32"/>
  <c r="B212" i="32"/>
  <c r="M211" i="32"/>
  <c r="L211" i="32"/>
  <c r="K211" i="32"/>
  <c r="J211" i="32"/>
  <c r="I211" i="32"/>
  <c r="F211" i="32"/>
  <c r="E211" i="32"/>
  <c r="D211" i="32"/>
  <c r="C211" i="32"/>
  <c r="B211" i="32"/>
  <c r="M210" i="32"/>
  <c r="L210" i="32"/>
  <c r="K210" i="32"/>
  <c r="J210" i="32"/>
  <c r="I210" i="32"/>
  <c r="F210" i="32"/>
  <c r="E210" i="32"/>
  <c r="D210" i="32"/>
  <c r="C210" i="32"/>
  <c r="B210" i="32"/>
  <c r="M209" i="32"/>
  <c r="L209" i="32"/>
  <c r="K209" i="32"/>
  <c r="J209" i="32"/>
  <c r="I209" i="32"/>
  <c r="F209" i="32"/>
  <c r="E209" i="32"/>
  <c r="D209" i="32"/>
  <c r="C209" i="32"/>
  <c r="B209" i="32"/>
  <c r="G209" i="32" s="1"/>
  <c r="M208" i="32"/>
  <c r="L208" i="32"/>
  <c r="K208" i="32"/>
  <c r="J208" i="32"/>
  <c r="I208" i="32"/>
  <c r="F208" i="32"/>
  <c r="E208" i="32"/>
  <c r="D208" i="32"/>
  <c r="C208" i="32"/>
  <c r="B208" i="32"/>
  <c r="M207" i="32"/>
  <c r="L207" i="32"/>
  <c r="K207" i="32"/>
  <c r="J207" i="32"/>
  <c r="I207" i="32"/>
  <c r="F207" i="32"/>
  <c r="E207" i="32"/>
  <c r="D207" i="32"/>
  <c r="C207" i="32"/>
  <c r="B207" i="32"/>
  <c r="M206" i="32"/>
  <c r="L206" i="32"/>
  <c r="K206" i="32"/>
  <c r="J206" i="32"/>
  <c r="I206" i="32"/>
  <c r="F206" i="32"/>
  <c r="E206" i="32"/>
  <c r="D206" i="32"/>
  <c r="C206" i="32"/>
  <c r="B206" i="32"/>
  <c r="M205" i="32"/>
  <c r="L205" i="32"/>
  <c r="K205" i="32"/>
  <c r="J205" i="32"/>
  <c r="I205" i="32"/>
  <c r="F205" i="32"/>
  <c r="E205" i="32"/>
  <c r="D205" i="32"/>
  <c r="C205" i="32"/>
  <c r="B205" i="32"/>
  <c r="M204" i="32"/>
  <c r="L204" i="32"/>
  <c r="K204" i="32"/>
  <c r="J204" i="32"/>
  <c r="I204" i="32"/>
  <c r="F204" i="32"/>
  <c r="E204" i="32"/>
  <c r="D204" i="32"/>
  <c r="C204" i="32"/>
  <c r="B204" i="32"/>
  <c r="M203" i="32"/>
  <c r="L203" i="32"/>
  <c r="K203" i="32"/>
  <c r="J203" i="32"/>
  <c r="I203" i="32"/>
  <c r="F203" i="32"/>
  <c r="E203" i="32"/>
  <c r="D203" i="32"/>
  <c r="C203" i="32"/>
  <c r="B203" i="32"/>
  <c r="G203" i="32" s="1"/>
  <c r="M202" i="32"/>
  <c r="L202" i="32"/>
  <c r="K202" i="32"/>
  <c r="J202" i="32"/>
  <c r="I202" i="32"/>
  <c r="F202" i="32"/>
  <c r="E202" i="32"/>
  <c r="D202" i="32"/>
  <c r="C202" i="32"/>
  <c r="B202" i="32"/>
  <c r="M201" i="32"/>
  <c r="L201" i="32"/>
  <c r="K201" i="32"/>
  <c r="J201" i="32"/>
  <c r="I201" i="32"/>
  <c r="F201" i="32"/>
  <c r="E201" i="32"/>
  <c r="D201" i="32"/>
  <c r="C201" i="32"/>
  <c r="B201" i="32"/>
  <c r="M200" i="32"/>
  <c r="L200" i="32"/>
  <c r="K200" i="32"/>
  <c r="J200" i="32"/>
  <c r="I200" i="32"/>
  <c r="F200" i="32"/>
  <c r="E200" i="32"/>
  <c r="D200" i="32"/>
  <c r="C200" i="32"/>
  <c r="B200" i="32"/>
  <c r="M199" i="32"/>
  <c r="L199" i="32"/>
  <c r="K199" i="32"/>
  <c r="J199" i="32"/>
  <c r="I199" i="32"/>
  <c r="F199" i="32"/>
  <c r="E199" i="32"/>
  <c r="D199" i="32"/>
  <c r="C199" i="32"/>
  <c r="B199" i="32"/>
  <c r="M198" i="32"/>
  <c r="L198" i="32"/>
  <c r="K198" i="32"/>
  <c r="J198" i="32"/>
  <c r="I198" i="32"/>
  <c r="F198" i="32"/>
  <c r="E198" i="32"/>
  <c r="D198" i="32"/>
  <c r="C198" i="32"/>
  <c r="B198" i="32"/>
  <c r="M197" i="32"/>
  <c r="L197" i="32"/>
  <c r="K197" i="32"/>
  <c r="J197" i="32"/>
  <c r="I197" i="32"/>
  <c r="F197" i="32"/>
  <c r="E197" i="32"/>
  <c r="D197" i="32"/>
  <c r="C197" i="32"/>
  <c r="B197" i="32"/>
  <c r="G197" i="32" s="1"/>
  <c r="M196" i="32"/>
  <c r="L196" i="32"/>
  <c r="K196" i="32"/>
  <c r="J196" i="32"/>
  <c r="I196" i="32"/>
  <c r="F196" i="32"/>
  <c r="E196" i="32"/>
  <c r="D196" i="32"/>
  <c r="C196" i="32"/>
  <c r="B196" i="32"/>
  <c r="M195" i="32"/>
  <c r="L195" i="32"/>
  <c r="K195" i="32"/>
  <c r="J195" i="32"/>
  <c r="I195" i="32"/>
  <c r="F195" i="32"/>
  <c r="E195" i="32"/>
  <c r="D195" i="32"/>
  <c r="C195" i="32"/>
  <c r="B195" i="32"/>
  <c r="M194" i="32"/>
  <c r="L194" i="32"/>
  <c r="K194" i="32"/>
  <c r="J194" i="32"/>
  <c r="I194" i="32"/>
  <c r="F194" i="32"/>
  <c r="E194" i="32"/>
  <c r="D194" i="32"/>
  <c r="C194" i="32"/>
  <c r="B194" i="32"/>
  <c r="M193" i="32"/>
  <c r="L193" i="32"/>
  <c r="K193" i="32"/>
  <c r="J193" i="32"/>
  <c r="I193" i="32"/>
  <c r="F193" i="32"/>
  <c r="E193" i="32"/>
  <c r="D193" i="32"/>
  <c r="C193" i="32"/>
  <c r="B193" i="32"/>
  <c r="M192" i="32"/>
  <c r="L192" i="32"/>
  <c r="K192" i="32"/>
  <c r="J192" i="32"/>
  <c r="I192" i="32"/>
  <c r="F192" i="32"/>
  <c r="E192" i="32"/>
  <c r="D192" i="32"/>
  <c r="C192" i="32"/>
  <c r="B192" i="32"/>
  <c r="M191" i="32"/>
  <c r="L191" i="32"/>
  <c r="K191" i="32"/>
  <c r="J191" i="32"/>
  <c r="I191" i="32"/>
  <c r="F191" i="32"/>
  <c r="E191" i="32"/>
  <c r="D191" i="32"/>
  <c r="C191" i="32"/>
  <c r="B191" i="32"/>
  <c r="G191" i="32" s="1"/>
  <c r="M190" i="32"/>
  <c r="L190" i="32"/>
  <c r="K190" i="32"/>
  <c r="J190" i="32"/>
  <c r="I190" i="32"/>
  <c r="F190" i="32"/>
  <c r="E190" i="32"/>
  <c r="D190" i="32"/>
  <c r="C190" i="32"/>
  <c r="B190" i="32"/>
  <c r="M189" i="32"/>
  <c r="L189" i="32"/>
  <c r="K189" i="32"/>
  <c r="J189" i="32"/>
  <c r="I189" i="32"/>
  <c r="F189" i="32"/>
  <c r="E189" i="32"/>
  <c r="D189" i="32"/>
  <c r="C189" i="32"/>
  <c r="B189" i="32"/>
  <c r="M188" i="32"/>
  <c r="L188" i="32"/>
  <c r="K188" i="32"/>
  <c r="J188" i="32"/>
  <c r="I188" i="32"/>
  <c r="F188" i="32"/>
  <c r="E188" i="32"/>
  <c r="D188" i="32"/>
  <c r="C188" i="32"/>
  <c r="B188" i="32"/>
  <c r="M187" i="32"/>
  <c r="L187" i="32"/>
  <c r="K187" i="32"/>
  <c r="J187" i="32"/>
  <c r="I187" i="32"/>
  <c r="F187" i="32"/>
  <c r="E187" i="32"/>
  <c r="D187" i="32"/>
  <c r="C187" i="32"/>
  <c r="B187" i="32"/>
  <c r="M186" i="32"/>
  <c r="L186" i="32"/>
  <c r="K186" i="32"/>
  <c r="J186" i="32"/>
  <c r="I186" i="32"/>
  <c r="F186" i="32"/>
  <c r="E186" i="32"/>
  <c r="D186" i="32"/>
  <c r="C186" i="32"/>
  <c r="B186" i="32"/>
  <c r="M185" i="32"/>
  <c r="L185" i="32"/>
  <c r="K185" i="32"/>
  <c r="J185" i="32"/>
  <c r="I185" i="32"/>
  <c r="F185" i="32"/>
  <c r="E185" i="32"/>
  <c r="D185" i="32"/>
  <c r="C185" i="32"/>
  <c r="B185" i="32"/>
  <c r="G185" i="32" s="1"/>
  <c r="M184" i="32"/>
  <c r="L184" i="32"/>
  <c r="K184" i="32"/>
  <c r="J184" i="32"/>
  <c r="I184" i="32"/>
  <c r="F184" i="32"/>
  <c r="E184" i="32"/>
  <c r="D184" i="32"/>
  <c r="C184" i="32"/>
  <c r="B184" i="32"/>
  <c r="M183" i="32"/>
  <c r="L183" i="32"/>
  <c r="K183" i="32"/>
  <c r="J183" i="32"/>
  <c r="I183" i="32"/>
  <c r="F183" i="32"/>
  <c r="E183" i="32"/>
  <c r="D183" i="32"/>
  <c r="C183" i="32"/>
  <c r="B183" i="32"/>
  <c r="M182" i="32"/>
  <c r="L182" i="32"/>
  <c r="K182" i="32"/>
  <c r="J182" i="32"/>
  <c r="I182" i="32"/>
  <c r="F182" i="32"/>
  <c r="E182" i="32"/>
  <c r="D182" i="32"/>
  <c r="C182" i="32"/>
  <c r="B182" i="32"/>
  <c r="M181" i="32"/>
  <c r="L181" i="32"/>
  <c r="K181" i="32"/>
  <c r="J181" i="32"/>
  <c r="I181" i="32"/>
  <c r="F181" i="32"/>
  <c r="E181" i="32"/>
  <c r="D181" i="32"/>
  <c r="C181" i="32"/>
  <c r="B181" i="32"/>
  <c r="M180" i="32"/>
  <c r="L180" i="32"/>
  <c r="K180" i="32"/>
  <c r="J180" i="32"/>
  <c r="I180" i="32"/>
  <c r="F180" i="32"/>
  <c r="E180" i="32"/>
  <c r="D180" i="32"/>
  <c r="C180" i="32"/>
  <c r="B180" i="32"/>
  <c r="M179" i="32"/>
  <c r="L179" i="32"/>
  <c r="K179" i="32"/>
  <c r="J179" i="32"/>
  <c r="I179" i="32"/>
  <c r="F179" i="32"/>
  <c r="E179" i="32"/>
  <c r="D179" i="32"/>
  <c r="C179" i="32"/>
  <c r="B179" i="32"/>
  <c r="G179" i="32" s="1"/>
  <c r="M178" i="32"/>
  <c r="L178" i="32"/>
  <c r="K178" i="32"/>
  <c r="J178" i="32"/>
  <c r="I178" i="32"/>
  <c r="F178" i="32"/>
  <c r="E178" i="32"/>
  <c r="D178" i="32"/>
  <c r="C178" i="32"/>
  <c r="B178" i="32"/>
  <c r="M177" i="32"/>
  <c r="L177" i="32"/>
  <c r="K177" i="32"/>
  <c r="J177" i="32"/>
  <c r="I177" i="32"/>
  <c r="F177" i="32"/>
  <c r="E177" i="32"/>
  <c r="D177" i="32"/>
  <c r="C177" i="32"/>
  <c r="B177" i="32"/>
  <c r="M176" i="32"/>
  <c r="L176" i="32"/>
  <c r="K176" i="32"/>
  <c r="J176" i="32"/>
  <c r="I176" i="32"/>
  <c r="F176" i="32"/>
  <c r="E176" i="32"/>
  <c r="D176" i="32"/>
  <c r="C176" i="32"/>
  <c r="B176" i="32"/>
  <c r="M175" i="32"/>
  <c r="L175" i="32"/>
  <c r="K175" i="32"/>
  <c r="J175" i="32"/>
  <c r="I175" i="32"/>
  <c r="F175" i="32"/>
  <c r="E175" i="32"/>
  <c r="D175" i="32"/>
  <c r="C175" i="32"/>
  <c r="B175" i="32"/>
  <c r="M174" i="32"/>
  <c r="L174" i="32"/>
  <c r="K174" i="32"/>
  <c r="J174" i="32"/>
  <c r="I174" i="32"/>
  <c r="F174" i="32"/>
  <c r="E174" i="32"/>
  <c r="D174" i="32"/>
  <c r="C174" i="32"/>
  <c r="B174" i="32"/>
  <c r="M173" i="32"/>
  <c r="L173" i="32"/>
  <c r="K173" i="32"/>
  <c r="J173" i="32"/>
  <c r="I173" i="32"/>
  <c r="F173" i="32"/>
  <c r="E173" i="32"/>
  <c r="D173" i="32"/>
  <c r="C173" i="32"/>
  <c r="B173" i="32"/>
  <c r="G173" i="32" s="1"/>
  <c r="M172" i="32"/>
  <c r="L172" i="32"/>
  <c r="K172" i="32"/>
  <c r="J172" i="32"/>
  <c r="I172" i="32"/>
  <c r="F172" i="32"/>
  <c r="E172" i="32"/>
  <c r="D172" i="32"/>
  <c r="C172" i="32"/>
  <c r="B172" i="32"/>
  <c r="M171" i="32"/>
  <c r="L171" i="32"/>
  <c r="K171" i="32"/>
  <c r="J171" i="32"/>
  <c r="I171" i="32"/>
  <c r="F171" i="32"/>
  <c r="E171" i="32"/>
  <c r="D171" i="32"/>
  <c r="C171" i="32"/>
  <c r="B171" i="32"/>
  <c r="M170" i="32"/>
  <c r="L170" i="32"/>
  <c r="K170" i="32"/>
  <c r="J170" i="32"/>
  <c r="I170" i="32"/>
  <c r="F170" i="32"/>
  <c r="E170" i="32"/>
  <c r="D170" i="32"/>
  <c r="C170" i="32"/>
  <c r="B170" i="32"/>
  <c r="M169" i="32"/>
  <c r="L169" i="32"/>
  <c r="K169" i="32"/>
  <c r="J169" i="32"/>
  <c r="I169" i="32"/>
  <c r="F169" i="32"/>
  <c r="E169" i="32"/>
  <c r="D169" i="32"/>
  <c r="C169" i="32"/>
  <c r="B169" i="32"/>
  <c r="M168" i="32"/>
  <c r="L168" i="32"/>
  <c r="K168" i="32"/>
  <c r="J168" i="32"/>
  <c r="I168" i="32"/>
  <c r="F168" i="32"/>
  <c r="E168" i="32"/>
  <c r="D168" i="32"/>
  <c r="C168" i="32"/>
  <c r="B168" i="32"/>
  <c r="M167" i="32"/>
  <c r="L167" i="32"/>
  <c r="K167" i="32"/>
  <c r="J167" i="32"/>
  <c r="I167" i="32"/>
  <c r="F167" i="32"/>
  <c r="E167" i="32"/>
  <c r="D167" i="32"/>
  <c r="C167" i="32"/>
  <c r="B167" i="32"/>
  <c r="G167" i="32" s="1"/>
  <c r="M166" i="32"/>
  <c r="L166" i="32"/>
  <c r="K166" i="32"/>
  <c r="J166" i="32"/>
  <c r="I166" i="32"/>
  <c r="F166" i="32"/>
  <c r="E166" i="32"/>
  <c r="D166" i="32"/>
  <c r="C166" i="32"/>
  <c r="B166" i="32"/>
  <c r="M165" i="32"/>
  <c r="L165" i="32"/>
  <c r="K165" i="32"/>
  <c r="J165" i="32"/>
  <c r="I165" i="32"/>
  <c r="F165" i="32"/>
  <c r="E165" i="32"/>
  <c r="D165" i="32"/>
  <c r="C165" i="32"/>
  <c r="B165" i="32"/>
  <c r="M164" i="32"/>
  <c r="L164" i="32"/>
  <c r="K164" i="32"/>
  <c r="J164" i="32"/>
  <c r="I164" i="32"/>
  <c r="F164" i="32"/>
  <c r="E164" i="32"/>
  <c r="D164" i="32"/>
  <c r="C164" i="32"/>
  <c r="B164" i="32"/>
  <c r="M163" i="32"/>
  <c r="L163" i="32"/>
  <c r="K163" i="32"/>
  <c r="J163" i="32"/>
  <c r="I163" i="32"/>
  <c r="F163" i="32"/>
  <c r="E163" i="32"/>
  <c r="D163" i="32"/>
  <c r="C163" i="32"/>
  <c r="B163" i="32"/>
  <c r="M162" i="32"/>
  <c r="L162" i="32"/>
  <c r="K162" i="32"/>
  <c r="J162" i="32"/>
  <c r="I162" i="32"/>
  <c r="F162" i="32"/>
  <c r="E162" i="32"/>
  <c r="D162" i="32"/>
  <c r="C162" i="32"/>
  <c r="B162" i="32"/>
  <c r="M161" i="32"/>
  <c r="L161" i="32"/>
  <c r="K161" i="32"/>
  <c r="J161" i="32"/>
  <c r="I161" i="32"/>
  <c r="F161" i="32"/>
  <c r="E161" i="32"/>
  <c r="D161" i="32"/>
  <c r="C161" i="32"/>
  <c r="B161" i="32"/>
  <c r="G161" i="32" s="1"/>
  <c r="M160" i="32"/>
  <c r="L160" i="32"/>
  <c r="K160" i="32"/>
  <c r="J160" i="32"/>
  <c r="I160" i="32"/>
  <c r="F160" i="32"/>
  <c r="E160" i="32"/>
  <c r="D160" i="32"/>
  <c r="C160" i="32"/>
  <c r="B160" i="32"/>
  <c r="M159" i="32"/>
  <c r="L159" i="32"/>
  <c r="K159" i="32"/>
  <c r="J159" i="32"/>
  <c r="I159" i="32"/>
  <c r="F159" i="32"/>
  <c r="E159" i="32"/>
  <c r="D159" i="32"/>
  <c r="C159" i="32"/>
  <c r="B159" i="32"/>
  <c r="M158" i="32"/>
  <c r="L158" i="32"/>
  <c r="K158" i="32"/>
  <c r="J158" i="32"/>
  <c r="I158" i="32"/>
  <c r="F158" i="32"/>
  <c r="E158" i="32"/>
  <c r="D158" i="32"/>
  <c r="C158" i="32"/>
  <c r="B158" i="32"/>
  <c r="M157" i="32"/>
  <c r="L157" i="32"/>
  <c r="K157" i="32"/>
  <c r="J157" i="32"/>
  <c r="I157" i="32"/>
  <c r="F157" i="32"/>
  <c r="E157" i="32"/>
  <c r="D157" i="32"/>
  <c r="C157" i="32"/>
  <c r="B157" i="32"/>
  <c r="M156" i="32"/>
  <c r="L156" i="32"/>
  <c r="K156" i="32"/>
  <c r="J156" i="32"/>
  <c r="I156" i="32"/>
  <c r="F156" i="32"/>
  <c r="E156" i="32"/>
  <c r="D156" i="32"/>
  <c r="C156" i="32"/>
  <c r="B156" i="32"/>
  <c r="M155" i="32"/>
  <c r="L155" i="32"/>
  <c r="K155" i="32"/>
  <c r="J155" i="32"/>
  <c r="I155" i="32"/>
  <c r="F155" i="32"/>
  <c r="E155" i="32"/>
  <c r="D155" i="32"/>
  <c r="C155" i="32"/>
  <c r="B155" i="32"/>
  <c r="G155" i="32" s="1"/>
  <c r="M154" i="32"/>
  <c r="L154" i="32"/>
  <c r="K154" i="32"/>
  <c r="J154" i="32"/>
  <c r="I154" i="32"/>
  <c r="F154" i="32"/>
  <c r="E154" i="32"/>
  <c r="D154" i="32"/>
  <c r="C154" i="32"/>
  <c r="B154" i="32"/>
  <c r="M153" i="32"/>
  <c r="L153" i="32"/>
  <c r="K153" i="32"/>
  <c r="J153" i="32"/>
  <c r="I153" i="32"/>
  <c r="F153" i="32"/>
  <c r="E153" i="32"/>
  <c r="D153" i="32"/>
  <c r="C153" i="32"/>
  <c r="B153" i="32"/>
  <c r="M152" i="32"/>
  <c r="L152" i="32"/>
  <c r="K152" i="32"/>
  <c r="J152" i="32"/>
  <c r="I152" i="32"/>
  <c r="F152" i="32"/>
  <c r="E152" i="32"/>
  <c r="D152" i="32"/>
  <c r="C152" i="32"/>
  <c r="B152" i="32"/>
  <c r="M151" i="32"/>
  <c r="L151" i="32"/>
  <c r="K151" i="32"/>
  <c r="J151" i="32"/>
  <c r="I151" i="32"/>
  <c r="F151" i="32"/>
  <c r="E151" i="32"/>
  <c r="D151" i="32"/>
  <c r="C151" i="32"/>
  <c r="B151" i="32"/>
  <c r="M150" i="32"/>
  <c r="L150" i="32"/>
  <c r="K150" i="32"/>
  <c r="J150" i="32"/>
  <c r="I150" i="32"/>
  <c r="F150" i="32"/>
  <c r="E150" i="32"/>
  <c r="D150" i="32"/>
  <c r="C150" i="32"/>
  <c r="B150" i="32"/>
  <c r="M149" i="32"/>
  <c r="L149" i="32"/>
  <c r="K149" i="32"/>
  <c r="J149" i="32"/>
  <c r="I149" i="32"/>
  <c r="F149" i="32"/>
  <c r="E149" i="32"/>
  <c r="D149" i="32"/>
  <c r="C149" i="32"/>
  <c r="B149" i="32"/>
  <c r="G149" i="32" s="1"/>
  <c r="M148" i="32"/>
  <c r="L148" i="32"/>
  <c r="K148" i="32"/>
  <c r="J148" i="32"/>
  <c r="I148" i="32"/>
  <c r="F148" i="32"/>
  <c r="E148" i="32"/>
  <c r="D148" i="32"/>
  <c r="C148" i="32"/>
  <c r="B148" i="32"/>
  <c r="M147" i="32"/>
  <c r="L147" i="32"/>
  <c r="K147" i="32"/>
  <c r="J147" i="32"/>
  <c r="I147" i="32"/>
  <c r="F147" i="32"/>
  <c r="E147" i="32"/>
  <c r="D147" i="32"/>
  <c r="C147" i="32"/>
  <c r="B147" i="32"/>
  <c r="M146" i="32"/>
  <c r="L146" i="32"/>
  <c r="K146" i="32"/>
  <c r="J146" i="32"/>
  <c r="I146" i="32"/>
  <c r="F146" i="32"/>
  <c r="E146" i="32"/>
  <c r="D146" i="32"/>
  <c r="C146" i="32"/>
  <c r="B146" i="32"/>
  <c r="M145" i="32"/>
  <c r="L145" i="32"/>
  <c r="K145" i="32"/>
  <c r="J145" i="32"/>
  <c r="I145" i="32"/>
  <c r="F145" i="32"/>
  <c r="E145" i="32"/>
  <c r="D145" i="32"/>
  <c r="C145" i="32"/>
  <c r="B145" i="32"/>
  <c r="M144" i="32"/>
  <c r="L144" i="32"/>
  <c r="K144" i="32"/>
  <c r="J144" i="32"/>
  <c r="I144" i="32"/>
  <c r="F144" i="32"/>
  <c r="E144" i="32"/>
  <c r="D144" i="32"/>
  <c r="C144" i="32"/>
  <c r="B144" i="32"/>
  <c r="M143" i="32"/>
  <c r="L143" i="32"/>
  <c r="K143" i="32"/>
  <c r="J143" i="32"/>
  <c r="I143" i="32"/>
  <c r="F143" i="32"/>
  <c r="E143" i="32"/>
  <c r="D143" i="32"/>
  <c r="C143" i="32"/>
  <c r="B143" i="32"/>
  <c r="G143" i="32" s="1"/>
  <c r="M142" i="32"/>
  <c r="L142" i="32"/>
  <c r="K142" i="32"/>
  <c r="J142" i="32"/>
  <c r="I142" i="32"/>
  <c r="F142" i="32"/>
  <c r="E142" i="32"/>
  <c r="D142" i="32"/>
  <c r="C142" i="32"/>
  <c r="B142" i="32"/>
  <c r="M141" i="32"/>
  <c r="L141" i="32"/>
  <c r="K141" i="32"/>
  <c r="J141" i="32"/>
  <c r="I141" i="32"/>
  <c r="F141" i="32"/>
  <c r="E141" i="32"/>
  <c r="D141" i="32"/>
  <c r="C141" i="32"/>
  <c r="B141" i="32"/>
  <c r="M140" i="32"/>
  <c r="L140" i="32"/>
  <c r="K140" i="32"/>
  <c r="J140" i="32"/>
  <c r="I140" i="32"/>
  <c r="F140" i="32"/>
  <c r="E140" i="32"/>
  <c r="D140" i="32"/>
  <c r="C140" i="32"/>
  <c r="B140" i="32"/>
  <c r="M139" i="32"/>
  <c r="L139" i="32"/>
  <c r="K139" i="32"/>
  <c r="J139" i="32"/>
  <c r="I139" i="32"/>
  <c r="F139" i="32"/>
  <c r="E139" i="32"/>
  <c r="D139" i="32"/>
  <c r="C139" i="32"/>
  <c r="B139" i="32"/>
  <c r="M138" i="32"/>
  <c r="L138" i="32"/>
  <c r="K138" i="32"/>
  <c r="J138" i="32"/>
  <c r="I138" i="32"/>
  <c r="F138" i="32"/>
  <c r="E138" i="32"/>
  <c r="D138" i="32"/>
  <c r="C138" i="32"/>
  <c r="B138" i="32"/>
  <c r="M137" i="32"/>
  <c r="L137" i="32"/>
  <c r="K137" i="32"/>
  <c r="J137" i="32"/>
  <c r="I137" i="32"/>
  <c r="F137" i="32"/>
  <c r="E137" i="32"/>
  <c r="D137" i="32"/>
  <c r="C137" i="32"/>
  <c r="B137" i="32"/>
  <c r="G137" i="32" s="1"/>
  <c r="M136" i="32"/>
  <c r="L136" i="32"/>
  <c r="K136" i="32"/>
  <c r="J136" i="32"/>
  <c r="I136" i="32"/>
  <c r="F136" i="32"/>
  <c r="E136" i="32"/>
  <c r="D136" i="32"/>
  <c r="C136" i="32"/>
  <c r="B136" i="32"/>
  <c r="M135" i="32"/>
  <c r="L135" i="32"/>
  <c r="K135" i="32"/>
  <c r="J135" i="32"/>
  <c r="I135" i="32"/>
  <c r="F135" i="32"/>
  <c r="E135" i="32"/>
  <c r="D135" i="32"/>
  <c r="C135" i="32"/>
  <c r="B135" i="32"/>
  <c r="M134" i="32"/>
  <c r="L134" i="32"/>
  <c r="K134" i="32"/>
  <c r="J134" i="32"/>
  <c r="I134" i="32"/>
  <c r="F134" i="32"/>
  <c r="E134" i="32"/>
  <c r="D134" i="32"/>
  <c r="C134" i="32"/>
  <c r="B134" i="32"/>
  <c r="M133" i="32"/>
  <c r="L133" i="32"/>
  <c r="K133" i="32"/>
  <c r="J133" i="32"/>
  <c r="I133" i="32"/>
  <c r="F133" i="32"/>
  <c r="E133" i="32"/>
  <c r="D133" i="32"/>
  <c r="C133" i="32"/>
  <c r="B133" i="32"/>
  <c r="M132" i="32"/>
  <c r="L132" i="32"/>
  <c r="K132" i="32"/>
  <c r="J132" i="32"/>
  <c r="I132" i="32"/>
  <c r="F132" i="32"/>
  <c r="E132" i="32"/>
  <c r="D132" i="32"/>
  <c r="C132" i="32"/>
  <c r="B132" i="32"/>
  <c r="M131" i="32"/>
  <c r="L131" i="32"/>
  <c r="K131" i="32"/>
  <c r="J131" i="32"/>
  <c r="I131" i="32"/>
  <c r="F131" i="32"/>
  <c r="E131" i="32"/>
  <c r="D131" i="32"/>
  <c r="C131" i="32"/>
  <c r="B131" i="32"/>
  <c r="G131" i="32" s="1"/>
  <c r="M130" i="32"/>
  <c r="L130" i="32"/>
  <c r="K130" i="32"/>
  <c r="J130" i="32"/>
  <c r="I130" i="32"/>
  <c r="F130" i="32"/>
  <c r="E130" i="32"/>
  <c r="D130" i="32"/>
  <c r="C130" i="32"/>
  <c r="B130" i="32"/>
  <c r="M129" i="32"/>
  <c r="L129" i="32"/>
  <c r="K129" i="32"/>
  <c r="J129" i="32"/>
  <c r="I129" i="32"/>
  <c r="F129" i="32"/>
  <c r="E129" i="32"/>
  <c r="D129" i="32"/>
  <c r="C129" i="32"/>
  <c r="B129" i="32"/>
  <c r="M128" i="32"/>
  <c r="L128" i="32"/>
  <c r="K128" i="32"/>
  <c r="J128" i="32"/>
  <c r="I128" i="32"/>
  <c r="F128" i="32"/>
  <c r="E128" i="32"/>
  <c r="D128" i="32"/>
  <c r="C128" i="32"/>
  <c r="B128" i="32"/>
  <c r="M127" i="32"/>
  <c r="L127" i="32"/>
  <c r="K127" i="32"/>
  <c r="J127" i="32"/>
  <c r="I127" i="32"/>
  <c r="F127" i="32"/>
  <c r="E127" i="32"/>
  <c r="D127" i="32"/>
  <c r="C127" i="32"/>
  <c r="B127" i="32"/>
  <c r="M126" i="32"/>
  <c r="L126" i="32"/>
  <c r="K126" i="32"/>
  <c r="J126" i="32"/>
  <c r="I126" i="32"/>
  <c r="F126" i="32"/>
  <c r="E126" i="32"/>
  <c r="D126" i="32"/>
  <c r="C126" i="32"/>
  <c r="B126" i="32"/>
  <c r="M125" i="32"/>
  <c r="L125" i="32"/>
  <c r="K125" i="32"/>
  <c r="J125" i="32"/>
  <c r="I125" i="32"/>
  <c r="F125" i="32"/>
  <c r="E125" i="32"/>
  <c r="D125" i="32"/>
  <c r="C125" i="32"/>
  <c r="B125" i="32"/>
  <c r="G125" i="32" s="1"/>
  <c r="M124" i="32"/>
  <c r="L124" i="32"/>
  <c r="K124" i="32"/>
  <c r="J124" i="32"/>
  <c r="I124" i="32"/>
  <c r="F124" i="32"/>
  <c r="E124" i="32"/>
  <c r="D124" i="32"/>
  <c r="C124" i="32"/>
  <c r="B124" i="32"/>
  <c r="M123" i="32"/>
  <c r="L123" i="32"/>
  <c r="K123" i="32"/>
  <c r="J123" i="32"/>
  <c r="I123" i="32"/>
  <c r="F123" i="32"/>
  <c r="E123" i="32"/>
  <c r="D123" i="32"/>
  <c r="C123" i="32"/>
  <c r="B123" i="32"/>
  <c r="M122" i="32"/>
  <c r="L122" i="32"/>
  <c r="K122" i="32"/>
  <c r="J122" i="32"/>
  <c r="I122" i="32"/>
  <c r="F122" i="32"/>
  <c r="E122" i="32"/>
  <c r="D122" i="32"/>
  <c r="C122" i="32"/>
  <c r="B122" i="32"/>
  <c r="M121" i="32"/>
  <c r="L121" i="32"/>
  <c r="K121" i="32"/>
  <c r="J121" i="32"/>
  <c r="I121" i="32"/>
  <c r="F121" i="32"/>
  <c r="E121" i="32"/>
  <c r="D121" i="32"/>
  <c r="C121" i="32"/>
  <c r="B121" i="32"/>
  <c r="M120" i="32"/>
  <c r="L120" i="32"/>
  <c r="K120" i="32"/>
  <c r="J120" i="32"/>
  <c r="I120" i="32"/>
  <c r="F120" i="32"/>
  <c r="E120" i="32"/>
  <c r="D120" i="32"/>
  <c r="C120" i="32"/>
  <c r="B120" i="32"/>
  <c r="I119" i="32"/>
  <c r="N119" i="32" s="1"/>
  <c r="F119" i="32"/>
  <c r="C117" i="32"/>
  <c r="B117" i="32"/>
  <c r="G117" i="32" s="1"/>
  <c r="M116" i="32"/>
  <c r="L116" i="32"/>
  <c r="K116" i="32"/>
  <c r="J116" i="32"/>
  <c r="I116" i="32"/>
  <c r="F116" i="32"/>
  <c r="E116" i="32"/>
  <c r="D116" i="32"/>
  <c r="C116" i="32"/>
  <c r="B116" i="32"/>
  <c r="L115" i="32"/>
  <c r="E112" i="32"/>
  <c r="M111" i="32"/>
  <c r="L111" i="32"/>
  <c r="K111" i="32"/>
  <c r="J111" i="32"/>
  <c r="I111" i="32"/>
  <c r="F111" i="32"/>
  <c r="E111" i="32"/>
  <c r="D111" i="32"/>
  <c r="C111" i="32"/>
  <c r="B111" i="32"/>
  <c r="M110" i="32"/>
  <c r="L110" i="32"/>
  <c r="K110" i="32"/>
  <c r="J110" i="32"/>
  <c r="I110" i="32"/>
  <c r="F110" i="32"/>
  <c r="E110" i="32"/>
  <c r="D110" i="32"/>
  <c r="C110" i="32"/>
  <c r="B110" i="32"/>
  <c r="M109" i="32"/>
  <c r="L109" i="32"/>
  <c r="K108" i="32"/>
  <c r="J108" i="32"/>
  <c r="I107" i="32"/>
  <c r="N107" i="32" s="1"/>
  <c r="F107" i="32"/>
  <c r="M106" i="32"/>
  <c r="L106" i="32"/>
  <c r="K106" i="32"/>
  <c r="J106" i="32"/>
  <c r="I106" i="32"/>
  <c r="F106" i="32"/>
  <c r="E106" i="32"/>
  <c r="D106" i="32"/>
  <c r="C106" i="32"/>
  <c r="B106" i="32"/>
  <c r="M103" i="32"/>
  <c r="L103" i="32"/>
  <c r="M101" i="32"/>
  <c r="L101" i="32"/>
  <c r="K101" i="32"/>
  <c r="J101" i="32"/>
  <c r="I101" i="32"/>
  <c r="F101" i="32"/>
  <c r="E101" i="32"/>
  <c r="D101" i="32"/>
  <c r="C101" i="32"/>
  <c r="B101" i="32"/>
  <c r="G101" i="32" s="1"/>
  <c r="M100" i="32"/>
  <c r="L100" i="32"/>
  <c r="K100" i="32"/>
  <c r="J100" i="32"/>
  <c r="I100" i="32"/>
  <c r="F100" i="32"/>
  <c r="E100" i="32"/>
  <c r="D100" i="32"/>
  <c r="C100" i="32"/>
  <c r="B100" i="32"/>
  <c r="C99" i="32"/>
  <c r="B99" i="32"/>
  <c r="G99" i="32" s="1"/>
  <c r="M97" i="32"/>
  <c r="L97" i="32"/>
  <c r="M96" i="32"/>
  <c r="L96" i="32"/>
  <c r="K96" i="32"/>
  <c r="J96" i="32"/>
  <c r="I96" i="32"/>
  <c r="F96" i="32"/>
  <c r="E96" i="32"/>
  <c r="D96" i="32"/>
  <c r="C96" i="32"/>
  <c r="B96" i="32"/>
  <c r="F95" i="32"/>
  <c r="E94" i="32"/>
  <c r="M91" i="32"/>
  <c r="L91" i="32"/>
  <c r="K91" i="32"/>
  <c r="J91" i="32"/>
  <c r="I91" i="32"/>
  <c r="F91" i="32"/>
  <c r="E91" i="32"/>
  <c r="D91" i="32"/>
  <c r="C91" i="32"/>
  <c r="B91" i="32"/>
  <c r="M90" i="32"/>
  <c r="L90" i="32"/>
  <c r="K90" i="32"/>
  <c r="J90" i="32"/>
  <c r="I90" i="32"/>
  <c r="F90" i="32"/>
  <c r="E90" i="32"/>
  <c r="D90" i="32"/>
  <c r="C90" i="32"/>
  <c r="B90" i="32"/>
  <c r="I89" i="32"/>
  <c r="N89" i="32" s="1"/>
  <c r="F89" i="32"/>
  <c r="E88" i="32"/>
  <c r="D88" i="32"/>
  <c r="M86" i="32"/>
  <c r="L86" i="32"/>
  <c r="K86" i="32"/>
  <c r="J86" i="32"/>
  <c r="I86" i="32"/>
  <c r="F86" i="32"/>
  <c r="E86" i="32"/>
  <c r="D86" i="32"/>
  <c r="C86" i="32"/>
  <c r="B86" i="32"/>
  <c r="M85" i="32"/>
  <c r="F83" i="32"/>
  <c r="M81" i="32"/>
  <c r="L81" i="32"/>
  <c r="K81" i="32"/>
  <c r="J81" i="32"/>
  <c r="I81" i="32"/>
  <c r="N81" i="32" s="1"/>
  <c r="F81" i="32"/>
  <c r="E81" i="32"/>
  <c r="D81" i="32"/>
  <c r="C81" i="32"/>
  <c r="B81" i="32"/>
  <c r="M80" i="32"/>
  <c r="L80" i="32"/>
  <c r="K80" i="32"/>
  <c r="J80" i="32"/>
  <c r="I80" i="32"/>
  <c r="F80" i="32"/>
  <c r="E80" i="32"/>
  <c r="D80" i="32"/>
  <c r="C80" i="32"/>
  <c r="B80" i="32"/>
  <c r="C79" i="32"/>
  <c r="M77" i="32"/>
  <c r="M76" i="32"/>
  <c r="L76" i="32"/>
  <c r="K76" i="32"/>
  <c r="J76" i="32"/>
  <c r="I76" i="32"/>
  <c r="F76" i="32"/>
  <c r="E76" i="32"/>
  <c r="D76" i="32"/>
  <c r="C76" i="32"/>
  <c r="B76" i="32"/>
  <c r="M71" i="32"/>
  <c r="L71" i="32"/>
  <c r="K71" i="32"/>
  <c r="J71" i="32"/>
  <c r="I71" i="32"/>
  <c r="N71" i="32" s="1"/>
  <c r="F71" i="32"/>
  <c r="E71" i="32"/>
  <c r="D71" i="32"/>
  <c r="C71" i="32"/>
  <c r="B71" i="32"/>
  <c r="G71" i="32" s="1"/>
  <c r="M70" i="32"/>
  <c r="L70" i="32"/>
  <c r="K70" i="32"/>
  <c r="J70" i="32"/>
  <c r="I70" i="32"/>
  <c r="F70" i="32"/>
  <c r="E70" i="32"/>
  <c r="D70" i="32"/>
  <c r="C70" i="32"/>
  <c r="B70" i="32"/>
  <c r="M66" i="32"/>
  <c r="L66" i="32"/>
  <c r="K66" i="32"/>
  <c r="J66" i="32"/>
  <c r="I66" i="32"/>
  <c r="F66" i="32"/>
  <c r="E66" i="32"/>
  <c r="D66" i="32"/>
  <c r="C66" i="32"/>
  <c r="B66" i="32"/>
  <c r="G66" i="32" s="1"/>
  <c r="M65" i="32"/>
  <c r="E62" i="32"/>
  <c r="M61" i="32"/>
  <c r="L61" i="32"/>
  <c r="K61" i="32"/>
  <c r="J61" i="32"/>
  <c r="I61" i="32"/>
  <c r="F61" i="32"/>
  <c r="E61" i="32"/>
  <c r="D61" i="32"/>
  <c r="C61" i="32"/>
  <c r="B61" i="32"/>
  <c r="M60" i="32"/>
  <c r="L60" i="32"/>
  <c r="K60" i="32"/>
  <c r="J60" i="32"/>
  <c r="I60" i="32"/>
  <c r="F60" i="32"/>
  <c r="E60" i="32"/>
  <c r="D60" i="32"/>
  <c r="C60" i="32"/>
  <c r="B60" i="32"/>
  <c r="G60" i="32" s="1"/>
  <c r="M59" i="32"/>
  <c r="K58" i="32"/>
  <c r="I57" i="32"/>
  <c r="N57" i="32" s="1"/>
  <c r="M56" i="32"/>
  <c r="L56" i="32"/>
  <c r="K56" i="32"/>
  <c r="J56" i="32"/>
  <c r="I56" i="32"/>
  <c r="F56" i="32"/>
  <c r="E56" i="32"/>
  <c r="D56" i="32"/>
  <c r="C56" i="32"/>
  <c r="B56" i="32"/>
  <c r="M53" i="32"/>
  <c r="M51" i="32"/>
  <c r="L51" i="32"/>
  <c r="K51" i="32"/>
  <c r="J51" i="32"/>
  <c r="I51" i="32"/>
  <c r="N51" i="32" s="1"/>
  <c r="F51" i="32"/>
  <c r="E51" i="32"/>
  <c r="D51" i="32"/>
  <c r="C51" i="32"/>
  <c r="B51" i="32"/>
  <c r="M50" i="32"/>
  <c r="L50" i="32"/>
  <c r="K50" i="32"/>
  <c r="J50" i="32"/>
  <c r="I50" i="32"/>
  <c r="F50" i="32"/>
  <c r="E50" i="32"/>
  <c r="D50" i="32"/>
  <c r="C50" i="32"/>
  <c r="B50" i="32"/>
  <c r="C49" i="32"/>
  <c r="M46" i="32"/>
  <c r="L46" i="32"/>
  <c r="K46" i="32"/>
  <c r="J46" i="32"/>
  <c r="I46" i="32"/>
  <c r="F46" i="32"/>
  <c r="E46" i="32"/>
  <c r="D46" i="32"/>
  <c r="C46" i="32"/>
  <c r="B46" i="32"/>
  <c r="I45" i="32"/>
  <c r="M41" i="32"/>
  <c r="L41" i="32"/>
  <c r="K41" i="32"/>
  <c r="J41" i="32"/>
  <c r="I41" i="32"/>
  <c r="N41" i="32" s="1"/>
  <c r="F41" i="32"/>
  <c r="E41" i="32"/>
  <c r="D41" i="32"/>
  <c r="C41" i="32"/>
  <c r="B41" i="32"/>
  <c r="G41" i="32" s="1"/>
  <c r="M40" i="32"/>
  <c r="L40" i="32"/>
  <c r="K40" i="32"/>
  <c r="J40" i="32"/>
  <c r="I40" i="32"/>
  <c r="F40" i="32"/>
  <c r="E40" i="32"/>
  <c r="D40" i="32"/>
  <c r="C40" i="32"/>
  <c r="B40" i="32"/>
  <c r="D39" i="32"/>
  <c r="E38" i="32"/>
  <c r="M36" i="32"/>
  <c r="L36" i="32"/>
  <c r="K36" i="32"/>
  <c r="J36" i="32"/>
  <c r="I36" i="32"/>
  <c r="F36" i="32"/>
  <c r="E36" i="32"/>
  <c r="D36" i="32"/>
  <c r="C36" i="32"/>
  <c r="B36" i="32"/>
  <c r="G36" i="32" s="1"/>
  <c r="F34" i="32"/>
  <c r="M31" i="32"/>
  <c r="L31" i="32"/>
  <c r="K31" i="32"/>
  <c r="J31" i="32"/>
  <c r="I31" i="32"/>
  <c r="F31" i="32"/>
  <c r="E31" i="32"/>
  <c r="D31" i="32"/>
  <c r="C31" i="32"/>
  <c r="B31" i="32"/>
  <c r="M30" i="32"/>
  <c r="L30" i="32"/>
  <c r="K30" i="32"/>
  <c r="J30" i="32"/>
  <c r="I30" i="32"/>
  <c r="F30" i="32"/>
  <c r="E30" i="32"/>
  <c r="D30" i="32"/>
  <c r="C30" i="32"/>
  <c r="B30" i="32"/>
  <c r="G30" i="32" s="1"/>
  <c r="M29" i="32"/>
  <c r="J29" i="32"/>
  <c r="K28" i="32"/>
  <c r="F28" i="32"/>
  <c r="M26" i="32"/>
  <c r="L26" i="32"/>
  <c r="K26" i="32"/>
  <c r="J26" i="32"/>
  <c r="I26" i="32"/>
  <c r="F26" i="32"/>
  <c r="E26" i="32"/>
  <c r="D26" i="32"/>
  <c r="C26" i="32"/>
  <c r="B26" i="32"/>
  <c r="L24" i="32"/>
  <c r="M23" i="32"/>
  <c r="F22" i="32"/>
  <c r="M21" i="32"/>
  <c r="L21" i="32"/>
  <c r="K21" i="32"/>
  <c r="J21" i="32"/>
  <c r="I21" i="32"/>
  <c r="N21" i="32" s="1"/>
  <c r="F21" i="32"/>
  <c r="E21" i="32"/>
  <c r="D21" i="32"/>
  <c r="C21" i="32"/>
  <c r="B21" i="32"/>
  <c r="M20" i="32"/>
  <c r="L20" i="32"/>
  <c r="K20" i="32"/>
  <c r="J20" i="32"/>
  <c r="I20" i="32"/>
  <c r="F20" i="32"/>
  <c r="E20" i="32"/>
  <c r="D20" i="32"/>
  <c r="C20" i="32"/>
  <c r="B20" i="32"/>
  <c r="C19" i="32"/>
  <c r="L18" i="32"/>
  <c r="M17" i="32"/>
  <c r="M16" i="32"/>
  <c r="L16" i="32"/>
  <c r="K16" i="32"/>
  <c r="J16" i="32"/>
  <c r="I16" i="32"/>
  <c r="F16" i="32"/>
  <c r="E16" i="32"/>
  <c r="D16" i="32"/>
  <c r="C16" i="32"/>
  <c r="B16" i="32"/>
  <c r="L12" i="32"/>
  <c r="M11" i="32"/>
  <c r="L11" i="32"/>
  <c r="K11" i="32"/>
  <c r="J11" i="32"/>
  <c r="I11" i="32"/>
  <c r="N11" i="32" s="1"/>
  <c r="F11" i="32"/>
  <c r="E11" i="32"/>
  <c r="D11" i="32"/>
  <c r="C11" i="32"/>
  <c r="B11" i="32"/>
  <c r="G11" i="32" s="1"/>
  <c r="M10" i="32"/>
  <c r="L10" i="32"/>
  <c r="K10" i="32"/>
  <c r="J10" i="32"/>
  <c r="I10" i="32"/>
  <c r="F10" i="32"/>
  <c r="E10" i="32"/>
  <c r="D10" i="32"/>
  <c r="C10" i="32"/>
  <c r="B10" i="32"/>
  <c r="I9" i="32"/>
  <c r="N9" i="32" s="1"/>
  <c r="D9" i="32"/>
  <c r="M6" i="32"/>
  <c r="L6" i="32"/>
  <c r="K6" i="32"/>
  <c r="J6" i="32"/>
  <c r="I6" i="32"/>
  <c r="F6" i="32"/>
  <c r="E6" i="32"/>
  <c r="D6" i="32"/>
  <c r="C6" i="32"/>
  <c r="B6" i="32"/>
  <c r="G6" i="32" s="1"/>
  <c r="N286" i="32"/>
  <c r="G286" i="32"/>
  <c r="N285" i="32"/>
  <c r="G285" i="32"/>
  <c r="N284" i="32"/>
  <c r="G284" i="32"/>
  <c r="N283" i="32"/>
  <c r="G283" i="32"/>
  <c r="N282" i="32"/>
  <c r="G282" i="32"/>
  <c r="N281" i="32"/>
  <c r="N280" i="32"/>
  <c r="G280" i="32"/>
  <c r="N279" i="32"/>
  <c r="G279" i="32"/>
  <c r="N278" i="32"/>
  <c r="G278" i="32"/>
  <c r="N277" i="32"/>
  <c r="G277" i="32"/>
  <c r="N276" i="32"/>
  <c r="G276" i="32"/>
  <c r="N275" i="32"/>
  <c r="N274" i="32"/>
  <c r="G274" i="32"/>
  <c r="N273" i="32"/>
  <c r="G273" i="32"/>
  <c r="N272" i="32"/>
  <c r="G272" i="32"/>
  <c r="N271" i="32"/>
  <c r="G271" i="32"/>
  <c r="N270" i="32"/>
  <c r="G270" i="32"/>
  <c r="N269" i="32"/>
  <c r="N268" i="32"/>
  <c r="G268" i="32"/>
  <c r="N267" i="32"/>
  <c r="G267" i="32"/>
  <c r="N266" i="32"/>
  <c r="G266" i="32"/>
  <c r="N265" i="32"/>
  <c r="G265" i="32"/>
  <c r="N264" i="32"/>
  <c r="G264" i="32"/>
  <c r="N263" i="32"/>
  <c r="N262" i="32"/>
  <c r="G262" i="32"/>
  <c r="N261" i="32"/>
  <c r="G261" i="32"/>
  <c r="N260" i="32"/>
  <c r="G260" i="32"/>
  <c r="N259" i="32"/>
  <c r="G259" i="32"/>
  <c r="N258" i="32"/>
  <c r="G258" i="32"/>
  <c r="N257" i="32"/>
  <c r="N256" i="32"/>
  <c r="G256" i="32"/>
  <c r="N255" i="32"/>
  <c r="G255" i="32"/>
  <c r="N254" i="32"/>
  <c r="G254" i="32"/>
  <c r="N253" i="32"/>
  <c r="G253" i="32"/>
  <c r="N252" i="32"/>
  <c r="G252" i="32"/>
  <c r="N251" i="32"/>
  <c r="N250" i="32"/>
  <c r="G250" i="32"/>
  <c r="N249" i="32"/>
  <c r="G249" i="32"/>
  <c r="N248" i="32"/>
  <c r="G248" i="32"/>
  <c r="N247" i="32"/>
  <c r="G247" i="32"/>
  <c r="N246" i="32"/>
  <c r="G246" i="32"/>
  <c r="N245" i="32"/>
  <c r="N244" i="32"/>
  <c r="G244" i="32"/>
  <c r="N243" i="32"/>
  <c r="G243" i="32"/>
  <c r="N242" i="32"/>
  <c r="G242" i="32"/>
  <c r="N241" i="32"/>
  <c r="G241" i="32"/>
  <c r="N240" i="32"/>
  <c r="G240" i="32"/>
  <c r="N239" i="32"/>
  <c r="N238" i="32"/>
  <c r="G238" i="32"/>
  <c r="N237" i="32"/>
  <c r="G237" i="32"/>
  <c r="N236" i="32"/>
  <c r="G236" i="32"/>
  <c r="N235" i="32"/>
  <c r="G235" i="32"/>
  <c r="N234" i="32"/>
  <c r="G234" i="32"/>
  <c r="N233" i="32"/>
  <c r="N232" i="32"/>
  <c r="G232" i="32"/>
  <c r="N231" i="32"/>
  <c r="G231" i="32"/>
  <c r="N230" i="32"/>
  <c r="G230" i="32"/>
  <c r="N229" i="32"/>
  <c r="G229" i="32"/>
  <c r="N228" i="32"/>
  <c r="G228" i="32"/>
  <c r="N227" i="32"/>
  <c r="N226" i="32"/>
  <c r="G226" i="32"/>
  <c r="N225" i="32"/>
  <c r="G225" i="32"/>
  <c r="N224" i="32"/>
  <c r="G224" i="32"/>
  <c r="N223" i="32"/>
  <c r="G223" i="32"/>
  <c r="N222" i="32"/>
  <c r="G222" i="32"/>
  <c r="N221" i="32"/>
  <c r="N220" i="32"/>
  <c r="G220" i="32"/>
  <c r="N219" i="32"/>
  <c r="G219" i="32"/>
  <c r="N218" i="32"/>
  <c r="G218" i="32"/>
  <c r="N217" i="32"/>
  <c r="G217" i="32"/>
  <c r="N216" i="32"/>
  <c r="G216" i="32"/>
  <c r="N215" i="32"/>
  <c r="N214" i="32"/>
  <c r="G214" i="32"/>
  <c r="N213" i="32"/>
  <c r="G213" i="32"/>
  <c r="N212" i="32"/>
  <c r="G212" i="32"/>
  <c r="N211" i="32"/>
  <c r="G211" i="32"/>
  <c r="N210" i="32"/>
  <c r="G210" i="32"/>
  <c r="N209" i="32"/>
  <c r="N208" i="32"/>
  <c r="G208" i="32"/>
  <c r="N207" i="32"/>
  <c r="G207" i="32"/>
  <c r="N206" i="32"/>
  <c r="G206" i="32"/>
  <c r="N205" i="32"/>
  <c r="G205" i="32"/>
  <c r="N204" i="32"/>
  <c r="G204" i="32"/>
  <c r="N203" i="32"/>
  <c r="N202" i="32"/>
  <c r="G202" i="32"/>
  <c r="N201" i="32"/>
  <c r="G201" i="32"/>
  <c r="N200" i="32"/>
  <c r="G200" i="32"/>
  <c r="N199" i="32"/>
  <c r="G199" i="32"/>
  <c r="N198" i="32"/>
  <c r="G198" i="32"/>
  <c r="N197" i="32"/>
  <c r="N196" i="32"/>
  <c r="G196" i="32"/>
  <c r="N195" i="32"/>
  <c r="G195" i="32"/>
  <c r="N194" i="32"/>
  <c r="G194" i="32"/>
  <c r="N193" i="32"/>
  <c r="G193" i="32"/>
  <c r="N192" i="32"/>
  <c r="G192" i="32"/>
  <c r="N191" i="32"/>
  <c r="N190" i="32"/>
  <c r="G190" i="32"/>
  <c r="N189" i="32"/>
  <c r="G189" i="32"/>
  <c r="N188" i="32"/>
  <c r="G188" i="32"/>
  <c r="N187" i="32"/>
  <c r="G187" i="32"/>
  <c r="N186" i="32"/>
  <c r="G186" i="32"/>
  <c r="N185" i="32"/>
  <c r="N184" i="32"/>
  <c r="G184" i="32"/>
  <c r="N183" i="32"/>
  <c r="G183" i="32"/>
  <c r="N182" i="32"/>
  <c r="G182" i="32"/>
  <c r="N181" i="32"/>
  <c r="G181" i="32"/>
  <c r="N180" i="32"/>
  <c r="G180" i="32"/>
  <c r="N179" i="32"/>
  <c r="N178" i="32"/>
  <c r="G178" i="32"/>
  <c r="N177" i="32"/>
  <c r="G177" i="32"/>
  <c r="N176" i="32"/>
  <c r="G176" i="32"/>
  <c r="N175" i="32"/>
  <c r="G175" i="32"/>
  <c r="N174" i="32"/>
  <c r="G174" i="32"/>
  <c r="N173" i="32"/>
  <c r="N172" i="32"/>
  <c r="G172" i="32"/>
  <c r="N171" i="32"/>
  <c r="G171" i="32"/>
  <c r="N170" i="32"/>
  <c r="G170" i="32"/>
  <c r="N169" i="32"/>
  <c r="G169" i="32"/>
  <c r="N168" i="32"/>
  <c r="G168" i="32"/>
  <c r="N167" i="32"/>
  <c r="N166" i="32"/>
  <c r="G166" i="32"/>
  <c r="N165" i="32"/>
  <c r="G165" i="32"/>
  <c r="N164" i="32"/>
  <c r="G164" i="32"/>
  <c r="N163" i="32"/>
  <c r="G163" i="32"/>
  <c r="N162" i="32"/>
  <c r="G162" i="32"/>
  <c r="N161" i="32"/>
  <c r="N160" i="32"/>
  <c r="G160" i="32"/>
  <c r="N159" i="32"/>
  <c r="G159" i="32"/>
  <c r="N158" i="32"/>
  <c r="G158" i="32"/>
  <c r="N157" i="32"/>
  <c r="G157" i="32"/>
  <c r="N156" i="32"/>
  <c r="G156" i="32"/>
  <c r="N155" i="32"/>
  <c r="N154" i="32"/>
  <c r="G154" i="32"/>
  <c r="N153" i="32"/>
  <c r="G153" i="32"/>
  <c r="N152" i="32"/>
  <c r="G152" i="32"/>
  <c r="N151" i="32"/>
  <c r="G151" i="32"/>
  <c r="N150" i="32"/>
  <c r="G150" i="32"/>
  <c r="N149" i="32"/>
  <c r="N148" i="32"/>
  <c r="G148" i="32"/>
  <c r="N147" i="32"/>
  <c r="G147" i="32"/>
  <c r="N146" i="32"/>
  <c r="G146" i="32"/>
  <c r="N145" i="32"/>
  <c r="G145" i="32"/>
  <c r="N144" i="32"/>
  <c r="G144" i="32"/>
  <c r="N143" i="32"/>
  <c r="N142" i="32"/>
  <c r="G142" i="32"/>
  <c r="N141" i="32"/>
  <c r="G141" i="32"/>
  <c r="N140" i="32"/>
  <c r="G140" i="32"/>
  <c r="N139" i="32"/>
  <c r="G139" i="32"/>
  <c r="N138" i="32"/>
  <c r="G138" i="32"/>
  <c r="N137" i="32"/>
  <c r="N136" i="32"/>
  <c r="G136" i="32"/>
  <c r="N135" i="32"/>
  <c r="G135" i="32"/>
  <c r="N134" i="32"/>
  <c r="G134" i="32"/>
  <c r="N133" i="32"/>
  <c r="G133" i="32"/>
  <c r="N132" i="32"/>
  <c r="G132" i="32"/>
  <c r="N131" i="32"/>
  <c r="N130" i="32"/>
  <c r="G130" i="32"/>
  <c r="N129" i="32"/>
  <c r="G129" i="32"/>
  <c r="N128" i="32"/>
  <c r="G128" i="32"/>
  <c r="N127" i="32"/>
  <c r="G127" i="32"/>
  <c r="N126" i="32"/>
  <c r="G126" i="32"/>
  <c r="N125" i="32"/>
  <c r="N124" i="32"/>
  <c r="G124" i="32"/>
  <c r="N123" i="32"/>
  <c r="G123" i="32"/>
  <c r="N122" i="32"/>
  <c r="G122" i="32"/>
  <c r="N121" i="32"/>
  <c r="G121" i="32"/>
  <c r="N120" i="32"/>
  <c r="G120" i="32"/>
  <c r="N116" i="32"/>
  <c r="G116" i="32"/>
  <c r="N111" i="32"/>
  <c r="G111" i="32"/>
  <c r="N110" i="32"/>
  <c r="G110" i="32"/>
  <c r="N106" i="32"/>
  <c r="G106" i="32"/>
  <c r="N101" i="32"/>
  <c r="N100" i="32"/>
  <c r="G100" i="32"/>
  <c r="N96" i="32"/>
  <c r="G96" i="32"/>
  <c r="N91" i="32"/>
  <c r="G91" i="32"/>
  <c r="N90" i="32"/>
  <c r="G90" i="32"/>
  <c r="N86" i="32"/>
  <c r="G86" i="32"/>
  <c r="G81" i="32"/>
  <c r="N80" i="32"/>
  <c r="G80" i="32"/>
  <c r="N76" i="32"/>
  <c r="G76" i="32"/>
  <c r="N70" i="32"/>
  <c r="G70" i="32"/>
  <c r="N66" i="32"/>
  <c r="N61" i="32"/>
  <c r="G61" i="32"/>
  <c r="N60" i="32"/>
  <c r="N56" i="32"/>
  <c r="G56" i="32"/>
  <c r="G51" i="32"/>
  <c r="N50" i="32"/>
  <c r="G50" i="32"/>
  <c r="N46" i="32"/>
  <c r="G46" i="32"/>
  <c r="N40" i="32"/>
  <c r="G40" i="32"/>
  <c r="N36" i="32"/>
  <c r="N31" i="32"/>
  <c r="G31" i="32"/>
  <c r="N30" i="32"/>
  <c r="N26" i="32"/>
  <c r="G26" i="32"/>
  <c r="G21" i="32"/>
  <c r="N20" i="32"/>
  <c r="G20" i="32"/>
  <c r="N16" i="32"/>
  <c r="G16" i="32"/>
  <c r="N10" i="32"/>
  <c r="G10" i="32"/>
  <c r="N6" i="32"/>
  <c r="M286" i="31"/>
  <c r="L286" i="31"/>
  <c r="K286" i="31"/>
  <c r="J286" i="31"/>
  <c r="I286" i="31"/>
  <c r="F286" i="31"/>
  <c r="E286" i="31"/>
  <c r="D286" i="31"/>
  <c r="C286" i="31"/>
  <c r="B286" i="31"/>
  <c r="M285" i="31"/>
  <c r="L285" i="31"/>
  <c r="K285" i="31"/>
  <c r="J285" i="31"/>
  <c r="I285" i="31"/>
  <c r="F285" i="31"/>
  <c r="E285" i="31"/>
  <c r="D285" i="31"/>
  <c r="C285" i="31"/>
  <c r="B285" i="31"/>
  <c r="M284" i="31"/>
  <c r="L284" i="31"/>
  <c r="K284" i="31"/>
  <c r="J284" i="31"/>
  <c r="I284" i="31"/>
  <c r="F284" i="31"/>
  <c r="E284" i="31"/>
  <c r="D284" i="31"/>
  <c r="C284" i="31"/>
  <c r="B284" i="31"/>
  <c r="M283" i="31"/>
  <c r="L283" i="31"/>
  <c r="K283" i="31"/>
  <c r="J283" i="31"/>
  <c r="I283" i="31"/>
  <c r="F283" i="31"/>
  <c r="E283" i="31"/>
  <c r="D283" i="31"/>
  <c r="C283" i="31"/>
  <c r="B283" i="31"/>
  <c r="M282" i="31"/>
  <c r="L282" i="31"/>
  <c r="K282" i="31"/>
  <c r="J282" i="31"/>
  <c r="I282" i="31"/>
  <c r="F282" i="31"/>
  <c r="E282" i="31"/>
  <c r="D282" i="31"/>
  <c r="C282" i="31"/>
  <c r="B282" i="31"/>
  <c r="M281" i="31"/>
  <c r="L281" i="31"/>
  <c r="K281" i="31"/>
  <c r="J281" i="31"/>
  <c r="I281" i="31"/>
  <c r="F281" i="31"/>
  <c r="E281" i="31"/>
  <c r="D281" i="31"/>
  <c r="C281" i="31"/>
  <c r="B281" i="31"/>
  <c r="G281" i="31" s="1"/>
  <c r="M280" i="31"/>
  <c r="L280" i="31"/>
  <c r="K280" i="31"/>
  <c r="J280" i="31"/>
  <c r="I280" i="31"/>
  <c r="F280" i="31"/>
  <c r="E280" i="31"/>
  <c r="D280" i="31"/>
  <c r="C280" i="31"/>
  <c r="B280" i="31"/>
  <c r="M279" i="31"/>
  <c r="L279" i="31"/>
  <c r="K279" i="31"/>
  <c r="J279" i="31"/>
  <c r="I279" i="31"/>
  <c r="F279" i="31"/>
  <c r="E279" i="31"/>
  <c r="D279" i="31"/>
  <c r="C279" i="31"/>
  <c r="B279" i="31"/>
  <c r="M278" i="31"/>
  <c r="L278" i="31"/>
  <c r="K278" i="31"/>
  <c r="J278" i="31"/>
  <c r="I278" i="31"/>
  <c r="F278" i="31"/>
  <c r="E278" i="31"/>
  <c r="D278" i="31"/>
  <c r="C278" i="31"/>
  <c r="B278" i="31"/>
  <c r="M277" i="31"/>
  <c r="L277" i="31"/>
  <c r="K277" i="31"/>
  <c r="J277" i="31"/>
  <c r="I277" i="31"/>
  <c r="F277" i="31"/>
  <c r="E277" i="31"/>
  <c r="D277" i="31"/>
  <c r="C277" i="31"/>
  <c r="B277" i="31"/>
  <c r="M276" i="31"/>
  <c r="L276" i="31"/>
  <c r="K276" i="31"/>
  <c r="J276" i="31"/>
  <c r="I276" i="31"/>
  <c r="F276" i="31"/>
  <c r="E276" i="31"/>
  <c r="D276" i="31"/>
  <c r="C276" i="31"/>
  <c r="B276" i="31"/>
  <c r="M275" i="31"/>
  <c r="L275" i="31"/>
  <c r="K275" i="31"/>
  <c r="J275" i="31"/>
  <c r="I275" i="31"/>
  <c r="F275" i="31"/>
  <c r="E275" i="31"/>
  <c r="D275" i="31"/>
  <c r="C275" i="31"/>
  <c r="B275" i="31"/>
  <c r="G275" i="31" s="1"/>
  <c r="M274" i="31"/>
  <c r="L274" i="31"/>
  <c r="K274" i="31"/>
  <c r="J274" i="31"/>
  <c r="I274" i="31"/>
  <c r="F274" i="31"/>
  <c r="E274" i="31"/>
  <c r="D274" i="31"/>
  <c r="C274" i="31"/>
  <c r="B274" i="31"/>
  <c r="M273" i="31"/>
  <c r="L273" i="31"/>
  <c r="K273" i="31"/>
  <c r="J273" i="31"/>
  <c r="I273" i="31"/>
  <c r="F273" i="31"/>
  <c r="E273" i="31"/>
  <c r="D273" i="31"/>
  <c r="C273" i="31"/>
  <c r="B273" i="31"/>
  <c r="M272" i="31"/>
  <c r="L272" i="31"/>
  <c r="K272" i="31"/>
  <c r="J272" i="31"/>
  <c r="I272" i="31"/>
  <c r="F272" i="31"/>
  <c r="E272" i="31"/>
  <c r="D272" i="31"/>
  <c r="C272" i="31"/>
  <c r="B272" i="31"/>
  <c r="M271" i="31"/>
  <c r="L271" i="31"/>
  <c r="K271" i="31"/>
  <c r="J271" i="31"/>
  <c r="I271" i="31"/>
  <c r="F271" i="31"/>
  <c r="E271" i="31"/>
  <c r="D271" i="31"/>
  <c r="C271" i="31"/>
  <c r="B271" i="31"/>
  <c r="M270" i="31"/>
  <c r="L270" i="31"/>
  <c r="K270" i="31"/>
  <c r="J270" i="31"/>
  <c r="I270" i="31"/>
  <c r="F270" i="31"/>
  <c r="E270" i="31"/>
  <c r="D270" i="31"/>
  <c r="C270" i="31"/>
  <c r="B270" i="31"/>
  <c r="M269" i="31"/>
  <c r="L269" i="31"/>
  <c r="K269" i="31"/>
  <c r="J269" i="31"/>
  <c r="I269" i="31"/>
  <c r="F269" i="31"/>
  <c r="E269" i="31"/>
  <c r="D269" i="31"/>
  <c r="C269" i="31"/>
  <c r="B269" i="31"/>
  <c r="G269" i="31" s="1"/>
  <c r="M268" i="31"/>
  <c r="L268" i="31"/>
  <c r="K268" i="31"/>
  <c r="J268" i="31"/>
  <c r="I268" i="31"/>
  <c r="F268" i="31"/>
  <c r="E268" i="31"/>
  <c r="D268" i="31"/>
  <c r="C268" i="31"/>
  <c r="B268" i="31"/>
  <c r="M267" i="31"/>
  <c r="L267" i="31"/>
  <c r="K267" i="31"/>
  <c r="J267" i="31"/>
  <c r="I267" i="31"/>
  <c r="F267" i="31"/>
  <c r="E267" i="31"/>
  <c r="D267" i="31"/>
  <c r="C267" i="31"/>
  <c r="B267" i="31"/>
  <c r="M266" i="31"/>
  <c r="L266" i="31"/>
  <c r="K266" i="31"/>
  <c r="J266" i="31"/>
  <c r="I266" i="31"/>
  <c r="F266" i="31"/>
  <c r="E266" i="31"/>
  <c r="D266" i="31"/>
  <c r="C266" i="31"/>
  <c r="B266" i="31"/>
  <c r="M265" i="31"/>
  <c r="L265" i="31"/>
  <c r="K265" i="31"/>
  <c r="J265" i="31"/>
  <c r="I265" i="31"/>
  <c r="F265" i="31"/>
  <c r="E265" i="31"/>
  <c r="D265" i="31"/>
  <c r="C265" i="31"/>
  <c r="B265" i="31"/>
  <c r="M264" i="31"/>
  <c r="L264" i="31"/>
  <c r="K264" i="31"/>
  <c r="J264" i="31"/>
  <c r="I264" i="31"/>
  <c r="F264" i="31"/>
  <c r="E264" i="31"/>
  <c r="D264" i="31"/>
  <c r="C264" i="31"/>
  <c r="B264" i="31"/>
  <c r="M263" i="31"/>
  <c r="L263" i="31"/>
  <c r="K263" i="31"/>
  <c r="J263" i="31"/>
  <c r="I263" i="31"/>
  <c r="F263" i="31"/>
  <c r="E263" i="31"/>
  <c r="D263" i="31"/>
  <c r="C263" i="31"/>
  <c r="B263" i="31"/>
  <c r="G263" i="31" s="1"/>
  <c r="M262" i="31"/>
  <c r="L262" i="31"/>
  <c r="K262" i="31"/>
  <c r="J262" i="31"/>
  <c r="I262" i="31"/>
  <c r="F262" i="31"/>
  <c r="E262" i="31"/>
  <c r="D262" i="31"/>
  <c r="C262" i="31"/>
  <c r="B262" i="31"/>
  <c r="M261" i="31"/>
  <c r="L261" i="31"/>
  <c r="K261" i="31"/>
  <c r="J261" i="31"/>
  <c r="I261" i="31"/>
  <c r="F261" i="31"/>
  <c r="E261" i="31"/>
  <c r="D261" i="31"/>
  <c r="C261" i="31"/>
  <c r="B261" i="31"/>
  <c r="M260" i="31"/>
  <c r="L260" i="31"/>
  <c r="K260" i="31"/>
  <c r="J260" i="31"/>
  <c r="I260" i="31"/>
  <c r="F260" i="31"/>
  <c r="E260" i="31"/>
  <c r="D260" i="31"/>
  <c r="C260" i="31"/>
  <c r="B260" i="31"/>
  <c r="M259" i="31"/>
  <c r="L259" i="31"/>
  <c r="K259" i="31"/>
  <c r="J259" i="31"/>
  <c r="I259" i="31"/>
  <c r="F259" i="31"/>
  <c r="E259" i="31"/>
  <c r="D259" i="31"/>
  <c r="C259" i="31"/>
  <c r="B259" i="31"/>
  <c r="M258" i="31"/>
  <c r="L258" i="31"/>
  <c r="K258" i="31"/>
  <c r="J258" i="31"/>
  <c r="I258" i="31"/>
  <c r="F258" i="31"/>
  <c r="E258" i="31"/>
  <c r="D258" i="31"/>
  <c r="C258" i="31"/>
  <c r="B258" i="31"/>
  <c r="M257" i="31"/>
  <c r="L257" i="31"/>
  <c r="K257" i="31"/>
  <c r="J257" i="31"/>
  <c r="I257" i="31"/>
  <c r="F257" i="31"/>
  <c r="E257" i="31"/>
  <c r="D257" i="31"/>
  <c r="C257" i="31"/>
  <c r="B257" i="31"/>
  <c r="G257" i="31" s="1"/>
  <c r="M256" i="31"/>
  <c r="L256" i="31"/>
  <c r="K256" i="31"/>
  <c r="J256" i="31"/>
  <c r="I256" i="31"/>
  <c r="F256" i="31"/>
  <c r="E256" i="31"/>
  <c r="D256" i="31"/>
  <c r="C256" i="31"/>
  <c r="B256" i="31"/>
  <c r="M255" i="31"/>
  <c r="L255" i="31"/>
  <c r="K255" i="31"/>
  <c r="J255" i="31"/>
  <c r="I255" i="31"/>
  <c r="F255" i="31"/>
  <c r="E255" i="31"/>
  <c r="D255" i="31"/>
  <c r="C255" i="31"/>
  <c r="B255" i="31"/>
  <c r="M254" i="31"/>
  <c r="L254" i="31"/>
  <c r="K254" i="31"/>
  <c r="J254" i="31"/>
  <c r="I254" i="31"/>
  <c r="F254" i="31"/>
  <c r="E254" i="31"/>
  <c r="D254" i="31"/>
  <c r="C254" i="31"/>
  <c r="B254" i="31"/>
  <c r="M253" i="31"/>
  <c r="L253" i="31"/>
  <c r="K253" i="31"/>
  <c r="J253" i="31"/>
  <c r="I253" i="31"/>
  <c r="F253" i="31"/>
  <c r="E253" i="31"/>
  <c r="D253" i="31"/>
  <c r="C253" i="31"/>
  <c r="B253" i="31"/>
  <c r="M252" i="31"/>
  <c r="L252" i="31"/>
  <c r="K252" i="31"/>
  <c r="J252" i="31"/>
  <c r="I252" i="31"/>
  <c r="F252" i="31"/>
  <c r="E252" i="31"/>
  <c r="D252" i="31"/>
  <c r="C252" i="31"/>
  <c r="B252" i="31"/>
  <c r="M251" i="31"/>
  <c r="L251" i="31"/>
  <c r="K251" i="31"/>
  <c r="J251" i="31"/>
  <c r="I251" i="31"/>
  <c r="F251" i="31"/>
  <c r="E251" i="31"/>
  <c r="D251" i="31"/>
  <c r="C251" i="31"/>
  <c r="B251" i="31"/>
  <c r="G251" i="31" s="1"/>
  <c r="M250" i="31"/>
  <c r="L250" i="31"/>
  <c r="K250" i="31"/>
  <c r="J250" i="31"/>
  <c r="I250" i="31"/>
  <c r="F250" i="31"/>
  <c r="E250" i="31"/>
  <c r="D250" i="31"/>
  <c r="C250" i="31"/>
  <c r="B250" i="31"/>
  <c r="M249" i="31"/>
  <c r="L249" i="31"/>
  <c r="K249" i="31"/>
  <c r="J249" i="31"/>
  <c r="I249" i="31"/>
  <c r="F249" i="31"/>
  <c r="E249" i="31"/>
  <c r="D249" i="31"/>
  <c r="C249" i="31"/>
  <c r="B249" i="31"/>
  <c r="M248" i="31"/>
  <c r="L248" i="31"/>
  <c r="K248" i="31"/>
  <c r="J248" i="31"/>
  <c r="I248" i="31"/>
  <c r="F248" i="31"/>
  <c r="E248" i="31"/>
  <c r="D248" i="31"/>
  <c r="C248" i="31"/>
  <c r="B248" i="31"/>
  <c r="M247" i="31"/>
  <c r="L247" i="31"/>
  <c r="K247" i="31"/>
  <c r="J247" i="31"/>
  <c r="I247" i="31"/>
  <c r="F247" i="31"/>
  <c r="E247" i="31"/>
  <c r="D247" i="31"/>
  <c r="C247" i="31"/>
  <c r="B247" i="31"/>
  <c r="M246" i="31"/>
  <c r="L246" i="31"/>
  <c r="K246" i="31"/>
  <c r="J246" i="31"/>
  <c r="I246" i="31"/>
  <c r="F246" i="31"/>
  <c r="E246" i="31"/>
  <c r="D246" i="31"/>
  <c r="C246" i="31"/>
  <c r="B246" i="31"/>
  <c r="M245" i="31"/>
  <c r="L245" i="31"/>
  <c r="K245" i="31"/>
  <c r="J245" i="31"/>
  <c r="I245" i="31"/>
  <c r="F245" i="31"/>
  <c r="E245" i="31"/>
  <c r="D245" i="31"/>
  <c r="C245" i="31"/>
  <c r="B245" i="31"/>
  <c r="G245" i="31" s="1"/>
  <c r="M244" i="31"/>
  <c r="L244" i="31"/>
  <c r="K244" i="31"/>
  <c r="J244" i="31"/>
  <c r="I244" i="31"/>
  <c r="F244" i="31"/>
  <c r="E244" i="31"/>
  <c r="D244" i="31"/>
  <c r="C244" i="31"/>
  <c r="B244" i="31"/>
  <c r="M243" i="31"/>
  <c r="L243" i="31"/>
  <c r="K243" i="31"/>
  <c r="J243" i="31"/>
  <c r="I243" i="31"/>
  <c r="F243" i="31"/>
  <c r="E243" i="31"/>
  <c r="D243" i="31"/>
  <c r="C243" i="31"/>
  <c r="B243" i="31"/>
  <c r="M242" i="31"/>
  <c r="L242" i="31"/>
  <c r="K242" i="31"/>
  <c r="J242" i="31"/>
  <c r="I242" i="31"/>
  <c r="F242" i="31"/>
  <c r="E242" i="31"/>
  <c r="D242" i="31"/>
  <c r="C242" i="31"/>
  <c r="B242" i="31"/>
  <c r="M241" i="31"/>
  <c r="L241" i="31"/>
  <c r="K241" i="31"/>
  <c r="J241" i="31"/>
  <c r="I241" i="31"/>
  <c r="F241" i="31"/>
  <c r="E241" i="31"/>
  <c r="D241" i="31"/>
  <c r="C241" i="31"/>
  <c r="B241" i="31"/>
  <c r="M240" i="31"/>
  <c r="L240" i="31"/>
  <c r="K240" i="31"/>
  <c r="J240" i="31"/>
  <c r="I240" i="31"/>
  <c r="F240" i="31"/>
  <c r="E240" i="31"/>
  <c r="D240" i="31"/>
  <c r="C240" i="31"/>
  <c r="B240" i="31"/>
  <c r="M239" i="31"/>
  <c r="L239" i="31"/>
  <c r="K239" i="31"/>
  <c r="J239" i="31"/>
  <c r="I239" i="31"/>
  <c r="F239" i="31"/>
  <c r="E239" i="31"/>
  <c r="D239" i="31"/>
  <c r="C239" i="31"/>
  <c r="B239" i="31"/>
  <c r="G239" i="31" s="1"/>
  <c r="M238" i="31"/>
  <c r="L238" i="31"/>
  <c r="K238" i="31"/>
  <c r="J238" i="31"/>
  <c r="I238" i="31"/>
  <c r="F238" i="31"/>
  <c r="E238" i="31"/>
  <c r="D238" i="31"/>
  <c r="C238" i="31"/>
  <c r="B238" i="31"/>
  <c r="M237" i="31"/>
  <c r="L237" i="31"/>
  <c r="K237" i="31"/>
  <c r="J237" i="31"/>
  <c r="I237" i="31"/>
  <c r="F237" i="31"/>
  <c r="E237" i="31"/>
  <c r="D237" i="31"/>
  <c r="C237" i="31"/>
  <c r="B237" i="31"/>
  <c r="M236" i="31"/>
  <c r="L236" i="31"/>
  <c r="K236" i="31"/>
  <c r="J236" i="31"/>
  <c r="I236" i="31"/>
  <c r="F236" i="31"/>
  <c r="E236" i="31"/>
  <c r="D236" i="31"/>
  <c r="C236" i="31"/>
  <c r="B236" i="31"/>
  <c r="M235" i="31"/>
  <c r="L235" i="31"/>
  <c r="K235" i="31"/>
  <c r="J235" i="31"/>
  <c r="I235" i="31"/>
  <c r="F235" i="31"/>
  <c r="E235" i="31"/>
  <c r="D235" i="31"/>
  <c r="C235" i="31"/>
  <c r="B235" i="31"/>
  <c r="M234" i="31"/>
  <c r="L234" i="31"/>
  <c r="K234" i="31"/>
  <c r="J234" i="31"/>
  <c r="I234" i="31"/>
  <c r="F234" i="31"/>
  <c r="E234" i="31"/>
  <c r="D234" i="31"/>
  <c r="C234" i="31"/>
  <c r="B234" i="31"/>
  <c r="M233" i="31"/>
  <c r="L233" i="31"/>
  <c r="K233" i="31"/>
  <c r="J233" i="31"/>
  <c r="I233" i="31"/>
  <c r="F233" i="31"/>
  <c r="E233" i="31"/>
  <c r="D233" i="31"/>
  <c r="C233" i="31"/>
  <c r="B233" i="31"/>
  <c r="G233" i="31" s="1"/>
  <c r="M232" i="31"/>
  <c r="L232" i="31"/>
  <c r="K232" i="31"/>
  <c r="J232" i="31"/>
  <c r="I232" i="31"/>
  <c r="F232" i="31"/>
  <c r="E232" i="31"/>
  <c r="D232" i="31"/>
  <c r="C232" i="31"/>
  <c r="B232" i="31"/>
  <c r="M231" i="31"/>
  <c r="L231" i="31"/>
  <c r="K231" i="31"/>
  <c r="J231" i="31"/>
  <c r="I231" i="31"/>
  <c r="F231" i="31"/>
  <c r="E231" i="31"/>
  <c r="D231" i="31"/>
  <c r="C231" i="31"/>
  <c r="B231" i="31"/>
  <c r="M230" i="31"/>
  <c r="L230" i="31"/>
  <c r="K230" i="31"/>
  <c r="J230" i="31"/>
  <c r="I230" i="31"/>
  <c r="F230" i="31"/>
  <c r="E230" i="31"/>
  <c r="D230" i="31"/>
  <c r="C230" i="31"/>
  <c r="B230" i="31"/>
  <c r="M229" i="31"/>
  <c r="L229" i="31"/>
  <c r="K229" i="31"/>
  <c r="J229" i="31"/>
  <c r="I229" i="31"/>
  <c r="F229" i="31"/>
  <c r="E229" i="31"/>
  <c r="D229" i="31"/>
  <c r="C229" i="31"/>
  <c r="B229" i="31"/>
  <c r="M228" i="31"/>
  <c r="L228" i="31"/>
  <c r="K228" i="31"/>
  <c r="J228" i="31"/>
  <c r="I228" i="31"/>
  <c r="F228" i="31"/>
  <c r="E228" i="31"/>
  <c r="D228" i="31"/>
  <c r="C228" i="31"/>
  <c r="B228" i="31"/>
  <c r="M227" i="31"/>
  <c r="L227" i="31"/>
  <c r="K227" i="31"/>
  <c r="J227" i="31"/>
  <c r="I227" i="31"/>
  <c r="F227" i="31"/>
  <c r="E227" i="31"/>
  <c r="D227" i="31"/>
  <c r="C227" i="31"/>
  <c r="B227" i="31"/>
  <c r="G227" i="31" s="1"/>
  <c r="M226" i="31"/>
  <c r="L226" i="31"/>
  <c r="K226" i="31"/>
  <c r="J226" i="31"/>
  <c r="I226" i="31"/>
  <c r="F226" i="31"/>
  <c r="E226" i="31"/>
  <c r="D226" i="31"/>
  <c r="C226" i="31"/>
  <c r="B226" i="31"/>
  <c r="M225" i="31"/>
  <c r="L225" i="31"/>
  <c r="K225" i="31"/>
  <c r="J225" i="31"/>
  <c r="I225" i="31"/>
  <c r="F225" i="31"/>
  <c r="E225" i="31"/>
  <c r="D225" i="31"/>
  <c r="C225" i="31"/>
  <c r="B225" i="31"/>
  <c r="M224" i="31"/>
  <c r="L224" i="31"/>
  <c r="K224" i="31"/>
  <c r="J224" i="31"/>
  <c r="I224" i="31"/>
  <c r="F224" i="31"/>
  <c r="E224" i="31"/>
  <c r="D224" i="31"/>
  <c r="C224" i="31"/>
  <c r="B224" i="31"/>
  <c r="M223" i="31"/>
  <c r="L223" i="31"/>
  <c r="K223" i="31"/>
  <c r="J223" i="31"/>
  <c r="I223" i="31"/>
  <c r="F223" i="31"/>
  <c r="E223" i="31"/>
  <c r="D223" i="31"/>
  <c r="C223" i="31"/>
  <c r="B223" i="31"/>
  <c r="M222" i="31"/>
  <c r="L222" i="31"/>
  <c r="K222" i="31"/>
  <c r="J222" i="31"/>
  <c r="I222" i="31"/>
  <c r="F222" i="31"/>
  <c r="E222" i="31"/>
  <c r="D222" i="31"/>
  <c r="C222" i="31"/>
  <c r="B222" i="31"/>
  <c r="M221" i="31"/>
  <c r="L221" i="31"/>
  <c r="K221" i="31"/>
  <c r="J221" i="31"/>
  <c r="I221" i="31"/>
  <c r="F221" i="31"/>
  <c r="E221" i="31"/>
  <c r="D221" i="31"/>
  <c r="C221" i="31"/>
  <c r="B221" i="31"/>
  <c r="G221" i="31" s="1"/>
  <c r="M220" i="31"/>
  <c r="L220" i="31"/>
  <c r="K220" i="31"/>
  <c r="J220" i="31"/>
  <c r="I220" i="31"/>
  <c r="F220" i="31"/>
  <c r="E220" i="31"/>
  <c r="D220" i="31"/>
  <c r="C220" i="31"/>
  <c r="B220" i="31"/>
  <c r="M219" i="31"/>
  <c r="L219" i="31"/>
  <c r="K219" i="31"/>
  <c r="J219" i="31"/>
  <c r="I219" i="31"/>
  <c r="F219" i="31"/>
  <c r="E219" i="31"/>
  <c r="D219" i="31"/>
  <c r="C219" i="31"/>
  <c r="B219" i="31"/>
  <c r="M218" i="31"/>
  <c r="L218" i="31"/>
  <c r="K218" i="31"/>
  <c r="J218" i="31"/>
  <c r="I218" i="31"/>
  <c r="F218" i="31"/>
  <c r="E218" i="31"/>
  <c r="D218" i="31"/>
  <c r="C218" i="31"/>
  <c r="B218" i="31"/>
  <c r="M217" i="31"/>
  <c r="L217" i="31"/>
  <c r="K217" i="31"/>
  <c r="J217" i="31"/>
  <c r="I217" i="31"/>
  <c r="F217" i="31"/>
  <c r="E217" i="31"/>
  <c r="D217" i="31"/>
  <c r="C217" i="31"/>
  <c r="B217" i="31"/>
  <c r="M216" i="31"/>
  <c r="L216" i="31"/>
  <c r="K216" i="31"/>
  <c r="J216" i="31"/>
  <c r="I216" i="31"/>
  <c r="F216" i="31"/>
  <c r="E216" i="31"/>
  <c r="D216" i="31"/>
  <c r="C216" i="31"/>
  <c r="B216" i="31"/>
  <c r="M215" i="31"/>
  <c r="L215" i="31"/>
  <c r="K215" i="31"/>
  <c r="J215" i="31"/>
  <c r="I215" i="31"/>
  <c r="F215" i="31"/>
  <c r="E215" i="31"/>
  <c r="D215" i="31"/>
  <c r="C215" i="31"/>
  <c r="B215" i="31"/>
  <c r="G215" i="31" s="1"/>
  <c r="M214" i="31"/>
  <c r="L214" i="31"/>
  <c r="K214" i="31"/>
  <c r="J214" i="31"/>
  <c r="I214" i="31"/>
  <c r="F214" i="31"/>
  <c r="E214" i="31"/>
  <c r="D214" i="31"/>
  <c r="C214" i="31"/>
  <c r="B214" i="31"/>
  <c r="M213" i="31"/>
  <c r="L213" i="31"/>
  <c r="K213" i="31"/>
  <c r="J213" i="31"/>
  <c r="I213" i="31"/>
  <c r="F213" i="31"/>
  <c r="E213" i="31"/>
  <c r="D213" i="31"/>
  <c r="C213" i="31"/>
  <c r="B213" i="31"/>
  <c r="M212" i="31"/>
  <c r="L212" i="31"/>
  <c r="K212" i="31"/>
  <c r="J212" i="31"/>
  <c r="I212" i="31"/>
  <c r="F212" i="31"/>
  <c r="E212" i="31"/>
  <c r="D212" i="31"/>
  <c r="C212" i="31"/>
  <c r="B212" i="31"/>
  <c r="M211" i="31"/>
  <c r="L211" i="31"/>
  <c r="K211" i="31"/>
  <c r="J211" i="31"/>
  <c r="I211" i="31"/>
  <c r="F211" i="31"/>
  <c r="E211" i="31"/>
  <c r="D211" i="31"/>
  <c r="C211" i="31"/>
  <c r="B211" i="31"/>
  <c r="M210" i="31"/>
  <c r="L210" i="31"/>
  <c r="K210" i="31"/>
  <c r="J210" i="31"/>
  <c r="I210" i="31"/>
  <c r="F210" i="31"/>
  <c r="E210" i="31"/>
  <c r="D210" i="31"/>
  <c r="C210" i="31"/>
  <c r="B210" i="31"/>
  <c r="M209" i="31"/>
  <c r="L209" i="31"/>
  <c r="K209" i="31"/>
  <c r="J209" i="31"/>
  <c r="I209" i="31"/>
  <c r="F209" i="31"/>
  <c r="E209" i="31"/>
  <c r="D209" i="31"/>
  <c r="C209" i="31"/>
  <c r="B209" i="31"/>
  <c r="G209" i="31" s="1"/>
  <c r="M208" i="31"/>
  <c r="L208" i="31"/>
  <c r="K208" i="31"/>
  <c r="J208" i="31"/>
  <c r="I208" i="31"/>
  <c r="F208" i="31"/>
  <c r="E208" i="31"/>
  <c r="D208" i="31"/>
  <c r="C208" i="31"/>
  <c r="B208" i="31"/>
  <c r="M207" i="31"/>
  <c r="L207" i="31"/>
  <c r="K207" i="31"/>
  <c r="J207" i="31"/>
  <c r="I207" i="31"/>
  <c r="F207" i="31"/>
  <c r="E207" i="31"/>
  <c r="D207" i="31"/>
  <c r="C207" i="31"/>
  <c r="B207" i="31"/>
  <c r="M206" i="31"/>
  <c r="L206" i="31"/>
  <c r="K206" i="31"/>
  <c r="J206" i="31"/>
  <c r="I206" i="31"/>
  <c r="F206" i="31"/>
  <c r="E206" i="31"/>
  <c r="D206" i="31"/>
  <c r="C206" i="31"/>
  <c r="B206" i="31"/>
  <c r="M205" i="31"/>
  <c r="L205" i="31"/>
  <c r="K205" i="31"/>
  <c r="J205" i="31"/>
  <c r="I205" i="31"/>
  <c r="F205" i="31"/>
  <c r="E205" i="31"/>
  <c r="D205" i="31"/>
  <c r="C205" i="31"/>
  <c r="B205" i="31"/>
  <c r="M204" i="31"/>
  <c r="L204" i="31"/>
  <c r="K204" i="31"/>
  <c r="J204" i="31"/>
  <c r="I204" i="31"/>
  <c r="F204" i="31"/>
  <c r="E204" i="31"/>
  <c r="D204" i="31"/>
  <c r="C204" i="31"/>
  <c r="B204" i="31"/>
  <c r="M203" i="31"/>
  <c r="L203" i="31"/>
  <c r="K203" i="31"/>
  <c r="J203" i="31"/>
  <c r="I203" i="31"/>
  <c r="F203" i="31"/>
  <c r="E203" i="31"/>
  <c r="D203" i="31"/>
  <c r="C203" i="31"/>
  <c r="B203" i="31"/>
  <c r="G203" i="31" s="1"/>
  <c r="M202" i="31"/>
  <c r="L202" i="31"/>
  <c r="K202" i="31"/>
  <c r="J202" i="31"/>
  <c r="I202" i="31"/>
  <c r="F202" i="31"/>
  <c r="E202" i="31"/>
  <c r="D202" i="31"/>
  <c r="C202" i="31"/>
  <c r="B202" i="31"/>
  <c r="M201" i="31"/>
  <c r="L201" i="31"/>
  <c r="K201" i="31"/>
  <c r="J201" i="31"/>
  <c r="I201" i="31"/>
  <c r="F201" i="31"/>
  <c r="E201" i="31"/>
  <c r="D201" i="31"/>
  <c r="C201" i="31"/>
  <c r="B201" i="31"/>
  <c r="M200" i="31"/>
  <c r="L200" i="31"/>
  <c r="K200" i="31"/>
  <c r="J200" i="31"/>
  <c r="I200" i="31"/>
  <c r="F200" i="31"/>
  <c r="E200" i="31"/>
  <c r="D200" i="31"/>
  <c r="C200" i="31"/>
  <c r="B200" i="31"/>
  <c r="M199" i="31"/>
  <c r="L199" i="31"/>
  <c r="K199" i="31"/>
  <c r="J199" i="31"/>
  <c r="I199" i="31"/>
  <c r="F199" i="31"/>
  <c r="E199" i="31"/>
  <c r="D199" i="31"/>
  <c r="C199" i="31"/>
  <c r="B199" i="31"/>
  <c r="M198" i="31"/>
  <c r="L198" i="31"/>
  <c r="K198" i="31"/>
  <c r="J198" i="31"/>
  <c r="I198" i="31"/>
  <c r="F198" i="31"/>
  <c r="E198" i="31"/>
  <c r="D198" i="31"/>
  <c r="C198" i="31"/>
  <c r="B198" i="31"/>
  <c r="M197" i="31"/>
  <c r="L197" i="31"/>
  <c r="K197" i="31"/>
  <c r="J197" i="31"/>
  <c r="I197" i="31"/>
  <c r="F197" i="31"/>
  <c r="E197" i="31"/>
  <c r="D197" i="31"/>
  <c r="C197" i="31"/>
  <c r="B197" i="31"/>
  <c r="G197" i="31" s="1"/>
  <c r="M196" i="31"/>
  <c r="L196" i="31"/>
  <c r="K196" i="31"/>
  <c r="J196" i="31"/>
  <c r="I196" i="31"/>
  <c r="F196" i="31"/>
  <c r="E196" i="31"/>
  <c r="D196" i="31"/>
  <c r="C196" i="31"/>
  <c r="B196" i="31"/>
  <c r="M195" i="31"/>
  <c r="L195" i="31"/>
  <c r="K195" i="31"/>
  <c r="J195" i="31"/>
  <c r="I195" i="31"/>
  <c r="F195" i="31"/>
  <c r="E195" i="31"/>
  <c r="D195" i="31"/>
  <c r="C195" i="31"/>
  <c r="B195" i="31"/>
  <c r="M194" i="31"/>
  <c r="L194" i="31"/>
  <c r="K194" i="31"/>
  <c r="J194" i="31"/>
  <c r="I194" i="31"/>
  <c r="F194" i="31"/>
  <c r="E194" i="31"/>
  <c r="D194" i="31"/>
  <c r="C194" i="31"/>
  <c r="B194" i="31"/>
  <c r="M193" i="31"/>
  <c r="L193" i="31"/>
  <c r="K193" i="31"/>
  <c r="J193" i="31"/>
  <c r="I193" i="31"/>
  <c r="F193" i="31"/>
  <c r="E193" i="31"/>
  <c r="D193" i="31"/>
  <c r="C193" i="31"/>
  <c r="B193" i="31"/>
  <c r="M192" i="31"/>
  <c r="L192" i="31"/>
  <c r="K192" i="31"/>
  <c r="J192" i="31"/>
  <c r="I192" i="31"/>
  <c r="F192" i="31"/>
  <c r="E192" i="31"/>
  <c r="D192" i="31"/>
  <c r="C192" i="31"/>
  <c r="B192" i="31"/>
  <c r="M191" i="31"/>
  <c r="L191" i="31"/>
  <c r="K191" i="31"/>
  <c r="J191" i="31"/>
  <c r="I191" i="31"/>
  <c r="F191" i="31"/>
  <c r="E191" i="31"/>
  <c r="D191" i="31"/>
  <c r="C191" i="31"/>
  <c r="B191" i="31"/>
  <c r="G191" i="31" s="1"/>
  <c r="M190" i="31"/>
  <c r="L190" i="31"/>
  <c r="K190" i="31"/>
  <c r="J190" i="31"/>
  <c r="I190" i="31"/>
  <c r="F190" i="31"/>
  <c r="E190" i="31"/>
  <c r="D190" i="31"/>
  <c r="C190" i="31"/>
  <c r="B190" i="31"/>
  <c r="M189" i="31"/>
  <c r="L189" i="31"/>
  <c r="K189" i="31"/>
  <c r="J189" i="31"/>
  <c r="I189" i="31"/>
  <c r="F189" i="31"/>
  <c r="E189" i="31"/>
  <c r="D189" i="31"/>
  <c r="C189" i="31"/>
  <c r="B189" i="31"/>
  <c r="M188" i="31"/>
  <c r="L188" i="31"/>
  <c r="K188" i="31"/>
  <c r="J188" i="31"/>
  <c r="I188" i="31"/>
  <c r="F188" i="31"/>
  <c r="E188" i="31"/>
  <c r="D188" i="31"/>
  <c r="C188" i="31"/>
  <c r="B188" i="31"/>
  <c r="M187" i="31"/>
  <c r="L187" i="31"/>
  <c r="K187" i="31"/>
  <c r="J187" i="31"/>
  <c r="I187" i="31"/>
  <c r="F187" i="31"/>
  <c r="E187" i="31"/>
  <c r="D187" i="31"/>
  <c r="C187" i="31"/>
  <c r="B187" i="31"/>
  <c r="M186" i="31"/>
  <c r="L186" i="31"/>
  <c r="K186" i="31"/>
  <c r="J186" i="31"/>
  <c r="I186" i="31"/>
  <c r="F186" i="31"/>
  <c r="E186" i="31"/>
  <c r="D186" i="31"/>
  <c r="C186" i="31"/>
  <c r="B186" i="31"/>
  <c r="M185" i="31"/>
  <c r="L185" i="31"/>
  <c r="K185" i="31"/>
  <c r="J185" i="31"/>
  <c r="I185" i="31"/>
  <c r="F185" i="31"/>
  <c r="E185" i="31"/>
  <c r="D185" i="31"/>
  <c r="C185" i="31"/>
  <c r="B185" i="31"/>
  <c r="G185" i="31" s="1"/>
  <c r="M184" i="31"/>
  <c r="L184" i="31"/>
  <c r="K184" i="31"/>
  <c r="J184" i="31"/>
  <c r="I184" i="31"/>
  <c r="F184" i="31"/>
  <c r="E184" i="31"/>
  <c r="D184" i="31"/>
  <c r="C184" i="31"/>
  <c r="B184" i="31"/>
  <c r="M183" i="31"/>
  <c r="L183" i="31"/>
  <c r="K183" i="31"/>
  <c r="J183" i="31"/>
  <c r="I183" i="31"/>
  <c r="F183" i="31"/>
  <c r="E183" i="31"/>
  <c r="D183" i="31"/>
  <c r="C183" i="31"/>
  <c r="B183" i="31"/>
  <c r="M182" i="31"/>
  <c r="L182" i="31"/>
  <c r="K182" i="31"/>
  <c r="J182" i="31"/>
  <c r="I182" i="31"/>
  <c r="F182" i="31"/>
  <c r="E182" i="31"/>
  <c r="D182" i="31"/>
  <c r="C182" i="31"/>
  <c r="B182" i="31"/>
  <c r="M181" i="31"/>
  <c r="L181" i="31"/>
  <c r="K181" i="31"/>
  <c r="J181" i="31"/>
  <c r="I181" i="31"/>
  <c r="F181" i="31"/>
  <c r="E181" i="31"/>
  <c r="D181" i="31"/>
  <c r="C181" i="31"/>
  <c r="B181" i="31"/>
  <c r="M180" i="31"/>
  <c r="L180" i="31"/>
  <c r="K180" i="31"/>
  <c r="J180" i="31"/>
  <c r="I180" i="31"/>
  <c r="F180" i="31"/>
  <c r="E180" i="31"/>
  <c r="D180" i="31"/>
  <c r="C180" i="31"/>
  <c r="B180" i="31"/>
  <c r="M179" i="31"/>
  <c r="L179" i="31"/>
  <c r="K179" i="31"/>
  <c r="J179" i="31"/>
  <c r="I179" i="31"/>
  <c r="F179" i="31"/>
  <c r="E179" i="31"/>
  <c r="D179" i="31"/>
  <c r="C179" i="31"/>
  <c r="B179" i="31"/>
  <c r="G179" i="31" s="1"/>
  <c r="M178" i="31"/>
  <c r="L178" i="31"/>
  <c r="K178" i="31"/>
  <c r="J178" i="31"/>
  <c r="I178" i="31"/>
  <c r="F178" i="31"/>
  <c r="E178" i="31"/>
  <c r="D178" i="31"/>
  <c r="C178" i="31"/>
  <c r="B178" i="31"/>
  <c r="M177" i="31"/>
  <c r="L177" i="31"/>
  <c r="K177" i="31"/>
  <c r="J177" i="31"/>
  <c r="I177" i="31"/>
  <c r="F177" i="31"/>
  <c r="E177" i="31"/>
  <c r="D177" i="31"/>
  <c r="C177" i="31"/>
  <c r="B177" i="31"/>
  <c r="M176" i="31"/>
  <c r="L176" i="31"/>
  <c r="K176" i="31"/>
  <c r="J176" i="31"/>
  <c r="I176" i="31"/>
  <c r="F176" i="31"/>
  <c r="E176" i="31"/>
  <c r="D176" i="31"/>
  <c r="C176" i="31"/>
  <c r="B176" i="31"/>
  <c r="M175" i="31"/>
  <c r="L175" i="31"/>
  <c r="K175" i="31"/>
  <c r="J175" i="31"/>
  <c r="I175" i="31"/>
  <c r="F175" i="31"/>
  <c r="E175" i="31"/>
  <c r="D175" i="31"/>
  <c r="C175" i="31"/>
  <c r="B175" i="31"/>
  <c r="M174" i="31"/>
  <c r="L174" i="31"/>
  <c r="K174" i="31"/>
  <c r="J174" i="31"/>
  <c r="I174" i="31"/>
  <c r="F174" i="31"/>
  <c r="E174" i="31"/>
  <c r="D174" i="31"/>
  <c r="C174" i="31"/>
  <c r="B174" i="31"/>
  <c r="M173" i="31"/>
  <c r="L173" i="31"/>
  <c r="K173" i="31"/>
  <c r="J173" i="31"/>
  <c r="I173" i="31"/>
  <c r="F173" i="31"/>
  <c r="E173" i="31"/>
  <c r="D173" i="31"/>
  <c r="C173" i="31"/>
  <c r="B173" i="31"/>
  <c r="G173" i="31" s="1"/>
  <c r="M172" i="31"/>
  <c r="L172" i="31"/>
  <c r="K172" i="31"/>
  <c r="J172" i="31"/>
  <c r="I172" i="31"/>
  <c r="F172" i="31"/>
  <c r="E172" i="31"/>
  <c r="D172" i="31"/>
  <c r="C172" i="31"/>
  <c r="B172" i="31"/>
  <c r="M171" i="31"/>
  <c r="L171" i="31"/>
  <c r="K171" i="31"/>
  <c r="J171" i="31"/>
  <c r="I171" i="31"/>
  <c r="F171" i="31"/>
  <c r="E171" i="31"/>
  <c r="D171" i="31"/>
  <c r="C171" i="31"/>
  <c r="B171" i="31"/>
  <c r="M170" i="31"/>
  <c r="L170" i="31"/>
  <c r="K170" i="31"/>
  <c r="J170" i="31"/>
  <c r="I170" i="31"/>
  <c r="F170" i="31"/>
  <c r="E170" i="31"/>
  <c r="D170" i="31"/>
  <c r="C170" i="31"/>
  <c r="B170" i="31"/>
  <c r="M169" i="31"/>
  <c r="L169" i="31"/>
  <c r="K169" i="31"/>
  <c r="J169" i="31"/>
  <c r="I169" i="31"/>
  <c r="F169" i="31"/>
  <c r="E169" i="31"/>
  <c r="D169" i="31"/>
  <c r="C169" i="31"/>
  <c r="B169" i="31"/>
  <c r="M168" i="31"/>
  <c r="L168" i="31"/>
  <c r="K168" i="31"/>
  <c r="J168" i="31"/>
  <c r="I168" i="31"/>
  <c r="F168" i="31"/>
  <c r="E168" i="31"/>
  <c r="D168" i="31"/>
  <c r="C168" i="31"/>
  <c r="B168" i="31"/>
  <c r="M167" i="31"/>
  <c r="L167" i="31"/>
  <c r="K167" i="31"/>
  <c r="J167" i="31"/>
  <c r="I167" i="31"/>
  <c r="F167" i="31"/>
  <c r="E167" i="31"/>
  <c r="D167" i="31"/>
  <c r="C167" i="31"/>
  <c r="B167" i="31"/>
  <c r="G167" i="31" s="1"/>
  <c r="M166" i="31"/>
  <c r="L166" i="31"/>
  <c r="K166" i="31"/>
  <c r="J166" i="31"/>
  <c r="I166" i="31"/>
  <c r="F166" i="31"/>
  <c r="E166" i="31"/>
  <c r="D166" i="31"/>
  <c r="C166" i="31"/>
  <c r="B166" i="31"/>
  <c r="M165" i="31"/>
  <c r="L165" i="31"/>
  <c r="K165" i="31"/>
  <c r="J165" i="31"/>
  <c r="I165" i="31"/>
  <c r="F165" i="31"/>
  <c r="E165" i="31"/>
  <c r="D165" i="31"/>
  <c r="C165" i="31"/>
  <c r="B165" i="31"/>
  <c r="M164" i="31"/>
  <c r="L164" i="31"/>
  <c r="K164" i="31"/>
  <c r="J164" i="31"/>
  <c r="I164" i="31"/>
  <c r="F164" i="31"/>
  <c r="E164" i="31"/>
  <c r="D164" i="31"/>
  <c r="C164" i="31"/>
  <c r="B164" i="31"/>
  <c r="M163" i="31"/>
  <c r="L163" i="31"/>
  <c r="K163" i="31"/>
  <c r="J163" i="31"/>
  <c r="I163" i="31"/>
  <c r="F163" i="31"/>
  <c r="E163" i="31"/>
  <c r="D163" i="31"/>
  <c r="C163" i="31"/>
  <c r="B163" i="31"/>
  <c r="M162" i="31"/>
  <c r="L162" i="31"/>
  <c r="K162" i="31"/>
  <c r="J162" i="31"/>
  <c r="I162" i="31"/>
  <c r="F162" i="31"/>
  <c r="E162" i="31"/>
  <c r="D162" i="31"/>
  <c r="C162" i="31"/>
  <c r="B162" i="31"/>
  <c r="M161" i="31"/>
  <c r="L161" i="31"/>
  <c r="K161" i="31"/>
  <c r="J161" i="31"/>
  <c r="I161" i="31"/>
  <c r="F161" i="31"/>
  <c r="E161" i="31"/>
  <c r="D161" i="31"/>
  <c r="C161" i="31"/>
  <c r="B161" i="31"/>
  <c r="G161" i="31" s="1"/>
  <c r="M160" i="31"/>
  <c r="L160" i="31"/>
  <c r="K160" i="31"/>
  <c r="J160" i="31"/>
  <c r="I160" i="31"/>
  <c r="F160" i="31"/>
  <c r="E160" i="31"/>
  <c r="D160" i="31"/>
  <c r="C160" i="31"/>
  <c r="B160" i="31"/>
  <c r="M159" i="31"/>
  <c r="L159" i="31"/>
  <c r="K159" i="31"/>
  <c r="J159" i="31"/>
  <c r="I159" i="31"/>
  <c r="F159" i="31"/>
  <c r="E159" i="31"/>
  <c r="D159" i="31"/>
  <c r="C159" i="31"/>
  <c r="B159" i="31"/>
  <c r="M158" i="31"/>
  <c r="L158" i="31"/>
  <c r="K158" i="31"/>
  <c r="J158" i="31"/>
  <c r="I158" i="31"/>
  <c r="F158" i="31"/>
  <c r="E158" i="31"/>
  <c r="D158" i="31"/>
  <c r="C158" i="31"/>
  <c r="B158" i="31"/>
  <c r="M157" i="31"/>
  <c r="L157" i="31"/>
  <c r="K157" i="31"/>
  <c r="J157" i="31"/>
  <c r="I157" i="31"/>
  <c r="F157" i="31"/>
  <c r="E157" i="31"/>
  <c r="D157" i="31"/>
  <c r="C157" i="31"/>
  <c r="B157" i="31"/>
  <c r="M156" i="31"/>
  <c r="L156" i="31"/>
  <c r="K156" i="31"/>
  <c r="J156" i="31"/>
  <c r="I156" i="31"/>
  <c r="F156" i="31"/>
  <c r="E156" i="31"/>
  <c r="D156" i="31"/>
  <c r="C156" i="31"/>
  <c r="B156" i="31"/>
  <c r="M155" i="31"/>
  <c r="L155" i="31"/>
  <c r="K155" i="31"/>
  <c r="J155" i="31"/>
  <c r="I155" i="31"/>
  <c r="F155" i="31"/>
  <c r="E155" i="31"/>
  <c r="D155" i="31"/>
  <c r="C155" i="31"/>
  <c r="B155" i="31"/>
  <c r="G155" i="31" s="1"/>
  <c r="M154" i="31"/>
  <c r="L154" i="31"/>
  <c r="K154" i="31"/>
  <c r="J154" i="31"/>
  <c r="I154" i="31"/>
  <c r="F154" i="31"/>
  <c r="E154" i="31"/>
  <c r="D154" i="31"/>
  <c r="C154" i="31"/>
  <c r="B154" i="31"/>
  <c r="M153" i="31"/>
  <c r="L153" i="31"/>
  <c r="K153" i="31"/>
  <c r="J153" i="31"/>
  <c r="I153" i="31"/>
  <c r="F153" i="31"/>
  <c r="E153" i="31"/>
  <c r="D153" i="31"/>
  <c r="C153" i="31"/>
  <c r="B153" i="31"/>
  <c r="M152" i="31"/>
  <c r="L152" i="31"/>
  <c r="K152" i="31"/>
  <c r="J152" i="31"/>
  <c r="I152" i="31"/>
  <c r="F152" i="31"/>
  <c r="E152" i="31"/>
  <c r="D152" i="31"/>
  <c r="C152" i="31"/>
  <c r="B152" i="31"/>
  <c r="M151" i="31"/>
  <c r="L151" i="31"/>
  <c r="K151" i="31"/>
  <c r="J151" i="31"/>
  <c r="I151" i="31"/>
  <c r="F151" i="31"/>
  <c r="E151" i="31"/>
  <c r="D151" i="31"/>
  <c r="C151" i="31"/>
  <c r="B151" i="31"/>
  <c r="M150" i="31"/>
  <c r="L150" i="31"/>
  <c r="K150" i="31"/>
  <c r="J150" i="31"/>
  <c r="I150" i="31"/>
  <c r="F150" i="31"/>
  <c r="E150" i="31"/>
  <c r="D150" i="31"/>
  <c r="C150" i="31"/>
  <c r="B150" i="31"/>
  <c r="M149" i="31"/>
  <c r="L149" i="31"/>
  <c r="K149" i="31"/>
  <c r="J149" i="31"/>
  <c r="I149" i="31"/>
  <c r="F149" i="31"/>
  <c r="E149" i="31"/>
  <c r="D149" i="31"/>
  <c r="C149" i="31"/>
  <c r="B149" i="31"/>
  <c r="G149" i="31" s="1"/>
  <c r="M148" i="31"/>
  <c r="L148" i="31"/>
  <c r="K148" i="31"/>
  <c r="J148" i="31"/>
  <c r="I148" i="31"/>
  <c r="F148" i="31"/>
  <c r="E148" i="31"/>
  <c r="D148" i="31"/>
  <c r="C148" i="31"/>
  <c r="B148" i="31"/>
  <c r="M147" i="31"/>
  <c r="L147" i="31"/>
  <c r="K147" i="31"/>
  <c r="J147" i="31"/>
  <c r="I147" i="31"/>
  <c r="F147" i="31"/>
  <c r="E147" i="31"/>
  <c r="D147" i="31"/>
  <c r="C147" i="31"/>
  <c r="B147" i="31"/>
  <c r="M146" i="31"/>
  <c r="L146" i="31"/>
  <c r="K146" i="31"/>
  <c r="J146" i="31"/>
  <c r="I146" i="31"/>
  <c r="F146" i="31"/>
  <c r="E146" i="31"/>
  <c r="D146" i="31"/>
  <c r="C146" i="31"/>
  <c r="B146" i="31"/>
  <c r="M145" i="31"/>
  <c r="L145" i="31"/>
  <c r="K145" i="31"/>
  <c r="J145" i="31"/>
  <c r="I145" i="31"/>
  <c r="F145" i="31"/>
  <c r="E145" i="31"/>
  <c r="D145" i="31"/>
  <c r="C145" i="31"/>
  <c r="B145" i="31"/>
  <c r="M144" i="31"/>
  <c r="L144" i="31"/>
  <c r="K144" i="31"/>
  <c r="J144" i="31"/>
  <c r="I144" i="31"/>
  <c r="F144" i="31"/>
  <c r="E144" i="31"/>
  <c r="D144" i="31"/>
  <c r="C144" i="31"/>
  <c r="B144" i="31"/>
  <c r="M143" i="31"/>
  <c r="L143" i="31"/>
  <c r="K143" i="31"/>
  <c r="J143" i="31"/>
  <c r="I143" i="31"/>
  <c r="F143" i="31"/>
  <c r="E143" i="31"/>
  <c r="D143" i="31"/>
  <c r="C143" i="31"/>
  <c r="B143" i="31"/>
  <c r="G143" i="31" s="1"/>
  <c r="M142" i="31"/>
  <c r="L142" i="31"/>
  <c r="K142" i="31"/>
  <c r="J142" i="31"/>
  <c r="I142" i="31"/>
  <c r="F142" i="31"/>
  <c r="E142" i="31"/>
  <c r="D142" i="31"/>
  <c r="C142" i="31"/>
  <c r="B142" i="31"/>
  <c r="M141" i="31"/>
  <c r="L141" i="31"/>
  <c r="K141" i="31"/>
  <c r="J141" i="31"/>
  <c r="I141" i="31"/>
  <c r="F141" i="31"/>
  <c r="E141" i="31"/>
  <c r="D141" i="31"/>
  <c r="C141" i="31"/>
  <c r="B141" i="31"/>
  <c r="M140" i="31"/>
  <c r="L140" i="31"/>
  <c r="K140" i="31"/>
  <c r="J140" i="31"/>
  <c r="I140" i="31"/>
  <c r="F140" i="31"/>
  <c r="E140" i="31"/>
  <c r="D140" i="31"/>
  <c r="C140" i="31"/>
  <c r="B140" i="31"/>
  <c r="M139" i="31"/>
  <c r="L139" i="31"/>
  <c r="K139" i="31"/>
  <c r="J139" i="31"/>
  <c r="I139" i="31"/>
  <c r="F139" i="31"/>
  <c r="E139" i="31"/>
  <c r="D139" i="31"/>
  <c r="C139" i="31"/>
  <c r="B139" i="31"/>
  <c r="M138" i="31"/>
  <c r="L138" i="31"/>
  <c r="K138" i="31"/>
  <c r="J138" i="31"/>
  <c r="I138" i="31"/>
  <c r="F138" i="31"/>
  <c r="E138" i="31"/>
  <c r="D138" i="31"/>
  <c r="C138" i="31"/>
  <c r="B138" i="31"/>
  <c r="M137" i="31"/>
  <c r="L137" i="31"/>
  <c r="K137" i="31"/>
  <c r="J137" i="31"/>
  <c r="I137" i="31"/>
  <c r="F137" i="31"/>
  <c r="E137" i="31"/>
  <c r="D137" i="31"/>
  <c r="C137" i="31"/>
  <c r="B137" i="31"/>
  <c r="G137" i="31" s="1"/>
  <c r="M136" i="31"/>
  <c r="L136" i="31"/>
  <c r="K136" i="31"/>
  <c r="J136" i="31"/>
  <c r="I136" i="31"/>
  <c r="F136" i="31"/>
  <c r="E136" i="31"/>
  <c r="D136" i="31"/>
  <c r="C136" i="31"/>
  <c r="B136" i="31"/>
  <c r="M135" i="31"/>
  <c r="L135" i="31"/>
  <c r="K135" i="31"/>
  <c r="J135" i="31"/>
  <c r="I135" i="31"/>
  <c r="F135" i="31"/>
  <c r="E135" i="31"/>
  <c r="D135" i="31"/>
  <c r="C135" i="31"/>
  <c r="B135" i="31"/>
  <c r="M134" i="31"/>
  <c r="L134" i="31"/>
  <c r="K134" i="31"/>
  <c r="J134" i="31"/>
  <c r="I134" i="31"/>
  <c r="F134" i="31"/>
  <c r="E134" i="31"/>
  <c r="D134" i="31"/>
  <c r="C134" i="31"/>
  <c r="B134" i="31"/>
  <c r="M133" i="31"/>
  <c r="L133" i="31"/>
  <c r="K133" i="31"/>
  <c r="J133" i="31"/>
  <c r="I133" i="31"/>
  <c r="F133" i="31"/>
  <c r="E133" i="31"/>
  <c r="D133" i="31"/>
  <c r="C133" i="31"/>
  <c r="B133" i="31"/>
  <c r="M132" i="31"/>
  <c r="L132" i="31"/>
  <c r="K132" i="31"/>
  <c r="J132" i="31"/>
  <c r="I132" i="31"/>
  <c r="F132" i="31"/>
  <c r="E132" i="31"/>
  <c r="D132" i="31"/>
  <c r="C132" i="31"/>
  <c r="B132" i="31"/>
  <c r="M131" i="31"/>
  <c r="L131" i="31"/>
  <c r="K131" i="31"/>
  <c r="J131" i="31"/>
  <c r="I131" i="31"/>
  <c r="F131" i="31"/>
  <c r="E131" i="31"/>
  <c r="D131" i="31"/>
  <c r="C131" i="31"/>
  <c r="B131" i="31"/>
  <c r="G131" i="31" s="1"/>
  <c r="M130" i="31"/>
  <c r="L130" i="31"/>
  <c r="K130" i="31"/>
  <c r="J130" i="31"/>
  <c r="I130" i="31"/>
  <c r="F130" i="31"/>
  <c r="E130" i="31"/>
  <c r="D130" i="31"/>
  <c r="C130" i="31"/>
  <c r="B130" i="31"/>
  <c r="M129" i="31"/>
  <c r="L129" i="31"/>
  <c r="K129" i="31"/>
  <c r="J129" i="31"/>
  <c r="I129" i="31"/>
  <c r="F129" i="31"/>
  <c r="E129" i="31"/>
  <c r="D129" i="31"/>
  <c r="C129" i="31"/>
  <c r="B129" i="31"/>
  <c r="M128" i="31"/>
  <c r="L128" i="31"/>
  <c r="K128" i="31"/>
  <c r="J128" i="31"/>
  <c r="I128" i="31"/>
  <c r="F128" i="31"/>
  <c r="E128" i="31"/>
  <c r="D128" i="31"/>
  <c r="C128" i="31"/>
  <c r="B128" i="31"/>
  <c r="M127" i="31"/>
  <c r="L127" i="31"/>
  <c r="K127" i="31"/>
  <c r="J127" i="31"/>
  <c r="I127" i="31"/>
  <c r="F127" i="31"/>
  <c r="E127" i="31"/>
  <c r="D127" i="31"/>
  <c r="C127" i="31"/>
  <c r="B127" i="31"/>
  <c r="M126" i="31"/>
  <c r="L126" i="31"/>
  <c r="K126" i="31"/>
  <c r="J126" i="31"/>
  <c r="I126" i="31"/>
  <c r="F126" i="31"/>
  <c r="E126" i="31"/>
  <c r="D126" i="31"/>
  <c r="C126" i="31"/>
  <c r="B126" i="31"/>
  <c r="M125" i="31"/>
  <c r="L125" i="31"/>
  <c r="K125" i="31"/>
  <c r="J125" i="31"/>
  <c r="I125" i="31"/>
  <c r="F125" i="31"/>
  <c r="E125" i="31"/>
  <c r="D125" i="31"/>
  <c r="C125" i="31"/>
  <c r="B125" i="31"/>
  <c r="G125" i="31" s="1"/>
  <c r="M124" i="31"/>
  <c r="L124" i="31"/>
  <c r="K124" i="31"/>
  <c r="J124" i="31"/>
  <c r="I124" i="31"/>
  <c r="F124" i="31"/>
  <c r="E124" i="31"/>
  <c r="D124" i="31"/>
  <c r="C124" i="31"/>
  <c r="B124" i="31"/>
  <c r="M123" i="31"/>
  <c r="L123" i="31"/>
  <c r="K123" i="31"/>
  <c r="J123" i="31"/>
  <c r="I123" i="31"/>
  <c r="F123" i="31"/>
  <c r="E123" i="31"/>
  <c r="D123" i="31"/>
  <c r="C123" i="31"/>
  <c r="B123" i="31"/>
  <c r="M122" i="31"/>
  <c r="L122" i="31"/>
  <c r="K122" i="31"/>
  <c r="J122" i="31"/>
  <c r="I122" i="31"/>
  <c r="F122" i="31"/>
  <c r="E122" i="31"/>
  <c r="D122" i="31"/>
  <c r="C122" i="31"/>
  <c r="B122" i="31"/>
  <c r="M121" i="31"/>
  <c r="L121" i="31"/>
  <c r="K121" i="31"/>
  <c r="J121" i="31"/>
  <c r="I121" i="31"/>
  <c r="F121" i="31"/>
  <c r="E121" i="31"/>
  <c r="D121" i="31"/>
  <c r="C121" i="31"/>
  <c r="B121" i="31"/>
  <c r="M120" i="31"/>
  <c r="L120" i="31"/>
  <c r="K120" i="31"/>
  <c r="J120" i="31"/>
  <c r="I120" i="31"/>
  <c r="F120" i="31"/>
  <c r="E120" i="31"/>
  <c r="D120" i="31"/>
  <c r="C120" i="31"/>
  <c r="B120" i="31"/>
  <c r="L119" i="31"/>
  <c r="K119" i="31"/>
  <c r="J118" i="31"/>
  <c r="I118" i="31"/>
  <c r="N118" i="31" s="1"/>
  <c r="F117" i="31"/>
  <c r="E117" i="31"/>
  <c r="M116" i="31"/>
  <c r="L116" i="31"/>
  <c r="K116" i="31"/>
  <c r="J116" i="31"/>
  <c r="I116" i="31"/>
  <c r="F116" i="31"/>
  <c r="E116" i="31"/>
  <c r="D116" i="31"/>
  <c r="C116" i="31"/>
  <c r="B116" i="31"/>
  <c r="B115" i="31"/>
  <c r="M114" i="31"/>
  <c r="L113" i="31"/>
  <c r="M111" i="31"/>
  <c r="L111" i="31"/>
  <c r="K111" i="31"/>
  <c r="J111" i="31"/>
  <c r="I111" i="31"/>
  <c r="F111" i="31"/>
  <c r="E111" i="31"/>
  <c r="D111" i="31"/>
  <c r="C111" i="31"/>
  <c r="B111" i="31"/>
  <c r="M110" i="31"/>
  <c r="L110" i="31"/>
  <c r="K110" i="31"/>
  <c r="J110" i="31"/>
  <c r="I110" i="31"/>
  <c r="F110" i="31"/>
  <c r="E110" i="31"/>
  <c r="D110" i="31"/>
  <c r="C110" i="31"/>
  <c r="B110" i="31"/>
  <c r="B109" i="31"/>
  <c r="G109" i="31" s="1"/>
  <c r="M108" i="31"/>
  <c r="K107" i="31"/>
  <c r="M106" i="31"/>
  <c r="L106" i="31"/>
  <c r="K106" i="31"/>
  <c r="J106" i="31"/>
  <c r="I106" i="31"/>
  <c r="F106" i="31"/>
  <c r="E106" i="31"/>
  <c r="D106" i="31"/>
  <c r="C106" i="31"/>
  <c r="B106" i="31"/>
  <c r="F105" i="31"/>
  <c r="M102" i="31"/>
  <c r="M101" i="31"/>
  <c r="L101" i="31"/>
  <c r="K101" i="31"/>
  <c r="J101" i="31"/>
  <c r="I101" i="31"/>
  <c r="F101" i="31"/>
  <c r="E101" i="31"/>
  <c r="D101" i="31"/>
  <c r="C101" i="31"/>
  <c r="B101" i="31"/>
  <c r="G101" i="31" s="1"/>
  <c r="M100" i="31"/>
  <c r="L100" i="31"/>
  <c r="K100" i="31"/>
  <c r="J100" i="31"/>
  <c r="I100" i="31"/>
  <c r="F100" i="31"/>
  <c r="E100" i="31"/>
  <c r="D100" i="31"/>
  <c r="C100" i="31"/>
  <c r="B100" i="31"/>
  <c r="F99" i="31"/>
  <c r="E99" i="31"/>
  <c r="D98" i="31"/>
  <c r="C98" i="31"/>
  <c r="M96" i="31"/>
  <c r="L96" i="31"/>
  <c r="K96" i="31"/>
  <c r="J96" i="31"/>
  <c r="I96" i="31"/>
  <c r="F96" i="31"/>
  <c r="E96" i="31"/>
  <c r="D96" i="31"/>
  <c r="C96" i="31"/>
  <c r="B96" i="31"/>
  <c r="J94" i="31"/>
  <c r="I94" i="31"/>
  <c r="F93" i="31"/>
  <c r="M91" i="31"/>
  <c r="L91" i="31"/>
  <c r="K91" i="31"/>
  <c r="J91" i="31"/>
  <c r="I91" i="31"/>
  <c r="F91" i="31"/>
  <c r="E91" i="31"/>
  <c r="D91" i="31"/>
  <c r="C91" i="31"/>
  <c r="B91" i="31"/>
  <c r="M90" i="31"/>
  <c r="L90" i="31"/>
  <c r="K90" i="31"/>
  <c r="J90" i="31"/>
  <c r="I90" i="31"/>
  <c r="F90" i="31"/>
  <c r="E90" i="31"/>
  <c r="D90" i="31"/>
  <c r="C90" i="31"/>
  <c r="B90" i="31"/>
  <c r="K89" i="31"/>
  <c r="J88" i="31"/>
  <c r="I88" i="31"/>
  <c r="N88" i="31" s="1"/>
  <c r="F87" i="31"/>
  <c r="E87" i="31"/>
  <c r="M86" i="31"/>
  <c r="L86" i="31"/>
  <c r="K86" i="31"/>
  <c r="J86" i="31"/>
  <c r="I86" i="31"/>
  <c r="F86" i="31"/>
  <c r="E86" i="31"/>
  <c r="D86" i="31"/>
  <c r="C86" i="31"/>
  <c r="B86" i="31"/>
  <c r="M84" i="31"/>
  <c r="L83" i="31"/>
  <c r="M81" i="31"/>
  <c r="L81" i="31"/>
  <c r="K81" i="31"/>
  <c r="J81" i="31"/>
  <c r="I81" i="31"/>
  <c r="F81" i="31"/>
  <c r="E81" i="31"/>
  <c r="D81" i="31"/>
  <c r="C81" i="31"/>
  <c r="B81" i="31"/>
  <c r="M80" i="31"/>
  <c r="L80" i="31"/>
  <c r="K80" i="31"/>
  <c r="J80" i="31"/>
  <c r="I80" i="31"/>
  <c r="F80" i="31"/>
  <c r="E80" i="31"/>
  <c r="D80" i="31"/>
  <c r="C80" i="31"/>
  <c r="B80" i="31"/>
  <c r="B79" i="31"/>
  <c r="G79" i="31" s="1"/>
  <c r="L77" i="31"/>
  <c r="M76" i="31"/>
  <c r="L76" i="31"/>
  <c r="K76" i="31"/>
  <c r="J76" i="31"/>
  <c r="I76" i="31"/>
  <c r="F76" i="31"/>
  <c r="E76" i="31"/>
  <c r="D76" i="31"/>
  <c r="C76" i="31"/>
  <c r="B76" i="31"/>
  <c r="M73" i="31"/>
  <c r="M71" i="31"/>
  <c r="L71" i="31"/>
  <c r="K71" i="31"/>
  <c r="J71" i="31"/>
  <c r="I71" i="31"/>
  <c r="F71" i="31"/>
  <c r="E71" i="31"/>
  <c r="D71" i="31"/>
  <c r="C71" i="31"/>
  <c r="B71" i="31"/>
  <c r="G71" i="31" s="1"/>
  <c r="M70" i="31"/>
  <c r="L70" i="31"/>
  <c r="K70" i="31"/>
  <c r="J70" i="31"/>
  <c r="I70" i="31"/>
  <c r="F70" i="31"/>
  <c r="E70" i="31"/>
  <c r="D70" i="31"/>
  <c r="C70" i="31"/>
  <c r="B70" i="31"/>
  <c r="F69" i="31"/>
  <c r="D69" i="31"/>
  <c r="C69" i="31"/>
  <c r="D68" i="31"/>
  <c r="M67" i="31"/>
  <c r="B67" i="31"/>
  <c r="M66" i="31"/>
  <c r="L66" i="31"/>
  <c r="K66" i="31"/>
  <c r="J66" i="31"/>
  <c r="I66" i="31"/>
  <c r="F66" i="31"/>
  <c r="E66" i="31"/>
  <c r="D66" i="31"/>
  <c r="C66" i="31"/>
  <c r="B66" i="31"/>
  <c r="F64" i="31"/>
  <c r="E64" i="31"/>
  <c r="F63" i="31"/>
  <c r="C63" i="31"/>
  <c r="M61" i="31"/>
  <c r="L61" i="31"/>
  <c r="K61" i="31"/>
  <c r="J61" i="31"/>
  <c r="I61" i="31"/>
  <c r="F61" i="31"/>
  <c r="E61" i="31"/>
  <c r="D61" i="31"/>
  <c r="C61" i="31"/>
  <c r="B61" i="31"/>
  <c r="M60" i="31"/>
  <c r="L60" i="31"/>
  <c r="K60" i="31"/>
  <c r="J60" i="31"/>
  <c r="I60" i="31"/>
  <c r="F60" i="31"/>
  <c r="E60" i="31"/>
  <c r="D60" i="31"/>
  <c r="C60" i="31"/>
  <c r="B60" i="31"/>
  <c r="L59" i="31"/>
  <c r="J59" i="31"/>
  <c r="I59" i="31"/>
  <c r="N59" i="31" s="1"/>
  <c r="E58" i="31"/>
  <c r="F57" i="31"/>
  <c r="M56" i="31"/>
  <c r="L56" i="31"/>
  <c r="K56" i="31"/>
  <c r="J56" i="31"/>
  <c r="I56" i="31"/>
  <c r="F56" i="31"/>
  <c r="E56" i="31"/>
  <c r="D56" i="31"/>
  <c r="C56" i="31"/>
  <c r="B56" i="31"/>
  <c r="I53" i="31"/>
  <c r="F52" i="31"/>
  <c r="M51" i="31"/>
  <c r="L51" i="31"/>
  <c r="K51" i="31"/>
  <c r="J51" i="31"/>
  <c r="I51" i="31"/>
  <c r="F51" i="31"/>
  <c r="E51" i="31"/>
  <c r="D51" i="31"/>
  <c r="C51" i="31"/>
  <c r="B51" i="31"/>
  <c r="M50" i="31"/>
  <c r="L50" i="31"/>
  <c r="K50" i="31"/>
  <c r="J50" i="31"/>
  <c r="I50" i="31"/>
  <c r="F50" i="31"/>
  <c r="E50" i="31"/>
  <c r="D50" i="31"/>
  <c r="C50" i="31"/>
  <c r="B50" i="31"/>
  <c r="M49" i="31"/>
  <c r="B49" i="31"/>
  <c r="G49" i="31" s="1"/>
  <c r="L47" i="31"/>
  <c r="J47" i="31"/>
  <c r="I47" i="31"/>
  <c r="N47" i="31" s="1"/>
  <c r="M46" i="31"/>
  <c r="L46" i="31"/>
  <c r="K46" i="31"/>
  <c r="J46" i="31"/>
  <c r="I46" i="31"/>
  <c r="F46" i="31"/>
  <c r="E46" i="31"/>
  <c r="D46" i="31"/>
  <c r="C46" i="31"/>
  <c r="B46" i="31"/>
  <c r="D44" i="31"/>
  <c r="B43" i="31"/>
  <c r="L42" i="31"/>
  <c r="M41" i="31"/>
  <c r="L41" i="31"/>
  <c r="K41" i="31"/>
  <c r="J41" i="31"/>
  <c r="I41" i="31"/>
  <c r="F41" i="31"/>
  <c r="E41" i="31"/>
  <c r="D41" i="31"/>
  <c r="C41" i="31"/>
  <c r="B41" i="31"/>
  <c r="G41" i="31" s="1"/>
  <c r="M40" i="31"/>
  <c r="L40" i="31"/>
  <c r="K40" i="31"/>
  <c r="J40" i="31"/>
  <c r="I40" i="31"/>
  <c r="F40" i="31"/>
  <c r="E40" i="31"/>
  <c r="D40" i="31"/>
  <c r="C40" i="31"/>
  <c r="B40" i="31"/>
  <c r="D39" i="31"/>
  <c r="C39" i="31"/>
  <c r="M36" i="31"/>
  <c r="L36" i="31"/>
  <c r="K36" i="31"/>
  <c r="J36" i="31"/>
  <c r="I36" i="31"/>
  <c r="F36" i="31"/>
  <c r="E36" i="31"/>
  <c r="D36" i="31"/>
  <c r="C36" i="31"/>
  <c r="B36" i="31"/>
  <c r="J35" i="31"/>
  <c r="F34" i="31"/>
  <c r="M31" i="31"/>
  <c r="L31" i="31"/>
  <c r="K31" i="31"/>
  <c r="J31" i="31"/>
  <c r="I31" i="31"/>
  <c r="F31" i="31"/>
  <c r="E31" i="31"/>
  <c r="D31" i="31"/>
  <c r="C31" i="31"/>
  <c r="B31" i="31"/>
  <c r="G31" i="31" s="1"/>
  <c r="M30" i="31"/>
  <c r="L30" i="31"/>
  <c r="K30" i="31"/>
  <c r="J30" i="31"/>
  <c r="I30" i="31"/>
  <c r="F30" i="31"/>
  <c r="E30" i="31"/>
  <c r="D30" i="31"/>
  <c r="C30" i="31"/>
  <c r="B30" i="31"/>
  <c r="M26" i="31"/>
  <c r="L26" i="31"/>
  <c r="K26" i="31"/>
  <c r="J26" i="31"/>
  <c r="I26" i="31"/>
  <c r="F26" i="31"/>
  <c r="E26" i="31"/>
  <c r="D26" i="31"/>
  <c r="C26" i="31"/>
  <c r="B26" i="31"/>
  <c r="M25" i="31"/>
  <c r="F22" i="31"/>
  <c r="E22" i="31"/>
  <c r="M21" i="31"/>
  <c r="L21" i="31"/>
  <c r="K21" i="31"/>
  <c r="J21" i="31"/>
  <c r="I21" i="31"/>
  <c r="F21" i="31"/>
  <c r="E21" i="31"/>
  <c r="D21" i="31"/>
  <c r="C21" i="31"/>
  <c r="B21" i="31"/>
  <c r="M20" i="31"/>
  <c r="L20" i="31"/>
  <c r="K20" i="31"/>
  <c r="J20" i="31"/>
  <c r="I20" i="31"/>
  <c r="F20" i="31"/>
  <c r="E20" i="31"/>
  <c r="D20" i="31"/>
  <c r="C20" i="31"/>
  <c r="B20" i="31"/>
  <c r="M19" i="31"/>
  <c r="L18" i="31"/>
  <c r="K18" i="31"/>
  <c r="J17" i="31"/>
  <c r="I17" i="31"/>
  <c r="N17" i="31" s="1"/>
  <c r="M16" i="31"/>
  <c r="L16" i="31"/>
  <c r="K16" i="31"/>
  <c r="J16" i="31"/>
  <c r="I16" i="31"/>
  <c r="F16" i="31"/>
  <c r="E16" i="31"/>
  <c r="D16" i="31"/>
  <c r="C16" i="31"/>
  <c r="B16" i="31"/>
  <c r="B14" i="31"/>
  <c r="M13" i="31"/>
  <c r="L12" i="31"/>
  <c r="M11" i="31"/>
  <c r="L11" i="31"/>
  <c r="K11" i="31"/>
  <c r="J11" i="31"/>
  <c r="I11" i="31"/>
  <c r="F11" i="31"/>
  <c r="E11" i="31"/>
  <c r="D11" i="31"/>
  <c r="C11" i="31"/>
  <c r="B11" i="31"/>
  <c r="G11" i="31" s="1"/>
  <c r="M10" i="31"/>
  <c r="L10" i="31"/>
  <c r="K10" i="31"/>
  <c r="J10" i="31"/>
  <c r="I10" i="31"/>
  <c r="F10" i="31"/>
  <c r="E10" i="31"/>
  <c r="D10" i="31"/>
  <c r="C10" i="31"/>
  <c r="B10" i="31"/>
  <c r="D9" i="31"/>
  <c r="C9" i="31"/>
  <c r="B8" i="31"/>
  <c r="G8" i="31" s="1"/>
  <c r="M7" i="31"/>
  <c r="M6" i="31"/>
  <c r="L6" i="31"/>
  <c r="K6" i="31"/>
  <c r="J6" i="31"/>
  <c r="I6" i="31"/>
  <c r="F6" i="31"/>
  <c r="E6" i="31"/>
  <c r="D6" i="31"/>
  <c r="C6" i="31"/>
  <c r="B6" i="31"/>
  <c r="F4" i="31"/>
  <c r="E4" i="31"/>
  <c r="D3" i="31"/>
  <c r="C3" i="31"/>
  <c r="N286" i="31"/>
  <c r="G286" i="31"/>
  <c r="N285" i="31"/>
  <c r="G285" i="31"/>
  <c r="N284" i="31"/>
  <c r="G284" i="31"/>
  <c r="N283" i="31"/>
  <c r="G283" i="31"/>
  <c r="N282" i="31"/>
  <c r="G282" i="31"/>
  <c r="N281" i="31"/>
  <c r="N280" i="31"/>
  <c r="G280" i="31"/>
  <c r="N279" i="31"/>
  <c r="G279" i="31"/>
  <c r="N278" i="31"/>
  <c r="G278" i="31"/>
  <c r="N277" i="31"/>
  <c r="G277" i="31"/>
  <c r="N276" i="31"/>
  <c r="G276" i="31"/>
  <c r="N275" i="31"/>
  <c r="N274" i="31"/>
  <c r="G274" i="31"/>
  <c r="N273" i="31"/>
  <c r="G273" i="31"/>
  <c r="N272" i="31"/>
  <c r="G272" i="31"/>
  <c r="N271" i="31"/>
  <c r="G271" i="31"/>
  <c r="N270" i="31"/>
  <c r="G270" i="31"/>
  <c r="N269" i="31"/>
  <c r="N268" i="31"/>
  <c r="G268" i="31"/>
  <c r="N267" i="31"/>
  <c r="G267" i="31"/>
  <c r="N266" i="31"/>
  <c r="G266" i="31"/>
  <c r="N265" i="31"/>
  <c r="G265" i="31"/>
  <c r="N264" i="31"/>
  <c r="G264" i="31"/>
  <c r="N263" i="31"/>
  <c r="N262" i="31"/>
  <c r="G262" i="31"/>
  <c r="N261" i="31"/>
  <c r="G261" i="31"/>
  <c r="N260" i="31"/>
  <c r="G260" i="31"/>
  <c r="N259" i="31"/>
  <c r="G259" i="31"/>
  <c r="N258" i="31"/>
  <c r="G258" i="31"/>
  <c r="N257" i="31"/>
  <c r="N256" i="31"/>
  <c r="G256" i="31"/>
  <c r="N255" i="31"/>
  <c r="G255" i="31"/>
  <c r="N254" i="31"/>
  <c r="G254" i="31"/>
  <c r="N253" i="31"/>
  <c r="G253" i="31"/>
  <c r="N252" i="31"/>
  <c r="G252" i="31"/>
  <c r="N251" i="31"/>
  <c r="N250" i="31"/>
  <c r="G250" i="31"/>
  <c r="N249" i="31"/>
  <c r="G249" i="31"/>
  <c r="N248" i="31"/>
  <c r="G248" i="31"/>
  <c r="N247" i="31"/>
  <c r="G247" i="31"/>
  <c r="N246" i="31"/>
  <c r="G246" i="31"/>
  <c r="N245" i="31"/>
  <c r="N244" i="31"/>
  <c r="G244" i="31"/>
  <c r="N243" i="31"/>
  <c r="G243" i="31"/>
  <c r="N242" i="31"/>
  <c r="G242" i="31"/>
  <c r="N241" i="31"/>
  <c r="G241" i="31"/>
  <c r="N240" i="31"/>
  <c r="G240" i="31"/>
  <c r="N239" i="31"/>
  <c r="N238" i="31"/>
  <c r="G238" i="31"/>
  <c r="N237" i="31"/>
  <c r="G237" i="31"/>
  <c r="N236" i="31"/>
  <c r="G236" i="31"/>
  <c r="N235" i="31"/>
  <c r="G235" i="31"/>
  <c r="N234" i="31"/>
  <c r="G234" i="31"/>
  <c r="N233" i="31"/>
  <c r="N232" i="31"/>
  <c r="G232" i="31"/>
  <c r="N231" i="31"/>
  <c r="G231" i="31"/>
  <c r="N230" i="31"/>
  <c r="G230" i="31"/>
  <c r="N229" i="31"/>
  <c r="G229" i="31"/>
  <c r="N228" i="31"/>
  <c r="G228" i="31"/>
  <c r="N227" i="31"/>
  <c r="N226" i="31"/>
  <c r="G226" i="31"/>
  <c r="N225" i="31"/>
  <c r="G225" i="31"/>
  <c r="N224" i="31"/>
  <c r="G224" i="31"/>
  <c r="N223" i="31"/>
  <c r="G223" i="31"/>
  <c r="N222" i="31"/>
  <c r="G222" i="31"/>
  <c r="N221" i="31"/>
  <c r="N220" i="31"/>
  <c r="G220" i="31"/>
  <c r="N219" i="31"/>
  <c r="G219" i="31"/>
  <c r="N218" i="31"/>
  <c r="G218" i="31"/>
  <c r="N217" i="31"/>
  <c r="G217" i="31"/>
  <c r="N216" i="31"/>
  <c r="G216" i="31"/>
  <c r="N215" i="31"/>
  <c r="N214" i="31"/>
  <c r="G214" i="31"/>
  <c r="N213" i="31"/>
  <c r="G213" i="31"/>
  <c r="N212" i="31"/>
  <c r="G212" i="31"/>
  <c r="N211" i="31"/>
  <c r="G211" i="31"/>
  <c r="N210" i="31"/>
  <c r="G210" i="31"/>
  <c r="N209" i="31"/>
  <c r="N208" i="31"/>
  <c r="G208" i="31"/>
  <c r="N207" i="31"/>
  <c r="G207" i="31"/>
  <c r="N206" i="31"/>
  <c r="G206" i="31"/>
  <c r="N205" i="31"/>
  <c r="G205" i="31"/>
  <c r="N204" i="31"/>
  <c r="G204" i="31"/>
  <c r="N203" i="31"/>
  <c r="N202" i="31"/>
  <c r="G202" i="31"/>
  <c r="N201" i="31"/>
  <c r="G201" i="31"/>
  <c r="N200" i="31"/>
  <c r="G200" i="31"/>
  <c r="N199" i="31"/>
  <c r="G199" i="31"/>
  <c r="N198" i="31"/>
  <c r="G198" i="31"/>
  <c r="N197" i="31"/>
  <c r="N196" i="31"/>
  <c r="G196" i="31"/>
  <c r="N195" i="31"/>
  <c r="G195" i="31"/>
  <c r="N194" i="31"/>
  <c r="G194" i="31"/>
  <c r="N193" i="31"/>
  <c r="G193" i="31"/>
  <c r="N192" i="31"/>
  <c r="G192" i="31"/>
  <c r="N191" i="31"/>
  <c r="N190" i="31"/>
  <c r="G190" i="31"/>
  <c r="N189" i="31"/>
  <c r="G189" i="31"/>
  <c r="N188" i="31"/>
  <c r="G188" i="31"/>
  <c r="N187" i="31"/>
  <c r="G187" i="31"/>
  <c r="N186" i="31"/>
  <c r="G186" i="31"/>
  <c r="N185" i="31"/>
  <c r="N184" i="31"/>
  <c r="G184" i="31"/>
  <c r="N183" i="31"/>
  <c r="G183" i="31"/>
  <c r="N182" i="31"/>
  <c r="G182" i="31"/>
  <c r="N181" i="31"/>
  <c r="G181" i="31"/>
  <c r="N180" i="31"/>
  <c r="G180" i="31"/>
  <c r="N179" i="31"/>
  <c r="N178" i="31"/>
  <c r="G178" i="31"/>
  <c r="N177" i="31"/>
  <c r="G177" i="31"/>
  <c r="N176" i="31"/>
  <c r="G176" i="31"/>
  <c r="N175" i="31"/>
  <c r="G175" i="31"/>
  <c r="N174" i="31"/>
  <c r="G174" i="31"/>
  <c r="N173" i="31"/>
  <c r="N172" i="31"/>
  <c r="G172" i="31"/>
  <c r="N171" i="31"/>
  <c r="G171" i="31"/>
  <c r="N170" i="31"/>
  <c r="G170" i="31"/>
  <c r="N169" i="31"/>
  <c r="G169" i="31"/>
  <c r="N168" i="31"/>
  <c r="G168" i="31"/>
  <c r="N167" i="31"/>
  <c r="N166" i="31"/>
  <c r="G166" i="31"/>
  <c r="N165" i="31"/>
  <c r="G165" i="31"/>
  <c r="N164" i="31"/>
  <c r="G164" i="31"/>
  <c r="N163" i="31"/>
  <c r="G163" i="31"/>
  <c r="N162" i="31"/>
  <c r="G162" i="31"/>
  <c r="N161" i="31"/>
  <c r="N160" i="31"/>
  <c r="G160" i="31"/>
  <c r="N159" i="31"/>
  <c r="G159" i="31"/>
  <c r="N158" i="31"/>
  <c r="G158" i="31"/>
  <c r="N157" i="31"/>
  <c r="G157" i="31"/>
  <c r="N156" i="31"/>
  <c r="G156" i="31"/>
  <c r="N155" i="31"/>
  <c r="N154" i="31"/>
  <c r="G154" i="31"/>
  <c r="N153" i="31"/>
  <c r="G153" i="31"/>
  <c r="N152" i="31"/>
  <c r="G152" i="31"/>
  <c r="N151" i="31"/>
  <c r="G151" i="31"/>
  <c r="N150" i="31"/>
  <c r="G150" i="31"/>
  <c r="N149" i="31"/>
  <c r="N148" i="31"/>
  <c r="G148" i="31"/>
  <c r="N147" i="31"/>
  <c r="G147" i="31"/>
  <c r="N146" i="31"/>
  <c r="G146" i="31"/>
  <c r="N145" i="31"/>
  <c r="G145" i="31"/>
  <c r="N144" i="31"/>
  <c r="G144" i="31"/>
  <c r="N143" i="31"/>
  <c r="N142" i="31"/>
  <c r="G142" i="31"/>
  <c r="N141" i="31"/>
  <c r="G141" i="31"/>
  <c r="N140" i="31"/>
  <c r="G140" i="31"/>
  <c r="N139" i="31"/>
  <c r="G139" i="31"/>
  <c r="N138" i="31"/>
  <c r="G138" i="31"/>
  <c r="N137" i="31"/>
  <c r="N136" i="31"/>
  <c r="G136" i="31"/>
  <c r="N135" i="31"/>
  <c r="G135" i="31"/>
  <c r="N134" i="31"/>
  <c r="G134" i="31"/>
  <c r="N133" i="31"/>
  <c r="G133" i="31"/>
  <c r="N132" i="31"/>
  <c r="G132" i="31"/>
  <c r="N131" i="31"/>
  <c r="N130" i="31"/>
  <c r="G130" i="31"/>
  <c r="N129" i="31"/>
  <c r="G129" i="31"/>
  <c r="N128" i="31"/>
  <c r="G128" i="31"/>
  <c r="N127" i="31"/>
  <c r="G127" i="31"/>
  <c r="N126" i="31"/>
  <c r="G126" i="31"/>
  <c r="N125" i="31"/>
  <c r="N124" i="31"/>
  <c r="G124" i="31"/>
  <c r="N123" i="31"/>
  <c r="G123" i="31"/>
  <c r="N122" i="31"/>
  <c r="G122" i="31"/>
  <c r="N121" i="31"/>
  <c r="G121" i="31"/>
  <c r="N120" i="31"/>
  <c r="G120" i="31"/>
  <c r="N116" i="31"/>
  <c r="G116" i="31"/>
  <c r="N111" i="31"/>
  <c r="G111" i="31"/>
  <c r="N110" i="31"/>
  <c r="G110" i="31"/>
  <c r="N106" i="31"/>
  <c r="G106" i="31"/>
  <c r="N101" i="31"/>
  <c r="N100" i="31"/>
  <c r="G100" i="31"/>
  <c r="N96" i="31"/>
  <c r="G96" i="31"/>
  <c r="N91" i="31"/>
  <c r="G91" i="31"/>
  <c r="N90" i="31"/>
  <c r="G90" i="31"/>
  <c r="N86" i="31"/>
  <c r="G86" i="31"/>
  <c r="N81" i="31"/>
  <c r="G81" i="31"/>
  <c r="N80" i="31"/>
  <c r="G80" i="31"/>
  <c r="N76" i="31"/>
  <c r="G76" i="31"/>
  <c r="N71" i="31"/>
  <c r="N70" i="31"/>
  <c r="G70" i="31"/>
  <c r="G67" i="31"/>
  <c r="N66" i="31"/>
  <c r="G66" i="31"/>
  <c r="N61" i="31"/>
  <c r="G61" i="31"/>
  <c r="N60" i="31"/>
  <c r="G60" i="31"/>
  <c r="N56" i="31"/>
  <c r="G56" i="31"/>
  <c r="N51" i="31"/>
  <c r="G51" i="31"/>
  <c r="N50" i="31"/>
  <c r="G50" i="31"/>
  <c r="N46" i="31"/>
  <c r="G46" i="31"/>
  <c r="N41" i="31"/>
  <c r="N40" i="31"/>
  <c r="G40" i="31"/>
  <c r="N36" i="31"/>
  <c r="G36" i="31"/>
  <c r="N31" i="31"/>
  <c r="N30" i="31"/>
  <c r="G30" i="31"/>
  <c r="N26" i="31"/>
  <c r="G26" i="31"/>
  <c r="N21" i="31"/>
  <c r="G21" i="31"/>
  <c r="N20" i="31"/>
  <c r="G20" i="31"/>
  <c r="N16" i="31"/>
  <c r="G16" i="31"/>
  <c r="N11" i="31"/>
  <c r="N10" i="31"/>
  <c r="G10" i="31"/>
  <c r="N6" i="31"/>
  <c r="G6" i="31"/>
  <c r="M286" i="30"/>
  <c r="L286" i="30"/>
  <c r="K286" i="30"/>
  <c r="J286" i="30"/>
  <c r="I286" i="30"/>
  <c r="F286" i="30"/>
  <c r="E286" i="30"/>
  <c r="D286" i="30"/>
  <c r="C286" i="30"/>
  <c r="B286" i="30"/>
  <c r="M285" i="30"/>
  <c r="L285" i="30"/>
  <c r="K285" i="30"/>
  <c r="J285" i="30"/>
  <c r="I285" i="30"/>
  <c r="F285" i="30"/>
  <c r="E285" i="30"/>
  <c r="D285" i="30"/>
  <c r="C285" i="30"/>
  <c r="B285" i="30"/>
  <c r="M284" i="30"/>
  <c r="L284" i="30"/>
  <c r="K284" i="30"/>
  <c r="J284" i="30"/>
  <c r="I284" i="30"/>
  <c r="F284" i="30"/>
  <c r="E284" i="30"/>
  <c r="D284" i="30"/>
  <c r="C284" i="30"/>
  <c r="B284" i="30"/>
  <c r="M283" i="30"/>
  <c r="L283" i="30"/>
  <c r="K283" i="30"/>
  <c r="J283" i="30"/>
  <c r="I283" i="30"/>
  <c r="F283" i="30"/>
  <c r="E283" i="30"/>
  <c r="D283" i="30"/>
  <c r="C283" i="30"/>
  <c r="B283" i="30"/>
  <c r="M282" i="30"/>
  <c r="L282" i="30"/>
  <c r="K282" i="30"/>
  <c r="J282" i="30"/>
  <c r="I282" i="30"/>
  <c r="F282" i="30"/>
  <c r="E282" i="30"/>
  <c r="D282" i="30"/>
  <c r="C282" i="30"/>
  <c r="B282" i="30"/>
  <c r="M281" i="30"/>
  <c r="L281" i="30"/>
  <c r="K281" i="30"/>
  <c r="J281" i="30"/>
  <c r="I281" i="30"/>
  <c r="F281" i="30"/>
  <c r="E281" i="30"/>
  <c r="D281" i="30"/>
  <c r="C281" i="30"/>
  <c r="B281" i="30"/>
  <c r="G281" i="30" s="1"/>
  <c r="M280" i="30"/>
  <c r="L280" i="30"/>
  <c r="K280" i="30"/>
  <c r="J280" i="30"/>
  <c r="I280" i="30"/>
  <c r="F280" i="30"/>
  <c r="E280" i="30"/>
  <c r="D280" i="30"/>
  <c r="C280" i="30"/>
  <c r="B280" i="30"/>
  <c r="M279" i="30"/>
  <c r="L279" i="30"/>
  <c r="K279" i="30"/>
  <c r="J279" i="30"/>
  <c r="I279" i="30"/>
  <c r="F279" i="30"/>
  <c r="E279" i="30"/>
  <c r="D279" i="30"/>
  <c r="C279" i="30"/>
  <c r="B279" i="30"/>
  <c r="M278" i="30"/>
  <c r="L278" i="30"/>
  <c r="K278" i="30"/>
  <c r="J278" i="30"/>
  <c r="I278" i="30"/>
  <c r="F278" i="30"/>
  <c r="E278" i="30"/>
  <c r="D278" i="30"/>
  <c r="C278" i="30"/>
  <c r="B278" i="30"/>
  <c r="M277" i="30"/>
  <c r="L277" i="30"/>
  <c r="K277" i="30"/>
  <c r="J277" i="30"/>
  <c r="I277" i="30"/>
  <c r="F277" i="30"/>
  <c r="E277" i="30"/>
  <c r="D277" i="30"/>
  <c r="C277" i="30"/>
  <c r="B277" i="30"/>
  <c r="M276" i="30"/>
  <c r="L276" i="30"/>
  <c r="K276" i="30"/>
  <c r="J276" i="30"/>
  <c r="I276" i="30"/>
  <c r="F276" i="30"/>
  <c r="E276" i="30"/>
  <c r="D276" i="30"/>
  <c r="C276" i="30"/>
  <c r="B276" i="30"/>
  <c r="M275" i="30"/>
  <c r="L275" i="30"/>
  <c r="K275" i="30"/>
  <c r="J275" i="30"/>
  <c r="I275" i="30"/>
  <c r="F275" i="30"/>
  <c r="E275" i="30"/>
  <c r="D275" i="30"/>
  <c r="C275" i="30"/>
  <c r="B275" i="30"/>
  <c r="G275" i="30" s="1"/>
  <c r="M274" i="30"/>
  <c r="L274" i="30"/>
  <c r="K274" i="30"/>
  <c r="J274" i="30"/>
  <c r="I274" i="30"/>
  <c r="F274" i="30"/>
  <c r="E274" i="30"/>
  <c r="D274" i="30"/>
  <c r="C274" i="30"/>
  <c r="B274" i="30"/>
  <c r="M273" i="30"/>
  <c r="L273" i="30"/>
  <c r="K273" i="30"/>
  <c r="J273" i="30"/>
  <c r="I273" i="30"/>
  <c r="F273" i="30"/>
  <c r="E273" i="30"/>
  <c r="D273" i="30"/>
  <c r="C273" i="30"/>
  <c r="B273" i="30"/>
  <c r="M272" i="30"/>
  <c r="L272" i="30"/>
  <c r="K272" i="30"/>
  <c r="J272" i="30"/>
  <c r="I272" i="30"/>
  <c r="F272" i="30"/>
  <c r="E272" i="30"/>
  <c r="D272" i="30"/>
  <c r="C272" i="30"/>
  <c r="B272" i="30"/>
  <c r="M271" i="30"/>
  <c r="L271" i="30"/>
  <c r="K271" i="30"/>
  <c r="J271" i="30"/>
  <c r="I271" i="30"/>
  <c r="F271" i="30"/>
  <c r="E271" i="30"/>
  <c r="D271" i="30"/>
  <c r="C271" i="30"/>
  <c r="B271" i="30"/>
  <c r="M270" i="30"/>
  <c r="L270" i="30"/>
  <c r="K270" i="30"/>
  <c r="J270" i="30"/>
  <c r="I270" i="30"/>
  <c r="F270" i="30"/>
  <c r="E270" i="30"/>
  <c r="D270" i="30"/>
  <c r="C270" i="30"/>
  <c r="B270" i="30"/>
  <c r="M269" i="30"/>
  <c r="L269" i="30"/>
  <c r="K269" i="30"/>
  <c r="J269" i="30"/>
  <c r="I269" i="30"/>
  <c r="F269" i="30"/>
  <c r="E269" i="30"/>
  <c r="D269" i="30"/>
  <c r="C269" i="30"/>
  <c r="B269" i="30"/>
  <c r="G269" i="30" s="1"/>
  <c r="M268" i="30"/>
  <c r="L268" i="30"/>
  <c r="K268" i="30"/>
  <c r="J268" i="30"/>
  <c r="I268" i="30"/>
  <c r="F268" i="30"/>
  <c r="E268" i="30"/>
  <c r="D268" i="30"/>
  <c r="C268" i="30"/>
  <c r="B268" i="30"/>
  <c r="M267" i="30"/>
  <c r="L267" i="30"/>
  <c r="K267" i="30"/>
  <c r="J267" i="30"/>
  <c r="I267" i="30"/>
  <c r="F267" i="30"/>
  <c r="E267" i="30"/>
  <c r="D267" i="30"/>
  <c r="C267" i="30"/>
  <c r="B267" i="30"/>
  <c r="M266" i="30"/>
  <c r="L266" i="30"/>
  <c r="K266" i="30"/>
  <c r="J266" i="30"/>
  <c r="I266" i="30"/>
  <c r="F266" i="30"/>
  <c r="E266" i="30"/>
  <c r="D266" i="30"/>
  <c r="C266" i="30"/>
  <c r="B266" i="30"/>
  <c r="M265" i="30"/>
  <c r="L265" i="30"/>
  <c r="K265" i="30"/>
  <c r="J265" i="30"/>
  <c r="I265" i="30"/>
  <c r="F265" i="30"/>
  <c r="E265" i="30"/>
  <c r="D265" i="30"/>
  <c r="C265" i="30"/>
  <c r="B265" i="30"/>
  <c r="M264" i="30"/>
  <c r="L264" i="30"/>
  <c r="K264" i="30"/>
  <c r="J264" i="30"/>
  <c r="I264" i="30"/>
  <c r="F264" i="30"/>
  <c r="E264" i="30"/>
  <c r="D264" i="30"/>
  <c r="C264" i="30"/>
  <c r="B264" i="30"/>
  <c r="M263" i="30"/>
  <c r="L263" i="30"/>
  <c r="K263" i="30"/>
  <c r="J263" i="30"/>
  <c r="I263" i="30"/>
  <c r="F263" i="30"/>
  <c r="E263" i="30"/>
  <c r="D263" i="30"/>
  <c r="C263" i="30"/>
  <c r="B263" i="30"/>
  <c r="G263" i="30" s="1"/>
  <c r="M262" i="30"/>
  <c r="L262" i="30"/>
  <c r="K262" i="30"/>
  <c r="J262" i="30"/>
  <c r="I262" i="30"/>
  <c r="F262" i="30"/>
  <c r="E262" i="30"/>
  <c r="D262" i="30"/>
  <c r="C262" i="30"/>
  <c r="B262" i="30"/>
  <c r="M261" i="30"/>
  <c r="L261" i="30"/>
  <c r="K261" i="30"/>
  <c r="J261" i="30"/>
  <c r="I261" i="30"/>
  <c r="F261" i="30"/>
  <c r="E261" i="30"/>
  <c r="D261" i="30"/>
  <c r="C261" i="30"/>
  <c r="B261" i="30"/>
  <c r="M260" i="30"/>
  <c r="L260" i="30"/>
  <c r="K260" i="30"/>
  <c r="J260" i="30"/>
  <c r="I260" i="30"/>
  <c r="F260" i="30"/>
  <c r="E260" i="30"/>
  <c r="D260" i="30"/>
  <c r="C260" i="30"/>
  <c r="B260" i="30"/>
  <c r="M259" i="30"/>
  <c r="L259" i="30"/>
  <c r="K259" i="30"/>
  <c r="J259" i="30"/>
  <c r="I259" i="30"/>
  <c r="F259" i="30"/>
  <c r="E259" i="30"/>
  <c r="D259" i="30"/>
  <c r="C259" i="30"/>
  <c r="B259" i="30"/>
  <c r="M258" i="30"/>
  <c r="L258" i="30"/>
  <c r="K258" i="30"/>
  <c r="J258" i="30"/>
  <c r="I258" i="30"/>
  <c r="F258" i="30"/>
  <c r="E258" i="30"/>
  <c r="D258" i="30"/>
  <c r="C258" i="30"/>
  <c r="B258" i="30"/>
  <c r="M257" i="30"/>
  <c r="L257" i="30"/>
  <c r="K257" i="30"/>
  <c r="J257" i="30"/>
  <c r="I257" i="30"/>
  <c r="F257" i="30"/>
  <c r="E257" i="30"/>
  <c r="D257" i="30"/>
  <c r="C257" i="30"/>
  <c r="B257" i="30"/>
  <c r="G257" i="30" s="1"/>
  <c r="M256" i="30"/>
  <c r="L256" i="30"/>
  <c r="K256" i="30"/>
  <c r="J256" i="30"/>
  <c r="I256" i="30"/>
  <c r="F256" i="30"/>
  <c r="E256" i="30"/>
  <c r="D256" i="30"/>
  <c r="C256" i="30"/>
  <c r="B256" i="30"/>
  <c r="M255" i="30"/>
  <c r="L255" i="30"/>
  <c r="K255" i="30"/>
  <c r="J255" i="30"/>
  <c r="I255" i="30"/>
  <c r="F255" i="30"/>
  <c r="E255" i="30"/>
  <c r="D255" i="30"/>
  <c r="C255" i="30"/>
  <c r="B255" i="30"/>
  <c r="M254" i="30"/>
  <c r="L254" i="30"/>
  <c r="K254" i="30"/>
  <c r="J254" i="30"/>
  <c r="I254" i="30"/>
  <c r="F254" i="30"/>
  <c r="E254" i="30"/>
  <c r="D254" i="30"/>
  <c r="C254" i="30"/>
  <c r="B254" i="30"/>
  <c r="M253" i="30"/>
  <c r="L253" i="30"/>
  <c r="K253" i="30"/>
  <c r="J253" i="30"/>
  <c r="I253" i="30"/>
  <c r="F253" i="30"/>
  <c r="E253" i="30"/>
  <c r="D253" i="30"/>
  <c r="C253" i="30"/>
  <c r="B253" i="30"/>
  <c r="M252" i="30"/>
  <c r="L252" i="30"/>
  <c r="K252" i="30"/>
  <c r="J252" i="30"/>
  <c r="I252" i="30"/>
  <c r="F252" i="30"/>
  <c r="E252" i="30"/>
  <c r="D252" i="30"/>
  <c r="C252" i="30"/>
  <c r="B252" i="30"/>
  <c r="M251" i="30"/>
  <c r="L251" i="30"/>
  <c r="K251" i="30"/>
  <c r="J251" i="30"/>
  <c r="I251" i="30"/>
  <c r="F251" i="30"/>
  <c r="E251" i="30"/>
  <c r="D251" i="30"/>
  <c r="C251" i="30"/>
  <c r="B251" i="30"/>
  <c r="G251" i="30" s="1"/>
  <c r="M250" i="30"/>
  <c r="L250" i="30"/>
  <c r="K250" i="30"/>
  <c r="J250" i="30"/>
  <c r="I250" i="30"/>
  <c r="F250" i="30"/>
  <c r="E250" i="30"/>
  <c r="D250" i="30"/>
  <c r="C250" i="30"/>
  <c r="B250" i="30"/>
  <c r="M249" i="30"/>
  <c r="L249" i="30"/>
  <c r="K249" i="30"/>
  <c r="J249" i="30"/>
  <c r="I249" i="30"/>
  <c r="F249" i="30"/>
  <c r="E249" i="30"/>
  <c r="D249" i="30"/>
  <c r="C249" i="30"/>
  <c r="B249" i="30"/>
  <c r="M248" i="30"/>
  <c r="L248" i="30"/>
  <c r="K248" i="30"/>
  <c r="J248" i="30"/>
  <c r="I248" i="30"/>
  <c r="F248" i="30"/>
  <c r="E248" i="30"/>
  <c r="D248" i="30"/>
  <c r="C248" i="30"/>
  <c r="B248" i="30"/>
  <c r="M247" i="30"/>
  <c r="L247" i="30"/>
  <c r="K247" i="30"/>
  <c r="J247" i="30"/>
  <c r="I247" i="30"/>
  <c r="F247" i="30"/>
  <c r="E247" i="30"/>
  <c r="D247" i="30"/>
  <c r="C247" i="30"/>
  <c r="B247" i="30"/>
  <c r="M246" i="30"/>
  <c r="L246" i="30"/>
  <c r="K246" i="30"/>
  <c r="J246" i="30"/>
  <c r="I246" i="30"/>
  <c r="F246" i="30"/>
  <c r="E246" i="30"/>
  <c r="D246" i="30"/>
  <c r="C246" i="30"/>
  <c r="B246" i="30"/>
  <c r="M245" i="30"/>
  <c r="L245" i="30"/>
  <c r="K245" i="30"/>
  <c r="J245" i="30"/>
  <c r="I245" i="30"/>
  <c r="F245" i="30"/>
  <c r="E245" i="30"/>
  <c r="D245" i="30"/>
  <c r="C245" i="30"/>
  <c r="B245" i="30"/>
  <c r="G245" i="30" s="1"/>
  <c r="M244" i="30"/>
  <c r="L244" i="30"/>
  <c r="K244" i="30"/>
  <c r="J244" i="30"/>
  <c r="I244" i="30"/>
  <c r="F244" i="30"/>
  <c r="E244" i="30"/>
  <c r="D244" i="30"/>
  <c r="C244" i="30"/>
  <c r="B244" i="30"/>
  <c r="M243" i="30"/>
  <c r="L243" i="30"/>
  <c r="K243" i="30"/>
  <c r="J243" i="30"/>
  <c r="I243" i="30"/>
  <c r="F243" i="30"/>
  <c r="E243" i="30"/>
  <c r="D243" i="30"/>
  <c r="C243" i="30"/>
  <c r="B243" i="30"/>
  <c r="M242" i="30"/>
  <c r="L242" i="30"/>
  <c r="K242" i="30"/>
  <c r="J242" i="30"/>
  <c r="I242" i="30"/>
  <c r="F242" i="30"/>
  <c r="E242" i="30"/>
  <c r="D242" i="30"/>
  <c r="C242" i="30"/>
  <c r="B242" i="30"/>
  <c r="M241" i="30"/>
  <c r="L241" i="30"/>
  <c r="K241" i="30"/>
  <c r="J241" i="30"/>
  <c r="I241" i="30"/>
  <c r="F241" i="30"/>
  <c r="E241" i="30"/>
  <c r="D241" i="30"/>
  <c r="C241" i="30"/>
  <c r="B241" i="30"/>
  <c r="M240" i="30"/>
  <c r="L240" i="30"/>
  <c r="K240" i="30"/>
  <c r="J240" i="30"/>
  <c r="I240" i="30"/>
  <c r="F240" i="30"/>
  <c r="E240" i="30"/>
  <c r="D240" i="30"/>
  <c r="C240" i="30"/>
  <c r="B240" i="30"/>
  <c r="M239" i="30"/>
  <c r="L239" i="30"/>
  <c r="K239" i="30"/>
  <c r="J239" i="30"/>
  <c r="I239" i="30"/>
  <c r="F239" i="30"/>
  <c r="E239" i="30"/>
  <c r="D239" i="30"/>
  <c r="C239" i="30"/>
  <c r="B239" i="30"/>
  <c r="G239" i="30" s="1"/>
  <c r="M238" i="30"/>
  <c r="L238" i="30"/>
  <c r="K238" i="30"/>
  <c r="J238" i="30"/>
  <c r="I238" i="30"/>
  <c r="F238" i="30"/>
  <c r="E238" i="30"/>
  <c r="D238" i="30"/>
  <c r="C238" i="30"/>
  <c r="B238" i="30"/>
  <c r="M237" i="30"/>
  <c r="L237" i="30"/>
  <c r="K237" i="30"/>
  <c r="J237" i="30"/>
  <c r="I237" i="30"/>
  <c r="F237" i="30"/>
  <c r="E237" i="30"/>
  <c r="D237" i="30"/>
  <c r="C237" i="30"/>
  <c r="B237" i="30"/>
  <c r="M236" i="30"/>
  <c r="L236" i="30"/>
  <c r="K236" i="30"/>
  <c r="J236" i="30"/>
  <c r="I236" i="30"/>
  <c r="F236" i="30"/>
  <c r="E236" i="30"/>
  <c r="D236" i="30"/>
  <c r="C236" i="30"/>
  <c r="B236" i="30"/>
  <c r="M235" i="30"/>
  <c r="L235" i="30"/>
  <c r="K235" i="30"/>
  <c r="J235" i="30"/>
  <c r="I235" i="30"/>
  <c r="F235" i="30"/>
  <c r="E235" i="30"/>
  <c r="D235" i="30"/>
  <c r="C235" i="30"/>
  <c r="B235" i="30"/>
  <c r="M234" i="30"/>
  <c r="L234" i="30"/>
  <c r="K234" i="30"/>
  <c r="J234" i="30"/>
  <c r="I234" i="30"/>
  <c r="F234" i="30"/>
  <c r="E234" i="30"/>
  <c r="D234" i="30"/>
  <c r="C234" i="30"/>
  <c r="B234" i="30"/>
  <c r="M233" i="30"/>
  <c r="L233" i="30"/>
  <c r="K233" i="30"/>
  <c r="J233" i="30"/>
  <c r="I233" i="30"/>
  <c r="F233" i="30"/>
  <c r="E233" i="30"/>
  <c r="D233" i="30"/>
  <c r="C233" i="30"/>
  <c r="B233" i="30"/>
  <c r="G233" i="30" s="1"/>
  <c r="M232" i="30"/>
  <c r="L232" i="30"/>
  <c r="K232" i="30"/>
  <c r="J232" i="30"/>
  <c r="I232" i="30"/>
  <c r="F232" i="30"/>
  <c r="E232" i="30"/>
  <c r="D232" i="30"/>
  <c r="C232" i="30"/>
  <c r="B232" i="30"/>
  <c r="M231" i="30"/>
  <c r="L231" i="30"/>
  <c r="K231" i="30"/>
  <c r="J231" i="30"/>
  <c r="I231" i="30"/>
  <c r="F231" i="30"/>
  <c r="E231" i="30"/>
  <c r="D231" i="30"/>
  <c r="C231" i="30"/>
  <c r="B231" i="30"/>
  <c r="M230" i="30"/>
  <c r="L230" i="30"/>
  <c r="K230" i="30"/>
  <c r="J230" i="30"/>
  <c r="I230" i="30"/>
  <c r="F230" i="30"/>
  <c r="E230" i="30"/>
  <c r="D230" i="30"/>
  <c r="C230" i="30"/>
  <c r="B230" i="30"/>
  <c r="M229" i="30"/>
  <c r="L229" i="30"/>
  <c r="K229" i="30"/>
  <c r="J229" i="30"/>
  <c r="I229" i="30"/>
  <c r="F229" i="30"/>
  <c r="E229" i="30"/>
  <c r="D229" i="30"/>
  <c r="C229" i="30"/>
  <c r="B229" i="30"/>
  <c r="M228" i="30"/>
  <c r="L228" i="30"/>
  <c r="K228" i="30"/>
  <c r="J228" i="30"/>
  <c r="I228" i="30"/>
  <c r="F228" i="30"/>
  <c r="E228" i="30"/>
  <c r="D228" i="30"/>
  <c r="C228" i="30"/>
  <c r="B228" i="30"/>
  <c r="M227" i="30"/>
  <c r="L227" i="30"/>
  <c r="K227" i="30"/>
  <c r="J227" i="30"/>
  <c r="I227" i="30"/>
  <c r="F227" i="30"/>
  <c r="E227" i="30"/>
  <c r="D227" i="30"/>
  <c r="C227" i="30"/>
  <c r="B227" i="30"/>
  <c r="G227" i="30" s="1"/>
  <c r="M226" i="30"/>
  <c r="L226" i="30"/>
  <c r="K226" i="30"/>
  <c r="J226" i="30"/>
  <c r="I226" i="30"/>
  <c r="F226" i="30"/>
  <c r="E226" i="30"/>
  <c r="D226" i="30"/>
  <c r="C226" i="30"/>
  <c r="B226" i="30"/>
  <c r="M225" i="30"/>
  <c r="L225" i="30"/>
  <c r="K225" i="30"/>
  <c r="J225" i="30"/>
  <c r="I225" i="30"/>
  <c r="F225" i="30"/>
  <c r="E225" i="30"/>
  <c r="D225" i="30"/>
  <c r="C225" i="30"/>
  <c r="B225" i="30"/>
  <c r="M224" i="30"/>
  <c r="L224" i="30"/>
  <c r="K224" i="30"/>
  <c r="J224" i="30"/>
  <c r="I224" i="30"/>
  <c r="F224" i="30"/>
  <c r="E224" i="30"/>
  <c r="D224" i="30"/>
  <c r="C224" i="30"/>
  <c r="B224" i="30"/>
  <c r="M223" i="30"/>
  <c r="L223" i="30"/>
  <c r="K223" i="30"/>
  <c r="J223" i="30"/>
  <c r="I223" i="30"/>
  <c r="F223" i="30"/>
  <c r="E223" i="30"/>
  <c r="D223" i="30"/>
  <c r="C223" i="30"/>
  <c r="B223" i="30"/>
  <c r="M222" i="30"/>
  <c r="L222" i="30"/>
  <c r="K222" i="30"/>
  <c r="J222" i="30"/>
  <c r="I222" i="30"/>
  <c r="F222" i="30"/>
  <c r="E222" i="30"/>
  <c r="D222" i="30"/>
  <c r="C222" i="30"/>
  <c r="B222" i="30"/>
  <c r="M221" i="30"/>
  <c r="L221" i="30"/>
  <c r="K221" i="30"/>
  <c r="J221" i="30"/>
  <c r="I221" i="30"/>
  <c r="F221" i="30"/>
  <c r="E221" i="30"/>
  <c r="D221" i="30"/>
  <c r="C221" i="30"/>
  <c r="B221" i="30"/>
  <c r="G221" i="30" s="1"/>
  <c r="M220" i="30"/>
  <c r="L220" i="30"/>
  <c r="K220" i="30"/>
  <c r="J220" i="30"/>
  <c r="I220" i="30"/>
  <c r="F220" i="30"/>
  <c r="E220" i="30"/>
  <c r="D220" i="30"/>
  <c r="C220" i="30"/>
  <c r="B220" i="30"/>
  <c r="M219" i="30"/>
  <c r="L219" i="30"/>
  <c r="K219" i="30"/>
  <c r="J219" i="30"/>
  <c r="I219" i="30"/>
  <c r="F219" i="30"/>
  <c r="E219" i="30"/>
  <c r="D219" i="30"/>
  <c r="C219" i="30"/>
  <c r="B219" i="30"/>
  <c r="M218" i="30"/>
  <c r="L218" i="30"/>
  <c r="K218" i="30"/>
  <c r="J218" i="30"/>
  <c r="I218" i="30"/>
  <c r="F218" i="30"/>
  <c r="E218" i="30"/>
  <c r="D218" i="30"/>
  <c r="C218" i="30"/>
  <c r="B218" i="30"/>
  <c r="M217" i="30"/>
  <c r="L217" i="30"/>
  <c r="K217" i="30"/>
  <c r="J217" i="30"/>
  <c r="I217" i="30"/>
  <c r="F217" i="30"/>
  <c r="E217" i="30"/>
  <c r="D217" i="30"/>
  <c r="C217" i="30"/>
  <c r="B217" i="30"/>
  <c r="M216" i="30"/>
  <c r="L216" i="30"/>
  <c r="K216" i="30"/>
  <c r="J216" i="30"/>
  <c r="I216" i="30"/>
  <c r="F216" i="30"/>
  <c r="E216" i="30"/>
  <c r="D216" i="30"/>
  <c r="C216" i="30"/>
  <c r="B216" i="30"/>
  <c r="M215" i="30"/>
  <c r="L215" i="30"/>
  <c r="K215" i="30"/>
  <c r="J215" i="30"/>
  <c r="I215" i="30"/>
  <c r="F215" i="30"/>
  <c r="E215" i="30"/>
  <c r="D215" i="30"/>
  <c r="C215" i="30"/>
  <c r="B215" i="30"/>
  <c r="G215" i="30" s="1"/>
  <c r="M214" i="30"/>
  <c r="L214" i="30"/>
  <c r="K214" i="30"/>
  <c r="J214" i="30"/>
  <c r="I214" i="30"/>
  <c r="F214" i="30"/>
  <c r="E214" i="30"/>
  <c r="D214" i="30"/>
  <c r="C214" i="30"/>
  <c r="B214" i="30"/>
  <c r="M213" i="30"/>
  <c r="L213" i="30"/>
  <c r="K213" i="30"/>
  <c r="J213" i="30"/>
  <c r="I213" i="30"/>
  <c r="F213" i="30"/>
  <c r="E213" i="30"/>
  <c r="D213" i="30"/>
  <c r="C213" i="30"/>
  <c r="B213" i="30"/>
  <c r="M212" i="30"/>
  <c r="L212" i="30"/>
  <c r="K212" i="30"/>
  <c r="J212" i="30"/>
  <c r="I212" i="30"/>
  <c r="F212" i="30"/>
  <c r="E212" i="30"/>
  <c r="D212" i="30"/>
  <c r="C212" i="30"/>
  <c r="B212" i="30"/>
  <c r="M211" i="30"/>
  <c r="L211" i="30"/>
  <c r="K211" i="30"/>
  <c r="J211" i="30"/>
  <c r="I211" i="30"/>
  <c r="F211" i="30"/>
  <c r="E211" i="30"/>
  <c r="D211" i="30"/>
  <c r="C211" i="30"/>
  <c r="B211" i="30"/>
  <c r="M210" i="30"/>
  <c r="L210" i="30"/>
  <c r="K210" i="30"/>
  <c r="J210" i="30"/>
  <c r="I210" i="30"/>
  <c r="F210" i="30"/>
  <c r="E210" i="30"/>
  <c r="D210" i="30"/>
  <c r="C210" i="30"/>
  <c r="B210" i="30"/>
  <c r="M209" i="30"/>
  <c r="L209" i="30"/>
  <c r="K209" i="30"/>
  <c r="J209" i="30"/>
  <c r="I209" i="30"/>
  <c r="F209" i="30"/>
  <c r="E209" i="30"/>
  <c r="D209" i="30"/>
  <c r="C209" i="30"/>
  <c r="B209" i="30"/>
  <c r="G209" i="30" s="1"/>
  <c r="M208" i="30"/>
  <c r="L208" i="30"/>
  <c r="K208" i="30"/>
  <c r="J208" i="30"/>
  <c r="I208" i="30"/>
  <c r="F208" i="30"/>
  <c r="E208" i="30"/>
  <c r="D208" i="30"/>
  <c r="C208" i="30"/>
  <c r="B208" i="30"/>
  <c r="M207" i="30"/>
  <c r="L207" i="30"/>
  <c r="K207" i="30"/>
  <c r="J207" i="30"/>
  <c r="I207" i="30"/>
  <c r="F207" i="30"/>
  <c r="E207" i="30"/>
  <c r="D207" i="30"/>
  <c r="C207" i="30"/>
  <c r="B207" i="30"/>
  <c r="M206" i="30"/>
  <c r="L206" i="30"/>
  <c r="K206" i="30"/>
  <c r="J206" i="30"/>
  <c r="I206" i="30"/>
  <c r="F206" i="30"/>
  <c r="E206" i="30"/>
  <c r="D206" i="30"/>
  <c r="C206" i="30"/>
  <c r="B206" i="30"/>
  <c r="M205" i="30"/>
  <c r="L205" i="30"/>
  <c r="K205" i="30"/>
  <c r="J205" i="30"/>
  <c r="I205" i="30"/>
  <c r="F205" i="30"/>
  <c r="E205" i="30"/>
  <c r="D205" i="30"/>
  <c r="C205" i="30"/>
  <c r="B205" i="30"/>
  <c r="M204" i="30"/>
  <c r="L204" i="30"/>
  <c r="K204" i="30"/>
  <c r="J204" i="30"/>
  <c r="I204" i="30"/>
  <c r="F204" i="30"/>
  <c r="E204" i="30"/>
  <c r="D204" i="30"/>
  <c r="C204" i="30"/>
  <c r="B204" i="30"/>
  <c r="M203" i="30"/>
  <c r="L203" i="30"/>
  <c r="K203" i="30"/>
  <c r="J203" i="30"/>
  <c r="I203" i="30"/>
  <c r="F203" i="30"/>
  <c r="E203" i="30"/>
  <c r="D203" i="30"/>
  <c r="C203" i="30"/>
  <c r="B203" i="30"/>
  <c r="G203" i="30" s="1"/>
  <c r="M202" i="30"/>
  <c r="L202" i="30"/>
  <c r="K202" i="30"/>
  <c r="J202" i="30"/>
  <c r="I202" i="30"/>
  <c r="F202" i="30"/>
  <c r="E202" i="30"/>
  <c r="D202" i="30"/>
  <c r="C202" i="30"/>
  <c r="B202" i="30"/>
  <c r="M201" i="30"/>
  <c r="L201" i="30"/>
  <c r="K201" i="30"/>
  <c r="J201" i="30"/>
  <c r="I201" i="30"/>
  <c r="F201" i="30"/>
  <c r="E201" i="30"/>
  <c r="D201" i="30"/>
  <c r="C201" i="30"/>
  <c r="B201" i="30"/>
  <c r="M200" i="30"/>
  <c r="L200" i="30"/>
  <c r="K200" i="30"/>
  <c r="J200" i="30"/>
  <c r="I200" i="30"/>
  <c r="F200" i="30"/>
  <c r="E200" i="30"/>
  <c r="D200" i="30"/>
  <c r="C200" i="30"/>
  <c r="B200" i="30"/>
  <c r="M199" i="30"/>
  <c r="L199" i="30"/>
  <c r="K199" i="30"/>
  <c r="J199" i="30"/>
  <c r="I199" i="30"/>
  <c r="F199" i="30"/>
  <c r="E199" i="30"/>
  <c r="D199" i="30"/>
  <c r="C199" i="30"/>
  <c r="B199" i="30"/>
  <c r="M198" i="30"/>
  <c r="L198" i="30"/>
  <c r="K198" i="30"/>
  <c r="J198" i="30"/>
  <c r="I198" i="30"/>
  <c r="F198" i="30"/>
  <c r="E198" i="30"/>
  <c r="D198" i="30"/>
  <c r="C198" i="30"/>
  <c r="B198" i="30"/>
  <c r="M197" i="30"/>
  <c r="L197" i="30"/>
  <c r="K197" i="30"/>
  <c r="J197" i="30"/>
  <c r="I197" i="30"/>
  <c r="F197" i="30"/>
  <c r="E197" i="30"/>
  <c r="D197" i="30"/>
  <c r="C197" i="30"/>
  <c r="B197" i="30"/>
  <c r="G197" i="30" s="1"/>
  <c r="M196" i="30"/>
  <c r="L196" i="30"/>
  <c r="K196" i="30"/>
  <c r="J196" i="30"/>
  <c r="I196" i="30"/>
  <c r="F196" i="30"/>
  <c r="E196" i="30"/>
  <c r="D196" i="30"/>
  <c r="C196" i="30"/>
  <c r="B196" i="30"/>
  <c r="M195" i="30"/>
  <c r="L195" i="30"/>
  <c r="K195" i="30"/>
  <c r="J195" i="30"/>
  <c r="I195" i="30"/>
  <c r="F195" i="30"/>
  <c r="E195" i="30"/>
  <c r="D195" i="30"/>
  <c r="C195" i="30"/>
  <c r="B195" i="30"/>
  <c r="M194" i="30"/>
  <c r="L194" i="30"/>
  <c r="K194" i="30"/>
  <c r="J194" i="30"/>
  <c r="I194" i="30"/>
  <c r="F194" i="30"/>
  <c r="E194" i="30"/>
  <c r="D194" i="30"/>
  <c r="C194" i="30"/>
  <c r="B194" i="30"/>
  <c r="M193" i="30"/>
  <c r="L193" i="30"/>
  <c r="K193" i="30"/>
  <c r="J193" i="30"/>
  <c r="I193" i="30"/>
  <c r="F193" i="30"/>
  <c r="E193" i="30"/>
  <c r="D193" i="30"/>
  <c r="C193" i="30"/>
  <c r="B193" i="30"/>
  <c r="M192" i="30"/>
  <c r="L192" i="30"/>
  <c r="K192" i="30"/>
  <c r="J192" i="30"/>
  <c r="I192" i="30"/>
  <c r="F192" i="30"/>
  <c r="E192" i="30"/>
  <c r="D192" i="30"/>
  <c r="C192" i="30"/>
  <c r="B192" i="30"/>
  <c r="M191" i="30"/>
  <c r="L191" i="30"/>
  <c r="K191" i="30"/>
  <c r="J191" i="30"/>
  <c r="I191" i="30"/>
  <c r="F191" i="30"/>
  <c r="E191" i="30"/>
  <c r="D191" i="30"/>
  <c r="C191" i="30"/>
  <c r="B191" i="30"/>
  <c r="G191" i="30" s="1"/>
  <c r="M190" i="30"/>
  <c r="L190" i="30"/>
  <c r="K190" i="30"/>
  <c r="J190" i="30"/>
  <c r="I190" i="30"/>
  <c r="F190" i="30"/>
  <c r="E190" i="30"/>
  <c r="D190" i="30"/>
  <c r="C190" i="30"/>
  <c r="B190" i="30"/>
  <c r="M189" i="30"/>
  <c r="L189" i="30"/>
  <c r="K189" i="30"/>
  <c r="J189" i="30"/>
  <c r="I189" i="30"/>
  <c r="F189" i="30"/>
  <c r="E189" i="30"/>
  <c r="D189" i="30"/>
  <c r="C189" i="30"/>
  <c r="B189" i="30"/>
  <c r="M188" i="30"/>
  <c r="L188" i="30"/>
  <c r="K188" i="30"/>
  <c r="J188" i="30"/>
  <c r="I188" i="30"/>
  <c r="F188" i="30"/>
  <c r="E188" i="30"/>
  <c r="D188" i="30"/>
  <c r="C188" i="30"/>
  <c r="B188" i="30"/>
  <c r="M187" i="30"/>
  <c r="L187" i="30"/>
  <c r="K187" i="30"/>
  <c r="J187" i="30"/>
  <c r="I187" i="30"/>
  <c r="F187" i="30"/>
  <c r="E187" i="30"/>
  <c r="D187" i="30"/>
  <c r="C187" i="30"/>
  <c r="B187" i="30"/>
  <c r="M186" i="30"/>
  <c r="L186" i="30"/>
  <c r="K186" i="30"/>
  <c r="J186" i="30"/>
  <c r="I186" i="30"/>
  <c r="F186" i="30"/>
  <c r="E186" i="30"/>
  <c r="D186" i="30"/>
  <c r="C186" i="30"/>
  <c r="B186" i="30"/>
  <c r="M185" i="30"/>
  <c r="L185" i="30"/>
  <c r="K185" i="30"/>
  <c r="J185" i="30"/>
  <c r="I185" i="30"/>
  <c r="F185" i="30"/>
  <c r="E185" i="30"/>
  <c r="D185" i="30"/>
  <c r="C185" i="30"/>
  <c r="B185" i="30"/>
  <c r="G185" i="30" s="1"/>
  <c r="M184" i="30"/>
  <c r="L184" i="30"/>
  <c r="K184" i="30"/>
  <c r="J184" i="30"/>
  <c r="I184" i="30"/>
  <c r="F184" i="30"/>
  <c r="E184" i="30"/>
  <c r="D184" i="30"/>
  <c r="C184" i="30"/>
  <c r="B184" i="30"/>
  <c r="M183" i="30"/>
  <c r="L183" i="30"/>
  <c r="K183" i="30"/>
  <c r="J183" i="30"/>
  <c r="I183" i="30"/>
  <c r="F183" i="30"/>
  <c r="E183" i="30"/>
  <c r="D183" i="30"/>
  <c r="C183" i="30"/>
  <c r="B183" i="30"/>
  <c r="M182" i="30"/>
  <c r="L182" i="30"/>
  <c r="K182" i="30"/>
  <c r="J182" i="30"/>
  <c r="I182" i="30"/>
  <c r="F182" i="30"/>
  <c r="E182" i="30"/>
  <c r="D182" i="30"/>
  <c r="C182" i="30"/>
  <c r="B182" i="30"/>
  <c r="M181" i="30"/>
  <c r="L181" i="30"/>
  <c r="K181" i="30"/>
  <c r="J181" i="30"/>
  <c r="I181" i="30"/>
  <c r="F181" i="30"/>
  <c r="E181" i="30"/>
  <c r="D181" i="30"/>
  <c r="C181" i="30"/>
  <c r="B181" i="30"/>
  <c r="M180" i="30"/>
  <c r="L180" i="30"/>
  <c r="K180" i="30"/>
  <c r="J180" i="30"/>
  <c r="I180" i="30"/>
  <c r="F180" i="30"/>
  <c r="E180" i="30"/>
  <c r="D180" i="30"/>
  <c r="C180" i="30"/>
  <c r="B180" i="30"/>
  <c r="M179" i="30"/>
  <c r="L179" i="30"/>
  <c r="K179" i="30"/>
  <c r="J179" i="30"/>
  <c r="I179" i="30"/>
  <c r="F179" i="30"/>
  <c r="E179" i="30"/>
  <c r="D179" i="30"/>
  <c r="C179" i="30"/>
  <c r="B179" i="30"/>
  <c r="G179" i="30" s="1"/>
  <c r="M178" i="30"/>
  <c r="L178" i="30"/>
  <c r="K178" i="30"/>
  <c r="J178" i="30"/>
  <c r="I178" i="30"/>
  <c r="F178" i="30"/>
  <c r="E178" i="30"/>
  <c r="D178" i="30"/>
  <c r="C178" i="30"/>
  <c r="B178" i="30"/>
  <c r="M177" i="30"/>
  <c r="L177" i="30"/>
  <c r="K177" i="30"/>
  <c r="J177" i="30"/>
  <c r="I177" i="30"/>
  <c r="F177" i="30"/>
  <c r="E177" i="30"/>
  <c r="D177" i="30"/>
  <c r="C177" i="30"/>
  <c r="B177" i="30"/>
  <c r="M176" i="30"/>
  <c r="L176" i="30"/>
  <c r="K176" i="30"/>
  <c r="J176" i="30"/>
  <c r="I176" i="30"/>
  <c r="F176" i="30"/>
  <c r="E176" i="30"/>
  <c r="D176" i="30"/>
  <c r="C176" i="30"/>
  <c r="B176" i="30"/>
  <c r="M175" i="30"/>
  <c r="L175" i="30"/>
  <c r="K175" i="30"/>
  <c r="J175" i="30"/>
  <c r="I175" i="30"/>
  <c r="F175" i="30"/>
  <c r="E175" i="30"/>
  <c r="D175" i="30"/>
  <c r="C175" i="30"/>
  <c r="B175" i="30"/>
  <c r="M174" i="30"/>
  <c r="L174" i="30"/>
  <c r="K174" i="30"/>
  <c r="J174" i="30"/>
  <c r="I174" i="30"/>
  <c r="F174" i="30"/>
  <c r="E174" i="30"/>
  <c r="D174" i="30"/>
  <c r="C174" i="30"/>
  <c r="B174" i="30"/>
  <c r="M173" i="30"/>
  <c r="L173" i="30"/>
  <c r="K173" i="30"/>
  <c r="J173" i="30"/>
  <c r="I173" i="30"/>
  <c r="F173" i="30"/>
  <c r="E173" i="30"/>
  <c r="D173" i="30"/>
  <c r="C173" i="30"/>
  <c r="B173" i="30"/>
  <c r="G173" i="30" s="1"/>
  <c r="M172" i="30"/>
  <c r="L172" i="30"/>
  <c r="K172" i="30"/>
  <c r="J172" i="30"/>
  <c r="I172" i="30"/>
  <c r="F172" i="30"/>
  <c r="E172" i="30"/>
  <c r="D172" i="30"/>
  <c r="C172" i="30"/>
  <c r="B172" i="30"/>
  <c r="M171" i="30"/>
  <c r="L171" i="30"/>
  <c r="K171" i="30"/>
  <c r="J171" i="30"/>
  <c r="I171" i="30"/>
  <c r="F171" i="30"/>
  <c r="E171" i="30"/>
  <c r="D171" i="30"/>
  <c r="C171" i="30"/>
  <c r="B171" i="30"/>
  <c r="M170" i="30"/>
  <c r="L170" i="30"/>
  <c r="K170" i="30"/>
  <c r="J170" i="30"/>
  <c r="I170" i="30"/>
  <c r="F170" i="30"/>
  <c r="E170" i="30"/>
  <c r="D170" i="30"/>
  <c r="C170" i="30"/>
  <c r="B170" i="30"/>
  <c r="M169" i="30"/>
  <c r="L169" i="30"/>
  <c r="K169" i="30"/>
  <c r="J169" i="30"/>
  <c r="I169" i="30"/>
  <c r="F169" i="30"/>
  <c r="E169" i="30"/>
  <c r="D169" i="30"/>
  <c r="C169" i="30"/>
  <c r="B169" i="30"/>
  <c r="M168" i="30"/>
  <c r="L168" i="30"/>
  <c r="K168" i="30"/>
  <c r="J168" i="30"/>
  <c r="I168" i="30"/>
  <c r="F168" i="30"/>
  <c r="E168" i="30"/>
  <c r="D168" i="30"/>
  <c r="C168" i="30"/>
  <c r="B168" i="30"/>
  <c r="M167" i="30"/>
  <c r="L167" i="30"/>
  <c r="K167" i="30"/>
  <c r="J167" i="30"/>
  <c r="I167" i="30"/>
  <c r="F167" i="30"/>
  <c r="E167" i="30"/>
  <c r="D167" i="30"/>
  <c r="C167" i="30"/>
  <c r="B167" i="30"/>
  <c r="G167" i="30" s="1"/>
  <c r="M166" i="30"/>
  <c r="L166" i="30"/>
  <c r="K166" i="30"/>
  <c r="J166" i="30"/>
  <c r="I166" i="30"/>
  <c r="F166" i="30"/>
  <c r="E166" i="30"/>
  <c r="D166" i="30"/>
  <c r="C166" i="30"/>
  <c r="B166" i="30"/>
  <c r="M165" i="30"/>
  <c r="L165" i="30"/>
  <c r="K165" i="30"/>
  <c r="J165" i="30"/>
  <c r="I165" i="30"/>
  <c r="F165" i="30"/>
  <c r="E165" i="30"/>
  <c r="D165" i="30"/>
  <c r="C165" i="30"/>
  <c r="B165" i="30"/>
  <c r="M164" i="30"/>
  <c r="L164" i="30"/>
  <c r="K164" i="30"/>
  <c r="J164" i="30"/>
  <c r="I164" i="30"/>
  <c r="F164" i="30"/>
  <c r="E164" i="30"/>
  <c r="D164" i="30"/>
  <c r="C164" i="30"/>
  <c r="B164" i="30"/>
  <c r="M163" i="30"/>
  <c r="L163" i="30"/>
  <c r="K163" i="30"/>
  <c r="J163" i="30"/>
  <c r="I163" i="30"/>
  <c r="F163" i="30"/>
  <c r="E163" i="30"/>
  <c r="D163" i="30"/>
  <c r="C163" i="30"/>
  <c r="B163" i="30"/>
  <c r="M162" i="30"/>
  <c r="L162" i="30"/>
  <c r="K162" i="30"/>
  <c r="J162" i="30"/>
  <c r="I162" i="30"/>
  <c r="F162" i="30"/>
  <c r="E162" i="30"/>
  <c r="D162" i="30"/>
  <c r="C162" i="30"/>
  <c r="B162" i="30"/>
  <c r="M161" i="30"/>
  <c r="L161" i="30"/>
  <c r="K161" i="30"/>
  <c r="J161" i="30"/>
  <c r="I161" i="30"/>
  <c r="F161" i="30"/>
  <c r="E161" i="30"/>
  <c r="D161" i="30"/>
  <c r="C161" i="30"/>
  <c r="B161" i="30"/>
  <c r="G161" i="30" s="1"/>
  <c r="M160" i="30"/>
  <c r="L160" i="30"/>
  <c r="K160" i="30"/>
  <c r="J160" i="30"/>
  <c r="I160" i="30"/>
  <c r="F160" i="30"/>
  <c r="E160" i="30"/>
  <c r="D160" i="30"/>
  <c r="C160" i="30"/>
  <c r="B160" i="30"/>
  <c r="M159" i="30"/>
  <c r="L159" i="30"/>
  <c r="K159" i="30"/>
  <c r="J159" i="30"/>
  <c r="I159" i="30"/>
  <c r="F159" i="30"/>
  <c r="E159" i="30"/>
  <c r="D159" i="30"/>
  <c r="C159" i="30"/>
  <c r="B159" i="30"/>
  <c r="M158" i="30"/>
  <c r="L158" i="30"/>
  <c r="K158" i="30"/>
  <c r="J158" i="30"/>
  <c r="I158" i="30"/>
  <c r="F158" i="30"/>
  <c r="E158" i="30"/>
  <c r="D158" i="30"/>
  <c r="C158" i="30"/>
  <c r="B158" i="30"/>
  <c r="M157" i="30"/>
  <c r="L157" i="30"/>
  <c r="K157" i="30"/>
  <c r="J157" i="30"/>
  <c r="I157" i="30"/>
  <c r="F157" i="30"/>
  <c r="E157" i="30"/>
  <c r="D157" i="30"/>
  <c r="C157" i="30"/>
  <c r="B157" i="30"/>
  <c r="M156" i="30"/>
  <c r="L156" i="30"/>
  <c r="K156" i="30"/>
  <c r="J156" i="30"/>
  <c r="I156" i="30"/>
  <c r="F156" i="30"/>
  <c r="E156" i="30"/>
  <c r="D156" i="30"/>
  <c r="C156" i="30"/>
  <c r="B156" i="30"/>
  <c r="M155" i="30"/>
  <c r="L155" i="30"/>
  <c r="K155" i="30"/>
  <c r="J155" i="30"/>
  <c r="I155" i="30"/>
  <c r="F155" i="30"/>
  <c r="E155" i="30"/>
  <c r="D155" i="30"/>
  <c r="C155" i="30"/>
  <c r="B155" i="30"/>
  <c r="G155" i="30" s="1"/>
  <c r="M154" i="30"/>
  <c r="L154" i="30"/>
  <c r="K154" i="30"/>
  <c r="J154" i="30"/>
  <c r="I154" i="30"/>
  <c r="F154" i="30"/>
  <c r="E154" i="30"/>
  <c r="D154" i="30"/>
  <c r="C154" i="30"/>
  <c r="B154" i="30"/>
  <c r="M153" i="30"/>
  <c r="L153" i="30"/>
  <c r="K153" i="30"/>
  <c r="J153" i="30"/>
  <c r="I153" i="30"/>
  <c r="F153" i="30"/>
  <c r="E153" i="30"/>
  <c r="D153" i="30"/>
  <c r="C153" i="30"/>
  <c r="B153" i="30"/>
  <c r="M152" i="30"/>
  <c r="L152" i="30"/>
  <c r="K152" i="30"/>
  <c r="J152" i="30"/>
  <c r="I152" i="30"/>
  <c r="F152" i="30"/>
  <c r="E152" i="30"/>
  <c r="D152" i="30"/>
  <c r="C152" i="30"/>
  <c r="B152" i="30"/>
  <c r="M151" i="30"/>
  <c r="L151" i="30"/>
  <c r="K151" i="30"/>
  <c r="J151" i="30"/>
  <c r="I151" i="30"/>
  <c r="F151" i="30"/>
  <c r="E151" i="30"/>
  <c r="D151" i="30"/>
  <c r="C151" i="30"/>
  <c r="B151" i="30"/>
  <c r="M150" i="30"/>
  <c r="L150" i="30"/>
  <c r="K150" i="30"/>
  <c r="J150" i="30"/>
  <c r="I150" i="30"/>
  <c r="F150" i="30"/>
  <c r="E150" i="30"/>
  <c r="D150" i="30"/>
  <c r="C150" i="30"/>
  <c r="B150" i="30"/>
  <c r="M149" i="30"/>
  <c r="L149" i="30"/>
  <c r="K149" i="30"/>
  <c r="J149" i="30"/>
  <c r="I149" i="30"/>
  <c r="F149" i="30"/>
  <c r="E149" i="30"/>
  <c r="D149" i="30"/>
  <c r="C149" i="30"/>
  <c r="B149" i="30"/>
  <c r="G149" i="30" s="1"/>
  <c r="M148" i="30"/>
  <c r="L148" i="30"/>
  <c r="K148" i="30"/>
  <c r="J148" i="30"/>
  <c r="I148" i="30"/>
  <c r="F148" i="30"/>
  <c r="E148" i="30"/>
  <c r="D148" i="30"/>
  <c r="C148" i="30"/>
  <c r="B148" i="30"/>
  <c r="M147" i="30"/>
  <c r="L147" i="30"/>
  <c r="K147" i="30"/>
  <c r="J147" i="30"/>
  <c r="I147" i="30"/>
  <c r="F147" i="30"/>
  <c r="E147" i="30"/>
  <c r="D147" i="30"/>
  <c r="C147" i="30"/>
  <c r="B147" i="30"/>
  <c r="M146" i="30"/>
  <c r="L146" i="30"/>
  <c r="K146" i="30"/>
  <c r="J146" i="30"/>
  <c r="I146" i="30"/>
  <c r="F146" i="30"/>
  <c r="E146" i="30"/>
  <c r="D146" i="30"/>
  <c r="C146" i="30"/>
  <c r="B146" i="30"/>
  <c r="M145" i="30"/>
  <c r="L145" i="30"/>
  <c r="K145" i="30"/>
  <c r="J145" i="30"/>
  <c r="I145" i="30"/>
  <c r="F145" i="30"/>
  <c r="E145" i="30"/>
  <c r="D145" i="30"/>
  <c r="C145" i="30"/>
  <c r="B145" i="30"/>
  <c r="M144" i="30"/>
  <c r="L144" i="30"/>
  <c r="K144" i="30"/>
  <c r="J144" i="30"/>
  <c r="I144" i="30"/>
  <c r="F144" i="30"/>
  <c r="E144" i="30"/>
  <c r="D144" i="30"/>
  <c r="C144" i="30"/>
  <c r="B144" i="30"/>
  <c r="M143" i="30"/>
  <c r="L143" i="30"/>
  <c r="K143" i="30"/>
  <c r="J143" i="30"/>
  <c r="I143" i="30"/>
  <c r="F143" i="30"/>
  <c r="E143" i="30"/>
  <c r="D143" i="30"/>
  <c r="C143" i="30"/>
  <c r="B143" i="30"/>
  <c r="G143" i="30" s="1"/>
  <c r="M142" i="30"/>
  <c r="L142" i="30"/>
  <c r="K142" i="30"/>
  <c r="J142" i="30"/>
  <c r="I142" i="30"/>
  <c r="F142" i="30"/>
  <c r="E142" i="30"/>
  <c r="D142" i="30"/>
  <c r="C142" i="30"/>
  <c r="B142" i="30"/>
  <c r="M141" i="30"/>
  <c r="L141" i="30"/>
  <c r="K141" i="30"/>
  <c r="J141" i="30"/>
  <c r="I141" i="30"/>
  <c r="F141" i="30"/>
  <c r="E141" i="30"/>
  <c r="D141" i="30"/>
  <c r="C141" i="30"/>
  <c r="B141" i="30"/>
  <c r="M140" i="30"/>
  <c r="L140" i="30"/>
  <c r="K140" i="30"/>
  <c r="J140" i="30"/>
  <c r="I140" i="30"/>
  <c r="F140" i="30"/>
  <c r="E140" i="30"/>
  <c r="D140" i="30"/>
  <c r="C140" i="30"/>
  <c r="B140" i="30"/>
  <c r="M139" i="30"/>
  <c r="L139" i="30"/>
  <c r="K139" i="30"/>
  <c r="J139" i="30"/>
  <c r="I139" i="30"/>
  <c r="F139" i="30"/>
  <c r="E139" i="30"/>
  <c r="D139" i="30"/>
  <c r="C139" i="30"/>
  <c r="B139" i="30"/>
  <c r="M138" i="30"/>
  <c r="L138" i="30"/>
  <c r="K138" i="30"/>
  <c r="J138" i="30"/>
  <c r="I138" i="30"/>
  <c r="F138" i="30"/>
  <c r="E138" i="30"/>
  <c r="D138" i="30"/>
  <c r="C138" i="30"/>
  <c r="B138" i="30"/>
  <c r="M137" i="30"/>
  <c r="L137" i="30"/>
  <c r="K137" i="30"/>
  <c r="J137" i="30"/>
  <c r="I137" i="30"/>
  <c r="F137" i="30"/>
  <c r="E137" i="30"/>
  <c r="D137" i="30"/>
  <c r="C137" i="30"/>
  <c r="B137" i="30"/>
  <c r="G137" i="30" s="1"/>
  <c r="M136" i="30"/>
  <c r="L136" i="30"/>
  <c r="K136" i="30"/>
  <c r="J136" i="30"/>
  <c r="I136" i="30"/>
  <c r="F136" i="30"/>
  <c r="E136" i="30"/>
  <c r="D136" i="30"/>
  <c r="C136" i="30"/>
  <c r="B136" i="30"/>
  <c r="M135" i="30"/>
  <c r="L135" i="30"/>
  <c r="K135" i="30"/>
  <c r="J135" i="30"/>
  <c r="I135" i="30"/>
  <c r="F135" i="30"/>
  <c r="E135" i="30"/>
  <c r="D135" i="30"/>
  <c r="C135" i="30"/>
  <c r="B135" i="30"/>
  <c r="M134" i="30"/>
  <c r="L134" i="30"/>
  <c r="K134" i="30"/>
  <c r="J134" i="30"/>
  <c r="I134" i="30"/>
  <c r="F134" i="30"/>
  <c r="E134" i="30"/>
  <c r="D134" i="30"/>
  <c r="C134" i="30"/>
  <c r="B134" i="30"/>
  <c r="M133" i="30"/>
  <c r="L133" i="30"/>
  <c r="K133" i="30"/>
  <c r="J133" i="30"/>
  <c r="I133" i="30"/>
  <c r="F133" i="30"/>
  <c r="E133" i="30"/>
  <c r="D133" i="30"/>
  <c r="C133" i="30"/>
  <c r="B133" i="30"/>
  <c r="M132" i="30"/>
  <c r="L132" i="30"/>
  <c r="K132" i="30"/>
  <c r="J132" i="30"/>
  <c r="I132" i="30"/>
  <c r="F132" i="30"/>
  <c r="E132" i="30"/>
  <c r="D132" i="30"/>
  <c r="C132" i="30"/>
  <c r="B132" i="30"/>
  <c r="M131" i="30"/>
  <c r="L131" i="30"/>
  <c r="K131" i="30"/>
  <c r="J131" i="30"/>
  <c r="I131" i="30"/>
  <c r="F131" i="30"/>
  <c r="E131" i="30"/>
  <c r="D131" i="30"/>
  <c r="C131" i="30"/>
  <c r="B131" i="30"/>
  <c r="G131" i="30" s="1"/>
  <c r="M130" i="30"/>
  <c r="L130" i="30"/>
  <c r="K130" i="30"/>
  <c r="J130" i="30"/>
  <c r="I130" i="30"/>
  <c r="F130" i="30"/>
  <c r="E130" i="30"/>
  <c r="D130" i="30"/>
  <c r="C130" i="30"/>
  <c r="B130" i="30"/>
  <c r="M129" i="30"/>
  <c r="L129" i="30"/>
  <c r="K129" i="30"/>
  <c r="J129" i="30"/>
  <c r="I129" i="30"/>
  <c r="F129" i="30"/>
  <c r="E129" i="30"/>
  <c r="D129" i="30"/>
  <c r="C129" i="30"/>
  <c r="B129" i="30"/>
  <c r="M128" i="30"/>
  <c r="L128" i="30"/>
  <c r="K128" i="30"/>
  <c r="J128" i="30"/>
  <c r="I128" i="30"/>
  <c r="F128" i="30"/>
  <c r="E128" i="30"/>
  <c r="D128" i="30"/>
  <c r="C128" i="30"/>
  <c r="B128" i="30"/>
  <c r="M127" i="30"/>
  <c r="L127" i="30"/>
  <c r="K127" i="30"/>
  <c r="J127" i="30"/>
  <c r="I127" i="30"/>
  <c r="F127" i="30"/>
  <c r="E127" i="30"/>
  <c r="D127" i="30"/>
  <c r="C127" i="30"/>
  <c r="B127" i="30"/>
  <c r="M126" i="30"/>
  <c r="L126" i="30"/>
  <c r="K126" i="30"/>
  <c r="J126" i="30"/>
  <c r="I126" i="30"/>
  <c r="F126" i="30"/>
  <c r="E126" i="30"/>
  <c r="D126" i="30"/>
  <c r="C126" i="30"/>
  <c r="B126" i="30"/>
  <c r="M125" i="30"/>
  <c r="L125" i="30"/>
  <c r="K125" i="30"/>
  <c r="J125" i="30"/>
  <c r="I125" i="30"/>
  <c r="F125" i="30"/>
  <c r="E125" i="30"/>
  <c r="D125" i="30"/>
  <c r="C125" i="30"/>
  <c r="B125" i="30"/>
  <c r="G125" i="30" s="1"/>
  <c r="M124" i="30"/>
  <c r="L124" i="30"/>
  <c r="K124" i="30"/>
  <c r="J124" i="30"/>
  <c r="I124" i="30"/>
  <c r="F124" i="30"/>
  <c r="E124" i="30"/>
  <c r="D124" i="30"/>
  <c r="C124" i="30"/>
  <c r="B124" i="30"/>
  <c r="M123" i="30"/>
  <c r="L123" i="30"/>
  <c r="K123" i="30"/>
  <c r="J123" i="30"/>
  <c r="I123" i="30"/>
  <c r="F123" i="30"/>
  <c r="E123" i="30"/>
  <c r="D123" i="30"/>
  <c r="C123" i="30"/>
  <c r="B123" i="30"/>
  <c r="M122" i="30"/>
  <c r="L122" i="30"/>
  <c r="K122" i="30"/>
  <c r="J122" i="30"/>
  <c r="I122" i="30"/>
  <c r="F122" i="30"/>
  <c r="E122" i="30"/>
  <c r="D122" i="30"/>
  <c r="C122" i="30"/>
  <c r="B122" i="30"/>
  <c r="M121" i="30"/>
  <c r="L121" i="30"/>
  <c r="K121" i="30"/>
  <c r="J121" i="30"/>
  <c r="I121" i="30"/>
  <c r="F121" i="30"/>
  <c r="E121" i="30"/>
  <c r="D121" i="30"/>
  <c r="C121" i="30"/>
  <c r="B121" i="30"/>
  <c r="M120" i="30"/>
  <c r="L120" i="30"/>
  <c r="K120" i="30"/>
  <c r="J120" i="30"/>
  <c r="I120" i="30"/>
  <c r="F120" i="30"/>
  <c r="E120" i="30"/>
  <c r="D120" i="30"/>
  <c r="C120" i="30"/>
  <c r="B120" i="30"/>
  <c r="M119" i="30"/>
  <c r="L119" i="30"/>
  <c r="K119" i="30"/>
  <c r="J119" i="30"/>
  <c r="I119" i="30"/>
  <c r="F119" i="30"/>
  <c r="E119" i="30"/>
  <c r="D119" i="30"/>
  <c r="C119" i="30"/>
  <c r="B119" i="30"/>
  <c r="G119" i="30" s="1"/>
  <c r="M118" i="30"/>
  <c r="L118" i="30"/>
  <c r="K118" i="30"/>
  <c r="J118" i="30"/>
  <c r="I118" i="30"/>
  <c r="F118" i="30"/>
  <c r="E118" i="30"/>
  <c r="D118" i="30"/>
  <c r="C118" i="30"/>
  <c r="B118" i="30"/>
  <c r="M117" i="30"/>
  <c r="L117" i="30"/>
  <c r="K117" i="30"/>
  <c r="J117" i="30"/>
  <c r="I117" i="30"/>
  <c r="F117" i="30"/>
  <c r="E117" i="30"/>
  <c r="D117" i="30"/>
  <c r="C117" i="30"/>
  <c r="B117" i="30"/>
  <c r="M116" i="30"/>
  <c r="L116" i="30"/>
  <c r="K116" i="30"/>
  <c r="J116" i="30"/>
  <c r="I116" i="30"/>
  <c r="F116" i="30"/>
  <c r="E116" i="30"/>
  <c r="D116" i="30"/>
  <c r="C116" i="30"/>
  <c r="B116" i="30"/>
  <c r="M115" i="30"/>
  <c r="L115" i="30"/>
  <c r="K115" i="30"/>
  <c r="J115" i="30"/>
  <c r="I115" i="30"/>
  <c r="F115" i="30"/>
  <c r="E115" i="30"/>
  <c r="D115" i="30"/>
  <c r="C115" i="30"/>
  <c r="B115" i="30"/>
  <c r="M114" i="30"/>
  <c r="L114" i="30"/>
  <c r="K114" i="30"/>
  <c r="J114" i="30"/>
  <c r="I114" i="30"/>
  <c r="F114" i="30"/>
  <c r="E114" i="30"/>
  <c r="D114" i="30"/>
  <c r="C114" i="30"/>
  <c r="B114" i="30"/>
  <c r="M113" i="30"/>
  <c r="L113" i="30"/>
  <c r="K113" i="30"/>
  <c r="J113" i="30"/>
  <c r="I113" i="30"/>
  <c r="F113" i="30"/>
  <c r="E113" i="30"/>
  <c r="D113" i="30"/>
  <c r="C113" i="30"/>
  <c r="B113" i="30"/>
  <c r="G113" i="30" s="1"/>
  <c r="M112" i="30"/>
  <c r="L112" i="30"/>
  <c r="K112" i="30"/>
  <c r="J112" i="30"/>
  <c r="I112" i="30"/>
  <c r="F112" i="30"/>
  <c r="E112" i="30"/>
  <c r="D112" i="30"/>
  <c r="C112" i="30"/>
  <c r="B112" i="30"/>
  <c r="M111" i="30"/>
  <c r="L111" i="30"/>
  <c r="K111" i="30"/>
  <c r="J111" i="30"/>
  <c r="I111" i="30"/>
  <c r="F111" i="30"/>
  <c r="E111" i="30"/>
  <c r="D111" i="30"/>
  <c r="C111" i="30"/>
  <c r="B111" i="30"/>
  <c r="M110" i="30"/>
  <c r="L110" i="30"/>
  <c r="K110" i="30"/>
  <c r="J110" i="30"/>
  <c r="I110" i="30"/>
  <c r="F110" i="30"/>
  <c r="E110" i="30"/>
  <c r="D110" i="30"/>
  <c r="C110" i="30"/>
  <c r="B110" i="30"/>
  <c r="M109" i="30"/>
  <c r="L109" i="30"/>
  <c r="K109" i="30"/>
  <c r="J109" i="30"/>
  <c r="I109" i="30"/>
  <c r="F109" i="30"/>
  <c r="E109" i="30"/>
  <c r="D109" i="30"/>
  <c r="C109" i="30"/>
  <c r="B109" i="30"/>
  <c r="M108" i="30"/>
  <c r="L108" i="30"/>
  <c r="K108" i="30"/>
  <c r="J108" i="30"/>
  <c r="I108" i="30"/>
  <c r="F108" i="30"/>
  <c r="E108" i="30"/>
  <c r="D108" i="30"/>
  <c r="C108" i="30"/>
  <c r="B108" i="30"/>
  <c r="M107" i="30"/>
  <c r="L107" i="30"/>
  <c r="K107" i="30"/>
  <c r="J107" i="30"/>
  <c r="I107" i="30"/>
  <c r="F107" i="30"/>
  <c r="E107" i="30"/>
  <c r="D107" i="30"/>
  <c r="C107" i="30"/>
  <c r="B107" i="30"/>
  <c r="G107" i="30" s="1"/>
  <c r="M106" i="30"/>
  <c r="L106" i="30"/>
  <c r="K106" i="30"/>
  <c r="J106" i="30"/>
  <c r="I106" i="30"/>
  <c r="F106" i="30"/>
  <c r="E106" i="30"/>
  <c r="D106" i="30"/>
  <c r="C106" i="30"/>
  <c r="B106" i="30"/>
  <c r="M105" i="30"/>
  <c r="L105" i="30"/>
  <c r="K105" i="30"/>
  <c r="J105" i="30"/>
  <c r="I105" i="30"/>
  <c r="F105" i="30"/>
  <c r="E105" i="30"/>
  <c r="D105" i="30"/>
  <c r="C105" i="30"/>
  <c r="B105" i="30"/>
  <c r="M104" i="30"/>
  <c r="L104" i="30"/>
  <c r="K104" i="30"/>
  <c r="J104" i="30"/>
  <c r="I104" i="30"/>
  <c r="F104" i="30"/>
  <c r="E104" i="30"/>
  <c r="D104" i="30"/>
  <c r="C104" i="30"/>
  <c r="B104" i="30"/>
  <c r="M103" i="30"/>
  <c r="L103" i="30"/>
  <c r="K103" i="30"/>
  <c r="J103" i="30"/>
  <c r="I103" i="30"/>
  <c r="F103" i="30"/>
  <c r="E103" i="30"/>
  <c r="D103" i="30"/>
  <c r="C103" i="30"/>
  <c r="B103" i="30"/>
  <c r="M102" i="30"/>
  <c r="L102" i="30"/>
  <c r="K102" i="30"/>
  <c r="J102" i="30"/>
  <c r="I102" i="30"/>
  <c r="F102" i="30"/>
  <c r="E102" i="30"/>
  <c r="D102" i="30"/>
  <c r="C102" i="30"/>
  <c r="B102" i="30"/>
  <c r="M101" i="30"/>
  <c r="L101" i="30"/>
  <c r="K101" i="30"/>
  <c r="J101" i="30"/>
  <c r="I101" i="30"/>
  <c r="F101" i="30"/>
  <c r="E101" i="30"/>
  <c r="D101" i="30"/>
  <c r="C101" i="30"/>
  <c r="B101" i="30"/>
  <c r="G101" i="30" s="1"/>
  <c r="M100" i="30"/>
  <c r="L100" i="30"/>
  <c r="K100" i="30"/>
  <c r="J100" i="30"/>
  <c r="I100" i="30"/>
  <c r="F100" i="30"/>
  <c r="E100" i="30"/>
  <c r="D100" i="30"/>
  <c r="C100" i="30"/>
  <c r="B100" i="30"/>
  <c r="M99" i="30"/>
  <c r="L99" i="30"/>
  <c r="K99" i="30"/>
  <c r="J99" i="30"/>
  <c r="I99" i="30"/>
  <c r="F99" i="30"/>
  <c r="E99" i="30"/>
  <c r="D99" i="30"/>
  <c r="C99" i="30"/>
  <c r="B99" i="30"/>
  <c r="M98" i="30"/>
  <c r="L98" i="30"/>
  <c r="K98" i="30"/>
  <c r="J98" i="30"/>
  <c r="I98" i="30"/>
  <c r="F98" i="30"/>
  <c r="E98" i="30"/>
  <c r="D98" i="30"/>
  <c r="C98" i="30"/>
  <c r="B98" i="30"/>
  <c r="M97" i="30"/>
  <c r="L97" i="30"/>
  <c r="K97" i="30"/>
  <c r="J97" i="30"/>
  <c r="I97" i="30"/>
  <c r="F97" i="30"/>
  <c r="E97" i="30"/>
  <c r="D97" i="30"/>
  <c r="C97" i="30"/>
  <c r="B97" i="30"/>
  <c r="M96" i="30"/>
  <c r="L96" i="30"/>
  <c r="K96" i="30"/>
  <c r="J96" i="30"/>
  <c r="I96" i="30"/>
  <c r="F96" i="30"/>
  <c r="E96" i="30"/>
  <c r="D96" i="30"/>
  <c r="C96" i="30"/>
  <c r="B96" i="30"/>
  <c r="M95" i="30"/>
  <c r="L95" i="30"/>
  <c r="K95" i="30"/>
  <c r="J95" i="30"/>
  <c r="I95" i="30"/>
  <c r="F95" i="30"/>
  <c r="E95" i="30"/>
  <c r="D95" i="30"/>
  <c r="C95" i="30"/>
  <c r="B95" i="30"/>
  <c r="G95" i="30" s="1"/>
  <c r="M94" i="30"/>
  <c r="L94" i="30"/>
  <c r="K94" i="30"/>
  <c r="J94" i="30"/>
  <c r="I94" i="30"/>
  <c r="F94" i="30"/>
  <c r="E94" i="30"/>
  <c r="D94" i="30"/>
  <c r="C94" i="30"/>
  <c r="B94" i="30"/>
  <c r="M93" i="30"/>
  <c r="L93" i="30"/>
  <c r="K93" i="30"/>
  <c r="J93" i="30"/>
  <c r="I93" i="30"/>
  <c r="F93" i="30"/>
  <c r="E93" i="30"/>
  <c r="D93" i="30"/>
  <c r="C93" i="30"/>
  <c r="B93" i="30"/>
  <c r="M92" i="30"/>
  <c r="L92" i="30"/>
  <c r="K92" i="30"/>
  <c r="J92" i="30"/>
  <c r="I92" i="30"/>
  <c r="F92" i="30"/>
  <c r="E92" i="30"/>
  <c r="D92" i="30"/>
  <c r="C92" i="30"/>
  <c r="B92" i="30"/>
  <c r="M91" i="30"/>
  <c r="L91" i="30"/>
  <c r="K91" i="30"/>
  <c r="J91" i="30"/>
  <c r="I91" i="30"/>
  <c r="F91" i="30"/>
  <c r="E91" i="30"/>
  <c r="D91" i="30"/>
  <c r="C91" i="30"/>
  <c r="B91" i="30"/>
  <c r="M90" i="30"/>
  <c r="L90" i="30"/>
  <c r="K90" i="30"/>
  <c r="J90" i="30"/>
  <c r="I90" i="30"/>
  <c r="F90" i="30"/>
  <c r="E90" i="30"/>
  <c r="D90" i="30"/>
  <c r="C90" i="30"/>
  <c r="B90" i="30"/>
  <c r="M89" i="30"/>
  <c r="L89" i="30"/>
  <c r="K89" i="30"/>
  <c r="J89" i="30"/>
  <c r="I89" i="30"/>
  <c r="F89" i="30"/>
  <c r="E89" i="30"/>
  <c r="D89" i="30"/>
  <c r="C89" i="30"/>
  <c r="B89" i="30"/>
  <c r="G89" i="30" s="1"/>
  <c r="M88" i="30"/>
  <c r="L88" i="30"/>
  <c r="K88" i="30"/>
  <c r="J88" i="30"/>
  <c r="I88" i="30"/>
  <c r="F88" i="30"/>
  <c r="E88" i="30"/>
  <c r="D88" i="30"/>
  <c r="C88" i="30"/>
  <c r="B88" i="30"/>
  <c r="M87" i="30"/>
  <c r="L87" i="30"/>
  <c r="K87" i="30"/>
  <c r="J87" i="30"/>
  <c r="I87" i="30"/>
  <c r="N87" i="30" s="1"/>
  <c r="F87" i="30"/>
  <c r="E87" i="30"/>
  <c r="D87" i="30"/>
  <c r="C87" i="30"/>
  <c r="B87" i="30"/>
  <c r="M86" i="30"/>
  <c r="L86" i="30"/>
  <c r="K86" i="30"/>
  <c r="J86" i="30"/>
  <c r="I86" i="30"/>
  <c r="F86" i="30"/>
  <c r="E86" i="30"/>
  <c r="D86" i="30"/>
  <c r="C86" i="30"/>
  <c r="B86" i="30"/>
  <c r="M85" i="30"/>
  <c r="L85" i="30"/>
  <c r="K85" i="30"/>
  <c r="J85" i="30"/>
  <c r="I85" i="30"/>
  <c r="F85" i="30"/>
  <c r="E85" i="30"/>
  <c r="D85" i="30"/>
  <c r="C85" i="30"/>
  <c r="B85" i="30"/>
  <c r="G85" i="30" s="1"/>
  <c r="M84" i="30"/>
  <c r="L84" i="30"/>
  <c r="K84" i="30"/>
  <c r="J84" i="30"/>
  <c r="I84" i="30"/>
  <c r="F84" i="30"/>
  <c r="E84" i="30"/>
  <c r="D84" i="30"/>
  <c r="C84" i="30"/>
  <c r="B84" i="30"/>
  <c r="M83" i="30"/>
  <c r="L83" i="30"/>
  <c r="K83" i="30"/>
  <c r="J83" i="30"/>
  <c r="I83" i="30"/>
  <c r="F83" i="30"/>
  <c r="E83" i="30"/>
  <c r="D83" i="30"/>
  <c r="C83" i="30"/>
  <c r="B83" i="30"/>
  <c r="G83" i="30" s="1"/>
  <c r="M82" i="30"/>
  <c r="L82" i="30"/>
  <c r="K82" i="30"/>
  <c r="J82" i="30"/>
  <c r="I82" i="30"/>
  <c r="F82" i="30"/>
  <c r="E82" i="30"/>
  <c r="D82" i="30"/>
  <c r="C82" i="30"/>
  <c r="B82" i="30"/>
  <c r="M81" i="30"/>
  <c r="L81" i="30"/>
  <c r="K81" i="30"/>
  <c r="J81" i="30"/>
  <c r="I81" i="30"/>
  <c r="N81" i="30" s="1"/>
  <c r="F81" i="30"/>
  <c r="E81" i="30"/>
  <c r="D81" i="30"/>
  <c r="C81" i="30"/>
  <c r="B81" i="30"/>
  <c r="M80" i="30"/>
  <c r="L80" i="30"/>
  <c r="K80" i="30"/>
  <c r="J80" i="30"/>
  <c r="I80" i="30"/>
  <c r="F80" i="30"/>
  <c r="E80" i="30"/>
  <c r="D80" i="30"/>
  <c r="C80" i="30"/>
  <c r="B80" i="30"/>
  <c r="M76" i="30"/>
  <c r="L76" i="30"/>
  <c r="K76" i="30"/>
  <c r="J76" i="30"/>
  <c r="I76" i="30"/>
  <c r="F76" i="30"/>
  <c r="E76" i="30"/>
  <c r="D76" i="30"/>
  <c r="C76" i="30"/>
  <c r="B76" i="30"/>
  <c r="M71" i="30"/>
  <c r="L71" i="30"/>
  <c r="K71" i="30"/>
  <c r="J71" i="30"/>
  <c r="I71" i="30"/>
  <c r="F71" i="30"/>
  <c r="E71" i="30"/>
  <c r="D71" i="30"/>
  <c r="C71" i="30"/>
  <c r="B71" i="30"/>
  <c r="G71" i="30" s="1"/>
  <c r="M70" i="30"/>
  <c r="L70" i="30"/>
  <c r="K70" i="30"/>
  <c r="J70" i="30"/>
  <c r="I70" i="30"/>
  <c r="F70" i="30"/>
  <c r="E70" i="30"/>
  <c r="D70" i="30"/>
  <c r="C70" i="30"/>
  <c r="B70" i="30"/>
  <c r="M66" i="30"/>
  <c r="L66" i="30"/>
  <c r="K66" i="30"/>
  <c r="J66" i="30"/>
  <c r="I66" i="30"/>
  <c r="F66" i="30"/>
  <c r="E66" i="30"/>
  <c r="D66" i="30"/>
  <c r="C66" i="30"/>
  <c r="B66" i="30"/>
  <c r="M61" i="30"/>
  <c r="L61" i="30"/>
  <c r="K61" i="30"/>
  <c r="J61" i="30"/>
  <c r="I61" i="30"/>
  <c r="F61" i="30"/>
  <c r="E61" i="30"/>
  <c r="D61" i="30"/>
  <c r="C61" i="30"/>
  <c r="B61" i="30"/>
  <c r="G61" i="30" s="1"/>
  <c r="M60" i="30"/>
  <c r="L60" i="30"/>
  <c r="K60" i="30"/>
  <c r="J60" i="30"/>
  <c r="I60" i="30"/>
  <c r="F60" i="30"/>
  <c r="E60" i="30"/>
  <c r="D60" i="30"/>
  <c r="C60" i="30"/>
  <c r="B60" i="30"/>
  <c r="M56" i="30"/>
  <c r="L56" i="30"/>
  <c r="K56" i="30"/>
  <c r="J56" i="30"/>
  <c r="I56" i="30"/>
  <c r="F56" i="30"/>
  <c r="E56" i="30"/>
  <c r="D56" i="30"/>
  <c r="C56" i="30"/>
  <c r="B56" i="30"/>
  <c r="M51" i="30"/>
  <c r="L51" i="30"/>
  <c r="K51" i="30"/>
  <c r="J51" i="30"/>
  <c r="I51" i="30"/>
  <c r="N51" i="30" s="1"/>
  <c r="F51" i="30"/>
  <c r="E51" i="30"/>
  <c r="D51" i="30"/>
  <c r="C51" i="30"/>
  <c r="B51" i="30"/>
  <c r="M50" i="30"/>
  <c r="L50" i="30"/>
  <c r="K50" i="30"/>
  <c r="J50" i="30"/>
  <c r="I50" i="30"/>
  <c r="F50" i="30"/>
  <c r="E50" i="30"/>
  <c r="D50" i="30"/>
  <c r="C50" i="30"/>
  <c r="B50" i="30"/>
  <c r="M46" i="30"/>
  <c r="L46" i="30"/>
  <c r="K46" i="30"/>
  <c r="J46" i="30"/>
  <c r="I46" i="30"/>
  <c r="F46" i="30"/>
  <c r="E46" i="30"/>
  <c r="D46" i="30"/>
  <c r="C46" i="30"/>
  <c r="B46" i="30"/>
  <c r="M41" i="30"/>
  <c r="L41" i="30"/>
  <c r="K41" i="30"/>
  <c r="J41" i="30"/>
  <c r="I41" i="30"/>
  <c r="F41" i="30"/>
  <c r="E41" i="30"/>
  <c r="D41" i="30"/>
  <c r="C41" i="30"/>
  <c r="B41" i="30"/>
  <c r="G41" i="30" s="1"/>
  <c r="M40" i="30"/>
  <c r="L40" i="30"/>
  <c r="K40" i="30"/>
  <c r="J40" i="30"/>
  <c r="I40" i="30"/>
  <c r="F40" i="30"/>
  <c r="E40" i="30"/>
  <c r="D40" i="30"/>
  <c r="C40" i="30"/>
  <c r="B40" i="30"/>
  <c r="M36" i="30"/>
  <c r="L36" i="30"/>
  <c r="K36" i="30"/>
  <c r="J36" i="30"/>
  <c r="I36" i="30"/>
  <c r="F36" i="30"/>
  <c r="E36" i="30"/>
  <c r="D36" i="30"/>
  <c r="C36" i="30"/>
  <c r="B36" i="30"/>
  <c r="M31" i="30"/>
  <c r="L31" i="30"/>
  <c r="K31" i="30"/>
  <c r="J31" i="30"/>
  <c r="I31" i="30"/>
  <c r="F31" i="30"/>
  <c r="E31" i="30"/>
  <c r="D31" i="30"/>
  <c r="C31" i="30"/>
  <c r="B31" i="30"/>
  <c r="G31" i="30" s="1"/>
  <c r="M30" i="30"/>
  <c r="L30" i="30"/>
  <c r="K30" i="30"/>
  <c r="J30" i="30"/>
  <c r="I30" i="30"/>
  <c r="F30" i="30"/>
  <c r="E30" i="30"/>
  <c r="D30" i="30"/>
  <c r="C30" i="30"/>
  <c r="B30" i="30"/>
  <c r="M26" i="30"/>
  <c r="L26" i="30"/>
  <c r="K26" i="30"/>
  <c r="J26" i="30"/>
  <c r="I26" i="30"/>
  <c r="F26" i="30"/>
  <c r="E26" i="30"/>
  <c r="D26" i="30"/>
  <c r="C26" i="30"/>
  <c r="B26" i="30"/>
  <c r="M21" i="30"/>
  <c r="L21" i="30"/>
  <c r="K21" i="30"/>
  <c r="J21" i="30"/>
  <c r="I21" i="30"/>
  <c r="N21" i="30" s="1"/>
  <c r="F21" i="30"/>
  <c r="E21" i="30"/>
  <c r="D21" i="30"/>
  <c r="C21" i="30"/>
  <c r="B21" i="30"/>
  <c r="M20" i="30"/>
  <c r="L20" i="30"/>
  <c r="K20" i="30"/>
  <c r="J20" i="30"/>
  <c r="I20" i="30"/>
  <c r="F20" i="30"/>
  <c r="E20" i="30"/>
  <c r="D20" i="30"/>
  <c r="C20" i="30"/>
  <c r="B20" i="30"/>
  <c r="M16" i="30"/>
  <c r="L16" i="30"/>
  <c r="K16" i="30"/>
  <c r="J16" i="30"/>
  <c r="I16" i="30"/>
  <c r="F16" i="30"/>
  <c r="E16" i="30"/>
  <c r="D16" i="30"/>
  <c r="C16" i="30"/>
  <c r="B16" i="30"/>
  <c r="G16" i="30" s="1"/>
  <c r="M11" i="30"/>
  <c r="L11" i="30"/>
  <c r="K11" i="30"/>
  <c r="J11" i="30"/>
  <c r="I11" i="30"/>
  <c r="F11" i="30"/>
  <c r="E11" i="30"/>
  <c r="D11" i="30"/>
  <c r="C11" i="30"/>
  <c r="B11" i="30"/>
  <c r="G11" i="30" s="1"/>
  <c r="M10" i="30"/>
  <c r="L10" i="30"/>
  <c r="K10" i="30"/>
  <c r="J10" i="30"/>
  <c r="I10" i="30"/>
  <c r="F10" i="30"/>
  <c r="E10" i="30"/>
  <c r="D10" i="30"/>
  <c r="C10" i="30"/>
  <c r="B10" i="30"/>
  <c r="G10" i="30" s="1"/>
  <c r="M6" i="30"/>
  <c r="L6" i="30"/>
  <c r="K6" i="30"/>
  <c r="J6" i="30"/>
  <c r="I6" i="30"/>
  <c r="F6" i="30"/>
  <c r="E6" i="30"/>
  <c r="D6" i="30"/>
  <c r="C6" i="30"/>
  <c r="B6" i="30"/>
  <c r="N286" i="30"/>
  <c r="G286" i="30"/>
  <c r="N285" i="30"/>
  <c r="G285" i="30"/>
  <c r="N284" i="30"/>
  <c r="G284" i="30"/>
  <c r="N283" i="30"/>
  <c r="G283" i="30"/>
  <c r="N282" i="30"/>
  <c r="G282" i="30"/>
  <c r="N281" i="30"/>
  <c r="N280" i="30"/>
  <c r="G280" i="30"/>
  <c r="N279" i="30"/>
  <c r="G279" i="30"/>
  <c r="N278" i="30"/>
  <c r="G278" i="30"/>
  <c r="N277" i="30"/>
  <c r="G277" i="30"/>
  <c r="N276" i="30"/>
  <c r="G276" i="30"/>
  <c r="N275" i="30"/>
  <c r="N274" i="30"/>
  <c r="G274" i="30"/>
  <c r="N273" i="30"/>
  <c r="G273" i="30"/>
  <c r="N272" i="30"/>
  <c r="G272" i="30"/>
  <c r="N271" i="30"/>
  <c r="G271" i="30"/>
  <c r="N270" i="30"/>
  <c r="G270" i="30"/>
  <c r="N269" i="30"/>
  <c r="N268" i="30"/>
  <c r="G268" i="30"/>
  <c r="N267" i="30"/>
  <c r="G267" i="30"/>
  <c r="N266" i="30"/>
  <c r="G266" i="30"/>
  <c r="N265" i="30"/>
  <c r="G265" i="30"/>
  <c r="N264" i="30"/>
  <c r="G264" i="30"/>
  <c r="N263" i="30"/>
  <c r="N262" i="30"/>
  <c r="G262" i="30"/>
  <c r="N261" i="30"/>
  <c r="G261" i="30"/>
  <c r="N260" i="30"/>
  <c r="G260" i="30"/>
  <c r="N259" i="30"/>
  <c r="G259" i="30"/>
  <c r="N258" i="30"/>
  <c r="G258" i="30"/>
  <c r="N257" i="30"/>
  <c r="N256" i="30"/>
  <c r="G256" i="30"/>
  <c r="N255" i="30"/>
  <c r="G255" i="30"/>
  <c r="N254" i="30"/>
  <c r="G254" i="30"/>
  <c r="N253" i="30"/>
  <c r="G253" i="30"/>
  <c r="N252" i="30"/>
  <c r="G252" i="30"/>
  <c r="N251" i="30"/>
  <c r="N250" i="30"/>
  <c r="G250" i="30"/>
  <c r="N249" i="30"/>
  <c r="G249" i="30"/>
  <c r="N248" i="30"/>
  <c r="G248" i="30"/>
  <c r="N247" i="30"/>
  <c r="G247" i="30"/>
  <c r="N246" i="30"/>
  <c r="G246" i="30"/>
  <c r="N245" i="30"/>
  <c r="N244" i="30"/>
  <c r="G244" i="30"/>
  <c r="N243" i="30"/>
  <c r="G243" i="30"/>
  <c r="N242" i="30"/>
  <c r="G242" i="30"/>
  <c r="N241" i="30"/>
  <c r="G241" i="30"/>
  <c r="N240" i="30"/>
  <c r="G240" i="30"/>
  <c r="N239" i="30"/>
  <c r="N238" i="30"/>
  <c r="G238" i="30"/>
  <c r="N237" i="30"/>
  <c r="G237" i="30"/>
  <c r="N236" i="30"/>
  <c r="G236" i="30"/>
  <c r="N235" i="30"/>
  <c r="G235" i="30"/>
  <c r="N234" i="30"/>
  <c r="G234" i="30"/>
  <c r="N233" i="30"/>
  <c r="N232" i="30"/>
  <c r="G232" i="30"/>
  <c r="N231" i="30"/>
  <c r="G231" i="30"/>
  <c r="N230" i="30"/>
  <c r="G230" i="30"/>
  <c r="N229" i="30"/>
  <c r="G229" i="30"/>
  <c r="N228" i="30"/>
  <c r="G228" i="30"/>
  <c r="N227" i="30"/>
  <c r="N226" i="30"/>
  <c r="G226" i="30"/>
  <c r="N225" i="30"/>
  <c r="G225" i="30"/>
  <c r="N224" i="30"/>
  <c r="G224" i="30"/>
  <c r="N223" i="30"/>
  <c r="G223" i="30"/>
  <c r="N222" i="30"/>
  <c r="G222" i="30"/>
  <c r="N221" i="30"/>
  <c r="N220" i="30"/>
  <c r="G220" i="30"/>
  <c r="N219" i="30"/>
  <c r="G219" i="30"/>
  <c r="N218" i="30"/>
  <c r="G218" i="30"/>
  <c r="N217" i="30"/>
  <c r="G217" i="30"/>
  <c r="N216" i="30"/>
  <c r="G216" i="30"/>
  <c r="N215" i="30"/>
  <c r="N214" i="30"/>
  <c r="G214" i="30"/>
  <c r="N213" i="30"/>
  <c r="G213" i="30"/>
  <c r="N212" i="30"/>
  <c r="G212" i="30"/>
  <c r="N211" i="30"/>
  <c r="G211" i="30"/>
  <c r="N210" i="30"/>
  <c r="G210" i="30"/>
  <c r="N209" i="30"/>
  <c r="N208" i="30"/>
  <c r="G208" i="30"/>
  <c r="N207" i="30"/>
  <c r="G207" i="30"/>
  <c r="N206" i="30"/>
  <c r="G206" i="30"/>
  <c r="N205" i="30"/>
  <c r="G205" i="30"/>
  <c r="N204" i="30"/>
  <c r="G204" i="30"/>
  <c r="N203" i="30"/>
  <c r="N202" i="30"/>
  <c r="G202" i="30"/>
  <c r="N201" i="30"/>
  <c r="G201" i="30"/>
  <c r="N200" i="30"/>
  <c r="G200" i="30"/>
  <c r="N199" i="30"/>
  <c r="G199" i="30"/>
  <c r="N198" i="30"/>
  <c r="G198" i="30"/>
  <c r="N197" i="30"/>
  <c r="N196" i="30"/>
  <c r="G196" i="30"/>
  <c r="N195" i="30"/>
  <c r="G195" i="30"/>
  <c r="N194" i="30"/>
  <c r="G194" i="30"/>
  <c r="N193" i="30"/>
  <c r="G193" i="30"/>
  <c r="N192" i="30"/>
  <c r="G192" i="30"/>
  <c r="N191" i="30"/>
  <c r="N190" i="30"/>
  <c r="G190" i="30"/>
  <c r="N189" i="30"/>
  <c r="G189" i="30"/>
  <c r="N188" i="30"/>
  <c r="G188" i="30"/>
  <c r="N187" i="30"/>
  <c r="G187" i="30"/>
  <c r="N186" i="30"/>
  <c r="G186" i="30"/>
  <c r="N185" i="30"/>
  <c r="N184" i="30"/>
  <c r="G184" i="30"/>
  <c r="N183" i="30"/>
  <c r="G183" i="30"/>
  <c r="N182" i="30"/>
  <c r="G182" i="30"/>
  <c r="N181" i="30"/>
  <c r="G181" i="30"/>
  <c r="N180" i="30"/>
  <c r="G180" i="30"/>
  <c r="N179" i="30"/>
  <c r="N178" i="30"/>
  <c r="G178" i="30"/>
  <c r="N177" i="30"/>
  <c r="G177" i="30"/>
  <c r="N176" i="30"/>
  <c r="G176" i="30"/>
  <c r="N175" i="30"/>
  <c r="G175" i="30"/>
  <c r="N174" i="30"/>
  <c r="G174" i="30"/>
  <c r="N173" i="30"/>
  <c r="N172" i="30"/>
  <c r="G172" i="30"/>
  <c r="N171" i="30"/>
  <c r="G171" i="30"/>
  <c r="N170" i="30"/>
  <c r="G170" i="30"/>
  <c r="N169" i="30"/>
  <c r="G169" i="30"/>
  <c r="N168" i="30"/>
  <c r="G168" i="30"/>
  <c r="N167" i="30"/>
  <c r="N166" i="30"/>
  <c r="G166" i="30"/>
  <c r="N165" i="30"/>
  <c r="G165" i="30"/>
  <c r="N164" i="30"/>
  <c r="G164" i="30"/>
  <c r="N163" i="30"/>
  <c r="G163" i="30"/>
  <c r="N162" i="30"/>
  <c r="G162" i="30"/>
  <c r="N161" i="30"/>
  <c r="N160" i="30"/>
  <c r="G160" i="30"/>
  <c r="N159" i="30"/>
  <c r="G159" i="30"/>
  <c r="N158" i="30"/>
  <c r="G158" i="30"/>
  <c r="N157" i="30"/>
  <c r="G157" i="30"/>
  <c r="N156" i="30"/>
  <c r="G156" i="30"/>
  <c r="N155" i="30"/>
  <c r="N154" i="30"/>
  <c r="G154" i="30"/>
  <c r="N153" i="30"/>
  <c r="G153" i="30"/>
  <c r="N152" i="30"/>
  <c r="G152" i="30"/>
  <c r="N151" i="30"/>
  <c r="G151" i="30"/>
  <c r="N150" i="30"/>
  <c r="G150" i="30"/>
  <c r="N149" i="30"/>
  <c r="N148" i="30"/>
  <c r="G148" i="30"/>
  <c r="N147" i="30"/>
  <c r="G147" i="30"/>
  <c r="N146" i="30"/>
  <c r="G146" i="30"/>
  <c r="N145" i="30"/>
  <c r="G145" i="30"/>
  <c r="N144" i="30"/>
  <c r="G144" i="30"/>
  <c r="N143" i="30"/>
  <c r="N142" i="30"/>
  <c r="G142" i="30"/>
  <c r="N141" i="30"/>
  <c r="G141" i="30"/>
  <c r="N140" i="30"/>
  <c r="G140" i="30"/>
  <c r="N139" i="30"/>
  <c r="G139" i="30"/>
  <c r="N138" i="30"/>
  <c r="G138" i="30"/>
  <c r="N137" i="30"/>
  <c r="N136" i="30"/>
  <c r="G136" i="30"/>
  <c r="N135" i="30"/>
  <c r="G135" i="30"/>
  <c r="N134" i="30"/>
  <c r="G134" i="30"/>
  <c r="N133" i="30"/>
  <c r="G133" i="30"/>
  <c r="N132" i="30"/>
  <c r="G132" i="30"/>
  <c r="N131" i="30"/>
  <c r="N130" i="30"/>
  <c r="G130" i="30"/>
  <c r="N129" i="30"/>
  <c r="G129" i="30"/>
  <c r="N128" i="30"/>
  <c r="G128" i="30"/>
  <c r="N127" i="30"/>
  <c r="G127" i="30"/>
  <c r="N126" i="30"/>
  <c r="G126" i="30"/>
  <c r="N125" i="30"/>
  <c r="N124" i="30"/>
  <c r="G124" i="30"/>
  <c r="N123" i="30"/>
  <c r="G123" i="30"/>
  <c r="N122" i="30"/>
  <c r="G122" i="30"/>
  <c r="N121" i="30"/>
  <c r="G121" i="30"/>
  <c r="N120" i="30"/>
  <c r="G120" i="30"/>
  <c r="N119" i="30"/>
  <c r="N118" i="30"/>
  <c r="G118" i="30"/>
  <c r="N117" i="30"/>
  <c r="G117" i="30"/>
  <c r="N116" i="30"/>
  <c r="G116" i="30"/>
  <c r="N115" i="30"/>
  <c r="G115" i="30"/>
  <c r="N114" i="30"/>
  <c r="G114" i="30"/>
  <c r="N113" i="30"/>
  <c r="N112" i="30"/>
  <c r="G112" i="30"/>
  <c r="N111" i="30"/>
  <c r="G111" i="30"/>
  <c r="N110" i="30"/>
  <c r="G110" i="30"/>
  <c r="N109" i="30"/>
  <c r="G109" i="30"/>
  <c r="N108" i="30"/>
  <c r="G108" i="30"/>
  <c r="N107" i="30"/>
  <c r="N106" i="30"/>
  <c r="G106" i="30"/>
  <c r="N105" i="30"/>
  <c r="G105" i="30"/>
  <c r="N104" i="30"/>
  <c r="G104" i="30"/>
  <c r="N103" i="30"/>
  <c r="G103" i="30"/>
  <c r="N102" i="30"/>
  <c r="G102" i="30"/>
  <c r="N101" i="30"/>
  <c r="N100" i="30"/>
  <c r="G100" i="30"/>
  <c r="N99" i="30"/>
  <c r="G99" i="30"/>
  <c r="N98" i="30"/>
  <c r="G98" i="30"/>
  <c r="N97" i="30"/>
  <c r="G97" i="30"/>
  <c r="N96" i="30"/>
  <c r="G96" i="30"/>
  <c r="N95" i="30"/>
  <c r="N94" i="30"/>
  <c r="G94" i="30"/>
  <c r="N93" i="30"/>
  <c r="G93" i="30"/>
  <c r="N92" i="30"/>
  <c r="G92" i="30"/>
  <c r="N91" i="30"/>
  <c r="G91" i="30"/>
  <c r="N90" i="30"/>
  <c r="G90" i="30"/>
  <c r="N89" i="30"/>
  <c r="N88" i="30"/>
  <c r="G88" i="30"/>
  <c r="G87" i="30"/>
  <c r="N86" i="30"/>
  <c r="G86" i="30"/>
  <c r="N85" i="30"/>
  <c r="N84" i="30"/>
  <c r="G84" i="30"/>
  <c r="N83" i="30"/>
  <c r="N82" i="30"/>
  <c r="G82" i="30"/>
  <c r="G81" i="30"/>
  <c r="N80" i="30"/>
  <c r="G80" i="30"/>
  <c r="N76" i="30"/>
  <c r="G76" i="30"/>
  <c r="N71" i="30"/>
  <c r="N70" i="30"/>
  <c r="G70" i="30"/>
  <c r="N66" i="30"/>
  <c r="G66" i="30"/>
  <c r="N61" i="30"/>
  <c r="N60" i="30"/>
  <c r="G60" i="30"/>
  <c r="N56" i="30"/>
  <c r="G56" i="30"/>
  <c r="G51" i="30"/>
  <c r="N50" i="30"/>
  <c r="G50" i="30"/>
  <c r="N46" i="30"/>
  <c r="G46" i="30"/>
  <c r="N41" i="30"/>
  <c r="N40" i="30"/>
  <c r="G40" i="30"/>
  <c r="N36" i="30"/>
  <c r="G36" i="30"/>
  <c r="N31" i="30"/>
  <c r="N30" i="30"/>
  <c r="G30" i="30"/>
  <c r="N26" i="30"/>
  <c r="G26" i="30"/>
  <c r="G21" i="30"/>
  <c r="N20" i="30"/>
  <c r="G20" i="30"/>
  <c r="N16" i="30"/>
  <c r="N11" i="30"/>
  <c r="N10" i="30"/>
  <c r="N6" i="30"/>
  <c r="G6" i="30"/>
  <c r="J125" i="29"/>
  <c r="M119" i="32" s="1"/>
  <c r="I125" i="29"/>
  <c r="E119" i="32" s="1"/>
  <c r="H125" i="29"/>
  <c r="D119" i="32" s="1"/>
  <c r="G125" i="29"/>
  <c r="C119" i="32" s="1"/>
  <c r="F125" i="29"/>
  <c r="B119" i="32" s="1"/>
  <c r="G119" i="32" s="1"/>
  <c r="E125" i="29"/>
  <c r="C73" i="9" s="1"/>
  <c r="C125" i="29"/>
  <c r="A73" i="9" s="1"/>
  <c r="J124" i="29"/>
  <c r="M118" i="32" s="1"/>
  <c r="I124" i="29"/>
  <c r="E118" i="32" s="1"/>
  <c r="H124" i="29"/>
  <c r="K118" i="32" s="1"/>
  <c r="G124" i="29"/>
  <c r="C118" i="32" s="1"/>
  <c r="F124" i="29"/>
  <c r="B118" i="32" s="1"/>
  <c r="G118" i="32" s="1"/>
  <c r="E124" i="29"/>
  <c r="C72" i="9" s="1"/>
  <c r="C124" i="29"/>
  <c r="A72" i="9" s="1"/>
  <c r="J123" i="29"/>
  <c r="M117" i="32" s="1"/>
  <c r="I123" i="29"/>
  <c r="L117" i="32" s="1"/>
  <c r="H123" i="29"/>
  <c r="K117" i="32" s="1"/>
  <c r="G123" i="29"/>
  <c r="J117" i="32" s="1"/>
  <c r="F123" i="29"/>
  <c r="I117" i="32" s="1"/>
  <c r="N117" i="32" s="1"/>
  <c r="E123" i="29"/>
  <c r="C71" i="9" s="1"/>
  <c r="C123" i="29"/>
  <c r="A71" i="9" s="1"/>
  <c r="J121" i="29"/>
  <c r="M115" i="32" s="1"/>
  <c r="I121" i="29"/>
  <c r="E115" i="32" s="1"/>
  <c r="H121" i="29"/>
  <c r="K115" i="32" s="1"/>
  <c r="G121" i="29"/>
  <c r="J115" i="32" s="1"/>
  <c r="F121" i="29"/>
  <c r="I115" i="32" s="1"/>
  <c r="J120" i="29"/>
  <c r="F114" i="32" s="1"/>
  <c r="I120" i="29"/>
  <c r="E114" i="32" s="1"/>
  <c r="H120" i="29"/>
  <c r="D114" i="32" s="1"/>
  <c r="G120" i="29"/>
  <c r="C114" i="32" s="1"/>
  <c r="F120" i="29"/>
  <c r="I114" i="32" s="1"/>
  <c r="E120" i="29"/>
  <c r="C70" i="9" s="1"/>
  <c r="C120" i="29"/>
  <c r="A70" i="9" s="1"/>
  <c r="J119" i="29"/>
  <c r="F113" i="32" s="1"/>
  <c r="I119" i="29"/>
  <c r="E113" i="32" s="1"/>
  <c r="H119" i="29"/>
  <c r="D113" i="32" s="1"/>
  <c r="G119" i="29"/>
  <c r="C113" i="32" s="1"/>
  <c r="F119" i="29"/>
  <c r="B113" i="32" s="1"/>
  <c r="E119" i="29"/>
  <c r="C69" i="9" s="1"/>
  <c r="C119" i="29"/>
  <c r="A69" i="9" s="1"/>
  <c r="J118" i="29"/>
  <c r="M112" i="32" s="1"/>
  <c r="I118" i="29"/>
  <c r="L112" i="32" s="1"/>
  <c r="H118" i="29"/>
  <c r="K112" i="32" s="1"/>
  <c r="G118" i="29"/>
  <c r="C112" i="32" s="1"/>
  <c r="F118" i="29"/>
  <c r="B112" i="32" s="1"/>
  <c r="E118" i="29"/>
  <c r="C68" i="9" s="1"/>
  <c r="C118" i="29"/>
  <c r="A68" i="9" s="1"/>
  <c r="E117" i="29"/>
  <c r="E126" i="29" s="1"/>
  <c r="C117" i="29"/>
  <c r="J115" i="29"/>
  <c r="F109" i="32" s="1"/>
  <c r="I115" i="29"/>
  <c r="E109" i="32" s="1"/>
  <c r="H115" i="29"/>
  <c r="K109" i="32" s="1"/>
  <c r="G115" i="29"/>
  <c r="J109" i="32" s="1"/>
  <c r="F115" i="29"/>
  <c r="K115" i="29" s="1"/>
  <c r="E115" i="29"/>
  <c r="C67" i="9" s="1"/>
  <c r="C115" i="29"/>
  <c r="A67" i="9" s="1"/>
  <c r="J114" i="29"/>
  <c r="F108" i="32" s="1"/>
  <c r="I114" i="29"/>
  <c r="E108" i="32" s="1"/>
  <c r="H114" i="29"/>
  <c r="D108" i="32" s="1"/>
  <c r="G114" i="29"/>
  <c r="C108" i="32" s="1"/>
  <c r="F114" i="29"/>
  <c r="I108" i="32" s="1"/>
  <c r="N108" i="32" s="1"/>
  <c r="E114" i="29"/>
  <c r="C66" i="9" s="1"/>
  <c r="C114" i="29"/>
  <c r="A66" i="9" s="1"/>
  <c r="J113" i="29"/>
  <c r="M107" i="32" s="1"/>
  <c r="I113" i="29"/>
  <c r="E107" i="32" s="1"/>
  <c r="H113" i="29"/>
  <c r="D107" i="32" s="1"/>
  <c r="G113" i="29"/>
  <c r="C107" i="32" s="1"/>
  <c r="F113" i="29"/>
  <c r="K113" i="29" s="1"/>
  <c r="E113" i="29"/>
  <c r="C65" i="9" s="1"/>
  <c r="C113" i="29"/>
  <c r="A65" i="9" s="1"/>
  <c r="J111" i="29"/>
  <c r="M105" i="32" s="1"/>
  <c r="I111" i="29"/>
  <c r="L105" i="32" s="1"/>
  <c r="H111" i="29"/>
  <c r="K105" i="32" s="1"/>
  <c r="G111" i="29"/>
  <c r="J105" i="32" s="1"/>
  <c r="F111" i="29"/>
  <c r="J110" i="29"/>
  <c r="M104" i="32" s="1"/>
  <c r="I110" i="29"/>
  <c r="L104" i="32" s="1"/>
  <c r="H110" i="29"/>
  <c r="K104" i="32" s="1"/>
  <c r="G110" i="29"/>
  <c r="J104" i="32" s="1"/>
  <c r="F110" i="29"/>
  <c r="E110" i="29"/>
  <c r="C64" i="9" s="1"/>
  <c r="C110" i="29"/>
  <c r="A64" i="9" s="1"/>
  <c r="J109" i="29"/>
  <c r="F103" i="32" s="1"/>
  <c r="I109" i="29"/>
  <c r="E103" i="32" s="1"/>
  <c r="H109" i="29"/>
  <c r="K103" i="32" s="1"/>
  <c r="G109" i="29"/>
  <c r="J103" i="32" s="1"/>
  <c r="F109" i="29"/>
  <c r="E109" i="29"/>
  <c r="C63" i="9" s="1"/>
  <c r="C109" i="29"/>
  <c r="A63" i="9" s="1"/>
  <c r="J108" i="29"/>
  <c r="F102" i="32" s="1"/>
  <c r="I108" i="29"/>
  <c r="E102" i="32" s="1"/>
  <c r="H108" i="29"/>
  <c r="D102" i="32" s="1"/>
  <c r="G108" i="29"/>
  <c r="C102" i="32" s="1"/>
  <c r="F108" i="29"/>
  <c r="I102" i="32" s="1"/>
  <c r="E108" i="29"/>
  <c r="C62" i="9" s="1"/>
  <c r="C108" i="29"/>
  <c r="A62" i="9" s="1"/>
  <c r="E107" i="29"/>
  <c r="E116" i="29" s="1"/>
  <c r="C107" i="29"/>
  <c r="C116" i="29" s="1"/>
  <c r="J105" i="29"/>
  <c r="M99" i="32" s="1"/>
  <c r="I105" i="29"/>
  <c r="L99" i="32" s="1"/>
  <c r="H105" i="29"/>
  <c r="K99" i="32" s="1"/>
  <c r="G105" i="29"/>
  <c r="J99" i="32" s="1"/>
  <c r="F105" i="29"/>
  <c r="I99" i="32" s="1"/>
  <c r="N99" i="32" s="1"/>
  <c r="E105" i="29"/>
  <c r="C61" i="9" s="1"/>
  <c r="C105" i="29"/>
  <c r="A61" i="9" s="1"/>
  <c r="J104" i="29"/>
  <c r="M98" i="32" s="1"/>
  <c r="I104" i="29"/>
  <c r="L98" i="32" s="1"/>
  <c r="H104" i="29"/>
  <c r="K98" i="32" s="1"/>
  <c r="G104" i="29"/>
  <c r="J98" i="32" s="1"/>
  <c r="F104" i="29"/>
  <c r="I98" i="32" s="1"/>
  <c r="N98" i="32" s="1"/>
  <c r="E104" i="29"/>
  <c r="C60" i="9" s="1"/>
  <c r="C104" i="29"/>
  <c r="A60" i="9" s="1"/>
  <c r="J103" i="29"/>
  <c r="F97" i="32" s="1"/>
  <c r="I103" i="29"/>
  <c r="E97" i="32" s="1"/>
  <c r="H103" i="29"/>
  <c r="K97" i="32" s="1"/>
  <c r="G103" i="29"/>
  <c r="J97" i="32" s="1"/>
  <c r="F103" i="29"/>
  <c r="I97" i="32" s="1"/>
  <c r="N97" i="32" s="1"/>
  <c r="E103" i="29"/>
  <c r="C59" i="9" s="1"/>
  <c r="C103" i="29"/>
  <c r="A59" i="9" s="1"/>
  <c r="J101" i="29"/>
  <c r="M95" i="32" s="1"/>
  <c r="I101" i="29"/>
  <c r="E95" i="32" s="1"/>
  <c r="H101" i="29"/>
  <c r="D95" i="32" s="1"/>
  <c r="G101" i="29"/>
  <c r="C95" i="32" s="1"/>
  <c r="F101" i="29"/>
  <c r="B95" i="32" s="1"/>
  <c r="J100" i="29"/>
  <c r="M94" i="32" s="1"/>
  <c r="I100" i="29"/>
  <c r="L94" i="32" s="1"/>
  <c r="H100" i="29"/>
  <c r="K94" i="32" s="1"/>
  <c r="G100" i="29"/>
  <c r="C94" i="32" s="1"/>
  <c r="F100" i="29"/>
  <c r="B94" i="32" s="1"/>
  <c r="E100" i="29"/>
  <c r="C58" i="9" s="1"/>
  <c r="C100" i="29"/>
  <c r="A58" i="9" s="1"/>
  <c r="J99" i="29"/>
  <c r="M93" i="32" s="1"/>
  <c r="I99" i="29"/>
  <c r="L93" i="32" s="1"/>
  <c r="H99" i="29"/>
  <c r="K93" i="32" s="1"/>
  <c r="G99" i="29"/>
  <c r="J93" i="32" s="1"/>
  <c r="F99" i="29"/>
  <c r="E99" i="29"/>
  <c r="C57" i="9" s="1"/>
  <c r="C99" i="29"/>
  <c r="A57" i="9" s="1"/>
  <c r="J98" i="29"/>
  <c r="M92" i="32" s="1"/>
  <c r="I98" i="29"/>
  <c r="L92" i="32" s="1"/>
  <c r="H98" i="29"/>
  <c r="K92" i="32" s="1"/>
  <c r="G98" i="29"/>
  <c r="J92" i="32" s="1"/>
  <c r="F98" i="29"/>
  <c r="E98" i="29"/>
  <c r="C56" i="9" s="1"/>
  <c r="C98" i="29"/>
  <c r="A56" i="9" s="1"/>
  <c r="E97" i="29"/>
  <c r="E106" i="29" s="1"/>
  <c r="C97" i="29"/>
  <c r="C106" i="29" s="1"/>
  <c r="J95" i="29"/>
  <c r="M89" i="32" s="1"/>
  <c r="I95" i="29"/>
  <c r="E89" i="32" s="1"/>
  <c r="H95" i="29"/>
  <c r="D89" i="32" s="1"/>
  <c r="G95" i="29"/>
  <c r="C89" i="32" s="1"/>
  <c r="F95" i="29"/>
  <c r="K95" i="29" s="1"/>
  <c r="Q95" i="29" s="1"/>
  <c r="E95" i="29"/>
  <c r="C55" i="9" s="1"/>
  <c r="C95" i="29"/>
  <c r="A55" i="9" s="1"/>
  <c r="J94" i="29"/>
  <c r="M88" i="32" s="1"/>
  <c r="I94" i="29"/>
  <c r="L88" i="32" s="1"/>
  <c r="H94" i="29"/>
  <c r="K88" i="32" s="1"/>
  <c r="G94" i="29"/>
  <c r="C88" i="32" s="1"/>
  <c r="F94" i="29"/>
  <c r="I88" i="32" s="1"/>
  <c r="N88" i="32" s="1"/>
  <c r="E94" i="29"/>
  <c r="C54" i="9" s="1"/>
  <c r="C94" i="29"/>
  <c r="A54" i="9" s="1"/>
  <c r="J93" i="29"/>
  <c r="M87" i="32" s="1"/>
  <c r="I93" i="29"/>
  <c r="L87" i="32" s="1"/>
  <c r="H93" i="29"/>
  <c r="K87" i="32" s="1"/>
  <c r="G93" i="29"/>
  <c r="J87" i="32" s="1"/>
  <c r="F93" i="29"/>
  <c r="K93" i="29" s="1"/>
  <c r="E93" i="29"/>
  <c r="C53" i="9" s="1"/>
  <c r="C93" i="29"/>
  <c r="A53" i="9" s="1"/>
  <c r="J91" i="29"/>
  <c r="F85" i="32" s="1"/>
  <c r="I91" i="29"/>
  <c r="E85" i="32" s="1"/>
  <c r="H91" i="29"/>
  <c r="K85" i="32" s="1"/>
  <c r="G91" i="29"/>
  <c r="J85" i="32" s="1"/>
  <c r="F91" i="29"/>
  <c r="I85" i="32" s="1"/>
  <c r="J90" i="29"/>
  <c r="F84" i="32" s="1"/>
  <c r="I90" i="29"/>
  <c r="E84" i="32" s="1"/>
  <c r="H90" i="29"/>
  <c r="D84" i="32" s="1"/>
  <c r="G90" i="29"/>
  <c r="C84" i="32" s="1"/>
  <c r="F90" i="29"/>
  <c r="I84" i="32" s="1"/>
  <c r="E90" i="29"/>
  <c r="C52" i="9" s="1"/>
  <c r="C90" i="29"/>
  <c r="A52" i="9" s="1"/>
  <c r="J89" i="29"/>
  <c r="M83" i="32" s="1"/>
  <c r="I89" i="29"/>
  <c r="E83" i="32" s="1"/>
  <c r="H89" i="29"/>
  <c r="D83" i="32" s="1"/>
  <c r="G89" i="29"/>
  <c r="C83" i="32" s="1"/>
  <c r="F89" i="29"/>
  <c r="B83" i="32" s="1"/>
  <c r="E89" i="29"/>
  <c r="C51" i="9" s="1"/>
  <c r="C89" i="29"/>
  <c r="A51" i="9" s="1"/>
  <c r="J88" i="29"/>
  <c r="M82" i="32" s="1"/>
  <c r="I88" i="29"/>
  <c r="L82" i="32" s="1"/>
  <c r="H88" i="29"/>
  <c r="K82" i="32" s="1"/>
  <c r="G88" i="29"/>
  <c r="C82" i="32" s="1"/>
  <c r="F88" i="29"/>
  <c r="B82" i="32" s="1"/>
  <c r="E88" i="29"/>
  <c r="C50" i="9" s="1"/>
  <c r="C88" i="29"/>
  <c r="A50" i="9" s="1"/>
  <c r="E87" i="29"/>
  <c r="E96" i="29" s="1"/>
  <c r="C87" i="29"/>
  <c r="J85" i="29"/>
  <c r="M79" i="32" s="1"/>
  <c r="I85" i="29"/>
  <c r="L79" i="32" s="1"/>
  <c r="H85" i="29"/>
  <c r="K79" i="32" s="1"/>
  <c r="G85" i="29"/>
  <c r="J79" i="32" s="1"/>
  <c r="F85" i="29"/>
  <c r="I79" i="32" s="1"/>
  <c r="N79" i="32" s="1"/>
  <c r="E85" i="29"/>
  <c r="C49" i="9" s="1"/>
  <c r="C85" i="29"/>
  <c r="A49" i="9" s="1"/>
  <c r="J84" i="29"/>
  <c r="F78" i="32" s="1"/>
  <c r="I84" i="29"/>
  <c r="E78" i="32" s="1"/>
  <c r="H84" i="29"/>
  <c r="K78" i="32" s="1"/>
  <c r="G84" i="29"/>
  <c r="J78" i="32" s="1"/>
  <c r="F84" i="29"/>
  <c r="I78" i="32" s="1"/>
  <c r="N78" i="32" s="1"/>
  <c r="E84" i="29"/>
  <c r="C48" i="9" s="1"/>
  <c r="C84" i="29"/>
  <c r="A48" i="9" s="1"/>
  <c r="J83" i="29"/>
  <c r="F77" i="32" s="1"/>
  <c r="I83" i="29"/>
  <c r="E77" i="32" s="1"/>
  <c r="H83" i="29"/>
  <c r="D77" i="32" s="1"/>
  <c r="G83" i="29"/>
  <c r="C77" i="32" s="1"/>
  <c r="F83" i="29"/>
  <c r="I77" i="32" s="1"/>
  <c r="N77" i="32" s="1"/>
  <c r="E83" i="29"/>
  <c r="C47" i="9" s="1"/>
  <c r="C83" i="29"/>
  <c r="A47" i="9" s="1"/>
  <c r="J81" i="29"/>
  <c r="M75" i="32" s="1"/>
  <c r="I81" i="29"/>
  <c r="L75" i="32" s="1"/>
  <c r="H81" i="29"/>
  <c r="K75" i="32" s="1"/>
  <c r="G81" i="29"/>
  <c r="C75" i="32" s="1"/>
  <c r="F81" i="29"/>
  <c r="I75" i="32" s="1"/>
  <c r="J80" i="29"/>
  <c r="M74" i="32" s="1"/>
  <c r="I80" i="29"/>
  <c r="L74" i="32" s="1"/>
  <c r="H80" i="29"/>
  <c r="K74" i="32" s="1"/>
  <c r="G80" i="29"/>
  <c r="J74" i="32" s="1"/>
  <c r="F80" i="29"/>
  <c r="E80" i="29"/>
  <c r="C46" i="9" s="1"/>
  <c r="C80" i="29"/>
  <c r="A46" i="9" s="1"/>
  <c r="J79" i="29"/>
  <c r="M73" i="32" s="1"/>
  <c r="I79" i="29"/>
  <c r="L73" i="32" s="1"/>
  <c r="H79" i="29"/>
  <c r="K73" i="32" s="1"/>
  <c r="G79" i="29"/>
  <c r="J73" i="32" s="1"/>
  <c r="F79" i="29"/>
  <c r="E79" i="29"/>
  <c r="C45" i="9" s="1"/>
  <c r="C79" i="29"/>
  <c r="A45" i="9" s="1"/>
  <c r="J78" i="29"/>
  <c r="F72" i="32" s="1"/>
  <c r="I78" i="29"/>
  <c r="E72" i="32" s="1"/>
  <c r="H78" i="29"/>
  <c r="K72" i="32" s="1"/>
  <c r="G78" i="29"/>
  <c r="J72" i="32" s="1"/>
  <c r="F78" i="29"/>
  <c r="I72" i="32" s="1"/>
  <c r="E78" i="29"/>
  <c r="C44" i="9" s="1"/>
  <c r="C78" i="29"/>
  <c r="A44" i="9" s="1"/>
  <c r="E77" i="29"/>
  <c r="E86" i="29" s="1"/>
  <c r="C77" i="29"/>
  <c r="J75" i="29"/>
  <c r="M69" i="32" s="1"/>
  <c r="I75" i="29"/>
  <c r="L69" i="32" s="1"/>
  <c r="H75" i="29"/>
  <c r="K69" i="32" s="1"/>
  <c r="G75" i="29"/>
  <c r="C69" i="32" s="1"/>
  <c r="F75" i="29"/>
  <c r="B69" i="32" s="1"/>
  <c r="E75" i="29"/>
  <c r="C43" i="9" s="1"/>
  <c r="C75" i="29"/>
  <c r="A43" i="9" s="1"/>
  <c r="J74" i="29"/>
  <c r="M68" i="32" s="1"/>
  <c r="I74" i="29"/>
  <c r="L68" i="32" s="1"/>
  <c r="H74" i="29"/>
  <c r="K68" i="32" s="1"/>
  <c r="G74" i="29"/>
  <c r="J68" i="32" s="1"/>
  <c r="F74" i="29"/>
  <c r="E74" i="29"/>
  <c r="C42" i="9" s="1"/>
  <c r="C74" i="29"/>
  <c r="A42" i="9" s="1"/>
  <c r="J73" i="29"/>
  <c r="M67" i="32" s="1"/>
  <c r="I73" i="29"/>
  <c r="L67" i="32" s="1"/>
  <c r="H73" i="29"/>
  <c r="K67" i="32" s="1"/>
  <c r="G73" i="29"/>
  <c r="J67" i="32" s="1"/>
  <c r="F73" i="29"/>
  <c r="I67" i="32" s="1"/>
  <c r="E73" i="29"/>
  <c r="C41" i="9" s="1"/>
  <c r="C73" i="29"/>
  <c r="A41" i="9" s="1"/>
  <c r="J71" i="29"/>
  <c r="F65" i="32" s="1"/>
  <c r="I71" i="29"/>
  <c r="E65" i="32" s="1"/>
  <c r="H71" i="29"/>
  <c r="D65" i="32" s="1"/>
  <c r="G71" i="29"/>
  <c r="C65" i="32" s="1"/>
  <c r="F71" i="29"/>
  <c r="I65" i="32" s="1"/>
  <c r="J70" i="29"/>
  <c r="M64" i="32" s="1"/>
  <c r="I70" i="29"/>
  <c r="E64" i="32" s="1"/>
  <c r="H70" i="29"/>
  <c r="D64" i="32" s="1"/>
  <c r="G70" i="29"/>
  <c r="C64" i="32" s="1"/>
  <c r="F70" i="29"/>
  <c r="B64" i="32" s="1"/>
  <c r="E70" i="29"/>
  <c r="C40" i="9" s="1"/>
  <c r="C70" i="29"/>
  <c r="A40" i="9" s="1"/>
  <c r="J69" i="29"/>
  <c r="M63" i="32" s="1"/>
  <c r="I69" i="29"/>
  <c r="L63" i="32" s="1"/>
  <c r="H69" i="29"/>
  <c r="K63" i="32" s="1"/>
  <c r="G69" i="29"/>
  <c r="C63" i="32" s="1"/>
  <c r="F69" i="29"/>
  <c r="B63" i="32" s="1"/>
  <c r="E69" i="29"/>
  <c r="C39" i="9" s="1"/>
  <c r="C69" i="29"/>
  <c r="A39" i="9" s="1"/>
  <c r="J68" i="29"/>
  <c r="M62" i="32" s="1"/>
  <c r="I68" i="29"/>
  <c r="L62" i="32" s="1"/>
  <c r="H68" i="29"/>
  <c r="K62" i="32" s="1"/>
  <c r="G68" i="29"/>
  <c r="J62" i="32" s="1"/>
  <c r="F68" i="29"/>
  <c r="I62" i="32" s="1"/>
  <c r="E68" i="29"/>
  <c r="C38" i="9" s="1"/>
  <c r="C68" i="29"/>
  <c r="A38" i="9" s="1"/>
  <c r="E67" i="29"/>
  <c r="E76" i="29" s="1"/>
  <c r="C67" i="29"/>
  <c r="C76" i="29" s="1"/>
  <c r="J65" i="29"/>
  <c r="F59" i="32" s="1"/>
  <c r="I65" i="29"/>
  <c r="E59" i="32" s="1"/>
  <c r="H65" i="29"/>
  <c r="D59" i="32" s="1"/>
  <c r="G65" i="29"/>
  <c r="C59" i="32" s="1"/>
  <c r="F65" i="29"/>
  <c r="I59" i="32" s="1"/>
  <c r="N59" i="32" s="1"/>
  <c r="E65" i="29"/>
  <c r="C37" i="9" s="1"/>
  <c r="C65" i="29"/>
  <c r="A37" i="9" s="1"/>
  <c r="J64" i="29"/>
  <c r="M58" i="32" s="1"/>
  <c r="I64" i="29"/>
  <c r="E58" i="32" s="1"/>
  <c r="H64" i="29"/>
  <c r="D58" i="32" s="1"/>
  <c r="G64" i="29"/>
  <c r="C58" i="32" s="1"/>
  <c r="F64" i="29"/>
  <c r="K64" i="29" s="1"/>
  <c r="E64" i="29"/>
  <c r="C36" i="9" s="1"/>
  <c r="C64" i="29"/>
  <c r="A36" i="9" s="1"/>
  <c r="J63" i="29"/>
  <c r="M57" i="32" s="1"/>
  <c r="I63" i="29"/>
  <c r="L57" i="32" s="1"/>
  <c r="H63" i="29"/>
  <c r="K57" i="32" s="1"/>
  <c r="G63" i="29"/>
  <c r="C57" i="32" s="1"/>
  <c r="F63" i="29"/>
  <c r="K63" i="29" s="1"/>
  <c r="E63" i="29"/>
  <c r="C35" i="9" s="1"/>
  <c r="C63" i="29"/>
  <c r="A35" i="9" s="1"/>
  <c r="J61" i="29"/>
  <c r="M55" i="32" s="1"/>
  <c r="I61" i="29"/>
  <c r="L55" i="32" s="1"/>
  <c r="H61" i="29"/>
  <c r="K55" i="32" s="1"/>
  <c r="G61" i="29"/>
  <c r="J55" i="32" s="1"/>
  <c r="F61" i="29"/>
  <c r="J60" i="29"/>
  <c r="F54" i="32" s="1"/>
  <c r="I60" i="29"/>
  <c r="E54" i="32" s="1"/>
  <c r="H60" i="29"/>
  <c r="K54" i="32" s="1"/>
  <c r="G60" i="29"/>
  <c r="J54" i="32" s="1"/>
  <c r="F60" i="29"/>
  <c r="I54" i="32" s="1"/>
  <c r="E60" i="29"/>
  <c r="C34" i="9" s="1"/>
  <c r="C60" i="29"/>
  <c r="A34" i="9" s="1"/>
  <c r="J59" i="29"/>
  <c r="F53" i="32" s="1"/>
  <c r="I59" i="29"/>
  <c r="E53" i="32" s="1"/>
  <c r="H59" i="29"/>
  <c r="D53" i="32" s="1"/>
  <c r="G59" i="29"/>
  <c r="C53" i="32" s="1"/>
  <c r="F59" i="29"/>
  <c r="I53" i="32" s="1"/>
  <c r="E59" i="29"/>
  <c r="C33" i="9" s="1"/>
  <c r="C59" i="29"/>
  <c r="A33" i="9" s="1"/>
  <c r="J58" i="29"/>
  <c r="M52" i="32" s="1"/>
  <c r="I58" i="29"/>
  <c r="E52" i="32" s="1"/>
  <c r="H58" i="29"/>
  <c r="D52" i="32" s="1"/>
  <c r="G58" i="29"/>
  <c r="C52" i="32" s="1"/>
  <c r="F58" i="29"/>
  <c r="B52" i="32" s="1"/>
  <c r="E58" i="29"/>
  <c r="C32" i="9" s="1"/>
  <c r="C58" i="29"/>
  <c r="A32" i="9" s="1"/>
  <c r="E57" i="29"/>
  <c r="E66" i="29" s="1"/>
  <c r="C57" i="29"/>
  <c r="C66" i="29" s="1"/>
  <c r="J55" i="29"/>
  <c r="M49" i="32" s="1"/>
  <c r="I55" i="29"/>
  <c r="L49" i="32" s="1"/>
  <c r="H55" i="29"/>
  <c r="K49" i="32" s="1"/>
  <c r="G55" i="29"/>
  <c r="J49" i="32" s="1"/>
  <c r="F55" i="29"/>
  <c r="I49" i="32" s="1"/>
  <c r="N49" i="32" s="1"/>
  <c r="E55" i="29"/>
  <c r="C31" i="9" s="1"/>
  <c r="C55" i="29"/>
  <c r="A31" i="9" s="1"/>
  <c r="J54" i="29"/>
  <c r="F48" i="32" s="1"/>
  <c r="I54" i="29"/>
  <c r="E48" i="32" s="1"/>
  <c r="H54" i="29"/>
  <c r="K48" i="32" s="1"/>
  <c r="G54" i="29"/>
  <c r="J48" i="32" s="1"/>
  <c r="F54" i="29"/>
  <c r="I48" i="32" s="1"/>
  <c r="N48" i="32" s="1"/>
  <c r="E54" i="29"/>
  <c r="C30" i="9" s="1"/>
  <c r="C54" i="29"/>
  <c r="A30" i="9" s="1"/>
  <c r="J53" i="29"/>
  <c r="F47" i="32" s="1"/>
  <c r="I53" i="29"/>
  <c r="E47" i="32" s="1"/>
  <c r="H53" i="29"/>
  <c r="D47" i="32" s="1"/>
  <c r="G53" i="29"/>
  <c r="C47" i="32" s="1"/>
  <c r="F53" i="29"/>
  <c r="I47" i="32" s="1"/>
  <c r="E53" i="29"/>
  <c r="C29" i="9" s="1"/>
  <c r="C53" i="29"/>
  <c r="A29" i="9" s="1"/>
  <c r="J51" i="29"/>
  <c r="M45" i="32" s="1"/>
  <c r="I51" i="29"/>
  <c r="L45" i="32" s="1"/>
  <c r="H51" i="29"/>
  <c r="K45" i="32" s="1"/>
  <c r="G51" i="29"/>
  <c r="C45" i="32" s="1"/>
  <c r="F51" i="29"/>
  <c r="B45" i="32" s="1"/>
  <c r="J50" i="29"/>
  <c r="M44" i="32" s="1"/>
  <c r="I50" i="29"/>
  <c r="L44" i="32" s="1"/>
  <c r="H50" i="29"/>
  <c r="K44" i="32" s="1"/>
  <c r="G50" i="29"/>
  <c r="J44" i="32" s="1"/>
  <c r="F50" i="29"/>
  <c r="I44" i="32" s="1"/>
  <c r="E50" i="29"/>
  <c r="C28" i="9" s="1"/>
  <c r="C50" i="29"/>
  <c r="A28" i="9" s="1"/>
  <c r="J49" i="29"/>
  <c r="M43" i="32" s="1"/>
  <c r="I49" i="29"/>
  <c r="L43" i="32" s="1"/>
  <c r="H49" i="29"/>
  <c r="K43" i="32" s="1"/>
  <c r="G49" i="29"/>
  <c r="J43" i="32" s="1"/>
  <c r="F49" i="29"/>
  <c r="I43" i="32" s="1"/>
  <c r="E49" i="29"/>
  <c r="C27" i="9" s="1"/>
  <c r="C49" i="29"/>
  <c r="A27" i="9" s="1"/>
  <c r="J48" i="29"/>
  <c r="F42" i="32" s="1"/>
  <c r="I48" i="29"/>
  <c r="E42" i="32" s="1"/>
  <c r="H48" i="29"/>
  <c r="K42" i="32" s="1"/>
  <c r="G48" i="29"/>
  <c r="J42" i="32" s="1"/>
  <c r="F48" i="29"/>
  <c r="E48" i="29"/>
  <c r="C26" i="9" s="1"/>
  <c r="C48" i="29"/>
  <c r="A26" i="9" s="1"/>
  <c r="E47" i="29"/>
  <c r="E56" i="29" s="1"/>
  <c r="C47" i="29"/>
  <c r="C56" i="29" s="1"/>
  <c r="J45" i="29"/>
  <c r="M39" i="32" s="1"/>
  <c r="I45" i="29"/>
  <c r="L39" i="32" s="1"/>
  <c r="H45" i="29"/>
  <c r="K39" i="32" s="1"/>
  <c r="G45" i="29"/>
  <c r="C39" i="32" s="1"/>
  <c r="F45" i="29"/>
  <c r="I39" i="32" s="1"/>
  <c r="E45" i="29"/>
  <c r="C25" i="9" s="1"/>
  <c r="C45" i="29"/>
  <c r="A25" i="9" s="1"/>
  <c r="J44" i="29"/>
  <c r="M38" i="32" s="1"/>
  <c r="I44" i="29"/>
  <c r="L38" i="32" s="1"/>
  <c r="H44" i="29"/>
  <c r="K38" i="32" s="1"/>
  <c r="G44" i="29"/>
  <c r="J38" i="32" s="1"/>
  <c r="F44" i="29"/>
  <c r="E44" i="29"/>
  <c r="C24" i="9" s="1"/>
  <c r="C44" i="29"/>
  <c r="A24" i="9" s="1"/>
  <c r="J43" i="29"/>
  <c r="M37" i="32" s="1"/>
  <c r="I43" i="29"/>
  <c r="L37" i="32" s="1"/>
  <c r="H43" i="29"/>
  <c r="K37" i="32" s="1"/>
  <c r="G43" i="29"/>
  <c r="J37" i="32" s="1"/>
  <c r="F43" i="29"/>
  <c r="B37" i="32" s="1"/>
  <c r="E43" i="29"/>
  <c r="C23" i="9" s="1"/>
  <c r="C43" i="29"/>
  <c r="A23" i="9" s="1"/>
  <c r="J41" i="29"/>
  <c r="M35" i="32" s="1"/>
  <c r="I41" i="29"/>
  <c r="E35" i="32" s="1"/>
  <c r="H41" i="29"/>
  <c r="D35" i="32" s="1"/>
  <c r="G41" i="29"/>
  <c r="C35" i="32" s="1"/>
  <c r="F41" i="29"/>
  <c r="I35" i="32" s="1"/>
  <c r="J40" i="29"/>
  <c r="M34" i="32" s="1"/>
  <c r="I40" i="29"/>
  <c r="E34" i="32" s="1"/>
  <c r="H40" i="29"/>
  <c r="D34" i="32" s="1"/>
  <c r="G40" i="29"/>
  <c r="C34" i="32" s="1"/>
  <c r="F40" i="29"/>
  <c r="B34" i="32" s="1"/>
  <c r="E40" i="29"/>
  <c r="C22" i="9" s="1"/>
  <c r="C40" i="29"/>
  <c r="A22" i="9" s="1"/>
  <c r="J39" i="29"/>
  <c r="M33" i="32" s="1"/>
  <c r="I39" i="29"/>
  <c r="L33" i="32" s="1"/>
  <c r="H39" i="29"/>
  <c r="K33" i="32" s="1"/>
  <c r="G39" i="29"/>
  <c r="C33" i="32" s="1"/>
  <c r="F39" i="29"/>
  <c r="B33" i="32" s="1"/>
  <c r="E39" i="29"/>
  <c r="C21" i="9" s="1"/>
  <c r="C39" i="29"/>
  <c r="A21" i="9" s="1"/>
  <c r="J38" i="29"/>
  <c r="M32" i="32" s="1"/>
  <c r="I38" i="29"/>
  <c r="L32" i="32" s="1"/>
  <c r="H38" i="29"/>
  <c r="K32" i="32" s="1"/>
  <c r="G38" i="29"/>
  <c r="J32" i="32" s="1"/>
  <c r="F38" i="29"/>
  <c r="I32" i="32" s="1"/>
  <c r="E38" i="29"/>
  <c r="C20" i="9" s="1"/>
  <c r="C38" i="29"/>
  <c r="A20" i="9" s="1"/>
  <c r="E37" i="29"/>
  <c r="E46" i="29" s="1"/>
  <c r="C37" i="29"/>
  <c r="C46" i="29" s="1"/>
  <c r="J35" i="29"/>
  <c r="F29" i="32" s="1"/>
  <c r="I35" i="29"/>
  <c r="E29" i="32" s="1"/>
  <c r="H35" i="29"/>
  <c r="D29" i="32" s="1"/>
  <c r="G35" i="29"/>
  <c r="C29" i="32" s="1"/>
  <c r="F35" i="29"/>
  <c r="I29" i="32" s="1"/>
  <c r="N29" i="32" s="1"/>
  <c r="E35" i="29"/>
  <c r="C19" i="9" s="1"/>
  <c r="C35" i="29"/>
  <c r="A19" i="9" s="1"/>
  <c r="J34" i="29"/>
  <c r="M28" i="32" s="1"/>
  <c r="I34" i="29"/>
  <c r="E28" i="32" s="1"/>
  <c r="H34" i="29"/>
  <c r="D28" i="32" s="1"/>
  <c r="G34" i="29"/>
  <c r="C28" i="32" s="1"/>
  <c r="F34" i="29"/>
  <c r="B28" i="32" s="1"/>
  <c r="G28" i="32" s="1"/>
  <c r="E34" i="29"/>
  <c r="C18" i="9" s="1"/>
  <c r="C34" i="29"/>
  <c r="A18" i="9" s="1"/>
  <c r="J33" i="29"/>
  <c r="M27" i="32" s="1"/>
  <c r="I33" i="29"/>
  <c r="L27" i="32" s="1"/>
  <c r="H33" i="29"/>
  <c r="K27" i="32" s="1"/>
  <c r="G33" i="29"/>
  <c r="C27" i="32" s="1"/>
  <c r="F33" i="29"/>
  <c r="B27" i="32" s="1"/>
  <c r="E33" i="29"/>
  <c r="C17" i="9" s="1"/>
  <c r="C33" i="29"/>
  <c r="A17" i="9" s="1"/>
  <c r="J31" i="29"/>
  <c r="M25" i="32" s="1"/>
  <c r="I31" i="29"/>
  <c r="L25" i="32" s="1"/>
  <c r="H31" i="29"/>
  <c r="K25" i="32" s="1"/>
  <c r="G31" i="29"/>
  <c r="J25" i="32" s="1"/>
  <c r="F31" i="29"/>
  <c r="I25" i="32" s="1"/>
  <c r="J30" i="29"/>
  <c r="F24" i="32" s="1"/>
  <c r="I30" i="29"/>
  <c r="E24" i="32" s="1"/>
  <c r="H30" i="29"/>
  <c r="K24" i="32" s="1"/>
  <c r="G30" i="29"/>
  <c r="J24" i="32" s="1"/>
  <c r="F30" i="29"/>
  <c r="E30" i="29"/>
  <c r="C16" i="9" s="1"/>
  <c r="C30" i="29"/>
  <c r="A16" i="9" s="1"/>
  <c r="J29" i="29"/>
  <c r="F23" i="32" s="1"/>
  <c r="I29" i="29"/>
  <c r="E23" i="32" s="1"/>
  <c r="H29" i="29"/>
  <c r="D23" i="32" s="1"/>
  <c r="G29" i="29"/>
  <c r="C23" i="32" s="1"/>
  <c r="F29" i="29"/>
  <c r="I23" i="32" s="1"/>
  <c r="E29" i="29"/>
  <c r="C15" i="9" s="1"/>
  <c r="C29" i="29"/>
  <c r="A15" i="9" s="1"/>
  <c r="J28" i="29"/>
  <c r="M22" i="32" s="1"/>
  <c r="I28" i="29"/>
  <c r="E22" i="32" s="1"/>
  <c r="H28" i="29"/>
  <c r="D22" i="32" s="1"/>
  <c r="G28" i="29"/>
  <c r="C22" i="32" s="1"/>
  <c r="F28" i="29"/>
  <c r="E28" i="29"/>
  <c r="C14" i="9" s="1"/>
  <c r="C28" i="29"/>
  <c r="A14" i="9" s="1"/>
  <c r="E27" i="29"/>
  <c r="E36" i="29" s="1"/>
  <c r="C27" i="29"/>
  <c r="C36" i="29" s="1"/>
  <c r="J25" i="29"/>
  <c r="M19" i="32" s="1"/>
  <c r="I25" i="29"/>
  <c r="L19" i="32" s="1"/>
  <c r="H25" i="29"/>
  <c r="K19" i="32" s="1"/>
  <c r="G25" i="29"/>
  <c r="J19" i="32" s="1"/>
  <c r="F25" i="29"/>
  <c r="K25" i="29" s="1"/>
  <c r="E25" i="29"/>
  <c r="C13" i="9" s="1"/>
  <c r="C25" i="29"/>
  <c r="A13" i="9" s="1"/>
  <c r="J24" i="29"/>
  <c r="F18" i="32" s="1"/>
  <c r="I24" i="29"/>
  <c r="E18" i="32" s="1"/>
  <c r="H24" i="29"/>
  <c r="K18" i="32" s="1"/>
  <c r="G24" i="29"/>
  <c r="J18" i="32" s="1"/>
  <c r="F24" i="29"/>
  <c r="I18" i="32" s="1"/>
  <c r="N18" i="32" s="1"/>
  <c r="E24" i="29"/>
  <c r="C12" i="9" s="1"/>
  <c r="C24" i="29"/>
  <c r="A12" i="9" s="1"/>
  <c r="J23" i="29"/>
  <c r="F17" i="32" s="1"/>
  <c r="I23" i="29"/>
  <c r="E17" i="32" s="1"/>
  <c r="H23" i="29"/>
  <c r="D17" i="32" s="1"/>
  <c r="G23" i="29"/>
  <c r="C17" i="32" s="1"/>
  <c r="F23" i="29"/>
  <c r="I17" i="32" s="1"/>
  <c r="E23" i="29"/>
  <c r="C11" i="9" s="1"/>
  <c r="C23" i="29"/>
  <c r="A11" i="9" s="1"/>
  <c r="J21" i="29"/>
  <c r="M15" i="32" s="1"/>
  <c r="I21" i="29"/>
  <c r="L15" i="32" s="1"/>
  <c r="H21" i="29"/>
  <c r="K15" i="32" s="1"/>
  <c r="G21" i="29"/>
  <c r="C15" i="32" s="1"/>
  <c r="F21" i="29"/>
  <c r="B15" i="32" s="1"/>
  <c r="J20" i="29"/>
  <c r="M14" i="32" s="1"/>
  <c r="I20" i="29"/>
  <c r="L14" i="32" s="1"/>
  <c r="H20" i="29"/>
  <c r="K14" i="32" s="1"/>
  <c r="G20" i="29"/>
  <c r="J14" i="32" s="1"/>
  <c r="F20" i="29"/>
  <c r="I14" i="32" s="1"/>
  <c r="E20" i="29"/>
  <c r="C10" i="9" s="1"/>
  <c r="C20" i="29"/>
  <c r="A10" i="9" s="1"/>
  <c r="J19" i="29"/>
  <c r="M13" i="32" s="1"/>
  <c r="I19" i="29"/>
  <c r="L13" i="32" s="1"/>
  <c r="H19" i="29"/>
  <c r="K13" i="32" s="1"/>
  <c r="G19" i="29"/>
  <c r="J13" i="32" s="1"/>
  <c r="F19" i="29"/>
  <c r="I13" i="32" s="1"/>
  <c r="E19" i="29"/>
  <c r="C9" i="9" s="1"/>
  <c r="C19" i="29"/>
  <c r="A9" i="9" s="1"/>
  <c r="J18" i="29"/>
  <c r="F12" i="32" s="1"/>
  <c r="I18" i="29"/>
  <c r="E12" i="32" s="1"/>
  <c r="H18" i="29"/>
  <c r="K12" i="32" s="1"/>
  <c r="G18" i="29"/>
  <c r="J12" i="32" s="1"/>
  <c r="F18" i="29"/>
  <c r="I12" i="32" s="1"/>
  <c r="E18" i="29"/>
  <c r="C8" i="9" s="1"/>
  <c r="C18" i="29"/>
  <c r="A8" i="9" s="1"/>
  <c r="E17" i="29"/>
  <c r="E26" i="29" s="1"/>
  <c r="C17" i="29"/>
  <c r="C26" i="29" s="1"/>
  <c r="J15" i="29"/>
  <c r="M9" i="32" s="1"/>
  <c r="I15" i="29"/>
  <c r="L9" i="32" s="1"/>
  <c r="H15" i="29"/>
  <c r="K9" i="32" s="1"/>
  <c r="G15" i="29"/>
  <c r="C9" i="32" s="1"/>
  <c r="F15" i="29"/>
  <c r="B9" i="32" s="1"/>
  <c r="G9" i="32" s="1"/>
  <c r="E15" i="29"/>
  <c r="C7" i="9" s="1"/>
  <c r="C15" i="29"/>
  <c r="A7" i="9" s="1"/>
  <c r="J14" i="29"/>
  <c r="M8" i="32" s="1"/>
  <c r="I14" i="29"/>
  <c r="L8" i="32" s="1"/>
  <c r="H14" i="29"/>
  <c r="K8" i="32" s="1"/>
  <c r="G14" i="29"/>
  <c r="J8" i="32" s="1"/>
  <c r="F14" i="29"/>
  <c r="I8" i="32" s="1"/>
  <c r="E14" i="29"/>
  <c r="C6" i="9" s="1"/>
  <c r="C14" i="29"/>
  <c r="A6" i="9" s="1"/>
  <c r="J13" i="29"/>
  <c r="M7" i="32" s="1"/>
  <c r="I13" i="29"/>
  <c r="L7" i="32" s="1"/>
  <c r="H13" i="29"/>
  <c r="K7" i="32" s="1"/>
  <c r="G13" i="29"/>
  <c r="J7" i="32" s="1"/>
  <c r="F13" i="29"/>
  <c r="E13" i="29"/>
  <c r="C5" i="9" s="1"/>
  <c r="C13" i="29"/>
  <c r="A5" i="9" s="1"/>
  <c r="J11" i="29"/>
  <c r="F5" i="32" s="1"/>
  <c r="I11" i="29"/>
  <c r="E5" i="32" s="1"/>
  <c r="H11" i="29"/>
  <c r="D5" i="32" s="1"/>
  <c r="G11" i="29"/>
  <c r="C5" i="32" s="1"/>
  <c r="F11" i="29"/>
  <c r="I5" i="32" s="1"/>
  <c r="J10" i="29"/>
  <c r="M4" i="32" s="1"/>
  <c r="I10" i="29"/>
  <c r="E4" i="32" s="1"/>
  <c r="H10" i="29"/>
  <c r="D4" i="32" s="1"/>
  <c r="G10" i="29"/>
  <c r="C4" i="32" s="1"/>
  <c r="F10" i="29"/>
  <c r="E10" i="29"/>
  <c r="C4" i="9" s="1"/>
  <c r="C10" i="29"/>
  <c r="A4" i="9" s="1"/>
  <c r="J9" i="29"/>
  <c r="M3" i="32" s="1"/>
  <c r="I9" i="29"/>
  <c r="L3" i="32" s="1"/>
  <c r="H9" i="29"/>
  <c r="K3" i="32" s="1"/>
  <c r="G9" i="29"/>
  <c r="C3" i="32" s="1"/>
  <c r="F9" i="29"/>
  <c r="B3" i="32" s="1"/>
  <c r="E9" i="29"/>
  <c r="C3" i="9" s="1"/>
  <c r="C9" i="29"/>
  <c r="A3" i="9" s="1"/>
  <c r="J8" i="29"/>
  <c r="M2" i="32" s="1"/>
  <c r="I8" i="29"/>
  <c r="L2" i="32" s="1"/>
  <c r="H8" i="29"/>
  <c r="K2" i="32" s="1"/>
  <c r="G8" i="29"/>
  <c r="J2" i="32" s="1"/>
  <c r="F8" i="29"/>
  <c r="B2" i="32" s="1"/>
  <c r="E8" i="29"/>
  <c r="C2" i="9" s="1"/>
  <c r="C8" i="29"/>
  <c r="A2" i="9" s="1"/>
  <c r="E7" i="29"/>
  <c r="C7" i="29"/>
  <c r="C126" i="29"/>
  <c r="C96" i="29"/>
  <c r="C86" i="29"/>
  <c r="E16" i="29"/>
  <c r="C16" i="29"/>
  <c r="J125" i="28"/>
  <c r="F119" i="31" s="1"/>
  <c r="I125" i="28"/>
  <c r="E119" i="31" s="1"/>
  <c r="H125" i="28"/>
  <c r="D119" i="31" s="1"/>
  <c r="G125" i="28"/>
  <c r="J119" i="31" s="1"/>
  <c r="F125" i="28"/>
  <c r="K125" i="28" s="1"/>
  <c r="E125" i="28"/>
  <c r="C125" i="28"/>
  <c r="J124" i="28"/>
  <c r="F118" i="31" s="1"/>
  <c r="I124" i="28"/>
  <c r="E118" i="31" s="1"/>
  <c r="H124" i="28"/>
  <c r="D118" i="31" s="1"/>
  <c r="G124" i="28"/>
  <c r="C118" i="31" s="1"/>
  <c r="F124" i="28"/>
  <c r="K124" i="28" s="1"/>
  <c r="E124" i="28"/>
  <c r="C124" i="28"/>
  <c r="J123" i="28"/>
  <c r="M117" i="31" s="1"/>
  <c r="I123" i="28"/>
  <c r="L117" i="31" s="1"/>
  <c r="H123" i="28"/>
  <c r="D117" i="31" s="1"/>
  <c r="G123" i="28"/>
  <c r="C117" i="31" s="1"/>
  <c r="F123" i="28"/>
  <c r="K123" i="28" s="1"/>
  <c r="E123" i="28"/>
  <c r="C123" i="28"/>
  <c r="J121" i="28"/>
  <c r="M115" i="31" s="1"/>
  <c r="I121" i="28"/>
  <c r="L115" i="31" s="1"/>
  <c r="H121" i="28"/>
  <c r="K115" i="31" s="1"/>
  <c r="G121" i="28"/>
  <c r="J115" i="31" s="1"/>
  <c r="F121" i="28"/>
  <c r="J120" i="28"/>
  <c r="F114" i="31" s="1"/>
  <c r="I120" i="28"/>
  <c r="L114" i="31" s="1"/>
  <c r="H120" i="28"/>
  <c r="K114" i="31" s="1"/>
  <c r="G120" i="28"/>
  <c r="J114" i="31" s="1"/>
  <c r="F120" i="28"/>
  <c r="I114" i="31" s="1"/>
  <c r="E120" i="28"/>
  <c r="C120" i="28"/>
  <c r="J119" i="28"/>
  <c r="F113" i="31" s="1"/>
  <c r="I119" i="28"/>
  <c r="E113" i="31" s="1"/>
  <c r="H119" i="28"/>
  <c r="D113" i="31" s="1"/>
  <c r="G119" i="28"/>
  <c r="J113" i="31" s="1"/>
  <c r="F119" i="28"/>
  <c r="E119" i="28"/>
  <c r="C119" i="28"/>
  <c r="J118" i="28"/>
  <c r="F112" i="31" s="1"/>
  <c r="I118" i="28"/>
  <c r="E112" i="31" s="1"/>
  <c r="H118" i="28"/>
  <c r="D112" i="31" s="1"/>
  <c r="G118" i="28"/>
  <c r="C112" i="31" s="1"/>
  <c r="F118" i="28"/>
  <c r="B112" i="31" s="1"/>
  <c r="E118" i="28"/>
  <c r="C118" i="28"/>
  <c r="E117" i="28"/>
  <c r="E126" i="28" s="1"/>
  <c r="C117" i="28"/>
  <c r="J115" i="28"/>
  <c r="M109" i="31" s="1"/>
  <c r="I115" i="28"/>
  <c r="L109" i="31" s="1"/>
  <c r="H115" i="28"/>
  <c r="K109" i="31" s="1"/>
  <c r="G115" i="28"/>
  <c r="J109" i="31" s="1"/>
  <c r="F115" i="28"/>
  <c r="I109" i="31" s="1"/>
  <c r="N109" i="31" s="1"/>
  <c r="E115" i="28"/>
  <c r="C115" i="28"/>
  <c r="J114" i="28"/>
  <c r="F108" i="31" s="1"/>
  <c r="I114" i="28"/>
  <c r="L108" i="31" s="1"/>
  <c r="H114" i="28"/>
  <c r="K108" i="31" s="1"/>
  <c r="G114" i="28"/>
  <c r="J108" i="31" s="1"/>
  <c r="F114" i="28"/>
  <c r="I108" i="31" s="1"/>
  <c r="N108" i="31" s="1"/>
  <c r="E114" i="28"/>
  <c r="C114" i="28"/>
  <c r="J113" i="28"/>
  <c r="F107" i="31" s="1"/>
  <c r="I113" i="28"/>
  <c r="E107" i="31" s="1"/>
  <c r="H113" i="28"/>
  <c r="D107" i="31" s="1"/>
  <c r="G113" i="28"/>
  <c r="J107" i="31" s="1"/>
  <c r="F113" i="28"/>
  <c r="I107" i="31" s="1"/>
  <c r="N107" i="31" s="1"/>
  <c r="E113" i="28"/>
  <c r="C113" i="28"/>
  <c r="J111" i="28"/>
  <c r="M105" i="31" s="1"/>
  <c r="I111" i="28"/>
  <c r="L105" i="31" s="1"/>
  <c r="H111" i="28"/>
  <c r="D105" i="31" s="1"/>
  <c r="G111" i="28"/>
  <c r="C105" i="31" s="1"/>
  <c r="F111" i="28"/>
  <c r="B105" i="31" s="1"/>
  <c r="J110" i="28"/>
  <c r="M104" i="31" s="1"/>
  <c r="I110" i="28"/>
  <c r="L104" i="31" s="1"/>
  <c r="H110" i="28"/>
  <c r="K104" i="31" s="1"/>
  <c r="G110" i="28"/>
  <c r="J104" i="31" s="1"/>
  <c r="F110" i="28"/>
  <c r="B104" i="31" s="1"/>
  <c r="E110" i="28"/>
  <c r="C110" i="28"/>
  <c r="J109" i="28"/>
  <c r="M103" i="31" s="1"/>
  <c r="I109" i="28"/>
  <c r="L103" i="31" s="1"/>
  <c r="H109" i="28"/>
  <c r="K103" i="31" s="1"/>
  <c r="G109" i="28"/>
  <c r="J103" i="31" s="1"/>
  <c r="F109" i="28"/>
  <c r="B103" i="31" s="1"/>
  <c r="E109" i="28"/>
  <c r="C109" i="28"/>
  <c r="J108" i="28"/>
  <c r="F102" i="31" s="1"/>
  <c r="I108" i="28"/>
  <c r="L102" i="31" s="1"/>
  <c r="H108" i="28"/>
  <c r="K102" i="31" s="1"/>
  <c r="G108" i="28"/>
  <c r="J102" i="31" s="1"/>
  <c r="F108" i="28"/>
  <c r="E108" i="28"/>
  <c r="C108" i="28"/>
  <c r="E107" i="28"/>
  <c r="C107" i="28"/>
  <c r="C116" i="28" s="1"/>
  <c r="J105" i="28"/>
  <c r="M99" i="31" s="1"/>
  <c r="I105" i="28"/>
  <c r="L99" i="31" s="1"/>
  <c r="H105" i="28"/>
  <c r="D99" i="31" s="1"/>
  <c r="G105" i="28"/>
  <c r="C99" i="31" s="1"/>
  <c r="F105" i="28"/>
  <c r="K105" i="28" s="1"/>
  <c r="E105" i="28"/>
  <c r="C105" i="28"/>
  <c r="J104" i="28"/>
  <c r="M98" i="31" s="1"/>
  <c r="I104" i="28"/>
  <c r="L98" i="31" s="1"/>
  <c r="H104" i="28"/>
  <c r="K98" i="31" s="1"/>
  <c r="G104" i="28"/>
  <c r="J98" i="31" s="1"/>
  <c r="F104" i="28"/>
  <c r="B98" i="31" s="1"/>
  <c r="G98" i="31" s="1"/>
  <c r="E104" i="28"/>
  <c r="C104" i="28"/>
  <c r="J103" i="28"/>
  <c r="M97" i="31" s="1"/>
  <c r="I103" i="28"/>
  <c r="L97" i="31" s="1"/>
  <c r="H103" i="28"/>
  <c r="K97" i="31" s="1"/>
  <c r="G103" i="28"/>
  <c r="J97" i="31" s="1"/>
  <c r="F103" i="28"/>
  <c r="B97" i="31" s="1"/>
  <c r="E103" i="28"/>
  <c r="C103" i="28"/>
  <c r="J101" i="28"/>
  <c r="F95" i="31" s="1"/>
  <c r="I101" i="28"/>
  <c r="E95" i="31" s="1"/>
  <c r="H101" i="28"/>
  <c r="D95" i="31" s="1"/>
  <c r="G101" i="28"/>
  <c r="J95" i="31" s="1"/>
  <c r="F101" i="28"/>
  <c r="I95" i="31" s="1"/>
  <c r="J100" i="28"/>
  <c r="F94" i="31" s="1"/>
  <c r="I100" i="28"/>
  <c r="E94" i="31" s="1"/>
  <c r="H100" i="28"/>
  <c r="D94" i="31" s="1"/>
  <c r="G100" i="28"/>
  <c r="C94" i="31" s="1"/>
  <c r="F100" i="28"/>
  <c r="B94" i="31" s="1"/>
  <c r="G94" i="31" s="1"/>
  <c r="E100" i="28"/>
  <c r="C100" i="28"/>
  <c r="J99" i="28"/>
  <c r="M93" i="31" s="1"/>
  <c r="I99" i="28"/>
  <c r="L93" i="31" s="1"/>
  <c r="H99" i="28"/>
  <c r="D93" i="31" s="1"/>
  <c r="G99" i="28"/>
  <c r="C93" i="31" s="1"/>
  <c r="F99" i="28"/>
  <c r="B93" i="31" s="1"/>
  <c r="E99" i="28"/>
  <c r="C99" i="28"/>
  <c r="J98" i="28"/>
  <c r="M92" i="31" s="1"/>
  <c r="I98" i="28"/>
  <c r="L92" i="31" s="1"/>
  <c r="H98" i="28"/>
  <c r="K92" i="31" s="1"/>
  <c r="G98" i="28"/>
  <c r="J92" i="31" s="1"/>
  <c r="F98" i="28"/>
  <c r="B92" i="31" s="1"/>
  <c r="E98" i="28"/>
  <c r="C98" i="28"/>
  <c r="E97" i="28"/>
  <c r="C97" i="28"/>
  <c r="J95" i="28"/>
  <c r="F89" i="31" s="1"/>
  <c r="I95" i="28"/>
  <c r="E89" i="31" s="1"/>
  <c r="H95" i="28"/>
  <c r="D89" i="31" s="1"/>
  <c r="G95" i="28"/>
  <c r="J89" i="31" s="1"/>
  <c r="F95" i="28"/>
  <c r="I89" i="31" s="1"/>
  <c r="N89" i="31" s="1"/>
  <c r="E95" i="28"/>
  <c r="C95" i="28"/>
  <c r="J94" i="28"/>
  <c r="F88" i="31" s="1"/>
  <c r="I94" i="28"/>
  <c r="E88" i="31" s="1"/>
  <c r="H94" i="28"/>
  <c r="D88" i="31" s="1"/>
  <c r="G94" i="28"/>
  <c r="C88" i="31" s="1"/>
  <c r="F94" i="28"/>
  <c r="E94" i="28"/>
  <c r="C94" i="28"/>
  <c r="J93" i="28"/>
  <c r="M87" i="31" s="1"/>
  <c r="I93" i="28"/>
  <c r="L87" i="31" s="1"/>
  <c r="H93" i="28"/>
  <c r="D87" i="31" s="1"/>
  <c r="G93" i="28"/>
  <c r="C87" i="31" s="1"/>
  <c r="F93" i="28"/>
  <c r="B87" i="31" s="1"/>
  <c r="E93" i="28"/>
  <c r="C93" i="28"/>
  <c r="J91" i="28"/>
  <c r="M85" i="31" s="1"/>
  <c r="I91" i="28"/>
  <c r="L85" i="31" s="1"/>
  <c r="H91" i="28"/>
  <c r="K85" i="31" s="1"/>
  <c r="G91" i="28"/>
  <c r="J85" i="31" s="1"/>
  <c r="F91" i="28"/>
  <c r="J90" i="28"/>
  <c r="F84" i="31" s="1"/>
  <c r="I90" i="28"/>
  <c r="L84" i="31" s="1"/>
  <c r="H90" i="28"/>
  <c r="K84" i="31" s="1"/>
  <c r="G90" i="28"/>
  <c r="J84" i="31" s="1"/>
  <c r="F90" i="28"/>
  <c r="E90" i="28"/>
  <c r="C90" i="28"/>
  <c r="J89" i="28"/>
  <c r="F83" i="31" s="1"/>
  <c r="I89" i="28"/>
  <c r="E83" i="31" s="1"/>
  <c r="H89" i="28"/>
  <c r="D83" i="31" s="1"/>
  <c r="G89" i="28"/>
  <c r="J83" i="31" s="1"/>
  <c r="F89" i="28"/>
  <c r="I83" i="31" s="1"/>
  <c r="E89" i="28"/>
  <c r="C89" i="28"/>
  <c r="J88" i="28"/>
  <c r="F82" i="31" s="1"/>
  <c r="I88" i="28"/>
  <c r="E82" i="31" s="1"/>
  <c r="H88" i="28"/>
  <c r="D82" i="31" s="1"/>
  <c r="G88" i="28"/>
  <c r="C82" i="31" s="1"/>
  <c r="F88" i="28"/>
  <c r="E88" i="28"/>
  <c r="C88" i="28"/>
  <c r="E87" i="28"/>
  <c r="E96" i="28" s="1"/>
  <c r="C87" i="28"/>
  <c r="C96" i="28" s="1"/>
  <c r="J85" i="28"/>
  <c r="F79" i="31" s="1"/>
  <c r="I85" i="28"/>
  <c r="L79" i="31" s="1"/>
  <c r="H85" i="28"/>
  <c r="K79" i="31" s="1"/>
  <c r="G85" i="28"/>
  <c r="J79" i="31" s="1"/>
  <c r="F85" i="28"/>
  <c r="I79" i="31" s="1"/>
  <c r="N79" i="31" s="1"/>
  <c r="E85" i="28"/>
  <c r="C85" i="28"/>
  <c r="J84" i="28"/>
  <c r="F78" i="31" s="1"/>
  <c r="I84" i="28"/>
  <c r="E78" i="31" s="1"/>
  <c r="H84" i="28"/>
  <c r="D78" i="31" s="1"/>
  <c r="G84" i="28"/>
  <c r="J78" i="31" s="1"/>
  <c r="F84" i="28"/>
  <c r="I78" i="31" s="1"/>
  <c r="E84" i="28"/>
  <c r="C84" i="28"/>
  <c r="J83" i="28"/>
  <c r="F77" i="31" s="1"/>
  <c r="I83" i="28"/>
  <c r="E77" i="31" s="1"/>
  <c r="H83" i="28"/>
  <c r="D77" i="31" s="1"/>
  <c r="G83" i="28"/>
  <c r="C77" i="31" s="1"/>
  <c r="F83" i="28"/>
  <c r="B77" i="31" s="1"/>
  <c r="E83" i="28"/>
  <c r="C83" i="28"/>
  <c r="J81" i="28"/>
  <c r="F75" i="31" s="1"/>
  <c r="I81" i="28"/>
  <c r="L75" i="31" s="1"/>
  <c r="H81" i="28"/>
  <c r="K75" i="31" s="1"/>
  <c r="G81" i="28"/>
  <c r="C75" i="31" s="1"/>
  <c r="F81" i="28"/>
  <c r="B75" i="31" s="1"/>
  <c r="J80" i="28"/>
  <c r="M74" i="31" s="1"/>
  <c r="I80" i="28"/>
  <c r="L74" i="31" s="1"/>
  <c r="H80" i="28"/>
  <c r="K74" i="31" s="1"/>
  <c r="G80" i="28"/>
  <c r="J74" i="31" s="1"/>
  <c r="F80" i="28"/>
  <c r="I74" i="31" s="1"/>
  <c r="E80" i="28"/>
  <c r="C80" i="28"/>
  <c r="J79" i="28"/>
  <c r="F73" i="31" s="1"/>
  <c r="I79" i="28"/>
  <c r="L73" i="31" s="1"/>
  <c r="H79" i="28"/>
  <c r="K73" i="31" s="1"/>
  <c r="G79" i="28"/>
  <c r="J73" i="31" s="1"/>
  <c r="F79" i="28"/>
  <c r="I73" i="31" s="1"/>
  <c r="E79" i="28"/>
  <c r="C79" i="28"/>
  <c r="J78" i="28"/>
  <c r="F72" i="31" s="1"/>
  <c r="I78" i="28"/>
  <c r="E72" i="31" s="1"/>
  <c r="H78" i="28"/>
  <c r="D72" i="31" s="1"/>
  <c r="G78" i="28"/>
  <c r="J72" i="31" s="1"/>
  <c r="F78" i="28"/>
  <c r="I72" i="31" s="1"/>
  <c r="E78" i="28"/>
  <c r="C78" i="28"/>
  <c r="E77" i="28"/>
  <c r="E86" i="28" s="1"/>
  <c r="C77" i="28"/>
  <c r="C86" i="28" s="1"/>
  <c r="J75" i="28"/>
  <c r="M69" i="31" s="1"/>
  <c r="I75" i="28"/>
  <c r="L69" i="31" s="1"/>
  <c r="H75" i="28"/>
  <c r="K69" i="31" s="1"/>
  <c r="G75" i="28"/>
  <c r="J69" i="31" s="1"/>
  <c r="F75" i="28"/>
  <c r="B69" i="31" s="1"/>
  <c r="G69" i="31" s="1"/>
  <c r="E75" i="28"/>
  <c r="C75" i="28"/>
  <c r="J74" i="28"/>
  <c r="M68" i="31" s="1"/>
  <c r="I74" i="28"/>
  <c r="L68" i="31" s="1"/>
  <c r="H74" i="28"/>
  <c r="K68" i="31" s="1"/>
  <c r="G74" i="28"/>
  <c r="J68" i="31" s="1"/>
  <c r="F74" i="28"/>
  <c r="K74" i="28" s="1"/>
  <c r="E74" i="28"/>
  <c r="C74" i="28"/>
  <c r="J73" i="28"/>
  <c r="F67" i="31" s="1"/>
  <c r="I73" i="28"/>
  <c r="L67" i="31" s="1"/>
  <c r="H73" i="28"/>
  <c r="K67" i="31" s="1"/>
  <c r="G73" i="28"/>
  <c r="J67" i="31" s="1"/>
  <c r="F73" i="28"/>
  <c r="K73" i="28" s="1"/>
  <c r="E73" i="28"/>
  <c r="C73" i="28"/>
  <c r="J71" i="28"/>
  <c r="F65" i="31" s="1"/>
  <c r="I71" i="28"/>
  <c r="E65" i="31" s="1"/>
  <c r="H71" i="28"/>
  <c r="D65" i="31" s="1"/>
  <c r="G71" i="28"/>
  <c r="C65" i="31" s="1"/>
  <c r="F71" i="28"/>
  <c r="J70" i="28"/>
  <c r="M64" i="31" s="1"/>
  <c r="I70" i="28"/>
  <c r="L64" i="31" s="1"/>
  <c r="H70" i="28"/>
  <c r="D64" i="31" s="1"/>
  <c r="G70" i="28"/>
  <c r="C64" i="31" s="1"/>
  <c r="F70" i="28"/>
  <c r="B64" i="31" s="1"/>
  <c r="E70" i="28"/>
  <c r="C70" i="28"/>
  <c r="J69" i="28"/>
  <c r="M63" i="31" s="1"/>
  <c r="I69" i="28"/>
  <c r="L63" i="31" s="1"/>
  <c r="H69" i="28"/>
  <c r="K63" i="31" s="1"/>
  <c r="G69" i="28"/>
  <c r="J63" i="31" s="1"/>
  <c r="F69" i="28"/>
  <c r="B63" i="31" s="1"/>
  <c r="G63" i="31" s="1"/>
  <c r="E69" i="28"/>
  <c r="C69" i="28"/>
  <c r="J68" i="28"/>
  <c r="M62" i="31" s="1"/>
  <c r="I68" i="28"/>
  <c r="L62" i="31" s="1"/>
  <c r="H68" i="28"/>
  <c r="K62" i="31" s="1"/>
  <c r="G68" i="28"/>
  <c r="J62" i="31" s="1"/>
  <c r="F68" i="28"/>
  <c r="B62" i="31" s="1"/>
  <c r="E68" i="28"/>
  <c r="C68" i="28"/>
  <c r="E67" i="28"/>
  <c r="E76" i="28" s="1"/>
  <c r="C67" i="28"/>
  <c r="C76" i="28" s="1"/>
  <c r="J65" i="28"/>
  <c r="F59" i="31" s="1"/>
  <c r="I65" i="28"/>
  <c r="E59" i="31" s="1"/>
  <c r="H65" i="28"/>
  <c r="D59" i="31" s="1"/>
  <c r="G65" i="28"/>
  <c r="C59" i="31" s="1"/>
  <c r="F65" i="28"/>
  <c r="B59" i="31" s="1"/>
  <c r="G59" i="31" s="1"/>
  <c r="E65" i="28"/>
  <c r="C65" i="28"/>
  <c r="J64" i="28"/>
  <c r="M58" i="31" s="1"/>
  <c r="I64" i="28"/>
  <c r="L58" i="31" s="1"/>
  <c r="H64" i="28"/>
  <c r="D58" i="31" s="1"/>
  <c r="G64" i="28"/>
  <c r="C58" i="31" s="1"/>
  <c r="F64" i="28"/>
  <c r="B58" i="31" s="1"/>
  <c r="G58" i="31" s="1"/>
  <c r="E64" i="28"/>
  <c r="C64" i="28"/>
  <c r="J63" i="28"/>
  <c r="M57" i="31" s="1"/>
  <c r="I63" i="28"/>
  <c r="L57" i="31" s="1"/>
  <c r="H63" i="28"/>
  <c r="K57" i="31" s="1"/>
  <c r="G63" i="28"/>
  <c r="J57" i="31" s="1"/>
  <c r="F63" i="28"/>
  <c r="B57" i="31" s="1"/>
  <c r="E63" i="28"/>
  <c r="C63" i="28"/>
  <c r="J61" i="28"/>
  <c r="F55" i="31" s="1"/>
  <c r="I61" i="28"/>
  <c r="L55" i="31" s="1"/>
  <c r="H61" i="28"/>
  <c r="K55" i="31" s="1"/>
  <c r="G61" i="28"/>
  <c r="J55" i="31" s="1"/>
  <c r="F61" i="28"/>
  <c r="I55" i="31" s="1"/>
  <c r="J60" i="28"/>
  <c r="F54" i="31" s="1"/>
  <c r="I60" i="28"/>
  <c r="E54" i="31" s="1"/>
  <c r="H60" i="28"/>
  <c r="D54" i="31" s="1"/>
  <c r="G60" i="28"/>
  <c r="J54" i="31" s="1"/>
  <c r="F60" i="28"/>
  <c r="I54" i="31" s="1"/>
  <c r="E60" i="28"/>
  <c r="C60" i="28"/>
  <c r="J59" i="28"/>
  <c r="F53" i="31" s="1"/>
  <c r="I59" i="28"/>
  <c r="E53" i="31" s="1"/>
  <c r="H59" i="28"/>
  <c r="D53" i="31" s="1"/>
  <c r="G59" i="28"/>
  <c r="C53" i="31" s="1"/>
  <c r="F59" i="28"/>
  <c r="B53" i="31" s="1"/>
  <c r="E59" i="28"/>
  <c r="C59" i="28"/>
  <c r="J58" i="28"/>
  <c r="M52" i="31" s="1"/>
  <c r="I58" i="28"/>
  <c r="L52" i="31" s="1"/>
  <c r="H58" i="28"/>
  <c r="D52" i="31" s="1"/>
  <c r="G58" i="28"/>
  <c r="C52" i="31" s="1"/>
  <c r="F58" i="28"/>
  <c r="E58" i="28"/>
  <c r="C58" i="28"/>
  <c r="E57" i="28"/>
  <c r="E66" i="28" s="1"/>
  <c r="C57" i="28"/>
  <c r="C66" i="28" s="1"/>
  <c r="J55" i="28"/>
  <c r="F49" i="31" s="1"/>
  <c r="I55" i="28"/>
  <c r="L49" i="31" s="1"/>
  <c r="H55" i="28"/>
  <c r="K49" i="31" s="1"/>
  <c r="G55" i="28"/>
  <c r="J49" i="31" s="1"/>
  <c r="F55" i="28"/>
  <c r="K55" i="28" s="1"/>
  <c r="E55" i="28"/>
  <c r="C55" i="28"/>
  <c r="J54" i="28"/>
  <c r="F48" i="31" s="1"/>
  <c r="I54" i="28"/>
  <c r="E48" i="31" s="1"/>
  <c r="H54" i="28"/>
  <c r="D48" i="31" s="1"/>
  <c r="G54" i="28"/>
  <c r="J48" i="31" s="1"/>
  <c r="F54" i="28"/>
  <c r="I48" i="31" s="1"/>
  <c r="N48" i="31" s="1"/>
  <c r="E54" i="28"/>
  <c r="C54" i="28"/>
  <c r="J53" i="28"/>
  <c r="F47" i="31" s="1"/>
  <c r="I53" i="28"/>
  <c r="E47" i="31" s="1"/>
  <c r="H53" i="28"/>
  <c r="D47" i="31" s="1"/>
  <c r="G53" i="28"/>
  <c r="C47" i="31" s="1"/>
  <c r="F53" i="28"/>
  <c r="K53" i="28" s="1"/>
  <c r="E53" i="28"/>
  <c r="C53" i="28"/>
  <c r="J51" i="28"/>
  <c r="F45" i="31" s="1"/>
  <c r="I51" i="28"/>
  <c r="L45" i="31" s="1"/>
  <c r="H51" i="28"/>
  <c r="K45" i="31" s="1"/>
  <c r="G51" i="28"/>
  <c r="J45" i="31" s="1"/>
  <c r="F51" i="28"/>
  <c r="B45" i="31" s="1"/>
  <c r="J50" i="28"/>
  <c r="M44" i="31" s="1"/>
  <c r="I50" i="28"/>
  <c r="L44" i="31" s="1"/>
  <c r="H50" i="28"/>
  <c r="K44" i="31" s="1"/>
  <c r="G50" i="28"/>
  <c r="J44" i="31" s="1"/>
  <c r="F50" i="28"/>
  <c r="Q50" i="28" s="1"/>
  <c r="E50" i="28"/>
  <c r="C50" i="28"/>
  <c r="J49" i="28"/>
  <c r="M43" i="31" s="1"/>
  <c r="I49" i="28"/>
  <c r="L43" i="31" s="1"/>
  <c r="H49" i="28"/>
  <c r="K43" i="31" s="1"/>
  <c r="G49" i="28"/>
  <c r="J43" i="31" s="1"/>
  <c r="F49" i="28"/>
  <c r="I43" i="31" s="1"/>
  <c r="E49" i="28"/>
  <c r="C49" i="28"/>
  <c r="J48" i="28"/>
  <c r="F42" i="31" s="1"/>
  <c r="I48" i="28"/>
  <c r="E42" i="31" s="1"/>
  <c r="H48" i="28"/>
  <c r="D42" i="31" s="1"/>
  <c r="G48" i="28"/>
  <c r="J42" i="31" s="1"/>
  <c r="F48" i="28"/>
  <c r="I42" i="31" s="1"/>
  <c r="E48" i="28"/>
  <c r="C48" i="28"/>
  <c r="E47" i="28"/>
  <c r="E56" i="28" s="1"/>
  <c r="C47" i="28"/>
  <c r="C56" i="28" s="1"/>
  <c r="J45" i="28"/>
  <c r="M39" i="31" s="1"/>
  <c r="I45" i="28"/>
  <c r="L39" i="31" s="1"/>
  <c r="H45" i="28"/>
  <c r="K39" i="31" s="1"/>
  <c r="G45" i="28"/>
  <c r="J39" i="31" s="1"/>
  <c r="F45" i="28"/>
  <c r="B39" i="31" s="1"/>
  <c r="G39" i="31" s="1"/>
  <c r="E45" i="28"/>
  <c r="C45" i="28"/>
  <c r="J44" i="28"/>
  <c r="M38" i="31" s="1"/>
  <c r="I44" i="28"/>
  <c r="L38" i="31" s="1"/>
  <c r="H44" i="28"/>
  <c r="K38" i="31" s="1"/>
  <c r="G44" i="28"/>
  <c r="J38" i="31" s="1"/>
  <c r="F44" i="28"/>
  <c r="I38" i="31" s="1"/>
  <c r="E44" i="28"/>
  <c r="C44" i="28"/>
  <c r="J43" i="28"/>
  <c r="F37" i="31" s="1"/>
  <c r="I43" i="28"/>
  <c r="L37" i="31" s="1"/>
  <c r="H43" i="28"/>
  <c r="K37" i="31" s="1"/>
  <c r="G43" i="28"/>
  <c r="J37" i="31" s="1"/>
  <c r="F43" i="28"/>
  <c r="I37" i="31" s="1"/>
  <c r="E43" i="28"/>
  <c r="C43" i="28"/>
  <c r="J41" i="28"/>
  <c r="F35" i="31" s="1"/>
  <c r="I41" i="28"/>
  <c r="E35" i="31" s="1"/>
  <c r="H41" i="28"/>
  <c r="D35" i="31" s="1"/>
  <c r="G41" i="28"/>
  <c r="C35" i="31" s="1"/>
  <c r="F41" i="28"/>
  <c r="B35" i="31" s="1"/>
  <c r="J40" i="28"/>
  <c r="M34" i="31" s="1"/>
  <c r="I40" i="28"/>
  <c r="L34" i="31" s="1"/>
  <c r="H40" i="28"/>
  <c r="D34" i="31" s="1"/>
  <c r="G40" i="28"/>
  <c r="C34" i="31" s="1"/>
  <c r="F40" i="28"/>
  <c r="E40" i="28"/>
  <c r="C40" i="28"/>
  <c r="J39" i="28"/>
  <c r="M33" i="31" s="1"/>
  <c r="I39" i="28"/>
  <c r="L33" i="31" s="1"/>
  <c r="H39" i="28"/>
  <c r="K33" i="31" s="1"/>
  <c r="G39" i="28"/>
  <c r="J33" i="31" s="1"/>
  <c r="F39" i="28"/>
  <c r="E39" i="28"/>
  <c r="C39" i="28"/>
  <c r="J38" i="28"/>
  <c r="M32" i="31" s="1"/>
  <c r="I38" i="28"/>
  <c r="L32" i="31" s="1"/>
  <c r="H38" i="28"/>
  <c r="K32" i="31" s="1"/>
  <c r="G38" i="28"/>
  <c r="J32" i="31" s="1"/>
  <c r="F38" i="28"/>
  <c r="B32" i="31" s="1"/>
  <c r="E38" i="28"/>
  <c r="C38" i="28"/>
  <c r="E37" i="28"/>
  <c r="E46" i="28" s="1"/>
  <c r="C37" i="28"/>
  <c r="C46" i="28" s="1"/>
  <c r="J35" i="28"/>
  <c r="F29" i="31" s="1"/>
  <c r="I35" i="28"/>
  <c r="E29" i="31" s="1"/>
  <c r="H35" i="28"/>
  <c r="D29" i="31" s="1"/>
  <c r="G35" i="28"/>
  <c r="C29" i="31" s="1"/>
  <c r="F35" i="28"/>
  <c r="I29" i="31" s="1"/>
  <c r="E35" i="28"/>
  <c r="C35" i="28"/>
  <c r="J34" i="28"/>
  <c r="M28" i="31" s="1"/>
  <c r="I34" i="28"/>
  <c r="L28" i="31" s="1"/>
  <c r="H34" i="28"/>
  <c r="D28" i="31" s="1"/>
  <c r="G34" i="28"/>
  <c r="C28" i="31" s="1"/>
  <c r="F34" i="28"/>
  <c r="I28" i="31" s="1"/>
  <c r="E34" i="28"/>
  <c r="C34" i="28"/>
  <c r="J33" i="28"/>
  <c r="M27" i="31" s="1"/>
  <c r="I33" i="28"/>
  <c r="L27" i="31" s="1"/>
  <c r="H33" i="28"/>
  <c r="K27" i="31" s="1"/>
  <c r="G33" i="28"/>
  <c r="J27" i="31" s="1"/>
  <c r="F33" i="28"/>
  <c r="B27" i="31" s="1"/>
  <c r="E33" i="28"/>
  <c r="C33" i="28"/>
  <c r="J31" i="28"/>
  <c r="F25" i="31" s="1"/>
  <c r="I31" i="28"/>
  <c r="L25" i="31" s="1"/>
  <c r="H31" i="28"/>
  <c r="K25" i="31" s="1"/>
  <c r="G31" i="28"/>
  <c r="J25" i="31" s="1"/>
  <c r="F31" i="28"/>
  <c r="I25" i="31" s="1"/>
  <c r="J30" i="28"/>
  <c r="F24" i="31" s="1"/>
  <c r="I30" i="28"/>
  <c r="E24" i="31" s="1"/>
  <c r="H30" i="28"/>
  <c r="D24" i="31" s="1"/>
  <c r="G30" i="28"/>
  <c r="J24" i="31" s="1"/>
  <c r="F30" i="28"/>
  <c r="I24" i="31" s="1"/>
  <c r="E30" i="28"/>
  <c r="C30" i="28"/>
  <c r="J29" i="28"/>
  <c r="F23" i="31" s="1"/>
  <c r="I29" i="28"/>
  <c r="E23" i="31" s="1"/>
  <c r="H29" i="28"/>
  <c r="D23" i="31" s="1"/>
  <c r="G29" i="28"/>
  <c r="C23" i="31" s="1"/>
  <c r="F29" i="28"/>
  <c r="B23" i="31" s="1"/>
  <c r="E29" i="28"/>
  <c r="C29" i="28"/>
  <c r="J28" i="28"/>
  <c r="M22" i="31" s="1"/>
  <c r="I28" i="28"/>
  <c r="L22" i="31" s="1"/>
  <c r="H28" i="28"/>
  <c r="D22" i="31" s="1"/>
  <c r="G28" i="28"/>
  <c r="C22" i="31" s="1"/>
  <c r="F28" i="28"/>
  <c r="B22" i="31" s="1"/>
  <c r="E28" i="28"/>
  <c r="C28" i="28"/>
  <c r="E27" i="28"/>
  <c r="E36" i="28" s="1"/>
  <c r="C27" i="28"/>
  <c r="C36" i="28" s="1"/>
  <c r="J25" i="28"/>
  <c r="F19" i="31" s="1"/>
  <c r="I25" i="28"/>
  <c r="L19" i="31" s="1"/>
  <c r="H25" i="28"/>
  <c r="K19" i="31" s="1"/>
  <c r="G25" i="28"/>
  <c r="J19" i="31" s="1"/>
  <c r="F25" i="28"/>
  <c r="I19" i="31" s="1"/>
  <c r="N19" i="31" s="1"/>
  <c r="E25" i="28"/>
  <c r="C25" i="28"/>
  <c r="J24" i="28"/>
  <c r="F18" i="31" s="1"/>
  <c r="I24" i="28"/>
  <c r="E18" i="31" s="1"/>
  <c r="H24" i="28"/>
  <c r="D18" i="31" s="1"/>
  <c r="G24" i="28"/>
  <c r="J18" i="31" s="1"/>
  <c r="F24" i="28"/>
  <c r="I18" i="31" s="1"/>
  <c r="N18" i="31" s="1"/>
  <c r="E24" i="28"/>
  <c r="C24" i="28"/>
  <c r="J23" i="28"/>
  <c r="F17" i="31" s="1"/>
  <c r="I23" i="28"/>
  <c r="E17" i="31" s="1"/>
  <c r="H23" i="28"/>
  <c r="D17" i="31" s="1"/>
  <c r="G23" i="28"/>
  <c r="C17" i="31" s="1"/>
  <c r="F23" i="28"/>
  <c r="K23" i="28" s="1"/>
  <c r="E23" i="28"/>
  <c r="C23" i="28"/>
  <c r="J21" i="28"/>
  <c r="M15" i="31" s="1"/>
  <c r="I21" i="28"/>
  <c r="L15" i="31" s="1"/>
  <c r="H21" i="28"/>
  <c r="K15" i="31" s="1"/>
  <c r="G21" i="28"/>
  <c r="J15" i="31" s="1"/>
  <c r="F21" i="28"/>
  <c r="J20" i="28"/>
  <c r="M14" i="31" s="1"/>
  <c r="I20" i="28"/>
  <c r="L14" i="31" s="1"/>
  <c r="H20" i="28"/>
  <c r="K14" i="31" s="1"/>
  <c r="G20" i="28"/>
  <c r="J14" i="31" s="1"/>
  <c r="F20" i="28"/>
  <c r="E20" i="28"/>
  <c r="C20" i="28"/>
  <c r="J19" i="28"/>
  <c r="F13" i="31" s="1"/>
  <c r="I19" i="28"/>
  <c r="L13" i="31" s="1"/>
  <c r="H19" i="28"/>
  <c r="K13" i="31" s="1"/>
  <c r="G19" i="28"/>
  <c r="J13" i="31" s="1"/>
  <c r="F19" i="28"/>
  <c r="E19" i="28"/>
  <c r="C19" i="28"/>
  <c r="J18" i="28"/>
  <c r="F12" i="31" s="1"/>
  <c r="I18" i="28"/>
  <c r="E12" i="31" s="1"/>
  <c r="H18" i="28"/>
  <c r="D12" i="31" s="1"/>
  <c r="G18" i="28"/>
  <c r="J12" i="31" s="1"/>
  <c r="F18" i="28"/>
  <c r="I12" i="31" s="1"/>
  <c r="E18" i="28"/>
  <c r="C18" i="28"/>
  <c r="E17" i="28"/>
  <c r="E26" i="28" s="1"/>
  <c r="C17" i="28"/>
  <c r="C26" i="28" s="1"/>
  <c r="J15" i="28"/>
  <c r="M9" i="31" s="1"/>
  <c r="I15" i="28"/>
  <c r="L9" i="31" s="1"/>
  <c r="H15" i="28"/>
  <c r="K9" i="31" s="1"/>
  <c r="G15" i="28"/>
  <c r="J9" i="31" s="1"/>
  <c r="F15" i="28"/>
  <c r="B9" i="31" s="1"/>
  <c r="G9" i="31" s="1"/>
  <c r="E15" i="28"/>
  <c r="C15" i="28"/>
  <c r="J14" i="28"/>
  <c r="M8" i="31" s="1"/>
  <c r="I14" i="28"/>
  <c r="L8" i="31" s="1"/>
  <c r="H14" i="28"/>
  <c r="K8" i="31" s="1"/>
  <c r="G14" i="28"/>
  <c r="J8" i="31" s="1"/>
  <c r="F14" i="28"/>
  <c r="K14" i="28" s="1"/>
  <c r="E14" i="28"/>
  <c r="C14" i="28"/>
  <c r="J13" i="28"/>
  <c r="F7" i="31" s="1"/>
  <c r="I13" i="28"/>
  <c r="L7" i="31" s="1"/>
  <c r="H13" i="28"/>
  <c r="K7" i="31" s="1"/>
  <c r="G13" i="28"/>
  <c r="J7" i="31" s="1"/>
  <c r="F13" i="28"/>
  <c r="I7" i="31" s="1"/>
  <c r="N7" i="31" s="1"/>
  <c r="E13" i="28"/>
  <c r="C13" i="28"/>
  <c r="J11" i="28"/>
  <c r="F5" i="31" s="1"/>
  <c r="I11" i="28"/>
  <c r="E5" i="31" s="1"/>
  <c r="H11" i="28"/>
  <c r="D5" i="31" s="1"/>
  <c r="G11" i="28"/>
  <c r="J5" i="31" s="1"/>
  <c r="F11" i="28"/>
  <c r="B5" i="31" s="1"/>
  <c r="J10" i="28"/>
  <c r="M4" i="31" s="1"/>
  <c r="I10" i="28"/>
  <c r="L4" i="31" s="1"/>
  <c r="H10" i="28"/>
  <c r="D4" i="31" s="1"/>
  <c r="G10" i="28"/>
  <c r="C4" i="31" s="1"/>
  <c r="F10" i="28"/>
  <c r="B4" i="31" s="1"/>
  <c r="E10" i="28"/>
  <c r="C10" i="28"/>
  <c r="J9" i="28"/>
  <c r="M3" i="31" s="1"/>
  <c r="I9" i="28"/>
  <c r="L3" i="31" s="1"/>
  <c r="H9" i="28"/>
  <c r="K3" i="31" s="1"/>
  <c r="G9" i="28"/>
  <c r="J3" i="31" s="1"/>
  <c r="F9" i="28"/>
  <c r="B3" i="31" s="1"/>
  <c r="E9" i="28"/>
  <c r="C9" i="28"/>
  <c r="J8" i="28"/>
  <c r="M2" i="31" s="1"/>
  <c r="I8" i="28"/>
  <c r="L2" i="31" s="1"/>
  <c r="H8" i="28"/>
  <c r="K2" i="31" s="1"/>
  <c r="G8" i="28"/>
  <c r="J2" i="31" s="1"/>
  <c r="F8" i="28"/>
  <c r="I2" i="31" s="1"/>
  <c r="E8" i="28"/>
  <c r="C8" i="28"/>
  <c r="E7" i="28"/>
  <c r="C7" i="28"/>
  <c r="C16" i="28" s="1"/>
  <c r="C126" i="28"/>
  <c r="E116" i="28"/>
  <c r="E106" i="28"/>
  <c r="C106" i="28"/>
  <c r="E16" i="28"/>
  <c r="W103" i="27"/>
  <c r="K103" i="27"/>
  <c r="P95" i="27"/>
  <c r="L95" i="27"/>
  <c r="E95" i="27"/>
  <c r="S93" i="27"/>
  <c r="B93" i="27"/>
  <c r="W73" i="27"/>
  <c r="K73" i="27"/>
  <c r="P65" i="27"/>
  <c r="L65" i="27"/>
  <c r="E65" i="27"/>
  <c r="S63" i="27"/>
  <c r="B63" i="27"/>
  <c r="W43" i="27"/>
  <c r="K43" i="27"/>
  <c r="P35" i="27"/>
  <c r="L35" i="27"/>
  <c r="E35" i="27"/>
  <c r="S33" i="27"/>
  <c r="B33" i="27"/>
  <c r="W13" i="27"/>
  <c r="K13" i="27"/>
  <c r="W103" i="26"/>
  <c r="K103" i="26"/>
  <c r="P95" i="26"/>
  <c r="L95" i="26"/>
  <c r="E95" i="26"/>
  <c r="S93" i="26"/>
  <c r="B93" i="26"/>
  <c r="W73" i="26"/>
  <c r="K73" i="26"/>
  <c r="P65" i="26"/>
  <c r="L65" i="26"/>
  <c r="E65" i="26"/>
  <c r="S63" i="26"/>
  <c r="B63" i="26"/>
  <c r="W43" i="26"/>
  <c r="K43" i="26"/>
  <c r="P35" i="26"/>
  <c r="L35" i="26"/>
  <c r="E35" i="26"/>
  <c r="S33" i="26"/>
  <c r="B33" i="26"/>
  <c r="W13" i="26"/>
  <c r="K13" i="26"/>
  <c r="W103" i="25"/>
  <c r="K103" i="25"/>
  <c r="P95" i="25"/>
  <c r="L95" i="25"/>
  <c r="E95" i="25"/>
  <c r="S93" i="25"/>
  <c r="B93" i="25"/>
  <c r="W73" i="25"/>
  <c r="K73" i="25"/>
  <c r="P65" i="25"/>
  <c r="L65" i="25"/>
  <c r="E65" i="25"/>
  <c r="S63" i="25"/>
  <c r="B63" i="25"/>
  <c r="W43" i="25"/>
  <c r="K43" i="25"/>
  <c r="P35" i="25"/>
  <c r="L35" i="25"/>
  <c r="E35" i="25"/>
  <c r="S33" i="25"/>
  <c r="B33" i="25"/>
  <c r="W13" i="25"/>
  <c r="K13" i="25"/>
  <c r="W103" i="24"/>
  <c r="K103" i="24"/>
  <c r="P95" i="24"/>
  <c r="L95" i="24"/>
  <c r="E95" i="24"/>
  <c r="S93" i="24"/>
  <c r="B93" i="24"/>
  <c r="W73" i="24"/>
  <c r="K73" i="24"/>
  <c r="P65" i="24"/>
  <c r="L65" i="24"/>
  <c r="E65" i="24"/>
  <c r="S63" i="24"/>
  <c r="B63" i="24"/>
  <c r="W43" i="24"/>
  <c r="K43" i="24"/>
  <c r="P35" i="24"/>
  <c r="L35" i="24"/>
  <c r="E35" i="24"/>
  <c r="S33" i="24"/>
  <c r="B33" i="24"/>
  <c r="W13" i="24"/>
  <c r="K13" i="24"/>
  <c r="W103" i="23"/>
  <c r="K103" i="23"/>
  <c r="P95" i="23"/>
  <c r="L95" i="23"/>
  <c r="E95" i="23"/>
  <c r="S93" i="23"/>
  <c r="B93" i="23"/>
  <c r="W73" i="23"/>
  <c r="K73" i="23"/>
  <c r="P65" i="23"/>
  <c r="L65" i="23"/>
  <c r="E65" i="23"/>
  <c r="S63" i="23"/>
  <c r="B63" i="23"/>
  <c r="W43" i="23"/>
  <c r="K43" i="23"/>
  <c r="P35" i="23"/>
  <c r="L35" i="23"/>
  <c r="E35" i="23"/>
  <c r="S33" i="23"/>
  <c r="B33" i="23"/>
  <c r="W13" i="23"/>
  <c r="K13" i="23"/>
  <c r="N8" i="32" l="1"/>
  <c r="U21" i="25"/>
  <c r="E2" i="32"/>
  <c r="E8" i="32"/>
  <c r="L85" i="32"/>
  <c r="N85" i="32"/>
  <c r="U19" i="27"/>
  <c r="U23" i="27" s="1"/>
  <c r="K84" i="32"/>
  <c r="J84" i="32"/>
  <c r="U17" i="27"/>
  <c r="G83" i="32"/>
  <c r="I83" i="32"/>
  <c r="W23" i="27"/>
  <c r="U49" i="27"/>
  <c r="G95" i="32"/>
  <c r="I95" i="32"/>
  <c r="D94" i="32"/>
  <c r="G94" i="32"/>
  <c r="W48" i="27"/>
  <c r="C93" i="32"/>
  <c r="B93" i="32"/>
  <c r="U53" i="27"/>
  <c r="W46" i="27"/>
  <c r="C105" i="32"/>
  <c r="U79" i="27"/>
  <c r="B105" i="32"/>
  <c r="U78" i="27"/>
  <c r="W83" i="27"/>
  <c r="K102" i="32"/>
  <c r="J102" i="32"/>
  <c r="N102" i="32" s="1"/>
  <c r="N115" i="32"/>
  <c r="K114" i="32"/>
  <c r="J114" i="32"/>
  <c r="U108" i="27"/>
  <c r="W113" i="27"/>
  <c r="G113" i="32"/>
  <c r="I113" i="32"/>
  <c r="U113" i="27"/>
  <c r="D112" i="32"/>
  <c r="G112" i="32" s="1"/>
  <c r="I69" i="32"/>
  <c r="E68" i="32"/>
  <c r="N67" i="32"/>
  <c r="C67" i="32"/>
  <c r="K64" i="32"/>
  <c r="U78" i="26"/>
  <c r="G64" i="32"/>
  <c r="I63" i="32"/>
  <c r="W83" i="26"/>
  <c r="N62" i="32"/>
  <c r="U76" i="26"/>
  <c r="M47" i="32"/>
  <c r="W19" i="26"/>
  <c r="W23" i="26" s="1"/>
  <c r="E44" i="32"/>
  <c r="N44" i="32"/>
  <c r="C43" i="32"/>
  <c r="U17" i="26"/>
  <c r="U23" i="26" s="1"/>
  <c r="N43" i="32"/>
  <c r="E74" i="32"/>
  <c r="C73" i="32"/>
  <c r="W113" i="26"/>
  <c r="U106" i="26"/>
  <c r="U113" i="26" s="1"/>
  <c r="N72" i="32"/>
  <c r="C55" i="32"/>
  <c r="W53" i="26"/>
  <c r="U53" i="26"/>
  <c r="K52" i="32"/>
  <c r="B8" i="32"/>
  <c r="W20" i="25"/>
  <c r="W23" i="25" s="1"/>
  <c r="C7" i="32"/>
  <c r="U19" i="25"/>
  <c r="J5" i="32"/>
  <c r="F4" i="32"/>
  <c r="U18" i="25"/>
  <c r="K4" i="32"/>
  <c r="D3" i="32"/>
  <c r="U17" i="25"/>
  <c r="I3" i="32"/>
  <c r="U112" i="25"/>
  <c r="B38" i="32"/>
  <c r="C37" i="32"/>
  <c r="U109" i="25"/>
  <c r="W113" i="25"/>
  <c r="K34" i="32"/>
  <c r="G34" i="32"/>
  <c r="D33" i="32"/>
  <c r="U107" i="25"/>
  <c r="I33" i="32"/>
  <c r="E32" i="32"/>
  <c r="N32" i="32"/>
  <c r="B32" i="32"/>
  <c r="U50" i="25"/>
  <c r="J17" i="32"/>
  <c r="D15" i="32"/>
  <c r="I15" i="32"/>
  <c r="E14" i="32"/>
  <c r="N14" i="32"/>
  <c r="B14" i="32"/>
  <c r="W53" i="25"/>
  <c r="C13" i="32"/>
  <c r="N13" i="32"/>
  <c r="U46" i="25"/>
  <c r="U53" i="25" s="1"/>
  <c r="N12" i="32"/>
  <c r="U80" i="25"/>
  <c r="D27" i="32"/>
  <c r="G27" i="32"/>
  <c r="I27" i="32"/>
  <c r="U79" i="25"/>
  <c r="N25" i="32"/>
  <c r="C25" i="32"/>
  <c r="W83" i="25"/>
  <c r="J23" i="32"/>
  <c r="K22" i="32"/>
  <c r="G87" i="31"/>
  <c r="U19" i="24"/>
  <c r="K83" i="31"/>
  <c r="U17" i="24"/>
  <c r="N83" i="31"/>
  <c r="W23" i="24"/>
  <c r="J82" i="31"/>
  <c r="U16" i="24"/>
  <c r="I82" i="31"/>
  <c r="L95" i="31"/>
  <c r="K95" i="31"/>
  <c r="U49" i="24"/>
  <c r="U53" i="24" s="1"/>
  <c r="E93" i="31"/>
  <c r="G93" i="31" s="1"/>
  <c r="W47" i="24"/>
  <c r="W53" i="24" s="1"/>
  <c r="D92" i="31"/>
  <c r="C92" i="31"/>
  <c r="E105" i="31"/>
  <c r="G105" i="31" s="1"/>
  <c r="W79" i="24"/>
  <c r="D104" i="31"/>
  <c r="C104" i="31"/>
  <c r="G104" i="31" s="1"/>
  <c r="U78" i="24"/>
  <c r="U83" i="24" s="1"/>
  <c r="U77" i="24"/>
  <c r="W83" i="24"/>
  <c r="U113" i="24"/>
  <c r="N114" i="31"/>
  <c r="W113" i="24"/>
  <c r="K113" i="31"/>
  <c r="G112" i="31"/>
  <c r="J112" i="31"/>
  <c r="I112" i="31"/>
  <c r="D57" i="31"/>
  <c r="C57" i="31"/>
  <c r="M55" i="31"/>
  <c r="N55" i="31"/>
  <c r="U49" i="23"/>
  <c r="U53" i="23" s="1"/>
  <c r="B55" i="31"/>
  <c r="L54" i="31"/>
  <c r="K54" i="31"/>
  <c r="J53" i="31"/>
  <c r="G53" i="31"/>
  <c r="W46" i="23"/>
  <c r="W53" i="23" s="1"/>
  <c r="E52" i="31"/>
  <c r="L78" i="31"/>
  <c r="K78" i="31"/>
  <c r="U110" i="23"/>
  <c r="G77" i="31"/>
  <c r="J77" i="31"/>
  <c r="I77" i="31"/>
  <c r="U109" i="23"/>
  <c r="D74" i="31"/>
  <c r="N74" i="31"/>
  <c r="U108" i="23"/>
  <c r="B74" i="31"/>
  <c r="U107" i="23"/>
  <c r="N73" i="31"/>
  <c r="B73" i="31"/>
  <c r="W113" i="23"/>
  <c r="L72" i="31"/>
  <c r="K72" i="31"/>
  <c r="U106" i="23"/>
  <c r="C45" i="31"/>
  <c r="N43" i="31"/>
  <c r="U23" i="23"/>
  <c r="W23" i="23"/>
  <c r="K42" i="31"/>
  <c r="N42" i="31"/>
  <c r="J65" i="31"/>
  <c r="I65" i="31"/>
  <c r="W83" i="23"/>
  <c r="J64" i="31"/>
  <c r="G64" i="31"/>
  <c r="U83" i="23"/>
  <c r="D62" i="31"/>
  <c r="U82" i="22"/>
  <c r="F28" i="31"/>
  <c r="U81" i="22"/>
  <c r="E28" i="31"/>
  <c r="D27" i="31"/>
  <c r="C27" i="31"/>
  <c r="G27" i="31" s="1"/>
  <c r="U79" i="22"/>
  <c r="N25" i="31"/>
  <c r="K24" i="31"/>
  <c r="N24" i="31" s="1"/>
  <c r="J23" i="31"/>
  <c r="G23" i="31"/>
  <c r="W83" i="22"/>
  <c r="I23" i="31"/>
  <c r="G22" i="31"/>
  <c r="N38" i="31"/>
  <c r="B38" i="31"/>
  <c r="M37" i="31"/>
  <c r="N37" i="31"/>
  <c r="G35" i="31"/>
  <c r="I35" i="31"/>
  <c r="E34" i="31"/>
  <c r="U108" i="22"/>
  <c r="U107" i="22"/>
  <c r="W113" i="22"/>
  <c r="D33" i="31"/>
  <c r="C33" i="31"/>
  <c r="U106" i="22"/>
  <c r="D15" i="31"/>
  <c r="C15" i="31"/>
  <c r="U48" i="22"/>
  <c r="W47" i="22"/>
  <c r="U53" i="22"/>
  <c r="K12" i="31"/>
  <c r="W46" i="22"/>
  <c r="U19" i="22"/>
  <c r="G4" i="31"/>
  <c r="G3" i="31"/>
  <c r="W23" i="22"/>
  <c r="N2" i="31"/>
  <c r="U16" i="22"/>
  <c r="U23" i="22" s="1"/>
  <c r="B2" i="31"/>
  <c r="U23" i="21"/>
  <c r="U107" i="21"/>
  <c r="U113" i="21" s="1"/>
  <c r="W113" i="21"/>
  <c r="U78" i="21"/>
  <c r="U83" i="21" s="1"/>
  <c r="W81" i="21"/>
  <c r="W76" i="21"/>
  <c r="U50" i="21"/>
  <c r="U49" i="21"/>
  <c r="W53" i="21"/>
  <c r="U46" i="21"/>
  <c r="U51" i="15"/>
  <c r="U49" i="15"/>
  <c r="U53" i="15" s="1"/>
  <c r="U48" i="15"/>
  <c r="W53" i="15"/>
  <c r="U78" i="15"/>
  <c r="U83" i="15" s="1"/>
  <c r="W83" i="15"/>
  <c r="U109" i="15"/>
  <c r="U113" i="15"/>
  <c r="W106" i="15"/>
  <c r="W113" i="15" s="1"/>
  <c r="U18" i="15"/>
  <c r="W23" i="15"/>
  <c r="U23" i="15"/>
  <c r="U21" i="14"/>
  <c r="U23" i="14" s="1"/>
  <c r="W18" i="14"/>
  <c r="W23" i="14"/>
  <c r="U108" i="14"/>
  <c r="U113" i="14" s="1"/>
  <c r="W113" i="14"/>
  <c r="U77" i="14"/>
  <c r="U53" i="14"/>
  <c r="W46" i="14"/>
  <c r="W53" i="14" s="1"/>
  <c r="U19" i="13"/>
  <c r="W17" i="13"/>
  <c r="W23" i="13" s="1"/>
  <c r="U23" i="13"/>
  <c r="U53" i="13"/>
  <c r="W46" i="13"/>
  <c r="W53" i="13" s="1"/>
  <c r="U113" i="13"/>
  <c r="W113" i="13"/>
  <c r="W83" i="13"/>
  <c r="U83" i="13"/>
  <c r="W83" i="12"/>
  <c r="U77" i="12"/>
  <c r="U83" i="12"/>
  <c r="U53" i="12"/>
  <c r="U113" i="12"/>
  <c r="W106" i="12"/>
  <c r="W113" i="12" s="1"/>
  <c r="U79" i="14"/>
  <c r="U76" i="14"/>
  <c r="W83" i="14"/>
  <c r="W17" i="12"/>
  <c r="W23" i="12" s="1"/>
  <c r="U23" i="12"/>
  <c r="U20" i="6"/>
  <c r="U18" i="6"/>
  <c r="W23" i="6"/>
  <c r="U16" i="6"/>
  <c r="U49" i="6"/>
  <c r="U48" i="6"/>
  <c r="U47" i="6"/>
  <c r="W46" i="6"/>
  <c r="W53" i="6" s="1"/>
  <c r="U109" i="6"/>
  <c r="U107" i="6"/>
  <c r="W106" i="6"/>
  <c r="W113" i="6" s="1"/>
  <c r="U79" i="6"/>
  <c r="U83" i="6" s="1"/>
  <c r="W76" i="6"/>
  <c r="W83" i="6" s="1"/>
  <c r="U49" i="5"/>
  <c r="U53" i="5" s="1"/>
  <c r="W53" i="5"/>
  <c r="W110" i="5"/>
  <c r="W113" i="5" s="1"/>
  <c r="U109" i="5"/>
  <c r="U107" i="5"/>
  <c r="U23" i="5"/>
  <c r="W23" i="5"/>
  <c r="W78" i="5"/>
  <c r="W83" i="5" s="1"/>
  <c r="U76" i="5"/>
  <c r="U83" i="5" s="1"/>
  <c r="U79" i="4"/>
  <c r="W83" i="4"/>
  <c r="U78" i="4"/>
  <c r="W113" i="4"/>
  <c r="U106" i="4"/>
  <c r="U113" i="4" s="1"/>
  <c r="U48" i="4"/>
  <c r="U53" i="4" s="1"/>
  <c r="W53" i="4"/>
  <c r="D82" i="32"/>
  <c r="D118" i="32"/>
  <c r="F82" i="32"/>
  <c r="J83" i="32"/>
  <c r="L84" i="32"/>
  <c r="D87" i="32"/>
  <c r="F88" i="32"/>
  <c r="J89" i="32"/>
  <c r="B92" i="32"/>
  <c r="D93" i="32"/>
  <c r="F94" i="32"/>
  <c r="J95" i="32"/>
  <c r="B98" i="32"/>
  <c r="G98" i="32" s="1"/>
  <c r="D99" i="32"/>
  <c r="L102" i="32"/>
  <c r="B104" i="32"/>
  <c r="D105" i="32"/>
  <c r="J107" i="32"/>
  <c r="L108" i="32"/>
  <c r="F112" i="32"/>
  <c r="J113" i="32"/>
  <c r="L114" i="32"/>
  <c r="D117" i="32"/>
  <c r="F118" i="32"/>
  <c r="J119" i="32"/>
  <c r="K103" i="29"/>
  <c r="Q103" i="29" s="1"/>
  <c r="I82" i="32"/>
  <c r="K83" i="32"/>
  <c r="M84" i="32"/>
  <c r="E87" i="32"/>
  <c r="K89" i="32"/>
  <c r="C92" i="32"/>
  <c r="E93" i="32"/>
  <c r="I94" i="32"/>
  <c r="K95" i="32"/>
  <c r="C98" i="32"/>
  <c r="E99" i="32"/>
  <c r="M102" i="32"/>
  <c r="C104" i="32"/>
  <c r="E105" i="32"/>
  <c r="K107" i="32"/>
  <c r="M108" i="32"/>
  <c r="I112" i="32"/>
  <c r="N112" i="32" s="1"/>
  <c r="K113" i="32"/>
  <c r="M114" i="32"/>
  <c r="E117" i="32"/>
  <c r="I118" i="32"/>
  <c r="N118" i="32" s="1"/>
  <c r="K119" i="32"/>
  <c r="K104" i="29"/>
  <c r="Q104" i="29" s="1"/>
  <c r="J82" i="32"/>
  <c r="L83" i="32"/>
  <c r="B85" i="32"/>
  <c r="F87" i="32"/>
  <c r="J88" i="32"/>
  <c r="L89" i="32"/>
  <c r="D92" i="32"/>
  <c r="F93" i="32"/>
  <c r="J94" i="32"/>
  <c r="L95" i="32"/>
  <c r="B97" i="32"/>
  <c r="G97" i="32" s="1"/>
  <c r="D98" i="32"/>
  <c r="F99" i="32"/>
  <c r="B103" i="32"/>
  <c r="D104" i="32"/>
  <c r="F105" i="32"/>
  <c r="L107" i="32"/>
  <c r="B109" i="32"/>
  <c r="G109" i="32" s="1"/>
  <c r="J112" i="32"/>
  <c r="L113" i="32"/>
  <c r="B115" i="32"/>
  <c r="F117" i="32"/>
  <c r="J118" i="32"/>
  <c r="L119" i="32"/>
  <c r="K105" i="29"/>
  <c r="K123" i="29"/>
  <c r="C85" i="32"/>
  <c r="I87" i="32"/>
  <c r="N87" i="32" s="1"/>
  <c r="E92" i="32"/>
  <c r="I93" i="32"/>
  <c r="N93" i="32" s="1"/>
  <c r="C97" i="32"/>
  <c r="E98" i="32"/>
  <c r="C103" i="32"/>
  <c r="E104" i="32"/>
  <c r="I105" i="32"/>
  <c r="N105" i="32" s="1"/>
  <c r="C109" i="32"/>
  <c r="M113" i="32"/>
  <c r="C115" i="32"/>
  <c r="K124" i="29"/>
  <c r="L124" i="29" s="1"/>
  <c r="E82" i="32"/>
  <c r="C87" i="32"/>
  <c r="B84" i="32"/>
  <c r="G84" i="32" s="1"/>
  <c r="D85" i="32"/>
  <c r="F92" i="32"/>
  <c r="D97" i="32"/>
  <c r="F98" i="32"/>
  <c r="B102" i="32"/>
  <c r="G102" i="32" s="1"/>
  <c r="D103" i="32"/>
  <c r="F104" i="32"/>
  <c r="B108" i="32"/>
  <c r="G108" i="32" s="1"/>
  <c r="D109" i="32"/>
  <c r="B114" i="32"/>
  <c r="G114" i="32" s="1"/>
  <c r="D115" i="32"/>
  <c r="L118" i="32"/>
  <c r="K125" i="29"/>
  <c r="B87" i="32"/>
  <c r="G87" i="32" s="1"/>
  <c r="I92" i="32"/>
  <c r="N92" i="32" s="1"/>
  <c r="I104" i="32"/>
  <c r="N104" i="32" s="1"/>
  <c r="B89" i="32"/>
  <c r="G89" i="32" s="1"/>
  <c r="B107" i="32"/>
  <c r="G107" i="32" s="1"/>
  <c r="F115" i="32"/>
  <c r="K94" i="29"/>
  <c r="Q94" i="29" s="1"/>
  <c r="I103" i="32"/>
  <c r="N103" i="32" s="1"/>
  <c r="I109" i="32"/>
  <c r="N109" i="32" s="1"/>
  <c r="B88" i="32"/>
  <c r="G88" i="32" s="1"/>
  <c r="K114" i="29"/>
  <c r="L42" i="32"/>
  <c r="B44" i="32"/>
  <c r="D45" i="32"/>
  <c r="J47" i="32"/>
  <c r="L48" i="32"/>
  <c r="F52" i="32"/>
  <c r="G52" i="32" s="1"/>
  <c r="J53" i="32"/>
  <c r="L54" i="32"/>
  <c r="N54" i="32" s="1"/>
  <c r="D57" i="32"/>
  <c r="F58" i="32"/>
  <c r="J59" i="32"/>
  <c r="B62" i="32"/>
  <c r="D63" i="32"/>
  <c r="F64" i="32"/>
  <c r="J65" i="32"/>
  <c r="N65" i="32" s="1"/>
  <c r="B68" i="32"/>
  <c r="D69" i="32"/>
  <c r="L72" i="32"/>
  <c r="B74" i="32"/>
  <c r="D75" i="32"/>
  <c r="J77" i="32"/>
  <c r="L78" i="32"/>
  <c r="K65" i="29"/>
  <c r="K83" i="29"/>
  <c r="M42" i="32"/>
  <c r="C44" i="32"/>
  <c r="E45" i="32"/>
  <c r="K47" i="32"/>
  <c r="M48" i="32"/>
  <c r="I52" i="32"/>
  <c r="K53" i="32"/>
  <c r="M54" i="32"/>
  <c r="E57" i="32"/>
  <c r="I58" i="32"/>
  <c r="N58" i="32" s="1"/>
  <c r="K59" i="32"/>
  <c r="C62" i="32"/>
  <c r="E63" i="32"/>
  <c r="I64" i="32"/>
  <c r="K65" i="32"/>
  <c r="C68" i="32"/>
  <c r="E69" i="32"/>
  <c r="M72" i="32"/>
  <c r="C74" i="32"/>
  <c r="E75" i="32"/>
  <c r="K77" i="32"/>
  <c r="M78" i="32"/>
  <c r="K84" i="29"/>
  <c r="Q84" i="29" s="1"/>
  <c r="B43" i="32"/>
  <c r="D44" i="32"/>
  <c r="F45" i="32"/>
  <c r="L47" i="32"/>
  <c r="B49" i="32"/>
  <c r="G49" i="32" s="1"/>
  <c r="J52" i="32"/>
  <c r="L53" i="32"/>
  <c r="B55" i="32"/>
  <c r="F57" i="32"/>
  <c r="J58" i="32"/>
  <c r="L59" i="32"/>
  <c r="D62" i="32"/>
  <c r="F63" i="32"/>
  <c r="J64" i="32"/>
  <c r="L65" i="32"/>
  <c r="B67" i="32"/>
  <c r="D68" i="32"/>
  <c r="F69" i="32"/>
  <c r="B73" i="32"/>
  <c r="G73" i="32" s="1"/>
  <c r="K79" i="29" s="1"/>
  <c r="D74" i="32"/>
  <c r="F75" i="32"/>
  <c r="L77" i="32"/>
  <c r="B79" i="32"/>
  <c r="G79" i="32" s="1"/>
  <c r="K85" i="29"/>
  <c r="B42" i="32"/>
  <c r="D43" i="32"/>
  <c r="F44" i="32"/>
  <c r="J45" i="32"/>
  <c r="N45" i="32" s="1"/>
  <c r="B48" i="32"/>
  <c r="G48" i="32" s="1"/>
  <c r="D49" i="32"/>
  <c r="L52" i="32"/>
  <c r="B54" i="32"/>
  <c r="G54" i="32" s="1"/>
  <c r="D55" i="32"/>
  <c r="J57" i="32"/>
  <c r="L58" i="32"/>
  <c r="F62" i="32"/>
  <c r="J63" i="32"/>
  <c r="L64" i="32"/>
  <c r="D67" i="32"/>
  <c r="F68" i="32"/>
  <c r="J69" i="32"/>
  <c r="B72" i="32"/>
  <c r="D73" i="32"/>
  <c r="F74" i="32"/>
  <c r="J75" i="32"/>
  <c r="N75" i="32" s="1"/>
  <c r="B78" i="32"/>
  <c r="G78" i="32" s="1"/>
  <c r="D79" i="32"/>
  <c r="K54" i="29"/>
  <c r="C42" i="32"/>
  <c r="E43" i="32"/>
  <c r="C48" i="32"/>
  <c r="E49" i="32"/>
  <c r="C54" i="32"/>
  <c r="E55" i="32"/>
  <c r="E67" i="32"/>
  <c r="I68" i="32"/>
  <c r="N68" i="32" s="1"/>
  <c r="C72" i="32"/>
  <c r="E73" i="32"/>
  <c r="I74" i="32"/>
  <c r="N74" i="32" s="1"/>
  <c r="C78" i="32"/>
  <c r="E79" i="32"/>
  <c r="K55" i="29"/>
  <c r="D42" i="32"/>
  <c r="F43" i="32"/>
  <c r="B47" i="32"/>
  <c r="G47" i="32" s="1"/>
  <c r="D48" i="32"/>
  <c r="F49" i="32"/>
  <c r="B53" i="32"/>
  <c r="G53" i="32" s="1"/>
  <c r="D54" i="32"/>
  <c r="F55" i="32"/>
  <c r="B59" i="32"/>
  <c r="G59" i="32" s="1"/>
  <c r="B65" i="32"/>
  <c r="G65" i="32" s="1"/>
  <c r="F67" i="32"/>
  <c r="D72" i="32"/>
  <c r="F73" i="32"/>
  <c r="B77" i="32"/>
  <c r="G77" i="32" s="1"/>
  <c r="D78" i="32"/>
  <c r="F79" i="32"/>
  <c r="I55" i="32"/>
  <c r="N55" i="32" s="1"/>
  <c r="I73" i="32"/>
  <c r="N73" i="32" s="1"/>
  <c r="B58" i="32"/>
  <c r="G58" i="32" s="1"/>
  <c r="I42" i="32"/>
  <c r="N42" i="32" s="1"/>
  <c r="B57" i="32"/>
  <c r="G57" i="32" s="1"/>
  <c r="B75" i="32"/>
  <c r="J35" i="32"/>
  <c r="C2" i="32"/>
  <c r="E3" i="32"/>
  <c r="I4" i="32"/>
  <c r="K5" i="32"/>
  <c r="C8" i="32"/>
  <c r="E9" i="32"/>
  <c r="M12" i="32"/>
  <c r="C14" i="32"/>
  <c r="E15" i="32"/>
  <c r="K17" i="32"/>
  <c r="M18" i="32"/>
  <c r="I22" i="32"/>
  <c r="K23" i="32"/>
  <c r="M24" i="32"/>
  <c r="E27" i="32"/>
  <c r="I28" i="32"/>
  <c r="N28" i="32" s="1"/>
  <c r="K29" i="32"/>
  <c r="C32" i="32"/>
  <c r="E33" i="32"/>
  <c r="I34" i="32"/>
  <c r="N34" i="32" s="1"/>
  <c r="K40" i="29" s="1"/>
  <c r="L40" i="29" s="1"/>
  <c r="K35" i="32"/>
  <c r="C38" i="32"/>
  <c r="E39" i="32"/>
  <c r="K15" i="29"/>
  <c r="Q15" i="29" s="1"/>
  <c r="D2" i="32"/>
  <c r="F3" i="32"/>
  <c r="J4" i="32"/>
  <c r="L5" i="32"/>
  <c r="B7" i="32"/>
  <c r="D8" i="32"/>
  <c r="F9" i="32"/>
  <c r="B13" i="32"/>
  <c r="D14" i="32"/>
  <c r="F15" i="32"/>
  <c r="L17" i="32"/>
  <c r="B19" i="32"/>
  <c r="G19" i="32" s="1"/>
  <c r="J22" i="32"/>
  <c r="L23" i="32"/>
  <c r="B25" i="32"/>
  <c r="F27" i="32"/>
  <c r="J28" i="32"/>
  <c r="L29" i="32"/>
  <c r="D32" i="32"/>
  <c r="F33" i="32"/>
  <c r="J34" i="32"/>
  <c r="L35" i="32"/>
  <c r="D38" i="32"/>
  <c r="F39" i="32"/>
  <c r="K34" i="29"/>
  <c r="Q34" i="29" s="1"/>
  <c r="F2" i="32"/>
  <c r="J3" i="32"/>
  <c r="L4" i="32"/>
  <c r="D7" i="32"/>
  <c r="F8" i="32"/>
  <c r="J9" i="32"/>
  <c r="B12" i="32"/>
  <c r="D13" i="32"/>
  <c r="F14" i="32"/>
  <c r="J15" i="32"/>
  <c r="B18" i="32"/>
  <c r="G18" i="32" s="1"/>
  <c r="D19" i="32"/>
  <c r="L22" i="32"/>
  <c r="B24" i="32"/>
  <c r="D25" i="32"/>
  <c r="J27" i="32"/>
  <c r="L28" i="32"/>
  <c r="F32" i="32"/>
  <c r="J33" i="32"/>
  <c r="L34" i="32"/>
  <c r="D37" i="32"/>
  <c r="F38" i="32"/>
  <c r="J39" i="32"/>
  <c r="N39" i="32" s="1"/>
  <c r="I2" i="32"/>
  <c r="N2" i="32" s="1"/>
  <c r="E7" i="32"/>
  <c r="C12" i="32"/>
  <c r="E13" i="32"/>
  <c r="C18" i="32"/>
  <c r="E19" i="32"/>
  <c r="C24" i="32"/>
  <c r="E25" i="32"/>
  <c r="E37" i="32"/>
  <c r="I38" i="32"/>
  <c r="N38" i="32" s="1"/>
  <c r="B5" i="32"/>
  <c r="G5" i="32" s="1"/>
  <c r="F7" i="32"/>
  <c r="D12" i="32"/>
  <c r="F13" i="32"/>
  <c r="B17" i="32"/>
  <c r="G17" i="32" s="1"/>
  <c r="D18" i="32"/>
  <c r="F19" i="32"/>
  <c r="B23" i="32"/>
  <c r="G23" i="32" s="1"/>
  <c r="D24" i="32"/>
  <c r="F25" i="32"/>
  <c r="B29" i="32"/>
  <c r="G29" i="32" s="1"/>
  <c r="B35" i="32"/>
  <c r="G35" i="32" s="1"/>
  <c r="F37" i="32"/>
  <c r="I7" i="32"/>
  <c r="N7" i="32" s="1"/>
  <c r="I19" i="32"/>
  <c r="N19" i="32" s="1"/>
  <c r="I37" i="32"/>
  <c r="N37" i="32" s="1"/>
  <c r="K24" i="29"/>
  <c r="Q24" i="29" s="1"/>
  <c r="B4" i="32"/>
  <c r="B22" i="32"/>
  <c r="G22" i="32" s="1"/>
  <c r="I24" i="32"/>
  <c r="N24" i="32" s="1"/>
  <c r="M5" i="32"/>
  <c r="F35" i="32"/>
  <c r="B39" i="32"/>
  <c r="L107" i="31"/>
  <c r="Q94" i="28"/>
  <c r="K82" i="31"/>
  <c r="M83" i="31"/>
  <c r="C85" i="31"/>
  <c r="I87" i="31"/>
  <c r="K88" i="31"/>
  <c r="M89" i="31"/>
  <c r="E92" i="31"/>
  <c r="I93" i="31"/>
  <c r="K94" i="31"/>
  <c r="N94" i="31" s="1"/>
  <c r="K100" i="28" s="1"/>
  <c r="M95" i="31"/>
  <c r="C97" i="31"/>
  <c r="E98" i="31"/>
  <c r="I99" i="31"/>
  <c r="N99" i="31" s="1"/>
  <c r="C103" i="31"/>
  <c r="E104" i="31"/>
  <c r="I105" i="31"/>
  <c r="M107" i="31"/>
  <c r="C109" i="31"/>
  <c r="K112" i="31"/>
  <c r="M113" i="31"/>
  <c r="C115" i="31"/>
  <c r="I117" i="31"/>
  <c r="N117" i="31" s="1"/>
  <c r="K118" i="31"/>
  <c r="M119" i="31"/>
  <c r="K95" i="28"/>
  <c r="Q95" i="28" s="1"/>
  <c r="K113" i="28"/>
  <c r="L82" i="31"/>
  <c r="B84" i="31"/>
  <c r="D85" i="31"/>
  <c r="J87" i="31"/>
  <c r="L88" i="31"/>
  <c r="F92" i="31"/>
  <c r="J93" i="31"/>
  <c r="L94" i="31"/>
  <c r="D97" i="31"/>
  <c r="F98" i="31"/>
  <c r="J99" i="31"/>
  <c r="B102" i="31"/>
  <c r="D103" i="31"/>
  <c r="F104" i="31"/>
  <c r="J105" i="31"/>
  <c r="B108" i="31"/>
  <c r="G108" i="31" s="1"/>
  <c r="D109" i="31"/>
  <c r="L112" i="31"/>
  <c r="B114" i="31"/>
  <c r="D115" i="31"/>
  <c r="J117" i="31"/>
  <c r="L118" i="31"/>
  <c r="K114" i="28"/>
  <c r="M82" i="31"/>
  <c r="C84" i="31"/>
  <c r="E85" i="31"/>
  <c r="K87" i="31"/>
  <c r="M88" i="31"/>
  <c r="I92" i="31"/>
  <c r="N92" i="31" s="1"/>
  <c r="K93" i="31"/>
  <c r="M94" i="31"/>
  <c r="E97" i="31"/>
  <c r="I98" i="31"/>
  <c r="N98" i="31" s="1"/>
  <c r="K99" i="31"/>
  <c r="C102" i="31"/>
  <c r="E103" i="31"/>
  <c r="I104" i="31"/>
  <c r="N104" i="31" s="1"/>
  <c r="K105" i="31"/>
  <c r="C108" i="31"/>
  <c r="E109" i="31"/>
  <c r="M112" i="31"/>
  <c r="C114" i="31"/>
  <c r="E115" i="31"/>
  <c r="K117" i="31"/>
  <c r="M118" i="31"/>
  <c r="K115" i="28"/>
  <c r="L89" i="31"/>
  <c r="B83" i="31"/>
  <c r="D84" i="31"/>
  <c r="F85" i="31"/>
  <c r="B89" i="31"/>
  <c r="G89" i="31" s="1"/>
  <c r="B95" i="31"/>
  <c r="G95" i="31" s="1"/>
  <c r="F97" i="31"/>
  <c r="D102" i="31"/>
  <c r="F103" i="31"/>
  <c r="B107" i="31"/>
  <c r="G107" i="31" s="1"/>
  <c r="D108" i="31"/>
  <c r="F109" i="31"/>
  <c r="B113" i="31"/>
  <c r="G113" i="31" s="1"/>
  <c r="D114" i="31"/>
  <c r="F115" i="31"/>
  <c r="B119" i="31"/>
  <c r="G119" i="31" s="1"/>
  <c r="B85" i="31"/>
  <c r="C83" i="31"/>
  <c r="E84" i="31"/>
  <c r="I85" i="31"/>
  <c r="N85" i="31" s="1"/>
  <c r="C89" i="31"/>
  <c r="C95" i="31"/>
  <c r="I97" i="31"/>
  <c r="N97" i="31" s="1"/>
  <c r="E102" i="31"/>
  <c r="I103" i="31"/>
  <c r="N103" i="31" s="1"/>
  <c r="C107" i="31"/>
  <c r="E108" i="31"/>
  <c r="C113" i="31"/>
  <c r="E114" i="31"/>
  <c r="I115" i="31"/>
  <c r="N115" i="31" s="1"/>
  <c r="C119" i="31"/>
  <c r="B82" i="31"/>
  <c r="G82" i="31" s="1"/>
  <c r="B88" i="31"/>
  <c r="G88" i="31" s="1"/>
  <c r="B118" i="31"/>
  <c r="G118" i="31" s="1"/>
  <c r="I84" i="31"/>
  <c r="N84" i="31" s="1"/>
  <c r="I102" i="31"/>
  <c r="N102" i="31" s="1"/>
  <c r="K104" i="28"/>
  <c r="Q104" i="28" s="1"/>
  <c r="B99" i="31"/>
  <c r="G99" i="31" s="1"/>
  <c r="B117" i="31"/>
  <c r="G117" i="31" s="1"/>
  <c r="I113" i="31"/>
  <c r="N113" i="31" s="1"/>
  <c r="I119" i="31"/>
  <c r="N119" i="31" s="1"/>
  <c r="B44" i="31"/>
  <c r="G44" i="31" s="1"/>
  <c r="D45" i="31"/>
  <c r="L48" i="31"/>
  <c r="F58" i="31"/>
  <c r="D63" i="31"/>
  <c r="B68" i="31"/>
  <c r="G68" i="31" s="1"/>
  <c r="D75" i="31"/>
  <c r="M42" i="31"/>
  <c r="C44" i="31"/>
  <c r="E45" i="31"/>
  <c r="K47" i="31"/>
  <c r="M48" i="31"/>
  <c r="I52" i="31"/>
  <c r="K53" i="31"/>
  <c r="M54" i="31"/>
  <c r="E57" i="31"/>
  <c r="I58" i="31"/>
  <c r="N58" i="31" s="1"/>
  <c r="K59" i="31"/>
  <c r="C62" i="31"/>
  <c r="G62" i="31" s="1"/>
  <c r="E63" i="31"/>
  <c r="I64" i="31"/>
  <c r="K65" i="31"/>
  <c r="C68" i="31"/>
  <c r="E69" i="31"/>
  <c r="M72" i="31"/>
  <c r="C74" i="31"/>
  <c r="E75" i="31"/>
  <c r="K77" i="31"/>
  <c r="M78" i="31"/>
  <c r="C43" i="31"/>
  <c r="E44" i="31"/>
  <c r="I45" i="31"/>
  <c r="N45" i="31" s="1"/>
  <c r="M47" i="31"/>
  <c r="C49" i="31"/>
  <c r="K52" i="31"/>
  <c r="M53" i="31"/>
  <c r="C55" i="31"/>
  <c r="I57" i="31"/>
  <c r="N57" i="31" s="1"/>
  <c r="K58" i="31"/>
  <c r="M59" i="31"/>
  <c r="E62" i="31"/>
  <c r="I63" i="31"/>
  <c r="N63" i="31" s="1"/>
  <c r="K64" i="31"/>
  <c r="M65" i="31"/>
  <c r="C67" i="31"/>
  <c r="E68" i="31"/>
  <c r="I69" i="31"/>
  <c r="N69" i="31" s="1"/>
  <c r="C73" i="31"/>
  <c r="E74" i="31"/>
  <c r="I75" i="31"/>
  <c r="M77" i="31"/>
  <c r="C79" i="31"/>
  <c r="K64" i="28"/>
  <c r="B42" i="31"/>
  <c r="D43" i="31"/>
  <c r="F44" i="31"/>
  <c r="B48" i="31"/>
  <c r="G48" i="31" s="1"/>
  <c r="D49" i="31"/>
  <c r="B54" i="31"/>
  <c r="D55" i="31"/>
  <c r="F62" i="31"/>
  <c r="D67" i="31"/>
  <c r="F68" i="31"/>
  <c r="B72" i="31"/>
  <c r="G72" i="31" s="1"/>
  <c r="D73" i="31"/>
  <c r="F74" i="31"/>
  <c r="J75" i="31"/>
  <c r="B78" i="31"/>
  <c r="D79" i="31"/>
  <c r="K65" i="28"/>
  <c r="C42" i="31"/>
  <c r="E43" i="31"/>
  <c r="I44" i="31"/>
  <c r="N44" i="31" s="1"/>
  <c r="C48" i="31"/>
  <c r="E49" i="31"/>
  <c r="C54" i="31"/>
  <c r="E55" i="31"/>
  <c r="I62" i="31"/>
  <c r="N62" i="31" s="1"/>
  <c r="E67" i="31"/>
  <c r="I68" i="31"/>
  <c r="N68" i="31" s="1"/>
  <c r="C72" i="31"/>
  <c r="E73" i="31"/>
  <c r="C78" i="31"/>
  <c r="E79" i="31"/>
  <c r="K48" i="31"/>
  <c r="M79" i="31"/>
  <c r="J52" i="31"/>
  <c r="F43" i="31"/>
  <c r="B47" i="31"/>
  <c r="G47" i="31" s="1"/>
  <c r="B65" i="31"/>
  <c r="G65" i="31" s="1"/>
  <c r="K85" i="28"/>
  <c r="Q85" i="28" s="1"/>
  <c r="M45" i="31"/>
  <c r="I49" i="31"/>
  <c r="N49" i="31" s="1"/>
  <c r="I67" i="31"/>
  <c r="N67" i="31" s="1"/>
  <c r="M75" i="31"/>
  <c r="L53" i="31"/>
  <c r="J58" i="31"/>
  <c r="L65" i="31"/>
  <c r="B52" i="31"/>
  <c r="G52" i="31" s="1"/>
  <c r="K54" i="28"/>
  <c r="C2" i="31"/>
  <c r="E3" i="31"/>
  <c r="I4" i="31"/>
  <c r="K5" i="31"/>
  <c r="C8" i="31"/>
  <c r="E9" i="31"/>
  <c r="M12" i="31"/>
  <c r="C14" i="31"/>
  <c r="E15" i="31"/>
  <c r="K17" i="31"/>
  <c r="M18" i="31"/>
  <c r="I22" i="31"/>
  <c r="K23" i="31"/>
  <c r="M24" i="31"/>
  <c r="E27" i="31"/>
  <c r="K29" i="31"/>
  <c r="C32" i="31"/>
  <c r="E33" i="31"/>
  <c r="I34" i="31"/>
  <c r="K35" i="31"/>
  <c r="C38" i="31"/>
  <c r="E39" i="31"/>
  <c r="K25" i="28"/>
  <c r="Q25" i="28" s="1"/>
  <c r="I5" i="31"/>
  <c r="D2" i="31"/>
  <c r="F3" i="31"/>
  <c r="J4" i="31"/>
  <c r="L5" i="31"/>
  <c r="B7" i="31"/>
  <c r="G7" i="31" s="1"/>
  <c r="D8" i="31"/>
  <c r="F9" i="31"/>
  <c r="B13" i="31"/>
  <c r="D14" i="31"/>
  <c r="F15" i="31"/>
  <c r="L17" i="31"/>
  <c r="B19" i="31"/>
  <c r="G19" i="31" s="1"/>
  <c r="J22" i="31"/>
  <c r="L23" i="31"/>
  <c r="B25" i="31"/>
  <c r="F27" i="31"/>
  <c r="J28" i="31"/>
  <c r="L29" i="31"/>
  <c r="D32" i="31"/>
  <c r="F33" i="31"/>
  <c r="J34" i="31"/>
  <c r="L35" i="31"/>
  <c r="B37" i="31"/>
  <c r="G37" i="31" s="1"/>
  <c r="K43" i="28" s="1"/>
  <c r="D38" i="31"/>
  <c r="F39" i="31"/>
  <c r="L24" i="31"/>
  <c r="J29" i="31"/>
  <c r="E2" i="31"/>
  <c r="I3" i="31"/>
  <c r="N3" i="31" s="1"/>
  <c r="K9" i="28" s="1"/>
  <c r="K4" i="31"/>
  <c r="M5" i="31"/>
  <c r="C7" i="31"/>
  <c r="E8" i="31"/>
  <c r="I9" i="31"/>
  <c r="N9" i="31" s="1"/>
  <c r="C13" i="31"/>
  <c r="E14" i="31"/>
  <c r="I15" i="31"/>
  <c r="N15" i="31" s="1"/>
  <c r="M17" i="31"/>
  <c r="C19" i="31"/>
  <c r="K22" i="31"/>
  <c r="M23" i="31"/>
  <c r="C25" i="31"/>
  <c r="I27" i="31"/>
  <c r="N27" i="31" s="1"/>
  <c r="K28" i="31"/>
  <c r="M29" i="31"/>
  <c r="E32" i="31"/>
  <c r="I33" i="31"/>
  <c r="N33" i="31" s="1"/>
  <c r="K34" i="31"/>
  <c r="M35" i="31"/>
  <c r="C37" i="31"/>
  <c r="E38" i="31"/>
  <c r="I39" i="31"/>
  <c r="N39" i="31" s="1"/>
  <c r="K45" i="28"/>
  <c r="F2" i="31"/>
  <c r="D7" i="31"/>
  <c r="F8" i="31"/>
  <c r="B12" i="31"/>
  <c r="D13" i="31"/>
  <c r="F14" i="31"/>
  <c r="B18" i="31"/>
  <c r="G18" i="31" s="1"/>
  <c r="D19" i="31"/>
  <c r="B24" i="31"/>
  <c r="D25" i="31"/>
  <c r="F32" i="31"/>
  <c r="D37" i="31"/>
  <c r="F38" i="31"/>
  <c r="K13" i="28"/>
  <c r="E7" i="31"/>
  <c r="I8" i="31"/>
  <c r="N8" i="31" s="1"/>
  <c r="C12" i="31"/>
  <c r="E13" i="31"/>
  <c r="I14" i="31"/>
  <c r="N14" i="31" s="1"/>
  <c r="C18" i="31"/>
  <c r="E19" i="31"/>
  <c r="C24" i="31"/>
  <c r="E25" i="31"/>
  <c r="I32" i="31"/>
  <c r="N32" i="31" s="1"/>
  <c r="E37" i="31"/>
  <c r="B17" i="31"/>
  <c r="G17" i="31" s="1"/>
  <c r="B29" i="31"/>
  <c r="G29" i="31" s="1"/>
  <c r="K15" i="28"/>
  <c r="C5" i="31"/>
  <c r="G5" i="31" s="1"/>
  <c r="I13" i="31"/>
  <c r="N13" i="31" s="1"/>
  <c r="B28" i="31"/>
  <c r="G28" i="31" s="1"/>
  <c r="B34" i="31"/>
  <c r="G34" i="31" s="1"/>
  <c r="B15" i="31"/>
  <c r="G15" i="31" s="1"/>
  <c r="K21" i="28" s="1"/>
  <c r="B33" i="31"/>
  <c r="U16" i="4"/>
  <c r="U23" i="4" s="1"/>
  <c r="W16" i="4"/>
  <c r="W23" i="4" s="1"/>
  <c r="L104" i="29"/>
  <c r="M104" i="29" s="1"/>
  <c r="Q124" i="29"/>
  <c r="M124" i="29"/>
  <c r="Q64" i="29"/>
  <c r="L64" i="29"/>
  <c r="M64" i="29" s="1"/>
  <c r="M114" i="29"/>
  <c r="L114" i="29"/>
  <c r="Q114" i="29"/>
  <c r="Q123" i="29"/>
  <c r="M123" i="29"/>
  <c r="L123" i="29"/>
  <c r="Q63" i="29"/>
  <c r="M63" i="29"/>
  <c r="L63" i="29"/>
  <c r="Q55" i="29"/>
  <c r="L55" i="29"/>
  <c r="M55" i="29" s="1"/>
  <c r="Q25" i="29"/>
  <c r="L25" i="29"/>
  <c r="M25" i="29" s="1"/>
  <c r="Q93" i="29"/>
  <c r="L93" i="29"/>
  <c r="M93" i="29"/>
  <c r="Q125" i="29"/>
  <c r="M125" i="29"/>
  <c r="L125" i="29"/>
  <c r="L54" i="29"/>
  <c r="M54" i="29" s="1"/>
  <c r="Q54" i="29"/>
  <c r="Q65" i="29"/>
  <c r="L65" i="29"/>
  <c r="M65" i="29" s="1"/>
  <c r="L113" i="29"/>
  <c r="Q113" i="29"/>
  <c r="M113" i="29"/>
  <c r="L105" i="29"/>
  <c r="M105" i="29" s="1"/>
  <c r="Q105" i="29"/>
  <c r="Q115" i="29"/>
  <c r="M115" i="29"/>
  <c r="L115" i="29"/>
  <c r="L35" i="29"/>
  <c r="M35" i="29" s="1"/>
  <c r="L95" i="29"/>
  <c r="M95" i="29" s="1"/>
  <c r="L103" i="29"/>
  <c r="L34" i="29"/>
  <c r="M34" i="29" s="1"/>
  <c r="L94" i="29"/>
  <c r="M94" i="29" s="1"/>
  <c r="M103" i="29"/>
  <c r="L84" i="29"/>
  <c r="M84" i="29" s="1"/>
  <c r="L15" i="29"/>
  <c r="M15" i="29" s="1"/>
  <c r="L24" i="29"/>
  <c r="M24" i="29" s="1"/>
  <c r="M83" i="29"/>
  <c r="L50" i="28"/>
  <c r="Q124" i="28"/>
  <c r="M124" i="28"/>
  <c r="L124" i="28"/>
  <c r="Q65" i="28"/>
  <c r="L65" i="28"/>
  <c r="M65" i="28" s="1"/>
  <c r="Q74" i="28"/>
  <c r="L74" i="28"/>
  <c r="M74" i="28" s="1"/>
  <c r="L105" i="28"/>
  <c r="M105" i="28" s="1"/>
  <c r="Q105" i="28"/>
  <c r="L13" i="28"/>
  <c r="Q13" i="28"/>
  <c r="M13" i="28"/>
  <c r="L53" i="28"/>
  <c r="M53" i="28"/>
  <c r="Q53" i="28"/>
  <c r="M114" i="28"/>
  <c r="L114" i="28"/>
  <c r="Q114" i="28"/>
  <c r="Q123" i="28"/>
  <c r="M123" i="28"/>
  <c r="L123" i="28"/>
  <c r="Q55" i="28"/>
  <c r="L55" i="28"/>
  <c r="M55" i="28" s="1"/>
  <c r="Q73" i="28"/>
  <c r="M73" i="28"/>
  <c r="L73" i="28"/>
  <c r="Q23" i="28"/>
  <c r="M23" i="28"/>
  <c r="L23" i="28"/>
  <c r="Q64" i="28"/>
  <c r="L64" i="28"/>
  <c r="M64" i="28" s="1"/>
  <c r="Q125" i="28"/>
  <c r="M125" i="28"/>
  <c r="L125" i="28"/>
  <c r="Q15" i="28"/>
  <c r="L15" i="28"/>
  <c r="M15" i="28" s="1"/>
  <c r="Q75" i="28"/>
  <c r="L75" i="28"/>
  <c r="M75" i="28" s="1"/>
  <c r="L113" i="28"/>
  <c r="M113" i="28"/>
  <c r="Q113" i="28"/>
  <c r="Q14" i="28"/>
  <c r="L14" i="28"/>
  <c r="M14" i="28" s="1"/>
  <c r="L45" i="28"/>
  <c r="M45" i="28" s="1"/>
  <c r="Q45" i="28"/>
  <c r="L54" i="28"/>
  <c r="M54" i="28" s="1"/>
  <c r="Q54" i="28"/>
  <c r="Q115" i="28"/>
  <c r="M115" i="28"/>
  <c r="L115" i="28"/>
  <c r="L94" i="28"/>
  <c r="M94" i="28" s="1"/>
  <c r="L95" i="28"/>
  <c r="M95" i="28" s="1"/>
  <c r="L24" i="28"/>
  <c r="M24" i="28" s="1"/>
  <c r="M50" i="28"/>
  <c r="W103" i="22"/>
  <c r="K103" i="22"/>
  <c r="P95" i="22"/>
  <c r="L95" i="22"/>
  <c r="E95" i="22"/>
  <c r="S93" i="22"/>
  <c r="B93" i="22"/>
  <c r="W73" i="22"/>
  <c r="K73" i="22"/>
  <c r="P65" i="22"/>
  <c r="L65" i="22"/>
  <c r="E65" i="22"/>
  <c r="S63" i="22"/>
  <c r="B63" i="22"/>
  <c r="W43" i="22"/>
  <c r="K43" i="22"/>
  <c r="P35" i="22"/>
  <c r="L35" i="22"/>
  <c r="E35" i="22"/>
  <c r="S33" i="22"/>
  <c r="B33" i="22"/>
  <c r="W13" i="22"/>
  <c r="K13" i="22"/>
  <c r="J85" i="20"/>
  <c r="I85" i="20"/>
  <c r="H85" i="20"/>
  <c r="G85" i="20"/>
  <c r="F85" i="20"/>
  <c r="E85" i="20"/>
  <c r="C85" i="20"/>
  <c r="J84" i="20"/>
  <c r="I84" i="20"/>
  <c r="H84" i="20"/>
  <c r="G84" i="20"/>
  <c r="F84" i="20"/>
  <c r="E84" i="20"/>
  <c r="C84" i="20"/>
  <c r="J83" i="20"/>
  <c r="I83" i="20"/>
  <c r="H83" i="20"/>
  <c r="G83" i="20"/>
  <c r="F83" i="20"/>
  <c r="E83" i="20"/>
  <c r="C83" i="20"/>
  <c r="J81" i="20"/>
  <c r="I81" i="20"/>
  <c r="H81" i="20"/>
  <c r="G81" i="20"/>
  <c r="F81" i="20"/>
  <c r="J80" i="20"/>
  <c r="I80" i="20"/>
  <c r="H80" i="20"/>
  <c r="G80" i="20"/>
  <c r="F80" i="20"/>
  <c r="E80" i="20"/>
  <c r="C80" i="20"/>
  <c r="J79" i="20"/>
  <c r="I79" i="20"/>
  <c r="H79" i="20"/>
  <c r="G79" i="20"/>
  <c r="F79" i="20"/>
  <c r="E79" i="20"/>
  <c r="C79" i="20"/>
  <c r="J78" i="20"/>
  <c r="I78" i="20"/>
  <c r="H78" i="20"/>
  <c r="G78" i="20"/>
  <c r="F78" i="20"/>
  <c r="E78" i="20"/>
  <c r="C78" i="20"/>
  <c r="E77" i="20"/>
  <c r="E86" i="20" s="1"/>
  <c r="C77" i="20"/>
  <c r="C86" i="20" s="1"/>
  <c r="J75" i="20"/>
  <c r="I75" i="20"/>
  <c r="H75" i="20"/>
  <c r="G75" i="20"/>
  <c r="F75" i="20"/>
  <c r="E75" i="20"/>
  <c r="C75" i="20"/>
  <c r="J74" i="20"/>
  <c r="I74" i="20"/>
  <c r="H74" i="20"/>
  <c r="G74" i="20"/>
  <c r="F74" i="20"/>
  <c r="E74" i="20"/>
  <c r="C74" i="20"/>
  <c r="J73" i="20"/>
  <c r="I73" i="20"/>
  <c r="H73" i="20"/>
  <c r="G73" i="20"/>
  <c r="F73" i="20"/>
  <c r="E73" i="20"/>
  <c r="C73" i="20"/>
  <c r="J71" i="20"/>
  <c r="I71" i="20"/>
  <c r="H71" i="20"/>
  <c r="G71" i="20"/>
  <c r="F71" i="20"/>
  <c r="J70" i="20"/>
  <c r="I70" i="20"/>
  <c r="H70" i="20"/>
  <c r="G70" i="20"/>
  <c r="F70" i="20"/>
  <c r="E70" i="20"/>
  <c r="C70" i="20"/>
  <c r="J69" i="20"/>
  <c r="I69" i="20"/>
  <c r="H69" i="20"/>
  <c r="G69" i="20"/>
  <c r="F69" i="20"/>
  <c r="E69" i="20"/>
  <c r="C69" i="20"/>
  <c r="J68" i="20"/>
  <c r="I68" i="20"/>
  <c r="H68" i="20"/>
  <c r="G68" i="20"/>
  <c r="F68" i="20"/>
  <c r="E68" i="20"/>
  <c r="C68" i="20"/>
  <c r="E67" i="20"/>
  <c r="E76" i="20" s="1"/>
  <c r="C67" i="20"/>
  <c r="C76" i="20" s="1"/>
  <c r="J65" i="20"/>
  <c r="I65" i="20"/>
  <c r="H65" i="20"/>
  <c r="G65" i="20"/>
  <c r="F65" i="20"/>
  <c r="E65" i="20"/>
  <c r="C65" i="20"/>
  <c r="J64" i="20"/>
  <c r="I64" i="20"/>
  <c r="H64" i="20"/>
  <c r="G64" i="20"/>
  <c r="F64" i="20"/>
  <c r="E64" i="20"/>
  <c r="C64" i="20"/>
  <c r="J63" i="20"/>
  <c r="I63" i="20"/>
  <c r="H63" i="20"/>
  <c r="G63" i="20"/>
  <c r="F63" i="20"/>
  <c r="E63" i="20"/>
  <c r="C63" i="20"/>
  <c r="J61" i="20"/>
  <c r="I61" i="20"/>
  <c r="H61" i="20"/>
  <c r="G61" i="20"/>
  <c r="F61" i="20"/>
  <c r="J60" i="20"/>
  <c r="I60" i="20"/>
  <c r="H60" i="20"/>
  <c r="G60" i="20"/>
  <c r="E60" i="20"/>
  <c r="C60" i="20"/>
  <c r="J59" i="20"/>
  <c r="I59" i="20"/>
  <c r="H59" i="20"/>
  <c r="G59" i="20"/>
  <c r="F59" i="20"/>
  <c r="E59" i="20"/>
  <c r="C59" i="20"/>
  <c r="J58" i="20"/>
  <c r="I58" i="20"/>
  <c r="H58" i="20"/>
  <c r="G58" i="20"/>
  <c r="F58" i="20"/>
  <c r="E58" i="20"/>
  <c r="C58" i="20"/>
  <c r="E57" i="20"/>
  <c r="E66" i="20" s="1"/>
  <c r="C57" i="20"/>
  <c r="C66" i="20" s="1"/>
  <c r="J55" i="20"/>
  <c r="I55" i="20"/>
  <c r="H55" i="20"/>
  <c r="G55" i="20"/>
  <c r="F55" i="20"/>
  <c r="E55" i="20"/>
  <c r="C55" i="20"/>
  <c r="J54" i="20"/>
  <c r="I54" i="20"/>
  <c r="H54" i="20"/>
  <c r="G54" i="20"/>
  <c r="F54" i="20"/>
  <c r="E54" i="20"/>
  <c r="C54" i="20"/>
  <c r="J53" i="20"/>
  <c r="I53" i="20"/>
  <c r="H53" i="20"/>
  <c r="G53" i="20"/>
  <c r="F53" i="20"/>
  <c r="E53" i="20"/>
  <c r="C53" i="20"/>
  <c r="J51" i="20"/>
  <c r="I51" i="20"/>
  <c r="H51" i="20"/>
  <c r="G51" i="20"/>
  <c r="F51" i="20"/>
  <c r="J50" i="20"/>
  <c r="I50" i="20"/>
  <c r="H50" i="20"/>
  <c r="G50" i="20"/>
  <c r="F50" i="20"/>
  <c r="E50" i="20"/>
  <c r="C50" i="20"/>
  <c r="J49" i="20"/>
  <c r="I49" i="20"/>
  <c r="H49" i="20"/>
  <c r="G49" i="20"/>
  <c r="F49" i="20"/>
  <c r="E49" i="20"/>
  <c r="C49" i="20"/>
  <c r="J48" i="20"/>
  <c r="I48" i="20"/>
  <c r="H48" i="20"/>
  <c r="G48" i="20"/>
  <c r="F48" i="20"/>
  <c r="E48" i="20"/>
  <c r="C48" i="20"/>
  <c r="E47" i="20"/>
  <c r="E56" i="20" s="1"/>
  <c r="C47" i="20"/>
  <c r="C56" i="20" s="1"/>
  <c r="J45" i="20"/>
  <c r="I45" i="20"/>
  <c r="H45" i="20"/>
  <c r="G45" i="20"/>
  <c r="F45" i="20"/>
  <c r="E45" i="20"/>
  <c r="C45" i="20"/>
  <c r="J44" i="20"/>
  <c r="I44" i="20"/>
  <c r="H44" i="20"/>
  <c r="G44" i="20"/>
  <c r="F44" i="20"/>
  <c r="E44" i="20"/>
  <c r="C44" i="20"/>
  <c r="J43" i="20"/>
  <c r="I43" i="20"/>
  <c r="H43" i="20"/>
  <c r="G43" i="20"/>
  <c r="F43" i="20"/>
  <c r="E43" i="20"/>
  <c r="C43" i="20"/>
  <c r="J41" i="20"/>
  <c r="I41" i="20"/>
  <c r="H41" i="20"/>
  <c r="G41" i="20"/>
  <c r="F41" i="20"/>
  <c r="J40" i="20"/>
  <c r="I40" i="20"/>
  <c r="H40" i="20"/>
  <c r="G40" i="20"/>
  <c r="F40" i="20"/>
  <c r="E40" i="20"/>
  <c r="C40" i="20"/>
  <c r="J39" i="20"/>
  <c r="I39" i="20"/>
  <c r="H39" i="20"/>
  <c r="G39" i="20"/>
  <c r="F39" i="20"/>
  <c r="E39" i="20"/>
  <c r="C39" i="20"/>
  <c r="J38" i="20"/>
  <c r="I38" i="20"/>
  <c r="H38" i="20"/>
  <c r="G38" i="20"/>
  <c r="F38" i="20"/>
  <c r="E38" i="20"/>
  <c r="C38" i="20"/>
  <c r="E37" i="20"/>
  <c r="C37" i="20"/>
  <c r="J35" i="20"/>
  <c r="I35" i="20"/>
  <c r="H35" i="20"/>
  <c r="G35" i="20"/>
  <c r="F35" i="20"/>
  <c r="E35" i="20"/>
  <c r="C35" i="20"/>
  <c r="J34" i="20"/>
  <c r="I34" i="20"/>
  <c r="H34" i="20"/>
  <c r="G34" i="20"/>
  <c r="F34" i="20"/>
  <c r="E34" i="20"/>
  <c r="C34" i="20"/>
  <c r="J33" i="20"/>
  <c r="I33" i="20"/>
  <c r="H33" i="20"/>
  <c r="G33" i="20"/>
  <c r="F33" i="20"/>
  <c r="E33" i="20"/>
  <c r="C33" i="20"/>
  <c r="J31" i="20"/>
  <c r="I31" i="20"/>
  <c r="H31" i="20"/>
  <c r="G31" i="20"/>
  <c r="F31" i="20"/>
  <c r="J30" i="20"/>
  <c r="I30" i="20"/>
  <c r="H30" i="20"/>
  <c r="G30" i="20"/>
  <c r="F30" i="20"/>
  <c r="E30" i="20"/>
  <c r="C30" i="20"/>
  <c r="J29" i="20"/>
  <c r="I29" i="20"/>
  <c r="H29" i="20"/>
  <c r="G29" i="20"/>
  <c r="F29" i="20"/>
  <c r="E29" i="20"/>
  <c r="C29" i="20"/>
  <c r="J28" i="20"/>
  <c r="I28" i="20"/>
  <c r="H28" i="20"/>
  <c r="G28" i="20"/>
  <c r="F28" i="20"/>
  <c r="E28" i="20"/>
  <c r="C28" i="20"/>
  <c r="E27" i="20"/>
  <c r="C27" i="20"/>
  <c r="C36" i="20" s="1"/>
  <c r="J25" i="20"/>
  <c r="I25" i="20"/>
  <c r="H25" i="20"/>
  <c r="G25" i="20"/>
  <c r="F25" i="20"/>
  <c r="E25" i="20"/>
  <c r="C25" i="20"/>
  <c r="J24" i="20"/>
  <c r="I24" i="20"/>
  <c r="H24" i="20"/>
  <c r="G24" i="20"/>
  <c r="F24" i="20"/>
  <c r="E24" i="20"/>
  <c r="C24" i="20"/>
  <c r="J23" i="20"/>
  <c r="I23" i="20"/>
  <c r="H23" i="20"/>
  <c r="G23" i="20"/>
  <c r="F23" i="20"/>
  <c r="E23" i="20"/>
  <c r="C23" i="20"/>
  <c r="J21" i="20"/>
  <c r="I21" i="20"/>
  <c r="H21" i="20"/>
  <c r="G21" i="20"/>
  <c r="F21" i="20"/>
  <c r="J20" i="20"/>
  <c r="I20" i="20"/>
  <c r="H20" i="20"/>
  <c r="G20" i="20"/>
  <c r="F20" i="20"/>
  <c r="E20" i="20"/>
  <c r="C20" i="20"/>
  <c r="J19" i="20"/>
  <c r="I19" i="20"/>
  <c r="H19" i="20"/>
  <c r="G19" i="20"/>
  <c r="F19" i="20"/>
  <c r="E19" i="20"/>
  <c r="C19" i="20"/>
  <c r="J18" i="20"/>
  <c r="I18" i="20"/>
  <c r="H18" i="20"/>
  <c r="G18" i="20"/>
  <c r="F18" i="20"/>
  <c r="E18" i="20"/>
  <c r="C18" i="20"/>
  <c r="E17" i="20"/>
  <c r="E26" i="20" s="1"/>
  <c r="C17" i="20"/>
  <c r="J15" i="20"/>
  <c r="I15" i="20"/>
  <c r="H15" i="20"/>
  <c r="G15" i="20"/>
  <c r="F15" i="20"/>
  <c r="E15" i="20"/>
  <c r="C15" i="20"/>
  <c r="J14" i="20"/>
  <c r="I14" i="20"/>
  <c r="H14" i="20"/>
  <c r="G14" i="20"/>
  <c r="F14" i="20"/>
  <c r="E14" i="20"/>
  <c r="C14" i="20"/>
  <c r="J13" i="20"/>
  <c r="I13" i="20"/>
  <c r="H13" i="20"/>
  <c r="G13" i="20"/>
  <c r="F13" i="20"/>
  <c r="E13" i="20"/>
  <c r="C13" i="20"/>
  <c r="J11" i="20"/>
  <c r="I11" i="20"/>
  <c r="H11" i="20"/>
  <c r="G11" i="20"/>
  <c r="F11" i="20"/>
  <c r="J10" i="20"/>
  <c r="I10" i="20"/>
  <c r="H10" i="20"/>
  <c r="G10" i="20"/>
  <c r="F10" i="20"/>
  <c r="E10" i="20"/>
  <c r="C10" i="20"/>
  <c r="J9" i="20"/>
  <c r="I9" i="20"/>
  <c r="H9" i="20"/>
  <c r="G9" i="20"/>
  <c r="F9" i="20"/>
  <c r="E9" i="20"/>
  <c r="C9" i="20"/>
  <c r="J8" i="20"/>
  <c r="I8" i="20"/>
  <c r="H8" i="20"/>
  <c r="G8" i="20"/>
  <c r="F8" i="20"/>
  <c r="E8" i="20"/>
  <c r="C8" i="20"/>
  <c r="E7" i="20"/>
  <c r="C7" i="20"/>
  <c r="W103" i="21"/>
  <c r="K103" i="21"/>
  <c r="P95" i="21"/>
  <c r="L95" i="21"/>
  <c r="E95" i="21"/>
  <c r="S93" i="21"/>
  <c r="B93" i="21"/>
  <c r="W73" i="21"/>
  <c r="K73" i="21"/>
  <c r="P65" i="21"/>
  <c r="L65" i="21"/>
  <c r="E65" i="21"/>
  <c r="S63" i="21"/>
  <c r="B63" i="21"/>
  <c r="W43" i="21"/>
  <c r="K43" i="21"/>
  <c r="P35" i="21"/>
  <c r="L35" i="21"/>
  <c r="E35" i="21"/>
  <c r="S33" i="21"/>
  <c r="B33" i="21"/>
  <c r="W13" i="21"/>
  <c r="K13" i="21"/>
  <c r="E46" i="20"/>
  <c r="C46" i="20"/>
  <c r="E36" i="20"/>
  <c r="C26" i="20"/>
  <c r="E16" i="20"/>
  <c r="C16" i="20"/>
  <c r="G9" i="19"/>
  <c r="G159" i="19" s="1"/>
  <c r="D13" i="19" a="1"/>
  <c r="D13" i="19" s="1"/>
  <c r="D14" i="19" a="1"/>
  <c r="D14" i="19" s="1"/>
  <c r="D15" i="19" a="1"/>
  <c r="D15" i="19" s="1"/>
  <c r="D16" i="19" a="1"/>
  <c r="D16" i="19" s="1"/>
  <c r="D17" i="19" a="1"/>
  <c r="D17" i="19" s="1"/>
  <c r="D18" i="19" a="1"/>
  <c r="D18" i="19" s="1"/>
  <c r="D19" i="19" a="1"/>
  <c r="D19" i="19" s="1"/>
  <c r="D12" i="19" a="1"/>
  <c r="D12" i="19" s="1"/>
  <c r="D21" i="19" a="1"/>
  <c r="D21" i="19" s="1"/>
  <c r="C185" i="19"/>
  <c r="G184" i="19"/>
  <c r="C184" i="19"/>
  <c r="C179" i="19"/>
  <c r="C159" i="19"/>
  <c r="D161" i="19" s="1"/>
  <c r="G158" i="19"/>
  <c r="C158" i="19"/>
  <c r="C153" i="19"/>
  <c r="C135" i="19"/>
  <c r="G134" i="19"/>
  <c r="C134" i="19"/>
  <c r="C129" i="19"/>
  <c r="C109" i="19"/>
  <c r="G108" i="19"/>
  <c r="C108" i="19"/>
  <c r="C103" i="19"/>
  <c r="C85" i="19"/>
  <c r="G84" i="19"/>
  <c r="C84" i="19"/>
  <c r="C79" i="19"/>
  <c r="C59" i="19"/>
  <c r="D61" i="19" s="1"/>
  <c r="G58" i="19"/>
  <c r="C58" i="19"/>
  <c r="C53" i="19"/>
  <c r="C35" i="19"/>
  <c r="D37" i="19" s="1"/>
  <c r="G34" i="19"/>
  <c r="C34" i="19"/>
  <c r="C29" i="19"/>
  <c r="J125" i="16"/>
  <c r="I125" i="16"/>
  <c r="H125" i="16"/>
  <c r="G125" i="16"/>
  <c r="C119" i="17" s="1"/>
  <c r="F125" i="16"/>
  <c r="B119" i="17" s="1"/>
  <c r="E125" i="16"/>
  <c r="C125" i="16"/>
  <c r="J124" i="16"/>
  <c r="I124" i="16"/>
  <c r="H124" i="16"/>
  <c r="K118" i="17" s="1"/>
  <c r="G124" i="16"/>
  <c r="J118" i="17" s="1"/>
  <c r="F124" i="16"/>
  <c r="I118" i="17" s="1"/>
  <c r="E124" i="16"/>
  <c r="C124" i="16"/>
  <c r="J123" i="16"/>
  <c r="I123" i="16"/>
  <c r="H123" i="16"/>
  <c r="D117" i="17" s="1"/>
  <c r="G123" i="16"/>
  <c r="J117" i="17" s="1"/>
  <c r="F123" i="16"/>
  <c r="E123" i="16"/>
  <c r="C123" i="16"/>
  <c r="J121" i="16"/>
  <c r="F115" i="17" s="1"/>
  <c r="I121" i="16"/>
  <c r="H121" i="16"/>
  <c r="D115" i="17" s="1"/>
  <c r="G121" i="16"/>
  <c r="F121" i="16"/>
  <c r="J120" i="16"/>
  <c r="I120" i="16"/>
  <c r="H120" i="16"/>
  <c r="K114" i="17" s="1"/>
  <c r="G120" i="16"/>
  <c r="J114" i="17" s="1"/>
  <c r="F120" i="16"/>
  <c r="E120" i="16"/>
  <c r="C120" i="16"/>
  <c r="J119" i="16"/>
  <c r="M113" i="17" s="1"/>
  <c r="I119" i="16"/>
  <c r="H119" i="16"/>
  <c r="K113" i="17" s="1"/>
  <c r="G119" i="16"/>
  <c r="C113" i="17" s="1"/>
  <c r="F119" i="16"/>
  <c r="B113" i="17" s="1"/>
  <c r="E119" i="16"/>
  <c r="C119" i="16"/>
  <c r="J118" i="16"/>
  <c r="M112" i="17" s="1"/>
  <c r="I118" i="16"/>
  <c r="H118" i="16"/>
  <c r="K112" i="17" s="1"/>
  <c r="G118" i="16"/>
  <c r="J112" i="17" s="1"/>
  <c r="F118" i="16"/>
  <c r="B112" i="17" s="1"/>
  <c r="E118" i="16"/>
  <c r="C118" i="16"/>
  <c r="E117" i="16"/>
  <c r="E126" i="16" s="1"/>
  <c r="C117" i="16"/>
  <c r="J115" i="16"/>
  <c r="I115" i="16"/>
  <c r="H115" i="16"/>
  <c r="G115" i="16"/>
  <c r="J109" i="17" s="1"/>
  <c r="F115" i="16"/>
  <c r="E115" i="16"/>
  <c r="C115" i="16"/>
  <c r="J114" i="16"/>
  <c r="I114" i="16"/>
  <c r="L108" i="17" s="1"/>
  <c r="H114" i="16"/>
  <c r="G114" i="16"/>
  <c r="C108" i="17" s="1"/>
  <c r="F114" i="16"/>
  <c r="E114" i="16"/>
  <c r="C114" i="16"/>
  <c r="J113" i="16"/>
  <c r="I113" i="16"/>
  <c r="L107" i="17" s="1"/>
  <c r="H113" i="16"/>
  <c r="G113" i="16"/>
  <c r="J107" i="17" s="1"/>
  <c r="F113" i="16"/>
  <c r="E113" i="16"/>
  <c r="C113" i="16"/>
  <c r="J111" i="16"/>
  <c r="M105" i="17" s="1"/>
  <c r="I111" i="16"/>
  <c r="L105" i="17" s="1"/>
  <c r="H111" i="16"/>
  <c r="K105" i="17" s="1"/>
  <c r="G111" i="16"/>
  <c r="J105" i="17" s="1"/>
  <c r="F111" i="16"/>
  <c r="B105" i="17" s="1"/>
  <c r="J110" i="16"/>
  <c r="I110" i="16"/>
  <c r="L104" i="17" s="1"/>
  <c r="H110" i="16"/>
  <c r="K104" i="17" s="1"/>
  <c r="G110" i="16"/>
  <c r="C104" i="17" s="1"/>
  <c r="F110" i="16"/>
  <c r="I104" i="17" s="1"/>
  <c r="E110" i="16"/>
  <c r="C110" i="16"/>
  <c r="J109" i="16"/>
  <c r="I109" i="16"/>
  <c r="E103" i="17" s="1"/>
  <c r="H109" i="16"/>
  <c r="K103" i="17" s="1"/>
  <c r="G109" i="16"/>
  <c r="J103" i="17" s="1"/>
  <c r="F109" i="16"/>
  <c r="I103" i="17" s="1"/>
  <c r="E109" i="16"/>
  <c r="C109" i="16"/>
  <c r="J108" i="16"/>
  <c r="I108" i="16"/>
  <c r="H108" i="16"/>
  <c r="K102" i="17" s="1"/>
  <c r="G108" i="16"/>
  <c r="J102" i="17" s="1"/>
  <c r="F108" i="16"/>
  <c r="B102" i="17" s="1"/>
  <c r="E108" i="16"/>
  <c r="C108" i="16"/>
  <c r="E107" i="16"/>
  <c r="C107" i="16"/>
  <c r="J105" i="16"/>
  <c r="I105" i="16"/>
  <c r="H105" i="16"/>
  <c r="K99" i="17" s="1"/>
  <c r="G105" i="16"/>
  <c r="F105" i="16"/>
  <c r="E105" i="16"/>
  <c r="C105" i="16"/>
  <c r="J104" i="16"/>
  <c r="F98" i="17" s="1"/>
  <c r="I104" i="16"/>
  <c r="H104" i="16"/>
  <c r="D98" i="17" s="1"/>
  <c r="G104" i="16"/>
  <c r="F104" i="16"/>
  <c r="E104" i="16"/>
  <c r="C104" i="16"/>
  <c r="J103" i="16"/>
  <c r="F97" i="17" s="1"/>
  <c r="I103" i="16"/>
  <c r="E97" i="17" s="1"/>
  <c r="H103" i="16"/>
  <c r="G103" i="16"/>
  <c r="F103" i="16"/>
  <c r="E103" i="16"/>
  <c r="C103" i="16"/>
  <c r="J101" i="16"/>
  <c r="M95" i="17" s="1"/>
  <c r="I101" i="16"/>
  <c r="H101" i="16"/>
  <c r="D95" i="17" s="1"/>
  <c r="G101" i="16"/>
  <c r="F101" i="16"/>
  <c r="J100" i="16"/>
  <c r="M94" i="17" s="1"/>
  <c r="I100" i="16"/>
  <c r="H100" i="16"/>
  <c r="G100" i="16"/>
  <c r="F100" i="16"/>
  <c r="I94" i="17" s="1"/>
  <c r="E100" i="16"/>
  <c r="C100" i="16"/>
  <c r="J99" i="16"/>
  <c r="F93" i="17" s="1"/>
  <c r="I99" i="16"/>
  <c r="H99" i="16"/>
  <c r="D93" i="17" s="1"/>
  <c r="G99" i="16"/>
  <c r="F99" i="16"/>
  <c r="I93" i="17" s="1"/>
  <c r="E99" i="16"/>
  <c r="C99" i="16"/>
  <c r="J98" i="16"/>
  <c r="I98" i="16"/>
  <c r="H98" i="16"/>
  <c r="G98" i="16"/>
  <c r="J92" i="17" s="1"/>
  <c r="F98" i="16"/>
  <c r="B92" i="17" s="1"/>
  <c r="E98" i="16"/>
  <c r="C98" i="16"/>
  <c r="E97" i="16"/>
  <c r="C97" i="16"/>
  <c r="J95" i="16"/>
  <c r="I95" i="16"/>
  <c r="L89" i="17" s="1"/>
  <c r="H95" i="16"/>
  <c r="K89" i="17" s="1"/>
  <c r="G95" i="16"/>
  <c r="F95" i="16"/>
  <c r="E95" i="16"/>
  <c r="C95" i="16"/>
  <c r="J94" i="16"/>
  <c r="I94" i="16"/>
  <c r="L88" i="17" s="1"/>
  <c r="H94" i="16"/>
  <c r="K88" i="17" s="1"/>
  <c r="G94" i="16"/>
  <c r="C88" i="17" s="1"/>
  <c r="F94" i="16"/>
  <c r="I88" i="17" s="1"/>
  <c r="E94" i="16"/>
  <c r="C94" i="16"/>
  <c r="J93" i="16"/>
  <c r="I93" i="16"/>
  <c r="H93" i="16"/>
  <c r="K87" i="17" s="1"/>
  <c r="G93" i="16"/>
  <c r="F93" i="16"/>
  <c r="I87" i="17" s="1"/>
  <c r="E93" i="16"/>
  <c r="C93" i="16"/>
  <c r="J91" i="16"/>
  <c r="I91" i="16"/>
  <c r="H91" i="16"/>
  <c r="G91" i="16"/>
  <c r="F91" i="16"/>
  <c r="J90" i="16"/>
  <c r="I90" i="16"/>
  <c r="H90" i="16"/>
  <c r="D84" i="17" s="1"/>
  <c r="G90" i="16"/>
  <c r="C84" i="17" s="1"/>
  <c r="F90" i="16"/>
  <c r="B84" i="17" s="1"/>
  <c r="E90" i="16"/>
  <c r="C90" i="16"/>
  <c r="J89" i="16"/>
  <c r="I89" i="16"/>
  <c r="H89" i="16"/>
  <c r="G89" i="16"/>
  <c r="F89" i="16"/>
  <c r="E89" i="16"/>
  <c r="C89" i="16"/>
  <c r="J88" i="16"/>
  <c r="I88" i="16"/>
  <c r="H88" i="16"/>
  <c r="K82" i="17" s="1"/>
  <c r="G88" i="16"/>
  <c r="J82" i="17" s="1"/>
  <c r="F88" i="16"/>
  <c r="I82" i="17" s="1"/>
  <c r="E88" i="16"/>
  <c r="C88" i="16"/>
  <c r="E87" i="16"/>
  <c r="C87" i="16"/>
  <c r="J85" i="16"/>
  <c r="I85" i="16"/>
  <c r="H85" i="16"/>
  <c r="G85" i="16"/>
  <c r="J79" i="17" s="1"/>
  <c r="F85" i="16"/>
  <c r="E85" i="16"/>
  <c r="C85" i="16"/>
  <c r="J84" i="16"/>
  <c r="I84" i="16"/>
  <c r="H84" i="16"/>
  <c r="D78" i="17" s="1"/>
  <c r="G84" i="16"/>
  <c r="F84" i="16"/>
  <c r="I78" i="17" s="1"/>
  <c r="N78" i="17" s="1"/>
  <c r="E84" i="16"/>
  <c r="C84" i="16"/>
  <c r="J83" i="16"/>
  <c r="I83" i="16"/>
  <c r="L77" i="17" s="1"/>
  <c r="H83" i="16"/>
  <c r="G83" i="16"/>
  <c r="C77" i="17" s="1"/>
  <c r="F83" i="16"/>
  <c r="K83" i="16" s="1"/>
  <c r="Q83" i="16" s="1"/>
  <c r="E83" i="16"/>
  <c r="C83" i="16"/>
  <c r="J81" i="16"/>
  <c r="M75" i="17" s="1"/>
  <c r="I81" i="16"/>
  <c r="L75" i="17" s="1"/>
  <c r="H81" i="16"/>
  <c r="K75" i="17" s="1"/>
  <c r="G81" i="16"/>
  <c r="C75" i="17" s="1"/>
  <c r="F81" i="16"/>
  <c r="I75" i="17" s="1"/>
  <c r="J80" i="16"/>
  <c r="M74" i="17" s="1"/>
  <c r="I80" i="16"/>
  <c r="E74" i="17" s="1"/>
  <c r="H80" i="16"/>
  <c r="K74" i="17" s="1"/>
  <c r="G80" i="16"/>
  <c r="C74" i="17" s="1"/>
  <c r="F80" i="16"/>
  <c r="I74" i="17" s="1"/>
  <c r="E80" i="16"/>
  <c r="C80" i="16"/>
  <c r="J79" i="16"/>
  <c r="F73" i="17" s="1"/>
  <c r="I79" i="16"/>
  <c r="H79" i="16"/>
  <c r="K73" i="17" s="1"/>
  <c r="G79" i="16"/>
  <c r="F79" i="16"/>
  <c r="E79" i="16"/>
  <c r="C79" i="16"/>
  <c r="J78" i="16"/>
  <c r="M72" i="17" s="1"/>
  <c r="I78" i="16"/>
  <c r="L72" i="17" s="1"/>
  <c r="H78" i="16"/>
  <c r="K72" i="17" s="1"/>
  <c r="G78" i="16"/>
  <c r="F78" i="16"/>
  <c r="E78" i="16"/>
  <c r="C78" i="16"/>
  <c r="E77" i="16"/>
  <c r="E86" i="16" s="1"/>
  <c r="C77" i="16"/>
  <c r="J75" i="16"/>
  <c r="I75" i="16"/>
  <c r="H75" i="16"/>
  <c r="D69" i="17" s="1"/>
  <c r="G75" i="16"/>
  <c r="F75" i="16"/>
  <c r="K75" i="16" s="1"/>
  <c r="Q75" i="16" s="1"/>
  <c r="E75" i="16"/>
  <c r="C75" i="16"/>
  <c r="J74" i="16"/>
  <c r="I74" i="16"/>
  <c r="L68" i="17" s="1"/>
  <c r="H74" i="16"/>
  <c r="G74" i="16"/>
  <c r="J68" i="17" s="1"/>
  <c r="F74" i="16"/>
  <c r="E74" i="16"/>
  <c r="C74" i="16"/>
  <c r="J73" i="16"/>
  <c r="F67" i="17" s="1"/>
  <c r="I73" i="16"/>
  <c r="H73" i="16"/>
  <c r="K67" i="17" s="1"/>
  <c r="G73" i="16"/>
  <c r="J67" i="17" s="1"/>
  <c r="F73" i="16"/>
  <c r="K73" i="16" s="1"/>
  <c r="E73" i="16"/>
  <c r="C73" i="16"/>
  <c r="J71" i="16"/>
  <c r="I71" i="16"/>
  <c r="E65" i="17" s="1"/>
  <c r="H71" i="16"/>
  <c r="D65" i="17" s="1"/>
  <c r="G71" i="16"/>
  <c r="C65" i="17" s="1"/>
  <c r="F71" i="16"/>
  <c r="I65" i="17" s="1"/>
  <c r="J70" i="16"/>
  <c r="M64" i="17" s="1"/>
  <c r="I70" i="16"/>
  <c r="H70" i="16"/>
  <c r="K64" i="17" s="1"/>
  <c r="G70" i="16"/>
  <c r="J64" i="17" s="1"/>
  <c r="F70" i="16"/>
  <c r="B64" i="17" s="1"/>
  <c r="E70" i="16"/>
  <c r="C70" i="16"/>
  <c r="J69" i="16"/>
  <c r="I69" i="16"/>
  <c r="L63" i="17" s="1"/>
  <c r="H69" i="16"/>
  <c r="G69" i="16"/>
  <c r="F69" i="16"/>
  <c r="I63" i="17" s="1"/>
  <c r="E69" i="16"/>
  <c r="C69" i="16"/>
  <c r="J68" i="16"/>
  <c r="F62" i="17" s="1"/>
  <c r="I68" i="16"/>
  <c r="E62" i="17" s="1"/>
  <c r="H68" i="16"/>
  <c r="G68" i="16"/>
  <c r="C62" i="17" s="1"/>
  <c r="F68" i="16"/>
  <c r="I62" i="17" s="1"/>
  <c r="E68" i="16"/>
  <c r="C68" i="16"/>
  <c r="E67" i="16"/>
  <c r="C67" i="16"/>
  <c r="J65" i="16"/>
  <c r="I65" i="16"/>
  <c r="L59" i="17" s="1"/>
  <c r="H65" i="16"/>
  <c r="G65" i="16"/>
  <c r="J59" i="17" s="1"/>
  <c r="F65" i="16"/>
  <c r="K65" i="16" s="1"/>
  <c r="E65" i="16"/>
  <c r="C65" i="16"/>
  <c r="J64" i="16"/>
  <c r="M58" i="17" s="1"/>
  <c r="I64" i="16"/>
  <c r="H64" i="16"/>
  <c r="K58" i="17" s="1"/>
  <c r="G64" i="16"/>
  <c r="F64" i="16"/>
  <c r="E64" i="16"/>
  <c r="C64" i="16"/>
  <c r="J63" i="16"/>
  <c r="I63" i="16"/>
  <c r="E57" i="17" s="1"/>
  <c r="H63" i="16"/>
  <c r="D57" i="17" s="1"/>
  <c r="G63" i="16"/>
  <c r="F63" i="16"/>
  <c r="E63" i="16"/>
  <c r="C63" i="16"/>
  <c r="J61" i="16"/>
  <c r="F55" i="17" s="1"/>
  <c r="I61" i="16"/>
  <c r="H61" i="16"/>
  <c r="D55" i="17" s="1"/>
  <c r="G61" i="16"/>
  <c r="J55" i="17" s="1"/>
  <c r="F61" i="16"/>
  <c r="J60" i="16"/>
  <c r="I60" i="16"/>
  <c r="L54" i="17" s="1"/>
  <c r="H60" i="16"/>
  <c r="K54" i="17" s="1"/>
  <c r="G60" i="16"/>
  <c r="F60" i="16"/>
  <c r="E60" i="16"/>
  <c r="C60" i="16"/>
  <c r="J59" i="16"/>
  <c r="M53" i="17" s="1"/>
  <c r="I59" i="16"/>
  <c r="H59" i="16"/>
  <c r="G59" i="16"/>
  <c r="C53" i="17" s="1"/>
  <c r="F59" i="16"/>
  <c r="I53" i="17" s="1"/>
  <c r="E59" i="16"/>
  <c r="C59" i="16"/>
  <c r="J58" i="16"/>
  <c r="M52" i="17" s="1"/>
  <c r="I58" i="16"/>
  <c r="H58" i="16"/>
  <c r="G58" i="16"/>
  <c r="C52" i="17" s="1"/>
  <c r="F58" i="16"/>
  <c r="E58" i="16"/>
  <c r="C58" i="16"/>
  <c r="E57" i="16"/>
  <c r="C57" i="16"/>
  <c r="J55" i="16"/>
  <c r="F49" i="17" s="1"/>
  <c r="I55" i="16"/>
  <c r="H55" i="16"/>
  <c r="K49" i="17" s="1"/>
  <c r="G55" i="16"/>
  <c r="J49" i="17" s="1"/>
  <c r="F55" i="16"/>
  <c r="K55" i="16" s="1"/>
  <c r="Q55" i="16" s="1"/>
  <c r="E55" i="16"/>
  <c r="C55" i="16"/>
  <c r="J54" i="16"/>
  <c r="I54" i="16"/>
  <c r="E48" i="17" s="1"/>
  <c r="H54" i="16"/>
  <c r="G54" i="16"/>
  <c r="F54" i="16"/>
  <c r="E54" i="16"/>
  <c r="C54" i="16"/>
  <c r="J53" i="16"/>
  <c r="M47" i="17" s="1"/>
  <c r="I53" i="16"/>
  <c r="L47" i="17" s="1"/>
  <c r="H53" i="16"/>
  <c r="G53" i="16"/>
  <c r="F53" i="16"/>
  <c r="B47" i="17" s="1"/>
  <c r="E53" i="16"/>
  <c r="C53" i="16"/>
  <c r="J51" i="16"/>
  <c r="I51" i="16"/>
  <c r="H51" i="16"/>
  <c r="G51" i="16"/>
  <c r="J45" i="17" s="1"/>
  <c r="F51" i="16"/>
  <c r="J50" i="16"/>
  <c r="F44" i="17" s="1"/>
  <c r="I50" i="16"/>
  <c r="E44" i="17" s="1"/>
  <c r="H50" i="16"/>
  <c r="G50" i="16"/>
  <c r="F50" i="16"/>
  <c r="I44" i="17" s="1"/>
  <c r="E50" i="16"/>
  <c r="C50" i="16"/>
  <c r="J49" i="16"/>
  <c r="I49" i="16"/>
  <c r="H49" i="16"/>
  <c r="G49" i="16"/>
  <c r="C43" i="17" s="1"/>
  <c r="F49" i="16"/>
  <c r="I43" i="17" s="1"/>
  <c r="E49" i="16"/>
  <c r="C49" i="16"/>
  <c r="J48" i="16"/>
  <c r="I48" i="16"/>
  <c r="H48" i="16"/>
  <c r="D42" i="17" s="1"/>
  <c r="G48" i="16"/>
  <c r="F48" i="16"/>
  <c r="I42" i="17" s="1"/>
  <c r="E48" i="16"/>
  <c r="C48" i="16"/>
  <c r="E47" i="16"/>
  <c r="C47" i="16"/>
  <c r="K115" i="16"/>
  <c r="K114" i="16"/>
  <c r="K105" i="16"/>
  <c r="K85" i="16"/>
  <c r="K84" i="16"/>
  <c r="K74" i="16"/>
  <c r="K64" i="16"/>
  <c r="K15" i="16"/>
  <c r="L15" i="16" s="1"/>
  <c r="M15" i="16" s="1"/>
  <c r="K13" i="16"/>
  <c r="M13" i="16" s="1"/>
  <c r="M286" i="17"/>
  <c r="L286" i="17"/>
  <c r="K286" i="17"/>
  <c r="J286" i="17"/>
  <c r="I286" i="17"/>
  <c r="F286" i="17"/>
  <c r="E286" i="17"/>
  <c r="D286" i="17"/>
  <c r="C286" i="17"/>
  <c r="B286" i="17"/>
  <c r="G286" i="17" s="1"/>
  <c r="M285" i="17"/>
  <c r="L285" i="17"/>
  <c r="K285" i="17"/>
  <c r="J285" i="17"/>
  <c r="I285" i="17"/>
  <c r="F285" i="17"/>
  <c r="E285" i="17"/>
  <c r="D285" i="17"/>
  <c r="C285" i="17"/>
  <c r="B285" i="17"/>
  <c r="M284" i="17"/>
  <c r="L284" i="17"/>
  <c r="K284" i="17"/>
  <c r="J284" i="17"/>
  <c r="I284" i="17"/>
  <c r="F284" i="17"/>
  <c r="E284" i="17"/>
  <c r="D284" i="17"/>
  <c r="C284" i="17"/>
  <c r="B284" i="17"/>
  <c r="M283" i="17"/>
  <c r="L283" i="17"/>
  <c r="K283" i="17"/>
  <c r="J283" i="17"/>
  <c r="I283" i="17"/>
  <c r="F283" i="17"/>
  <c r="E283" i="17"/>
  <c r="D283" i="17"/>
  <c r="C283" i="17"/>
  <c r="B283" i="17"/>
  <c r="M282" i="17"/>
  <c r="L282" i="17"/>
  <c r="K282" i="17"/>
  <c r="J282" i="17"/>
  <c r="I282" i="17"/>
  <c r="F282" i="17"/>
  <c r="E282" i="17"/>
  <c r="D282" i="17"/>
  <c r="C282" i="17"/>
  <c r="B282" i="17"/>
  <c r="M281" i="17"/>
  <c r="L281" i="17"/>
  <c r="K281" i="17"/>
  <c r="J281" i="17"/>
  <c r="I281" i="17"/>
  <c r="F281" i="17"/>
  <c r="E281" i="17"/>
  <c r="D281" i="17"/>
  <c r="C281" i="17"/>
  <c r="B281" i="17"/>
  <c r="G281" i="17" s="1"/>
  <c r="M280" i="17"/>
  <c r="L280" i="17"/>
  <c r="K280" i="17"/>
  <c r="J280" i="17"/>
  <c r="I280" i="17"/>
  <c r="F280" i="17"/>
  <c r="E280" i="17"/>
  <c r="D280" i="17"/>
  <c r="C280" i="17"/>
  <c r="B280" i="17"/>
  <c r="G280" i="17" s="1"/>
  <c r="M279" i="17"/>
  <c r="L279" i="17"/>
  <c r="K279" i="17"/>
  <c r="J279" i="17"/>
  <c r="I279" i="17"/>
  <c r="F279" i="17"/>
  <c r="E279" i="17"/>
  <c r="D279" i="17"/>
  <c r="C279" i="17"/>
  <c r="B279" i="17"/>
  <c r="M278" i="17"/>
  <c r="L278" i="17"/>
  <c r="K278" i="17"/>
  <c r="J278" i="17"/>
  <c r="I278" i="17"/>
  <c r="F278" i="17"/>
  <c r="E278" i="17"/>
  <c r="D278" i="17"/>
  <c r="C278" i="17"/>
  <c r="B278" i="17"/>
  <c r="M277" i="17"/>
  <c r="L277" i="17"/>
  <c r="K277" i="17"/>
  <c r="J277" i="17"/>
  <c r="I277" i="17"/>
  <c r="F277" i="17"/>
  <c r="E277" i="17"/>
  <c r="D277" i="17"/>
  <c r="C277" i="17"/>
  <c r="B277" i="17"/>
  <c r="M276" i="17"/>
  <c r="L276" i="17"/>
  <c r="K276" i="17"/>
  <c r="J276" i="17"/>
  <c r="I276" i="17"/>
  <c r="F276" i="17"/>
  <c r="E276" i="17"/>
  <c r="D276" i="17"/>
  <c r="C276" i="17"/>
  <c r="B276" i="17"/>
  <c r="M275" i="17"/>
  <c r="L275" i="17"/>
  <c r="K275" i="17"/>
  <c r="J275" i="17"/>
  <c r="I275" i="17"/>
  <c r="F275" i="17"/>
  <c r="E275" i="17"/>
  <c r="D275" i="17"/>
  <c r="C275" i="17"/>
  <c r="B275" i="17"/>
  <c r="G275" i="17" s="1"/>
  <c r="M274" i="17"/>
  <c r="L274" i="17"/>
  <c r="K274" i="17"/>
  <c r="J274" i="17"/>
  <c r="I274" i="17"/>
  <c r="F274" i="17"/>
  <c r="E274" i="17"/>
  <c r="D274" i="17"/>
  <c r="C274" i="17"/>
  <c r="B274" i="17"/>
  <c r="G274" i="17" s="1"/>
  <c r="M273" i="17"/>
  <c r="L273" i="17"/>
  <c r="K273" i="17"/>
  <c r="J273" i="17"/>
  <c r="I273" i="17"/>
  <c r="F273" i="17"/>
  <c r="E273" i="17"/>
  <c r="D273" i="17"/>
  <c r="C273" i="17"/>
  <c r="B273" i="17"/>
  <c r="M272" i="17"/>
  <c r="L272" i="17"/>
  <c r="K272" i="17"/>
  <c r="J272" i="17"/>
  <c r="I272" i="17"/>
  <c r="F272" i="17"/>
  <c r="E272" i="17"/>
  <c r="D272" i="17"/>
  <c r="C272" i="17"/>
  <c r="B272" i="17"/>
  <c r="M271" i="17"/>
  <c r="L271" i="17"/>
  <c r="K271" i="17"/>
  <c r="J271" i="17"/>
  <c r="I271" i="17"/>
  <c r="F271" i="17"/>
  <c r="E271" i="17"/>
  <c r="D271" i="17"/>
  <c r="C271" i="17"/>
  <c r="B271" i="17"/>
  <c r="M270" i="17"/>
  <c r="L270" i="17"/>
  <c r="K270" i="17"/>
  <c r="J270" i="17"/>
  <c r="I270" i="17"/>
  <c r="F270" i="17"/>
  <c r="E270" i="17"/>
  <c r="D270" i="17"/>
  <c r="C270" i="17"/>
  <c r="B270" i="17"/>
  <c r="M269" i="17"/>
  <c r="L269" i="17"/>
  <c r="K269" i="17"/>
  <c r="J269" i="17"/>
  <c r="I269" i="17"/>
  <c r="F269" i="17"/>
  <c r="E269" i="17"/>
  <c r="D269" i="17"/>
  <c r="C269" i="17"/>
  <c r="B269" i="17"/>
  <c r="G269" i="17" s="1"/>
  <c r="M268" i="17"/>
  <c r="L268" i="17"/>
  <c r="K268" i="17"/>
  <c r="J268" i="17"/>
  <c r="I268" i="17"/>
  <c r="F268" i="17"/>
  <c r="E268" i="17"/>
  <c r="D268" i="17"/>
  <c r="C268" i="17"/>
  <c r="B268" i="17"/>
  <c r="G268" i="17" s="1"/>
  <c r="M267" i="17"/>
  <c r="L267" i="17"/>
  <c r="K267" i="17"/>
  <c r="J267" i="17"/>
  <c r="I267" i="17"/>
  <c r="F267" i="17"/>
  <c r="E267" i="17"/>
  <c r="D267" i="17"/>
  <c r="C267" i="17"/>
  <c r="B267" i="17"/>
  <c r="M266" i="17"/>
  <c r="L266" i="17"/>
  <c r="K266" i="17"/>
  <c r="J266" i="17"/>
  <c r="I266" i="17"/>
  <c r="F266" i="17"/>
  <c r="E266" i="17"/>
  <c r="D266" i="17"/>
  <c r="C266" i="17"/>
  <c r="B266" i="17"/>
  <c r="M265" i="17"/>
  <c r="L265" i="17"/>
  <c r="K265" i="17"/>
  <c r="J265" i="17"/>
  <c r="I265" i="17"/>
  <c r="F265" i="17"/>
  <c r="E265" i="17"/>
  <c r="D265" i="17"/>
  <c r="C265" i="17"/>
  <c r="B265" i="17"/>
  <c r="M264" i="17"/>
  <c r="L264" i="17"/>
  <c r="K264" i="17"/>
  <c r="J264" i="17"/>
  <c r="I264" i="17"/>
  <c r="F264" i="17"/>
  <c r="E264" i="17"/>
  <c r="D264" i="17"/>
  <c r="C264" i="17"/>
  <c r="B264" i="17"/>
  <c r="M263" i="17"/>
  <c r="L263" i="17"/>
  <c r="K263" i="17"/>
  <c r="J263" i="17"/>
  <c r="I263" i="17"/>
  <c r="F263" i="17"/>
  <c r="E263" i="17"/>
  <c r="D263" i="17"/>
  <c r="C263" i="17"/>
  <c r="B263" i="17"/>
  <c r="G263" i="17" s="1"/>
  <c r="M262" i="17"/>
  <c r="L262" i="17"/>
  <c r="K262" i="17"/>
  <c r="J262" i="17"/>
  <c r="I262" i="17"/>
  <c r="F262" i="17"/>
  <c r="E262" i="17"/>
  <c r="D262" i="17"/>
  <c r="C262" i="17"/>
  <c r="B262" i="17"/>
  <c r="G262" i="17" s="1"/>
  <c r="M261" i="17"/>
  <c r="L261" i="17"/>
  <c r="K261" i="17"/>
  <c r="J261" i="17"/>
  <c r="I261" i="17"/>
  <c r="F261" i="17"/>
  <c r="E261" i="17"/>
  <c r="D261" i="17"/>
  <c r="C261" i="17"/>
  <c r="B261" i="17"/>
  <c r="M260" i="17"/>
  <c r="L260" i="17"/>
  <c r="K260" i="17"/>
  <c r="J260" i="17"/>
  <c r="I260" i="17"/>
  <c r="F260" i="17"/>
  <c r="E260" i="17"/>
  <c r="D260" i="17"/>
  <c r="C260" i="17"/>
  <c r="B260" i="17"/>
  <c r="M259" i="17"/>
  <c r="L259" i="17"/>
  <c r="K259" i="17"/>
  <c r="J259" i="17"/>
  <c r="I259" i="17"/>
  <c r="F259" i="17"/>
  <c r="E259" i="17"/>
  <c r="D259" i="17"/>
  <c r="C259" i="17"/>
  <c r="B259" i="17"/>
  <c r="M258" i="17"/>
  <c r="L258" i="17"/>
  <c r="K258" i="17"/>
  <c r="J258" i="17"/>
  <c r="I258" i="17"/>
  <c r="F258" i="17"/>
  <c r="E258" i="17"/>
  <c r="D258" i="17"/>
  <c r="C258" i="17"/>
  <c r="B258" i="17"/>
  <c r="M257" i="17"/>
  <c r="L257" i="17"/>
  <c r="K257" i="17"/>
  <c r="J257" i="17"/>
  <c r="I257" i="17"/>
  <c r="F257" i="17"/>
  <c r="E257" i="17"/>
  <c r="D257" i="17"/>
  <c r="C257" i="17"/>
  <c r="B257" i="17"/>
  <c r="G257" i="17" s="1"/>
  <c r="M256" i="17"/>
  <c r="L256" i="17"/>
  <c r="K256" i="17"/>
  <c r="J256" i="17"/>
  <c r="I256" i="17"/>
  <c r="F256" i="17"/>
  <c r="E256" i="17"/>
  <c r="D256" i="17"/>
  <c r="C256" i="17"/>
  <c r="B256" i="17"/>
  <c r="G256" i="17" s="1"/>
  <c r="M255" i="17"/>
  <c r="L255" i="17"/>
  <c r="K255" i="17"/>
  <c r="J255" i="17"/>
  <c r="I255" i="17"/>
  <c r="F255" i="17"/>
  <c r="E255" i="17"/>
  <c r="D255" i="17"/>
  <c r="C255" i="17"/>
  <c r="B255" i="17"/>
  <c r="M254" i="17"/>
  <c r="L254" i="17"/>
  <c r="K254" i="17"/>
  <c r="J254" i="17"/>
  <c r="I254" i="17"/>
  <c r="F254" i="17"/>
  <c r="E254" i="17"/>
  <c r="D254" i="17"/>
  <c r="C254" i="17"/>
  <c r="B254" i="17"/>
  <c r="M253" i="17"/>
  <c r="L253" i="17"/>
  <c r="K253" i="17"/>
  <c r="J253" i="17"/>
  <c r="I253" i="17"/>
  <c r="F253" i="17"/>
  <c r="E253" i="17"/>
  <c r="D253" i="17"/>
  <c r="C253" i="17"/>
  <c r="B253" i="17"/>
  <c r="M252" i="17"/>
  <c r="L252" i="17"/>
  <c r="K252" i="17"/>
  <c r="J252" i="17"/>
  <c r="I252" i="17"/>
  <c r="F252" i="17"/>
  <c r="E252" i="17"/>
  <c r="D252" i="17"/>
  <c r="C252" i="17"/>
  <c r="B252" i="17"/>
  <c r="M251" i="17"/>
  <c r="L251" i="17"/>
  <c r="K251" i="17"/>
  <c r="J251" i="17"/>
  <c r="I251" i="17"/>
  <c r="F251" i="17"/>
  <c r="E251" i="17"/>
  <c r="D251" i="17"/>
  <c r="C251" i="17"/>
  <c r="B251" i="17"/>
  <c r="G251" i="17" s="1"/>
  <c r="M250" i="17"/>
  <c r="L250" i="17"/>
  <c r="K250" i="17"/>
  <c r="J250" i="17"/>
  <c r="I250" i="17"/>
  <c r="F250" i="17"/>
  <c r="E250" i="17"/>
  <c r="D250" i="17"/>
  <c r="C250" i="17"/>
  <c r="B250" i="17"/>
  <c r="G250" i="17" s="1"/>
  <c r="M249" i="17"/>
  <c r="L249" i="17"/>
  <c r="K249" i="17"/>
  <c r="J249" i="17"/>
  <c r="I249" i="17"/>
  <c r="F249" i="17"/>
  <c r="E249" i="17"/>
  <c r="D249" i="17"/>
  <c r="C249" i="17"/>
  <c r="B249" i="17"/>
  <c r="M248" i="17"/>
  <c r="L248" i="17"/>
  <c r="K248" i="17"/>
  <c r="J248" i="17"/>
  <c r="I248" i="17"/>
  <c r="F248" i="17"/>
  <c r="E248" i="17"/>
  <c r="D248" i="17"/>
  <c r="C248" i="17"/>
  <c r="B248" i="17"/>
  <c r="M247" i="17"/>
  <c r="L247" i="17"/>
  <c r="K247" i="17"/>
  <c r="J247" i="17"/>
  <c r="I247" i="17"/>
  <c r="F247" i="17"/>
  <c r="E247" i="17"/>
  <c r="D247" i="17"/>
  <c r="C247" i="17"/>
  <c r="B247" i="17"/>
  <c r="M246" i="17"/>
  <c r="L246" i="17"/>
  <c r="K246" i="17"/>
  <c r="J246" i="17"/>
  <c r="I246" i="17"/>
  <c r="F246" i="17"/>
  <c r="E246" i="17"/>
  <c r="D246" i="17"/>
  <c r="C246" i="17"/>
  <c r="B246" i="17"/>
  <c r="M245" i="17"/>
  <c r="L245" i="17"/>
  <c r="K245" i="17"/>
  <c r="J245" i="17"/>
  <c r="I245" i="17"/>
  <c r="F245" i="17"/>
  <c r="E245" i="17"/>
  <c r="D245" i="17"/>
  <c r="C245" i="17"/>
  <c r="B245" i="17"/>
  <c r="G245" i="17" s="1"/>
  <c r="M244" i="17"/>
  <c r="L244" i="17"/>
  <c r="K244" i="17"/>
  <c r="J244" i="17"/>
  <c r="I244" i="17"/>
  <c r="F244" i="17"/>
  <c r="E244" i="17"/>
  <c r="D244" i="17"/>
  <c r="C244" i="17"/>
  <c r="B244" i="17"/>
  <c r="G244" i="17" s="1"/>
  <c r="M243" i="17"/>
  <c r="L243" i="17"/>
  <c r="K243" i="17"/>
  <c r="J243" i="17"/>
  <c r="I243" i="17"/>
  <c r="F243" i="17"/>
  <c r="E243" i="17"/>
  <c r="D243" i="17"/>
  <c r="C243" i="17"/>
  <c r="B243" i="17"/>
  <c r="M242" i="17"/>
  <c r="L242" i="17"/>
  <c r="K242" i="17"/>
  <c r="J242" i="17"/>
  <c r="I242" i="17"/>
  <c r="F242" i="17"/>
  <c r="E242" i="17"/>
  <c r="D242" i="17"/>
  <c r="C242" i="17"/>
  <c r="B242" i="17"/>
  <c r="M241" i="17"/>
  <c r="L241" i="17"/>
  <c r="K241" i="17"/>
  <c r="J241" i="17"/>
  <c r="I241" i="17"/>
  <c r="F241" i="17"/>
  <c r="E241" i="17"/>
  <c r="D241" i="17"/>
  <c r="C241" i="17"/>
  <c r="B241" i="17"/>
  <c r="M240" i="17"/>
  <c r="L240" i="17"/>
  <c r="K240" i="17"/>
  <c r="J240" i="17"/>
  <c r="I240" i="17"/>
  <c r="F240" i="17"/>
  <c r="E240" i="17"/>
  <c r="D240" i="17"/>
  <c r="C240" i="17"/>
  <c r="B240" i="17"/>
  <c r="M239" i="17"/>
  <c r="L239" i="17"/>
  <c r="K239" i="17"/>
  <c r="J239" i="17"/>
  <c r="I239" i="17"/>
  <c r="F239" i="17"/>
  <c r="E239" i="17"/>
  <c r="D239" i="17"/>
  <c r="C239" i="17"/>
  <c r="B239" i="17"/>
  <c r="G239" i="17" s="1"/>
  <c r="M238" i="17"/>
  <c r="L238" i="17"/>
  <c r="K238" i="17"/>
  <c r="J238" i="17"/>
  <c r="I238" i="17"/>
  <c r="F238" i="17"/>
  <c r="E238" i="17"/>
  <c r="D238" i="17"/>
  <c r="C238" i="17"/>
  <c r="B238" i="17"/>
  <c r="G238" i="17" s="1"/>
  <c r="M237" i="17"/>
  <c r="L237" i="17"/>
  <c r="K237" i="17"/>
  <c r="J237" i="17"/>
  <c r="I237" i="17"/>
  <c r="F237" i="17"/>
  <c r="E237" i="17"/>
  <c r="D237" i="17"/>
  <c r="C237" i="17"/>
  <c r="B237" i="17"/>
  <c r="M236" i="17"/>
  <c r="L236" i="17"/>
  <c r="K236" i="17"/>
  <c r="J236" i="17"/>
  <c r="I236" i="17"/>
  <c r="F236" i="17"/>
  <c r="E236" i="17"/>
  <c r="D236" i="17"/>
  <c r="C236" i="17"/>
  <c r="B236" i="17"/>
  <c r="M235" i="17"/>
  <c r="L235" i="17"/>
  <c r="K235" i="17"/>
  <c r="J235" i="17"/>
  <c r="I235" i="17"/>
  <c r="F235" i="17"/>
  <c r="E235" i="17"/>
  <c r="D235" i="17"/>
  <c r="C235" i="17"/>
  <c r="B235" i="17"/>
  <c r="M234" i="17"/>
  <c r="L234" i="17"/>
  <c r="K234" i="17"/>
  <c r="J234" i="17"/>
  <c r="I234" i="17"/>
  <c r="F234" i="17"/>
  <c r="E234" i="17"/>
  <c r="D234" i="17"/>
  <c r="C234" i="17"/>
  <c r="B234" i="17"/>
  <c r="M233" i="17"/>
  <c r="L233" i="17"/>
  <c r="K233" i="17"/>
  <c r="J233" i="17"/>
  <c r="I233" i="17"/>
  <c r="F233" i="17"/>
  <c r="E233" i="17"/>
  <c r="D233" i="17"/>
  <c r="C233" i="17"/>
  <c r="B233" i="17"/>
  <c r="G233" i="17" s="1"/>
  <c r="M232" i="17"/>
  <c r="L232" i="17"/>
  <c r="K232" i="17"/>
  <c r="J232" i="17"/>
  <c r="I232" i="17"/>
  <c r="F232" i="17"/>
  <c r="E232" i="17"/>
  <c r="D232" i="17"/>
  <c r="C232" i="17"/>
  <c r="B232" i="17"/>
  <c r="G232" i="17" s="1"/>
  <c r="M231" i="17"/>
  <c r="L231" i="17"/>
  <c r="K231" i="17"/>
  <c r="J231" i="17"/>
  <c r="I231" i="17"/>
  <c r="F231" i="17"/>
  <c r="E231" i="17"/>
  <c r="D231" i="17"/>
  <c r="C231" i="17"/>
  <c r="B231" i="17"/>
  <c r="M230" i="17"/>
  <c r="L230" i="17"/>
  <c r="K230" i="17"/>
  <c r="J230" i="17"/>
  <c r="I230" i="17"/>
  <c r="F230" i="17"/>
  <c r="E230" i="17"/>
  <c r="D230" i="17"/>
  <c r="C230" i="17"/>
  <c r="B230" i="17"/>
  <c r="M229" i="17"/>
  <c r="L229" i="17"/>
  <c r="K229" i="17"/>
  <c r="J229" i="17"/>
  <c r="I229" i="17"/>
  <c r="F229" i="17"/>
  <c r="E229" i="17"/>
  <c r="D229" i="17"/>
  <c r="C229" i="17"/>
  <c r="B229" i="17"/>
  <c r="M228" i="17"/>
  <c r="L228" i="17"/>
  <c r="K228" i="17"/>
  <c r="J228" i="17"/>
  <c r="I228" i="17"/>
  <c r="F228" i="17"/>
  <c r="E228" i="17"/>
  <c r="D228" i="17"/>
  <c r="C228" i="17"/>
  <c r="B228" i="17"/>
  <c r="M227" i="17"/>
  <c r="L227" i="17"/>
  <c r="K227" i="17"/>
  <c r="J227" i="17"/>
  <c r="I227" i="17"/>
  <c r="F227" i="17"/>
  <c r="E227" i="17"/>
  <c r="D227" i="17"/>
  <c r="C227" i="17"/>
  <c r="B227" i="17"/>
  <c r="G227" i="17" s="1"/>
  <c r="M226" i="17"/>
  <c r="L226" i="17"/>
  <c r="K226" i="17"/>
  <c r="J226" i="17"/>
  <c r="I226" i="17"/>
  <c r="F226" i="17"/>
  <c r="E226" i="17"/>
  <c r="D226" i="17"/>
  <c r="C226" i="17"/>
  <c r="B226" i="17"/>
  <c r="G226" i="17" s="1"/>
  <c r="M225" i="17"/>
  <c r="L225" i="17"/>
  <c r="K225" i="17"/>
  <c r="J225" i="17"/>
  <c r="I225" i="17"/>
  <c r="F225" i="17"/>
  <c r="E225" i="17"/>
  <c r="D225" i="17"/>
  <c r="C225" i="17"/>
  <c r="B225" i="17"/>
  <c r="M224" i="17"/>
  <c r="L224" i="17"/>
  <c r="K224" i="17"/>
  <c r="J224" i="17"/>
  <c r="I224" i="17"/>
  <c r="F224" i="17"/>
  <c r="E224" i="17"/>
  <c r="D224" i="17"/>
  <c r="C224" i="17"/>
  <c r="B224" i="17"/>
  <c r="M223" i="17"/>
  <c r="L223" i="17"/>
  <c r="K223" i="17"/>
  <c r="J223" i="17"/>
  <c r="I223" i="17"/>
  <c r="F223" i="17"/>
  <c r="E223" i="17"/>
  <c r="D223" i="17"/>
  <c r="C223" i="17"/>
  <c r="B223" i="17"/>
  <c r="M222" i="17"/>
  <c r="L222" i="17"/>
  <c r="K222" i="17"/>
  <c r="J222" i="17"/>
  <c r="I222" i="17"/>
  <c r="F222" i="17"/>
  <c r="E222" i="17"/>
  <c r="D222" i="17"/>
  <c r="C222" i="17"/>
  <c r="B222" i="17"/>
  <c r="M221" i="17"/>
  <c r="L221" i="17"/>
  <c r="K221" i="17"/>
  <c r="J221" i="17"/>
  <c r="I221" i="17"/>
  <c r="F221" i="17"/>
  <c r="E221" i="17"/>
  <c r="D221" i="17"/>
  <c r="C221" i="17"/>
  <c r="B221" i="17"/>
  <c r="G221" i="17" s="1"/>
  <c r="M220" i="17"/>
  <c r="L220" i="17"/>
  <c r="K220" i="17"/>
  <c r="J220" i="17"/>
  <c r="I220" i="17"/>
  <c r="F220" i="17"/>
  <c r="E220" i="17"/>
  <c r="D220" i="17"/>
  <c r="C220" i="17"/>
  <c r="B220" i="17"/>
  <c r="G220" i="17" s="1"/>
  <c r="M219" i="17"/>
  <c r="L219" i="17"/>
  <c r="K219" i="17"/>
  <c r="J219" i="17"/>
  <c r="I219" i="17"/>
  <c r="F219" i="17"/>
  <c r="E219" i="17"/>
  <c r="D219" i="17"/>
  <c r="C219" i="17"/>
  <c r="B219" i="17"/>
  <c r="M218" i="17"/>
  <c r="L218" i="17"/>
  <c r="K218" i="17"/>
  <c r="J218" i="17"/>
  <c r="I218" i="17"/>
  <c r="F218" i="17"/>
  <c r="E218" i="17"/>
  <c r="D218" i="17"/>
  <c r="C218" i="17"/>
  <c r="B218" i="17"/>
  <c r="M217" i="17"/>
  <c r="L217" i="17"/>
  <c r="K217" i="17"/>
  <c r="J217" i="17"/>
  <c r="I217" i="17"/>
  <c r="F217" i="17"/>
  <c r="E217" i="17"/>
  <c r="D217" i="17"/>
  <c r="C217" i="17"/>
  <c r="B217" i="17"/>
  <c r="M216" i="17"/>
  <c r="L216" i="17"/>
  <c r="K216" i="17"/>
  <c r="J216" i="17"/>
  <c r="I216" i="17"/>
  <c r="F216" i="17"/>
  <c r="E216" i="17"/>
  <c r="D216" i="17"/>
  <c r="C216" i="17"/>
  <c r="B216" i="17"/>
  <c r="M215" i="17"/>
  <c r="L215" i="17"/>
  <c r="K215" i="17"/>
  <c r="J215" i="17"/>
  <c r="I215" i="17"/>
  <c r="F215" i="17"/>
  <c r="E215" i="17"/>
  <c r="D215" i="17"/>
  <c r="C215" i="17"/>
  <c r="B215" i="17"/>
  <c r="G215" i="17" s="1"/>
  <c r="M214" i="17"/>
  <c r="L214" i="17"/>
  <c r="K214" i="17"/>
  <c r="J214" i="17"/>
  <c r="I214" i="17"/>
  <c r="F214" i="17"/>
  <c r="E214" i="17"/>
  <c r="D214" i="17"/>
  <c r="C214" i="17"/>
  <c r="B214" i="17"/>
  <c r="G214" i="17" s="1"/>
  <c r="M213" i="17"/>
  <c r="L213" i="17"/>
  <c r="K213" i="17"/>
  <c r="J213" i="17"/>
  <c r="I213" i="17"/>
  <c r="F213" i="17"/>
  <c r="E213" i="17"/>
  <c r="D213" i="17"/>
  <c r="C213" i="17"/>
  <c r="B213" i="17"/>
  <c r="M212" i="17"/>
  <c r="L212" i="17"/>
  <c r="K212" i="17"/>
  <c r="J212" i="17"/>
  <c r="I212" i="17"/>
  <c r="F212" i="17"/>
  <c r="E212" i="17"/>
  <c r="D212" i="17"/>
  <c r="C212" i="17"/>
  <c r="B212" i="17"/>
  <c r="M211" i="17"/>
  <c r="L211" i="17"/>
  <c r="K211" i="17"/>
  <c r="J211" i="17"/>
  <c r="I211" i="17"/>
  <c r="F211" i="17"/>
  <c r="E211" i="17"/>
  <c r="D211" i="17"/>
  <c r="C211" i="17"/>
  <c r="B211" i="17"/>
  <c r="M210" i="17"/>
  <c r="L210" i="17"/>
  <c r="K210" i="17"/>
  <c r="J210" i="17"/>
  <c r="I210" i="17"/>
  <c r="F210" i="17"/>
  <c r="E210" i="17"/>
  <c r="D210" i="17"/>
  <c r="C210" i="17"/>
  <c r="B210" i="17"/>
  <c r="M209" i="17"/>
  <c r="L209" i="17"/>
  <c r="K209" i="17"/>
  <c r="J209" i="17"/>
  <c r="I209" i="17"/>
  <c r="F209" i="17"/>
  <c r="E209" i="17"/>
  <c r="D209" i="17"/>
  <c r="C209" i="17"/>
  <c r="B209" i="17"/>
  <c r="G209" i="17" s="1"/>
  <c r="M208" i="17"/>
  <c r="L208" i="17"/>
  <c r="K208" i="17"/>
  <c r="J208" i="17"/>
  <c r="I208" i="17"/>
  <c r="F208" i="17"/>
  <c r="E208" i="17"/>
  <c r="D208" i="17"/>
  <c r="C208" i="17"/>
  <c r="B208" i="17"/>
  <c r="G208" i="17" s="1"/>
  <c r="M207" i="17"/>
  <c r="L207" i="17"/>
  <c r="K207" i="17"/>
  <c r="J207" i="17"/>
  <c r="I207" i="17"/>
  <c r="F207" i="17"/>
  <c r="E207" i="17"/>
  <c r="D207" i="17"/>
  <c r="C207" i="17"/>
  <c r="B207" i="17"/>
  <c r="M206" i="17"/>
  <c r="L206" i="17"/>
  <c r="K206" i="17"/>
  <c r="J206" i="17"/>
  <c r="I206" i="17"/>
  <c r="F206" i="17"/>
  <c r="E206" i="17"/>
  <c r="D206" i="17"/>
  <c r="C206" i="17"/>
  <c r="B206" i="17"/>
  <c r="M205" i="17"/>
  <c r="L205" i="17"/>
  <c r="K205" i="17"/>
  <c r="J205" i="17"/>
  <c r="I205" i="17"/>
  <c r="F205" i="17"/>
  <c r="E205" i="17"/>
  <c r="D205" i="17"/>
  <c r="C205" i="17"/>
  <c r="B205" i="17"/>
  <c r="M204" i="17"/>
  <c r="L204" i="17"/>
  <c r="K204" i="17"/>
  <c r="J204" i="17"/>
  <c r="I204" i="17"/>
  <c r="F204" i="17"/>
  <c r="E204" i="17"/>
  <c r="D204" i="17"/>
  <c r="C204" i="17"/>
  <c r="B204" i="17"/>
  <c r="M203" i="17"/>
  <c r="L203" i="17"/>
  <c r="K203" i="17"/>
  <c r="J203" i="17"/>
  <c r="I203" i="17"/>
  <c r="F203" i="17"/>
  <c r="E203" i="17"/>
  <c r="D203" i="17"/>
  <c r="C203" i="17"/>
  <c r="B203" i="17"/>
  <c r="G203" i="17" s="1"/>
  <c r="M202" i="17"/>
  <c r="L202" i="17"/>
  <c r="K202" i="17"/>
  <c r="J202" i="17"/>
  <c r="I202" i="17"/>
  <c r="F202" i="17"/>
  <c r="E202" i="17"/>
  <c r="D202" i="17"/>
  <c r="C202" i="17"/>
  <c r="B202" i="17"/>
  <c r="G202" i="17" s="1"/>
  <c r="M201" i="17"/>
  <c r="L201" i="17"/>
  <c r="K201" i="17"/>
  <c r="J201" i="17"/>
  <c r="I201" i="17"/>
  <c r="F201" i="17"/>
  <c r="E201" i="17"/>
  <c r="D201" i="17"/>
  <c r="C201" i="17"/>
  <c r="B201" i="17"/>
  <c r="M200" i="17"/>
  <c r="L200" i="17"/>
  <c r="K200" i="17"/>
  <c r="J200" i="17"/>
  <c r="I200" i="17"/>
  <c r="F200" i="17"/>
  <c r="E200" i="17"/>
  <c r="D200" i="17"/>
  <c r="C200" i="17"/>
  <c r="B200" i="17"/>
  <c r="M199" i="17"/>
  <c r="L199" i="17"/>
  <c r="K199" i="17"/>
  <c r="J199" i="17"/>
  <c r="I199" i="17"/>
  <c r="F199" i="17"/>
  <c r="E199" i="17"/>
  <c r="D199" i="17"/>
  <c r="C199" i="17"/>
  <c r="B199" i="17"/>
  <c r="M198" i="17"/>
  <c r="L198" i="17"/>
  <c r="K198" i="17"/>
  <c r="J198" i="17"/>
  <c r="I198" i="17"/>
  <c r="F198" i="17"/>
  <c r="E198" i="17"/>
  <c r="D198" i="17"/>
  <c r="C198" i="17"/>
  <c r="B198" i="17"/>
  <c r="M197" i="17"/>
  <c r="L197" i="17"/>
  <c r="K197" i="17"/>
  <c r="J197" i="17"/>
  <c r="I197" i="17"/>
  <c r="F197" i="17"/>
  <c r="E197" i="17"/>
  <c r="D197" i="17"/>
  <c r="C197" i="17"/>
  <c r="B197" i="17"/>
  <c r="G197" i="17" s="1"/>
  <c r="M196" i="17"/>
  <c r="L196" i="17"/>
  <c r="K196" i="17"/>
  <c r="J196" i="17"/>
  <c r="I196" i="17"/>
  <c r="F196" i="17"/>
  <c r="E196" i="17"/>
  <c r="D196" i="17"/>
  <c r="C196" i="17"/>
  <c r="B196" i="17"/>
  <c r="G196" i="17" s="1"/>
  <c r="M195" i="17"/>
  <c r="L195" i="17"/>
  <c r="K195" i="17"/>
  <c r="J195" i="17"/>
  <c r="I195" i="17"/>
  <c r="F195" i="17"/>
  <c r="E195" i="17"/>
  <c r="D195" i="17"/>
  <c r="C195" i="17"/>
  <c r="B195" i="17"/>
  <c r="M194" i="17"/>
  <c r="L194" i="17"/>
  <c r="K194" i="17"/>
  <c r="J194" i="17"/>
  <c r="I194" i="17"/>
  <c r="F194" i="17"/>
  <c r="E194" i="17"/>
  <c r="D194" i="17"/>
  <c r="C194" i="17"/>
  <c r="B194" i="17"/>
  <c r="M193" i="17"/>
  <c r="L193" i="17"/>
  <c r="K193" i="17"/>
  <c r="J193" i="17"/>
  <c r="I193" i="17"/>
  <c r="F193" i="17"/>
  <c r="E193" i="17"/>
  <c r="D193" i="17"/>
  <c r="C193" i="17"/>
  <c r="B193" i="17"/>
  <c r="M192" i="17"/>
  <c r="L192" i="17"/>
  <c r="K192" i="17"/>
  <c r="J192" i="17"/>
  <c r="I192" i="17"/>
  <c r="F192" i="17"/>
  <c r="E192" i="17"/>
  <c r="D192" i="17"/>
  <c r="C192" i="17"/>
  <c r="B192" i="17"/>
  <c r="M191" i="17"/>
  <c r="L191" i="17"/>
  <c r="K191" i="17"/>
  <c r="J191" i="17"/>
  <c r="I191" i="17"/>
  <c r="F191" i="17"/>
  <c r="E191" i="17"/>
  <c r="D191" i="17"/>
  <c r="C191" i="17"/>
  <c r="B191" i="17"/>
  <c r="G191" i="17" s="1"/>
  <c r="M190" i="17"/>
  <c r="L190" i="17"/>
  <c r="K190" i="17"/>
  <c r="J190" i="17"/>
  <c r="I190" i="17"/>
  <c r="F190" i="17"/>
  <c r="E190" i="17"/>
  <c r="D190" i="17"/>
  <c r="C190" i="17"/>
  <c r="B190" i="17"/>
  <c r="G190" i="17" s="1"/>
  <c r="M189" i="17"/>
  <c r="L189" i="17"/>
  <c r="K189" i="17"/>
  <c r="J189" i="17"/>
  <c r="I189" i="17"/>
  <c r="F189" i="17"/>
  <c r="E189" i="17"/>
  <c r="D189" i="17"/>
  <c r="C189" i="17"/>
  <c r="B189" i="17"/>
  <c r="M188" i="17"/>
  <c r="L188" i="17"/>
  <c r="K188" i="17"/>
  <c r="J188" i="17"/>
  <c r="I188" i="17"/>
  <c r="F188" i="17"/>
  <c r="E188" i="17"/>
  <c r="D188" i="17"/>
  <c r="C188" i="17"/>
  <c r="B188" i="17"/>
  <c r="M187" i="17"/>
  <c r="L187" i="17"/>
  <c r="K187" i="17"/>
  <c r="J187" i="17"/>
  <c r="I187" i="17"/>
  <c r="F187" i="17"/>
  <c r="E187" i="17"/>
  <c r="D187" i="17"/>
  <c r="C187" i="17"/>
  <c r="B187" i="17"/>
  <c r="M186" i="17"/>
  <c r="L186" i="17"/>
  <c r="K186" i="17"/>
  <c r="J186" i="17"/>
  <c r="I186" i="17"/>
  <c r="F186" i="17"/>
  <c r="E186" i="17"/>
  <c r="D186" i="17"/>
  <c r="C186" i="17"/>
  <c r="B186" i="17"/>
  <c r="M185" i="17"/>
  <c r="L185" i="17"/>
  <c r="K185" i="17"/>
  <c r="J185" i="17"/>
  <c r="I185" i="17"/>
  <c r="F185" i="17"/>
  <c r="E185" i="17"/>
  <c r="D185" i="17"/>
  <c r="C185" i="17"/>
  <c r="B185" i="17"/>
  <c r="G185" i="17" s="1"/>
  <c r="M184" i="17"/>
  <c r="L184" i="17"/>
  <c r="K184" i="17"/>
  <c r="J184" i="17"/>
  <c r="I184" i="17"/>
  <c r="F184" i="17"/>
  <c r="E184" i="17"/>
  <c r="D184" i="17"/>
  <c r="C184" i="17"/>
  <c r="B184" i="17"/>
  <c r="G184" i="17" s="1"/>
  <c r="M183" i="17"/>
  <c r="L183" i="17"/>
  <c r="K183" i="17"/>
  <c r="J183" i="17"/>
  <c r="I183" i="17"/>
  <c r="F183" i="17"/>
  <c r="E183" i="17"/>
  <c r="D183" i="17"/>
  <c r="C183" i="17"/>
  <c r="B183" i="17"/>
  <c r="M182" i="17"/>
  <c r="L182" i="17"/>
  <c r="K182" i="17"/>
  <c r="J182" i="17"/>
  <c r="I182" i="17"/>
  <c r="F182" i="17"/>
  <c r="E182" i="17"/>
  <c r="D182" i="17"/>
  <c r="C182" i="17"/>
  <c r="B182" i="17"/>
  <c r="M181" i="17"/>
  <c r="L181" i="17"/>
  <c r="K181" i="17"/>
  <c r="J181" i="17"/>
  <c r="I181" i="17"/>
  <c r="F181" i="17"/>
  <c r="E181" i="17"/>
  <c r="D181" i="17"/>
  <c r="C181" i="17"/>
  <c r="B181" i="17"/>
  <c r="M180" i="17"/>
  <c r="L180" i="17"/>
  <c r="K180" i="17"/>
  <c r="J180" i="17"/>
  <c r="I180" i="17"/>
  <c r="F180" i="17"/>
  <c r="E180" i="17"/>
  <c r="D180" i="17"/>
  <c r="C180" i="17"/>
  <c r="B180" i="17"/>
  <c r="M179" i="17"/>
  <c r="L179" i="17"/>
  <c r="K179" i="17"/>
  <c r="J179" i="17"/>
  <c r="I179" i="17"/>
  <c r="F179" i="17"/>
  <c r="E179" i="17"/>
  <c r="D179" i="17"/>
  <c r="C179" i="17"/>
  <c r="B179" i="17"/>
  <c r="G179" i="17" s="1"/>
  <c r="M178" i="17"/>
  <c r="L178" i="17"/>
  <c r="K178" i="17"/>
  <c r="J178" i="17"/>
  <c r="I178" i="17"/>
  <c r="F178" i="17"/>
  <c r="E178" i="17"/>
  <c r="D178" i="17"/>
  <c r="C178" i="17"/>
  <c r="B178" i="17"/>
  <c r="G178" i="17" s="1"/>
  <c r="M177" i="17"/>
  <c r="L177" i="17"/>
  <c r="K177" i="17"/>
  <c r="J177" i="17"/>
  <c r="I177" i="17"/>
  <c r="F177" i="17"/>
  <c r="E177" i="17"/>
  <c r="D177" i="17"/>
  <c r="C177" i="17"/>
  <c r="B177" i="17"/>
  <c r="M176" i="17"/>
  <c r="L176" i="17"/>
  <c r="K176" i="17"/>
  <c r="J176" i="17"/>
  <c r="I176" i="17"/>
  <c r="F176" i="17"/>
  <c r="E176" i="17"/>
  <c r="D176" i="17"/>
  <c r="C176" i="17"/>
  <c r="B176" i="17"/>
  <c r="M175" i="17"/>
  <c r="L175" i="17"/>
  <c r="K175" i="17"/>
  <c r="J175" i="17"/>
  <c r="I175" i="17"/>
  <c r="F175" i="17"/>
  <c r="E175" i="17"/>
  <c r="D175" i="17"/>
  <c r="C175" i="17"/>
  <c r="B175" i="17"/>
  <c r="M174" i="17"/>
  <c r="L174" i="17"/>
  <c r="K174" i="17"/>
  <c r="J174" i="17"/>
  <c r="I174" i="17"/>
  <c r="F174" i="17"/>
  <c r="E174" i="17"/>
  <c r="D174" i="17"/>
  <c r="C174" i="17"/>
  <c r="B174" i="17"/>
  <c r="M173" i="17"/>
  <c r="L173" i="17"/>
  <c r="K173" i="17"/>
  <c r="J173" i="17"/>
  <c r="I173" i="17"/>
  <c r="F173" i="17"/>
  <c r="E173" i="17"/>
  <c r="D173" i="17"/>
  <c r="C173" i="17"/>
  <c r="B173" i="17"/>
  <c r="G173" i="17" s="1"/>
  <c r="M172" i="17"/>
  <c r="L172" i="17"/>
  <c r="K172" i="17"/>
  <c r="J172" i="17"/>
  <c r="I172" i="17"/>
  <c r="F172" i="17"/>
  <c r="E172" i="17"/>
  <c r="D172" i="17"/>
  <c r="C172" i="17"/>
  <c r="B172" i="17"/>
  <c r="G172" i="17" s="1"/>
  <c r="M171" i="17"/>
  <c r="L171" i="17"/>
  <c r="K171" i="17"/>
  <c r="J171" i="17"/>
  <c r="I171" i="17"/>
  <c r="F171" i="17"/>
  <c r="E171" i="17"/>
  <c r="D171" i="17"/>
  <c r="C171" i="17"/>
  <c r="B171" i="17"/>
  <c r="M170" i="17"/>
  <c r="L170" i="17"/>
  <c r="K170" i="17"/>
  <c r="J170" i="17"/>
  <c r="I170" i="17"/>
  <c r="F170" i="17"/>
  <c r="E170" i="17"/>
  <c r="D170" i="17"/>
  <c r="C170" i="17"/>
  <c r="B170" i="17"/>
  <c r="M169" i="17"/>
  <c r="L169" i="17"/>
  <c r="K169" i="17"/>
  <c r="J169" i="17"/>
  <c r="I169" i="17"/>
  <c r="F169" i="17"/>
  <c r="E169" i="17"/>
  <c r="D169" i="17"/>
  <c r="C169" i="17"/>
  <c r="B169" i="17"/>
  <c r="M168" i="17"/>
  <c r="L168" i="17"/>
  <c r="K168" i="17"/>
  <c r="J168" i="17"/>
  <c r="I168" i="17"/>
  <c r="F168" i="17"/>
  <c r="E168" i="17"/>
  <c r="D168" i="17"/>
  <c r="C168" i="17"/>
  <c r="B168" i="17"/>
  <c r="M167" i="17"/>
  <c r="L167" i="17"/>
  <c r="K167" i="17"/>
  <c r="J167" i="17"/>
  <c r="I167" i="17"/>
  <c r="F167" i="17"/>
  <c r="E167" i="17"/>
  <c r="D167" i="17"/>
  <c r="C167" i="17"/>
  <c r="B167" i="17"/>
  <c r="G167" i="17" s="1"/>
  <c r="M166" i="17"/>
  <c r="L166" i="17"/>
  <c r="K166" i="17"/>
  <c r="J166" i="17"/>
  <c r="I166" i="17"/>
  <c r="F166" i="17"/>
  <c r="E166" i="17"/>
  <c r="D166" i="17"/>
  <c r="C166" i="17"/>
  <c r="B166" i="17"/>
  <c r="G166" i="17" s="1"/>
  <c r="M165" i="17"/>
  <c r="L165" i="17"/>
  <c r="K165" i="17"/>
  <c r="J165" i="17"/>
  <c r="I165" i="17"/>
  <c r="F165" i="17"/>
  <c r="E165" i="17"/>
  <c r="D165" i="17"/>
  <c r="C165" i="17"/>
  <c r="B165" i="17"/>
  <c r="M164" i="17"/>
  <c r="L164" i="17"/>
  <c r="K164" i="17"/>
  <c r="J164" i="17"/>
  <c r="I164" i="17"/>
  <c r="F164" i="17"/>
  <c r="E164" i="17"/>
  <c r="D164" i="17"/>
  <c r="C164" i="17"/>
  <c r="B164" i="17"/>
  <c r="M163" i="17"/>
  <c r="L163" i="17"/>
  <c r="K163" i="17"/>
  <c r="J163" i="17"/>
  <c r="I163" i="17"/>
  <c r="F163" i="17"/>
  <c r="E163" i="17"/>
  <c r="D163" i="17"/>
  <c r="C163" i="17"/>
  <c r="B163" i="17"/>
  <c r="M162" i="17"/>
  <c r="L162" i="17"/>
  <c r="K162" i="17"/>
  <c r="J162" i="17"/>
  <c r="I162" i="17"/>
  <c r="F162" i="17"/>
  <c r="E162" i="17"/>
  <c r="D162" i="17"/>
  <c r="C162" i="17"/>
  <c r="B162" i="17"/>
  <c r="M161" i="17"/>
  <c r="L161" i="17"/>
  <c r="K161" i="17"/>
  <c r="J161" i="17"/>
  <c r="I161" i="17"/>
  <c r="F161" i="17"/>
  <c r="E161" i="17"/>
  <c r="D161" i="17"/>
  <c r="C161" i="17"/>
  <c r="B161" i="17"/>
  <c r="G161" i="17" s="1"/>
  <c r="M160" i="17"/>
  <c r="L160" i="17"/>
  <c r="K160" i="17"/>
  <c r="J160" i="17"/>
  <c r="I160" i="17"/>
  <c r="F160" i="17"/>
  <c r="E160" i="17"/>
  <c r="D160" i="17"/>
  <c r="C160" i="17"/>
  <c r="B160" i="17"/>
  <c r="G160" i="17" s="1"/>
  <c r="M159" i="17"/>
  <c r="L159" i="17"/>
  <c r="K159" i="17"/>
  <c r="J159" i="17"/>
  <c r="I159" i="17"/>
  <c r="F159" i="17"/>
  <c r="E159" i="17"/>
  <c r="D159" i="17"/>
  <c r="C159" i="17"/>
  <c r="B159" i="17"/>
  <c r="M158" i="17"/>
  <c r="L158" i="17"/>
  <c r="K158" i="17"/>
  <c r="J158" i="17"/>
  <c r="I158" i="17"/>
  <c r="F158" i="17"/>
  <c r="E158" i="17"/>
  <c r="D158" i="17"/>
  <c r="C158" i="17"/>
  <c r="B158" i="17"/>
  <c r="M157" i="17"/>
  <c r="L157" i="17"/>
  <c r="K157" i="17"/>
  <c r="J157" i="17"/>
  <c r="I157" i="17"/>
  <c r="F157" i="17"/>
  <c r="E157" i="17"/>
  <c r="D157" i="17"/>
  <c r="C157" i="17"/>
  <c r="B157" i="17"/>
  <c r="M156" i="17"/>
  <c r="L156" i="17"/>
  <c r="K156" i="17"/>
  <c r="J156" i="17"/>
  <c r="I156" i="17"/>
  <c r="F156" i="17"/>
  <c r="E156" i="17"/>
  <c r="D156" i="17"/>
  <c r="C156" i="17"/>
  <c r="B156" i="17"/>
  <c r="M155" i="17"/>
  <c r="L155" i="17"/>
  <c r="K155" i="17"/>
  <c r="J155" i="17"/>
  <c r="I155" i="17"/>
  <c r="F155" i="17"/>
  <c r="E155" i="17"/>
  <c r="D155" i="17"/>
  <c r="C155" i="17"/>
  <c r="B155" i="17"/>
  <c r="G155" i="17" s="1"/>
  <c r="M154" i="17"/>
  <c r="L154" i="17"/>
  <c r="K154" i="17"/>
  <c r="J154" i="17"/>
  <c r="I154" i="17"/>
  <c r="F154" i="17"/>
  <c r="E154" i="17"/>
  <c r="D154" i="17"/>
  <c r="C154" i="17"/>
  <c r="B154" i="17"/>
  <c r="G154" i="17" s="1"/>
  <c r="M153" i="17"/>
  <c r="L153" i="17"/>
  <c r="K153" i="17"/>
  <c r="J153" i="17"/>
  <c r="I153" i="17"/>
  <c r="F153" i="17"/>
  <c r="E153" i="17"/>
  <c r="D153" i="17"/>
  <c r="C153" i="17"/>
  <c r="B153" i="17"/>
  <c r="M152" i="17"/>
  <c r="L152" i="17"/>
  <c r="K152" i="17"/>
  <c r="J152" i="17"/>
  <c r="I152" i="17"/>
  <c r="F152" i="17"/>
  <c r="E152" i="17"/>
  <c r="D152" i="17"/>
  <c r="C152" i="17"/>
  <c r="B152" i="17"/>
  <c r="M151" i="17"/>
  <c r="L151" i="17"/>
  <c r="K151" i="17"/>
  <c r="J151" i="17"/>
  <c r="I151" i="17"/>
  <c r="F151" i="17"/>
  <c r="E151" i="17"/>
  <c r="D151" i="17"/>
  <c r="C151" i="17"/>
  <c r="B151" i="17"/>
  <c r="M150" i="17"/>
  <c r="L150" i="17"/>
  <c r="K150" i="17"/>
  <c r="J150" i="17"/>
  <c r="I150" i="17"/>
  <c r="F150" i="17"/>
  <c r="E150" i="17"/>
  <c r="D150" i="17"/>
  <c r="C150" i="17"/>
  <c r="B150" i="17"/>
  <c r="M149" i="17"/>
  <c r="L149" i="17"/>
  <c r="K149" i="17"/>
  <c r="J149" i="17"/>
  <c r="I149" i="17"/>
  <c r="F149" i="17"/>
  <c r="E149" i="17"/>
  <c r="D149" i="17"/>
  <c r="C149" i="17"/>
  <c r="B149" i="17"/>
  <c r="G149" i="17" s="1"/>
  <c r="M148" i="17"/>
  <c r="L148" i="17"/>
  <c r="K148" i="17"/>
  <c r="J148" i="17"/>
  <c r="I148" i="17"/>
  <c r="F148" i="17"/>
  <c r="E148" i="17"/>
  <c r="D148" i="17"/>
  <c r="C148" i="17"/>
  <c r="B148" i="17"/>
  <c r="G148" i="17" s="1"/>
  <c r="M147" i="17"/>
  <c r="L147" i="17"/>
  <c r="K147" i="17"/>
  <c r="J147" i="17"/>
  <c r="I147" i="17"/>
  <c r="F147" i="17"/>
  <c r="E147" i="17"/>
  <c r="D147" i="17"/>
  <c r="C147" i="17"/>
  <c r="B147" i="17"/>
  <c r="M146" i="17"/>
  <c r="L146" i="17"/>
  <c r="K146" i="17"/>
  <c r="J146" i="17"/>
  <c r="I146" i="17"/>
  <c r="F146" i="17"/>
  <c r="E146" i="17"/>
  <c r="D146" i="17"/>
  <c r="C146" i="17"/>
  <c r="B146" i="17"/>
  <c r="M145" i="17"/>
  <c r="L145" i="17"/>
  <c r="K145" i="17"/>
  <c r="J145" i="17"/>
  <c r="I145" i="17"/>
  <c r="F145" i="17"/>
  <c r="E145" i="17"/>
  <c r="D145" i="17"/>
  <c r="C145" i="17"/>
  <c r="B145" i="17"/>
  <c r="M144" i="17"/>
  <c r="L144" i="17"/>
  <c r="K144" i="17"/>
  <c r="J144" i="17"/>
  <c r="I144" i="17"/>
  <c r="F144" i="17"/>
  <c r="E144" i="17"/>
  <c r="D144" i="17"/>
  <c r="C144" i="17"/>
  <c r="B144" i="17"/>
  <c r="M143" i="17"/>
  <c r="L143" i="17"/>
  <c r="K143" i="17"/>
  <c r="J143" i="17"/>
  <c r="I143" i="17"/>
  <c r="F143" i="17"/>
  <c r="E143" i="17"/>
  <c r="D143" i="17"/>
  <c r="C143" i="17"/>
  <c r="B143" i="17"/>
  <c r="G143" i="17" s="1"/>
  <c r="M142" i="17"/>
  <c r="L142" i="17"/>
  <c r="K142" i="17"/>
  <c r="J142" i="17"/>
  <c r="I142" i="17"/>
  <c r="F142" i="17"/>
  <c r="E142" i="17"/>
  <c r="D142" i="17"/>
  <c r="C142" i="17"/>
  <c r="B142" i="17"/>
  <c r="G142" i="17" s="1"/>
  <c r="M141" i="17"/>
  <c r="L141" i="17"/>
  <c r="K141" i="17"/>
  <c r="J141" i="17"/>
  <c r="I141" i="17"/>
  <c r="F141" i="17"/>
  <c r="E141" i="17"/>
  <c r="D141" i="17"/>
  <c r="C141" i="17"/>
  <c r="B141" i="17"/>
  <c r="M140" i="17"/>
  <c r="L140" i="17"/>
  <c r="K140" i="17"/>
  <c r="J140" i="17"/>
  <c r="I140" i="17"/>
  <c r="F140" i="17"/>
  <c r="E140" i="17"/>
  <c r="D140" i="17"/>
  <c r="C140" i="17"/>
  <c r="B140" i="17"/>
  <c r="M139" i="17"/>
  <c r="L139" i="17"/>
  <c r="K139" i="17"/>
  <c r="J139" i="17"/>
  <c r="I139" i="17"/>
  <c r="F139" i="17"/>
  <c r="E139" i="17"/>
  <c r="D139" i="17"/>
  <c r="C139" i="17"/>
  <c r="B139" i="17"/>
  <c r="M138" i="17"/>
  <c r="L138" i="17"/>
  <c r="K138" i="17"/>
  <c r="J138" i="17"/>
  <c r="I138" i="17"/>
  <c r="F138" i="17"/>
  <c r="E138" i="17"/>
  <c r="D138" i="17"/>
  <c r="C138" i="17"/>
  <c r="B138" i="17"/>
  <c r="M137" i="17"/>
  <c r="L137" i="17"/>
  <c r="K137" i="17"/>
  <c r="J137" i="17"/>
  <c r="I137" i="17"/>
  <c r="F137" i="17"/>
  <c r="E137" i="17"/>
  <c r="D137" i="17"/>
  <c r="C137" i="17"/>
  <c r="B137" i="17"/>
  <c r="G137" i="17" s="1"/>
  <c r="M136" i="17"/>
  <c r="L136" i="17"/>
  <c r="K136" i="17"/>
  <c r="J136" i="17"/>
  <c r="I136" i="17"/>
  <c r="F136" i="17"/>
  <c r="E136" i="17"/>
  <c r="D136" i="17"/>
  <c r="C136" i="17"/>
  <c r="B136" i="17"/>
  <c r="G136" i="17" s="1"/>
  <c r="M135" i="17"/>
  <c r="L135" i="17"/>
  <c r="K135" i="17"/>
  <c r="J135" i="17"/>
  <c r="I135" i="17"/>
  <c r="F135" i="17"/>
  <c r="E135" i="17"/>
  <c r="D135" i="17"/>
  <c r="C135" i="17"/>
  <c r="B135" i="17"/>
  <c r="M134" i="17"/>
  <c r="L134" i="17"/>
  <c r="K134" i="17"/>
  <c r="J134" i="17"/>
  <c r="I134" i="17"/>
  <c r="F134" i="17"/>
  <c r="E134" i="17"/>
  <c r="D134" i="17"/>
  <c r="C134" i="17"/>
  <c r="B134" i="17"/>
  <c r="M133" i="17"/>
  <c r="L133" i="17"/>
  <c r="K133" i="17"/>
  <c r="J133" i="17"/>
  <c r="I133" i="17"/>
  <c r="F133" i="17"/>
  <c r="E133" i="17"/>
  <c r="D133" i="17"/>
  <c r="C133" i="17"/>
  <c r="B133" i="17"/>
  <c r="M132" i="17"/>
  <c r="L132" i="17"/>
  <c r="K132" i="17"/>
  <c r="J132" i="17"/>
  <c r="I132" i="17"/>
  <c r="F132" i="17"/>
  <c r="E132" i="17"/>
  <c r="D132" i="17"/>
  <c r="C132" i="17"/>
  <c r="B132" i="17"/>
  <c r="M131" i="17"/>
  <c r="L131" i="17"/>
  <c r="K131" i="17"/>
  <c r="J131" i="17"/>
  <c r="I131" i="17"/>
  <c r="F131" i="17"/>
  <c r="E131" i="17"/>
  <c r="D131" i="17"/>
  <c r="C131" i="17"/>
  <c r="B131" i="17"/>
  <c r="G131" i="17" s="1"/>
  <c r="M130" i="17"/>
  <c r="L130" i="17"/>
  <c r="K130" i="17"/>
  <c r="J130" i="17"/>
  <c r="I130" i="17"/>
  <c r="F130" i="17"/>
  <c r="E130" i="17"/>
  <c r="D130" i="17"/>
  <c r="C130" i="17"/>
  <c r="B130" i="17"/>
  <c r="G130" i="17" s="1"/>
  <c r="M129" i="17"/>
  <c r="L129" i="17"/>
  <c r="K129" i="17"/>
  <c r="J129" i="17"/>
  <c r="I129" i="17"/>
  <c r="F129" i="17"/>
  <c r="E129" i="17"/>
  <c r="D129" i="17"/>
  <c r="C129" i="17"/>
  <c r="B129" i="17"/>
  <c r="M128" i="17"/>
  <c r="L128" i="17"/>
  <c r="K128" i="17"/>
  <c r="J128" i="17"/>
  <c r="I128" i="17"/>
  <c r="F128" i="17"/>
  <c r="E128" i="17"/>
  <c r="D128" i="17"/>
  <c r="C128" i="17"/>
  <c r="B128" i="17"/>
  <c r="M127" i="17"/>
  <c r="L127" i="17"/>
  <c r="K127" i="17"/>
  <c r="J127" i="17"/>
  <c r="I127" i="17"/>
  <c r="F127" i="17"/>
  <c r="E127" i="17"/>
  <c r="D127" i="17"/>
  <c r="C127" i="17"/>
  <c r="B127" i="17"/>
  <c r="M126" i="17"/>
  <c r="L126" i="17"/>
  <c r="K126" i="17"/>
  <c r="J126" i="17"/>
  <c r="I126" i="17"/>
  <c r="F126" i="17"/>
  <c r="E126" i="17"/>
  <c r="D126" i="17"/>
  <c r="C126" i="17"/>
  <c r="B126" i="17"/>
  <c r="M125" i="17"/>
  <c r="L125" i="17"/>
  <c r="K125" i="17"/>
  <c r="J125" i="17"/>
  <c r="I125" i="17"/>
  <c r="F125" i="17"/>
  <c r="E125" i="17"/>
  <c r="D125" i="17"/>
  <c r="C125" i="17"/>
  <c r="B125" i="17"/>
  <c r="G125" i="17" s="1"/>
  <c r="M124" i="17"/>
  <c r="L124" i="17"/>
  <c r="K124" i="17"/>
  <c r="J124" i="17"/>
  <c r="I124" i="17"/>
  <c r="F124" i="17"/>
  <c r="E124" i="17"/>
  <c r="D124" i="17"/>
  <c r="C124" i="17"/>
  <c r="B124" i="17"/>
  <c r="G124" i="17" s="1"/>
  <c r="M123" i="17"/>
  <c r="L123" i="17"/>
  <c r="K123" i="17"/>
  <c r="J123" i="17"/>
  <c r="I123" i="17"/>
  <c r="F123" i="17"/>
  <c r="E123" i="17"/>
  <c r="D123" i="17"/>
  <c r="C123" i="17"/>
  <c r="B123" i="17"/>
  <c r="M122" i="17"/>
  <c r="L122" i="17"/>
  <c r="K122" i="17"/>
  <c r="J122" i="17"/>
  <c r="I122" i="17"/>
  <c r="F122" i="17"/>
  <c r="E122" i="17"/>
  <c r="D122" i="17"/>
  <c r="C122" i="17"/>
  <c r="B122" i="17"/>
  <c r="M121" i="17"/>
  <c r="L121" i="17"/>
  <c r="K121" i="17"/>
  <c r="J121" i="17"/>
  <c r="I121" i="17"/>
  <c r="F121" i="17"/>
  <c r="E121" i="17"/>
  <c r="D121" i="17"/>
  <c r="C121" i="17"/>
  <c r="B121" i="17"/>
  <c r="M120" i="17"/>
  <c r="L120" i="17"/>
  <c r="K120" i="17"/>
  <c r="J120" i="17"/>
  <c r="I120" i="17"/>
  <c r="F120" i="17"/>
  <c r="E120" i="17"/>
  <c r="D120" i="17"/>
  <c r="C120" i="17"/>
  <c r="B120" i="17"/>
  <c r="M119" i="17"/>
  <c r="L119" i="17"/>
  <c r="K119" i="17"/>
  <c r="J119" i="17"/>
  <c r="F119" i="17"/>
  <c r="E119" i="17"/>
  <c r="D119" i="17"/>
  <c r="M118" i="17"/>
  <c r="L118" i="17"/>
  <c r="F118" i="17"/>
  <c r="E118" i="17"/>
  <c r="C118" i="17"/>
  <c r="M117" i="17"/>
  <c r="L117" i="17"/>
  <c r="I117" i="17"/>
  <c r="F117" i="17"/>
  <c r="E117" i="17"/>
  <c r="B117" i="17"/>
  <c r="M116" i="17"/>
  <c r="L116" i="17"/>
  <c r="K116" i="17"/>
  <c r="J116" i="17"/>
  <c r="I116" i="17"/>
  <c r="F116" i="17"/>
  <c r="E116" i="17"/>
  <c r="D116" i="17"/>
  <c r="C116" i="17"/>
  <c r="B116" i="17"/>
  <c r="L115" i="17"/>
  <c r="J115" i="17"/>
  <c r="I115" i="17"/>
  <c r="E115" i="17"/>
  <c r="C115" i="17"/>
  <c r="B115" i="17"/>
  <c r="G115" i="17" s="1"/>
  <c r="M114" i="17"/>
  <c r="L114" i="17"/>
  <c r="I114" i="17"/>
  <c r="F114" i="17"/>
  <c r="E114" i="17"/>
  <c r="C114" i="17"/>
  <c r="B114" i="17"/>
  <c r="L113" i="17"/>
  <c r="I113" i="17"/>
  <c r="E113" i="17"/>
  <c r="L112" i="17"/>
  <c r="I112" i="17"/>
  <c r="E112" i="17"/>
  <c r="D112" i="17"/>
  <c r="C112" i="17"/>
  <c r="M111" i="17"/>
  <c r="L111" i="17"/>
  <c r="K111" i="17"/>
  <c r="J111" i="17"/>
  <c r="I111" i="17"/>
  <c r="F111" i="17"/>
  <c r="E111" i="17"/>
  <c r="D111" i="17"/>
  <c r="C111" i="17"/>
  <c r="B111" i="17"/>
  <c r="M110" i="17"/>
  <c r="L110" i="17"/>
  <c r="K110" i="17"/>
  <c r="J110" i="17"/>
  <c r="I110" i="17"/>
  <c r="F110" i="17"/>
  <c r="E110" i="17"/>
  <c r="D110" i="17"/>
  <c r="C110" i="17"/>
  <c r="B110" i="17"/>
  <c r="M109" i="17"/>
  <c r="L109" i="17"/>
  <c r="K109" i="17"/>
  <c r="I109" i="17"/>
  <c r="N109" i="17" s="1"/>
  <c r="F109" i="17"/>
  <c r="E109" i="17"/>
  <c r="D109" i="17"/>
  <c r="B109" i="17"/>
  <c r="M108" i="17"/>
  <c r="K108" i="17"/>
  <c r="I108" i="17"/>
  <c r="N108" i="17" s="1"/>
  <c r="F108" i="17"/>
  <c r="E108" i="17"/>
  <c r="D108" i="17"/>
  <c r="B108" i="17"/>
  <c r="M107" i="17"/>
  <c r="K107" i="17"/>
  <c r="I107" i="17"/>
  <c r="F107" i="17"/>
  <c r="D107" i="17"/>
  <c r="B107" i="17"/>
  <c r="M106" i="17"/>
  <c r="L106" i="17"/>
  <c r="K106" i="17"/>
  <c r="J106" i="17"/>
  <c r="I106" i="17"/>
  <c r="F106" i="17"/>
  <c r="E106" i="17"/>
  <c r="D106" i="17"/>
  <c r="C106" i="17"/>
  <c r="B106" i="17"/>
  <c r="G106" i="17" s="1"/>
  <c r="C105" i="17"/>
  <c r="M104" i="17"/>
  <c r="J104" i="17"/>
  <c r="F104" i="17"/>
  <c r="M103" i="17"/>
  <c r="F103" i="17"/>
  <c r="M102" i="17"/>
  <c r="L102" i="17"/>
  <c r="F102" i="17"/>
  <c r="E102" i="17"/>
  <c r="M101" i="17"/>
  <c r="L101" i="17"/>
  <c r="K101" i="17"/>
  <c r="J101" i="17"/>
  <c r="I101" i="17"/>
  <c r="F101" i="17"/>
  <c r="E101" i="17"/>
  <c r="D101" i="17"/>
  <c r="C101" i="17"/>
  <c r="B101" i="17"/>
  <c r="G101" i="17" s="1"/>
  <c r="M100" i="17"/>
  <c r="L100" i="17"/>
  <c r="K100" i="17"/>
  <c r="J100" i="17"/>
  <c r="I100" i="17"/>
  <c r="F100" i="17"/>
  <c r="E100" i="17"/>
  <c r="D100" i="17"/>
  <c r="C100" i="17"/>
  <c r="B100" i="17"/>
  <c r="G100" i="17" s="1"/>
  <c r="M99" i="17"/>
  <c r="L99" i="17"/>
  <c r="J99" i="17"/>
  <c r="I99" i="17"/>
  <c r="F99" i="17"/>
  <c r="E99" i="17"/>
  <c r="C99" i="17"/>
  <c r="B99" i="17"/>
  <c r="M98" i="17"/>
  <c r="L98" i="17"/>
  <c r="J98" i="17"/>
  <c r="E98" i="17"/>
  <c r="C98" i="17"/>
  <c r="K97" i="17"/>
  <c r="J97" i="17"/>
  <c r="I97" i="17"/>
  <c r="D97" i="17"/>
  <c r="C97" i="17"/>
  <c r="B97" i="17"/>
  <c r="M96" i="17"/>
  <c r="L96" i="17"/>
  <c r="K96" i="17"/>
  <c r="J96" i="17"/>
  <c r="I96" i="17"/>
  <c r="F96" i="17"/>
  <c r="E96" i="17"/>
  <c r="D96" i="17"/>
  <c r="C96" i="17"/>
  <c r="B96" i="17"/>
  <c r="L95" i="17"/>
  <c r="J95" i="17"/>
  <c r="I95" i="17"/>
  <c r="E95" i="17"/>
  <c r="C95" i="17"/>
  <c r="B95" i="17"/>
  <c r="L94" i="17"/>
  <c r="K94" i="17"/>
  <c r="J94" i="17"/>
  <c r="E94" i="17"/>
  <c r="D94" i="17"/>
  <c r="C94" i="17"/>
  <c r="M93" i="17"/>
  <c r="L93" i="17"/>
  <c r="K93" i="17"/>
  <c r="J93" i="17"/>
  <c r="E93" i="17"/>
  <c r="C93" i="17"/>
  <c r="B93" i="17"/>
  <c r="M92" i="17"/>
  <c r="L92" i="17"/>
  <c r="K92" i="17"/>
  <c r="I92" i="17"/>
  <c r="F92" i="17"/>
  <c r="E92" i="17"/>
  <c r="D92" i="17"/>
  <c r="M91" i="17"/>
  <c r="L91" i="17"/>
  <c r="K91" i="17"/>
  <c r="J91" i="17"/>
  <c r="I91" i="17"/>
  <c r="F91" i="17"/>
  <c r="E91" i="17"/>
  <c r="D91" i="17"/>
  <c r="C91" i="17"/>
  <c r="B91" i="17"/>
  <c r="M90" i="17"/>
  <c r="L90" i="17"/>
  <c r="K90" i="17"/>
  <c r="J90" i="17"/>
  <c r="I90" i="17"/>
  <c r="F90" i="17"/>
  <c r="E90" i="17"/>
  <c r="D90" i="17"/>
  <c r="C90" i="17"/>
  <c r="B90" i="17"/>
  <c r="M89" i="17"/>
  <c r="J89" i="17"/>
  <c r="F89" i="17"/>
  <c r="C89" i="17"/>
  <c r="M88" i="17"/>
  <c r="J88" i="17"/>
  <c r="F88" i="17"/>
  <c r="D88" i="17"/>
  <c r="M87" i="17"/>
  <c r="L87" i="17"/>
  <c r="J87" i="17"/>
  <c r="F87" i="17"/>
  <c r="E87" i="17"/>
  <c r="C87" i="17"/>
  <c r="M86" i="17"/>
  <c r="L86" i="17"/>
  <c r="K86" i="17"/>
  <c r="J86" i="17"/>
  <c r="I86" i="17"/>
  <c r="F86" i="17"/>
  <c r="E86" i="17"/>
  <c r="D86" i="17"/>
  <c r="C86" i="17"/>
  <c r="B86" i="17"/>
  <c r="M85" i="17"/>
  <c r="L85" i="17"/>
  <c r="K85" i="17"/>
  <c r="J85" i="17"/>
  <c r="I85" i="17"/>
  <c r="F85" i="17"/>
  <c r="E85" i="17"/>
  <c r="D85" i="17"/>
  <c r="C85" i="17"/>
  <c r="M84" i="17"/>
  <c r="L84" i="17"/>
  <c r="J84" i="17"/>
  <c r="I84" i="17"/>
  <c r="F84" i="17"/>
  <c r="E84" i="17"/>
  <c r="M83" i="17"/>
  <c r="L83" i="17"/>
  <c r="K83" i="17"/>
  <c r="J83" i="17"/>
  <c r="I83" i="17"/>
  <c r="F83" i="17"/>
  <c r="E83" i="17"/>
  <c r="D83" i="17"/>
  <c r="C83" i="17"/>
  <c r="M82" i="17"/>
  <c r="L82" i="17"/>
  <c r="F82" i="17"/>
  <c r="E82" i="17"/>
  <c r="M81" i="17"/>
  <c r="L81" i="17"/>
  <c r="K81" i="17"/>
  <c r="J81" i="17"/>
  <c r="I81" i="17"/>
  <c r="F81" i="17"/>
  <c r="E81" i="17"/>
  <c r="D81" i="17"/>
  <c r="C81" i="17"/>
  <c r="B81" i="17"/>
  <c r="M80" i="17"/>
  <c r="L80" i="17"/>
  <c r="K80" i="17"/>
  <c r="J80" i="17"/>
  <c r="I80" i="17"/>
  <c r="F80" i="17"/>
  <c r="E80" i="17"/>
  <c r="D80" i="17"/>
  <c r="C80" i="17"/>
  <c r="B80" i="17"/>
  <c r="M79" i="17"/>
  <c r="L79" i="17"/>
  <c r="K79" i="17"/>
  <c r="I79" i="17"/>
  <c r="F79" i="17"/>
  <c r="E79" i="17"/>
  <c r="D79" i="17"/>
  <c r="B79" i="17"/>
  <c r="G79" i="17" s="1"/>
  <c r="M78" i="17"/>
  <c r="L78" i="17"/>
  <c r="J78" i="17"/>
  <c r="F78" i="17"/>
  <c r="E78" i="17"/>
  <c r="C78" i="17"/>
  <c r="M77" i="17"/>
  <c r="K77" i="17"/>
  <c r="J77" i="17"/>
  <c r="F77" i="17"/>
  <c r="E77" i="17"/>
  <c r="D77" i="17"/>
  <c r="M76" i="17"/>
  <c r="L76" i="17"/>
  <c r="K76" i="17"/>
  <c r="J76" i="17"/>
  <c r="I76" i="17"/>
  <c r="F76" i="17"/>
  <c r="E76" i="17"/>
  <c r="D76" i="17"/>
  <c r="C76" i="17"/>
  <c r="B76" i="17"/>
  <c r="G76" i="17" s="1"/>
  <c r="J75" i="17"/>
  <c r="E75" i="17"/>
  <c r="D75" i="17"/>
  <c r="J74" i="17"/>
  <c r="L73" i="17"/>
  <c r="J73" i="17"/>
  <c r="I73" i="17"/>
  <c r="N73" i="17" s="1"/>
  <c r="E73" i="17"/>
  <c r="C73" i="17"/>
  <c r="B73" i="17"/>
  <c r="J72" i="17"/>
  <c r="I72" i="17"/>
  <c r="C72" i="17"/>
  <c r="B72" i="17"/>
  <c r="M71" i="17"/>
  <c r="L71" i="17"/>
  <c r="K71" i="17"/>
  <c r="J71" i="17"/>
  <c r="I71" i="17"/>
  <c r="F71" i="17"/>
  <c r="E71" i="17"/>
  <c r="D71" i="17"/>
  <c r="C71" i="17"/>
  <c r="B71" i="17"/>
  <c r="G71" i="17" s="1"/>
  <c r="M70" i="17"/>
  <c r="L70" i="17"/>
  <c r="K70" i="17"/>
  <c r="J70" i="17"/>
  <c r="I70" i="17"/>
  <c r="F70" i="17"/>
  <c r="E70" i="17"/>
  <c r="D70" i="17"/>
  <c r="C70" i="17"/>
  <c r="B70" i="17"/>
  <c r="G70" i="17" s="1"/>
  <c r="M69" i="17"/>
  <c r="L69" i="17"/>
  <c r="K69" i="17"/>
  <c r="J69" i="17"/>
  <c r="I69" i="17"/>
  <c r="N69" i="17" s="1"/>
  <c r="F69" i="17"/>
  <c r="E69" i="17"/>
  <c r="C69" i="17"/>
  <c r="M68" i="17"/>
  <c r="K68" i="17"/>
  <c r="I68" i="17"/>
  <c r="F68" i="17"/>
  <c r="D68" i="17"/>
  <c r="B68" i="17"/>
  <c r="G68" i="17" s="1"/>
  <c r="M67" i="17"/>
  <c r="L67" i="17"/>
  <c r="I67" i="17"/>
  <c r="E67" i="17"/>
  <c r="B67" i="17"/>
  <c r="M66" i="17"/>
  <c r="L66" i="17"/>
  <c r="K66" i="17"/>
  <c r="J66" i="17"/>
  <c r="I66" i="17"/>
  <c r="F66" i="17"/>
  <c r="E66" i="17"/>
  <c r="D66" i="17"/>
  <c r="C66" i="17"/>
  <c r="B66" i="17"/>
  <c r="M65" i="17"/>
  <c r="K65" i="17"/>
  <c r="J65" i="17"/>
  <c r="F65" i="17"/>
  <c r="B65" i="17"/>
  <c r="L64" i="17"/>
  <c r="E64" i="17"/>
  <c r="M63" i="17"/>
  <c r="K63" i="17"/>
  <c r="J63" i="17"/>
  <c r="F63" i="17"/>
  <c r="D63" i="17"/>
  <c r="C63" i="17"/>
  <c r="M62" i="17"/>
  <c r="K62" i="17"/>
  <c r="D62" i="17"/>
  <c r="B62" i="17"/>
  <c r="M61" i="17"/>
  <c r="L61" i="17"/>
  <c r="K61" i="17"/>
  <c r="J61" i="17"/>
  <c r="I61" i="17"/>
  <c r="F61" i="17"/>
  <c r="E61" i="17"/>
  <c r="D61" i="17"/>
  <c r="C61" i="17"/>
  <c r="B61" i="17"/>
  <c r="M60" i="17"/>
  <c r="L60" i="17"/>
  <c r="K60" i="17"/>
  <c r="J60" i="17"/>
  <c r="I60" i="17"/>
  <c r="F60" i="17"/>
  <c r="E60" i="17"/>
  <c r="D60" i="17"/>
  <c r="C60" i="17"/>
  <c r="B60" i="17"/>
  <c r="M59" i="17"/>
  <c r="K59" i="17"/>
  <c r="F59" i="17"/>
  <c r="D59" i="17"/>
  <c r="L58" i="17"/>
  <c r="J58" i="17"/>
  <c r="I58" i="17"/>
  <c r="F58" i="17"/>
  <c r="E58" i="17"/>
  <c r="D58" i="17"/>
  <c r="C58" i="17"/>
  <c r="B58" i="17"/>
  <c r="G58" i="17" s="1"/>
  <c r="M57" i="17"/>
  <c r="L57" i="17"/>
  <c r="J57" i="17"/>
  <c r="I57" i="17"/>
  <c r="F57" i="17"/>
  <c r="C57" i="17"/>
  <c r="B57" i="17"/>
  <c r="M56" i="17"/>
  <c r="L56" i="17"/>
  <c r="K56" i="17"/>
  <c r="J56" i="17"/>
  <c r="I56" i="17"/>
  <c r="F56" i="17"/>
  <c r="E56" i="17"/>
  <c r="D56" i="17"/>
  <c r="C56" i="17"/>
  <c r="B56" i="17"/>
  <c r="L55" i="17"/>
  <c r="E55" i="17"/>
  <c r="C55" i="17"/>
  <c r="B55" i="17"/>
  <c r="M54" i="17"/>
  <c r="J54" i="17"/>
  <c r="I54" i="17"/>
  <c r="F54" i="17"/>
  <c r="C54" i="17"/>
  <c r="B54" i="17"/>
  <c r="L53" i="17"/>
  <c r="K53" i="17"/>
  <c r="F53" i="17"/>
  <c r="E53" i="17"/>
  <c r="D53" i="17"/>
  <c r="L52" i="17"/>
  <c r="K52" i="17"/>
  <c r="I52" i="17"/>
  <c r="E52" i="17"/>
  <c r="D52" i="17"/>
  <c r="B52" i="17"/>
  <c r="M51" i="17"/>
  <c r="L51" i="17"/>
  <c r="K51" i="17"/>
  <c r="J51" i="17"/>
  <c r="I51" i="17"/>
  <c r="F51" i="17"/>
  <c r="E51" i="17"/>
  <c r="D51" i="17"/>
  <c r="C51" i="17"/>
  <c r="B51" i="17"/>
  <c r="M50" i="17"/>
  <c r="L50" i="17"/>
  <c r="K50" i="17"/>
  <c r="J50" i="17"/>
  <c r="I50" i="17"/>
  <c r="F50" i="17"/>
  <c r="E50" i="17"/>
  <c r="D50" i="17"/>
  <c r="C50" i="17"/>
  <c r="B50" i="17"/>
  <c r="M49" i="17"/>
  <c r="L49" i="17"/>
  <c r="I49" i="17"/>
  <c r="E49" i="17"/>
  <c r="B49" i="17"/>
  <c r="M48" i="17"/>
  <c r="L48" i="17"/>
  <c r="K48" i="17"/>
  <c r="J48" i="17"/>
  <c r="N48" i="17" s="1"/>
  <c r="I48" i="17"/>
  <c r="F48" i="17"/>
  <c r="D48" i="17"/>
  <c r="C48" i="17"/>
  <c r="B48" i="17"/>
  <c r="G48" i="17" s="1"/>
  <c r="K47" i="17"/>
  <c r="J47" i="17"/>
  <c r="D47" i="17"/>
  <c r="C47" i="17"/>
  <c r="M46" i="17"/>
  <c r="L46" i="17"/>
  <c r="K46" i="17"/>
  <c r="J46" i="17"/>
  <c r="I46" i="17"/>
  <c r="F46" i="17"/>
  <c r="E46" i="17"/>
  <c r="D46" i="17"/>
  <c r="C46" i="17"/>
  <c r="B46" i="17"/>
  <c r="G46" i="17" s="1"/>
  <c r="M45" i="17"/>
  <c r="L45" i="17"/>
  <c r="K45" i="17"/>
  <c r="I45" i="17"/>
  <c r="F45" i="17"/>
  <c r="E45" i="17"/>
  <c r="D45" i="17"/>
  <c r="B45" i="17"/>
  <c r="K44" i="17"/>
  <c r="J44" i="17"/>
  <c r="D44" i="17"/>
  <c r="C44" i="17"/>
  <c r="B44" i="17"/>
  <c r="M43" i="17"/>
  <c r="L43" i="17"/>
  <c r="K43" i="17"/>
  <c r="F43" i="17"/>
  <c r="E43" i="17"/>
  <c r="D43" i="17"/>
  <c r="B43" i="17"/>
  <c r="M42" i="17"/>
  <c r="L42" i="17"/>
  <c r="J42" i="17"/>
  <c r="F42" i="17"/>
  <c r="E42" i="17"/>
  <c r="C42" i="17"/>
  <c r="M41" i="17"/>
  <c r="L41" i="17"/>
  <c r="K41" i="17"/>
  <c r="J41" i="17"/>
  <c r="I41" i="17"/>
  <c r="F41" i="17"/>
  <c r="E41" i="17"/>
  <c r="D41" i="17"/>
  <c r="C41" i="17"/>
  <c r="B41" i="17"/>
  <c r="G41" i="17" s="1"/>
  <c r="M40" i="17"/>
  <c r="L40" i="17"/>
  <c r="K40" i="17"/>
  <c r="J40" i="17"/>
  <c r="I40" i="17"/>
  <c r="F40" i="17"/>
  <c r="E40" i="17"/>
  <c r="D40" i="17"/>
  <c r="C40" i="17"/>
  <c r="B40" i="17"/>
  <c r="G40" i="17" s="1"/>
  <c r="L39" i="17"/>
  <c r="K39" i="17"/>
  <c r="L38" i="17"/>
  <c r="J38" i="17"/>
  <c r="I38" i="17"/>
  <c r="N38" i="17" s="1"/>
  <c r="F37" i="17"/>
  <c r="E37" i="17"/>
  <c r="M36" i="17"/>
  <c r="L36" i="17"/>
  <c r="K36" i="17"/>
  <c r="J36" i="17"/>
  <c r="I36" i="17"/>
  <c r="F36" i="17"/>
  <c r="E36" i="17"/>
  <c r="D36" i="17"/>
  <c r="C36" i="17"/>
  <c r="B36" i="17"/>
  <c r="E34" i="17"/>
  <c r="M33" i="17"/>
  <c r="L33" i="17"/>
  <c r="M31" i="17"/>
  <c r="L31" i="17"/>
  <c r="K31" i="17"/>
  <c r="J31" i="17"/>
  <c r="I31" i="17"/>
  <c r="F31" i="17"/>
  <c r="E31" i="17"/>
  <c r="D31" i="17"/>
  <c r="C31" i="17"/>
  <c r="B31" i="17"/>
  <c r="M30" i="17"/>
  <c r="L30" i="17"/>
  <c r="K30" i="17"/>
  <c r="J30" i="17"/>
  <c r="I30" i="17"/>
  <c r="F30" i="17"/>
  <c r="E30" i="17"/>
  <c r="D30" i="17"/>
  <c r="C30" i="17"/>
  <c r="B30" i="17"/>
  <c r="C28" i="17"/>
  <c r="M26" i="17"/>
  <c r="L26" i="17"/>
  <c r="K26" i="17"/>
  <c r="J26" i="17"/>
  <c r="I26" i="17"/>
  <c r="F26" i="17"/>
  <c r="E26" i="17"/>
  <c r="D26" i="17"/>
  <c r="C26" i="17"/>
  <c r="B26" i="17"/>
  <c r="I25" i="17"/>
  <c r="F25" i="17"/>
  <c r="E23" i="17"/>
  <c r="M21" i="17"/>
  <c r="L21" i="17"/>
  <c r="K21" i="17"/>
  <c r="J21" i="17"/>
  <c r="I21" i="17"/>
  <c r="F21" i="17"/>
  <c r="E21" i="17"/>
  <c r="D21" i="17"/>
  <c r="C21" i="17"/>
  <c r="B21" i="17"/>
  <c r="M20" i="17"/>
  <c r="L20" i="17"/>
  <c r="K20" i="17"/>
  <c r="J20" i="17"/>
  <c r="I20" i="17"/>
  <c r="F20" i="17"/>
  <c r="E20" i="17"/>
  <c r="D20" i="17"/>
  <c r="C20" i="17"/>
  <c r="B20" i="17"/>
  <c r="I19" i="17"/>
  <c r="N19" i="17" s="1"/>
  <c r="F19" i="17"/>
  <c r="I18" i="17"/>
  <c r="N18" i="17" s="1"/>
  <c r="E18" i="17"/>
  <c r="D18" i="17"/>
  <c r="C17" i="17"/>
  <c r="B17" i="17"/>
  <c r="G17" i="17" s="1"/>
  <c r="M16" i="17"/>
  <c r="L16" i="17"/>
  <c r="K16" i="17"/>
  <c r="J16" i="17"/>
  <c r="I16" i="17"/>
  <c r="F16" i="17"/>
  <c r="E16" i="17"/>
  <c r="D16" i="17"/>
  <c r="C16" i="17"/>
  <c r="B16" i="17"/>
  <c r="G16" i="17" s="1"/>
  <c r="J14" i="17"/>
  <c r="F13" i="17"/>
  <c r="E12" i="17"/>
  <c r="M11" i="17"/>
  <c r="L11" i="17"/>
  <c r="K11" i="17"/>
  <c r="J11" i="17"/>
  <c r="I11" i="17"/>
  <c r="F11" i="17"/>
  <c r="E11" i="17"/>
  <c r="D11" i="17"/>
  <c r="C11" i="17"/>
  <c r="B11" i="17"/>
  <c r="G11" i="17" s="1"/>
  <c r="M10" i="17"/>
  <c r="L10" i="17"/>
  <c r="K10" i="17"/>
  <c r="J10" i="17"/>
  <c r="I10" i="17"/>
  <c r="F10" i="17"/>
  <c r="E10" i="17"/>
  <c r="D10" i="17"/>
  <c r="C10" i="17"/>
  <c r="B10" i="17"/>
  <c r="G10" i="17" s="1"/>
  <c r="M9" i="17"/>
  <c r="L9" i="17"/>
  <c r="M8" i="17"/>
  <c r="K8" i="17"/>
  <c r="J8" i="17"/>
  <c r="K7" i="17"/>
  <c r="I7" i="17"/>
  <c r="M6" i="17"/>
  <c r="L6" i="17"/>
  <c r="K6" i="17"/>
  <c r="J6" i="17"/>
  <c r="I6" i="17"/>
  <c r="F6" i="17"/>
  <c r="E6" i="17"/>
  <c r="D6" i="17"/>
  <c r="C6" i="17"/>
  <c r="B6" i="17"/>
  <c r="L4" i="17"/>
  <c r="E4" i="17"/>
  <c r="N286" i="17"/>
  <c r="N285" i="17"/>
  <c r="G285" i="17"/>
  <c r="N284" i="17"/>
  <c r="G284" i="17"/>
  <c r="N283" i="17"/>
  <c r="G283" i="17"/>
  <c r="N282" i="17"/>
  <c r="G282" i="17"/>
  <c r="N281" i="17"/>
  <c r="N280" i="17"/>
  <c r="N279" i="17"/>
  <c r="G279" i="17"/>
  <c r="N278" i="17"/>
  <c r="G278" i="17"/>
  <c r="N277" i="17"/>
  <c r="G277" i="17"/>
  <c r="N276" i="17"/>
  <c r="G276" i="17"/>
  <c r="N275" i="17"/>
  <c r="N274" i="17"/>
  <c r="N273" i="17"/>
  <c r="G273" i="17"/>
  <c r="N272" i="17"/>
  <c r="G272" i="17"/>
  <c r="N271" i="17"/>
  <c r="G271" i="17"/>
  <c r="N270" i="17"/>
  <c r="G270" i="17"/>
  <c r="N269" i="17"/>
  <c r="N268" i="17"/>
  <c r="N267" i="17"/>
  <c r="G267" i="17"/>
  <c r="N266" i="17"/>
  <c r="G266" i="17"/>
  <c r="N265" i="17"/>
  <c r="G265" i="17"/>
  <c r="N264" i="17"/>
  <c r="G264" i="17"/>
  <c r="N263" i="17"/>
  <c r="N262" i="17"/>
  <c r="N261" i="17"/>
  <c r="G261" i="17"/>
  <c r="N260" i="17"/>
  <c r="G260" i="17"/>
  <c r="N259" i="17"/>
  <c r="G259" i="17"/>
  <c r="N258" i="17"/>
  <c r="G258" i="17"/>
  <c r="N257" i="17"/>
  <c r="N256" i="17"/>
  <c r="N255" i="17"/>
  <c r="G255" i="17"/>
  <c r="N254" i="17"/>
  <c r="G254" i="17"/>
  <c r="N253" i="17"/>
  <c r="G253" i="17"/>
  <c r="N252" i="17"/>
  <c r="G252" i="17"/>
  <c r="N251" i="17"/>
  <c r="N250" i="17"/>
  <c r="N249" i="17"/>
  <c r="G249" i="17"/>
  <c r="N248" i="17"/>
  <c r="G248" i="17"/>
  <c r="N247" i="17"/>
  <c r="G247" i="17"/>
  <c r="N246" i="17"/>
  <c r="G246" i="17"/>
  <c r="N245" i="17"/>
  <c r="N244" i="17"/>
  <c r="N243" i="17"/>
  <c r="G243" i="17"/>
  <c r="N242" i="17"/>
  <c r="G242" i="17"/>
  <c r="N241" i="17"/>
  <c r="G241" i="17"/>
  <c r="N240" i="17"/>
  <c r="G240" i="17"/>
  <c r="N239" i="17"/>
  <c r="N238" i="17"/>
  <c r="N237" i="17"/>
  <c r="G237" i="17"/>
  <c r="N236" i="17"/>
  <c r="G236" i="17"/>
  <c r="N235" i="17"/>
  <c r="G235" i="17"/>
  <c r="N234" i="17"/>
  <c r="G234" i="17"/>
  <c r="N233" i="17"/>
  <c r="N232" i="17"/>
  <c r="N231" i="17"/>
  <c r="G231" i="17"/>
  <c r="N230" i="17"/>
  <c r="G230" i="17"/>
  <c r="N229" i="17"/>
  <c r="G229" i="17"/>
  <c r="N228" i="17"/>
  <c r="G228" i="17"/>
  <c r="N227" i="17"/>
  <c r="N226" i="17"/>
  <c r="N225" i="17"/>
  <c r="G225" i="17"/>
  <c r="N224" i="17"/>
  <c r="G224" i="17"/>
  <c r="N223" i="17"/>
  <c r="G223" i="17"/>
  <c r="N222" i="17"/>
  <c r="G222" i="17"/>
  <c r="N221" i="17"/>
  <c r="N220" i="17"/>
  <c r="N219" i="17"/>
  <c r="G219" i="17"/>
  <c r="N218" i="17"/>
  <c r="G218" i="17"/>
  <c r="N217" i="17"/>
  <c r="G217" i="17"/>
  <c r="N216" i="17"/>
  <c r="G216" i="17"/>
  <c r="N215" i="17"/>
  <c r="N214" i="17"/>
  <c r="N213" i="17"/>
  <c r="G213" i="17"/>
  <c r="N212" i="17"/>
  <c r="G212" i="17"/>
  <c r="N211" i="17"/>
  <c r="G211" i="17"/>
  <c r="N210" i="17"/>
  <c r="G210" i="17"/>
  <c r="N209" i="17"/>
  <c r="N208" i="17"/>
  <c r="N207" i="17"/>
  <c r="G207" i="17"/>
  <c r="N206" i="17"/>
  <c r="G206" i="17"/>
  <c r="N205" i="17"/>
  <c r="G205" i="17"/>
  <c r="N204" i="17"/>
  <c r="G204" i="17"/>
  <c r="N203" i="17"/>
  <c r="N202" i="17"/>
  <c r="N201" i="17"/>
  <c r="G201" i="17"/>
  <c r="N200" i="17"/>
  <c r="G200" i="17"/>
  <c r="N199" i="17"/>
  <c r="G199" i="17"/>
  <c r="N198" i="17"/>
  <c r="G198" i="17"/>
  <c r="N197" i="17"/>
  <c r="N196" i="17"/>
  <c r="N195" i="17"/>
  <c r="G195" i="17"/>
  <c r="N194" i="17"/>
  <c r="G194" i="17"/>
  <c r="N193" i="17"/>
  <c r="G193" i="17"/>
  <c r="N192" i="17"/>
  <c r="G192" i="17"/>
  <c r="N191" i="17"/>
  <c r="N190" i="17"/>
  <c r="N189" i="17"/>
  <c r="G189" i="17"/>
  <c r="N188" i="17"/>
  <c r="G188" i="17"/>
  <c r="N187" i="17"/>
  <c r="G187" i="17"/>
  <c r="N186" i="17"/>
  <c r="G186" i="17"/>
  <c r="N185" i="17"/>
  <c r="N184" i="17"/>
  <c r="N183" i="17"/>
  <c r="G183" i="17"/>
  <c r="N182" i="17"/>
  <c r="G182" i="17"/>
  <c r="N181" i="17"/>
  <c r="G181" i="17"/>
  <c r="N180" i="17"/>
  <c r="G180" i="17"/>
  <c r="N179" i="17"/>
  <c r="N178" i="17"/>
  <c r="N177" i="17"/>
  <c r="G177" i="17"/>
  <c r="N176" i="17"/>
  <c r="G176" i="17"/>
  <c r="N175" i="17"/>
  <c r="G175" i="17"/>
  <c r="N174" i="17"/>
  <c r="G174" i="17"/>
  <c r="N173" i="17"/>
  <c r="N172" i="17"/>
  <c r="N171" i="17"/>
  <c r="G171" i="17"/>
  <c r="N170" i="17"/>
  <c r="G170" i="17"/>
  <c r="N169" i="17"/>
  <c r="G169" i="17"/>
  <c r="N168" i="17"/>
  <c r="G168" i="17"/>
  <c r="N167" i="17"/>
  <c r="N166" i="17"/>
  <c r="N165" i="17"/>
  <c r="G165" i="17"/>
  <c r="N164" i="17"/>
  <c r="G164" i="17"/>
  <c r="N163" i="17"/>
  <c r="G163" i="17"/>
  <c r="N162" i="17"/>
  <c r="G162" i="17"/>
  <c r="N161" i="17"/>
  <c r="N160" i="17"/>
  <c r="N159" i="17"/>
  <c r="G159" i="17"/>
  <c r="N158" i="17"/>
  <c r="G158" i="17"/>
  <c r="N157" i="17"/>
  <c r="G157" i="17"/>
  <c r="N156" i="17"/>
  <c r="G156" i="17"/>
  <c r="N155" i="17"/>
  <c r="N154" i="17"/>
  <c r="N153" i="17"/>
  <c r="G153" i="17"/>
  <c r="N152" i="17"/>
  <c r="G152" i="17"/>
  <c r="N151" i="17"/>
  <c r="G151" i="17"/>
  <c r="N150" i="17"/>
  <c r="G150" i="17"/>
  <c r="N149" i="17"/>
  <c r="N148" i="17"/>
  <c r="N147" i="17"/>
  <c r="G147" i="17"/>
  <c r="N146" i="17"/>
  <c r="G146" i="17"/>
  <c r="N145" i="17"/>
  <c r="G145" i="17"/>
  <c r="N144" i="17"/>
  <c r="G144" i="17"/>
  <c r="N143" i="17"/>
  <c r="N142" i="17"/>
  <c r="N141" i="17"/>
  <c r="G141" i="17"/>
  <c r="N140" i="17"/>
  <c r="G140" i="17"/>
  <c r="N139" i="17"/>
  <c r="G139" i="17"/>
  <c r="N138" i="17"/>
  <c r="G138" i="17"/>
  <c r="N137" i="17"/>
  <c r="N136" i="17"/>
  <c r="N135" i="17"/>
  <c r="G135" i="17"/>
  <c r="N134" i="17"/>
  <c r="G134" i="17"/>
  <c r="N133" i="17"/>
  <c r="G133" i="17"/>
  <c r="N132" i="17"/>
  <c r="G132" i="17"/>
  <c r="N131" i="17"/>
  <c r="N130" i="17"/>
  <c r="N129" i="17"/>
  <c r="G129" i="17"/>
  <c r="N128" i="17"/>
  <c r="G128" i="17"/>
  <c r="N127" i="17"/>
  <c r="G127" i="17"/>
  <c r="N126" i="17"/>
  <c r="G126" i="17"/>
  <c r="N125" i="17"/>
  <c r="N124" i="17"/>
  <c r="N123" i="17"/>
  <c r="G123" i="17"/>
  <c r="N122" i="17"/>
  <c r="G122" i="17"/>
  <c r="N121" i="17"/>
  <c r="G121" i="17"/>
  <c r="N120" i="17"/>
  <c r="G120" i="17"/>
  <c r="N116" i="17"/>
  <c r="G116" i="17"/>
  <c r="N111" i="17"/>
  <c r="G111" i="17"/>
  <c r="N110" i="17"/>
  <c r="G110" i="17"/>
  <c r="G109" i="17"/>
  <c r="G108" i="17"/>
  <c r="N106" i="17"/>
  <c r="N101" i="17"/>
  <c r="N100" i="17"/>
  <c r="N99" i="17"/>
  <c r="G99" i="17"/>
  <c r="N96" i="17"/>
  <c r="G96" i="17"/>
  <c r="N91" i="17"/>
  <c r="G91" i="17"/>
  <c r="N90" i="17"/>
  <c r="G90" i="17"/>
  <c r="N86" i="17"/>
  <c r="G86" i="17"/>
  <c r="N81" i="17"/>
  <c r="G81" i="17"/>
  <c r="N80" i="17"/>
  <c r="G80" i="17"/>
  <c r="N79" i="17"/>
  <c r="N76" i="17"/>
  <c r="N71" i="17"/>
  <c r="N70" i="17"/>
  <c r="N68" i="17"/>
  <c r="N67" i="17"/>
  <c r="G67" i="17"/>
  <c r="N66" i="17"/>
  <c r="G66" i="17"/>
  <c r="N61" i="17"/>
  <c r="G61" i="17"/>
  <c r="N60" i="17"/>
  <c r="G60" i="17"/>
  <c r="N58" i="17"/>
  <c r="N56" i="17"/>
  <c r="G56" i="17"/>
  <c r="N51" i="17"/>
  <c r="G51" i="17"/>
  <c r="N50" i="17"/>
  <c r="G50" i="17"/>
  <c r="N49" i="17"/>
  <c r="G49" i="17"/>
  <c r="N46" i="17"/>
  <c r="N41" i="17"/>
  <c r="N40" i="17"/>
  <c r="N36" i="17"/>
  <c r="G36" i="17"/>
  <c r="N31" i="17"/>
  <c r="G31" i="17"/>
  <c r="N30" i="17"/>
  <c r="G30" i="17"/>
  <c r="N26" i="17"/>
  <c r="G26" i="17"/>
  <c r="N21" i="17"/>
  <c r="G21" i="17"/>
  <c r="N20" i="17"/>
  <c r="G20" i="17"/>
  <c r="N16" i="17"/>
  <c r="N11" i="17"/>
  <c r="N10" i="17"/>
  <c r="N7" i="17"/>
  <c r="N6" i="17"/>
  <c r="G6" i="17"/>
  <c r="J45" i="16"/>
  <c r="F39" i="17" s="1"/>
  <c r="I45" i="16"/>
  <c r="E39" i="17" s="1"/>
  <c r="H45" i="16"/>
  <c r="D39" i="17" s="1"/>
  <c r="G45" i="16"/>
  <c r="J39" i="17" s="1"/>
  <c r="F45" i="16"/>
  <c r="I39" i="17" s="1"/>
  <c r="N39" i="17" s="1"/>
  <c r="E45" i="16"/>
  <c r="C45" i="16"/>
  <c r="J44" i="16"/>
  <c r="F38" i="17" s="1"/>
  <c r="I44" i="16"/>
  <c r="E38" i="17" s="1"/>
  <c r="H44" i="16"/>
  <c r="D38" i="17" s="1"/>
  <c r="G44" i="16"/>
  <c r="C38" i="17" s="1"/>
  <c r="F44" i="16"/>
  <c r="K44" i="16" s="1"/>
  <c r="E44" i="16"/>
  <c r="C44" i="16"/>
  <c r="J43" i="16"/>
  <c r="M37" i="17" s="1"/>
  <c r="I43" i="16"/>
  <c r="L37" i="17" s="1"/>
  <c r="H43" i="16"/>
  <c r="D37" i="17" s="1"/>
  <c r="G43" i="16"/>
  <c r="C37" i="17" s="1"/>
  <c r="F43" i="16"/>
  <c r="B37" i="17" s="1"/>
  <c r="G37" i="17" s="1"/>
  <c r="E43" i="16"/>
  <c r="C43" i="16"/>
  <c r="J41" i="16"/>
  <c r="M35" i="17" s="1"/>
  <c r="I41" i="16"/>
  <c r="L35" i="17" s="1"/>
  <c r="H41" i="16"/>
  <c r="K35" i="17" s="1"/>
  <c r="G41" i="16"/>
  <c r="C35" i="17" s="1"/>
  <c r="F41" i="16"/>
  <c r="B35" i="17" s="1"/>
  <c r="J40" i="16"/>
  <c r="M34" i="17" s="1"/>
  <c r="I40" i="16"/>
  <c r="L34" i="17" s="1"/>
  <c r="H40" i="16"/>
  <c r="K34" i="17" s="1"/>
  <c r="G40" i="16"/>
  <c r="J34" i="17" s="1"/>
  <c r="F40" i="16"/>
  <c r="B34" i="17" s="1"/>
  <c r="E40" i="16"/>
  <c r="C40" i="16"/>
  <c r="J39" i="16"/>
  <c r="F33" i="17" s="1"/>
  <c r="I39" i="16"/>
  <c r="E33" i="17" s="1"/>
  <c r="H39" i="16"/>
  <c r="K33" i="17" s="1"/>
  <c r="G39" i="16"/>
  <c r="J33" i="17" s="1"/>
  <c r="F39" i="16"/>
  <c r="I33" i="17" s="1"/>
  <c r="E39" i="16"/>
  <c r="C39" i="16"/>
  <c r="J38" i="16"/>
  <c r="M32" i="17" s="1"/>
  <c r="I38" i="16"/>
  <c r="L32" i="17" s="1"/>
  <c r="H38" i="16"/>
  <c r="K32" i="17" s="1"/>
  <c r="G38" i="16"/>
  <c r="J32" i="17" s="1"/>
  <c r="F38" i="16"/>
  <c r="E38" i="16"/>
  <c r="C38" i="16"/>
  <c r="E37" i="16"/>
  <c r="C37" i="16"/>
  <c r="J35" i="16"/>
  <c r="M29" i="17" s="1"/>
  <c r="I35" i="16"/>
  <c r="L29" i="17" s="1"/>
  <c r="H35" i="16"/>
  <c r="K29" i="17" s="1"/>
  <c r="G35" i="16"/>
  <c r="J29" i="17" s="1"/>
  <c r="F35" i="16"/>
  <c r="K35" i="16" s="1"/>
  <c r="Q35" i="16" s="1"/>
  <c r="E35" i="16"/>
  <c r="C35" i="16"/>
  <c r="J34" i="16"/>
  <c r="M28" i="17" s="1"/>
  <c r="I34" i="16"/>
  <c r="L28" i="17" s="1"/>
  <c r="H34" i="16"/>
  <c r="K28" i="17" s="1"/>
  <c r="G34" i="16"/>
  <c r="J28" i="17" s="1"/>
  <c r="F34" i="16"/>
  <c r="I28" i="17" s="1"/>
  <c r="N28" i="17" s="1"/>
  <c r="E34" i="16"/>
  <c r="C34" i="16"/>
  <c r="J33" i="16"/>
  <c r="F27" i="17" s="1"/>
  <c r="I33" i="16"/>
  <c r="E27" i="17" s="1"/>
  <c r="H33" i="16"/>
  <c r="K27" i="17" s="1"/>
  <c r="G33" i="16"/>
  <c r="J27" i="17" s="1"/>
  <c r="F33" i="16"/>
  <c r="I27" i="17" s="1"/>
  <c r="E33" i="16"/>
  <c r="C33" i="16"/>
  <c r="J31" i="16"/>
  <c r="M25" i="17" s="1"/>
  <c r="I31" i="16"/>
  <c r="E25" i="17" s="1"/>
  <c r="H31" i="16"/>
  <c r="D25" i="17" s="1"/>
  <c r="G31" i="16"/>
  <c r="C25" i="17" s="1"/>
  <c r="F31" i="16"/>
  <c r="B25" i="17" s="1"/>
  <c r="J30" i="16"/>
  <c r="M24" i="17" s="1"/>
  <c r="I30" i="16"/>
  <c r="L24" i="17" s="1"/>
  <c r="H30" i="16"/>
  <c r="D24" i="17" s="1"/>
  <c r="G30" i="16"/>
  <c r="C24" i="17" s="1"/>
  <c r="F30" i="16"/>
  <c r="B24" i="17" s="1"/>
  <c r="E30" i="16"/>
  <c r="C30" i="16"/>
  <c r="J29" i="16"/>
  <c r="M23" i="17" s="1"/>
  <c r="I29" i="16"/>
  <c r="L23" i="17" s="1"/>
  <c r="H29" i="16"/>
  <c r="K23" i="17" s="1"/>
  <c r="G29" i="16"/>
  <c r="J23" i="17" s="1"/>
  <c r="F29" i="16"/>
  <c r="I23" i="17" s="1"/>
  <c r="E29" i="16"/>
  <c r="C29" i="16"/>
  <c r="J28" i="16"/>
  <c r="M22" i="17" s="1"/>
  <c r="I28" i="16"/>
  <c r="L22" i="17" s="1"/>
  <c r="H28" i="16"/>
  <c r="K22" i="17" s="1"/>
  <c r="G28" i="16"/>
  <c r="J22" i="17" s="1"/>
  <c r="F28" i="16"/>
  <c r="E28" i="16"/>
  <c r="C28" i="16"/>
  <c r="E27" i="16"/>
  <c r="C27" i="16"/>
  <c r="C36" i="16" s="1"/>
  <c r="J25" i="16"/>
  <c r="M19" i="17" s="1"/>
  <c r="I25" i="16"/>
  <c r="E19" i="17" s="1"/>
  <c r="H25" i="16"/>
  <c r="D19" i="17" s="1"/>
  <c r="G25" i="16"/>
  <c r="C19" i="17" s="1"/>
  <c r="F25" i="16"/>
  <c r="K25" i="16" s="1"/>
  <c r="Q25" i="16" s="1"/>
  <c r="E25" i="16"/>
  <c r="C25" i="16"/>
  <c r="J24" i="16"/>
  <c r="M18" i="17" s="1"/>
  <c r="I24" i="16"/>
  <c r="L18" i="17" s="1"/>
  <c r="H24" i="16"/>
  <c r="K18" i="17" s="1"/>
  <c r="G24" i="16"/>
  <c r="C18" i="17" s="1"/>
  <c r="F24" i="16"/>
  <c r="B18" i="17" s="1"/>
  <c r="G18" i="17" s="1"/>
  <c r="E24" i="16"/>
  <c r="C24" i="16"/>
  <c r="J23" i="16"/>
  <c r="M17" i="17" s="1"/>
  <c r="I23" i="16"/>
  <c r="L17" i="17" s="1"/>
  <c r="H23" i="16"/>
  <c r="K17" i="17" s="1"/>
  <c r="G23" i="16"/>
  <c r="J17" i="17" s="1"/>
  <c r="F23" i="16"/>
  <c r="K23" i="16" s="1"/>
  <c r="Q23" i="16" s="1"/>
  <c r="E23" i="16"/>
  <c r="C23" i="16"/>
  <c r="J21" i="16"/>
  <c r="F15" i="17" s="1"/>
  <c r="I21" i="16"/>
  <c r="E15" i="17" s="1"/>
  <c r="H21" i="16"/>
  <c r="K15" i="17" s="1"/>
  <c r="G21" i="16"/>
  <c r="J15" i="17" s="1"/>
  <c r="F21" i="16"/>
  <c r="I15" i="17" s="1"/>
  <c r="J20" i="16"/>
  <c r="F14" i="17" s="1"/>
  <c r="I20" i="16"/>
  <c r="E14" i="17" s="1"/>
  <c r="H20" i="16"/>
  <c r="D14" i="17" s="1"/>
  <c r="G20" i="16"/>
  <c r="C14" i="17" s="1"/>
  <c r="F20" i="16"/>
  <c r="I14" i="17" s="1"/>
  <c r="E20" i="16"/>
  <c r="C20" i="16"/>
  <c r="J19" i="16"/>
  <c r="M13" i="17" s="1"/>
  <c r="I19" i="16"/>
  <c r="E13" i="17" s="1"/>
  <c r="H19" i="16"/>
  <c r="D13" i="17" s="1"/>
  <c r="G19" i="16"/>
  <c r="C13" i="17" s="1"/>
  <c r="F19" i="16"/>
  <c r="B13" i="17" s="1"/>
  <c r="E19" i="16"/>
  <c r="C19" i="16"/>
  <c r="J18" i="16"/>
  <c r="M12" i="17" s="1"/>
  <c r="I18" i="16"/>
  <c r="L12" i="17" s="1"/>
  <c r="H18" i="16"/>
  <c r="K12" i="17" s="1"/>
  <c r="G18" i="16"/>
  <c r="C12" i="17" s="1"/>
  <c r="F18" i="16"/>
  <c r="B12" i="17" s="1"/>
  <c r="E18" i="16"/>
  <c r="C18" i="16"/>
  <c r="E17" i="16"/>
  <c r="E26" i="16" s="1"/>
  <c r="C17" i="16"/>
  <c r="J15" i="16"/>
  <c r="F9" i="17" s="1"/>
  <c r="I15" i="16"/>
  <c r="E9" i="17" s="1"/>
  <c r="H15" i="16"/>
  <c r="K9" i="17" s="1"/>
  <c r="G15" i="16"/>
  <c r="J9" i="17" s="1"/>
  <c r="F15" i="16"/>
  <c r="I9" i="17" s="1"/>
  <c r="N9" i="17" s="1"/>
  <c r="E15" i="16"/>
  <c r="C15" i="16"/>
  <c r="J14" i="16"/>
  <c r="F8" i="17" s="1"/>
  <c r="I14" i="16"/>
  <c r="E8" i="17" s="1"/>
  <c r="H14" i="16"/>
  <c r="D8" i="17" s="1"/>
  <c r="G14" i="16"/>
  <c r="C8" i="17" s="1"/>
  <c r="F14" i="16"/>
  <c r="I8" i="17" s="1"/>
  <c r="N8" i="17" s="1"/>
  <c r="E14" i="16"/>
  <c r="C14" i="16"/>
  <c r="J13" i="16"/>
  <c r="F7" i="17" s="1"/>
  <c r="I13" i="16"/>
  <c r="E7" i="17" s="1"/>
  <c r="H13" i="16"/>
  <c r="D7" i="17" s="1"/>
  <c r="G13" i="16"/>
  <c r="C7" i="17" s="1"/>
  <c r="F13" i="16"/>
  <c r="B7" i="17" s="1"/>
  <c r="G7" i="17" s="1"/>
  <c r="E13" i="16"/>
  <c r="C13" i="16"/>
  <c r="J11" i="16"/>
  <c r="M5" i="17" s="1"/>
  <c r="I11" i="16"/>
  <c r="L5" i="17" s="1"/>
  <c r="H11" i="16"/>
  <c r="D5" i="17" s="1"/>
  <c r="G11" i="16"/>
  <c r="C5" i="17" s="1"/>
  <c r="F11" i="16"/>
  <c r="I5" i="17" s="1"/>
  <c r="J10" i="16"/>
  <c r="M4" i="17" s="1"/>
  <c r="I10" i="16"/>
  <c r="H10" i="16"/>
  <c r="D4" i="17" s="1"/>
  <c r="G10" i="16"/>
  <c r="C4" i="17" s="1"/>
  <c r="F10" i="16"/>
  <c r="E10" i="16"/>
  <c r="C10" i="16"/>
  <c r="J9" i="16"/>
  <c r="F3" i="17" s="1"/>
  <c r="I9" i="16"/>
  <c r="L3" i="17" s="1"/>
  <c r="H9" i="16"/>
  <c r="K3" i="17" s="1"/>
  <c r="G9" i="16"/>
  <c r="C3" i="17" s="1"/>
  <c r="F9" i="16"/>
  <c r="B3" i="17" s="1"/>
  <c r="E9" i="16"/>
  <c r="C9" i="16"/>
  <c r="J8" i="16"/>
  <c r="M2" i="17" s="1"/>
  <c r="I8" i="16"/>
  <c r="L2" i="17" s="1"/>
  <c r="H8" i="16"/>
  <c r="K2" i="17" s="1"/>
  <c r="G8" i="16"/>
  <c r="J2" i="17" s="1"/>
  <c r="F8" i="16"/>
  <c r="E8" i="16"/>
  <c r="C8" i="16"/>
  <c r="E7" i="16"/>
  <c r="E16" i="16" s="1"/>
  <c r="C7" i="16"/>
  <c r="C16" i="16" s="1"/>
  <c r="C126" i="16"/>
  <c r="C116" i="16"/>
  <c r="Q115" i="16"/>
  <c r="E116" i="16"/>
  <c r="C106" i="16"/>
  <c r="E106" i="16"/>
  <c r="E96" i="16"/>
  <c r="C96" i="16"/>
  <c r="Q85" i="16"/>
  <c r="C86" i="16"/>
  <c r="C76" i="16"/>
  <c r="E76" i="16"/>
  <c r="E66" i="16"/>
  <c r="C66" i="16"/>
  <c r="C56" i="16"/>
  <c r="E56" i="16"/>
  <c r="C46" i="16"/>
  <c r="E46" i="16"/>
  <c r="E36" i="16"/>
  <c r="C26" i="16"/>
  <c r="J125" i="7"/>
  <c r="I125" i="7"/>
  <c r="H125" i="7"/>
  <c r="G125" i="7"/>
  <c r="F125" i="7"/>
  <c r="J124" i="7"/>
  <c r="I124" i="7"/>
  <c r="H124" i="7"/>
  <c r="G124" i="7"/>
  <c r="F124" i="7"/>
  <c r="J123" i="7"/>
  <c r="I123" i="7"/>
  <c r="H123" i="7"/>
  <c r="G123" i="7"/>
  <c r="F123" i="7"/>
  <c r="J121" i="7"/>
  <c r="I121" i="7"/>
  <c r="H121" i="7"/>
  <c r="G121" i="7"/>
  <c r="F121" i="7"/>
  <c r="J120" i="7"/>
  <c r="I120" i="7"/>
  <c r="H120" i="7"/>
  <c r="G120" i="7"/>
  <c r="F120" i="7"/>
  <c r="J119" i="7"/>
  <c r="I119" i="7"/>
  <c r="H119" i="7"/>
  <c r="G119" i="7"/>
  <c r="F119" i="7"/>
  <c r="J118" i="7"/>
  <c r="I118" i="7"/>
  <c r="H118" i="7"/>
  <c r="G118" i="7"/>
  <c r="F118" i="7"/>
  <c r="J115" i="7"/>
  <c r="I115" i="7"/>
  <c r="H115" i="7"/>
  <c r="G115" i="7"/>
  <c r="F115" i="7"/>
  <c r="J114" i="7"/>
  <c r="I114" i="7"/>
  <c r="H114" i="7"/>
  <c r="G114" i="7"/>
  <c r="F114" i="7"/>
  <c r="J113" i="7"/>
  <c r="I113" i="7"/>
  <c r="H113" i="7"/>
  <c r="G113" i="7"/>
  <c r="F113" i="7"/>
  <c r="J111" i="7"/>
  <c r="I111" i="7"/>
  <c r="H111" i="7"/>
  <c r="G111" i="7"/>
  <c r="F111" i="7"/>
  <c r="J110" i="7"/>
  <c r="I110" i="7"/>
  <c r="H110" i="7"/>
  <c r="G110" i="7"/>
  <c r="F110" i="7"/>
  <c r="J109" i="7"/>
  <c r="I109" i="7"/>
  <c r="H109" i="7"/>
  <c r="G109" i="7"/>
  <c r="F109" i="7"/>
  <c r="J108" i="7"/>
  <c r="I108" i="7"/>
  <c r="H108" i="7"/>
  <c r="G108" i="7"/>
  <c r="F108" i="7"/>
  <c r="J105" i="7"/>
  <c r="I105" i="7"/>
  <c r="H105" i="7"/>
  <c r="G105" i="7"/>
  <c r="F105" i="7"/>
  <c r="J104" i="7"/>
  <c r="I104" i="7"/>
  <c r="H104" i="7"/>
  <c r="G104" i="7"/>
  <c r="F104" i="7"/>
  <c r="J103" i="7"/>
  <c r="I103" i="7"/>
  <c r="H103" i="7"/>
  <c r="G103" i="7"/>
  <c r="F103" i="7"/>
  <c r="J101" i="7"/>
  <c r="I101" i="7"/>
  <c r="H101" i="7"/>
  <c r="G101" i="7"/>
  <c r="F101" i="7"/>
  <c r="J100" i="7"/>
  <c r="I100" i="7"/>
  <c r="H100" i="7"/>
  <c r="G100" i="7"/>
  <c r="F100" i="7"/>
  <c r="J99" i="7"/>
  <c r="I99" i="7"/>
  <c r="H99" i="7"/>
  <c r="G99" i="7"/>
  <c r="F99" i="7"/>
  <c r="J98" i="7"/>
  <c r="I98" i="7"/>
  <c r="H98" i="7"/>
  <c r="G98" i="7"/>
  <c r="F98" i="7"/>
  <c r="J95" i="7"/>
  <c r="I95" i="7"/>
  <c r="H95" i="7"/>
  <c r="G95" i="7"/>
  <c r="F95" i="7"/>
  <c r="J94" i="7"/>
  <c r="I94" i="7"/>
  <c r="H94" i="7"/>
  <c r="G94" i="7"/>
  <c r="F94" i="7"/>
  <c r="J93" i="7"/>
  <c r="I93" i="7"/>
  <c r="H93" i="7"/>
  <c r="G93" i="7"/>
  <c r="F93" i="7"/>
  <c r="J91" i="7"/>
  <c r="I91" i="7"/>
  <c r="H91" i="7"/>
  <c r="G91" i="7"/>
  <c r="F91" i="7"/>
  <c r="J90" i="7"/>
  <c r="I90" i="7"/>
  <c r="H90" i="7"/>
  <c r="G90" i="7"/>
  <c r="F90" i="7"/>
  <c r="J89" i="7"/>
  <c r="I89" i="7"/>
  <c r="H89" i="7"/>
  <c r="G89" i="7"/>
  <c r="F89" i="7"/>
  <c r="J88" i="7"/>
  <c r="I88" i="7"/>
  <c r="H88" i="7"/>
  <c r="G88" i="7"/>
  <c r="F88" i="7"/>
  <c r="E125" i="7"/>
  <c r="E124" i="7"/>
  <c r="E123" i="7"/>
  <c r="E120" i="7"/>
  <c r="E119" i="7"/>
  <c r="E118" i="7"/>
  <c r="C125" i="7"/>
  <c r="C124" i="7"/>
  <c r="C123" i="7"/>
  <c r="C120" i="7"/>
  <c r="C119" i="7"/>
  <c r="C118" i="7"/>
  <c r="E115" i="7"/>
  <c r="E114" i="7"/>
  <c r="E113" i="7"/>
  <c r="E110" i="7"/>
  <c r="E109" i="7"/>
  <c r="E108" i="7"/>
  <c r="C115" i="7"/>
  <c r="C114" i="7"/>
  <c r="C113" i="7"/>
  <c r="C110" i="7"/>
  <c r="C109" i="7"/>
  <c r="C108" i="7"/>
  <c r="E105" i="7"/>
  <c r="E104" i="7"/>
  <c r="E103" i="7"/>
  <c r="E100" i="7"/>
  <c r="E99" i="7"/>
  <c r="E98" i="7"/>
  <c r="C105" i="7"/>
  <c r="C104" i="7"/>
  <c r="C103" i="7"/>
  <c r="C100" i="7"/>
  <c r="C99" i="7"/>
  <c r="C98" i="7"/>
  <c r="E117" i="7"/>
  <c r="C117" i="7"/>
  <c r="E107" i="7"/>
  <c r="C107" i="7"/>
  <c r="E97" i="7"/>
  <c r="C97" i="7"/>
  <c r="G85" i="32" l="1"/>
  <c r="K91" i="29" s="1"/>
  <c r="Q91" i="29" s="1"/>
  <c r="N84" i="32"/>
  <c r="K90" i="29"/>
  <c r="E52" i="9" s="1"/>
  <c r="N83" i="32"/>
  <c r="K89" i="29" s="1"/>
  <c r="G82" i="32"/>
  <c r="N82" i="32"/>
  <c r="K88" i="29" s="1"/>
  <c r="E50" i="9" s="1"/>
  <c r="N95" i="32"/>
  <c r="K101" i="29" s="1"/>
  <c r="Q101" i="29" s="1"/>
  <c r="N94" i="32"/>
  <c r="K100" i="29" s="1"/>
  <c r="L100" i="29" s="1"/>
  <c r="W53" i="27"/>
  <c r="G93" i="32"/>
  <c r="K99" i="29" s="1"/>
  <c r="E57" i="9" s="1"/>
  <c r="G92" i="32"/>
  <c r="K98" i="29" s="1"/>
  <c r="E56" i="9" s="1"/>
  <c r="U83" i="27"/>
  <c r="G105" i="32"/>
  <c r="K111" i="29" s="1"/>
  <c r="M111" i="29" s="1"/>
  <c r="G104" i="32"/>
  <c r="K110" i="29" s="1"/>
  <c r="Q110" i="29" s="1"/>
  <c r="G103" i="32"/>
  <c r="K109" i="29" s="1"/>
  <c r="E63" i="9" s="1"/>
  <c r="K108" i="29"/>
  <c r="Q108" i="29" s="1"/>
  <c r="G115" i="32"/>
  <c r="K121" i="29" s="1"/>
  <c r="M121" i="29" s="1"/>
  <c r="Q121" i="29"/>
  <c r="L121" i="29"/>
  <c r="N114" i="32"/>
  <c r="K120" i="29" s="1"/>
  <c r="Q120" i="29" s="1"/>
  <c r="N113" i="32"/>
  <c r="K119" i="29" s="1"/>
  <c r="Q119" i="29" s="1"/>
  <c r="K118" i="29"/>
  <c r="M118" i="29" s="1"/>
  <c r="G69" i="32"/>
  <c r="N69" i="32"/>
  <c r="K75" i="29" s="1"/>
  <c r="Q75" i="29" s="1"/>
  <c r="G68" i="32"/>
  <c r="K74" i="29" s="1"/>
  <c r="E42" i="9" s="1"/>
  <c r="G67" i="32"/>
  <c r="K73" i="29" s="1"/>
  <c r="E41" i="9" s="1"/>
  <c r="U83" i="26"/>
  <c r="K71" i="29"/>
  <c r="N64" i="32"/>
  <c r="K70" i="29" s="1"/>
  <c r="E40" i="9" s="1"/>
  <c r="G63" i="32"/>
  <c r="N63" i="32"/>
  <c r="K69" i="29" s="1"/>
  <c r="E39" i="9" s="1"/>
  <c r="G62" i="32"/>
  <c r="K68" i="29" s="1"/>
  <c r="M68" i="29" s="1"/>
  <c r="N47" i="32"/>
  <c r="K53" i="29" s="1"/>
  <c r="E29" i="9" s="1"/>
  <c r="G45" i="32"/>
  <c r="K51" i="29" s="1"/>
  <c r="M51" i="29" s="1"/>
  <c r="G44" i="32"/>
  <c r="K50" i="29" s="1"/>
  <c r="E28" i="9" s="1"/>
  <c r="G43" i="32"/>
  <c r="K49" i="29" s="1"/>
  <c r="M49" i="29" s="1"/>
  <c r="G42" i="32"/>
  <c r="K48" i="29" s="1"/>
  <c r="E26" i="9" s="1"/>
  <c r="G75" i="32"/>
  <c r="K81" i="29"/>
  <c r="L81" i="29" s="1"/>
  <c r="G74" i="32"/>
  <c r="K80" i="29" s="1"/>
  <c r="E46" i="9" s="1"/>
  <c r="E45" i="9"/>
  <c r="M79" i="29"/>
  <c r="L79" i="29"/>
  <c r="Q79" i="29"/>
  <c r="G72" i="32"/>
  <c r="K78" i="29" s="1"/>
  <c r="E44" i="9" s="1"/>
  <c r="G55" i="32"/>
  <c r="K61" i="29"/>
  <c r="M61" i="29" s="1"/>
  <c r="K60" i="29"/>
  <c r="Q60" i="29" s="1"/>
  <c r="E34" i="9"/>
  <c r="L60" i="29"/>
  <c r="N53" i="32"/>
  <c r="K59" i="29" s="1"/>
  <c r="L59" i="29" s="1"/>
  <c r="M59" i="29"/>
  <c r="E33" i="9"/>
  <c r="N52" i="32"/>
  <c r="K58" i="29" s="1"/>
  <c r="M58" i="29" s="1"/>
  <c r="G8" i="32"/>
  <c r="K14" i="29" s="1"/>
  <c r="E6" i="9" s="1"/>
  <c r="G7" i="32"/>
  <c r="K13" i="29" s="1"/>
  <c r="E5" i="9" s="1"/>
  <c r="N5" i="32"/>
  <c r="K11" i="29" s="1"/>
  <c r="Q11" i="29" s="1"/>
  <c r="G4" i="32"/>
  <c r="U23" i="25"/>
  <c r="N4" i="32"/>
  <c r="K10" i="29" s="1"/>
  <c r="G3" i="32"/>
  <c r="N3" i="32"/>
  <c r="K9" i="29" s="1"/>
  <c r="E3" i="9" s="1"/>
  <c r="G2" i="32"/>
  <c r="K8" i="29" s="1"/>
  <c r="E2" i="9" s="1"/>
  <c r="G39" i="32"/>
  <c r="K45" i="29" s="1"/>
  <c r="E25" i="9" s="1"/>
  <c r="G38" i="32"/>
  <c r="K44" i="29" s="1"/>
  <c r="E24" i="9" s="1"/>
  <c r="G37" i="32"/>
  <c r="K43" i="29"/>
  <c r="Q43" i="29" s="1"/>
  <c r="N35" i="32"/>
  <c r="K41" i="29" s="1"/>
  <c r="M41" i="29" s="1"/>
  <c r="U113" i="25"/>
  <c r="Q40" i="29"/>
  <c r="E22" i="9"/>
  <c r="G33" i="32"/>
  <c r="N33" i="32"/>
  <c r="K39" i="29" s="1"/>
  <c r="Q39" i="29" s="1"/>
  <c r="G32" i="32"/>
  <c r="K38" i="29" s="1"/>
  <c r="E20" i="9" s="1"/>
  <c r="N17" i="32"/>
  <c r="K23" i="29" s="1"/>
  <c r="Q23" i="29" s="1"/>
  <c r="G15" i="32"/>
  <c r="N15" i="32"/>
  <c r="K21" i="29" s="1"/>
  <c r="Q21" i="29" s="1"/>
  <c r="G14" i="32"/>
  <c r="K20" i="29" s="1"/>
  <c r="M20" i="29" s="1"/>
  <c r="G13" i="32"/>
  <c r="K19" i="29" s="1"/>
  <c r="E9" i="9" s="1"/>
  <c r="G12" i="32"/>
  <c r="K18" i="29" s="1"/>
  <c r="M18" i="29" s="1"/>
  <c r="U83" i="25"/>
  <c r="N27" i="32"/>
  <c r="K33" i="29" s="1"/>
  <c r="E17" i="9" s="1"/>
  <c r="G25" i="32"/>
  <c r="K31" i="29" s="1"/>
  <c r="Q31" i="29" s="1"/>
  <c r="G24" i="32"/>
  <c r="K30" i="29" s="1"/>
  <c r="E16" i="9" s="1"/>
  <c r="N23" i="32"/>
  <c r="K29" i="29" s="1"/>
  <c r="E15" i="9" s="1"/>
  <c r="N22" i="32"/>
  <c r="K28" i="29" s="1"/>
  <c r="E14" i="9" s="1"/>
  <c r="N87" i="31"/>
  <c r="K93" i="28" s="1"/>
  <c r="L93" i="28" s="1"/>
  <c r="G85" i="31"/>
  <c r="K91" i="28" s="1"/>
  <c r="Q91" i="28" s="1"/>
  <c r="G84" i="31"/>
  <c r="K90" i="28" s="1"/>
  <c r="U23" i="24"/>
  <c r="G83" i="31"/>
  <c r="K89" i="28" s="1"/>
  <c r="Q89" i="28" s="1"/>
  <c r="N82" i="31"/>
  <c r="K88" i="28" s="1"/>
  <c r="G97" i="31"/>
  <c r="K103" i="28"/>
  <c r="Q103" i="28" s="1"/>
  <c r="N95" i="31"/>
  <c r="K101" i="28"/>
  <c r="Q101" i="28" s="1"/>
  <c r="Q100" i="28"/>
  <c r="N93" i="31"/>
  <c r="K99" i="28" s="1"/>
  <c r="G92" i="31"/>
  <c r="K98" i="28" s="1"/>
  <c r="N105" i="31"/>
  <c r="K111" i="28" s="1"/>
  <c r="Q111" i="28" s="1"/>
  <c r="K110" i="28"/>
  <c r="L110" i="28" s="1"/>
  <c r="G103" i="31"/>
  <c r="K109" i="28" s="1"/>
  <c r="G102" i="31"/>
  <c r="K108" i="28" s="1"/>
  <c r="G115" i="31"/>
  <c r="K121" i="28"/>
  <c r="M121" i="28" s="1"/>
  <c r="G114" i="31"/>
  <c r="K120" i="28" s="1"/>
  <c r="L120" i="28" s="1"/>
  <c r="K119" i="28"/>
  <c r="Q119" i="28" s="1"/>
  <c r="N112" i="31"/>
  <c r="K118" i="28" s="1"/>
  <c r="Q118" i="28" s="1"/>
  <c r="G57" i="31"/>
  <c r="K63" i="28"/>
  <c r="G55" i="31"/>
  <c r="K61" i="28" s="1"/>
  <c r="N54" i="31"/>
  <c r="G54" i="31"/>
  <c r="K60" i="28" s="1"/>
  <c r="N53" i="31"/>
  <c r="K59" i="28" s="1"/>
  <c r="N52" i="31"/>
  <c r="K58" i="28"/>
  <c r="Q58" i="28" s="1"/>
  <c r="N78" i="31"/>
  <c r="G78" i="31"/>
  <c r="K84" i="28" s="1"/>
  <c r="Q84" i="28" s="1"/>
  <c r="N77" i="31"/>
  <c r="K83" i="28" s="1"/>
  <c r="G75" i="31"/>
  <c r="N75" i="31"/>
  <c r="K81" i="28" s="1"/>
  <c r="Q81" i="28" s="1"/>
  <c r="U113" i="23"/>
  <c r="G74" i="31"/>
  <c r="K80" i="28" s="1"/>
  <c r="G73" i="31"/>
  <c r="K79" i="28" s="1"/>
  <c r="L79" i="28" s="1"/>
  <c r="N72" i="31"/>
  <c r="K78" i="28" s="1"/>
  <c r="G45" i="31"/>
  <c r="K51" i="28"/>
  <c r="M51" i="28" s="1"/>
  <c r="G43" i="31"/>
  <c r="K49" i="28" s="1"/>
  <c r="M49" i="28" s="1"/>
  <c r="G42" i="31"/>
  <c r="K48" i="28" s="1"/>
  <c r="Q48" i="28" s="1"/>
  <c r="K71" i="28"/>
  <c r="Q71" i="28" s="1"/>
  <c r="N65" i="31"/>
  <c r="M71" i="28"/>
  <c r="N64" i="31"/>
  <c r="K70" i="28" s="1"/>
  <c r="L70" i="28" s="1"/>
  <c r="Q69" i="28"/>
  <c r="L69" i="28"/>
  <c r="M69" i="28"/>
  <c r="K68" i="28"/>
  <c r="N29" i="31"/>
  <c r="K35" i="28" s="1"/>
  <c r="Q35" i="28" s="1"/>
  <c r="U83" i="22"/>
  <c r="N28" i="31"/>
  <c r="K34" i="28" s="1"/>
  <c r="K33" i="28"/>
  <c r="Q33" i="28" s="1"/>
  <c r="M33" i="28"/>
  <c r="G25" i="31"/>
  <c r="K31" i="28" s="1"/>
  <c r="Q31" i="28" s="1"/>
  <c r="G24" i="31"/>
  <c r="K30" i="28" s="1"/>
  <c r="N23" i="31"/>
  <c r="K29" i="28" s="1"/>
  <c r="Q29" i="28" s="1"/>
  <c r="N22" i="31"/>
  <c r="K28" i="28" s="1"/>
  <c r="L28" i="28" s="1"/>
  <c r="M28" i="28"/>
  <c r="G38" i="31"/>
  <c r="K44" i="28" s="1"/>
  <c r="L44" i="28" s="1"/>
  <c r="M44" i="28" s="1"/>
  <c r="Q43" i="28"/>
  <c r="L43" i="28"/>
  <c r="M43" i="28"/>
  <c r="N35" i="31"/>
  <c r="K41" i="28" s="1"/>
  <c r="M41" i="28" s="1"/>
  <c r="U113" i="22"/>
  <c r="N34" i="31"/>
  <c r="K40" i="28" s="1"/>
  <c r="G33" i="31"/>
  <c r="K39" i="28" s="1"/>
  <c r="G32" i="31"/>
  <c r="K38" i="28" s="1"/>
  <c r="M21" i="28"/>
  <c r="Q21" i="28"/>
  <c r="L21" i="28"/>
  <c r="G14" i="31"/>
  <c r="K20" i="28"/>
  <c r="G13" i="31"/>
  <c r="W53" i="22"/>
  <c r="K19" i="28"/>
  <c r="M19" i="28" s="1"/>
  <c r="N12" i="31"/>
  <c r="G12" i="31"/>
  <c r="K18" i="28" s="1"/>
  <c r="N5" i="31"/>
  <c r="K11" i="28"/>
  <c r="Q11" i="28" s="1"/>
  <c r="N4" i="31"/>
  <c r="K10" i="28" s="1"/>
  <c r="Q9" i="28"/>
  <c r="G2" i="31"/>
  <c r="K8" i="28" s="1"/>
  <c r="D143" i="19" a="1"/>
  <c r="D143" i="19" s="1"/>
  <c r="D137" i="19"/>
  <c r="D97" i="19" a="1"/>
  <c r="D97" i="19" s="1"/>
  <c r="D87" i="19"/>
  <c r="D119" i="19" a="1"/>
  <c r="D119" i="19" s="1"/>
  <c r="D111" i="19"/>
  <c r="D189" i="19" a="1"/>
  <c r="D189" i="19" s="1"/>
  <c r="D187" i="19"/>
  <c r="W83" i="21"/>
  <c r="U53" i="21"/>
  <c r="D89" i="17"/>
  <c r="B89" i="17"/>
  <c r="I89" i="17"/>
  <c r="N89" i="17" s="1"/>
  <c r="N88" i="17"/>
  <c r="B88" i="17"/>
  <c r="D87" i="17"/>
  <c r="N87" i="17"/>
  <c r="N85" i="17"/>
  <c r="K84" i="17"/>
  <c r="N84" i="17" s="1"/>
  <c r="K90" i="16" s="1"/>
  <c r="G84" i="17"/>
  <c r="N83" i="17"/>
  <c r="B83" i="17"/>
  <c r="G83" i="17" s="1"/>
  <c r="C82" i="17"/>
  <c r="N82" i="17"/>
  <c r="G119" i="17"/>
  <c r="N118" i="17"/>
  <c r="C117" i="17"/>
  <c r="G117" i="17" s="1"/>
  <c r="N114" i="17"/>
  <c r="J113" i="17"/>
  <c r="N113" i="17" s="1"/>
  <c r="N112" i="17"/>
  <c r="G112" i="17"/>
  <c r="K118" i="16" s="1"/>
  <c r="C107" i="17"/>
  <c r="N107" i="17"/>
  <c r="F105" i="17"/>
  <c r="D105" i="17"/>
  <c r="U83" i="14"/>
  <c r="E104" i="17"/>
  <c r="D103" i="17"/>
  <c r="B98" i="17"/>
  <c r="G98" i="17" s="1"/>
  <c r="I98" i="17"/>
  <c r="L97" i="17"/>
  <c r="G97" i="17"/>
  <c r="G95" i="17"/>
  <c r="K101" i="16" s="1"/>
  <c r="K95" i="17"/>
  <c r="N95" i="17" s="1"/>
  <c r="N94" i="17"/>
  <c r="B94" i="17"/>
  <c r="G94" i="17" s="1"/>
  <c r="G93" i="17"/>
  <c r="K99" i="16" s="1"/>
  <c r="N93" i="17"/>
  <c r="N92" i="17"/>
  <c r="K54" i="16"/>
  <c r="G47" i="17"/>
  <c r="N45" i="17"/>
  <c r="N44" i="17"/>
  <c r="G44" i="17"/>
  <c r="K50" i="16" s="1"/>
  <c r="G43" i="17"/>
  <c r="G57" i="17"/>
  <c r="K55" i="17"/>
  <c r="G55" i="17"/>
  <c r="N54" i="17"/>
  <c r="J53" i="17"/>
  <c r="N53" i="17" s="1"/>
  <c r="G52" i="17"/>
  <c r="N75" i="17"/>
  <c r="B75" i="17"/>
  <c r="G75" i="17" s="1"/>
  <c r="K81" i="16" s="1"/>
  <c r="F74" i="17"/>
  <c r="D74" i="17"/>
  <c r="F72" i="17"/>
  <c r="N72" i="17"/>
  <c r="G65" i="17"/>
  <c r="I64" i="17"/>
  <c r="N64" i="17" s="1"/>
  <c r="N63" i="17"/>
  <c r="B63" i="17"/>
  <c r="G63" i="17" s="1"/>
  <c r="K69" i="16" s="1"/>
  <c r="J62" i="17"/>
  <c r="G62" i="17"/>
  <c r="M27" i="17"/>
  <c r="L27" i="17"/>
  <c r="K25" i="17"/>
  <c r="G25" i="17"/>
  <c r="G24" i="17"/>
  <c r="I24" i="17"/>
  <c r="N23" i="17"/>
  <c r="C23" i="17"/>
  <c r="B23" i="17"/>
  <c r="C22" i="17"/>
  <c r="M3" i="17"/>
  <c r="M15" i="17"/>
  <c r="N15" i="17" s="1"/>
  <c r="L15" i="17"/>
  <c r="K14" i="17"/>
  <c r="N14" i="17" s="1"/>
  <c r="K13" i="17"/>
  <c r="G13" i="17"/>
  <c r="I13" i="17"/>
  <c r="D12" i="17"/>
  <c r="G12" i="17" s="1"/>
  <c r="I12" i="17"/>
  <c r="I105" i="17"/>
  <c r="N105" i="17" s="1"/>
  <c r="D104" i="17"/>
  <c r="B103" i="17"/>
  <c r="C102" i="17"/>
  <c r="G102" i="17" s="1"/>
  <c r="D102" i="17"/>
  <c r="C103" i="17"/>
  <c r="N104" i="17"/>
  <c r="B104" i="17"/>
  <c r="I102" i="17"/>
  <c r="N102" i="17" s="1"/>
  <c r="B2" i="17"/>
  <c r="U23" i="6"/>
  <c r="U53" i="6"/>
  <c r="U113" i="6"/>
  <c r="U113" i="5"/>
  <c r="U83" i="4"/>
  <c r="Q85" i="29"/>
  <c r="L85" i="29"/>
  <c r="M85" i="29" s="1"/>
  <c r="Q83" i="29"/>
  <c r="L83" i="29"/>
  <c r="L9" i="29"/>
  <c r="M40" i="29"/>
  <c r="M23" i="29"/>
  <c r="Q29" i="29"/>
  <c r="L100" i="28"/>
  <c r="L104" i="28"/>
  <c r="M104" i="28" s="1"/>
  <c r="M100" i="28"/>
  <c r="L118" i="28"/>
  <c r="L85" i="28"/>
  <c r="M85" i="28" s="1"/>
  <c r="L84" i="28"/>
  <c r="M84" i="28" s="1"/>
  <c r="Q70" i="28"/>
  <c r="L25" i="28"/>
  <c r="M25" i="28" s="1"/>
  <c r="M9" i="28"/>
  <c r="L9" i="28"/>
  <c r="L43" i="30"/>
  <c r="E43" i="30"/>
  <c r="L45" i="30"/>
  <c r="E45" i="30"/>
  <c r="J48" i="30"/>
  <c r="C48" i="30"/>
  <c r="D53" i="30"/>
  <c r="K53" i="30"/>
  <c r="K55" i="30"/>
  <c r="D55" i="30"/>
  <c r="K64" i="20"/>
  <c r="Q64" i="20" s="1"/>
  <c r="B58" i="30"/>
  <c r="G58" i="30" s="1"/>
  <c r="I58" i="30"/>
  <c r="N58" i="30" s="1"/>
  <c r="C63" i="30"/>
  <c r="J63" i="30"/>
  <c r="C65" i="30"/>
  <c r="J65" i="30"/>
  <c r="M69" i="30"/>
  <c r="F69" i="30"/>
  <c r="I73" i="30"/>
  <c r="N73" i="30" s="1"/>
  <c r="B73" i="30"/>
  <c r="B75" i="30"/>
  <c r="I75" i="30"/>
  <c r="L79" i="30"/>
  <c r="E79" i="30"/>
  <c r="M43" i="30"/>
  <c r="F43" i="30"/>
  <c r="M45" i="30"/>
  <c r="F45" i="30"/>
  <c r="E53" i="30"/>
  <c r="L53" i="30"/>
  <c r="C58" i="30"/>
  <c r="J58" i="30"/>
  <c r="K63" i="30"/>
  <c r="D63" i="30"/>
  <c r="D65" i="30"/>
  <c r="K65" i="30"/>
  <c r="I68" i="30"/>
  <c r="B68" i="30"/>
  <c r="J73" i="30"/>
  <c r="C73" i="30"/>
  <c r="C75" i="30"/>
  <c r="J75" i="30"/>
  <c r="M79" i="30"/>
  <c r="F79" i="30"/>
  <c r="I42" i="30"/>
  <c r="B42" i="30"/>
  <c r="E48" i="30"/>
  <c r="L48" i="30"/>
  <c r="F53" i="30"/>
  <c r="M53" i="30"/>
  <c r="M55" i="30"/>
  <c r="F55" i="30"/>
  <c r="D58" i="30"/>
  <c r="K58" i="30"/>
  <c r="L63" i="30"/>
  <c r="E63" i="30"/>
  <c r="E65" i="30"/>
  <c r="L65" i="30"/>
  <c r="J68" i="30"/>
  <c r="C68" i="30"/>
  <c r="K73" i="30"/>
  <c r="D73" i="30"/>
  <c r="K75" i="30"/>
  <c r="D75" i="30"/>
  <c r="B78" i="30"/>
  <c r="G78" i="30" s="1"/>
  <c r="I78" i="30"/>
  <c r="N78" i="30" s="1"/>
  <c r="K84" i="20"/>
  <c r="L84" i="20" s="1"/>
  <c r="M84" i="20" s="1"/>
  <c r="J42" i="30"/>
  <c r="C42" i="30"/>
  <c r="F48" i="30"/>
  <c r="M48" i="30"/>
  <c r="B52" i="30"/>
  <c r="I52" i="30"/>
  <c r="E58" i="30"/>
  <c r="L58" i="30"/>
  <c r="M63" i="30"/>
  <c r="F63" i="30"/>
  <c r="F65" i="30"/>
  <c r="M65" i="30"/>
  <c r="K68" i="30"/>
  <c r="D68" i="30"/>
  <c r="L73" i="30"/>
  <c r="E73" i="30"/>
  <c r="L75" i="30"/>
  <c r="E75" i="30"/>
  <c r="J78" i="30"/>
  <c r="C78" i="30"/>
  <c r="L55" i="30"/>
  <c r="E55" i="30"/>
  <c r="I44" i="30"/>
  <c r="B44" i="30"/>
  <c r="B57" i="30"/>
  <c r="I57" i="30"/>
  <c r="J62" i="30"/>
  <c r="C62" i="30"/>
  <c r="M68" i="30"/>
  <c r="F68" i="30"/>
  <c r="F42" i="30"/>
  <c r="M42" i="30"/>
  <c r="K44" i="30"/>
  <c r="D44" i="30"/>
  <c r="D47" i="30"/>
  <c r="K47" i="30"/>
  <c r="K55" i="20"/>
  <c r="I49" i="30"/>
  <c r="N49" i="30" s="1"/>
  <c r="B49" i="30"/>
  <c r="G49" i="30" s="1"/>
  <c r="E52" i="30"/>
  <c r="L52" i="30"/>
  <c r="J54" i="30"/>
  <c r="C54" i="30"/>
  <c r="C57" i="30"/>
  <c r="J57" i="30"/>
  <c r="K62" i="30"/>
  <c r="D62" i="30"/>
  <c r="B64" i="30"/>
  <c r="I64" i="30"/>
  <c r="Q73" i="20"/>
  <c r="I67" i="30"/>
  <c r="N67" i="30" s="1"/>
  <c r="B67" i="30"/>
  <c r="G67" i="30" s="1"/>
  <c r="J72" i="30"/>
  <c r="C72" i="30"/>
  <c r="F78" i="30"/>
  <c r="M78" i="30"/>
  <c r="K48" i="30"/>
  <c r="D48" i="30"/>
  <c r="K78" i="30"/>
  <c r="D78" i="30"/>
  <c r="J44" i="30"/>
  <c r="C44" i="30"/>
  <c r="I54" i="30"/>
  <c r="N54" i="30" s="1"/>
  <c r="B54" i="30"/>
  <c r="G54" i="30" s="1"/>
  <c r="B72" i="30"/>
  <c r="I72" i="30"/>
  <c r="L44" i="30"/>
  <c r="E44" i="30"/>
  <c r="E47" i="30"/>
  <c r="L47" i="30"/>
  <c r="J49" i="30"/>
  <c r="C49" i="30"/>
  <c r="M52" i="30"/>
  <c r="F52" i="30"/>
  <c r="K54" i="30"/>
  <c r="D54" i="30"/>
  <c r="K57" i="30"/>
  <c r="D57" i="30"/>
  <c r="I59" i="30"/>
  <c r="N59" i="30" s="1"/>
  <c r="K65" i="20"/>
  <c r="Q65" i="20" s="1"/>
  <c r="B59" i="30"/>
  <c r="G59" i="30" s="1"/>
  <c r="L62" i="30"/>
  <c r="E62" i="30"/>
  <c r="C64" i="30"/>
  <c r="J64" i="30"/>
  <c r="J67" i="30"/>
  <c r="C67" i="30"/>
  <c r="K72" i="30"/>
  <c r="D72" i="30"/>
  <c r="I74" i="30"/>
  <c r="B74" i="30"/>
  <c r="I77" i="30"/>
  <c r="B77" i="30"/>
  <c r="K42" i="30"/>
  <c r="D42" i="30"/>
  <c r="I62" i="30"/>
  <c r="B62" i="30"/>
  <c r="L68" i="30"/>
  <c r="E68" i="30"/>
  <c r="M73" i="30"/>
  <c r="F73" i="30"/>
  <c r="E42" i="30"/>
  <c r="L42" i="30"/>
  <c r="D52" i="30"/>
  <c r="K52" i="30"/>
  <c r="M44" i="30"/>
  <c r="F44" i="30"/>
  <c r="F47" i="30"/>
  <c r="M47" i="30"/>
  <c r="K49" i="30"/>
  <c r="D49" i="30"/>
  <c r="E54" i="30"/>
  <c r="L54" i="30"/>
  <c r="L57" i="30"/>
  <c r="E57" i="30"/>
  <c r="C59" i="30"/>
  <c r="J59" i="30"/>
  <c r="M62" i="30"/>
  <c r="F62" i="30"/>
  <c r="D64" i="30"/>
  <c r="K64" i="30"/>
  <c r="D67" i="30"/>
  <c r="K67" i="30"/>
  <c r="B69" i="30"/>
  <c r="G69" i="30" s="1"/>
  <c r="I69" i="30"/>
  <c r="N69" i="30" s="1"/>
  <c r="K75" i="20"/>
  <c r="Q75" i="20" s="1"/>
  <c r="E72" i="30"/>
  <c r="L72" i="30"/>
  <c r="J74" i="30"/>
  <c r="C74" i="30"/>
  <c r="C77" i="30"/>
  <c r="J77" i="30"/>
  <c r="I47" i="30"/>
  <c r="B47" i="30"/>
  <c r="C52" i="30"/>
  <c r="J52" i="30"/>
  <c r="M58" i="30"/>
  <c r="F58" i="30"/>
  <c r="M75" i="30"/>
  <c r="F75" i="30"/>
  <c r="C47" i="30"/>
  <c r="J47" i="30"/>
  <c r="E78" i="30"/>
  <c r="L78" i="30"/>
  <c r="I43" i="30"/>
  <c r="B43" i="30"/>
  <c r="B45" i="30"/>
  <c r="I45" i="30"/>
  <c r="L49" i="30"/>
  <c r="E49" i="30"/>
  <c r="F54" i="30"/>
  <c r="M54" i="30"/>
  <c r="M57" i="30"/>
  <c r="F57" i="30"/>
  <c r="D59" i="30"/>
  <c r="K59" i="30"/>
  <c r="E64" i="30"/>
  <c r="L64" i="30"/>
  <c r="L67" i="30"/>
  <c r="E67" i="30"/>
  <c r="C69" i="30"/>
  <c r="J69" i="30"/>
  <c r="F72" i="30"/>
  <c r="M72" i="30"/>
  <c r="K74" i="30"/>
  <c r="D74" i="30"/>
  <c r="D77" i="30"/>
  <c r="K77" i="30"/>
  <c r="K85" i="20"/>
  <c r="Q85" i="20" s="1"/>
  <c r="I79" i="30"/>
  <c r="N79" i="30" s="1"/>
  <c r="B79" i="30"/>
  <c r="G79" i="30" s="1"/>
  <c r="J79" i="30"/>
  <c r="C79" i="30"/>
  <c r="J43" i="30"/>
  <c r="C43" i="30"/>
  <c r="C45" i="30"/>
  <c r="J45" i="30"/>
  <c r="M49" i="30"/>
  <c r="F49" i="30"/>
  <c r="I53" i="30"/>
  <c r="B53" i="30"/>
  <c r="I55" i="30"/>
  <c r="B55" i="30"/>
  <c r="E59" i="30"/>
  <c r="L59" i="30"/>
  <c r="M64" i="30"/>
  <c r="F64" i="30"/>
  <c r="M67" i="30"/>
  <c r="F67" i="30"/>
  <c r="K69" i="30"/>
  <c r="D69" i="30"/>
  <c r="L74" i="30"/>
  <c r="E74" i="30"/>
  <c r="E77" i="30"/>
  <c r="L77" i="30"/>
  <c r="D43" i="30"/>
  <c r="K43" i="30"/>
  <c r="K45" i="30"/>
  <c r="D45" i="30"/>
  <c r="I48" i="30"/>
  <c r="N48" i="30" s="1"/>
  <c r="B48" i="30"/>
  <c r="G48" i="30" s="1"/>
  <c r="K54" i="20" s="1"/>
  <c r="L54" i="20" s="1"/>
  <c r="M54" i="20" s="1"/>
  <c r="C53" i="30"/>
  <c r="J53" i="30"/>
  <c r="J55" i="30"/>
  <c r="C55" i="30"/>
  <c r="F59" i="30"/>
  <c r="M59" i="30"/>
  <c r="B63" i="30"/>
  <c r="I63" i="30"/>
  <c r="I65" i="30"/>
  <c r="B65" i="30"/>
  <c r="L69" i="30"/>
  <c r="E69" i="30"/>
  <c r="M74" i="30"/>
  <c r="F74" i="30"/>
  <c r="F77" i="30"/>
  <c r="M77" i="30"/>
  <c r="K79" i="30"/>
  <c r="D79" i="30"/>
  <c r="L28" i="30"/>
  <c r="E28" i="30"/>
  <c r="M33" i="30"/>
  <c r="F33" i="30"/>
  <c r="F35" i="30"/>
  <c r="M35" i="30"/>
  <c r="K38" i="30"/>
  <c r="D38" i="30"/>
  <c r="D12" i="30"/>
  <c r="K12" i="30"/>
  <c r="E12" i="30"/>
  <c r="L12" i="30"/>
  <c r="J14" i="30"/>
  <c r="C14" i="30"/>
  <c r="C17" i="30"/>
  <c r="J17" i="30"/>
  <c r="D22" i="30"/>
  <c r="K22" i="30"/>
  <c r="B24" i="30"/>
  <c r="I24" i="30"/>
  <c r="K33" i="20"/>
  <c r="Q33" i="20" s="1"/>
  <c r="I27" i="30"/>
  <c r="N27" i="30" s="1"/>
  <c r="B27" i="30"/>
  <c r="G27" i="30" s="1"/>
  <c r="J32" i="30"/>
  <c r="C32" i="30"/>
  <c r="F38" i="30"/>
  <c r="M38" i="30"/>
  <c r="L4" i="30"/>
  <c r="E4" i="30"/>
  <c r="E7" i="30"/>
  <c r="L7" i="30"/>
  <c r="F12" i="30"/>
  <c r="M12" i="30"/>
  <c r="K14" i="30"/>
  <c r="D14" i="30"/>
  <c r="D17" i="30"/>
  <c r="K17" i="30"/>
  <c r="I19" i="30"/>
  <c r="B19" i="30"/>
  <c r="L22" i="30"/>
  <c r="E22" i="30"/>
  <c r="C24" i="30"/>
  <c r="J24" i="30"/>
  <c r="J27" i="30"/>
  <c r="C27" i="30"/>
  <c r="K32" i="30"/>
  <c r="D32" i="30"/>
  <c r="B34" i="30"/>
  <c r="I34" i="30"/>
  <c r="I37" i="30"/>
  <c r="B37" i="30"/>
  <c r="M4" i="30"/>
  <c r="F4" i="30"/>
  <c r="M7" i="30"/>
  <c r="F7" i="30"/>
  <c r="L14" i="30"/>
  <c r="E14" i="30"/>
  <c r="L17" i="30"/>
  <c r="E17" i="30"/>
  <c r="J19" i="30"/>
  <c r="C19" i="30"/>
  <c r="M22" i="30"/>
  <c r="F22" i="30"/>
  <c r="D24" i="30"/>
  <c r="K24" i="30"/>
  <c r="K27" i="30"/>
  <c r="D27" i="30"/>
  <c r="B29" i="30"/>
  <c r="G29" i="30" s="1"/>
  <c r="K35" i="20"/>
  <c r="I29" i="30"/>
  <c r="N29" i="30" s="1"/>
  <c r="L32" i="30"/>
  <c r="E32" i="30"/>
  <c r="J34" i="30"/>
  <c r="C34" i="30"/>
  <c r="J37" i="30"/>
  <c r="C37" i="30"/>
  <c r="L9" i="30"/>
  <c r="E9" i="30"/>
  <c r="F14" i="30"/>
  <c r="M14" i="30"/>
  <c r="F17" i="30"/>
  <c r="M17" i="30"/>
  <c r="D19" i="30"/>
  <c r="K19" i="30"/>
  <c r="E24" i="30"/>
  <c r="L24" i="30"/>
  <c r="L27" i="30"/>
  <c r="E27" i="30"/>
  <c r="C29" i="30"/>
  <c r="J29" i="30"/>
  <c r="F32" i="30"/>
  <c r="M32" i="30"/>
  <c r="K34" i="30"/>
  <c r="D34" i="30"/>
  <c r="D37" i="30"/>
  <c r="K37" i="30"/>
  <c r="I39" i="30"/>
  <c r="N39" i="30" s="1"/>
  <c r="K45" i="20"/>
  <c r="B39" i="30"/>
  <c r="G39" i="30" s="1"/>
  <c r="M9" i="30"/>
  <c r="F9" i="30"/>
  <c r="I13" i="30"/>
  <c r="B13" i="30"/>
  <c r="I15" i="30"/>
  <c r="B15" i="30"/>
  <c r="E19" i="30"/>
  <c r="L19" i="30"/>
  <c r="F24" i="30"/>
  <c r="M24" i="30"/>
  <c r="M27" i="30"/>
  <c r="F27" i="30"/>
  <c r="D29" i="30"/>
  <c r="K29" i="30"/>
  <c r="L34" i="30"/>
  <c r="E34" i="30"/>
  <c r="E37" i="30"/>
  <c r="L37" i="30"/>
  <c r="J39" i="30"/>
  <c r="C39" i="30"/>
  <c r="F18" i="30"/>
  <c r="M18" i="30"/>
  <c r="J22" i="30"/>
  <c r="C22" i="30"/>
  <c r="M28" i="30"/>
  <c r="F28" i="30"/>
  <c r="J13" i="30"/>
  <c r="C13" i="30"/>
  <c r="J15" i="30"/>
  <c r="C15" i="30"/>
  <c r="F19" i="30"/>
  <c r="M19" i="30"/>
  <c r="B23" i="30"/>
  <c r="I23" i="30"/>
  <c r="I25" i="30"/>
  <c r="B25" i="30"/>
  <c r="L29" i="30"/>
  <c r="E29" i="30"/>
  <c r="M34" i="30"/>
  <c r="F34" i="30"/>
  <c r="F37" i="30"/>
  <c r="M37" i="30"/>
  <c r="K39" i="30"/>
  <c r="D39" i="30"/>
  <c r="C12" i="30"/>
  <c r="J12" i="30"/>
  <c r="B22" i="30"/>
  <c r="I22" i="30"/>
  <c r="F2" i="30"/>
  <c r="M2" i="30"/>
  <c r="E3" i="30"/>
  <c r="L3" i="30"/>
  <c r="L5" i="30"/>
  <c r="E5" i="30"/>
  <c r="D13" i="30"/>
  <c r="K13" i="30"/>
  <c r="K15" i="30"/>
  <c r="D15" i="30"/>
  <c r="B18" i="30"/>
  <c r="I18" i="30"/>
  <c r="C23" i="30"/>
  <c r="J23" i="30"/>
  <c r="J25" i="30"/>
  <c r="C25" i="30"/>
  <c r="M29" i="30"/>
  <c r="F29" i="30"/>
  <c r="I33" i="30"/>
  <c r="B33" i="30"/>
  <c r="B35" i="30"/>
  <c r="I35" i="30"/>
  <c r="L39" i="30"/>
  <c r="E39" i="30"/>
  <c r="L2" i="30"/>
  <c r="E2" i="30"/>
  <c r="B17" i="30"/>
  <c r="I17" i="30"/>
  <c r="L38" i="30"/>
  <c r="E38" i="30"/>
  <c r="M3" i="30"/>
  <c r="F3" i="30"/>
  <c r="F5" i="30"/>
  <c r="M5" i="30"/>
  <c r="E13" i="30"/>
  <c r="L13" i="30"/>
  <c r="L15" i="30"/>
  <c r="E15" i="30"/>
  <c r="C18" i="30"/>
  <c r="J18" i="30"/>
  <c r="D23" i="30"/>
  <c r="K23" i="30"/>
  <c r="D25" i="30"/>
  <c r="K25" i="30"/>
  <c r="B28" i="30"/>
  <c r="G28" i="30" s="1"/>
  <c r="K34" i="20"/>
  <c r="Q34" i="20" s="1"/>
  <c r="I28" i="30"/>
  <c r="N28" i="30" s="1"/>
  <c r="J33" i="30"/>
  <c r="C33" i="30"/>
  <c r="C35" i="30"/>
  <c r="J35" i="30"/>
  <c r="M39" i="30"/>
  <c r="F39" i="30"/>
  <c r="I32" i="30"/>
  <c r="B32" i="30"/>
  <c r="L8" i="30"/>
  <c r="E8" i="30"/>
  <c r="F13" i="30"/>
  <c r="M13" i="30"/>
  <c r="M15" i="30"/>
  <c r="F15" i="30"/>
  <c r="D18" i="30"/>
  <c r="K18" i="30"/>
  <c r="L23" i="30"/>
  <c r="E23" i="30"/>
  <c r="E25" i="30"/>
  <c r="L25" i="30"/>
  <c r="J28" i="30"/>
  <c r="C28" i="30"/>
  <c r="K33" i="30"/>
  <c r="D33" i="30"/>
  <c r="D35" i="30"/>
  <c r="K35" i="30"/>
  <c r="I38" i="30"/>
  <c r="N38" i="30" s="1"/>
  <c r="K44" i="20"/>
  <c r="B38" i="30"/>
  <c r="G38" i="30" s="1"/>
  <c r="I14" i="30"/>
  <c r="B14" i="30"/>
  <c r="M8" i="30"/>
  <c r="F8" i="30"/>
  <c r="B12" i="30"/>
  <c r="I12" i="30"/>
  <c r="E18" i="30"/>
  <c r="L18" i="30"/>
  <c r="M23" i="30"/>
  <c r="F23" i="30"/>
  <c r="F25" i="30"/>
  <c r="M25" i="30"/>
  <c r="D28" i="30"/>
  <c r="K28" i="30"/>
  <c r="L33" i="30"/>
  <c r="E33" i="30"/>
  <c r="L35" i="30"/>
  <c r="E35" i="30"/>
  <c r="J38" i="30"/>
  <c r="C38" i="30"/>
  <c r="D99" i="17"/>
  <c r="K117" i="17"/>
  <c r="N117" i="17" s="1"/>
  <c r="B85" i="17"/>
  <c r="G85" i="17" s="1"/>
  <c r="M97" i="17"/>
  <c r="E107" i="17"/>
  <c r="F112" i="17"/>
  <c r="I119" i="17"/>
  <c r="N119" i="17" s="1"/>
  <c r="K125" i="16" s="1"/>
  <c r="E89" i="17"/>
  <c r="F94" i="17"/>
  <c r="D114" i="17"/>
  <c r="G114" i="17" s="1"/>
  <c r="K120" i="16" s="1"/>
  <c r="C109" i="17"/>
  <c r="K115" i="17"/>
  <c r="N115" i="17" s="1"/>
  <c r="K121" i="16" s="1"/>
  <c r="K98" i="17"/>
  <c r="L44" i="17"/>
  <c r="E47" i="17"/>
  <c r="F52" i="17"/>
  <c r="B59" i="17"/>
  <c r="G59" i="17" s="1"/>
  <c r="C64" i="17"/>
  <c r="J43" i="17"/>
  <c r="N43" i="17" s="1"/>
  <c r="K49" i="16" s="1"/>
  <c r="M44" i="17"/>
  <c r="F47" i="17"/>
  <c r="K57" i="17"/>
  <c r="N57" i="17" s="1"/>
  <c r="K63" i="16" s="1"/>
  <c r="C59" i="17"/>
  <c r="L62" i="17"/>
  <c r="N62" i="17" s="1"/>
  <c r="D64" i="17"/>
  <c r="L74" i="17"/>
  <c r="N74" i="17" s="1"/>
  <c r="I77" i="17"/>
  <c r="N77" i="17" s="1"/>
  <c r="C79" i="17"/>
  <c r="C45" i="17"/>
  <c r="G45" i="17" s="1"/>
  <c r="K51" i="16" s="1"/>
  <c r="E59" i="17"/>
  <c r="F64" i="17"/>
  <c r="D72" i="17"/>
  <c r="C49" i="17"/>
  <c r="D54" i="17"/>
  <c r="G54" i="17" s="1"/>
  <c r="K60" i="16" s="1"/>
  <c r="I55" i="17"/>
  <c r="N55" i="17" s="1"/>
  <c r="K61" i="16" s="1"/>
  <c r="C67" i="17"/>
  <c r="E72" i="17"/>
  <c r="D49" i="17"/>
  <c r="B53" i="17"/>
  <c r="G53" i="17" s="1"/>
  <c r="E54" i="17"/>
  <c r="I59" i="17"/>
  <c r="N59" i="17" s="1"/>
  <c r="D67" i="17"/>
  <c r="B74" i="17"/>
  <c r="G74" i="17" s="1"/>
  <c r="B69" i="17"/>
  <c r="G69" i="17" s="1"/>
  <c r="B77" i="17"/>
  <c r="G77" i="17" s="1"/>
  <c r="B29" i="17"/>
  <c r="G29" i="17" s="1"/>
  <c r="E24" i="17"/>
  <c r="F4" i="17"/>
  <c r="J7" i="17"/>
  <c r="L8" i="17"/>
  <c r="F12" i="17"/>
  <c r="J13" i="17"/>
  <c r="L14" i="17"/>
  <c r="D17" i="17"/>
  <c r="F18" i="17"/>
  <c r="J19" i="17"/>
  <c r="B22" i="17"/>
  <c r="D23" i="17"/>
  <c r="F24" i="17"/>
  <c r="J25" i="17"/>
  <c r="B28" i="17"/>
  <c r="G28" i="17" s="1"/>
  <c r="D29" i="17"/>
  <c r="I37" i="17"/>
  <c r="N37" i="17" s="1"/>
  <c r="K38" i="17"/>
  <c r="M39" i="17"/>
  <c r="K14" i="16"/>
  <c r="L14" i="16" s="1"/>
  <c r="M14" i="16" s="1"/>
  <c r="E17" i="17"/>
  <c r="K19" i="17"/>
  <c r="J37" i="17"/>
  <c r="E2" i="17"/>
  <c r="L7" i="17"/>
  <c r="B9" i="17"/>
  <c r="G9" i="17" s="1"/>
  <c r="J12" i="17"/>
  <c r="L13" i="17"/>
  <c r="B15" i="17"/>
  <c r="F17" i="17"/>
  <c r="J18" i="17"/>
  <c r="L19" i="17"/>
  <c r="D22" i="17"/>
  <c r="F23" i="17"/>
  <c r="J24" i="17"/>
  <c r="L25" i="17"/>
  <c r="B27" i="17"/>
  <c r="D28" i="17"/>
  <c r="F29" i="17"/>
  <c r="F34" i="17"/>
  <c r="K37" i="17"/>
  <c r="M38" i="17"/>
  <c r="K34" i="16"/>
  <c r="C29" i="17"/>
  <c r="E29" i="17"/>
  <c r="F2" i="17"/>
  <c r="E5" i="17"/>
  <c r="M7" i="17"/>
  <c r="C9" i="17"/>
  <c r="C15" i="17"/>
  <c r="I17" i="17"/>
  <c r="N17" i="17" s="1"/>
  <c r="E22" i="17"/>
  <c r="K24" i="17"/>
  <c r="C27" i="17"/>
  <c r="E28" i="17"/>
  <c r="I29" i="17"/>
  <c r="N29" i="17" s="1"/>
  <c r="B39" i="17"/>
  <c r="G39" i="17" s="1"/>
  <c r="L13" i="16"/>
  <c r="F5" i="17"/>
  <c r="B8" i="17"/>
  <c r="G8" i="17" s="1"/>
  <c r="D9" i="17"/>
  <c r="B14" i="17"/>
  <c r="G14" i="17" s="1"/>
  <c r="D15" i="17"/>
  <c r="F22" i="17"/>
  <c r="D27" i="17"/>
  <c r="F28" i="17"/>
  <c r="E32" i="17"/>
  <c r="C39" i="17"/>
  <c r="K43" i="16"/>
  <c r="J5" i="17"/>
  <c r="I22" i="17"/>
  <c r="N22" i="17" s="1"/>
  <c r="F32" i="17"/>
  <c r="E35" i="17"/>
  <c r="B38" i="17"/>
  <c r="G38" i="17" s="1"/>
  <c r="D3" i="17"/>
  <c r="B19" i="17"/>
  <c r="G19" i="17" s="1"/>
  <c r="F35" i="17"/>
  <c r="K45" i="16"/>
  <c r="L45" i="16" s="1"/>
  <c r="M45" i="16" s="1"/>
  <c r="M14" i="17"/>
  <c r="Q15" i="16"/>
  <c r="E3" i="17"/>
  <c r="K24" i="16"/>
  <c r="I5" i="30"/>
  <c r="B5" i="30"/>
  <c r="J5" i="30"/>
  <c r="C5" i="30"/>
  <c r="K5" i="30"/>
  <c r="D5" i="30"/>
  <c r="K9" i="30"/>
  <c r="D9" i="30"/>
  <c r="K8" i="30"/>
  <c r="D8" i="30"/>
  <c r="K7" i="30"/>
  <c r="D7" i="30"/>
  <c r="J7" i="30"/>
  <c r="C7" i="30"/>
  <c r="C8" i="30"/>
  <c r="J8" i="30"/>
  <c r="J9" i="30"/>
  <c r="C9" i="30"/>
  <c r="I9" i="30"/>
  <c r="B9" i="30"/>
  <c r="I8" i="30"/>
  <c r="B8" i="30"/>
  <c r="I7" i="30"/>
  <c r="B7" i="30"/>
  <c r="D3" i="30"/>
  <c r="K3" i="30"/>
  <c r="K4" i="30"/>
  <c r="D4" i="30"/>
  <c r="J4" i="30"/>
  <c r="C4" i="30"/>
  <c r="B4" i="30"/>
  <c r="I4" i="30"/>
  <c r="B3" i="30"/>
  <c r="I3" i="30"/>
  <c r="C3" i="30"/>
  <c r="J3" i="30"/>
  <c r="K2" i="30"/>
  <c r="D2" i="30"/>
  <c r="J2" i="30"/>
  <c r="C2" i="30"/>
  <c r="B2" i="30"/>
  <c r="I2" i="30"/>
  <c r="Q55" i="20"/>
  <c r="L55" i="20"/>
  <c r="M55" i="20" s="1"/>
  <c r="Q84" i="20"/>
  <c r="L35" i="20"/>
  <c r="M35" i="20" s="1"/>
  <c r="Q35" i="20"/>
  <c r="Q45" i="20"/>
  <c r="L45" i="20"/>
  <c r="M45" i="20" s="1"/>
  <c r="Q44" i="20"/>
  <c r="L44" i="20"/>
  <c r="M44" i="20" s="1"/>
  <c r="L34" i="20"/>
  <c r="M34" i="20" s="1"/>
  <c r="L73" i="20"/>
  <c r="G10" i="19"/>
  <c r="G136" i="19" s="1"/>
  <c r="G109" i="19"/>
  <c r="G59" i="19"/>
  <c r="G185" i="19"/>
  <c r="G135" i="19"/>
  <c r="G85" i="19"/>
  <c r="G35" i="19"/>
  <c r="D20" i="19" a="1"/>
  <c r="D20" i="19" s="1"/>
  <c r="D63" i="19" a="1"/>
  <c r="D63" i="19" s="1"/>
  <c r="D64" i="19" a="1"/>
  <c r="D64" i="19" s="1"/>
  <c r="D65" i="19" a="1"/>
  <c r="D65" i="19" s="1"/>
  <c r="D66" i="19" a="1"/>
  <c r="D66" i="19" s="1"/>
  <c r="D67" i="19" a="1"/>
  <c r="D67" i="19" s="1"/>
  <c r="D68" i="19" a="1"/>
  <c r="D68" i="19" s="1"/>
  <c r="D69" i="19" a="1"/>
  <c r="D69" i="19" s="1"/>
  <c r="D70" i="19" a="1"/>
  <c r="D70" i="19" s="1"/>
  <c r="D71" i="19" a="1"/>
  <c r="D71" i="19" s="1"/>
  <c r="D62" i="19" a="1"/>
  <c r="D62" i="19" s="1"/>
  <c r="D165" i="19" a="1"/>
  <c r="D165" i="19" s="1"/>
  <c r="D166" i="19" a="1"/>
  <c r="D166" i="19" s="1"/>
  <c r="D167" i="19" a="1"/>
  <c r="D167" i="19" s="1"/>
  <c r="D168" i="19" a="1"/>
  <c r="D168" i="19" s="1"/>
  <c r="D169" i="19" a="1"/>
  <c r="D169" i="19" s="1"/>
  <c r="D170" i="19" a="1"/>
  <c r="D170" i="19" s="1"/>
  <c r="D171" i="19" a="1"/>
  <c r="D171" i="19" s="1"/>
  <c r="D162" i="19" a="1"/>
  <c r="D162" i="19" s="1"/>
  <c r="D163" i="19" a="1"/>
  <c r="D163" i="19" s="1"/>
  <c r="D164" i="19" a="1"/>
  <c r="D164" i="19" s="1"/>
  <c r="D40" i="19" a="1"/>
  <c r="D40" i="19" s="1"/>
  <c r="D46" i="19" a="1"/>
  <c r="D46" i="19" s="1"/>
  <c r="D41" i="19" a="1"/>
  <c r="D41" i="19" s="1"/>
  <c r="D42" i="19" a="1"/>
  <c r="D42" i="19" s="1"/>
  <c r="D43" i="19" a="1"/>
  <c r="D43" i="19" s="1"/>
  <c r="D44" i="19" a="1"/>
  <c r="D44" i="19" s="1"/>
  <c r="D45" i="19" a="1"/>
  <c r="D45" i="19" s="1"/>
  <c r="D47" i="19" a="1"/>
  <c r="D47" i="19" s="1"/>
  <c r="D38" i="19" a="1"/>
  <c r="D38" i="19" s="1"/>
  <c r="D39" i="19" a="1"/>
  <c r="D39" i="19" s="1"/>
  <c r="D96" i="19" a="1"/>
  <c r="D96" i="19" s="1"/>
  <c r="D118" i="19" a="1"/>
  <c r="D118" i="19" s="1"/>
  <c r="D142" i="19" a="1"/>
  <c r="D142" i="19" s="1"/>
  <c r="D95" i="19" a="1"/>
  <c r="D95" i="19" s="1"/>
  <c r="D117" i="19" a="1"/>
  <c r="D117" i="19" s="1"/>
  <c r="D141" i="19" a="1"/>
  <c r="D141" i="19" s="1"/>
  <c r="D94" i="19" a="1"/>
  <c r="D94" i="19" s="1"/>
  <c r="D116" i="19" a="1"/>
  <c r="D116" i="19" s="1"/>
  <c r="D140" i="19" a="1"/>
  <c r="D140" i="19" s="1"/>
  <c r="D188" i="19" a="1"/>
  <c r="D188" i="19" s="1"/>
  <c r="D93" i="19" a="1"/>
  <c r="D93" i="19" s="1"/>
  <c r="D115" i="19" a="1"/>
  <c r="D115" i="19" s="1"/>
  <c r="D139" i="19" a="1"/>
  <c r="D139" i="19" s="1"/>
  <c r="D197" i="19" a="1"/>
  <c r="D197" i="19" s="1"/>
  <c r="D92" i="19" a="1"/>
  <c r="D92" i="19" s="1"/>
  <c r="D114" i="19" a="1"/>
  <c r="D114" i="19" s="1"/>
  <c r="D196" i="19" a="1"/>
  <c r="D196" i="19" s="1"/>
  <c r="D91" i="19" a="1"/>
  <c r="D91" i="19" s="1"/>
  <c r="D113" i="19" a="1"/>
  <c r="D113" i="19" s="1"/>
  <c r="D195" i="19" a="1"/>
  <c r="D195" i="19" s="1"/>
  <c r="D90" i="19" a="1"/>
  <c r="D90" i="19" s="1"/>
  <c r="D138" i="19" a="1"/>
  <c r="D138" i="19" s="1"/>
  <c r="D194" i="19" a="1"/>
  <c r="D194" i="19" s="1"/>
  <c r="D89" i="19" a="1"/>
  <c r="D89" i="19" s="1"/>
  <c r="D147" i="19" a="1"/>
  <c r="D147" i="19" s="1"/>
  <c r="D193" i="19" a="1"/>
  <c r="D193" i="19" s="1"/>
  <c r="D112" i="19" a="1"/>
  <c r="D112" i="19" s="1"/>
  <c r="D146" i="19" a="1"/>
  <c r="D146" i="19" s="1"/>
  <c r="D192" i="19" a="1"/>
  <c r="D192" i="19" s="1"/>
  <c r="D121" i="19" a="1"/>
  <c r="D121" i="19" s="1"/>
  <c r="D145" i="19" a="1"/>
  <c r="D145" i="19" s="1"/>
  <c r="D191" i="19" a="1"/>
  <c r="D191" i="19" s="1"/>
  <c r="D88" i="19" a="1"/>
  <c r="D88" i="19" s="1"/>
  <c r="D120" i="19" a="1"/>
  <c r="D120" i="19" s="1"/>
  <c r="D144" i="19" a="1"/>
  <c r="D144" i="19" s="1"/>
  <c r="D190" i="19" a="1"/>
  <c r="D190" i="19" s="1"/>
  <c r="D35" i="17"/>
  <c r="G35" i="17" s="1"/>
  <c r="C34" i="17"/>
  <c r="B33" i="17"/>
  <c r="D34" i="17"/>
  <c r="C33" i="17"/>
  <c r="I35" i="17"/>
  <c r="B32" i="17"/>
  <c r="D33" i="17"/>
  <c r="J35" i="17"/>
  <c r="C32" i="17"/>
  <c r="I34" i="17"/>
  <c r="N34" i="17" s="1"/>
  <c r="D32" i="17"/>
  <c r="I32" i="17"/>
  <c r="N32" i="17" s="1"/>
  <c r="N33" i="17"/>
  <c r="C2" i="17"/>
  <c r="I4" i="17"/>
  <c r="K5" i="17"/>
  <c r="D2" i="17"/>
  <c r="J4" i="17"/>
  <c r="I3" i="17"/>
  <c r="K4" i="17"/>
  <c r="J3" i="17"/>
  <c r="I2" i="17"/>
  <c r="N2" i="17" s="1"/>
  <c r="B5" i="17"/>
  <c r="B4" i="17"/>
  <c r="G4" i="17" s="1"/>
  <c r="B82" i="17"/>
  <c r="D113" i="17"/>
  <c r="G113" i="17" s="1"/>
  <c r="B118" i="17"/>
  <c r="D82" i="17"/>
  <c r="B87" i="17"/>
  <c r="F95" i="17"/>
  <c r="L103" i="17"/>
  <c r="N103" i="17" s="1"/>
  <c r="J108" i="17"/>
  <c r="F113" i="17"/>
  <c r="D118" i="17"/>
  <c r="E88" i="17"/>
  <c r="M115" i="17"/>
  <c r="C92" i="17"/>
  <c r="G92" i="17" s="1"/>
  <c r="K98" i="16" s="1"/>
  <c r="E105" i="17"/>
  <c r="G105" i="17" s="1"/>
  <c r="Q73" i="16"/>
  <c r="M73" i="16"/>
  <c r="L73" i="16"/>
  <c r="L65" i="16"/>
  <c r="M65" i="16" s="1"/>
  <c r="Q65" i="16"/>
  <c r="K42" i="17"/>
  <c r="N42" i="17" s="1"/>
  <c r="I47" i="17"/>
  <c r="N47" i="17" s="1"/>
  <c r="K53" i="16" s="1"/>
  <c r="M55" i="17"/>
  <c r="M73" i="17"/>
  <c r="K78" i="17"/>
  <c r="E63" i="17"/>
  <c r="C68" i="17"/>
  <c r="J52" i="17"/>
  <c r="N52" i="17" s="1"/>
  <c r="K58" i="16" s="1"/>
  <c r="L65" i="17"/>
  <c r="N65" i="17" s="1"/>
  <c r="F75" i="17"/>
  <c r="E68" i="17"/>
  <c r="B42" i="17"/>
  <c r="G42" i="17" s="1"/>
  <c r="D73" i="17"/>
  <c r="G73" i="17" s="1"/>
  <c r="K79" i="16" s="1"/>
  <c r="B78" i="17"/>
  <c r="G78" i="17" s="1"/>
  <c r="Q43" i="16"/>
  <c r="Q13" i="16"/>
  <c r="Q54" i="16"/>
  <c r="L44" i="16"/>
  <c r="M44" i="16" s="1"/>
  <c r="Q44" i="16"/>
  <c r="Q74" i="16"/>
  <c r="L74" i="16"/>
  <c r="M74" i="16" s="1"/>
  <c r="Q34" i="16"/>
  <c r="L34" i="16"/>
  <c r="M34" i="16" s="1"/>
  <c r="L105" i="16"/>
  <c r="M105" i="16" s="1"/>
  <c r="Q105" i="16"/>
  <c r="M114" i="16"/>
  <c r="L114" i="16"/>
  <c r="Q114" i="16"/>
  <c r="Q24" i="16"/>
  <c r="L24" i="16"/>
  <c r="M24" i="16" s="1"/>
  <c r="Q64" i="16"/>
  <c r="L64" i="16"/>
  <c r="M64" i="16" s="1"/>
  <c r="Q84" i="16"/>
  <c r="L84" i="16"/>
  <c r="M84" i="16" s="1"/>
  <c r="L35" i="16"/>
  <c r="M35" i="16" s="1"/>
  <c r="L43" i="16"/>
  <c r="M43" i="16"/>
  <c r="L25" i="16"/>
  <c r="M25" i="16" s="1"/>
  <c r="L85" i="16"/>
  <c r="M85" i="16" s="1"/>
  <c r="L23" i="16"/>
  <c r="L75" i="16"/>
  <c r="M75" i="16" s="1"/>
  <c r="L83" i="16"/>
  <c r="M83" i="16"/>
  <c r="M23" i="16"/>
  <c r="L55" i="16"/>
  <c r="M55" i="16" s="1"/>
  <c r="L115" i="16"/>
  <c r="M115" i="16"/>
  <c r="M91" i="29" l="1"/>
  <c r="L91" i="29"/>
  <c r="M90" i="29"/>
  <c r="Q90" i="29"/>
  <c r="L90" i="29"/>
  <c r="E51" i="9"/>
  <c r="L89" i="29"/>
  <c r="Q89" i="29"/>
  <c r="M89" i="29"/>
  <c r="L88" i="29"/>
  <c r="M88" i="29"/>
  <c r="Q88" i="29"/>
  <c r="M101" i="29"/>
  <c r="L101" i="29"/>
  <c r="Q100" i="29"/>
  <c r="M100" i="29"/>
  <c r="E58" i="9"/>
  <c r="Q99" i="29"/>
  <c r="L99" i="29"/>
  <c r="M99" i="29"/>
  <c r="L98" i="29"/>
  <c r="M98" i="29"/>
  <c r="Q98" i="29"/>
  <c r="L111" i="29"/>
  <c r="Q111" i="29"/>
  <c r="L110" i="29"/>
  <c r="M110" i="29"/>
  <c r="E64" i="9"/>
  <c r="M109" i="29"/>
  <c r="Q109" i="29"/>
  <c r="L109" i="29"/>
  <c r="E62" i="9"/>
  <c r="M108" i="29"/>
  <c r="L108" i="29"/>
  <c r="L120" i="29"/>
  <c r="M120" i="29"/>
  <c r="E70" i="9"/>
  <c r="E69" i="9"/>
  <c r="M119" i="29"/>
  <c r="D117" i="29" s="1"/>
  <c r="L119" i="29"/>
  <c r="Q118" i="29"/>
  <c r="L118" i="29"/>
  <c r="E68" i="9"/>
  <c r="L75" i="29"/>
  <c r="M75" i="29" s="1"/>
  <c r="E43" i="9"/>
  <c r="Q74" i="29"/>
  <c r="L74" i="29"/>
  <c r="M74" i="29" s="1"/>
  <c r="M73" i="29"/>
  <c r="Q73" i="29"/>
  <c r="L73" i="29"/>
  <c r="Q71" i="29"/>
  <c r="M71" i="29"/>
  <c r="L71" i="29"/>
  <c r="Q70" i="29"/>
  <c r="M70" i="29"/>
  <c r="L70" i="29"/>
  <c r="L69" i="29"/>
  <c r="Q69" i="29"/>
  <c r="M69" i="29"/>
  <c r="L68" i="29"/>
  <c r="E38" i="9"/>
  <c r="Q68" i="29"/>
  <c r="Q53" i="29"/>
  <c r="M53" i="29"/>
  <c r="L53" i="29"/>
  <c r="L51" i="29"/>
  <c r="Q51" i="29"/>
  <c r="Q50" i="29"/>
  <c r="L50" i="29"/>
  <c r="M50" i="29"/>
  <c r="L49" i="29"/>
  <c r="Q49" i="29"/>
  <c r="E27" i="9"/>
  <c r="M48" i="29"/>
  <c r="L48" i="29"/>
  <c r="Q48" i="29"/>
  <c r="M81" i="29"/>
  <c r="Q81" i="29"/>
  <c r="L80" i="29"/>
  <c r="M80" i="29"/>
  <c r="Q80" i="29"/>
  <c r="Q78" i="29"/>
  <c r="M78" i="29"/>
  <c r="L78" i="29"/>
  <c r="Q61" i="29"/>
  <c r="L61" i="29"/>
  <c r="M60" i="29"/>
  <c r="D57" i="29" s="1"/>
  <c r="Q59" i="29"/>
  <c r="L58" i="29"/>
  <c r="B57" i="29" s="1"/>
  <c r="Q58" i="29"/>
  <c r="E32" i="9"/>
  <c r="L14" i="29"/>
  <c r="M14" i="29" s="1"/>
  <c r="Q14" i="29"/>
  <c r="L13" i="29"/>
  <c r="M13" i="29"/>
  <c r="Q13" i="29"/>
  <c r="M11" i="29"/>
  <c r="L11" i="29"/>
  <c r="E4" i="9"/>
  <c r="M10" i="29"/>
  <c r="L10" i="29"/>
  <c r="Q10" i="29"/>
  <c r="Q9" i="29"/>
  <c r="M9" i="29"/>
  <c r="Q8" i="29"/>
  <c r="L8" i="29"/>
  <c r="M8" i="29"/>
  <c r="Q45" i="29"/>
  <c r="L45" i="29"/>
  <c r="M45" i="29" s="1"/>
  <c r="Q44" i="29"/>
  <c r="L44" i="29"/>
  <c r="M44" i="29" s="1"/>
  <c r="E23" i="9"/>
  <c r="L43" i="29"/>
  <c r="M43" i="29"/>
  <c r="L41" i="29"/>
  <c r="Q41" i="29"/>
  <c r="L39" i="29"/>
  <c r="E21" i="9"/>
  <c r="M39" i="29"/>
  <c r="L38" i="29"/>
  <c r="M38" i="29"/>
  <c r="Q38" i="29"/>
  <c r="L23" i="29"/>
  <c r="E11" i="9"/>
  <c r="M21" i="29"/>
  <c r="L21" i="29"/>
  <c r="L20" i="29"/>
  <c r="Q20" i="29"/>
  <c r="E10" i="9"/>
  <c r="L19" i="29"/>
  <c r="Q19" i="29"/>
  <c r="M19" i="29"/>
  <c r="Q18" i="29"/>
  <c r="E8" i="9"/>
  <c r="L18" i="29"/>
  <c r="Q33" i="29"/>
  <c r="M33" i="29"/>
  <c r="L33" i="29"/>
  <c r="L31" i="29"/>
  <c r="M31" i="29"/>
  <c r="L30" i="29"/>
  <c r="M30" i="29"/>
  <c r="Q30" i="29"/>
  <c r="L29" i="29"/>
  <c r="M29" i="29"/>
  <c r="Q28" i="29"/>
  <c r="L28" i="29"/>
  <c r="M28" i="29"/>
  <c r="M93" i="28"/>
  <c r="Q93" i="28"/>
  <c r="M91" i="28"/>
  <c r="L91" i="28"/>
  <c r="L90" i="28"/>
  <c r="M90" i="28"/>
  <c r="Q90" i="28"/>
  <c r="M89" i="28"/>
  <c r="L89" i="28"/>
  <c r="Q88" i="28"/>
  <c r="M88" i="28"/>
  <c r="D87" i="28" s="1"/>
  <c r="L88" i="28"/>
  <c r="B87" i="28" s="1"/>
  <c r="L103" i="28"/>
  <c r="M103" i="28"/>
  <c r="M101" i="28"/>
  <c r="L101" i="28"/>
  <c r="Q99" i="28"/>
  <c r="M99" i="28"/>
  <c r="L99" i="28"/>
  <c r="Q98" i="28"/>
  <c r="M98" i="28"/>
  <c r="L98" i="28"/>
  <c r="L111" i="28"/>
  <c r="M111" i="28"/>
  <c r="M110" i="28"/>
  <c r="Q110" i="28"/>
  <c r="Q109" i="28"/>
  <c r="M109" i="28"/>
  <c r="L109" i="28"/>
  <c r="L108" i="28"/>
  <c r="M108" i="28"/>
  <c r="Q108" i="28"/>
  <c r="Q121" i="28"/>
  <c r="L121" i="28"/>
  <c r="Q120" i="28"/>
  <c r="M120" i="28"/>
  <c r="M119" i="28"/>
  <c r="L119" i="28"/>
  <c r="B117" i="28" s="1"/>
  <c r="M118" i="28"/>
  <c r="M63" i="28"/>
  <c r="Q63" i="28"/>
  <c r="L63" i="28"/>
  <c r="L61" i="28"/>
  <c r="M61" i="28"/>
  <c r="Q61" i="28"/>
  <c r="M60" i="28"/>
  <c r="Q60" i="28"/>
  <c r="L60" i="28"/>
  <c r="L59" i="28"/>
  <c r="M59" i="28"/>
  <c r="Q59" i="28"/>
  <c r="L58" i="28"/>
  <c r="M58" i="28"/>
  <c r="Q83" i="28"/>
  <c r="M83" i="28"/>
  <c r="L83" i="28"/>
  <c r="L81" i="28"/>
  <c r="M81" i="28"/>
  <c r="L80" i="28"/>
  <c r="M80" i="28"/>
  <c r="Q80" i="28"/>
  <c r="M79" i="28"/>
  <c r="Q79" i="28"/>
  <c r="Q78" i="28"/>
  <c r="M78" i="28"/>
  <c r="L78" i="28"/>
  <c r="Q51" i="28"/>
  <c r="L51" i="28"/>
  <c r="Q49" i="28"/>
  <c r="L49" i="28"/>
  <c r="M48" i="28"/>
  <c r="D47" i="28" s="1"/>
  <c r="L48" i="28"/>
  <c r="L71" i="28"/>
  <c r="M70" i="28"/>
  <c r="M68" i="28"/>
  <c r="D67" i="28" s="1"/>
  <c r="Q68" i="28"/>
  <c r="L68" i="28"/>
  <c r="B67" i="28" s="1"/>
  <c r="L35" i="28"/>
  <c r="M35" i="28" s="1"/>
  <c r="L34" i="28"/>
  <c r="M34" i="28" s="1"/>
  <c r="Q34" i="28"/>
  <c r="L33" i="28"/>
  <c r="M31" i="28"/>
  <c r="L31" i="28"/>
  <c r="L30" i="28"/>
  <c r="M30" i="28"/>
  <c r="Q30" i="28"/>
  <c r="M29" i="28"/>
  <c r="L29" i="28"/>
  <c r="Q28" i="28"/>
  <c r="Q44" i="28"/>
  <c r="L41" i="28"/>
  <c r="Q41" i="28"/>
  <c r="Q40" i="28"/>
  <c r="M40" i="28"/>
  <c r="L40" i="28"/>
  <c r="M39" i="28"/>
  <c r="Q39" i="28"/>
  <c r="L39" i="28"/>
  <c r="L38" i="28"/>
  <c r="M38" i="28"/>
  <c r="D37" i="28" s="1"/>
  <c r="Q38" i="28"/>
  <c r="Q20" i="28"/>
  <c r="L20" i="28"/>
  <c r="M20" i="28"/>
  <c r="Q19" i="28"/>
  <c r="L19" i="28"/>
  <c r="M18" i="28"/>
  <c r="Q18" i="28"/>
  <c r="L18" i="28"/>
  <c r="L11" i="28"/>
  <c r="M11" i="28"/>
  <c r="M10" i="28"/>
  <c r="Q10" i="28"/>
  <c r="L10" i="28"/>
  <c r="L8" i="28"/>
  <c r="M8" i="28"/>
  <c r="Q8" i="28"/>
  <c r="G47" i="30"/>
  <c r="N47" i="30"/>
  <c r="N45" i="30"/>
  <c r="G45" i="30"/>
  <c r="K51" i="20" s="1"/>
  <c r="Q51" i="20" s="1"/>
  <c r="G44" i="30"/>
  <c r="N44" i="30"/>
  <c r="G43" i="30"/>
  <c r="N43" i="30"/>
  <c r="G42" i="30"/>
  <c r="N42" i="30"/>
  <c r="K48" i="20" s="1"/>
  <c r="G77" i="30"/>
  <c r="N77" i="30"/>
  <c r="K83" i="20" s="1"/>
  <c r="Q83" i="20" s="1"/>
  <c r="N75" i="30"/>
  <c r="G75" i="30"/>
  <c r="K81" i="20" s="1"/>
  <c r="M81" i="20" s="1"/>
  <c r="G74" i="30"/>
  <c r="K80" i="20" s="1"/>
  <c r="M80" i="20" s="1"/>
  <c r="N74" i="30"/>
  <c r="G73" i="30"/>
  <c r="K79" i="20" s="1"/>
  <c r="L79" i="20" s="1"/>
  <c r="M79" i="20"/>
  <c r="G72" i="30"/>
  <c r="N72" i="30"/>
  <c r="K78" i="20" s="1"/>
  <c r="M51" i="20"/>
  <c r="L75" i="20"/>
  <c r="M75" i="20" s="1"/>
  <c r="L65" i="20"/>
  <c r="M65" i="20" s="1"/>
  <c r="L85" i="20"/>
  <c r="M85" i="20" s="1"/>
  <c r="G68" i="30"/>
  <c r="N68" i="30"/>
  <c r="M73" i="20"/>
  <c r="G65" i="30"/>
  <c r="N65" i="30"/>
  <c r="K71" i="20" s="1"/>
  <c r="N64" i="30"/>
  <c r="G64" i="30"/>
  <c r="G63" i="30"/>
  <c r="N63" i="30"/>
  <c r="G62" i="30"/>
  <c r="N62" i="30"/>
  <c r="N57" i="30"/>
  <c r="G57" i="30"/>
  <c r="G55" i="30"/>
  <c r="N55" i="30"/>
  <c r="M60" i="20"/>
  <c r="Q60" i="20"/>
  <c r="L60" i="20"/>
  <c r="G53" i="30"/>
  <c r="N53" i="30"/>
  <c r="G52" i="30"/>
  <c r="N52" i="30"/>
  <c r="G19" i="30"/>
  <c r="N19" i="30"/>
  <c r="G18" i="30"/>
  <c r="K24" i="20" s="1"/>
  <c r="Q24" i="20" s="1"/>
  <c r="N18" i="30"/>
  <c r="G17" i="30"/>
  <c r="N17" i="30"/>
  <c r="G15" i="30"/>
  <c r="N15" i="30"/>
  <c r="K21" i="20" s="1"/>
  <c r="M21" i="20" s="1"/>
  <c r="G14" i="30"/>
  <c r="K20" i="20" s="1"/>
  <c r="M20" i="20" s="1"/>
  <c r="N14" i="30"/>
  <c r="G13" i="30"/>
  <c r="N13" i="30"/>
  <c r="G12" i="30"/>
  <c r="N12" i="30"/>
  <c r="K18" i="20" s="1"/>
  <c r="G25" i="30"/>
  <c r="N25" i="30"/>
  <c r="N24" i="30"/>
  <c r="G24" i="30"/>
  <c r="G23" i="30"/>
  <c r="K29" i="20" s="1"/>
  <c r="Q29" i="20" s="1"/>
  <c r="N23" i="30"/>
  <c r="G22" i="30"/>
  <c r="N22" i="30"/>
  <c r="K28" i="20" s="1"/>
  <c r="M28" i="20" s="1"/>
  <c r="G37" i="30"/>
  <c r="K43" i="20" s="1"/>
  <c r="L43" i="20" s="1"/>
  <c r="N37" i="30"/>
  <c r="N35" i="30"/>
  <c r="G35" i="30"/>
  <c r="N34" i="30"/>
  <c r="G34" i="30"/>
  <c r="G33" i="30"/>
  <c r="N33" i="30"/>
  <c r="G32" i="30"/>
  <c r="N32" i="30"/>
  <c r="K38" i="20"/>
  <c r="M38" i="20" s="1"/>
  <c r="N5" i="30"/>
  <c r="G5" i="30"/>
  <c r="G89" i="17"/>
  <c r="K95" i="16" s="1"/>
  <c r="G88" i="17"/>
  <c r="K94" i="16" s="1"/>
  <c r="G87" i="17"/>
  <c r="K93" i="16" s="1"/>
  <c r="Q93" i="16" s="1"/>
  <c r="K91" i="16"/>
  <c r="Q91" i="16" s="1"/>
  <c r="Q90" i="16"/>
  <c r="L90" i="16"/>
  <c r="M90" i="16"/>
  <c r="K89" i="16"/>
  <c r="G82" i="17"/>
  <c r="K88" i="16" s="1"/>
  <c r="Q88" i="16" s="1"/>
  <c r="L125" i="16"/>
  <c r="M125" i="16"/>
  <c r="Q125" i="16"/>
  <c r="G118" i="17"/>
  <c r="K124" i="16" s="1"/>
  <c r="K123" i="16"/>
  <c r="K119" i="16"/>
  <c r="G107" i="17"/>
  <c r="K113" i="16" s="1"/>
  <c r="M113" i="16" s="1"/>
  <c r="G104" i="17"/>
  <c r="G103" i="17"/>
  <c r="N98" i="17"/>
  <c r="K104" i="16"/>
  <c r="N97" i="17"/>
  <c r="K103" i="16"/>
  <c r="M103" i="16" s="1"/>
  <c r="Q101" i="16"/>
  <c r="M101" i="16"/>
  <c r="L101" i="16"/>
  <c r="K100" i="16"/>
  <c r="L99" i="16"/>
  <c r="Q99" i="16"/>
  <c r="M99" i="16"/>
  <c r="Q98" i="16"/>
  <c r="L98" i="16"/>
  <c r="M98" i="16"/>
  <c r="L54" i="16"/>
  <c r="M54" i="16" s="1"/>
  <c r="L53" i="16"/>
  <c r="M53" i="16"/>
  <c r="Q53" i="16"/>
  <c r="L51" i="16"/>
  <c r="Q51" i="16"/>
  <c r="M51" i="16"/>
  <c r="M50" i="16"/>
  <c r="L50" i="16"/>
  <c r="Q50" i="16"/>
  <c r="L49" i="16"/>
  <c r="M49" i="16"/>
  <c r="Q49" i="16"/>
  <c r="K48" i="16"/>
  <c r="L63" i="16"/>
  <c r="M63" i="16"/>
  <c r="Q63" i="16"/>
  <c r="M61" i="16"/>
  <c r="L61" i="16"/>
  <c r="Q61" i="16"/>
  <c r="M60" i="16"/>
  <c r="L60" i="16"/>
  <c r="Q60" i="16"/>
  <c r="K59" i="16"/>
  <c r="L59" i="16" s="1"/>
  <c r="M58" i="16"/>
  <c r="Q58" i="16"/>
  <c r="L58" i="16"/>
  <c r="M81" i="16"/>
  <c r="L81" i="16"/>
  <c r="Q81" i="16"/>
  <c r="K80" i="16"/>
  <c r="Q80" i="16" s="1"/>
  <c r="Q79" i="16"/>
  <c r="L79" i="16"/>
  <c r="M79" i="16"/>
  <c r="G72" i="17"/>
  <c r="K78" i="16" s="1"/>
  <c r="K71" i="16"/>
  <c r="M71" i="16" s="1"/>
  <c r="G64" i="17"/>
  <c r="K70" i="16" s="1"/>
  <c r="Q69" i="16"/>
  <c r="L69" i="16"/>
  <c r="M69" i="16"/>
  <c r="K68" i="16"/>
  <c r="Q68" i="16" s="1"/>
  <c r="N27" i="17"/>
  <c r="G27" i="17"/>
  <c r="K33" i="16" s="1"/>
  <c r="M33" i="16" s="1"/>
  <c r="N25" i="17"/>
  <c r="K31" i="16" s="1"/>
  <c r="Q31" i="16" s="1"/>
  <c r="N24" i="17"/>
  <c r="K30" i="16" s="1"/>
  <c r="G23" i="17"/>
  <c r="K29" i="16" s="1"/>
  <c r="G22" i="17"/>
  <c r="K28" i="16" s="1"/>
  <c r="Q28" i="16" s="1"/>
  <c r="G5" i="17"/>
  <c r="G3" i="17"/>
  <c r="G15" i="17"/>
  <c r="K21" i="16" s="1"/>
  <c r="M21" i="16" s="1"/>
  <c r="K20" i="16"/>
  <c r="Q20" i="16" s="1"/>
  <c r="N13" i="17"/>
  <c r="K19" i="16" s="1"/>
  <c r="N12" i="17"/>
  <c r="K18" i="16" s="1"/>
  <c r="N35" i="17"/>
  <c r="K41" i="16" s="1"/>
  <c r="Q41" i="16" s="1"/>
  <c r="G34" i="17"/>
  <c r="K40" i="16" s="1"/>
  <c r="G33" i="17"/>
  <c r="K39" i="16" s="1"/>
  <c r="Q39" i="16" s="1"/>
  <c r="G32" i="17"/>
  <c r="K38" i="16" s="1"/>
  <c r="M38" i="16" s="1"/>
  <c r="K111" i="16"/>
  <c r="L111" i="16" s="1"/>
  <c r="K109" i="16"/>
  <c r="N3" i="17"/>
  <c r="K110" i="16"/>
  <c r="M110" i="16" s="1"/>
  <c r="K108" i="16"/>
  <c r="N5" i="17"/>
  <c r="K11" i="16" s="1"/>
  <c r="Q11" i="16" s="1"/>
  <c r="N4" i="17"/>
  <c r="K10" i="16" s="1"/>
  <c r="G2" i="17"/>
  <c r="K8" i="16" s="1"/>
  <c r="Q8" i="16" s="1"/>
  <c r="Q54" i="20"/>
  <c r="L64" i="20"/>
  <c r="M64" i="20" s="1"/>
  <c r="L33" i="20"/>
  <c r="M33" i="20"/>
  <c r="Q14" i="16"/>
  <c r="Q45" i="16"/>
  <c r="G7" i="30"/>
  <c r="N7" i="30"/>
  <c r="G8" i="30"/>
  <c r="N8" i="30"/>
  <c r="G9" i="30"/>
  <c r="K15" i="20" s="1"/>
  <c r="Q15" i="20" s="1"/>
  <c r="N9" i="30"/>
  <c r="N3" i="30"/>
  <c r="G3" i="30"/>
  <c r="K9" i="20" s="1"/>
  <c r="M9" i="20" s="1"/>
  <c r="N4" i="30"/>
  <c r="G4" i="30"/>
  <c r="K10" i="20" s="1"/>
  <c r="M10" i="20" s="1"/>
  <c r="N2" i="30"/>
  <c r="G2" i="30"/>
  <c r="K8" i="20" s="1"/>
  <c r="L8" i="20" s="1"/>
  <c r="G160" i="19"/>
  <c r="G186" i="19"/>
  <c r="G36" i="19"/>
  <c r="G86" i="19"/>
  <c r="G110" i="19"/>
  <c r="G60" i="19"/>
  <c r="D87" i="29" l="1"/>
  <c r="B87" i="29"/>
  <c r="D97" i="29"/>
  <c r="B97" i="29"/>
  <c r="B107" i="29"/>
  <c r="D107" i="29"/>
  <c r="B117" i="29"/>
  <c r="R117" i="29" s="1"/>
  <c r="D67" i="29"/>
  <c r="B67" i="29"/>
  <c r="D47" i="29"/>
  <c r="B47" i="29"/>
  <c r="B77" i="29"/>
  <c r="D77" i="29"/>
  <c r="R57" i="29"/>
  <c r="B7" i="29"/>
  <c r="D7" i="29"/>
  <c r="D37" i="29"/>
  <c r="B37" i="29"/>
  <c r="D17" i="29"/>
  <c r="B17" i="29"/>
  <c r="D27" i="29"/>
  <c r="B27" i="29"/>
  <c r="R87" i="28"/>
  <c r="B97" i="28"/>
  <c r="D97" i="28"/>
  <c r="R97" i="28" s="1"/>
  <c r="D107" i="28"/>
  <c r="B107" i="28"/>
  <c r="D117" i="28"/>
  <c r="R117" i="28" s="1"/>
  <c r="D57" i="28"/>
  <c r="B57" i="28"/>
  <c r="B77" i="28"/>
  <c r="D77" i="28"/>
  <c r="B47" i="28"/>
  <c r="R47" i="28" s="1"/>
  <c r="R67" i="28"/>
  <c r="D27" i="28"/>
  <c r="B27" i="28"/>
  <c r="B37" i="28"/>
  <c r="R37" i="28" s="1"/>
  <c r="D17" i="28"/>
  <c r="B17" i="28"/>
  <c r="D7" i="28"/>
  <c r="B7" i="28"/>
  <c r="K50" i="20"/>
  <c r="K53" i="20"/>
  <c r="M53" i="20" s="1"/>
  <c r="L51" i="20"/>
  <c r="K49" i="20"/>
  <c r="M48" i="20"/>
  <c r="L48" i="20"/>
  <c r="Q48" i="20"/>
  <c r="L83" i="20"/>
  <c r="M83" i="20"/>
  <c r="L81" i="20"/>
  <c r="Q81" i="20"/>
  <c r="L80" i="20"/>
  <c r="Q80" i="20"/>
  <c r="Q79" i="20"/>
  <c r="L78" i="20"/>
  <c r="M78" i="20"/>
  <c r="Q78" i="20"/>
  <c r="K59" i="20"/>
  <c r="Q59" i="20" s="1"/>
  <c r="K63" i="20"/>
  <c r="M63" i="20" s="1"/>
  <c r="K70" i="20"/>
  <c r="L70" i="20" s="1"/>
  <c r="K74" i="20"/>
  <c r="L74" i="20" s="1"/>
  <c r="M74" i="20" s="1"/>
  <c r="L71" i="20"/>
  <c r="Q71" i="20"/>
  <c r="M71" i="20"/>
  <c r="K69" i="20"/>
  <c r="K68" i="20"/>
  <c r="M68" i="20" s="1"/>
  <c r="Q63" i="20"/>
  <c r="L63" i="20"/>
  <c r="K61" i="20"/>
  <c r="L61" i="20" s="1"/>
  <c r="M59" i="20"/>
  <c r="L59" i="20"/>
  <c r="K58" i="20"/>
  <c r="M58" i="20" s="1"/>
  <c r="K25" i="20"/>
  <c r="L24" i="20"/>
  <c r="M24" i="20" s="1"/>
  <c r="K23" i="20"/>
  <c r="M23" i="20" s="1"/>
  <c r="Q21" i="20"/>
  <c r="L21" i="20"/>
  <c r="Q20" i="20"/>
  <c r="L20" i="20"/>
  <c r="K19" i="20"/>
  <c r="Q18" i="20"/>
  <c r="L18" i="20"/>
  <c r="M18" i="20"/>
  <c r="K31" i="20"/>
  <c r="K30" i="20"/>
  <c r="Q30" i="20" s="1"/>
  <c r="L29" i="20"/>
  <c r="M29" i="20"/>
  <c r="Q28" i="20"/>
  <c r="L28" i="20"/>
  <c r="M43" i="20"/>
  <c r="Q43" i="20"/>
  <c r="K41" i="20"/>
  <c r="K40" i="20"/>
  <c r="K39" i="20"/>
  <c r="Q38" i="20"/>
  <c r="L38" i="20"/>
  <c r="K11" i="20"/>
  <c r="L11" i="20" s="1"/>
  <c r="Q95" i="16"/>
  <c r="L95" i="16"/>
  <c r="M95" i="16" s="1"/>
  <c r="Q94" i="16"/>
  <c r="L94" i="16"/>
  <c r="M94" i="16" s="1"/>
  <c r="L93" i="16"/>
  <c r="M93" i="16"/>
  <c r="L91" i="16"/>
  <c r="M91" i="16"/>
  <c r="L89" i="16"/>
  <c r="M89" i="16"/>
  <c r="Q89" i="16"/>
  <c r="L88" i="16"/>
  <c r="M88" i="16"/>
  <c r="Q124" i="16"/>
  <c r="M124" i="16"/>
  <c r="L124" i="16"/>
  <c r="L123" i="16"/>
  <c r="M123" i="16"/>
  <c r="Q123" i="16"/>
  <c r="Q113" i="16"/>
  <c r="L113" i="16"/>
  <c r="Q111" i="16"/>
  <c r="M111" i="16"/>
  <c r="Q109" i="16"/>
  <c r="L104" i="16"/>
  <c r="M104" i="16" s="1"/>
  <c r="Q104" i="16"/>
  <c r="Q103" i="16"/>
  <c r="L103" i="16"/>
  <c r="L100" i="16"/>
  <c r="M100" i="16"/>
  <c r="Q100" i="16"/>
  <c r="Q48" i="16"/>
  <c r="L48" i="16"/>
  <c r="B47" i="16" s="1"/>
  <c r="M48" i="16"/>
  <c r="D47" i="16" s="1"/>
  <c r="M59" i="16"/>
  <c r="D57" i="16" s="1"/>
  <c r="Q59" i="16"/>
  <c r="B57" i="16"/>
  <c r="M80" i="16"/>
  <c r="L80" i="16"/>
  <c r="Q78" i="16"/>
  <c r="M78" i="16"/>
  <c r="D77" i="16" s="1"/>
  <c r="L78" i="16"/>
  <c r="B77" i="16" s="1"/>
  <c r="Q71" i="16"/>
  <c r="L71" i="16"/>
  <c r="Q70" i="16"/>
  <c r="M70" i="16"/>
  <c r="L70" i="16"/>
  <c r="L68" i="16"/>
  <c r="M68" i="16"/>
  <c r="L33" i="16"/>
  <c r="Q33" i="16"/>
  <c r="L31" i="16"/>
  <c r="M31" i="16"/>
  <c r="M30" i="16"/>
  <c r="L30" i="16"/>
  <c r="Q30" i="16"/>
  <c r="M29" i="16"/>
  <c r="L29" i="16"/>
  <c r="Q29" i="16"/>
  <c r="M28" i="16"/>
  <c r="L28" i="16"/>
  <c r="K9" i="16"/>
  <c r="Q9" i="16" s="1"/>
  <c r="Q21" i="16"/>
  <c r="L21" i="16"/>
  <c r="L20" i="16"/>
  <c r="M20" i="16"/>
  <c r="L19" i="16"/>
  <c r="Q19" i="16"/>
  <c r="M19" i="16"/>
  <c r="Q18" i="16"/>
  <c r="M18" i="16"/>
  <c r="L18" i="16"/>
  <c r="L41" i="16"/>
  <c r="M41" i="16"/>
  <c r="M40" i="16"/>
  <c r="L40" i="16"/>
  <c r="Q40" i="16"/>
  <c r="M39" i="16"/>
  <c r="L39" i="16"/>
  <c r="L38" i="16"/>
  <c r="Q38" i="16"/>
  <c r="M109" i="16"/>
  <c r="L109" i="16"/>
  <c r="Q110" i="16"/>
  <c r="L110" i="16"/>
  <c r="M108" i="16"/>
  <c r="L108" i="16"/>
  <c r="Q108" i="16"/>
  <c r="M11" i="16"/>
  <c r="L11" i="16"/>
  <c r="Q10" i="16"/>
  <c r="M10" i="16"/>
  <c r="L10" i="16"/>
  <c r="M8" i="16"/>
  <c r="L8" i="16"/>
  <c r="K13" i="20"/>
  <c r="K14" i="20"/>
  <c r="L15" i="20"/>
  <c r="M15" i="20" s="1"/>
  <c r="Q9" i="20"/>
  <c r="L9" i="20"/>
  <c r="Q10" i="20"/>
  <c r="L10" i="20"/>
  <c r="M8" i="20"/>
  <c r="Q8" i="20"/>
  <c r="R87" i="29" l="1"/>
  <c r="R97" i="29"/>
  <c r="R107" i="29"/>
  <c r="R67" i="29"/>
  <c r="R47" i="29"/>
  <c r="R77" i="29"/>
  <c r="R7" i="29"/>
  <c r="R37" i="29"/>
  <c r="R17" i="29"/>
  <c r="R27" i="29"/>
  <c r="R107" i="28"/>
  <c r="R57" i="28"/>
  <c r="R77" i="28"/>
  <c r="R27" i="28"/>
  <c r="R17" i="28"/>
  <c r="R7" i="28"/>
  <c r="L50" i="20"/>
  <c r="Q50" i="20"/>
  <c r="M50" i="20"/>
  <c r="Q53" i="20"/>
  <c r="L53" i="20"/>
  <c r="L49" i="20"/>
  <c r="Q49" i="20"/>
  <c r="M49" i="20"/>
  <c r="D47" i="20" s="1"/>
  <c r="D77" i="20"/>
  <c r="B77" i="20"/>
  <c r="R77" i="20" s="1"/>
  <c r="Q70" i="20"/>
  <c r="M70" i="20"/>
  <c r="Q74" i="20"/>
  <c r="L69" i="20"/>
  <c r="M69" i="20"/>
  <c r="Q69" i="20"/>
  <c r="L68" i="20"/>
  <c r="Q68" i="20"/>
  <c r="Q61" i="20"/>
  <c r="M61" i="20"/>
  <c r="D57" i="20" s="1"/>
  <c r="L58" i="20"/>
  <c r="B57" i="20" s="1"/>
  <c r="Q58" i="20"/>
  <c r="L25" i="20"/>
  <c r="M25" i="20" s="1"/>
  <c r="Q25" i="20"/>
  <c r="L23" i="20"/>
  <c r="Q23" i="20"/>
  <c r="M19" i="20"/>
  <c r="L19" i="20"/>
  <c r="Q19" i="20"/>
  <c r="Q31" i="20"/>
  <c r="L31" i="20"/>
  <c r="M31" i="20"/>
  <c r="L30" i="20"/>
  <c r="M30" i="20"/>
  <c r="Q41" i="20"/>
  <c r="L41" i="20"/>
  <c r="M41" i="20"/>
  <c r="M40" i="20"/>
  <c r="L40" i="20"/>
  <c r="Q40" i="20"/>
  <c r="L39" i="20"/>
  <c r="Q39" i="20"/>
  <c r="M39" i="20"/>
  <c r="M11" i="20"/>
  <c r="Q11" i="20"/>
  <c r="D87" i="16"/>
  <c r="B87" i="16"/>
  <c r="D107" i="16"/>
  <c r="D97" i="16"/>
  <c r="B97" i="16"/>
  <c r="R47" i="16"/>
  <c r="R57" i="16"/>
  <c r="R77" i="16"/>
  <c r="D67" i="16"/>
  <c r="B67" i="16"/>
  <c r="B27" i="16"/>
  <c r="D27" i="16"/>
  <c r="M9" i="16"/>
  <c r="D7" i="16" s="1"/>
  <c r="L9" i="16"/>
  <c r="B7" i="16" s="1"/>
  <c r="B17" i="16"/>
  <c r="D17" i="16"/>
  <c r="B37" i="16"/>
  <c r="D37" i="16"/>
  <c r="B107" i="16"/>
  <c r="Q13" i="20"/>
  <c r="L13" i="20"/>
  <c r="M13" i="20"/>
  <c r="Q14" i="20"/>
  <c r="L14" i="20"/>
  <c r="M14" i="20" s="1"/>
  <c r="J45" i="7"/>
  <c r="I45" i="7"/>
  <c r="H45" i="7"/>
  <c r="G45" i="7"/>
  <c r="F45" i="7"/>
  <c r="J44" i="7"/>
  <c r="I44" i="7"/>
  <c r="H44" i="7"/>
  <c r="G44" i="7"/>
  <c r="F44" i="7"/>
  <c r="J43" i="7"/>
  <c r="I43" i="7"/>
  <c r="H43" i="7"/>
  <c r="G43" i="7"/>
  <c r="F43" i="7"/>
  <c r="J41" i="7"/>
  <c r="I41" i="7"/>
  <c r="H41" i="7"/>
  <c r="G41" i="7"/>
  <c r="F41" i="7"/>
  <c r="J40" i="7"/>
  <c r="I40" i="7"/>
  <c r="H40" i="7"/>
  <c r="G40" i="7"/>
  <c r="F40" i="7"/>
  <c r="J39" i="7"/>
  <c r="I39" i="7"/>
  <c r="H39" i="7"/>
  <c r="G39" i="7"/>
  <c r="F39" i="7"/>
  <c r="J38" i="7"/>
  <c r="I38" i="7"/>
  <c r="H38" i="7"/>
  <c r="G38" i="7"/>
  <c r="F38" i="7"/>
  <c r="W103" i="15"/>
  <c r="K103" i="15"/>
  <c r="P95" i="15"/>
  <c r="L95" i="15"/>
  <c r="E95" i="15"/>
  <c r="S93" i="15"/>
  <c r="B93" i="15"/>
  <c r="W73" i="15"/>
  <c r="K73" i="15"/>
  <c r="P65" i="15"/>
  <c r="L65" i="15"/>
  <c r="E65" i="15"/>
  <c r="S63" i="15"/>
  <c r="B63" i="15"/>
  <c r="W43" i="15"/>
  <c r="K43" i="15"/>
  <c r="P35" i="15"/>
  <c r="L35" i="15"/>
  <c r="E35" i="15"/>
  <c r="S33" i="15"/>
  <c r="B33" i="15"/>
  <c r="W13" i="15"/>
  <c r="K13" i="15"/>
  <c r="W103" i="14"/>
  <c r="K103" i="14"/>
  <c r="P95" i="14"/>
  <c r="L95" i="14"/>
  <c r="E95" i="14"/>
  <c r="S93" i="14"/>
  <c r="B93" i="14"/>
  <c r="W73" i="14"/>
  <c r="K73" i="14"/>
  <c r="P65" i="14"/>
  <c r="L65" i="14"/>
  <c r="E65" i="14"/>
  <c r="S63" i="14"/>
  <c r="B63" i="14"/>
  <c r="W43" i="14"/>
  <c r="K43" i="14"/>
  <c r="P35" i="14"/>
  <c r="L35" i="14"/>
  <c r="E35" i="14"/>
  <c r="S33" i="14"/>
  <c r="B33" i="14"/>
  <c r="W13" i="14"/>
  <c r="K13" i="14"/>
  <c r="W103" i="13"/>
  <c r="K103" i="13"/>
  <c r="P95" i="13"/>
  <c r="L95" i="13"/>
  <c r="E95" i="13"/>
  <c r="S93" i="13"/>
  <c r="B93" i="13"/>
  <c r="W73" i="13"/>
  <c r="K73" i="13"/>
  <c r="P65" i="13"/>
  <c r="L65" i="13"/>
  <c r="E65" i="13"/>
  <c r="S63" i="13"/>
  <c r="B63" i="13"/>
  <c r="W43" i="13"/>
  <c r="K43" i="13"/>
  <c r="P35" i="13"/>
  <c r="L35" i="13"/>
  <c r="E35" i="13"/>
  <c r="S33" i="13"/>
  <c r="B33" i="13"/>
  <c r="W13" i="13"/>
  <c r="K13" i="13"/>
  <c r="B47" i="20" l="1"/>
  <c r="R47" i="20"/>
  <c r="D67" i="20"/>
  <c r="B67" i="20"/>
  <c r="R67" i="20" s="1"/>
  <c r="R57" i="20"/>
  <c r="D17" i="20"/>
  <c r="B17" i="20"/>
  <c r="D27" i="20"/>
  <c r="B27" i="20"/>
  <c r="D37" i="20"/>
  <c r="B37" i="20"/>
  <c r="R87" i="16"/>
  <c r="R107" i="16"/>
  <c r="R97" i="16"/>
  <c r="R67" i="16"/>
  <c r="R27" i="16"/>
  <c r="R17" i="16"/>
  <c r="R37" i="16"/>
  <c r="R7" i="16"/>
  <c r="D7" i="20"/>
  <c r="B7" i="20"/>
  <c r="W103" i="12"/>
  <c r="K103" i="12"/>
  <c r="P95" i="12"/>
  <c r="L95" i="12"/>
  <c r="E95" i="12"/>
  <c r="S93" i="12"/>
  <c r="B93" i="12"/>
  <c r="W73" i="12"/>
  <c r="K73" i="12"/>
  <c r="P65" i="12"/>
  <c r="L65" i="12"/>
  <c r="E65" i="12"/>
  <c r="S63" i="12"/>
  <c r="B63" i="12"/>
  <c r="W43" i="12"/>
  <c r="K43" i="12"/>
  <c r="P35" i="12"/>
  <c r="L35" i="12"/>
  <c r="E35" i="12"/>
  <c r="S33" i="12"/>
  <c r="B33" i="12"/>
  <c r="W13" i="12"/>
  <c r="K13" i="12"/>
  <c r="W103" i="6"/>
  <c r="K103" i="6"/>
  <c r="P95" i="6"/>
  <c r="L95" i="6"/>
  <c r="E95" i="6"/>
  <c r="S93" i="6"/>
  <c r="B93" i="6"/>
  <c r="W73" i="6"/>
  <c r="K73" i="6"/>
  <c r="P65" i="6"/>
  <c r="L65" i="6"/>
  <c r="E65" i="6"/>
  <c r="S63" i="6"/>
  <c r="B63" i="6"/>
  <c r="W43" i="6"/>
  <c r="K43" i="6"/>
  <c r="P35" i="6"/>
  <c r="L35" i="6"/>
  <c r="E35" i="6"/>
  <c r="S33" i="6"/>
  <c r="B33" i="6"/>
  <c r="W13" i="6"/>
  <c r="K13" i="6"/>
  <c r="P35" i="5"/>
  <c r="W103" i="5"/>
  <c r="K103" i="5"/>
  <c r="P95" i="5"/>
  <c r="L95" i="5"/>
  <c r="E95" i="5"/>
  <c r="S93" i="5"/>
  <c r="B93" i="5"/>
  <c r="W73" i="5"/>
  <c r="K73" i="5"/>
  <c r="P65" i="5"/>
  <c r="L65" i="5"/>
  <c r="E65" i="5"/>
  <c r="S63" i="5"/>
  <c r="B63" i="5"/>
  <c r="W43" i="5"/>
  <c r="K43" i="5"/>
  <c r="L35" i="5"/>
  <c r="E35" i="5"/>
  <c r="S33" i="5"/>
  <c r="B33" i="5"/>
  <c r="W13" i="5"/>
  <c r="K13" i="5"/>
  <c r="J35" i="7"/>
  <c r="I35" i="7"/>
  <c r="H35" i="7"/>
  <c r="G35" i="7"/>
  <c r="F35" i="7"/>
  <c r="J34" i="7"/>
  <c r="I34" i="7"/>
  <c r="H34" i="7"/>
  <c r="G34" i="7"/>
  <c r="F34" i="7"/>
  <c r="J33" i="7"/>
  <c r="I33" i="7"/>
  <c r="H33" i="7"/>
  <c r="G33" i="7"/>
  <c r="F33" i="7"/>
  <c r="J31" i="7"/>
  <c r="I31" i="7"/>
  <c r="H31" i="7"/>
  <c r="G31" i="7"/>
  <c r="F31" i="7"/>
  <c r="J30" i="7"/>
  <c r="I30" i="7"/>
  <c r="H30" i="7"/>
  <c r="G30" i="7"/>
  <c r="F30" i="7"/>
  <c r="J29" i="7"/>
  <c r="I29" i="7"/>
  <c r="H29" i="7"/>
  <c r="G29" i="7"/>
  <c r="F29" i="7"/>
  <c r="J28" i="7"/>
  <c r="I28" i="7"/>
  <c r="H28" i="7"/>
  <c r="G28" i="7"/>
  <c r="F28" i="7"/>
  <c r="J25" i="7"/>
  <c r="I25" i="7"/>
  <c r="H25" i="7"/>
  <c r="G25" i="7"/>
  <c r="F25" i="7"/>
  <c r="J24" i="7"/>
  <c r="I24" i="7"/>
  <c r="H24" i="7"/>
  <c r="G24" i="7"/>
  <c r="F24" i="7"/>
  <c r="J23" i="7"/>
  <c r="I23" i="7"/>
  <c r="H23" i="7"/>
  <c r="G23" i="7"/>
  <c r="F23" i="7"/>
  <c r="J21" i="7"/>
  <c r="I21" i="7"/>
  <c r="H21" i="7"/>
  <c r="G21" i="7"/>
  <c r="F21" i="7"/>
  <c r="J20" i="7"/>
  <c r="I20" i="7"/>
  <c r="H20" i="7"/>
  <c r="G20" i="7"/>
  <c r="F20" i="7"/>
  <c r="J19" i="7"/>
  <c r="I19" i="7"/>
  <c r="H19" i="7"/>
  <c r="G19" i="7"/>
  <c r="F19" i="7"/>
  <c r="J18" i="7"/>
  <c r="I18" i="7"/>
  <c r="H18" i="7"/>
  <c r="G18" i="7"/>
  <c r="F18" i="7"/>
  <c r="J15" i="7"/>
  <c r="I15" i="7"/>
  <c r="H15" i="7"/>
  <c r="G15" i="7"/>
  <c r="F15" i="7"/>
  <c r="J14" i="7"/>
  <c r="I14" i="7"/>
  <c r="H14" i="7"/>
  <c r="G14" i="7"/>
  <c r="F14" i="7"/>
  <c r="J13" i="7"/>
  <c r="I13" i="7"/>
  <c r="H13" i="7"/>
  <c r="F13" i="7"/>
  <c r="G13" i="7"/>
  <c r="J11" i="7"/>
  <c r="I11" i="7"/>
  <c r="H11" i="7"/>
  <c r="G11" i="7"/>
  <c r="F11" i="7"/>
  <c r="J10" i="7"/>
  <c r="I10" i="7"/>
  <c r="H10" i="7"/>
  <c r="G10" i="7"/>
  <c r="F10" i="7"/>
  <c r="J9" i="7"/>
  <c r="I9" i="7"/>
  <c r="H9" i="7"/>
  <c r="G9" i="7"/>
  <c r="F9" i="7"/>
  <c r="H8" i="7"/>
  <c r="G8" i="7"/>
  <c r="F8" i="7"/>
  <c r="J8" i="7"/>
  <c r="I8" i="7"/>
  <c r="R17" i="20" l="1"/>
  <c r="R27" i="20"/>
  <c r="R37" i="20"/>
  <c r="R7" i="20"/>
  <c r="J28" i="3"/>
  <c r="R82" i="9"/>
  <c r="R110" i="9" s="1"/>
  <c r="R83" i="9"/>
  <c r="R111" i="9" s="1"/>
  <c r="R84" i="9"/>
  <c r="R112" i="9" s="1"/>
  <c r="R81" i="9"/>
  <c r="R109" i="9" s="1"/>
  <c r="R78" i="9"/>
  <c r="R106" i="9" s="1"/>
  <c r="R79" i="9"/>
  <c r="R107" i="9" s="1"/>
  <c r="R80" i="9"/>
  <c r="R108" i="9" s="1"/>
  <c r="R77" i="9"/>
  <c r="R105" i="9" s="1"/>
  <c r="R74" i="9"/>
  <c r="R102" i="9" s="1"/>
  <c r="R75" i="9"/>
  <c r="R103" i="9" s="1"/>
  <c r="R76" i="9"/>
  <c r="R104" i="9" s="1"/>
  <c r="R73" i="9"/>
  <c r="R101" i="9" s="1"/>
  <c r="R70" i="9"/>
  <c r="R98" i="9" s="1"/>
  <c r="R71" i="9"/>
  <c r="R99" i="9" s="1"/>
  <c r="R72" i="9"/>
  <c r="R100" i="9" s="1"/>
  <c r="R69" i="9"/>
  <c r="R97" i="9" s="1"/>
  <c r="R66" i="9"/>
  <c r="R94" i="9" s="1"/>
  <c r="R67" i="9"/>
  <c r="R95" i="9" s="1"/>
  <c r="R68" i="9"/>
  <c r="R96" i="9" s="1"/>
  <c r="R65" i="9"/>
  <c r="R93" i="9" s="1"/>
  <c r="R62" i="9"/>
  <c r="R90" i="9" s="1"/>
  <c r="R63" i="9"/>
  <c r="R64" i="9"/>
  <c r="R61" i="9"/>
  <c r="R89" i="9" s="1"/>
  <c r="R58" i="9"/>
  <c r="R86" i="9" s="1"/>
  <c r="R59" i="9"/>
  <c r="R87" i="9" s="1"/>
  <c r="R60" i="9"/>
  <c r="R88" i="9" s="1"/>
  <c r="R57" i="9"/>
  <c r="R85" i="9" s="1"/>
  <c r="A112" i="11"/>
  <c r="A113" i="11"/>
  <c r="Q83" i="9" s="1"/>
  <c r="Q111" i="9" s="1"/>
  <c r="A114" i="11"/>
  <c r="A111" i="11"/>
  <c r="A107" i="11"/>
  <c r="A108" i="11"/>
  <c r="A109" i="11"/>
  <c r="A106" i="11"/>
  <c r="Q77" i="9" s="1"/>
  <c r="Q105" i="9" s="1"/>
  <c r="A102" i="11"/>
  <c r="A103" i="11"/>
  <c r="A104" i="11"/>
  <c r="A101" i="11"/>
  <c r="Q73" i="9" s="1"/>
  <c r="Q101" i="9" s="1"/>
  <c r="A97" i="11"/>
  <c r="A98" i="11"/>
  <c r="Q71" i="9" s="1"/>
  <c r="Q99" i="9" s="1"/>
  <c r="A99" i="11"/>
  <c r="A96" i="11"/>
  <c r="Q69" i="9" s="1"/>
  <c r="Q97" i="9" s="1"/>
  <c r="A92" i="11"/>
  <c r="A93" i="11"/>
  <c r="A94" i="11"/>
  <c r="A91" i="11"/>
  <c r="Q65" i="9" s="1"/>
  <c r="Q93" i="9" s="1"/>
  <c r="A87" i="11"/>
  <c r="A88" i="11"/>
  <c r="Q63" i="9" s="1"/>
  <c r="Q91" i="9" s="1"/>
  <c r="A89" i="11"/>
  <c r="Q64" i="9" s="1"/>
  <c r="Q92" i="9" s="1"/>
  <c r="A86" i="11"/>
  <c r="A82" i="11"/>
  <c r="A83" i="11"/>
  <c r="Q59" i="9" s="1"/>
  <c r="Q87" i="9" s="1"/>
  <c r="A84" i="11"/>
  <c r="Q60" i="9" s="1"/>
  <c r="Q88" i="9" s="1"/>
  <c r="A81" i="11"/>
  <c r="D87" i="3"/>
  <c r="D75" i="3"/>
  <c r="D63" i="3"/>
  <c r="D51" i="3"/>
  <c r="D39" i="3"/>
  <c r="D27" i="3"/>
  <c r="D15" i="3"/>
  <c r="D3" i="3"/>
  <c r="R26" i="9"/>
  <c r="R54" i="9" s="1"/>
  <c r="R27" i="9"/>
  <c r="R55" i="9" s="1"/>
  <c r="R28" i="9"/>
  <c r="R56" i="9" s="1"/>
  <c r="R25" i="9"/>
  <c r="R22" i="9"/>
  <c r="R23" i="9"/>
  <c r="R51" i="9" s="1"/>
  <c r="R24" i="9"/>
  <c r="R52" i="9" s="1"/>
  <c r="R21" i="9"/>
  <c r="R49" i="9" s="1"/>
  <c r="R18" i="9"/>
  <c r="R46" i="9" s="1"/>
  <c r="R19" i="9"/>
  <c r="R20" i="9"/>
  <c r="R48" i="9" s="1"/>
  <c r="R17" i="9"/>
  <c r="R14" i="9"/>
  <c r="R42" i="9" s="1"/>
  <c r="R15" i="9"/>
  <c r="R43" i="9" s="1"/>
  <c r="R16" i="9"/>
  <c r="R44" i="9" s="1"/>
  <c r="R13" i="9"/>
  <c r="R41" i="9" s="1"/>
  <c r="R10" i="9"/>
  <c r="R38" i="9" s="1"/>
  <c r="R11" i="9"/>
  <c r="R39" i="9" s="1"/>
  <c r="R12" i="9"/>
  <c r="R9" i="9"/>
  <c r="R37" i="9" s="1"/>
  <c r="R6" i="9"/>
  <c r="R34" i="9" s="1"/>
  <c r="R7" i="9"/>
  <c r="R8" i="9"/>
  <c r="R36" i="9" s="1"/>
  <c r="R5" i="9"/>
  <c r="R33" i="9" s="1"/>
  <c r="R2" i="9"/>
  <c r="R3" i="9"/>
  <c r="R31" i="9" s="1"/>
  <c r="R4" i="9"/>
  <c r="R32" i="9" s="1"/>
  <c r="R1" i="9"/>
  <c r="R29" i="9" s="1"/>
  <c r="C34" i="11"/>
  <c r="C30" i="11"/>
  <c r="C26" i="11"/>
  <c r="C22" i="11"/>
  <c r="C18" i="11"/>
  <c r="C14" i="11"/>
  <c r="C10" i="11"/>
  <c r="C6" i="11"/>
  <c r="A79" i="11"/>
  <c r="Q28" i="9" s="1"/>
  <c r="Q56" i="9" s="1"/>
  <c r="A78" i="11"/>
  <c r="Q27" i="9" s="1"/>
  <c r="Q55" i="9" s="1"/>
  <c r="A77" i="11"/>
  <c r="Q26" i="9" s="1"/>
  <c r="Q54" i="9" s="1"/>
  <c r="A76" i="11"/>
  <c r="Q25" i="9" s="1"/>
  <c r="Q53" i="9" s="1"/>
  <c r="A74" i="11"/>
  <c r="Q24" i="9" s="1"/>
  <c r="Q52" i="9" s="1"/>
  <c r="A73" i="11"/>
  <c r="Q23" i="9" s="1"/>
  <c r="Q51" i="9" s="1"/>
  <c r="A72" i="11"/>
  <c r="G72" i="11" s="1"/>
  <c r="A71" i="11"/>
  <c r="Q21" i="9" s="1"/>
  <c r="Q49" i="9" s="1"/>
  <c r="A69" i="11"/>
  <c r="Q20" i="9" s="1"/>
  <c r="Q48" i="9" s="1"/>
  <c r="A68" i="11"/>
  <c r="Q19" i="9" s="1"/>
  <c r="Q47" i="9" s="1"/>
  <c r="A67" i="11"/>
  <c r="Q18" i="9" s="1"/>
  <c r="Q46" i="9" s="1"/>
  <c r="A66" i="11"/>
  <c r="Q17" i="9" s="1"/>
  <c r="Q45" i="9" s="1"/>
  <c r="A64" i="11"/>
  <c r="Q16" i="9" s="1"/>
  <c r="Q44" i="9" s="1"/>
  <c r="A63" i="11"/>
  <c r="Q15" i="9" s="1"/>
  <c r="Q43" i="9" s="1"/>
  <c r="A62" i="11"/>
  <c r="B62" i="11" s="1"/>
  <c r="A61" i="11"/>
  <c r="Q13" i="9" s="1"/>
  <c r="Q41" i="9" s="1"/>
  <c r="A59" i="11"/>
  <c r="Q12" i="9" s="1"/>
  <c r="Q40" i="9" s="1"/>
  <c r="A58" i="11"/>
  <c r="Q11" i="9" s="1"/>
  <c r="Q39" i="9" s="1"/>
  <c r="A57" i="11"/>
  <c r="Q10" i="9" s="1"/>
  <c r="Q38" i="9" s="1"/>
  <c r="A56" i="11"/>
  <c r="Q9" i="9" s="1"/>
  <c r="Q37" i="9" s="1"/>
  <c r="A54" i="11"/>
  <c r="Q8" i="9" s="1"/>
  <c r="Q36" i="9" s="1"/>
  <c r="A53" i="11"/>
  <c r="Q7" i="9" s="1"/>
  <c r="Q35" i="9" s="1"/>
  <c r="A52" i="11"/>
  <c r="Q6" i="9" s="1"/>
  <c r="Q34" i="9" s="1"/>
  <c r="A51" i="11"/>
  <c r="Q5" i="9" s="1"/>
  <c r="Q33" i="9" s="1"/>
  <c r="A49" i="11"/>
  <c r="Q4" i="9" s="1"/>
  <c r="Q32" i="9" s="1"/>
  <c r="A48" i="11"/>
  <c r="Q3" i="9" s="1"/>
  <c r="Q31" i="9" s="1"/>
  <c r="A47" i="11"/>
  <c r="Q2" i="9" s="1"/>
  <c r="Q30" i="9" s="1"/>
  <c r="A46" i="11"/>
  <c r="B3" i="10"/>
  <c r="C3" i="10"/>
  <c r="D3" i="10"/>
  <c r="E3" i="10"/>
  <c r="F3" i="10"/>
  <c r="I3" i="10"/>
  <c r="J3" i="10"/>
  <c r="K3" i="10"/>
  <c r="L3" i="10"/>
  <c r="M3" i="10"/>
  <c r="B4" i="10"/>
  <c r="C4" i="10"/>
  <c r="D4" i="10"/>
  <c r="E4" i="10"/>
  <c r="F4" i="10"/>
  <c r="I4" i="10"/>
  <c r="J4" i="10"/>
  <c r="K4" i="10"/>
  <c r="L4" i="10"/>
  <c r="M4" i="10"/>
  <c r="B5" i="10"/>
  <c r="C5" i="10"/>
  <c r="D5" i="10"/>
  <c r="E5" i="10"/>
  <c r="F5" i="10"/>
  <c r="I5" i="10"/>
  <c r="J5" i="10"/>
  <c r="K5" i="10"/>
  <c r="L5" i="10"/>
  <c r="M5" i="10"/>
  <c r="B6" i="10"/>
  <c r="G6" i="10" s="1"/>
  <c r="C6" i="10"/>
  <c r="D6" i="10"/>
  <c r="E6" i="10"/>
  <c r="F6" i="10"/>
  <c r="I6" i="10"/>
  <c r="N6" i="10" s="1"/>
  <c r="J6" i="10"/>
  <c r="K6" i="10"/>
  <c r="L6" i="10"/>
  <c r="M6" i="10"/>
  <c r="B7" i="10"/>
  <c r="C7" i="10"/>
  <c r="D7" i="10"/>
  <c r="E7" i="10"/>
  <c r="F7" i="10"/>
  <c r="I7" i="10"/>
  <c r="J7" i="10"/>
  <c r="K7" i="10"/>
  <c r="L7" i="10"/>
  <c r="M7" i="10"/>
  <c r="B8" i="10"/>
  <c r="C8" i="10"/>
  <c r="D8" i="10"/>
  <c r="E8" i="10"/>
  <c r="F8" i="10"/>
  <c r="I8" i="10"/>
  <c r="J8" i="10"/>
  <c r="K8" i="10"/>
  <c r="L8" i="10"/>
  <c r="M8" i="10"/>
  <c r="B9" i="10"/>
  <c r="C9" i="10"/>
  <c r="D9" i="10"/>
  <c r="E9" i="10"/>
  <c r="F9" i="10"/>
  <c r="I9" i="10"/>
  <c r="J9" i="10"/>
  <c r="K9" i="10"/>
  <c r="L9" i="10"/>
  <c r="M9" i="10"/>
  <c r="B10" i="10"/>
  <c r="G10" i="10" s="1"/>
  <c r="C10" i="10"/>
  <c r="D10" i="10"/>
  <c r="E10" i="10"/>
  <c r="F10" i="10"/>
  <c r="I10" i="10"/>
  <c r="N10" i="10" s="1"/>
  <c r="J10" i="10"/>
  <c r="K10" i="10"/>
  <c r="L10" i="10"/>
  <c r="M10" i="10"/>
  <c r="B11" i="10"/>
  <c r="G11" i="10" s="1"/>
  <c r="C11" i="10"/>
  <c r="D11" i="10"/>
  <c r="E11" i="10"/>
  <c r="F11" i="10"/>
  <c r="I11" i="10"/>
  <c r="N11" i="10" s="1"/>
  <c r="J11" i="10"/>
  <c r="K11" i="10"/>
  <c r="L11" i="10"/>
  <c r="M11" i="10"/>
  <c r="B12" i="10"/>
  <c r="C12" i="10"/>
  <c r="D12" i="10"/>
  <c r="E12" i="10"/>
  <c r="F12" i="10"/>
  <c r="I12" i="10"/>
  <c r="J12" i="10"/>
  <c r="K12" i="10"/>
  <c r="L12" i="10"/>
  <c r="M12" i="10"/>
  <c r="B13" i="10"/>
  <c r="C13" i="10"/>
  <c r="D13" i="10"/>
  <c r="E13" i="10"/>
  <c r="F13" i="10"/>
  <c r="I13" i="10"/>
  <c r="J13" i="10"/>
  <c r="K13" i="10"/>
  <c r="L13" i="10"/>
  <c r="M13" i="10"/>
  <c r="B14" i="10"/>
  <c r="C14" i="10"/>
  <c r="D14" i="10"/>
  <c r="E14" i="10"/>
  <c r="F14" i="10"/>
  <c r="I14" i="10"/>
  <c r="J14" i="10"/>
  <c r="K14" i="10"/>
  <c r="L14" i="10"/>
  <c r="M14" i="10"/>
  <c r="B15" i="10"/>
  <c r="C15" i="10"/>
  <c r="D15" i="10"/>
  <c r="E15" i="10"/>
  <c r="F15" i="10"/>
  <c r="I15" i="10"/>
  <c r="J15" i="10"/>
  <c r="K15" i="10"/>
  <c r="L15" i="10"/>
  <c r="M15" i="10"/>
  <c r="B16" i="10"/>
  <c r="G16" i="10" s="1"/>
  <c r="C16" i="10"/>
  <c r="D16" i="10"/>
  <c r="E16" i="10"/>
  <c r="F16" i="10"/>
  <c r="I16" i="10"/>
  <c r="N16" i="10" s="1"/>
  <c r="J16" i="10"/>
  <c r="K16" i="10"/>
  <c r="L16" i="10"/>
  <c r="M16" i="10"/>
  <c r="B17" i="10"/>
  <c r="C17" i="10"/>
  <c r="D17" i="10"/>
  <c r="E17" i="10"/>
  <c r="F17" i="10"/>
  <c r="I17" i="10"/>
  <c r="J17" i="10"/>
  <c r="K17" i="10"/>
  <c r="L17" i="10"/>
  <c r="M17" i="10"/>
  <c r="B18" i="10"/>
  <c r="C18" i="10"/>
  <c r="D18" i="10"/>
  <c r="E18" i="10"/>
  <c r="F18" i="10"/>
  <c r="I18" i="10"/>
  <c r="J18" i="10"/>
  <c r="K18" i="10"/>
  <c r="L18" i="10"/>
  <c r="M18" i="10"/>
  <c r="B19" i="10"/>
  <c r="C19" i="10"/>
  <c r="D19" i="10"/>
  <c r="E19" i="10"/>
  <c r="F19" i="10"/>
  <c r="I19" i="10"/>
  <c r="J19" i="10"/>
  <c r="K19" i="10"/>
  <c r="L19" i="10"/>
  <c r="M19" i="10"/>
  <c r="B20" i="10"/>
  <c r="G20" i="10" s="1"/>
  <c r="C20" i="10"/>
  <c r="D20" i="10"/>
  <c r="E20" i="10"/>
  <c r="F20" i="10"/>
  <c r="I20" i="10"/>
  <c r="N20" i="10" s="1"/>
  <c r="J20" i="10"/>
  <c r="K20" i="10"/>
  <c r="L20" i="10"/>
  <c r="M20" i="10"/>
  <c r="B21" i="10"/>
  <c r="G21" i="10" s="1"/>
  <c r="C21" i="10"/>
  <c r="D21" i="10"/>
  <c r="E21" i="10"/>
  <c r="F21" i="10"/>
  <c r="I21" i="10"/>
  <c r="N21" i="10" s="1"/>
  <c r="J21" i="10"/>
  <c r="K21" i="10"/>
  <c r="L21" i="10"/>
  <c r="M21" i="10"/>
  <c r="B22" i="10"/>
  <c r="C22" i="10"/>
  <c r="D22" i="10"/>
  <c r="E22" i="10"/>
  <c r="F22" i="10"/>
  <c r="I22" i="10"/>
  <c r="J22" i="10"/>
  <c r="K22" i="10"/>
  <c r="L22" i="10"/>
  <c r="M22" i="10"/>
  <c r="B23" i="10"/>
  <c r="C23" i="10"/>
  <c r="D23" i="10"/>
  <c r="E23" i="10"/>
  <c r="F23" i="10"/>
  <c r="I23" i="10"/>
  <c r="J23" i="10"/>
  <c r="K23" i="10"/>
  <c r="L23" i="10"/>
  <c r="M23" i="10"/>
  <c r="B24" i="10"/>
  <c r="C24" i="10"/>
  <c r="D24" i="10"/>
  <c r="E24" i="10"/>
  <c r="F24" i="10"/>
  <c r="I24" i="10"/>
  <c r="J24" i="10"/>
  <c r="K24" i="10"/>
  <c r="L24" i="10"/>
  <c r="M24" i="10"/>
  <c r="B25" i="10"/>
  <c r="C25" i="10"/>
  <c r="D25" i="10"/>
  <c r="E25" i="10"/>
  <c r="F25" i="10"/>
  <c r="I25" i="10"/>
  <c r="J25" i="10"/>
  <c r="K25" i="10"/>
  <c r="L25" i="10"/>
  <c r="M25" i="10"/>
  <c r="B26" i="10"/>
  <c r="G26" i="10" s="1"/>
  <c r="C26" i="10"/>
  <c r="D26" i="10"/>
  <c r="E26" i="10"/>
  <c r="F26" i="10"/>
  <c r="I26" i="10"/>
  <c r="N26" i="10" s="1"/>
  <c r="J26" i="10"/>
  <c r="K26" i="10"/>
  <c r="L26" i="10"/>
  <c r="M26" i="10"/>
  <c r="B27" i="10"/>
  <c r="C27" i="10"/>
  <c r="D27" i="10"/>
  <c r="E27" i="10"/>
  <c r="F27" i="10"/>
  <c r="I27" i="10"/>
  <c r="J27" i="10"/>
  <c r="K27" i="10"/>
  <c r="L27" i="10"/>
  <c r="M27" i="10"/>
  <c r="B28" i="10"/>
  <c r="C28" i="10"/>
  <c r="D28" i="10"/>
  <c r="E28" i="10"/>
  <c r="F28" i="10"/>
  <c r="I28" i="10"/>
  <c r="J28" i="10"/>
  <c r="K28" i="10"/>
  <c r="L28" i="10"/>
  <c r="M28" i="10"/>
  <c r="B29" i="10"/>
  <c r="C29" i="10"/>
  <c r="D29" i="10"/>
  <c r="E29" i="10"/>
  <c r="F29" i="10"/>
  <c r="I29" i="10"/>
  <c r="J29" i="10"/>
  <c r="K29" i="10"/>
  <c r="L29" i="10"/>
  <c r="M29" i="10"/>
  <c r="B30" i="10"/>
  <c r="G30" i="10" s="1"/>
  <c r="C30" i="10"/>
  <c r="D30" i="10"/>
  <c r="E30" i="10"/>
  <c r="F30" i="10"/>
  <c r="I30" i="10"/>
  <c r="N30" i="10" s="1"/>
  <c r="J30" i="10"/>
  <c r="K30" i="10"/>
  <c r="L30" i="10"/>
  <c r="M30" i="10"/>
  <c r="B31" i="10"/>
  <c r="G31" i="10" s="1"/>
  <c r="C31" i="10"/>
  <c r="D31" i="10"/>
  <c r="E31" i="10"/>
  <c r="F31" i="10"/>
  <c r="I31" i="10"/>
  <c r="N31" i="10" s="1"/>
  <c r="J31" i="10"/>
  <c r="K31" i="10"/>
  <c r="L31" i="10"/>
  <c r="M31" i="10"/>
  <c r="B32" i="10"/>
  <c r="C32" i="10"/>
  <c r="D32" i="10"/>
  <c r="E32" i="10"/>
  <c r="F32" i="10"/>
  <c r="I32" i="10"/>
  <c r="J32" i="10"/>
  <c r="K32" i="10"/>
  <c r="L32" i="10"/>
  <c r="M32" i="10"/>
  <c r="B33" i="10"/>
  <c r="C33" i="10"/>
  <c r="D33" i="10"/>
  <c r="E33" i="10"/>
  <c r="F33" i="10"/>
  <c r="I33" i="10"/>
  <c r="J33" i="10"/>
  <c r="K33" i="10"/>
  <c r="L33" i="10"/>
  <c r="M33" i="10"/>
  <c r="B34" i="10"/>
  <c r="C34" i="10"/>
  <c r="D34" i="10"/>
  <c r="E34" i="10"/>
  <c r="F34" i="10"/>
  <c r="I34" i="10"/>
  <c r="J34" i="10"/>
  <c r="K34" i="10"/>
  <c r="L34" i="10"/>
  <c r="M34" i="10"/>
  <c r="B35" i="10"/>
  <c r="C35" i="10"/>
  <c r="D35" i="10"/>
  <c r="E35" i="10"/>
  <c r="F35" i="10"/>
  <c r="I35" i="10"/>
  <c r="J35" i="10"/>
  <c r="K35" i="10"/>
  <c r="L35" i="10"/>
  <c r="M35" i="10"/>
  <c r="B36" i="10"/>
  <c r="G36" i="10" s="1"/>
  <c r="C36" i="10"/>
  <c r="D36" i="10"/>
  <c r="E36" i="10"/>
  <c r="F36" i="10"/>
  <c r="I36" i="10"/>
  <c r="N36" i="10" s="1"/>
  <c r="J36" i="10"/>
  <c r="K36" i="10"/>
  <c r="L36" i="10"/>
  <c r="M36" i="10"/>
  <c r="B37" i="10"/>
  <c r="C37" i="10"/>
  <c r="D37" i="10"/>
  <c r="E37" i="10"/>
  <c r="F37" i="10"/>
  <c r="I37" i="10"/>
  <c r="J37" i="10"/>
  <c r="K37" i="10"/>
  <c r="L37" i="10"/>
  <c r="M37" i="10"/>
  <c r="B38" i="10"/>
  <c r="C38" i="10"/>
  <c r="D38" i="10"/>
  <c r="E38" i="10"/>
  <c r="F38" i="10"/>
  <c r="I38" i="10"/>
  <c r="J38" i="10"/>
  <c r="K38" i="10"/>
  <c r="L38" i="10"/>
  <c r="M38" i="10"/>
  <c r="B39" i="10"/>
  <c r="C39" i="10"/>
  <c r="D39" i="10"/>
  <c r="E39" i="10"/>
  <c r="F39" i="10"/>
  <c r="I39" i="10"/>
  <c r="J39" i="10"/>
  <c r="K39" i="10"/>
  <c r="L39" i="10"/>
  <c r="M39" i="10"/>
  <c r="B40" i="10"/>
  <c r="G40" i="10" s="1"/>
  <c r="C40" i="10"/>
  <c r="D40" i="10"/>
  <c r="E40" i="10"/>
  <c r="F40" i="10"/>
  <c r="I40" i="10"/>
  <c r="N40" i="10" s="1"/>
  <c r="J40" i="10"/>
  <c r="K40" i="10"/>
  <c r="L40" i="10"/>
  <c r="M40" i="10"/>
  <c r="B41" i="10"/>
  <c r="G41" i="10" s="1"/>
  <c r="C41" i="10"/>
  <c r="D41" i="10"/>
  <c r="E41" i="10"/>
  <c r="F41" i="10"/>
  <c r="I41" i="10"/>
  <c r="N41" i="10" s="1"/>
  <c r="J41" i="10"/>
  <c r="K41" i="10"/>
  <c r="L41" i="10"/>
  <c r="M41" i="10"/>
  <c r="B42" i="10"/>
  <c r="C42" i="10"/>
  <c r="D42" i="10"/>
  <c r="E42" i="10"/>
  <c r="F42" i="10"/>
  <c r="I42" i="10"/>
  <c r="J42" i="10"/>
  <c r="K42" i="10"/>
  <c r="L42" i="10"/>
  <c r="M42" i="10"/>
  <c r="B43" i="10"/>
  <c r="C43" i="10"/>
  <c r="D43" i="10"/>
  <c r="E43" i="10"/>
  <c r="F43" i="10"/>
  <c r="I43" i="10"/>
  <c r="J43" i="10"/>
  <c r="K43" i="10"/>
  <c r="L43" i="10"/>
  <c r="M43" i="10"/>
  <c r="B44" i="10"/>
  <c r="C44" i="10"/>
  <c r="D44" i="10"/>
  <c r="E44" i="10"/>
  <c r="F44" i="10"/>
  <c r="I44" i="10"/>
  <c r="J44" i="10"/>
  <c r="K44" i="10"/>
  <c r="L44" i="10"/>
  <c r="M44" i="10"/>
  <c r="B45" i="10"/>
  <c r="C45" i="10"/>
  <c r="D45" i="10"/>
  <c r="E45" i="10"/>
  <c r="F45" i="10"/>
  <c r="I45" i="10"/>
  <c r="J45" i="10"/>
  <c r="K45" i="10"/>
  <c r="L45" i="10"/>
  <c r="M45" i="10"/>
  <c r="B46" i="10"/>
  <c r="G46" i="10" s="1"/>
  <c r="C46" i="10"/>
  <c r="D46" i="10"/>
  <c r="E46" i="10"/>
  <c r="F46" i="10"/>
  <c r="I46" i="10"/>
  <c r="N46" i="10" s="1"/>
  <c r="J46" i="10"/>
  <c r="K46" i="10"/>
  <c r="L46" i="10"/>
  <c r="M46" i="10"/>
  <c r="B47" i="10"/>
  <c r="C47" i="10"/>
  <c r="D47" i="10"/>
  <c r="E47" i="10"/>
  <c r="F47" i="10"/>
  <c r="I47" i="10"/>
  <c r="J47" i="10"/>
  <c r="K47" i="10"/>
  <c r="L47" i="10"/>
  <c r="M47" i="10"/>
  <c r="B48" i="10"/>
  <c r="C48" i="10"/>
  <c r="D48" i="10"/>
  <c r="E48" i="10"/>
  <c r="F48" i="10"/>
  <c r="I48" i="10"/>
  <c r="J48" i="10"/>
  <c r="K48" i="10"/>
  <c r="L48" i="10"/>
  <c r="M48" i="10"/>
  <c r="B49" i="10"/>
  <c r="C49" i="10"/>
  <c r="D49" i="10"/>
  <c r="E49" i="10"/>
  <c r="F49" i="10"/>
  <c r="I49" i="10"/>
  <c r="J49" i="10"/>
  <c r="K49" i="10"/>
  <c r="L49" i="10"/>
  <c r="M49" i="10"/>
  <c r="B50" i="10"/>
  <c r="G50" i="10" s="1"/>
  <c r="C50" i="10"/>
  <c r="D50" i="10"/>
  <c r="E50" i="10"/>
  <c r="F50" i="10"/>
  <c r="I50" i="10"/>
  <c r="N50" i="10" s="1"/>
  <c r="J50" i="10"/>
  <c r="K50" i="10"/>
  <c r="L50" i="10"/>
  <c r="M50" i="10"/>
  <c r="B51" i="10"/>
  <c r="G51" i="10" s="1"/>
  <c r="C51" i="10"/>
  <c r="D51" i="10"/>
  <c r="E51" i="10"/>
  <c r="F51" i="10"/>
  <c r="I51" i="10"/>
  <c r="N51" i="10" s="1"/>
  <c r="J51" i="10"/>
  <c r="K51" i="10"/>
  <c r="L51" i="10"/>
  <c r="M51" i="10"/>
  <c r="B52" i="10"/>
  <c r="C52" i="10"/>
  <c r="D52" i="10"/>
  <c r="E52" i="10"/>
  <c r="F52" i="10"/>
  <c r="I52" i="10"/>
  <c r="J52" i="10"/>
  <c r="K52" i="10"/>
  <c r="L52" i="10"/>
  <c r="M52" i="10"/>
  <c r="B53" i="10"/>
  <c r="C53" i="10"/>
  <c r="D53" i="10"/>
  <c r="E53" i="10"/>
  <c r="F53" i="10"/>
  <c r="I53" i="10"/>
  <c r="J53" i="10"/>
  <c r="K53" i="10"/>
  <c r="L53" i="10"/>
  <c r="M53" i="10"/>
  <c r="B54" i="10"/>
  <c r="C54" i="10"/>
  <c r="D54" i="10"/>
  <c r="E54" i="10"/>
  <c r="F54" i="10"/>
  <c r="I54" i="10"/>
  <c r="J54" i="10"/>
  <c r="K54" i="10"/>
  <c r="L54" i="10"/>
  <c r="M54" i="10"/>
  <c r="B55" i="10"/>
  <c r="C55" i="10"/>
  <c r="D55" i="10"/>
  <c r="E55" i="10"/>
  <c r="F55" i="10"/>
  <c r="I55" i="10"/>
  <c r="J55" i="10"/>
  <c r="K55" i="10"/>
  <c r="L55" i="10"/>
  <c r="M55" i="10"/>
  <c r="B56" i="10"/>
  <c r="G56" i="10" s="1"/>
  <c r="C56" i="10"/>
  <c r="D56" i="10"/>
  <c r="E56" i="10"/>
  <c r="F56" i="10"/>
  <c r="I56" i="10"/>
  <c r="N56" i="10" s="1"/>
  <c r="J56" i="10"/>
  <c r="K56" i="10"/>
  <c r="L56" i="10"/>
  <c r="M56" i="10"/>
  <c r="B57" i="10"/>
  <c r="C57" i="10"/>
  <c r="D57" i="10"/>
  <c r="E57" i="10"/>
  <c r="F57" i="10"/>
  <c r="I57" i="10"/>
  <c r="J57" i="10"/>
  <c r="K57" i="10"/>
  <c r="L57" i="10"/>
  <c r="M57" i="10"/>
  <c r="B58" i="10"/>
  <c r="C58" i="10"/>
  <c r="D58" i="10"/>
  <c r="E58" i="10"/>
  <c r="F58" i="10"/>
  <c r="I58" i="10"/>
  <c r="J58" i="10"/>
  <c r="K58" i="10"/>
  <c r="L58" i="10"/>
  <c r="M58" i="10"/>
  <c r="B59" i="10"/>
  <c r="C59" i="10"/>
  <c r="D59" i="10"/>
  <c r="E59" i="10"/>
  <c r="F59" i="10"/>
  <c r="I59" i="10"/>
  <c r="J59" i="10"/>
  <c r="K59" i="10"/>
  <c r="L59" i="10"/>
  <c r="M59" i="10"/>
  <c r="B60" i="10"/>
  <c r="G60" i="10" s="1"/>
  <c r="C60" i="10"/>
  <c r="D60" i="10"/>
  <c r="E60" i="10"/>
  <c r="F60" i="10"/>
  <c r="I60" i="10"/>
  <c r="N60" i="10" s="1"/>
  <c r="J60" i="10"/>
  <c r="K60" i="10"/>
  <c r="L60" i="10"/>
  <c r="M60" i="10"/>
  <c r="B61" i="10"/>
  <c r="G61" i="10" s="1"/>
  <c r="C61" i="10"/>
  <c r="D61" i="10"/>
  <c r="E61" i="10"/>
  <c r="F61" i="10"/>
  <c r="I61" i="10"/>
  <c r="N61" i="10" s="1"/>
  <c r="J61" i="10"/>
  <c r="K61" i="10"/>
  <c r="L61" i="10"/>
  <c r="M61" i="10"/>
  <c r="B62" i="10"/>
  <c r="C62" i="10"/>
  <c r="D62" i="10"/>
  <c r="E62" i="10"/>
  <c r="F62" i="10"/>
  <c r="I62" i="10"/>
  <c r="J62" i="10"/>
  <c r="K62" i="10"/>
  <c r="L62" i="10"/>
  <c r="M62" i="10"/>
  <c r="B63" i="10"/>
  <c r="C63" i="10"/>
  <c r="D63" i="10"/>
  <c r="E63" i="10"/>
  <c r="F63" i="10"/>
  <c r="I63" i="10"/>
  <c r="J63" i="10"/>
  <c r="K63" i="10"/>
  <c r="L63" i="10"/>
  <c r="M63" i="10"/>
  <c r="B64" i="10"/>
  <c r="C64" i="10"/>
  <c r="D64" i="10"/>
  <c r="E64" i="10"/>
  <c r="F64" i="10"/>
  <c r="I64" i="10"/>
  <c r="J64" i="10"/>
  <c r="K64" i="10"/>
  <c r="L64" i="10"/>
  <c r="M64" i="10"/>
  <c r="B65" i="10"/>
  <c r="C65" i="10"/>
  <c r="D65" i="10"/>
  <c r="E65" i="10"/>
  <c r="F65" i="10"/>
  <c r="I65" i="10"/>
  <c r="J65" i="10"/>
  <c r="K65" i="10"/>
  <c r="L65" i="10"/>
  <c r="M65" i="10"/>
  <c r="B66" i="10"/>
  <c r="G66" i="10" s="1"/>
  <c r="C66" i="10"/>
  <c r="D66" i="10"/>
  <c r="E66" i="10"/>
  <c r="F66" i="10"/>
  <c r="I66" i="10"/>
  <c r="N66" i="10" s="1"/>
  <c r="J66" i="10"/>
  <c r="K66" i="10"/>
  <c r="L66" i="10"/>
  <c r="M66" i="10"/>
  <c r="B67" i="10"/>
  <c r="C67" i="10"/>
  <c r="D67" i="10"/>
  <c r="E67" i="10"/>
  <c r="F67" i="10"/>
  <c r="I67" i="10"/>
  <c r="J67" i="10"/>
  <c r="K67" i="10"/>
  <c r="L67" i="10"/>
  <c r="M67" i="10"/>
  <c r="B68" i="10"/>
  <c r="C68" i="10"/>
  <c r="D68" i="10"/>
  <c r="E68" i="10"/>
  <c r="F68" i="10"/>
  <c r="I68" i="10"/>
  <c r="J68" i="10"/>
  <c r="K68" i="10"/>
  <c r="L68" i="10"/>
  <c r="M68" i="10"/>
  <c r="B69" i="10"/>
  <c r="C69" i="10"/>
  <c r="D69" i="10"/>
  <c r="E69" i="10"/>
  <c r="F69" i="10"/>
  <c r="I69" i="10"/>
  <c r="J69" i="10"/>
  <c r="K69" i="10"/>
  <c r="L69" i="10"/>
  <c r="M69" i="10"/>
  <c r="B70" i="10"/>
  <c r="G70" i="10" s="1"/>
  <c r="C70" i="10"/>
  <c r="D70" i="10"/>
  <c r="E70" i="10"/>
  <c r="F70" i="10"/>
  <c r="I70" i="10"/>
  <c r="N70" i="10" s="1"/>
  <c r="J70" i="10"/>
  <c r="K70" i="10"/>
  <c r="L70" i="10"/>
  <c r="M70" i="10"/>
  <c r="B71" i="10"/>
  <c r="G71" i="10" s="1"/>
  <c r="C71" i="10"/>
  <c r="D71" i="10"/>
  <c r="E71" i="10"/>
  <c r="F71" i="10"/>
  <c r="I71" i="10"/>
  <c r="N71" i="10" s="1"/>
  <c r="J71" i="10"/>
  <c r="K71" i="10"/>
  <c r="L71" i="10"/>
  <c r="M71" i="10"/>
  <c r="B72" i="10"/>
  <c r="C72" i="10"/>
  <c r="D72" i="10"/>
  <c r="E72" i="10"/>
  <c r="F72" i="10"/>
  <c r="I72" i="10"/>
  <c r="J72" i="10"/>
  <c r="K72" i="10"/>
  <c r="L72" i="10"/>
  <c r="M72" i="10"/>
  <c r="B73" i="10"/>
  <c r="C73" i="10"/>
  <c r="D73" i="10"/>
  <c r="E73" i="10"/>
  <c r="F73" i="10"/>
  <c r="I73" i="10"/>
  <c r="J73" i="10"/>
  <c r="K73" i="10"/>
  <c r="L73" i="10"/>
  <c r="M73" i="10"/>
  <c r="B74" i="10"/>
  <c r="C74" i="10"/>
  <c r="D74" i="10"/>
  <c r="E74" i="10"/>
  <c r="F74" i="10"/>
  <c r="I74" i="10"/>
  <c r="J74" i="10"/>
  <c r="K74" i="10"/>
  <c r="L74" i="10"/>
  <c r="M74" i="10"/>
  <c r="B75" i="10"/>
  <c r="C75" i="10"/>
  <c r="D75" i="10"/>
  <c r="E75" i="10"/>
  <c r="F75" i="10"/>
  <c r="I75" i="10"/>
  <c r="J75" i="10"/>
  <c r="K75" i="10"/>
  <c r="L75" i="10"/>
  <c r="M75" i="10"/>
  <c r="B76" i="10"/>
  <c r="G76" i="10" s="1"/>
  <c r="C76" i="10"/>
  <c r="D76" i="10"/>
  <c r="E76" i="10"/>
  <c r="F76" i="10"/>
  <c r="I76" i="10"/>
  <c r="N76" i="10" s="1"/>
  <c r="J76" i="10"/>
  <c r="K76" i="10"/>
  <c r="L76" i="10"/>
  <c r="M76" i="10"/>
  <c r="B77" i="10"/>
  <c r="C77" i="10"/>
  <c r="D77" i="10"/>
  <c r="E77" i="10"/>
  <c r="F77" i="10"/>
  <c r="I77" i="10"/>
  <c r="J77" i="10"/>
  <c r="K77" i="10"/>
  <c r="L77" i="10"/>
  <c r="M77" i="10"/>
  <c r="B78" i="10"/>
  <c r="C78" i="10"/>
  <c r="D78" i="10"/>
  <c r="E78" i="10"/>
  <c r="F78" i="10"/>
  <c r="I78" i="10"/>
  <c r="J78" i="10"/>
  <c r="K78" i="10"/>
  <c r="L78" i="10"/>
  <c r="M78" i="10"/>
  <c r="B79" i="10"/>
  <c r="C79" i="10"/>
  <c r="D79" i="10"/>
  <c r="E79" i="10"/>
  <c r="F79" i="10"/>
  <c r="I79" i="10"/>
  <c r="J79" i="10"/>
  <c r="K79" i="10"/>
  <c r="L79" i="10"/>
  <c r="M79" i="10"/>
  <c r="B80" i="10"/>
  <c r="G80" i="10" s="1"/>
  <c r="C80" i="10"/>
  <c r="D80" i="10"/>
  <c r="E80" i="10"/>
  <c r="F80" i="10"/>
  <c r="I80" i="10"/>
  <c r="N80" i="10" s="1"/>
  <c r="J80" i="10"/>
  <c r="K80" i="10"/>
  <c r="L80" i="10"/>
  <c r="M80" i="10"/>
  <c r="B81" i="10"/>
  <c r="G81" i="10" s="1"/>
  <c r="C81" i="10"/>
  <c r="D81" i="10"/>
  <c r="E81" i="10"/>
  <c r="F81" i="10"/>
  <c r="I81" i="10"/>
  <c r="N81" i="10" s="1"/>
  <c r="J81" i="10"/>
  <c r="K81" i="10"/>
  <c r="L81" i="10"/>
  <c r="M81" i="10"/>
  <c r="B82" i="10"/>
  <c r="C82" i="10"/>
  <c r="D82" i="10"/>
  <c r="E82" i="10"/>
  <c r="F82" i="10"/>
  <c r="I82" i="10"/>
  <c r="J82" i="10"/>
  <c r="K82" i="10"/>
  <c r="L82" i="10"/>
  <c r="M82" i="10"/>
  <c r="B83" i="10"/>
  <c r="C83" i="10"/>
  <c r="D83" i="10"/>
  <c r="E83" i="10"/>
  <c r="F83" i="10"/>
  <c r="I83" i="10"/>
  <c r="J83" i="10"/>
  <c r="K83" i="10"/>
  <c r="L83" i="10"/>
  <c r="M83" i="10"/>
  <c r="B84" i="10"/>
  <c r="C84" i="10"/>
  <c r="D84" i="10"/>
  <c r="E84" i="10"/>
  <c r="F84" i="10"/>
  <c r="I84" i="10"/>
  <c r="J84" i="10"/>
  <c r="K84" i="10"/>
  <c r="L84" i="10"/>
  <c r="M84" i="10"/>
  <c r="B85" i="10"/>
  <c r="C85" i="10"/>
  <c r="D85" i="10"/>
  <c r="E85" i="10"/>
  <c r="F85" i="10"/>
  <c r="I85" i="10"/>
  <c r="J85" i="10"/>
  <c r="K85" i="10"/>
  <c r="L85" i="10"/>
  <c r="M85" i="10"/>
  <c r="B86" i="10"/>
  <c r="G86" i="10" s="1"/>
  <c r="C86" i="10"/>
  <c r="D86" i="10"/>
  <c r="E86" i="10"/>
  <c r="F86" i="10"/>
  <c r="I86" i="10"/>
  <c r="N86" i="10" s="1"/>
  <c r="J86" i="10"/>
  <c r="K86" i="10"/>
  <c r="L86" i="10"/>
  <c r="M86" i="10"/>
  <c r="B87" i="10"/>
  <c r="C87" i="10"/>
  <c r="D87" i="10"/>
  <c r="E87" i="10"/>
  <c r="F87" i="10"/>
  <c r="I87" i="10"/>
  <c r="J87" i="10"/>
  <c r="K87" i="10"/>
  <c r="L87" i="10"/>
  <c r="M87" i="10"/>
  <c r="B88" i="10"/>
  <c r="C88" i="10"/>
  <c r="D88" i="10"/>
  <c r="E88" i="10"/>
  <c r="F88" i="10"/>
  <c r="I88" i="10"/>
  <c r="J88" i="10"/>
  <c r="K88" i="10"/>
  <c r="L88" i="10"/>
  <c r="M88" i="10"/>
  <c r="B89" i="10"/>
  <c r="C89" i="10"/>
  <c r="D89" i="10"/>
  <c r="E89" i="10"/>
  <c r="F89" i="10"/>
  <c r="I89" i="10"/>
  <c r="J89" i="10"/>
  <c r="K89" i="10"/>
  <c r="L89" i="10"/>
  <c r="M89" i="10"/>
  <c r="B90" i="10"/>
  <c r="G90" i="10" s="1"/>
  <c r="C90" i="10"/>
  <c r="D90" i="10"/>
  <c r="E90" i="10"/>
  <c r="F90" i="10"/>
  <c r="I90" i="10"/>
  <c r="N90" i="10" s="1"/>
  <c r="J90" i="10"/>
  <c r="K90" i="10"/>
  <c r="L90" i="10"/>
  <c r="M90" i="10"/>
  <c r="B91" i="10"/>
  <c r="G91" i="10" s="1"/>
  <c r="C91" i="10"/>
  <c r="D91" i="10"/>
  <c r="E91" i="10"/>
  <c r="F91" i="10"/>
  <c r="I91" i="10"/>
  <c r="N91" i="10" s="1"/>
  <c r="J91" i="10"/>
  <c r="K91" i="10"/>
  <c r="L91" i="10"/>
  <c r="M91" i="10"/>
  <c r="B92" i="10"/>
  <c r="C92" i="10"/>
  <c r="D92" i="10"/>
  <c r="E92" i="10"/>
  <c r="F92" i="10"/>
  <c r="I92" i="10"/>
  <c r="J92" i="10"/>
  <c r="K92" i="10"/>
  <c r="L92" i="10"/>
  <c r="M92" i="10"/>
  <c r="B93" i="10"/>
  <c r="C93" i="10"/>
  <c r="D93" i="10"/>
  <c r="E93" i="10"/>
  <c r="F93" i="10"/>
  <c r="I93" i="10"/>
  <c r="J93" i="10"/>
  <c r="K93" i="10"/>
  <c r="L93" i="10"/>
  <c r="M93" i="10"/>
  <c r="B94" i="10"/>
  <c r="C94" i="10"/>
  <c r="D94" i="10"/>
  <c r="E94" i="10"/>
  <c r="F94" i="10"/>
  <c r="I94" i="10"/>
  <c r="J94" i="10"/>
  <c r="K94" i="10"/>
  <c r="L94" i="10"/>
  <c r="M94" i="10"/>
  <c r="B95" i="10"/>
  <c r="C95" i="10"/>
  <c r="D95" i="10"/>
  <c r="E95" i="10"/>
  <c r="F95" i="10"/>
  <c r="I95" i="10"/>
  <c r="J95" i="10"/>
  <c r="K95" i="10"/>
  <c r="L95" i="10"/>
  <c r="M95" i="10"/>
  <c r="B96" i="10"/>
  <c r="G96" i="10" s="1"/>
  <c r="C96" i="10"/>
  <c r="D96" i="10"/>
  <c r="E96" i="10"/>
  <c r="F96" i="10"/>
  <c r="I96" i="10"/>
  <c r="N96" i="10" s="1"/>
  <c r="J96" i="10"/>
  <c r="K96" i="10"/>
  <c r="L96" i="10"/>
  <c r="M96" i="10"/>
  <c r="B97" i="10"/>
  <c r="C97" i="10"/>
  <c r="D97" i="10"/>
  <c r="E97" i="10"/>
  <c r="F97" i="10"/>
  <c r="I97" i="10"/>
  <c r="J97" i="10"/>
  <c r="K97" i="10"/>
  <c r="L97" i="10"/>
  <c r="M97" i="10"/>
  <c r="B98" i="10"/>
  <c r="C98" i="10"/>
  <c r="D98" i="10"/>
  <c r="E98" i="10"/>
  <c r="F98" i="10"/>
  <c r="I98" i="10"/>
  <c r="J98" i="10"/>
  <c r="K98" i="10"/>
  <c r="L98" i="10"/>
  <c r="M98" i="10"/>
  <c r="B99" i="10"/>
  <c r="C99" i="10"/>
  <c r="D99" i="10"/>
  <c r="E99" i="10"/>
  <c r="F99" i="10"/>
  <c r="I99" i="10"/>
  <c r="J99" i="10"/>
  <c r="K99" i="10"/>
  <c r="L99" i="10"/>
  <c r="M99" i="10"/>
  <c r="B100" i="10"/>
  <c r="G100" i="10" s="1"/>
  <c r="C100" i="10"/>
  <c r="D100" i="10"/>
  <c r="E100" i="10"/>
  <c r="F100" i="10"/>
  <c r="I100" i="10"/>
  <c r="N100" i="10" s="1"/>
  <c r="J100" i="10"/>
  <c r="K100" i="10"/>
  <c r="L100" i="10"/>
  <c r="M100" i="10"/>
  <c r="B101" i="10"/>
  <c r="G101" i="10" s="1"/>
  <c r="C101" i="10"/>
  <c r="D101" i="10"/>
  <c r="E101" i="10"/>
  <c r="F101" i="10"/>
  <c r="I101" i="10"/>
  <c r="N101" i="10" s="1"/>
  <c r="J101" i="10"/>
  <c r="K101" i="10"/>
  <c r="L101" i="10"/>
  <c r="M101" i="10"/>
  <c r="B102" i="10"/>
  <c r="C102" i="10"/>
  <c r="D102" i="10"/>
  <c r="E102" i="10"/>
  <c r="F102" i="10"/>
  <c r="I102" i="10"/>
  <c r="J102" i="10"/>
  <c r="K102" i="10"/>
  <c r="L102" i="10"/>
  <c r="M102" i="10"/>
  <c r="B103" i="10"/>
  <c r="C103" i="10"/>
  <c r="D103" i="10"/>
  <c r="E103" i="10"/>
  <c r="F103" i="10"/>
  <c r="I103" i="10"/>
  <c r="J103" i="10"/>
  <c r="K103" i="10"/>
  <c r="L103" i="10"/>
  <c r="M103" i="10"/>
  <c r="B104" i="10"/>
  <c r="C104" i="10"/>
  <c r="D104" i="10"/>
  <c r="E104" i="10"/>
  <c r="F104" i="10"/>
  <c r="I104" i="10"/>
  <c r="J104" i="10"/>
  <c r="K104" i="10"/>
  <c r="L104" i="10"/>
  <c r="M104" i="10"/>
  <c r="B105" i="10"/>
  <c r="C105" i="10"/>
  <c r="D105" i="10"/>
  <c r="E105" i="10"/>
  <c r="F105" i="10"/>
  <c r="I105" i="10"/>
  <c r="J105" i="10"/>
  <c r="K105" i="10"/>
  <c r="L105" i="10"/>
  <c r="M105" i="10"/>
  <c r="B106" i="10"/>
  <c r="G106" i="10" s="1"/>
  <c r="C106" i="10"/>
  <c r="D106" i="10"/>
  <c r="E106" i="10"/>
  <c r="F106" i="10"/>
  <c r="I106" i="10"/>
  <c r="N106" i="10" s="1"/>
  <c r="J106" i="10"/>
  <c r="K106" i="10"/>
  <c r="L106" i="10"/>
  <c r="M106" i="10"/>
  <c r="B107" i="10"/>
  <c r="C107" i="10"/>
  <c r="D107" i="10"/>
  <c r="E107" i="10"/>
  <c r="F107" i="10"/>
  <c r="I107" i="10"/>
  <c r="J107" i="10"/>
  <c r="K107" i="10"/>
  <c r="L107" i="10"/>
  <c r="M107" i="10"/>
  <c r="B108" i="10"/>
  <c r="C108" i="10"/>
  <c r="D108" i="10"/>
  <c r="E108" i="10"/>
  <c r="F108" i="10"/>
  <c r="I108" i="10"/>
  <c r="J108" i="10"/>
  <c r="K108" i="10"/>
  <c r="L108" i="10"/>
  <c r="M108" i="10"/>
  <c r="B109" i="10"/>
  <c r="C109" i="10"/>
  <c r="D109" i="10"/>
  <c r="E109" i="10"/>
  <c r="F109" i="10"/>
  <c r="I109" i="10"/>
  <c r="J109" i="10"/>
  <c r="K109" i="10"/>
  <c r="L109" i="10"/>
  <c r="M109" i="10"/>
  <c r="B110" i="10"/>
  <c r="G110" i="10" s="1"/>
  <c r="C110" i="10"/>
  <c r="D110" i="10"/>
  <c r="E110" i="10"/>
  <c r="F110" i="10"/>
  <c r="I110" i="10"/>
  <c r="N110" i="10" s="1"/>
  <c r="J110" i="10"/>
  <c r="K110" i="10"/>
  <c r="L110" i="10"/>
  <c r="M110" i="10"/>
  <c r="B111" i="10"/>
  <c r="G111" i="10" s="1"/>
  <c r="C111" i="10"/>
  <c r="D111" i="10"/>
  <c r="E111" i="10"/>
  <c r="F111" i="10"/>
  <c r="I111" i="10"/>
  <c r="N111" i="10" s="1"/>
  <c r="J111" i="10"/>
  <c r="K111" i="10"/>
  <c r="L111" i="10"/>
  <c r="M111" i="10"/>
  <c r="B112" i="10"/>
  <c r="C112" i="10"/>
  <c r="D112" i="10"/>
  <c r="E112" i="10"/>
  <c r="F112" i="10"/>
  <c r="I112" i="10"/>
  <c r="J112" i="10"/>
  <c r="K112" i="10"/>
  <c r="L112" i="10"/>
  <c r="M112" i="10"/>
  <c r="B113" i="10"/>
  <c r="C113" i="10"/>
  <c r="D113" i="10"/>
  <c r="E113" i="10"/>
  <c r="F113" i="10"/>
  <c r="I113" i="10"/>
  <c r="J113" i="10"/>
  <c r="K113" i="10"/>
  <c r="L113" i="10"/>
  <c r="M113" i="10"/>
  <c r="B114" i="10"/>
  <c r="C114" i="10"/>
  <c r="D114" i="10"/>
  <c r="E114" i="10"/>
  <c r="F114" i="10"/>
  <c r="I114" i="10"/>
  <c r="J114" i="10"/>
  <c r="K114" i="10"/>
  <c r="L114" i="10"/>
  <c r="M114" i="10"/>
  <c r="B115" i="10"/>
  <c r="C115" i="10"/>
  <c r="D115" i="10"/>
  <c r="E115" i="10"/>
  <c r="F115" i="10"/>
  <c r="I115" i="10"/>
  <c r="J115" i="10"/>
  <c r="K115" i="10"/>
  <c r="L115" i="10"/>
  <c r="M115" i="10"/>
  <c r="B116" i="10"/>
  <c r="G116" i="10" s="1"/>
  <c r="C116" i="10"/>
  <c r="D116" i="10"/>
  <c r="E116" i="10"/>
  <c r="F116" i="10"/>
  <c r="I116" i="10"/>
  <c r="N116" i="10" s="1"/>
  <c r="J116" i="10"/>
  <c r="K116" i="10"/>
  <c r="L116" i="10"/>
  <c r="M116" i="10"/>
  <c r="B117" i="10"/>
  <c r="C117" i="10"/>
  <c r="D117" i="10"/>
  <c r="E117" i="10"/>
  <c r="F117" i="10"/>
  <c r="I117" i="10"/>
  <c r="J117" i="10"/>
  <c r="K117" i="10"/>
  <c r="L117" i="10"/>
  <c r="M117" i="10"/>
  <c r="B118" i="10"/>
  <c r="C118" i="10"/>
  <c r="D118" i="10"/>
  <c r="E118" i="10"/>
  <c r="F118" i="10"/>
  <c r="I118" i="10"/>
  <c r="J118" i="10"/>
  <c r="K118" i="10"/>
  <c r="L118" i="10"/>
  <c r="M118" i="10"/>
  <c r="B119" i="10"/>
  <c r="C119" i="10"/>
  <c r="D119" i="10"/>
  <c r="E119" i="10"/>
  <c r="F119" i="10"/>
  <c r="I119" i="10"/>
  <c r="J119" i="10"/>
  <c r="K119" i="10"/>
  <c r="L119" i="10"/>
  <c r="M119" i="10"/>
  <c r="B120" i="10"/>
  <c r="G120" i="10" s="1"/>
  <c r="C120" i="10"/>
  <c r="D120" i="10"/>
  <c r="E120" i="10"/>
  <c r="F120" i="10"/>
  <c r="I120" i="10"/>
  <c r="N120" i="10" s="1"/>
  <c r="J120" i="10"/>
  <c r="K120" i="10"/>
  <c r="L120" i="10"/>
  <c r="M120" i="10"/>
  <c r="B121" i="10"/>
  <c r="G121" i="10" s="1"/>
  <c r="C121" i="10"/>
  <c r="D121" i="10"/>
  <c r="E121" i="10"/>
  <c r="F121" i="10"/>
  <c r="I121" i="10"/>
  <c r="N121" i="10" s="1"/>
  <c r="J121" i="10"/>
  <c r="K121" i="10"/>
  <c r="L121" i="10"/>
  <c r="M121" i="10"/>
  <c r="B122" i="10"/>
  <c r="G122" i="10" s="1"/>
  <c r="C122" i="10"/>
  <c r="D122" i="10"/>
  <c r="E122" i="10"/>
  <c r="F122" i="10"/>
  <c r="I122" i="10"/>
  <c r="N122" i="10" s="1"/>
  <c r="J122" i="10"/>
  <c r="K122" i="10"/>
  <c r="L122" i="10"/>
  <c r="M122" i="10"/>
  <c r="B123" i="10"/>
  <c r="G123" i="10" s="1"/>
  <c r="C123" i="10"/>
  <c r="D123" i="10"/>
  <c r="E123" i="10"/>
  <c r="F123" i="10"/>
  <c r="I123" i="10"/>
  <c r="N123" i="10" s="1"/>
  <c r="J123" i="10"/>
  <c r="K123" i="10"/>
  <c r="L123" i="10"/>
  <c r="M123" i="10"/>
  <c r="B124" i="10"/>
  <c r="G124" i="10" s="1"/>
  <c r="C124" i="10"/>
  <c r="D124" i="10"/>
  <c r="E124" i="10"/>
  <c r="F124" i="10"/>
  <c r="I124" i="10"/>
  <c r="N124" i="10" s="1"/>
  <c r="J124" i="10"/>
  <c r="K124" i="10"/>
  <c r="L124" i="10"/>
  <c r="M124" i="10"/>
  <c r="B125" i="10"/>
  <c r="G125" i="10" s="1"/>
  <c r="C125" i="10"/>
  <c r="D125" i="10"/>
  <c r="E125" i="10"/>
  <c r="F125" i="10"/>
  <c r="I125" i="10"/>
  <c r="N125" i="10" s="1"/>
  <c r="J125" i="10"/>
  <c r="K125" i="10"/>
  <c r="L125" i="10"/>
  <c r="M125" i="10"/>
  <c r="B126" i="10"/>
  <c r="G126" i="10" s="1"/>
  <c r="C126" i="10"/>
  <c r="D126" i="10"/>
  <c r="E126" i="10"/>
  <c r="F126" i="10"/>
  <c r="I126" i="10"/>
  <c r="N126" i="10" s="1"/>
  <c r="J126" i="10"/>
  <c r="K126" i="10"/>
  <c r="L126" i="10"/>
  <c r="M126" i="10"/>
  <c r="B127" i="10"/>
  <c r="G127" i="10" s="1"/>
  <c r="C127" i="10"/>
  <c r="D127" i="10"/>
  <c r="E127" i="10"/>
  <c r="F127" i="10"/>
  <c r="I127" i="10"/>
  <c r="N127" i="10" s="1"/>
  <c r="J127" i="10"/>
  <c r="K127" i="10"/>
  <c r="L127" i="10"/>
  <c r="M127" i="10"/>
  <c r="B128" i="10"/>
  <c r="G128" i="10" s="1"/>
  <c r="C128" i="10"/>
  <c r="D128" i="10"/>
  <c r="E128" i="10"/>
  <c r="F128" i="10"/>
  <c r="I128" i="10"/>
  <c r="N128" i="10" s="1"/>
  <c r="J128" i="10"/>
  <c r="K128" i="10"/>
  <c r="L128" i="10"/>
  <c r="M128" i="10"/>
  <c r="B129" i="10"/>
  <c r="G129" i="10" s="1"/>
  <c r="C129" i="10"/>
  <c r="D129" i="10"/>
  <c r="E129" i="10"/>
  <c r="F129" i="10"/>
  <c r="I129" i="10"/>
  <c r="N129" i="10" s="1"/>
  <c r="J129" i="10"/>
  <c r="K129" i="10"/>
  <c r="L129" i="10"/>
  <c r="M129" i="10"/>
  <c r="B130" i="10"/>
  <c r="G130" i="10" s="1"/>
  <c r="C130" i="10"/>
  <c r="D130" i="10"/>
  <c r="E130" i="10"/>
  <c r="F130" i="10"/>
  <c r="I130" i="10"/>
  <c r="N130" i="10" s="1"/>
  <c r="J130" i="10"/>
  <c r="K130" i="10"/>
  <c r="L130" i="10"/>
  <c r="M130" i="10"/>
  <c r="B131" i="10"/>
  <c r="G131" i="10" s="1"/>
  <c r="C131" i="10"/>
  <c r="D131" i="10"/>
  <c r="E131" i="10"/>
  <c r="F131" i="10"/>
  <c r="I131" i="10"/>
  <c r="N131" i="10" s="1"/>
  <c r="J131" i="10"/>
  <c r="K131" i="10"/>
  <c r="L131" i="10"/>
  <c r="M131" i="10"/>
  <c r="B132" i="10"/>
  <c r="G132" i="10" s="1"/>
  <c r="C132" i="10"/>
  <c r="D132" i="10"/>
  <c r="E132" i="10"/>
  <c r="F132" i="10"/>
  <c r="I132" i="10"/>
  <c r="N132" i="10" s="1"/>
  <c r="J132" i="10"/>
  <c r="K132" i="10"/>
  <c r="L132" i="10"/>
  <c r="M132" i="10"/>
  <c r="B133" i="10"/>
  <c r="G133" i="10" s="1"/>
  <c r="C133" i="10"/>
  <c r="D133" i="10"/>
  <c r="E133" i="10"/>
  <c r="F133" i="10"/>
  <c r="I133" i="10"/>
  <c r="N133" i="10" s="1"/>
  <c r="J133" i="10"/>
  <c r="K133" i="10"/>
  <c r="L133" i="10"/>
  <c r="M133" i="10"/>
  <c r="B134" i="10"/>
  <c r="G134" i="10" s="1"/>
  <c r="C134" i="10"/>
  <c r="D134" i="10"/>
  <c r="E134" i="10"/>
  <c r="F134" i="10"/>
  <c r="I134" i="10"/>
  <c r="N134" i="10" s="1"/>
  <c r="J134" i="10"/>
  <c r="K134" i="10"/>
  <c r="L134" i="10"/>
  <c r="M134" i="10"/>
  <c r="B135" i="10"/>
  <c r="G135" i="10" s="1"/>
  <c r="C135" i="10"/>
  <c r="D135" i="10"/>
  <c r="E135" i="10"/>
  <c r="F135" i="10"/>
  <c r="I135" i="10"/>
  <c r="N135" i="10" s="1"/>
  <c r="J135" i="10"/>
  <c r="K135" i="10"/>
  <c r="L135" i="10"/>
  <c r="M135" i="10"/>
  <c r="B136" i="10"/>
  <c r="G136" i="10" s="1"/>
  <c r="C136" i="10"/>
  <c r="D136" i="10"/>
  <c r="E136" i="10"/>
  <c r="F136" i="10"/>
  <c r="I136" i="10"/>
  <c r="N136" i="10" s="1"/>
  <c r="J136" i="10"/>
  <c r="K136" i="10"/>
  <c r="L136" i="10"/>
  <c r="M136" i="10"/>
  <c r="B137" i="10"/>
  <c r="G137" i="10" s="1"/>
  <c r="C137" i="10"/>
  <c r="D137" i="10"/>
  <c r="E137" i="10"/>
  <c r="F137" i="10"/>
  <c r="I137" i="10"/>
  <c r="N137" i="10" s="1"/>
  <c r="J137" i="10"/>
  <c r="K137" i="10"/>
  <c r="L137" i="10"/>
  <c r="M137" i="10"/>
  <c r="B138" i="10"/>
  <c r="G138" i="10" s="1"/>
  <c r="C138" i="10"/>
  <c r="D138" i="10"/>
  <c r="E138" i="10"/>
  <c r="F138" i="10"/>
  <c r="I138" i="10"/>
  <c r="N138" i="10" s="1"/>
  <c r="J138" i="10"/>
  <c r="K138" i="10"/>
  <c r="L138" i="10"/>
  <c r="M138" i="10"/>
  <c r="B139" i="10"/>
  <c r="G139" i="10" s="1"/>
  <c r="C139" i="10"/>
  <c r="D139" i="10"/>
  <c r="E139" i="10"/>
  <c r="F139" i="10"/>
  <c r="I139" i="10"/>
  <c r="N139" i="10" s="1"/>
  <c r="J139" i="10"/>
  <c r="K139" i="10"/>
  <c r="L139" i="10"/>
  <c r="M139" i="10"/>
  <c r="B140" i="10"/>
  <c r="G140" i="10" s="1"/>
  <c r="C140" i="10"/>
  <c r="D140" i="10"/>
  <c r="E140" i="10"/>
  <c r="F140" i="10"/>
  <c r="I140" i="10"/>
  <c r="N140" i="10" s="1"/>
  <c r="J140" i="10"/>
  <c r="K140" i="10"/>
  <c r="L140" i="10"/>
  <c r="M140" i="10"/>
  <c r="B141" i="10"/>
  <c r="G141" i="10" s="1"/>
  <c r="C141" i="10"/>
  <c r="D141" i="10"/>
  <c r="E141" i="10"/>
  <c r="F141" i="10"/>
  <c r="I141" i="10"/>
  <c r="N141" i="10" s="1"/>
  <c r="J141" i="10"/>
  <c r="K141" i="10"/>
  <c r="L141" i="10"/>
  <c r="M141" i="10"/>
  <c r="B142" i="10"/>
  <c r="G142" i="10" s="1"/>
  <c r="C142" i="10"/>
  <c r="D142" i="10"/>
  <c r="E142" i="10"/>
  <c r="F142" i="10"/>
  <c r="I142" i="10"/>
  <c r="N142" i="10" s="1"/>
  <c r="J142" i="10"/>
  <c r="K142" i="10"/>
  <c r="L142" i="10"/>
  <c r="M142" i="10"/>
  <c r="B143" i="10"/>
  <c r="G143" i="10" s="1"/>
  <c r="C143" i="10"/>
  <c r="D143" i="10"/>
  <c r="E143" i="10"/>
  <c r="F143" i="10"/>
  <c r="I143" i="10"/>
  <c r="N143" i="10" s="1"/>
  <c r="J143" i="10"/>
  <c r="K143" i="10"/>
  <c r="L143" i="10"/>
  <c r="M143" i="10"/>
  <c r="B144" i="10"/>
  <c r="G144" i="10" s="1"/>
  <c r="C144" i="10"/>
  <c r="D144" i="10"/>
  <c r="E144" i="10"/>
  <c r="F144" i="10"/>
  <c r="I144" i="10"/>
  <c r="N144" i="10" s="1"/>
  <c r="J144" i="10"/>
  <c r="K144" i="10"/>
  <c r="L144" i="10"/>
  <c r="M144" i="10"/>
  <c r="B145" i="10"/>
  <c r="G145" i="10" s="1"/>
  <c r="C145" i="10"/>
  <c r="D145" i="10"/>
  <c r="E145" i="10"/>
  <c r="F145" i="10"/>
  <c r="I145" i="10"/>
  <c r="N145" i="10" s="1"/>
  <c r="J145" i="10"/>
  <c r="K145" i="10"/>
  <c r="L145" i="10"/>
  <c r="M145" i="10"/>
  <c r="B146" i="10"/>
  <c r="G146" i="10" s="1"/>
  <c r="C146" i="10"/>
  <c r="D146" i="10"/>
  <c r="E146" i="10"/>
  <c r="F146" i="10"/>
  <c r="I146" i="10"/>
  <c r="N146" i="10" s="1"/>
  <c r="J146" i="10"/>
  <c r="K146" i="10"/>
  <c r="L146" i="10"/>
  <c r="M146" i="10"/>
  <c r="B147" i="10"/>
  <c r="G147" i="10" s="1"/>
  <c r="C147" i="10"/>
  <c r="D147" i="10"/>
  <c r="E147" i="10"/>
  <c r="F147" i="10"/>
  <c r="I147" i="10"/>
  <c r="N147" i="10" s="1"/>
  <c r="J147" i="10"/>
  <c r="K147" i="10"/>
  <c r="L147" i="10"/>
  <c r="M147" i="10"/>
  <c r="B148" i="10"/>
  <c r="G148" i="10" s="1"/>
  <c r="C148" i="10"/>
  <c r="D148" i="10"/>
  <c r="E148" i="10"/>
  <c r="F148" i="10"/>
  <c r="I148" i="10"/>
  <c r="N148" i="10" s="1"/>
  <c r="J148" i="10"/>
  <c r="K148" i="10"/>
  <c r="L148" i="10"/>
  <c r="M148" i="10"/>
  <c r="B149" i="10"/>
  <c r="G149" i="10" s="1"/>
  <c r="C149" i="10"/>
  <c r="D149" i="10"/>
  <c r="E149" i="10"/>
  <c r="F149" i="10"/>
  <c r="I149" i="10"/>
  <c r="N149" i="10" s="1"/>
  <c r="J149" i="10"/>
  <c r="K149" i="10"/>
  <c r="L149" i="10"/>
  <c r="M149" i="10"/>
  <c r="B150" i="10"/>
  <c r="G150" i="10" s="1"/>
  <c r="C150" i="10"/>
  <c r="D150" i="10"/>
  <c r="E150" i="10"/>
  <c r="F150" i="10"/>
  <c r="I150" i="10"/>
  <c r="N150" i="10" s="1"/>
  <c r="J150" i="10"/>
  <c r="K150" i="10"/>
  <c r="L150" i="10"/>
  <c r="M150" i="10"/>
  <c r="B151" i="10"/>
  <c r="G151" i="10" s="1"/>
  <c r="C151" i="10"/>
  <c r="D151" i="10"/>
  <c r="E151" i="10"/>
  <c r="F151" i="10"/>
  <c r="I151" i="10"/>
  <c r="N151" i="10" s="1"/>
  <c r="J151" i="10"/>
  <c r="K151" i="10"/>
  <c r="L151" i="10"/>
  <c r="M151" i="10"/>
  <c r="B152" i="10"/>
  <c r="C152" i="10"/>
  <c r="D152" i="10"/>
  <c r="E152" i="10"/>
  <c r="F152" i="10"/>
  <c r="I152" i="10"/>
  <c r="J152" i="10"/>
  <c r="K152" i="10"/>
  <c r="L152" i="10"/>
  <c r="M152" i="10"/>
  <c r="B153" i="10"/>
  <c r="G153" i="10" s="1"/>
  <c r="C153" i="10"/>
  <c r="D153" i="10"/>
  <c r="E153" i="10"/>
  <c r="F153" i="10"/>
  <c r="I153" i="10"/>
  <c r="N153" i="10" s="1"/>
  <c r="J153" i="10"/>
  <c r="K153" i="10"/>
  <c r="L153" i="10"/>
  <c r="M153" i="10"/>
  <c r="B154" i="10"/>
  <c r="G154" i="10" s="1"/>
  <c r="C154" i="10"/>
  <c r="D154" i="10"/>
  <c r="E154" i="10"/>
  <c r="F154" i="10"/>
  <c r="I154" i="10"/>
  <c r="N154" i="10" s="1"/>
  <c r="J154" i="10"/>
  <c r="K154" i="10"/>
  <c r="L154" i="10"/>
  <c r="M154" i="10"/>
  <c r="B155" i="10"/>
  <c r="G155" i="10" s="1"/>
  <c r="C155" i="10"/>
  <c r="D155" i="10"/>
  <c r="E155" i="10"/>
  <c r="F155" i="10"/>
  <c r="I155" i="10"/>
  <c r="N155" i="10" s="1"/>
  <c r="J155" i="10"/>
  <c r="K155" i="10"/>
  <c r="L155" i="10"/>
  <c r="M155" i="10"/>
  <c r="B156" i="10"/>
  <c r="G156" i="10" s="1"/>
  <c r="C156" i="10"/>
  <c r="D156" i="10"/>
  <c r="E156" i="10"/>
  <c r="F156" i="10"/>
  <c r="I156" i="10"/>
  <c r="N156" i="10" s="1"/>
  <c r="J156" i="10"/>
  <c r="K156" i="10"/>
  <c r="L156" i="10"/>
  <c r="M156" i="10"/>
  <c r="B157" i="10"/>
  <c r="G157" i="10" s="1"/>
  <c r="C157" i="10"/>
  <c r="D157" i="10"/>
  <c r="E157" i="10"/>
  <c r="F157" i="10"/>
  <c r="I157" i="10"/>
  <c r="N157" i="10" s="1"/>
  <c r="J157" i="10"/>
  <c r="K157" i="10"/>
  <c r="L157" i="10"/>
  <c r="M157" i="10"/>
  <c r="B158" i="10"/>
  <c r="G158" i="10" s="1"/>
  <c r="C158" i="10"/>
  <c r="D158" i="10"/>
  <c r="E158" i="10"/>
  <c r="F158" i="10"/>
  <c r="I158" i="10"/>
  <c r="N158" i="10" s="1"/>
  <c r="J158" i="10"/>
  <c r="K158" i="10"/>
  <c r="L158" i="10"/>
  <c r="M158" i="10"/>
  <c r="B159" i="10"/>
  <c r="G159" i="10" s="1"/>
  <c r="C159" i="10"/>
  <c r="D159" i="10"/>
  <c r="E159" i="10"/>
  <c r="F159" i="10"/>
  <c r="I159" i="10"/>
  <c r="N159" i="10" s="1"/>
  <c r="J159" i="10"/>
  <c r="K159" i="10"/>
  <c r="L159" i="10"/>
  <c r="M159" i="10"/>
  <c r="B160" i="10"/>
  <c r="G160" i="10" s="1"/>
  <c r="C160" i="10"/>
  <c r="D160" i="10"/>
  <c r="E160" i="10"/>
  <c r="F160" i="10"/>
  <c r="I160" i="10"/>
  <c r="N160" i="10" s="1"/>
  <c r="J160" i="10"/>
  <c r="K160" i="10"/>
  <c r="L160" i="10"/>
  <c r="M160" i="10"/>
  <c r="B161" i="10"/>
  <c r="G161" i="10" s="1"/>
  <c r="C161" i="10"/>
  <c r="D161" i="10"/>
  <c r="E161" i="10"/>
  <c r="F161" i="10"/>
  <c r="I161" i="10"/>
  <c r="N161" i="10" s="1"/>
  <c r="J161" i="10"/>
  <c r="K161" i="10"/>
  <c r="L161" i="10"/>
  <c r="M161" i="10"/>
  <c r="B162" i="10"/>
  <c r="G162" i="10" s="1"/>
  <c r="C162" i="10"/>
  <c r="D162" i="10"/>
  <c r="E162" i="10"/>
  <c r="F162" i="10"/>
  <c r="I162" i="10"/>
  <c r="N162" i="10" s="1"/>
  <c r="J162" i="10"/>
  <c r="K162" i="10"/>
  <c r="L162" i="10"/>
  <c r="M162" i="10"/>
  <c r="B163" i="10"/>
  <c r="G163" i="10" s="1"/>
  <c r="C163" i="10"/>
  <c r="D163" i="10"/>
  <c r="E163" i="10"/>
  <c r="F163" i="10"/>
  <c r="I163" i="10"/>
  <c r="N163" i="10" s="1"/>
  <c r="J163" i="10"/>
  <c r="K163" i="10"/>
  <c r="L163" i="10"/>
  <c r="M163" i="10"/>
  <c r="B164" i="10"/>
  <c r="G164" i="10" s="1"/>
  <c r="C164" i="10"/>
  <c r="D164" i="10"/>
  <c r="E164" i="10"/>
  <c r="F164" i="10"/>
  <c r="I164" i="10"/>
  <c r="N164" i="10" s="1"/>
  <c r="J164" i="10"/>
  <c r="K164" i="10"/>
  <c r="L164" i="10"/>
  <c r="M164" i="10"/>
  <c r="B165" i="10"/>
  <c r="G165" i="10" s="1"/>
  <c r="C165" i="10"/>
  <c r="D165" i="10"/>
  <c r="E165" i="10"/>
  <c r="F165" i="10"/>
  <c r="I165" i="10"/>
  <c r="N165" i="10" s="1"/>
  <c r="J165" i="10"/>
  <c r="K165" i="10"/>
  <c r="L165" i="10"/>
  <c r="M165" i="10"/>
  <c r="B166" i="10"/>
  <c r="G166" i="10" s="1"/>
  <c r="C166" i="10"/>
  <c r="D166" i="10"/>
  <c r="E166" i="10"/>
  <c r="F166" i="10"/>
  <c r="I166" i="10"/>
  <c r="N166" i="10" s="1"/>
  <c r="J166" i="10"/>
  <c r="K166" i="10"/>
  <c r="L166" i="10"/>
  <c r="M166" i="10"/>
  <c r="B167" i="10"/>
  <c r="G167" i="10" s="1"/>
  <c r="C167" i="10"/>
  <c r="D167" i="10"/>
  <c r="E167" i="10"/>
  <c r="F167" i="10"/>
  <c r="I167" i="10"/>
  <c r="N167" i="10" s="1"/>
  <c r="J167" i="10"/>
  <c r="K167" i="10"/>
  <c r="L167" i="10"/>
  <c r="M167" i="10"/>
  <c r="B168" i="10"/>
  <c r="G168" i="10" s="1"/>
  <c r="C168" i="10"/>
  <c r="D168" i="10"/>
  <c r="E168" i="10"/>
  <c r="F168" i="10"/>
  <c r="I168" i="10"/>
  <c r="N168" i="10" s="1"/>
  <c r="J168" i="10"/>
  <c r="K168" i="10"/>
  <c r="L168" i="10"/>
  <c r="M168" i="10"/>
  <c r="B169" i="10"/>
  <c r="G169" i="10" s="1"/>
  <c r="C169" i="10"/>
  <c r="D169" i="10"/>
  <c r="E169" i="10"/>
  <c r="F169" i="10"/>
  <c r="I169" i="10"/>
  <c r="N169" i="10" s="1"/>
  <c r="J169" i="10"/>
  <c r="K169" i="10"/>
  <c r="L169" i="10"/>
  <c r="M169" i="10"/>
  <c r="B170" i="10"/>
  <c r="G170" i="10" s="1"/>
  <c r="C170" i="10"/>
  <c r="D170" i="10"/>
  <c r="E170" i="10"/>
  <c r="F170" i="10"/>
  <c r="I170" i="10"/>
  <c r="N170" i="10" s="1"/>
  <c r="J170" i="10"/>
  <c r="K170" i="10"/>
  <c r="L170" i="10"/>
  <c r="M170" i="10"/>
  <c r="B171" i="10"/>
  <c r="G171" i="10" s="1"/>
  <c r="C171" i="10"/>
  <c r="D171" i="10"/>
  <c r="E171" i="10"/>
  <c r="F171" i="10"/>
  <c r="I171" i="10"/>
  <c r="N171" i="10" s="1"/>
  <c r="J171" i="10"/>
  <c r="K171" i="10"/>
  <c r="L171" i="10"/>
  <c r="M171" i="10"/>
  <c r="B172" i="10"/>
  <c r="G172" i="10" s="1"/>
  <c r="C172" i="10"/>
  <c r="D172" i="10"/>
  <c r="E172" i="10"/>
  <c r="F172" i="10"/>
  <c r="I172" i="10"/>
  <c r="N172" i="10" s="1"/>
  <c r="J172" i="10"/>
  <c r="K172" i="10"/>
  <c r="L172" i="10"/>
  <c r="M172" i="10"/>
  <c r="B173" i="10"/>
  <c r="G173" i="10" s="1"/>
  <c r="C173" i="10"/>
  <c r="D173" i="10"/>
  <c r="E173" i="10"/>
  <c r="F173" i="10"/>
  <c r="I173" i="10"/>
  <c r="N173" i="10" s="1"/>
  <c r="J173" i="10"/>
  <c r="K173" i="10"/>
  <c r="L173" i="10"/>
  <c r="M173" i="10"/>
  <c r="B174" i="10"/>
  <c r="G174" i="10" s="1"/>
  <c r="C174" i="10"/>
  <c r="D174" i="10"/>
  <c r="E174" i="10"/>
  <c r="F174" i="10"/>
  <c r="I174" i="10"/>
  <c r="N174" i="10" s="1"/>
  <c r="J174" i="10"/>
  <c r="K174" i="10"/>
  <c r="L174" i="10"/>
  <c r="M174" i="10"/>
  <c r="B175" i="10"/>
  <c r="G175" i="10" s="1"/>
  <c r="C175" i="10"/>
  <c r="D175" i="10"/>
  <c r="E175" i="10"/>
  <c r="F175" i="10"/>
  <c r="I175" i="10"/>
  <c r="N175" i="10" s="1"/>
  <c r="J175" i="10"/>
  <c r="K175" i="10"/>
  <c r="L175" i="10"/>
  <c r="M175" i="10"/>
  <c r="B176" i="10"/>
  <c r="G176" i="10" s="1"/>
  <c r="C176" i="10"/>
  <c r="D176" i="10"/>
  <c r="E176" i="10"/>
  <c r="F176" i="10"/>
  <c r="I176" i="10"/>
  <c r="N176" i="10" s="1"/>
  <c r="J176" i="10"/>
  <c r="K176" i="10"/>
  <c r="L176" i="10"/>
  <c r="M176" i="10"/>
  <c r="B177" i="10"/>
  <c r="G177" i="10" s="1"/>
  <c r="C177" i="10"/>
  <c r="D177" i="10"/>
  <c r="E177" i="10"/>
  <c r="F177" i="10"/>
  <c r="I177" i="10"/>
  <c r="N177" i="10" s="1"/>
  <c r="J177" i="10"/>
  <c r="K177" i="10"/>
  <c r="L177" i="10"/>
  <c r="M177" i="10"/>
  <c r="B178" i="10"/>
  <c r="G178" i="10" s="1"/>
  <c r="C178" i="10"/>
  <c r="D178" i="10"/>
  <c r="E178" i="10"/>
  <c r="F178" i="10"/>
  <c r="I178" i="10"/>
  <c r="N178" i="10" s="1"/>
  <c r="J178" i="10"/>
  <c r="K178" i="10"/>
  <c r="L178" i="10"/>
  <c r="M178" i="10"/>
  <c r="B179" i="10"/>
  <c r="G179" i="10" s="1"/>
  <c r="C179" i="10"/>
  <c r="D179" i="10"/>
  <c r="E179" i="10"/>
  <c r="F179" i="10"/>
  <c r="I179" i="10"/>
  <c r="N179" i="10" s="1"/>
  <c r="J179" i="10"/>
  <c r="K179" i="10"/>
  <c r="L179" i="10"/>
  <c r="M179" i="10"/>
  <c r="B180" i="10"/>
  <c r="G180" i="10" s="1"/>
  <c r="C180" i="10"/>
  <c r="D180" i="10"/>
  <c r="E180" i="10"/>
  <c r="F180" i="10"/>
  <c r="I180" i="10"/>
  <c r="N180" i="10" s="1"/>
  <c r="J180" i="10"/>
  <c r="K180" i="10"/>
  <c r="L180" i="10"/>
  <c r="M180" i="10"/>
  <c r="B181" i="10"/>
  <c r="G181" i="10" s="1"/>
  <c r="C181" i="10"/>
  <c r="D181" i="10"/>
  <c r="E181" i="10"/>
  <c r="F181" i="10"/>
  <c r="I181" i="10"/>
  <c r="N181" i="10" s="1"/>
  <c r="J181" i="10"/>
  <c r="K181" i="10"/>
  <c r="L181" i="10"/>
  <c r="M181" i="10"/>
  <c r="B182" i="10"/>
  <c r="G182" i="10" s="1"/>
  <c r="C182" i="10"/>
  <c r="D182" i="10"/>
  <c r="E182" i="10"/>
  <c r="F182" i="10"/>
  <c r="I182" i="10"/>
  <c r="N182" i="10" s="1"/>
  <c r="J182" i="10"/>
  <c r="K182" i="10"/>
  <c r="L182" i="10"/>
  <c r="M182" i="10"/>
  <c r="B183" i="10"/>
  <c r="G183" i="10" s="1"/>
  <c r="C183" i="10"/>
  <c r="D183" i="10"/>
  <c r="E183" i="10"/>
  <c r="F183" i="10"/>
  <c r="I183" i="10"/>
  <c r="N183" i="10" s="1"/>
  <c r="J183" i="10"/>
  <c r="K183" i="10"/>
  <c r="L183" i="10"/>
  <c r="M183" i="10"/>
  <c r="B184" i="10"/>
  <c r="G184" i="10" s="1"/>
  <c r="C184" i="10"/>
  <c r="D184" i="10"/>
  <c r="E184" i="10"/>
  <c r="F184" i="10"/>
  <c r="I184" i="10"/>
  <c r="N184" i="10" s="1"/>
  <c r="J184" i="10"/>
  <c r="K184" i="10"/>
  <c r="L184" i="10"/>
  <c r="M184" i="10"/>
  <c r="B185" i="10"/>
  <c r="G185" i="10" s="1"/>
  <c r="C185" i="10"/>
  <c r="D185" i="10"/>
  <c r="E185" i="10"/>
  <c r="F185" i="10"/>
  <c r="I185" i="10"/>
  <c r="N185" i="10" s="1"/>
  <c r="J185" i="10"/>
  <c r="K185" i="10"/>
  <c r="L185" i="10"/>
  <c r="M185" i="10"/>
  <c r="B186" i="10"/>
  <c r="G186" i="10" s="1"/>
  <c r="C186" i="10"/>
  <c r="D186" i="10"/>
  <c r="E186" i="10"/>
  <c r="F186" i="10"/>
  <c r="I186" i="10"/>
  <c r="N186" i="10" s="1"/>
  <c r="J186" i="10"/>
  <c r="K186" i="10"/>
  <c r="L186" i="10"/>
  <c r="M186" i="10"/>
  <c r="B187" i="10"/>
  <c r="G187" i="10" s="1"/>
  <c r="C187" i="10"/>
  <c r="D187" i="10"/>
  <c r="E187" i="10"/>
  <c r="F187" i="10"/>
  <c r="I187" i="10"/>
  <c r="N187" i="10" s="1"/>
  <c r="J187" i="10"/>
  <c r="K187" i="10"/>
  <c r="L187" i="10"/>
  <c r="M187" i="10"/>
  <c r="B188" i="10"/>
  <c r="G188" i="10" s="1"/>
  <c r="C188" i="10"/>
  <c r="D188" i="10"/>
  <c r="E188" i="10"/>
  <c r="F188" i="10"/>
  <c r="I188" i="10"/>
  <c r="N188" i="10" s="1"/>
  <c r="J188" i="10"/>
  <c r="K188" i="10"/>
  <c r="L188" i="10"/>
  <c r="M188" i="10"/>
  <c r="B189" i="10"/>
  <c r="G189" i="10" s="1"/>
  <c r="C189" i="10"/>
  <c r="D189" i="10"/>
  <c r="E189" i="10"/>
  <c r="F189" i="10"/>
  <c r="I189" i="10"/>
  <c r="N189" i="10" s="1"/>
  <c r="J189" i="10"/>
  <c r="K189" i="10"/>
  <c r="L189" i="10"/>
  <c r="M189" i="10"/>
  <c r="B190" i="10"/>
  <c r="G190" i="10" s="1"/>
  <c r="C190" i="10"/>
  <c r="D190" i="10"/>
  <c r="E190" i="10"/>
  <c r="F190" i="10"/>
  <c r="I190" i="10"/>
  <c r="N190" i="10" s="1"/>
  <c r="J190" i="10"/>
  <c r="K190" i="10"/>
  <c r="L190" i="10"/>
  <c r="M190" i="10"/>
  <c r="B191" i="10"/>
  <c r="G191" i="10" s="1"/>
  <c r="C191" i="10"/>
  <c r="D191" i="10"/>
  <c r="E191" i="10"/>
  <c r="F191" i="10"/>
  <c r="I191" i="10"/>
  <c r="N191" i="10" s="1"/>
  <c r="J191" i="10"/>
  <c r="K191" i="10"/>
  <c r="L191" i="10"/>
  <c r="M191" i="10"/>
  <c r="B192" i="10"/>
  <c r="G192" i="10" s="1"/>
  <c r="C192" i="10"/>
  <c r="D192" i="10"/>
  <c r="E192" i="10"/>
  <c r="F192" i="10"/>
  <c r="I192" i="10"/>
  <c r="N192" i="10" s="1"/>
  <c r="J192" i="10"/>
  <c r="K192" i="10"/>
  <c r="L192" i="10"/>
  <c r="M192" i="10"/>
  <c r="B193" i="10"/>
  <c r="G193" i="10" s="1"/>
  <c r="C193" i="10"/>
  <c r="D193" i="10"/>
  <c r="E193" i="10"/>
  <c r="F193" i="10"/>
  <c r="I193" i="10"/>
  <c r="N193" i="10" s="1"/>
  <c r="J193" i="10"/>
  <c r="K193" i="10"/>
  <c r="L193" i="10"/>
  <c r="M193" i="10"/>
  <c r="B194" i="10"/>
  <c r="G194" i="10" s="1"/>
  <c r="C194" i="10"/>
  <c r="D194" i="10"/>
  <c r="E194" i="10"/>
  <c r="F194" i="10"/>
  <c r="I194" i="10"/>
  <c r="N194" i="10" s="1"/>
  <c r="J194" i="10"/>
  <c r="K194" i="10"/>
  <c r="L194" i="10"/>
  <c r="M194" i="10"/>
  <c r="B195" i="10"/>
  <c r="G195" i="10" s="1"/>
  <c r="C195" i="10"/>
  <c r="D195" i="10"/>
  <c r="E195" i="10"/>
  <c r="F195" i="10"/>
  <c r="I195" i="10"/>
  <c r="N195" i="10" s="1"/>
  <c r="J195" i="10"/>
  <c r="K195" i="10"/>
  <c r="L195" i="10"/>
  <c r="M195" i="10"/>
  <c r="B196" i="10"/>
  <c r="G196" i="10" s="1"/>
  <c r="C196" i="10"/>
  <c r="D196" i="10"/>
  <c r="E196" i="10"/>
  <c r="F196" i="10"/>
  <c r="I196" i="10"/>
  <c r="N196" i="10" s="1"/>
  <c r="J196" i="10"/>
  <c r="K196" i="10"/>
  <c r="L196" i="10"/>
  <c r="M196" i="10"/>
  <c r="B197" i="10"/>
  <c r="G197" i="10" s="1"/>
  <c r="C197" i="10"/>
  <c r="D197" i="10"/>
  <c r="E197" i="10"/>
  <c r="F197" i="10"/>
  <c r="I197" i="10"/>
  <c r="N197" i="10" s="1"/>
  <c r="J197" i="10"/>
  <c r="K197" i="10"/>
  <c r="L197" i="10"/>
  <c r="M197" i="10"/>
  <c r="B198" i="10"/>
  <c r="G198" i="10" s="1"/>
  <c r="C198" i="10"/>
  <c r="D198" i="10"/>
  <c r="E198" i="10"/>
  <c r="F198" i="10"/>
  <c r="I198" i="10"/>
  <c r="N198" i="10" s="1"/>
  <c r="J198" i="10"/>
  <c r="K198" i="10"/>
  <c r="L198" i="10"/>
  <c r="M198" i="10"/>
  <c r="B199" i="10"/>
  <c r="G199" i="10" s="1"/>
  <c r="C199" i="10"/>
  <c r="D199" i="10"/>
  <c r="E199" i="10"/>
  <c r="F199" i="10"/>
  <c r="I199" i="10"/>
  <c r="N199" i="10" s="1"/>
  <c r="J199" i="10"/>
  <c r="K199" i="10"/>
  <c r="L199" i="10"/>
  <c r="M199" i="10"/>
  <c r="B200" i="10"/>
  <c r="G200" i="10" s="1"/>
  <c r="C200" i="10"/>
  <c r="D200" i="10"/>
  <c r="E200" i="10"/>
  <c r="F200" i="10"/>
  <c r="I200" i="10"/>
  <c r="N200" i="10" s="1"/>
  <c r="J200" i="10"/>
  <c r="K200" i="10"/>
  <c r="L200" i="10"/>
  <c r="M200" i="10"/>
  <c r="B201" i="10"/>
  <c r="G201" i="10" s="1"/>
  <c r="C201" i="10"/>
  <c r="D201" i="10"/>
  <c r="E201" i="10"/>
  <c r="F201" i="10"/>
  <c r="I201" i="10"/>
  <c r="N201" i="10" s="1"/>
  <c r="J201" i="10"/>
  <c r="K201" i="10"/>
  <c r="L201" i="10"/>
  <c r="M201" i="10"/>
  <c r="B202" i="10"/>
  <c r="G202" i="10" s="1"/>
  <c r="C202" i="10"/>
  <c r="D202" i="10"/>
  <c r="E202" i="10"/>
  <c r="F202" i="10"/>
  <c r="I202" i="10"/>
  <c r="N202" i="10" s="1"/>
  <c r="J202" i="10"/>
  <c r="K202" i="10"/>
  <c r="L202" i="10"/>
  <c r="M202" i="10"/>
  <c r="B203" i="10"/>
  <c r="G203" i="10" s="1"/>
  <c r="C203" i="10"/>
  <c r="D203" i="10"/>
  <c r="E203" i="10"/>
  <c r="F203" i="10"/>
  <c r="I203" i="10"/>
  <c r="N203" i="10" s="1"/>
  <c r="J203" i="10"/>
  <c r="K203" i="10"/>
  <c r="L203" i="10"/>
  <c r="M203" i="10"/>
  <c r="B204" i="10"/>
  <c r="G204" i="10" s="1"/>
  <c r="C204" i="10"/>
  <c r="D204" i="10"/>
  <c r="E204" i="10"/>
  <c r="F204" i="10"/>
  <c r="I204" i="10"/>
  <c r="N204" i="10" s="1"/>
  <c r="J204" i="10"/>
  <c r="K204" i="10"/>
  <c r="L204" i="10"/>
  <c r="M204" i="10"/>
  <c r="B205" i="10"/>
  <c r="G205" i="10" s="1"/>
  <c r="C205" i="10"/>
  <c r="D205" i="10"/>
  <c r="E205" i="10"/>
  <c r="F205" i="10"/>
  <c r="I205" i="10"/>
  <c r="N205" i="10" s="1"/>
  <c r="J205" i="10"/>
  <c r="K205" i="10"/>
  <c r="L205" i="10"/>
  <c r="M205" i="10"/>
  <c r="B206" i="10"/>
  <c r="G206" i="10" s="1"/>
  <c r="C206" i="10"/>
  <c r="D206" i="10"/>
  <c r="E206" i="10"/>
  <c r="F206" i="10"/>
  <c r="I206" i="10"/>
  <c r="N206" i="10" s="1"/>
  <c r="J206" i="10"/>
  <c r="K206" i="10"/>
  <c r="L206" i="10"/>
  <c r="M206" i="10"/>
  <c r="B207" i="10"/>
  <c r="G207" i="10" s="1"/>
  <c r="C207" i="10"/>
  <c r="D207" i="10"/>
  <c r="E207" i="10"/>
  <c r="F207" i="10"/>
  <c r="I207" i="10"/>
  <c r="N207" i="10" s="1"/>
  <c r="J207" i="10"/>
  <c r="K207" i="10"/>
  <c r="L207" i="10"/>
  <c r="M207" i="10"/>
  <c r="B208" i="10"/>
  <c r="G208" i="10" s="1"/>
  <c r="C208" i="10"/>
  <c r="D208" i="10"/>
  <c r="E208" i="10"/>
  <c r="F208" i="10"/>
  <c r="I208" i="10"/>
  <c r="N208" i="10" s="1"/>
  <c r="J208" i="10"/>
  <c r="K208" i="10"/>
  <c r="L208" i="10"/>
  <c r="M208" i="10"/>
  <c r="B209" i="10"/>
  <c r="G209" i="10" s="1"/>
  <c r="C209" i="10"/>
  <c r="D209" i="10"/>
  <c r="E209" i="10"/>
  <c r="F209" i="10"/>
  <c r="I209" i="10"/>
  <c r="N209" i="10" s="1"/>
  <c r="J209" i="10"/>
  <c r="K209" i="10"/>
  <c r="L209" i="10"/>
  <c r="M209" i="10"/>
  <c r="B210" i="10"/>
  <c r="G210" i="10" s="1"/>
  <c r="C210" i="10"/>
  <c r="D210" i="10"/>
  <c r="E210" i="10"/>
  <c r="F210" i="10"/>
  <c r="I210" i="10"/>
  <c r="N210" i="10" s="1"/>
  <c r="J210" i="10"/>
  <c r="K210" i="10"/>
  <c r="L210" i="10"/>
  <c r="M210" i="10"/>
  <c r="B211" i="10"/>
  <c r="G211" i="10" s="1"/>
  <c r="C211" i="10"/>
  <c r="D211" i="10"/>
  <c r="E211" i="10"/>
  <c r="F211" i="10"/>
  <c r="I211" i="10"/>
  <c r="N211" i="10" s="1"/>
  <c r="J211" i="10"/>
  <c r="K211" i="10"/>
  <c r="L211" i="10"/>
  <c r="M211" i="10"/>
  <c r="B212" i="10"/>
  <c r="G212" i="10" s="1"/>
  <c r="C212" i="10"/>
  <c r="D212" i="10"/>
  <c r="E212" i="10"/>
  <c r="F212" i="10"/>
  <c r="I212" i="10"/>
  <c r="N212" i="10" s="1"/>
  <c r="J212" i="10"/>
  <c r="K212" i="10"/>
  <c r="L212" i="10"/>
  <c r="M212" i="10"/>
  <c r="B213" i="10"/>
  <c r="G213" i="10" s="1"/>
  <c r="C213" i="10"/>
  <c r="D213" i="10"/>
  <c r="E213" i="10"/>
  <c r="F213" i="10"/>
  <c r="I213" i="10"/>
  <c r="N213" i="10" s="1"/>
  <c r="J213" i="10"/>
  <c r="K213" i="10"/>
  <c r="L213" i="10"/>
  <c r="M213" i="10"/>
  <c r="B214" i="10"/>
  <c r="G214" i="10" s="1"/>
  <c r="C214" i="10"/>
  <c r="D214" i="10"/>
  <c r="E214" i="10"/>
  <c r="F214" i="10"/>
  <c r="I214" i="10"/>
  <c r="N214" i="10" s="1"/>
  <c r="J214" i="10"/>
  <c r="K214" i="10"/>
  <c r="L214" i="10"/>
  <c r="M214" i="10"/>
  <c r="B215" i="10"/>
  <c r="G215" i="10" s="1"/>
  <c r="C215" i="10"/>
  <c r="D215" i="10"/>
  <c r="E215" i="10"/>
  <c r="F215" i="10"/>
  <c r="I215" i="10"/>
  <c r="N215" i="10" s="1"/>
  <c r="J215" i="10"/>
  <c r="K215" i="10"/>
  <c r="L215" i="10"/>
  <c r="M215" i="10"/>
  <c r="B216" i="10"/>
  <c r="G216" i="10" s="1"/>
  <c r="C216" i="10"/>
  <c r="D216" i="10"/>
  <c r="E216" i="10"/>
  <c r="F216" i="10"/>
  <c r="I216" i="10"/>
  <c r="N216" i="10" s="1"/>
  <c r="J216" i="10"/>
  <c r="K216" i="10"/>
  <c r="L216" i="10"/>
  <c r="M216" i="10"/>
  <c r="B217" i="10"/>
  <c r="G217" i="10" s="1"/>
  <c r="C217" i="10"/>
  <c r="D217" i="10"/>
  <c r="E217" i="10"/>
  <c r="F217" i="10"/>
  <c r="I217" i="10"/>
  <c r="N217" i="10" s="1"/>
  <c r="J217" i="10"/>
  <c r="K217" i="10"/>
  <c r="L217" i="10"/>
  <c r="M217" i="10"/>
  <c r="B218" i="10"/>
  <c r="G218" i="10" s="1"/>
  <c r="C218" i="10"/>
  <c r="D218" i="10"/>
  <c r="E218" i="10"/>
  <c r="F218" i="10"/>
  <c r="I218" i="10"/>
  <c r="N218" i="10" s="1"/>
  <c r="J218" i="10"/>
  <c r="K218" i="10"/>
  <c r="L218" i="10"/>
  <c r="M218" i="10"/>
  <c r="B219" i="10"/>
  <c r="G219" i="10" s="1"/>
  <c r="C219" i="10"/>
  <c r="D219" i="10"/>
  <c r="E219" i="10"/>
  <c r="F219" i="10"/>
  <c r="I219" i="10"/>
  <c r="N219" i="10" s="1"/>
  <c r="J219" i="10"/>
  <c r="K219" i="10"/>
  <c r="L219" i="10"/>
  <c r="M219" i="10"/>
  <c r="B220" i="10"/>
  <c r="G220" i="10" s="1"/>
  <c r="C220" i="10"/>
  <c r="D220" i="10"/>
  <c r="E220" i="10"/>
  <c r="F220" i="10"/>
  <c r="I220" i="10"/>
  <c r="N220" i="10" s="1"/>
  <c r="J220" i="10"/>
  <c r="K220" i="10"/>
  <c r="L220" i="10"/>
  <c r="M220" i="10"/>
  <c r="B221" i="10"/>
  <c r="G221" i="10" s="1"/>
  <c r="C221" i="10"/>
  <c r="D221" i="10"/>
  <c r="E221" i="10"/>
  <c r="F221" i="10"/>
  <c r="I221" i="10"/>
  <c r="N221" i="10" s="1"/>
  <c r="J221" i="10"/>
  <c r="K221" i="10"/>
  <c r="L221" i="10"/>
  <c r="M221" i="10"/>
  <c r="B222" i="10"/>
  <c r="G222" i="10" s="1"/>
  <c r="C222" i="10"/>
  <c r="D222" i="10"/>
  <c r="E222" i="10"/>
  <c r="F222" i="10"/>
  <c r="I222" i="10"/>
  <c r="N222" i="10" s="1"/>
  <c r="J222" i="10"/>
  <c r="K222" i="10"/>
  <c r="L222" i="10"/>
  <c r="M222" i="10"/>
  <c r="B223" i="10"/>
  <c r="G223" i="10" s="1"/>
  <c r="C223" i="10"/>
  <c r="D223" i="10"/>
  <c r="E223" i="10"/>
  <c r="F223" i="10"/>
  <c r="I223" i="10"/>
  <c r="N223" i="10" s="1"/>
  <c r="J223" i="10"/>
  <c r="K223" i="10"/>
  <c r="L223" i="10"/>
  <c r="M223" i="10"/>
  <c r="B224" i="10"/>
  <c r="G224" i="10" s="1"/>
  <c r="C224" i="10"/>
  <c r="D224" i="10"/>
  <c r="E224" i="10"/>
  <c r="F224" i="10"/>
  <c r="I224" i="10"/>
  <c r="N224" i="10" s="1"/>
  <c r="J224" i="10"/>
  <c r="K224" i="10"/>
  <c r="L224" i="10"/>
  <c r="M224" i="10"/>
  <c r="B225" i="10"/>
  <c r="G225" i="10" s="1"/>
  <c r="C225" i="10"/>
  <c r="D225" i="10"/>
  <c r="E225" i="10"/>
  <c r="F225" i="10"/>
  <c r="I225" i="10"/>
  <c r="N225" i="10" s="1"/>
  <c r="J225" i="10"/>
  <c r="K225" i="10"/>
  <c r="L225" i="10"/>
  <c r="M225" i="10"/>
  <c r="B226" i="10"/>
  <c r="G226" i="10" s="1"/>
  <c r="C226" i="10"/>
  <c r="D226" i="10"/>
  <c r="E226" i="10"/>
  <c r="F226" i="10"/>
  <c r="I226" i="10"/>
  <c r="N226" i="10" s="1"/>
  <c r="J226" i="10"/>
  <c r="K226" i="10"/>
  <c r="L226" i="10"/>
  <c r="M226" i="10"/>
  <c r="B227" i="10"/>
  <c r="G227" i="10" s="1"/>
  <c r="C227" i="10"/>
  <c r="D227" i="10"/>
  <c r="E227" i="10"/>
  <c r="F227" i="10"/>
  <c r="I227" i="10"/>
  <c r="N227" i="10" s="1"/>
  <c r="J227" i="10"/>
  <c r="K227" i="10"/>
  <c r="L227" i="10"/>
  <c r="M227" i="10"/>
  <c r="B228" i="10"/>
  <c r="G228" i="10" s="1"/>
  <c r="C228" i="10"/>
  <c r="D228" i="10"/>
  <c r="E228" i="10"/>
  <c r="F228" i="10"/>
  <c r="I228" i="10"/>
  <c r="N228" i="10" s="1"/>
  <c r="J228" i="10"/>
  <c r="K228" i="10"/>
  <c r="L228" i="10"/>
  <c r="M228" i="10"/>
  <c r="B229" i="10"/>
  <c r="G229" i="10" s="1"/>
  <c r="C229" i="10"/>
  <c r="D229" i="10"/>
  <c r="E229" i="10"/>
  <c r="F229" i="10"/>
  <c r="I229" i="10"/>
  <c r="N229" i="10" s="1"/>
  <c r="J229" i="10"/>
  <c r="K229" i="10"/>
  <c r="L229" i="10"/>
  <c r="M229" i="10"/>
  <c r="B230" i="10"/>
  <c r="G230" i="10" s="1"/>
  <c r="C230" i="10"/>
  <c r="D230" i="10"/>
  <c r="E230" i="10"/>
  <c r="F230" i="10"/>
  <c r="I230" i="10"/>
  <c r="N230" i="10" s="1"/>
  <c r="J230" i="10"/>
  <c r="K230" i="10"/>
  <c r="L230" i="10"/>
  <c r="M230" i="10"/>
  <c r="B231" i="10"/>
  <c r="G231" i="10" s="1"/>
  <c r="C231" i="10"/>
  <c r="D231" i="10"/>
  <c r="E231" i="10"/>
  <c r="F231" i="10"/>
  <c r="I231" i="10"/>
  <c r="N231" i="10" s="1"/>
  <c r="J231" i="10"/>
  <c r="K231" i="10"/>
  <c r="L231" i="10"/>
  <c r="M231" i="10"/>
  <c r="B232" i="10"/>
  <c r="G232" i="10" s="1"/>
  <c r="C232" i="10"/>
  <c r="D232" i="10"/>
  <c r="E232" i="10"/>
  <c r="F232" i="10"/>
  <c r="I232" i="10"/>
  <c r="N232" i="10" s="1"/>
  <c r="J232" i="10"/>
  <c r="K232" i="10"/>
  <c r="L232" i="10"/>
  <c r="M232" i="10"/>
  <c r="B233" i="10"/>
  <c r="G233" i="10" s="1"/>
  <c r="C233" i="10"/>
  <c r="D233" i="10"/>
  <c r="E233" i="10"/>
  <c r="F233" i="10"/>
  <c r="I233" i="10"/>
  <c r="N233" i="10" s="1"/>
  <c r="J233" i="10"/>
  <c r="K233" i="10"/>
  <c r="L233" i="10"/>
  <c r="M233" i="10"/>
  <c r="B234" i="10"/>
  <c r="G234" i="10" s="1"/>
  <c r="C234" i="10"/>
  <c r="D234" i="10"/>
  <c r="E234" i="10"/>
  <c r="F234" i="10"/>
  <c r="I234" i="10"/>
  <c r="N234" i="10" s="1"/>
  <c r="J234" i="10"/>
  <c r="K234" i="10"/>
  <c r="L234" i="10"/>
  <c r="M234" i="10"/>
  <c r="B235" i="10"/>
  <c r="G235" i="10" s="1"/>
  <c r="C235" i="10"/>
  <c r="D235" i="10"/>
  <c r="E235" i="10"/>
  <c r="F235" i="10"/>
  <c r="I235" i="10"/>
  <c r="N235" i="10" s="1"/>
  <c r="J235" i="10"/>
  <c r="K235" i="10"/>
  <c r="L235" i="10"/>
  <c r="M235" i="10"/>
  <c r="B236" i="10"/>
  <c r="G236" i="10" s="1"/>
  <c r="C236" i="10"/>
  <c r="D236" i="10"/>
  <c r="E236" i="10"/>
  <c r="F236" i="10"/>
  <c r="I236" i="10"/>
  <c r="N236" i="10" s="1"/>
  <c r="J236" i="10"/>
  <c r="K236" i="10"/>
  <c r="L236" i="10"/>
  <c r="M236" i="10"/>
  <c r="B237" i="10"/>
  <c r="G237" i="10" s="1"/>
  <c r="C237" i="10"/>
  <c r="D237" i="10"/>
  <c r="E237" i="10"/>
  <c r="F237" i="10"/>
  <c r="I237" i="10"/>
  <c r="N237" i="10" s="1"/>
  <c r="J237" i="10"/>
  <c r="K237" i="10"/>
  <c r="L237" i="10"/>
  <c r="M237" i="10"/>
  <c r="B238" i="10"/>
  <c r="G238" i="10" s="1"/>
  <c r="C238" i="10"/>
  <c r="D238" i="10"/>
  <c r="E238" i="10"/>
  <c r="F238" i="10"/>
  <c r="I238" i="10"/>
  <c r="N238" i="10" s="1"/>
  <c r="J238" i="10"/>
  <c r="K238" i="10"/>
  <c r="L238" i="10"/>
  <c r="M238" i="10"/>
  <c r="B239" i="10"/>
  <c r="G239" i="10" s="1"/>
  <c r="C239" i="10"/>
  <c r="D239" i="10"/>
  <c r="E239" i="10"/>
  <c r="F239" i="10"/>
  <c r="I239" i="10"/>
  <c r="N239" i="10" s="1"/>
  <c r="J239" i="10"/>
  <c r="K239" i="10"/>
  <c r="L239" i="10"/>
  <c r="M239" i="10"/>
  <c r="B240" i="10"/>
  <c r="G240" i="10" s="1"/>
  <c r="C240" i="10"/>
  <c r="D240" i="10"/>
  <c r="E240" i="10"/>
  <c r="F240" i="10"/>
  <c r="I240" i="10"/>
  <c r="N240" i="10" s="1"/>
  <c r="J240" i="10"/>
  <c r="K240" i="10"/>
  <c r="L240" i="10"/>
  <c r="M240" i="10"/>
  <c r="B241" i="10"/>
  <c r="G241" i="10" s="1"/>
  <c r="C241" i="10"/>
  <c r="D241" i="10"/>
  <c r="E241" i="10"/>
  <c r="F241" i="10"/>
  <c r="I241" i="10"/>
  <c r="N241" i="10" s="1"/>
  <c r="J241" i="10"/>
  <c r="K241" i="10"/>
  <c r="L241" i="10"/>
  <c r="M241" i="10"/>
  <c r="B242" i="10"/>
  <c r="G242" i="10" s="1"/>
  <c r="C242" i="10"/>
  <c r="D242" i="10"/>
  <c r="E242" i="10"/>
  <c r="F242" i="10"/>
  <c r="I242" i="10"/>
  <c r="N242" i="10" s="1"/>
  <c r="J242" i="10"/>
  <c r="K242" i="10"/>
  <c r="L242" i="10"/>
  <c r="M242" i="10"/>
  <c r="B243" i="10"/>
  <c r="G243" i="10" s="1"/>
  <c r="C243" i="10"/>
  <c r="D243" i="10"/>
  <c r="E243" i="10"/>
  <c r="F243" i="10"/>
  <c r="I243" i="10"/>
  <c r="N243" i="10" s="1"/>
  <c r="J243" i="10"/>
  <c r="K243" i="10"/>
  <c r="L243" i="10"/>
  <c r="M243" i="10"/>
  <c r="B244" i="10"/>
  <c r="G244" i="10" s="1"/>
  <c r="C244" i="10"/>
  <c r="D244" i="10"/>
  <c r="E244" i="10"/>
  <c r="F244" i="10"/>
  <c r="I244" i="10"/>
  <c r="N244" i="10" s="1"/>
  <c r="J244" i="10"/>
  <c r="K244" i="10"/>
  <c r="L244" i="10"/>
  <c r="M244" i="10"/>
  <c r="B245" i="10"/>
  <c r="G245" i="10" s="1"/>
  <c r="C245" i="10"/>
  <c r="D245" i="10"/>
  <c r="E245" i="10"/>
  <c r="F245" i="10"/>
  <c r="I245" i="10"/>
  <c r="N245" i="10" s="1"/>
  <c r="J245" i="10"/>
  <c r="K245" i="10"/>
  <c r="L245" i="10"/>
  <c r="M245" i="10"/>
  <c r="B246" i="10"/>
  <c r="G246" i="10" s="1"/>
  <c r="C246" i="10"/>
  <c r="D246" i="10"/>
  <c r="E246" i="10"/>
  <c r="F246" i="10"/>
  <c r="I246" i="10"/>
  <c r="N246" i="10" s="1"/>
  <c r="J246" i="10"/>
  <c r="K246" i="10"/>
  <c r="L246" i="10"/>
  <c r="M246" i="10"/>
  <c r="B247" i="10"/>
  <c r="G247" i="10" s="1"/>
  <c r="C247" i="10"/>
  <c r="D247" i="10"/>
  <c r="E247" i="10"/>
  <c r="F247" i="10"/>
  <c r="I247" i="10"/>
  <c r="N247" i="10" s="1"/>
  <c r="J247" i="10"/>
  <c r="K247" i="10"/>
  <c r="L247" i="10"/>
  <c r="M247" i="10"/>
  <c r="B248" i="10"/>
  <c r="G248" i="10" s="1"/>
  <c r="C248" i="10"/>
  <c r="D248" i="10"/>
  <c r="E248" i="10"/>
  <c r="F248" i="10"/>
  <c r="I248" i="10"/>
  <c r="N248" i="10" s="1"/>
  <c r="J248" i="10"/>
  <c r="K248" i="10"/>
  <c r="L248" i="10"/>
  <c r="M248" i="10"/>
  <c r="B249" i="10"/>
  <c r="G249" i="10" s="1"/>
  <c r="C249" i="10"/>
  <c r="D249" i="10"/>
  <c r="E249" i="10"/>
  <c r="F249" i="10"/>
  <c r="I249" i="10"/>
  <c r="N249" i="10" s="1"/>
  <c r="J249" i="10"/>
  <c r="K249" i="10"/>
  <c r="L249" i="10"/>
  <c r="M249" i="10"/>
  <c r="B250" i="10"/>
  <c r="G250" i="10" s="1"/>
  <c r="C250" i="10"/>
  <c r="D250" i="10"/>
  <c r="E250" i="10"/>
  <c r="F250" i="10"/>
  <c r="I250" i="10"/>
  <c r="N250" i="10" s="1"/>
  <c r="J250" i="10"/>
  <c r="K250" i="10"/>
  <c r="L250" i="10"/>
  <c r="M250" i="10"/>
  <c r="B251" i="10"/>
  <c r="G251" i="10" s="1"/>
  <c r="C251" i="10"/>
  <c r="D251" i="10"/>
  <c r="E251" i="10"/>
  <c r="F251" i="10"/>
  <c r="I251" i="10"/>
  <c r="N251" i="10" s="1"/>
  <c r="J251" i="10"/>
  <c r="K251" i="10"/>
  <c r="L251" i="10"/>
  <c r="M251" i="10"/>
  <c r="B252" i="10"/>
  <c r="G252" i="10" s="1"/>
  <c r="C252" i="10"/>
  <c r="D252" i="10"/>
  <c r="E252" i="10"/>
  <c r="F252" i="10"/>
  <c r="I252" i="10"/>
  <c r="N252" i="10" s="1"/>
  <c r="J252" i="10"/>
  <c r="K252" i="10"/>
  <c r="L252" i="10"/>
  <c r="M252" i="10"/>
  <c r="B253" i="10"/>
  <c r="G253" i="10" s="1"/>
  <c r="C253" i="10"/>
  <c r="D253" i="10"/>
  <c r="E253" i="10"/>
  <c r="F253" i="10"/>
  <c r="I253" i="10"/>
  <c r="N253" i="10" s="1"/>
  <c r="J253" i="10"/>
  <c r="K253" i="10"/>
  <c r="L253" i="10"/>
  <c r="M253" i="10"/>
  <c r="B254" i="10"/>
  <c r="G254" i="10" s="1"/>
  <c r="C254" i="10"/>
  <c r="D254" i="10"/>
  <c r="E254" i="10"/>
  <c r="F254" i="10"/>
  <c r="I254" i="10"/>
  <c r="N254" i="10" s="1"/>
  <c r="J254" i="10"/>
  <c r="K254" i="10"/>
  <c r="L254" i="10"/>
  <c r="M254" i="10"/>
  <c r="B255" i="10"/>
  <c r="G255" i="10" s="1"/>
  <c r="C255" i="10"/>
  <c r="D255" i="10"/>
  <c r="E255" i="10"/>
  <c r="F255" i="10"/>
  <c r="I255" i="10"/>
  <c r="N255" i="10" s="1"/>
  <c r="J255" i="10"/>
  <c r="K255" i="10"/>
  <c r="L255" i="10"/>
  <c r="M255" i="10"/>
  <c r="B256" i="10"/>
  <c r="G256" i="10" s="1"/>
  <c r="C256" i="10"/>
  <c r="D256" i="10"/>
  <c r="E256" i="10"/>
  <c r="F256" i="10"/>
  <c r="I256" i="10"/>
  <c r="N256" i="10" s="1"/>
  <c r="J256" i="10"/>
  <c r="K256" i="10"/>
  <c r="L256" i="10"/>
  <c r="M256" i="10"/>
  <c r="B257" i="10"/>
  <c r="G257" i="10" s="1"/>
  <c r="C257" i="10"/>
  <c r="D257" i="10"/>
  <c r="E257" i="10"/>
  <c r="F257" i="10"/>
  <c r="I257" i="10"/>
  <c r="N257" i="10" s="1"/>
  <c r="J257" i="10"/>
  <c r="K257" i="10"/>
  <c r="L257" i="10"/>
  <c r="M257" i="10"/>
  <c r="B258" i="10"/>
  <c r="G258" i="10" s="1"/>
  <c r="C258" i="10"/>
  <c r="D258" i="10"/>
  <c r="E258" i="10"/>
  <c r="F258" i="10"/>
  <c r="I258" i="10"/>
  <c r="N258" i="10" s="1"/>
  <c r="J258" i="10"/>
  <c r="K258" i="10"/>
  <c r="L258" i="10"/>
  <c r="M258" i="10"/>
  <c r="B259" i="10"/>
  <c r="G259" i="10" s="1"/>
  <c r="C259" i="10"/>
  <c r="D259" i="10"/>
  <c r="E259" i="10"/>
  <c r="F259" i="10"/>
  <c r="I259" i="10"/>
  <c r="N259" i="10" s="1"/>
  <c r="J259" i="10"/>
  <c r="K259" i="10"/>
  <c r="L259" i="10"/>
  <c r="M259" i="10"/>
  <c r="B260" i="10"/>
  <c r="G260" i="10" s="1"/>
  <c r="C260" i="10"/>
  <c r="D260" i="10"/>
  <c r="E260" i="10"/>
  <c r="F260" i="10"/>
  <c r="I260" i="10"/>
  <c r="N260" i="10" s="1"/>
  <c r="J260" i="10"/>
  <c r="K260" i="10"/>
  <c r="L260" i="10"/>
  <c r="M260" i="10"/>
  <c r="B261" i="10"/>
  <c r="G261" i="10" s="1"/>
  <c r="C261" i="10"/>
  <c r="D261" i="10"/>
  <c r="E261" i="10"/>
  <c r="F261" i="10"/>
  <c r="I261" i="10"/>
  <c r="N261" i="10" s="1"/>
  <c r="J261" i="10"/>
  <c r="K261" i="10"/>
  <c r="L261" i="10"/>
  <c r="M261" i="10"/>
  <c r="B262" i="10"/>
  <c r="G262" i="10" s="1"/>
  <c r="C262" i="10"/>
  <c r="D262" i="10"/>
  <c r="E262" i="10"/>
  <c r="F262" i="10"/>
  <c r="I262" i="10"/>
  <c r="N262" i="10" s="1"/>
  <c r="J262" i="10"/>
  <c r="K262" i="10"/>
  <c r="L262" i="10"/>
  <c r="M262" i="10"/>
  <c r="B263" i="10"/>
  <c r="G263" i="10" s="1"/>
  <c r="C263" i="10"/>
  <c r="D263" i="10"/>
  <c r="E263" i="10"/>
  <c r="F263" i="10"/>
  <c r="I263" i="10"/>
  <c r="N263" i="10" s="1"/>
  <c r="J263" i="10"/>
  <c r="K263" i="10"/>
  <c r="L263" i="10"/>
  <c r="M263" i="10"/>
  <c r="B264" i="10"/>
  <c r="G264" i="10" s="1"/>
  <c r="C264" i="10"/>
  <c r="D264" i="10"/>
  <c r="E264" i="10"/>
  <c r="F264" i="10"/>
  <c r="I264" i="10"/>
  <c r="N264" i="10" s="1"/>
  <c r="J264" i="10"/>
  <c r="K264" i="10"/>
  <c r="L264" i="10"/>
  <c r="M264" i="10"/>
  <c r="B265" i="10"/>
  <c r="G265" i="10" s="1"/>
  <c r="C265" i="10"/>
  <c r="D265" i="10"/>
  <c r="E265" i="10"/>
  <c r="F265" i="10"/>
  <c r="I265" i="10"/>
  <c r="N265" i="10" s="1"/>
  <c r="J265" i="10"/>
  <c r="K265" i="10"/>
  <c r="L265" i="10"/>
  <c r="M265" i="10"/>
  <c r="B266" i="10"/>
  <c r="G266" i="10" s="1"/>
  <c r="C266" i="10"/>
  <c r="D266" i="10"/>
  <c r="E266" i="10"/>
  <c r="F266" i="10"/>
  <c r="I266" i="10"/>
  <c r="N266" i="10" s="1"/>
  <c r="J266" i="10"/>
  <c r="K266" i="10"/>
  <c r="L266" i="10"/>
  <c r="M266" i="10"/>
  <c r="B267" i="10"/>
  <c r="G267" i="10" s="1"/>
  <c r="C267" i="10"/>
  <c r="D267" i="10"/>
  <c r="E267" i="10"/>
  <c r="F267" i="10"/>
  <c r="I267" i="10"/>
  <c r="N267" i="10" s="1"/>
  <c r="J267" i="10"/>
  <c r="K267" i="10"/>
  <c r="L267" i="10"/>
  <c r="M267" i="10"/>
  <c r="B268" i="10"/>
  <c r="G268" i="10" s="1"/>
  <c r="C268" i="10"/>
  <c r="D268" i="10"/>
  <c r="E268" i="10"/>
  <c r="F268" i="10"/>
  <c r="I268" i="10"/>
  <c r="N268" i="10" s="1"/>
  <c r="J268" i="10"/>
  <c r="K268" i="10"/>
  <c r="L268" i="10"/>
  <c r="M268" i="10"/>
  <c r="B269" i="10"/>
  <c r="G269" i="10" s="1"/>
  <c r="C269" i="10"/>
  <c r="D269" i="10"/>
  <c r="E269" i="10"/>
  <c r="F269" i="10"/>
  <c r="I269" i="10"/>
  <c r="N269" i="10" s="1"/>
  <c r="J269" i="10"/>
  <c r="K269" i="10"/>
  <c r="L269" i="10"/>
  <c r="M269" i="10"/>
  <c r="B270" i="10"/>
  <c r="G270" i="10" s="1"/>
  <c r="C270" i="10"/>
  <c r="D270" i="10"/>
  <c r="E270" i="10"/>
  <c r="F270" i="10"/>
  <c r="I270" i="10"/>
  <c r="N270" i="10" s="1"/>
  <c r="J270" i="10"/>
  <c r="K270" i="10"/>
  <c r="L270" i="10"/>
  <c r="M270" i="10"/>
  <c r="B271" i="10"/>
  <c r="G271" i="10" s="1"/>
  <c r="C271" i="10"/>
  <c r="D271" i="10"/>
  <c r="E271" i="10"/>
  <c r="F271" i="10"/>
  <c r="I271" i="10"/>
  <c r="N271" i="10" s="1"/>
  <c r="J271" i="10"/>
  <c r="K271" i="10"/>
  <c r="L271" i="10"/>
  <c r="M271" i="10"/>
  <c r="B272" i="10"/>
  <c r="G272" i="10" s="1"/>
  <c r="C272" i="10"/>
  <c r="D272" i="10"/>
  <c r="E272" i="10"/>
  <c r="F272" i="10"/>
  <c r="I272" i="10"/>
  <c r="N272" i="10" s="1"/>
  <c r="J272" i="10"/>
  <c r="K272" i="10"/>
  <c r="L272" i="10"/>
  <c r="M272" i="10"/>
  <c r="B273" i="10"/>
  <c r="G273" i="10" s="1"/>
  <c r="C273" i="10"/>
  <c r="D273" i="10"/>
  <c r="E273" i="10"/>
  <c r="F273" i="10"/>
  <c r="I273" i="10"/>
  <c r="N273" i="10" s="1"/>
  <c r="J273" i="10"/>
  <c r="K273" i="10"/>
  <c r="L273" i="10"/>
  <c r="M273" i="10"/>
  <c r="B274" i="10"/>
  <c r="G274" i="10" s="1"/>
  <c r="C274" i="10"/>
  <c r="D274" i="10"/>
  <c r="E274" i="10"/>
  <c r="F274" i="10"/>
  <c r="I274" i="10"/>
  <c r="N274" i="10" s="1"/>
  <c r="J274" i="10"/>
  <c r="K274" i="10"/>
  <c r="L274" i="10"/>
  <c r="M274" i="10"/>
  <c r="B275" i="10"/>
  <c r="G275" i="10" s="1"/>
  <c r="C275" i="10"/>
  <c r="D275" i="10"/>
  <c r="E275" i="10"/>
  <c r="F275" i="10"/>
  <c r="I275" i="10"/>
  <c r="N275" i="10" s="1"/>
  <c r="J275" i="10"/>
  <c r="K275" i="10"/>
  <c r="L275" i="10"/>
  <c r="M275" i="10"/>
  <c r="B276" i="10"/>
  <c r="G276" i="10" s="1"/>
  <c r="C276" i="10"/>
  <c r="D276" i="10"/>
  <c r="E276" i="10"/>
  <c r="F276" i="10"/>
  <c r="I276" i="10"/>
  <c r="N276" i="10" s="1"/>
  <c r="J276" i="10"/>
  <c r="K276" i="10"/>
  <c r="L276" i="10"/>
  <c r="M276" i="10"/>
  <c r="B277" i="10"/>
  <c r="G277" i="10" s="1"/>
  <c r="C277" i="10"/>
  <c r="D277" i="10"/>
  <c r="E277" i="10"/>
  <c r="F277" i="10"/>
  <c r="I277" i="10"/>
  <c r="N277" i="10" s="1"/>
  <c r="J277" i="10"/>
  <c r="K277" i="10"/>
  <c r="L277" i="10"/>
  <c r="M277" i="10"/>
  <c r="B278" i="10"/>
  <c r="G278" i="10" s="1"/>
  <c r="C278" i="10"/>
  <c r="D278" i="10"/>
  <c r="E278" i="10"/>
  <c r="F278" i="10"/>
  <c r="I278" i="10"/>
  <c r="N278" i="10" s="1"/>
  <c r="J278" i="10"/>
  <c r="K278" i="10"/>
  <c r="L278" i="10"/>
  <c r="M278" i="10"/>
  <c r="B279" i="10"/>
  <c r="G279" i="10" s="1"/>
  <c r="C279" i="10"/>
  <c r="D279" i="10"/>
  <c r="E279" i="10"/>
  <c r="F279" i="10"/>
  <c r="I279" i="10"/>
  <c r="N279" i="10" s="1"/>
  <c r="J279" i="10"/>
  <c r="K279" i="10"/>
  <c r="L279" i="10"/>
  <c r="M279" i="10"/>
  <c r="B280" i="10"/>
  <c r="G280" i="10" s="1"/>
  <c r="C280" i="10"/>
  <c r="D280" i="10"/>
  <c r="E280" i="10"/>
  <c r="F280" i="10"/>
  <c r="I280" i="10"/>
  <c r="N280" i="10" s="1"/>
  <c r="J280" i="10"/>
  <c r="K280" i="10"/>
  <c r="L280" i="10"/>
  <c r="M280" i="10"/>
  <c r="B281" i="10"/>
  <c r="G281" i="10" s="1"/>
  <c r="C281" i="10"/>
  <c r="D281" i="10"/>
  <c r="E281" i="10"/>
  <c r="F281" i="10"/>
  <c r="I281" i="10"/>
  <c r="N281" i="10" s="1"/>
  <c r="J281" i="10"/>
  <c r="K281" i="10"/>
  <c r="L281" i="10"/>
  <c r="M281" i="10"/>
  <c r="B282" i="10"/>
  <c r="G282" i="10" s="1"/>
  <c r="C282" i="10"/>
  <c r="D282" i="10"/>
  <c r="E282" i="10"/>
  <c r="F282" i="10"/>
  <c r="I282" i="10"/>
  <c r="N282" i="10" s="1"/>
  <c r="J282" i="10"/>
  <c r="K282" i="10"/>
  <c r="L282" i="10"/>
  <c r="M282" i="10"/>
  <c r="B283" i="10"/>
  <c r="G283" i="10" s="1"/>
  <c r="C283" i="10"/>
  <c r="D283" i="10"/>
  <c r="E283" i="10"/>
  <c r="F283" i="10"/>
  <c r="I283" i="10"/>
  <c r="N283" i="10" s="1"/>
  <c r="J283" i="10"/>
  <c r="K283" i="10"/>
  <c r="L283" i="10"/>
  <c r="M283" i="10"/>
  <c r="B284" i="10"/>
  <c r="G284" i="10" s="1"/>
  <c r="C284" i="10"/>
  <c r="D284" i="10"/>
  <c r="E284" i="10"/>
  <c r="F284" i="10"/>
  <c r="I284" i="10"/>
  <c r="N284" i="10" s="1"/>
  <c r="J284" i="10"/>
  <c r="K284" i="10"/>
  <c r="L284" i="10"/>
  <c r="M284" i="10"/>
  <c r="B285" i="10"/>
  <c r="G285" i="10" s="1"/>
  <c r="C285" i="10"/>
  <c r="D285" i="10"/>
  <c r="E285" i="10"/>
  <c r="F285" i="10"/>
  <c r="I285" i="10"/>
  <c r="N285" i="10" s="1"/>
  <c r="J285" i="10"/>
  <c r="K285" i="10"/>
  <c r="L285" i="10"/>
  <c r="M285" i="10"/>
  <c r="B286" i="10"/>
  <c r="G286" i="10" s="1"/>
  <c r="C286" i="10"/>
  <c r="D286" i="10"/>
  <c r="E286" i="10"/>
  <c r="F286" i="10"/>
  <c r="I286" i="10"/>
  <c r="N286" i="10" s="1"/>
  <c r="J286" i="10"/>
  <c r="K286" i="10"/>
  <c r="L286" i="10"/>
  <c r="M286" i="10"/>
  <c r="M2" i="10"/>
  <c r="L2" i="10"/>
  <c r="K2" i="10"/>
  <c r="J2" i="10"/>
  <c r="I2" i="10"/>
  <c r="F2" i="10"/>
  <c r="E2" i="10"/>
  <c r="D2" i="10"/>
  <c r="C2" i="10"/>
  <c r="B2" i="10"/>
  <c r="N117" i="10" l="1"/>
  <c r="N119" i="10"/>
  <c r="G68" i="11"/>
  <c r="G62" i="11"/>
  <c r="Q14" i="9"/>
  <c r="Q42" i="9" s="1"/>
  <c r="B71" i="11"/>
  <c r="Q76" i="9"/>
  <c r="Q104" i="9" s="1"/>
  <c r="Q62" i="9"/>
  <c r="Q90" i="9" s="1"/>
  <c r="Q80" i="9"/>
  <c r="Q108" i="9" s="1"/>
  <c r="Q79" i="9"/>
  <c r="Q107" i="9" s="1"/>
  <c r="Q78" i="9"/>
  <c r="Q106" i="9" s="1"/>
  <c r="B74" i="11"/>
  <c r="B79" i="11"/>
  <c r="Q57" i="9"/>
  <c r="Q85" i="9" s="1"/>
  <c r="Q61" i="9"/>
  <c r="Q89" i="9" s="1"/>
  <c r="Q84" i="9"/>
  <c r="Q112" i="9" s="1"/>
  <c r="Q72" i="9"/>
  <c r="Q100" i="9" s="1"/>
  <c r="B69" i="11"/>
  <c r="G77" i="11"/>
  <c r="Q82" i="9"/>
  <c r="Q110" i="9" s="1"/>
  <c r="Q70" i="9"/>
  <c r="Q98" i="9" s="1"/>
  <c r="Q58" i="9"/>
  <c r="Q86" i="9" s="1"/>
  <c r="Q81" i="9"/>
  <c r="Q109" i="9" s="1"/>
  <c r="Q22" i="9"/>
  <c r="Q50" i="9" s="1"/>
  <c r="Q68" i="9"/>
  <c r="Q96" i="9" s="1"/>
  <c r="Q67" i="9"/>
  <c r="Q95" i="9" s="1"/>
  <c r="Q66" i="9"/>
  <c r="Q94" i="9" s="1"/>
  <c r="G67" i="11"/>
  <c r="Q75" i="9"/>
  <c r="Q103" i="9" s="1"/>
  <c r="Q74" i="9"/>
  <c r="Q102" i="9" s="1"/>
  <c r="N152" i="10"/>
  <c r="G152" i="10"/>
  <c r="R92" i="9"/>
  <c r="R91" i="9"/>
  <c r="B57" i="11"/>
  <c r="B52" i="11"/>
  <c r="B58" i="11"/>
  <c r="B64" i="11"/>
  <c r="G69" i="11"/>
  <c r="G73" i="11"/>
  <c r="G47" i="11"/>
  <c r="B63" i="11"/>
  <c r="G51" i="11"/>
  <c r="G74" i="11"/>
  <c r="G78" i="11"/>
  <c r="G52" i="11"/>
  <c r="G56" i="11"/>
  <c r="G48" i="11"/>
  <c r="G79" i="11"/>
  <c r="B68" i="11"/>
  <c r="G57" i="11"/>
  <c r="G61" i="11"/>
  <c r="G49" i="11"/>
  <c r="B67" i="11"/>
  <c r="B73" i="11"/>
  <c r="G53" i="11"/>
  <c r="G66" i="11"/>
  <c r="G54" i="11"/>
  <c r="B72" i="11"/>
  <c r="B49" i="11"/>
  <c r="G58" i="11"/>
  <c r="B78" i="11"/>
  <c r="G71" i="11"/>
  <c r="B48" i="11"/>
  <c r="G59" i="11"/>
  <c r="B54" i="11"/>
  <c r="G63" i="11"/>
  <c r="B77" i="11"/>
  <c r="B47" i="11"/>
  <c r="G76" i="11"/>
  <c r="B53" i="11"/>
  <c r="G64" i="11"/>
  <c r="B59" i="11"/>
  <c r="B76" i="11"/>
  <c r="B51" i="11"/>
  <c r="B56" i="11"/>
  <c r="B66" i="11"/>
  <c r="B46" i="11"/>
  <c r="B61" i="11"/>
  <c r="G46" i="11"/>
  <c r="Q1" i="9"/>
  <c r="R30" i="9"/>
  <c r="R50" i="9"/>
  <c r="R47" i="9"/>
  <c r="R40" i="9"/>
  <c r="R45" i="9"/>
  <c r="R35" i="9"/>
  <c r="R53" i="9"/>
  <c r="N9" i="10"/>
  <c r="N99" i="10"/>
  <c r="N97" i="10"/>
  <c r="G84" i="10"/>
  <c r="N5" i="10"/>
  <c r="N22" i="10"/>
  <c r="N72" i="10"/>
  <c r="N4" i="10"/>
  <c r="N109" i="10"/>
  <c r="N107" i="10"/>
  <c r="G94" i="10"/>
  <c r="N82" i="10"/>
  <c r="N69" i="10"/>
  <c r="N67" i="10"/>
  <c r="N64" i="10"/>
  <c r="N43" i="10"/>
  <c r="N8" i="10"/>
  <c r="N3" i="10"/>
  <c r="N52" i="10"/>
  <c r="G104" i="10"/>
  <c r="N92" i="10"/>
  <c r="N79" i="10"/>
  <c r="N77" i="10"/>
  <c r="N62" i="10"/>
  <c r="G28" i="10"/>
  <c r="N18" i="10"/>
  <c r="N7" i="10"/>
  <c r="G7" i="10"/>
  <c r="N118" i="10"/>
  <c r="N102" i="10"/>
  <c r="N89" i="10"/>
  <c r="N87" i="10"/>
  <c r="G74" i="10"/>
  <c r="N59" i="10"/>
  <c r="N57" i="10"/>
  <c r="N24" i="10"/>
  <c r="N14" i="10"/>
  <c r="N104" i="10"/>
  <c r="K110" i="7" s="1"/>
  <c r="Q110" i="7" s="1"/>
  <c r="G98" i="10"/>
  <c r="N94" i="10"/>
  <c r="G88" i="10"/>
  <c r="N84" i="10"/>
  <c r="N74" i="10"/>
  <c r="N68" i="10"/>
  <c r="G68" i="10"/>
  <c r="G58" i="10"/>
  <c r="N54" i="10"/>
  <c r="N47" i="10"/>
  <c r="N42" i="10"/>
  <c r="N37" i="10"/>
  <c r="N33" i="10"/>
  <c r="N28" i="10"/>
  <c r="N12" i="10"/>
  <c r="N115" i="10"/>
  <c r="N113" i="10"/>
  <c r="N108" i="10"/>
  <c r="N98" i="10"/>
  <c r="N88" i="10"/>
  <c r="N78" i="10"/>
  <c r="N58" i="10"/>
  <c r="N48" i="10"/>
  <c r="N44" i="10"/>
  <c r="N39" i="10"/>
  <c r="N35" i="10"/>
  <c r="N25" i="10"/>
  <c r="N23" i="10"/>
  <c r="G9" i="10"/>
  <c r="G4" i="10"/>
  <c r="G37" i="10"/>
  <c r="N114" i="10"/>
  <c r="N105" i="10"/>
  <c r="N103" i="10"/>
  <c r="N95" i="10"/>
  <c r="N93" i="10"/>
  <c r="N85" i="10"/>
  <c r="N83" i="10"/>
  <c r="N75" i="10"/>
  <c r="N73" i="10"/>
  <c r="N65" i="10"/>
  <c r="N63" i="10"/>
  <c r="N55" i="10"/>
  <c r="N53" i="10"/>
  <c r="N49" i="10"/>
  <c r="G49" i="10"/>
  <c r="N45" i="10"/>
  <c r="N38" i="10"/>
  <c r="N34" i="10"/>
  <c r="N32" i="10"/>
  <c r="N29" i="10"/>
  <c r="N27" i="10"/>
  <c r="G24" i="10"/>
  <c r="K30" i="7" s="1"/>
  <c r="M30" i="7" s="1"/>
  <c r="N19" i="10"/>
  <c r="N15" i="10"/>
  <c r="G3" i="10"/>
  <c r="N112" i="10"/>
  <c r="G117" i="10"/>
  <c r="K123" i="7" s="1"/>
  <c r="L123" i="7" s="1"/>
  <c r="G113" i="10"/>
  <c r="G112" i="10"/>
  <c r="G118" i="10"/>
  <c r="G114" i="10"/>
  <c r="G119" i="10"/>
  <c r="K125" i="7" s="1"/>
  <c r="M125" i="7" s="1"/>
  <c r="G115" i="10"/>
  <c r="G102" i="10"/>
  <c r="G108" i="10"/>
  <c r="K114" i="7" s="1"/>
  <c r="L114" i="7" s="1"/>
  <c r="G107" i="10"/>
  <c r="G103" i="10"/>
  <c r="G109" i="10"/>
  <c r="K115" i="7" s="1"/>
  <c r="L115" i="7" s="1"/>
  <c r="G105" i="10"/>
  <c r="G97" i="10"/>
  <c r="G92" i="10"/>
  <c r="K98" i="7" s="1"/>
  <c r="Q98" i="7" s="1"/>
  <c r="G93" i="10"/>
  <c r="G99" i="10"/>
  <c r="K105" i="7" s="1"/>
  <c r="G95" i="10"/>
  <c r="G82" i="10"/>
  <c r="G87" i="10"/>
  <c r="G83" i="10"/>
  <c r="G89" i="10"/>
  <c r="G85" i="10"/>
  <c r="G72" i="10"/>
  <c r="G78" i="10"/>
  <c r="G77" i="10"/>
  <c r="G73" i="10"/>
  <c r="G79" i="10"/>
  <c r="G75" i="10"/>
  <c r="G67" i="10"/>
  <c r="G63" i="10"/>
  <c r="G62" i="10"/>
  <c r="K68" i="7" s="1"/>
  <c r="M68" i="7" s="1"/>
  <c r="G64" i="10"/>
  <c r="G69" i="10"/>
  <c r="G65" i="10"/>
  <c r="G52" i="10"/>
  <c r="G54" i="10"/>
  <c r="G57" i="10"/>
  <c r="G53" i="10"/>
  <c r="K59" i="7" s="1"/>
  <c r="M59" i="7" s="1"/>
  <c r="G59" i="10"/>
  <c r="G55" i="10"/>
  <c r="G48" i="10"/>
  <c r="G44" i="10"/>
  <c r="G47" i="10"/>
  <c r="G43" i="10"/>
  <c r="G45" i="10"/>
  <c r="G42" i="10"/>
  <c r="G39" i="10"/>
  <c r="G35" i="10"/>
  <c r="G33" i="10"/>
  <c r="G32" i="10"/>
  <c r="G38" i="10"/>
  <c r="G34" i="10"/>
  <c r="G22" i="10"/>
  <c r="K28" i="7" s="1"/>
  <c r="Q28" i="7" s="1"/>
  <c r="G27" i="10"/>
  <c r="K33" i="7" s="1"/>
  <c r="H17" i="9" s="1"/>
  <c r="G23" i="10"/>
  <c r="G29" i="10"/>
  <c r="G25" i="10"/>
  <c r="G19" i="10"/>
  <c r="G13" i="10"/>
  <c r="N17" i="10"/>
  <c r="G15" i="10"/>
  <c r="K21" i="7" s="1"/>
  <c r="L21" i="7" s="1"/>
  <c r="G17" i="10"/>
  <c r="N13" i="10"/>
  <c r="G18" i="10"/>
  <c r="G14" i="10"/>
  <c r="G5" i="10"/>
  <c r="G12" i="10"/>
  <c r="G8" i="10"/>
  <c r="K14" i="7" s="1"/>
  <c r="N2" i="10"/>
  <c r="G2" i="10"/>
  <c r="C38" i="7"/>
  <c r="H74" i="9"/>
  <c r="C14" i="7"/>
  <c r="E14" i="7"/>
  <c r="C15" i="7"/>
  <c r="E15" i="7"/>
  <c r="L5" i="3"/>
  <c r="L6" i="3"/>
  <c r="L7" i="3"/>
  <c r="L8" i="3"/>
  <c r="L9" i="3"/>
  <c r="L10" i="3"/>
  <c r="L11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4" i="3"/>
  <c r="L95" i="3"/>
  <c r="L96" i="3"/>
  <c r="L97" i="3"/>
  <c r="L98" i="3"/>
  <c r="L4" i="3"/>
  <c r="K4" i="3"/>
  <c r="K5" i="3"/>
  <c r="K6" i="3"/>
  <c r="K7" i="3"/>
  <c r="K8" i="3"/>
  <c r="K9" i="3"/>
  <c r="K10" i="3"/>
  <c r="K11" i="3"/>
  <c r="K13" i="3"/>
  <c r="K14" i="3"/>
  <c r="K15" i="3"/>
  <c r="K17" i="3"/>
  <c r="K18" i="3"/>
  <c r="K19" i="3"/>
  <c r="K20" i="3"/>
  <c r="K21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4" i="3"/>
  <c r="K95" i="3"/>
  <c r="K96" i="3"/>
  <c r="K97" i="3"/>
  <c r="K16" i="3"/>
  <c r="K90" i="7" l="1"/>
  <c r="Q90" i="7" s="1"/>
  <c r="K99" i="7"/>
  <c r="M99" i="7" s="1"/>
  <c r="K108" i="7"/>
  <c r="M108" i="7" s="1"/>
  <c r="K61" i="7"/>
  <c r="Q61" i="7" s="1"/>
  <c r="K60" i="7"/>
  <c r="L60" i="7" s="1"/>
  <c r="K81" i="7"/>
  <c r="Q81" i="7" s="1"/>
  <c r="K80" i="7"/>
  <c r="L80" i="7" s="1"/>
  <c r="K51" i="7"/>
  <c r="Q51" i="7" s="1"/>
  <c r="K70" i="7"/>
  <c r="Q70" i="7" s="1"/>
  <c r="K20" i="7"/>
  <c r="Q20" i="7" s="1"/>
  <c r="K9" i="7"/>
  <c r="H3" i="9" s="1"/>
  <c r="Q121" i="16"/>
  <c r="M121" i="16"/>
  <c r="L121" i="16"/>
  <c r="K120" i="7"/>
  <c r="M120" i="7" s="1"/>
  <c r="L119" i="16"/>
  <c r="Q119" i="16"/>
  <c r="M119" i="16"/>
  <c r="Q118" i="16"/>
  <c r="K89" i="7"/>
  <c r="L89" i="7" s="1"/>
  <c r="K124" i="7"/>
  <c r="M123" i="7"/>
  <c r="L125" i="7"/>
  <c r="M114" i="7"/>
  <c r="M115" i="7"/>
  <c r="K95" i="7"/>
  <c r="L95" i="7" s="1"/>
  <c r="M95" i="7" s="1"/>
  <c r="K39" i="7"/>
  <c r="H21" i="9" s="1"/>
  <c r="H16" i="9"/>
  <c r="K84" i="7"/>
  <c r="L84" i="7" s="1"/>
  <c r="M84" i="7" s="1"/>
  <c r="K85" i="7"/>
  <c r="L85" i="7" s="1"/>
  <c r="M85" i="7" s="1"/>
  <c r="K75" i="7"/>
  <c r="L75" i="7" s="1"/>
  <c r="M75" i="7" s="1"/>
  <c r="K73" i="7"/>
  <c r="Q73" i="7" s="1"/>
  <c r="K65" i="7"/>
  <c r="H37" i="9" s="1"/>
  <c r="K48" i="7"/>
  <c r="L48" i="7" s="1"/>
  <c r="K8" i="7"/>
  <c r="Q8" i="7" s="1"/>
  <c r="H56" i="9"/>
  <c r="L98" i="7"/>
  <c r="Q29" i="9"/>
  <c r="U20" i="11" s="1"/>
  <c r="O35" i="11"/>
  <c r="K27" i="11"/>
  <c r="S15" i="11"/>
  <c r="K103" i="7"/>
  <c r="L103" i="7" s="1"/>
  <c r="K113" i="7"/>
  <c r="Q113" i="7" s="1"/>
  <c r="K79" i="7"/>
  <c r="K44" i="7"/>
  <c r="L44" i="7" s="1"/>
  <c r="M44" i="7" s="1"/>
  <c r="K93" i="7"/>
  <c r="M93" i="7" s="1"/>
  <c r="K10" i="7"/>
  <c r="Q10" i="7" s="1"/>
  <c r="K11" i="7"/>
  <c r="Q11" i="7" s="1"/>
  <c r="K71" i="7"/>
  <c r="M71" i="7" s="1"/>
  <c r="K88" i="7"/>
  <c r="H50" i="9" s="1"/>
  <c r="K15" i="7"/>
  <c r="Q15" i="7" s="1"/>
  <c r="K101" i="7"/>
  <c r="Q101" i="7" s="1"/>
  <c r="K49" i="7"/>
  <c r="L49" i="7" s="1"/>
  <c r="M28" i="7"/>
  <c r="K34" i="7"/>
  <c r="Q34" i="7" s="1"/>
  <c r="M21" i="7"/>
  <c r="Q21" i="7"/>
  <c r="Q125" i="7"/>
  <c r="L33" i="7"/>
  <c r="Q33" i="7"/>
  <c r="L59" i="7"/>
  <c r="Q59" i="7"/>
  <c r="K13" i="7"/>
  <c r="L13" i="7" s="1"/>
  <c r="L68" i="7"/>
  <c r="Q68" i="7"/>
  <c r="Q85" i="7"/>
  <c r="Q115" i="7"/>
  <c r="L30" i="7"/>
  <c r="Q30" i="7"/>
  <c r="L14" i="7"/>
  <c r="M14" i="7" s="1"/>
  <c r="Q14" i="7"/>
  <c r="L105" i="7"/>
  <c r="M105" i="7" s="1"/>
  <c r="Q105" i="7"/>
  <c r="Q114" i="7"/>
  <c r="Q123" i="7"/>
  <c r="K55" i="7"/>
  <c r="Q55" i="7" s="1"/>
  <c r="L110" i="7"/>
  <c r="H64" i="9"/>
  <c r="H61" i="9"/>
  <c r="K31" i="7"/>
  <c r="M31" i="7" s="1"/>
  <c r="K54" i="7"/>
  <c r="H30" i="9" s="1"/>
  <c r="K63" i="7"/>
  <c r="Q63" i="7" s="1"/>
  <c r="K83" i="7"/>
  <c r="Q83" i="7" s="1"/>
  <c r="K43" i="7"/>
  <c r="Q43" i="7" s="1"/>
  <c r="K23" i="7"/>
  <c r="Q23" i="7" s="1"/>
  <c r="K25" i="7"/>
  <c r="K38" i="7"/>
  <c r="H20" i="9" s="1"/>
  <c r="K69" i="7"/>
  <c r="Q69" i="7" s="1"/>
  <c r="K100" i="7"/>
  <c r="Q100" i="7" s="1"/>
  <c r="K18" i="7"/>
  <c r="Q18" i="7" s="1"/>
  <c r="K58" i="7"/>
  <c r="L58" i="7" s="1"/>
  <c r="K78" i="7"/>
  <c r="K74" i="7"/>
  <c r="Q74" i="7" s="1"/>
  <c r="M90" i="7"/>
  <c r="L90" i="7"/>
  <c r="H52" i="9"/>
  <c r="H33" i="9"/>
  <c r="K50" i="7"/>
  <c r="Q50" i="7" s="1"/>
  <c r="K111" i="7"/>
  <c r="M111" i="7" s="1"/>
  <c r="K94" i="7"/>
  <c r="Q94" i="7" s="1"/>
  <c r="H67" i="9"/>
  <c r="H38" i="9"/>
  <c r="M33" i="7"/>
  <c r="M110" i="7"/>
  <c r="K29" i="7"/>
  <c r="Q29" i="7" s="1"/>
  <c r="K45" i="7"/>
  <c r="L45" i="7" s="1"/>
  <c r="M45" i="7" s="1"/>
  <c r="K53" i="7"/>
  <c r="Q53" i="7" s="1"/>
  <c r="K119" i="7"/>
  <c r="Q119" i="7" s="1"/>
  <c r="K64" i="7"/>
  <c r="Q64" i="7" s="1"/>
  <c r="K35" i="7"/>
  <c r="Q35" i="7" s="1"/>
  <c r="K40" i="7"/>
  <c r="Q40" i="7" s="1"/>
  <c r="K41" i="7"/>
  <c r="M41" i="7" s="1"/>
  <c r="K91" i="7"/>
  <c r="K109" i="7"/>
  <c r="Q109" i="7" s="1"/>
  <c r="K121" i="7"/>
  <c r="Q121" i="7" s="1"/>
  <c r="K104" i="7"/>
  <c r="Q104" i="7" s="1"/>
  <c r="H73" i="9"/>
  <c r="K118" i="7"/>
  <c r="Q118" i="7" s="1"/>
  <c r="H71" i="9"/>
  <c r="H66" i="9"/>
  <c r="M98" i="7"/>
  <c r="H14" i="9"/>
  <c r="L28" i="7"/>
  <c r="K19" i="7"/>
  <c r="K24" i="7"/>
  <c r="H6" i="9"/>
  <c r="H57" i="9" l="1"/>
  <c r="Q99" i="7"/>
  <c r="L99" i="7"/>
  <c r="H62" i="9"/>
  <c r="L108" i="7"/>
  <c r="Q108" i="7"/>
  <c r="L61" i="7"/>
  <c r="M61" i="7"/>
  <c r="H34" i="9"/>
  <c r="M60" i="7"/>
  <c r="Q60" i="7"/>
  <c r="Q84" i="7"/>
  <c r="H48" i="9"/>
  <c r="M81" i="7"/>
  <c r="L81" i="7"/>
  <c r="M80" i="7"/>
  <c r="Q80" i="7"/>
  <c r="H46" i="9"/>
  <c r="M51" i="7"/>
  <c r="L51" i="7"/>
  <c r="H40" i="9"/>
  <c r="M70" i="7"/>
  <c r="L70" i="7"/>
  <c r="L39" i="7"/>
  <c r="M39" i="7"/>
  <c r="H18" i="9"/>
  <c r="Q39" i="7"/>
  <c r="L9" i="7"/>
  <c r="M9" i="7"/>
  <c r="Q9" i="7"/>
  <c r="H51" i="9"/>
  <c r="M89" i="7"/>
  <c r="Q89" i="7"/>
  <c r="L120" i="7"/>
  <c r="Q120" i="7"/>
  <c r="H70" i="9"/>
  <c r="Q120" i="16"/>
  <c r="M120" i="16"/>
  <c r="L120" i="16"/>
  <c r="L118" i="16"/>
  <c r="M118" i="16"/>
  <c r="M124" i="7"/>
  <c r="H72" i="9"/>
  <c r="L124" i="7"/>
  <c r="Q124" i="7"/>
  <c r="H55" i="9"/>
  <c r="L73" i="7"/>
  <c r="H53" i="9"/>
  <c r="H49" i="9"/>
  <c r="M73" i="7"/>
  <c r="H41" i="9"/>
  <c r="Q71" i="7"/>
  <c r="M48" i="7"/>
  <c r="H26" i="9"/>
  <c r="Q48" i="7"/>
  <c r="H27" i="9"/>
  <c r="Q65" i="7"/>
  <c r="L71" i="7"/>
  <c r="Q75" i="7"/>
  <c r="H43" i="9"/>
  <c r="L65" i="7"/>
  <c r="M65" i="7" s="1"/>
  <c r="M58" i="7"/>
  <c r="L34" i="7"/>
  <c r="M34" i="7" s="1"/>
  <c r="L10" i="7"/>
  <c r="M10" i="7"/>
  <c r="H4" i="9"/>
  <c r="U11" i="11"/>
  <c r="W23" i="11"/>
  <c r="Q27" i="11"/>
  <c r="I31" i="11"/>
  <c r="M35" i="11"/>
  <c r="O27" i="11"/>
  <c r="O7" i="11"/>
  <c r="U15" i="11"/>
  <c r="K35" i="11"/>
  <c r="W15" i="11"/>
  <c r="W11" i="11"/>
  <c r="S19" i="11"/>
  <c r="I15" i="11"/>
  <c r="I19" i="11"/>
  <c r="S31" i="11"/>
  <c r="I23" i="11"/>
  <c r="Q7" i="11"/>
  <c r="U19" i="11"/>
  <c r="O15" i="11"/>
  <c r="W7" i="11"/>
  <c r="Q31" i="11"/>
  <c r="K23" i="11"/>
  <c r="W19" i="11"/>
  <c r="M19" i="11"/>
  <c r="K31" i="11"/>
  <c r="Q11" i="11"/>
  <c r="S35" i="11"/>
  <c r="K15" i="11"/>
  <c r="K19" i="11"/>
  <c r="M31" i="11"/>
  <c r="M27" i="11"/>
  <c r="U23" i="11"/>
  <c r="Q35" i="11"/>
  <c r="K32" i="11"/>
  <c r="I36" i="11"/>
  <c r="Q8" i="11"/>
  <c r="Q32" i="11"/>
  <c r="Q16" i="11"/>
  <c r="S36" i="11"/>
  <c r="O28" i="11"/>
  <c r="S20" i="11"/>
  <c r="M12" i="11"/>
  <c r="W16" i="11"/>
  <c r="O32" i="11"/>
  <c r="I12" i="11"/>
  <c r="U24" i="11"/>
  <c r="S8" i="11"/>
  <c r="H59" i="9"/>
  <c r="K16" i="11"/>
  <c r="I28" i="11"/>
  <c r="L55" i="7"/>
  <c r="M55" i="7" s="1"/>
  <c r="I27" i="11"/>
  <c r="U12" i="11"/>
  <c r="I24" i="11"/>
  <c r="M20" i="11"/>
  <c r="K8" i="11"/>
  <c r="Q12" i="11"/>
  <c r="O36" i="11"/>
  <c r="W20" i="11"/>
  <c r="Q103" i="7"/>
  <c r="U28" i="11"/>
  <c r="M103" i="7"/>
  <c r="K24" i="11"/>
  <c r="O16" i="11"/>
  <c r="W28" i="11"/>
  <c r="M36" i="11"/>
  <c r="M24" i="11"/>
  <c r="W8" i="11"/>
  <c r="S32" i="11"/>
  <c r="L88" i="7"/>
  <c r="Q93" i="7"/>
  <c r="L74" i="7"/>
  <c r="M74" i="7" s="1"/>
  <c r="H39" i="9"/>
  <c r="M38" i="7"/>
  <c r="H7" i="9"/>
  <c r="Q19" i="11"/>
  <c r="U27" i="11"/>
  <c r="S23" i="11"/>
  <c r="U7" i="11"/>
  <c r="W27" i="11"/>
  <c r="M7" i="11"/>
  <c r="M23" i="11"/>
  <c r="U35" i="11"/>
  <c r="O31" i="11"/>
  <c r="O23" i="11"/>
  <c r="Q15" i="11"/>
  <c r="I11" i="11"/>
  <c r="S11" i="11"/>
  <c r="S7" i="11"/>
  <c r="M11" i="11"/>
  <c r="I35" i="11"/>
  <c r="W31" i="11"/>
  <c r="O11" i="11"/>
  <c r="K7" i="11"/>
  <c r="L101" i="7"/>
  <c r="M101" i="7"/>
  <c r="M113" i="7"/>
  <c r="L113" i="7"/>
  <c r="H65" i="9"/>
  <c r="H5" i="9"/>
  <c r="H31" i="9"/>
  <c r="L93" i="7"/>
  <c r="Q88" i="7"/>
  <c r="M88" i="7"/>
  <c r="M49" i="7"/>
  <c r="Q49" i="7"/>
  <c r="L11" i="7"/>
  <c r="H24" i="9"/>
  <c r="Q44" i="7"/>
  <c r="M100" i="7"/>
  <c r="L100" i="7"/>
  <c r="Q79" i="7"/>
  <c r="M79" i="7"/>
  <c r="L79" i="7"/>
  <c r="H45" i="9"/>
  <c r="M19" i="7"/>
  <c r="Q19" i="7"/>
  <c r="L41" i="7"/>
  <c r="Q41" i="7"/>
  <c r="L78" i="7"/>
  <c r="Q78" i="7"/>
  <c r="L25" i="7"/>
  <c r="M25" i="7" s="1"/>
  <c r="Q25" i="7"/>
  <c r="H58" i="9"/>
  <c r="H42" i="9"/>
  <c r="L24" i="7"/>
  <c r="M24" i="7" s="1"/>
  <c r="Q24" i="7"/>
  <c r="L91" i="7"/>
  <c r="Q91" i="7"/>
  <c r="L38" i="7"/>
  <c r="Q38" i="7"/>
  <c r="Q95" i="7"/>
  <c r="L31" i="7"/>
  <c r="Q31" i="7"/>
  <c r="H25" i="9"/>
  <c r="Q45" i="7"/>
  <c r="L111" i="7"/>
  <c r="Q111" i="7"/>
  <c r="L54" i="7"/>
  <c r="M54" i="7" s="1"/>
  <c r="Q54" i="7"/>
  <c r="M13" i="7"/>
  <c r="Q13" i="7"/>
  <c r="H32" i="9"/>
  <c r="Q58" i="7"/>
  <c r="H47" i="9"/>
  <c r="M83" i="7"/>
  <c r="L83" i="7"/>
  <c r="H44" i="9"/>
  <c r="M69" i="7"/>
  <c r="L69" i="7"/>
  <c r="L76" i="7" s="1"/>
  <c r="H23" i="9"/>
  <c r="L43" i="7"/>
  <c r="M43" i="7"/>
  <c r="M78" i="7"/>
  <c r="M63" i="7"/>
  <c r="L63" i="7"/>
  <c r="H35" i="9"/>
  <c r="L29" i="7"/>
  <c r="H15" i="9"/>
  <c r="M29" i="7"/>
  <c r="M50" i="7"/>
  <c r="H28" i="9"/>
  <c r="L50" i="7"/>
  <c r="L56" i="7" s="1"/>
  <c r="L121" i="7"/>
  <c r="M121" i="7"/>
  <c r="L40" i="7"/>
  <c r="M40" i="7"/>
  <c r="H22" i="9"/>
  <c r="H29" i="9"/>
  <c r="L53" i="7"/>
  <c r="M53" i="7"/>
  <c r="H54" i="9"/>
  <c r="L94" i="7"/>
  <c r="M94" i="7" s="1"/>
  <c r="L64" i="7"/>
  <c r="M64" i="7" s="1"/>
  <c r="H36" i="9"/>
  <c r="L109" i="7"/>
  <c r="H63" i="9"/>
  <c r="M109" i="7"/>
  <c r="H19" i="9"/>
  <c r="L35" i="7"/>
  <c r="M35" i="7" s="1"/>
  <c r="L104" i="7"/>
  <c r="M104" i="7" s="1"/>
  <c r="H60" i="9"/>
  <c r="H69" i="9"/>
  <c r="L119" i="7"/>
  <c r="M119" i="7"/>
  <c r="M91" i="7"/>
  <c r="M118" i="7"/>
  <c r="H68" i="9"/>
  <c r="L118" i="7"/>
  <c r="L19" i="7"/>
  <c r="L18" i="7"/>
  <c r="M18" i="7"/>
  <c r="L23" i="7"/>
  <c r="M23" i="7"/>
  <c r="H11" i="9"/>
  <c r="M20" i="7"/>
  <c r="L20" i="7"/>
  <c r="H9" i="9"/>
  <c r="H13" i="9"/>
  <c r="H12" i="9"/>
  <c r="H8" i="9"/>
  <c r="H10" i="9"/>
  <c r="L15" i="7"/>
  <c r="M15" i="7" s="1"/>
  <c r="M11" i="7"/>
  <c r="L8" i="7"/>
  <c r="S63" i="4"/>
  <c r="L95" i="4"/>
  <c r="L65" i="4"/>
  <c r="L35" i="4"/>
  <c r="W13" i="4"/>
  <c r="C8" i="7"/>
  <c r="C7" i="7"/>
  <c r="P65" i="4"/>
  <c r="P95" i="4"/>
  <c r="E95" i="4"/>
  <c r="S93" i="4"/>
  <c r="B93" i="4"/>
  <c r="E65" i="4"/>
  <c r="B63" i="4"/>
  <c r="P35" i="4"/>
  <c r="E35" i="4"/>
  <c r="S33" i="4"/>
  <c r="B33" i="4"/>
  <c r="E7" i="7"/>
  <c r="J76" i="3"/>
  <c r="J77" i="3"/>
  <c r="J78" i="3"/>
  <c r="J79" i="3"/>
  <c r="J80" i="3"/>
  <c r="J81" i="3"/>
  <c r="J82" i="3"/>
  <c r="J83" i="3"/>
  <c r="J84" i="3"/>
  <c r="J85" i="3"/>
  <c r="J4" i="3"/>
  <c r="L66" i="7" l="1"/>
  <c r="M56" i="7"/>
  <c r="M86" i="7"/>
  <c r="M66" i="7"/>
  <c r="L86" i="7"/>
  <c r="D67" i="7"/>
  <c r="M76" i="7"/>
  <c r="D97" i="7"/>
  <c r="B107" i="7"/>
  <c r="D57" i="7"/>
  <c r="D77" i="7"/>
  <c r="B77" i="7"/>
  <c r="B67" i="7"/>
  <c r="R67" i="7" s="1"/>
  <c r="D117" i="16"/>
  <c r="B117" i="16"/>
  <c r="B117" i="7"/>
  <c r="B87" i="7"/>
  <c r="D107" i="7"/>
  <c r="B37" i="7"/>
  <c r="B57" i="7"/>
  <c r="D117" i="7"/>
  <c r="D87" i="7"/>
  <c r="D37" i="7"/>
  <c r="R37" i="7" s="1"/>
  <c r="B47" i="7"/>
  <c r="B97" i="7"/>
  <c r="D27" i="7"/>
  <c r="B27" i="7"/>
  <c r="D47" i="7"/>
  <c r="D17" i="7"/>
  <c r="B17" i="7"/>
  <c r="B7" i="7"/>
  <c r="M8" i="7"/>
  <c r="D7" i="7" s="1"/>
  <c r="H2" i="9"/>
  <c r="J29" i="3"/>
  <c r="J30" i="3"/>
  <c r="J31" i="3"/>
  <c r="J32" i="3"/>
  <c r="J33" i="3"/>
  <c r="J34" i="3"/>
  <c r="J7" i="3"/>
  <c r="J5" i="3"/>
  <c r="J6" i="3"/>
  <c r="J8" i="3"/>
  <c r="J9" i="3"/>
  <c r="J10" i="3"/>
  <c r="J11" i="3"/>
  <c r="J13" i="3"/>
  <c r="J14" i="3"/>
  <c r="J15" i="3"/>
  <c r="J16" i="3"/>
  <c r="J17" i="3"/>
  <c r="J18" i="3"/>
  <c r="J19" i="3"/>
  <c r="J20" i="3"/>
  <c r="J21" i="3"/>
  <c r="J23" i="3"/>
  <c r="J24" i="3"/>
  <c r="J25" i="3"/>
  <c r="J26" i="3"/>
  <c r="J27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86" i="3"/>
  <c r="J87" i="3"/>
  <c r="J88" i="3"/>
  <c r="J89" i="3"/>
  <c r="J90" i="3"/>
  <c r="J91" i="3"/>
  <c r="J92" i="3"/>
  <c r="J94" i="3"/>
  <c r="J95" i="3"/>
  <c r="J96" i="3"/>
  <c r="J97" i="3"/>
  <c r="J53" i="3"/>
  <c r="J54" i="3"/>
  <c r="J55" i="3"/>
  <c r="J56" i="3"/>
  <c r="J52" i="3"/>
  <c r="E95" i="7"/>
  <c r="E94" i="7"/>
  <c r="E93" i="7"/>
  <c r="E89" i="7"/>
  <c r="E90" i="7"/>
  <c r="E88" i="7"/>
  <c r="C95" i="7"/>
  <c r="B55" i="9" s="1"/>
  <c r="C94" i="7"/>
  <c r="C93" i="7"/>
  <c r="B53" i="9" s="1"/>
  <c r="C89" i="7"/>
  <c r="B51" i="9" s="1"/>
  <c r="C90" i="7"/>
  <c r="C88" i="7"/>
  <c r="B50" i="9" s="1"/>
  <c r="E87" i="7"/>
  <c r="D42" i="9"/>
  <c r="F42" i="9" s="1"/>
  <c r="D33" i="9"/>
  <c r="D32" i="9"/>
  <c r="B31" i="9"/>
  <c r="B29" i="9"/>
  <c r="B26" i="9"/>
  <c r="E45" i="7"/>
  <c r="E44" i="7"/>
  <c r="E43" i="7"/>
  <c r="E39" i="7"/>
  <c r="E40" i="7"/>
  <c r="E38" i="7"/>
  <c r="C44" i="7"/>
  <c r="C45" i="7"/>
  <c r="C43" i="7"/>
  <c r="C39" i="7"/>
  <c r="C40" i="7"/>
  <c r="E37" i="7"/>
  <c r="C37" i="7"/>
  <c r="E35" i="7"/>
  <c r="E34" i="7"/>
  <c r="E33" i="7"/>
  <c r="E29" i="7"/>
  <c r="E30" i="7"/>
  <c r="E28" i="7"/>
  <c r="C35" i="7"/>
  <c r="C34" i="7"/>
  <c r="C33" i="7"/>
  <c r="C29" i="7"/>
  <c r="C30" i="7"/>
  <c r="C28" i="7"/>
  <c r="E27" i="7"/>
  <c r="C27" i="7"/>
  <c r="E25" i="7"/>
  <c r="E24" i="7"/>
  <c r="E23" i="7"/>
  <c r="E19" i="7"/>
  <c r="E20" i="7"/>
  <c r="E18" i="7"/>
  <c r="C25" i="7"/>
  <c r="C24" i="7"/>
  <c r="C23" i="7"/>
  <c r="C19" i="7"/>
  <c r="C20" i="7"/>
  <c r="C18" i="7"/>
  <c r="E17" i="7"/>
  <c r="C17" i="7"/>
  <c r="E13" i="7"/>
  <c r="E9" i="7"/>
  <c r="E10" i="7"/>
  <c r="E8" i="7"/>
  <c r="B7" i="9"/>
  <c r="C13" i="7"/>
  <c r="B5" i="9" s="1"/>
  <c r="C9" i="7"/>
  <c r="C10" i="7"/>
  <c r="R87" i="7" l="1"/>
  <c r="R97" i="7"/>
  <c r="R107" i="7"/>
  <c r="R57" i="7"/>
  <c r="R77" i="7"/>
  <c r="R117" i="16"/>
  <c r="R117" i="7"/>
  <c r="R27" i="7"/>
  <c r="B73" i="9"/>
  <c r="B65" i="9"/>
  <c r="D26" i="9"/>
  <c r="F26" i="9" s="1"/>
  <c r="B58" i="9"/>
  <c r="B27" i="9"/>
  <c r="D39" i="9"/>
  <c r="D48" i="9"/>
  <c r="B64" i="9"/>
  <c r="B71" i="9"/>
  <c r="D20" i="9"/>
  <c r="B4" i="9"/>
  <c r="D31" i="9"/>
  <c r="G31" i="9" s="1"/>
  <c r="D16" i="9"/>
  <c r="B38" i="9"/>
  <c r="B45" i="9"/>
  <c r="B9" i="9"/>
  <c r="D10" i="9"/>
  <c r="D17" i="9"/>
  <c r="D21" i="9"/>
  <c r="B6" i="9"/>
  <c r="G6" i="9" s="1"/>
  <c r="B32" i="9"/>
  <c r="G32" i="9" s="1"/>
  <c r="D23" i="9"/>
  <c r="B33" i="9"/>
  <c r="G33" i="9" s="1"/>
  <c r="B18" i="9"/>
  <c r="G18" i="9" s="1"/>
  <c r="D4" i="9"/>
  <c r="D30" i="9"/>
  <c r="D34" i="9"/>
  <c r="D41" i="9"/>
  <c r="F41" i="9" s="1"/>
  <c r="D49" i="9"/>
  <c r="B56" i="9"/>
  <c r="B63" i="9"/>
  <c r="B72" i="9"/>
  <c r="D28" i="9"/>
  <c r="D35" i="9"/>
  <c r="D43" i="9"/>
  <c r="B57" i="9"/>
  <c r="G57" i="9" s="1"/>
  <c r="B66" i="9"/>
  <c r="G66" i="9" s="1"/>
  <c r="D27" i="9"/>
  <c r="F27" i="9" s="1"/>
  <c r="D36" i="9"/>
  <c r="B59" i="9"/>
  <c r="G59" i="9" s="1"/>
  <c r="B67" i="9"/>
  <c r="G67" i="9" s="1"/>
  <c r="D68" i="9"/>
  <c r="D22" i="9"/>
  <c r="D29" i="9"/>
  <c r="F29" i="9" s="1"/>
  <c r="D37" i="9"/>
  <c r="B52" i="9"/>
  <c r="B60" i="9"/>
  <c r="G60" i="9" s="1"/>
  <c r="D70" i="9"/>
  <c r="B46" i="9"/>
  <c r="B61" i="9"/>
  <c r="D62" i="9"/>
  <c r="D69" i="9"/>
  <c r="D64" i="9"/>
  <c r="D71" i="9"/>
  <c r="D8" i="9"/>
  <c r="D15" i="9"/>
  <c r="D24" i="9"/>
  <c r="F24" i="9" s="1"/>
  <c r="B40" i="9"/>
  <c r="B54" i="9"/>
  <c r="D56" i="9"/>
  <c r="D63" i="9"/>
  <c r="D72" i="9"/>
  <c r="B48" i="9"/>
  <c r="G48" i="9" s="1"/>
  <c r="D58" i="9"/>
  <c r="D65" i="9"/>
  <c r="F65" i="9" s="1"/>
  <c r="D73" i="9"/>
  <c r="D25" i="9"/>
  <c r="B39" i="9"/>
  <c r="G39" i="9" s="1"/>
  <c r="D9" i="9"/>
  <c r="F9" i="9" s="1"/>
  <c r="B34" i="9"/>
  <c r="B41" i="9"/>
  <c r="G41" i="9" s="1"/>
  <c r="B49" i="9"/>
  <c r="D50" i="9"/>
  <c r="G50" i="9" s="1"/>
  <c r="D57" i="9"/>
  <c r="F57" i="9" s="1"/>
  <c r="D66" i="9"/>
  <c r="F66" i="9" s="1"/>
  <c r="B42" i="9"/>
  <c r="G42" i="9" s="1"/>
  <c r="D52" i="9"/>
  <c r="D59" i="9"/>
  <c r="F59" i="9" s="1"/>
  <c r="D67" i="9"/>
  <c r="F67" i="9" s="1"/>
  <c r="B35" i="9"/>
  <c r="D51" i="9"/>
  <c r="F51" i="9" s="1"/>
  <c r="D60" i="9"/>
  <c r="F60" i="9" s="1"/>
  <c r="B28" i="9"/>
  <c r="B43" i="9"/>
  <c r="D44" i="9"/>
  <c r="B37" i="9"/>
  <c r="D46" i="9"/>
  <c r="D53" i="9"/>
  <c r="F53" i="9" s="1"/>
  <c r="D61" i="9"/>
  <c r="B68" i="9"/>
  <c r="B36" i="9"/>
  <c r="D38" i="9"/>
  <c r="D45" i="9"/>
  <c r="D54" i="9"/>
  <c r="B70" i="9"/>
  <c r="D7" i="9"/>
  <c r="G7" i="9" s="1"/>
  <c r="B22" i="9"/>
  <c r="G22" i="9" s="1"/>
  <c r="B30" i="9"/>
  <c r="G30" i="9" s="1"/>
  <c r="D40" i="9"/>
  <c r="D47" i="9"/>
  <c r="D55" i="9"/>
  <c r="F55" i="9" s="1"/>
  <c r="B62" i="9"/>
  <c r="B69" i="9"/>
  <c r="G55" i="9"/>
  <c r="R17" i="7"/>
  <c r="R47" i="7"/>
  <c r="R7" i="7"/>
  <c r="B14" i="9"/>
  <c r="B21" i="9"/>
  <c r="B16" i="9"/>
  <c r="B23" i="9"/>
  <c r="G23" i="9" s="1"/>
  <c r="B8" i="9"/>
  <c r="B15" i="9"/>
  <c r="G15" i="9" s="1"/>
  <c r="B25" i="9"/>
  <c r="B10" i="9"/>
  <c r="B17" i="9"/>
  <c r="G17" i="9" s="1"/>
  <c r="B24" i="9"/>
  <c r="G24" i="9" s="1"/>
  <c r="B11" i="9"/>
  <c r="B44" i="9"/>
  <c r="B19" i="9"/>
  <c r="B3" i="9"/>
  <c r="B12" i="9"/>
  <c r="D14" i="9"/>
  <c r="B13" i="9"/>
  <c r="B47" i="9"/>
  <c r="D19" i="9"/>
  <c r="D18" i="9"/>
  <c r="F18" i="9" s="1"/>
  <c r="D3" i="9"/>
  <c r="D12" i="9"/>
  <c r="D13" i="9"/>
  <c r="F13" i="9" s="1"/>
  <c r="B2" i="9"/>
  <c r="D11" i="9"/>
  <c r="F11" i="9" s="1"/>
  <c r="D5" i="9"/>
  <c r="F5" i="9" s="1"/>
  <c r="D6" i="9"/>
  <c r="F6" i="9" s="1"/>
  <c r="B20" i="9"/>
  <c r="G20" i="9" s="1"/>
  <c r="G26" i="9"/>
  <c r="G51" i="9"/>
  <c r="D2" i="9"/>
  <c r="E16" i="7"/>
  <c r="E126" i="7"/>
  <c r="C126" i="7"/>
  <c r="E116" i="7"/>
  <c r="C116" i="7"/>
  <c r="E106" i="7"/>
  <c r="C106" i="7"/>
  <c r="E96" i="7"/>
  <c r="C96" i="7"/>
  <c r="E86" i="7"/>
  <c r="C86" i="7"/>
  <c r="E76" i="7"/>
  <c r="C76" i="7"/>
  <c r="E66" i="7"/>
  <c r="C66" i="7"/>
  <c r="E56" i="7"/>
  <c r="C56" i="7"/>
  <c r="E46" i="7"/>
  <c r="C46" i="7"/>
  <c r="E36" i="7"/>
  <c r="C36" i="7"/>
  <c r="E26" i="7"/>
  <c r="C26" i="7"/>
  <c r="C16" i="7"/>
  <c r="W103" i="4"/>
  <c r="K103" i="4"/>
  <c r="W73" i="4"/>
  <c r="K73" i="4"/>
  <c r="W43" i="4"/>
  <c r="K43" i="4"/>
  <c r="K13" i="4"/>
  <c r="F48" i="9" l="1"/>
  <c r="F17" i="9"/>
  <c r="G9" i="9"/>
  <c r="G53" i="9"/>
  <c r="G11" i="9"/>
  <c r="F23" i="9"/>
  <c r="F15" i="9"/>
  <c r="F47" i="9"/>
  <c r="G45" i="9"/>
  <c r="F4" i="9"/>
  <c r="G3" i="9"/>
  <c r="G4" i="9"/>
  <c r="F3" i="9"/>
  <c r="G64" i="9"/>
  <c r="F64" i="9"/>
  <c r="G47" i="9"/>
  <c r="G27" i="9"/>
  <c r="F45" i="9"/>
  <c r="F39" i="9"/>
  <c r="G58" i="9"/>
  <c r="F62" i="9"/>
  <c r="G46" i="9"/>
  <c r="G29" i="9"/>
  <c r="F30" i="9"/>
  <c r="G5" i="9"/>
  <c r="F31" i="9"/>
  <c r="G72" i="9"/>
  <c r="G73" i="9"/>
  <c r="G68" i="9"/>
  <c r="G69" i="9"/>
  <c r="G71" i="9"/>
  <c r="F73" i="9"/>
  <c r="F68" i="9"/>
  <c r="F71" i="9"/>
  <c r="F72" i="9"/>
  <c r="G34" i="9"/>
  <c r="G36" i="9"/>
  <c r="G35" i="9"/>
  <c r="F34" i="9"/>
  <c r="F35" i="9"/>
  <c r="F36" i="9"/>
  <c r="F32" i="9"/>
  <c r="F33" i="9"/>
  <c r="F52" i="9"/>
  <c r="F43" i="9"/>
  <c r="G54" i="9"/>
  <c r="F10" i="9"/>
  <c r="G61" i="9"/>
  <c r="F28" i="9"/>
  <c r="G38" i="9"/>
  <c r="F56" i="9"/>
  <c r="F61" i="9"/>
  <c r="F50" i="9"/>
  <c r="G63" i="9"/>
  <c r="F8" i="9"/>
  <c r="G40" i="9"/>
  <c r="G56" i="9"/>
  <c r="F69" i="9"/>
  <c r="G10" i="9"/>
  <c r="F70" i="9"/>
  <c r="G52" i="9"/>
  <c r="F7" i="9"/>
  <c r="F49" i="9"/>
  <c r="G28" i="9"/>
  <c r="F58" i="9"/>
  <c r="F21" i="9"/>
  <c r="F22" i="9"/>
  <c r="G70" i="9"/>
  <c r="F63" i="9"/>
  <c r="F38" i="9"/>
  <c r="G49" i="9"/>
  <c r="F54" i="9"/>
  <c r="F40" i="9"/>
  <c r="F46" i="9"/>
  <c r="G62" i="9"/>
  <c r="G43" i="9"/>
  <c r="G16" i="9"/>
  <c r="G44" i="9"/>
  <c r="G37" i="9"/>
  <c r="F37" i="9"/>
  <c r="G25" i="9"/>
  <c r="G8" i="9"/>
  <c r="G65" i="9"/>
  <c r="G12" i="9"/>
  <c r="F44" i="9"/>
  <c r="F19" i="9"/>
  <c r="F16" i="9"/>
  <c r="F12" i="9"/>
  <c r="F14" i="9"/>
  <c r="F25" i="9"/>
  <c r="G13" i="9"/>
  <c r="G21" i="9"/>
  <c r="F2" i="9"/>
  <c r="F20" i="9"/>
  <c r="G14" i="9"/>
  <c r="G19" i="9"/>
  <c r="G2" i="9"/>
  <c r="M30" i="11" l="1"/>
  <c r="I22" i="11"/>
  <c r="U10" i="11"/>
  <c r="S10" i="11"/>
  <c r="O10" i="11"/>
  <c r="M10" i="11"/>
  <c r="K30" i="11"/>
  <c r="W18" i="11"/>
  <c r="Q10" i="11"/>
  <c r="I10" i="11"/>
  <c r="I30" i="11"/>
  <c r="U18" i="11"/>
  <c r="W26" i="11"/>
  <c r="S18" i="11"/>
  <c r="U26" i="11"/>
  <c r="Q18" i="11"/>
  <c r="U34" i="11"/>
  <c r="Q26" i="11"/>
  <c r="M18" i="11"/>
  <c r="S34" i="11"/>
  <c r="O26" i="11"/>
  <c r="K18" i="11"/>
  <c r="W6" i="11"/>
  <c r="Q34" i="11"/>
  <c r="M26" i="11"/>
  <c r="I18" i="11"/>
  <c r="U6" i="11"/>
  <c r="Q6" i="11"/>
  <c r="Q14" i="11"/>
  <c r="K22" i="11"/>
  <c r="O34" i="11"/>
  <c r="K26" i="11"/>
  <c r="W14" i="11"/>
  <c r="S6" i="11"/>
  <c r="U14" i="11"/>
  <c r="O6" i="11"/>
  <c r="K6" i="11"/>
  <c r="M34" i="11"/>
  <c r="I26" i="11"/>
  <c r="S14" i="11"/>
  <c r="W10" i="11"/>
  <c r="K34" i="11"/>
  <c r="W22" i="11"/>
  <c r="I34" i="11"/>
  <c r="U22" i="11"/>
  <c r="M6" i="11"/>
  <c r="W30" i="11"/>
  <c r="S22" i="11"/>
  <c r="O14" i="11"/>
  <c r="S30" i="11"/>
  <c r="O22" i="11"/>
  <c r="K14" i="11"/>
  <c r="Q30" i="11"/>
  <c r="M22" i="11"/>
  <c r="I14" i="11"/>
  <c r="O30" i="11"/>
  <c r="Y6" i="11" l="1"/>
  <c r="Y14" i="11"/>
  <c r="Y26" i="11"/>
  <c r="Y34" i="11"/>
  <c r="Y10" i="11"/>
  <c r="Y18" i="11"/>
  <c r="Y30" i="11"/>
  <c r="Y2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Taavi Miku</author>
  </authors>
  <commentList>
    <comment ref="D3" authorId="0" shapeId="0" xr:uid="{712C9FBA-7181-4EF2-BAFC-570CF189D8FF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8" authorId="0" shapeId="0" xr:uid="{0809A792-5108-4AA4-93B8-73F873687366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8" authorId="0" shapeId="0" xr:uid="{9AA9BF14-BC0C-436A-A008-AAA4493370ED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9" authorId="0" shapeId="0" xr:uid="{7D816ED1-20EE-441C-BABB-4AE740C1C570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9" authorId="0" shapeId="0" xr:uid="{79A7A332-3C2E-4AE8-988C-1835FA5F34FD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10" authorId="0" shapeId="0" xr:uid="{BF0A4B0B-8F22-401E-81A8-C98BE13F57FE}">
      <text>
        <r>
          <rPr>
            <b/>
            <sz val="9"/>
            <color indexed="81"/>
            <rFont val="Segoe UI"/>
            <family val="2"/>
          </rPr>
          <t>Juhtlahter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Taavi Miku</author>
  </authors>
  <commentList>
    <comment ref="D3" authorId="0" shapeId="0" xr:uid="{196694EE-24E9-44CA-8321-C7424864E7FA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8" authorId="0" shapeId="0" xr:uid="{E4F33EC7-2BAD-478B-A35D-B6FF045C68D8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8" authorId="0" shapeId="0" xr:uid="{49A0C468-DFF5-438E-9E35-C03272A1E130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9" authorId="0" shapeId="0" xr:uid="{8CFEE2C2-F8EE-47A4-B761-565C0FF59C0F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9" authorId="0" shapeId="0" xr:uid="{B07ED8BE-048B-4635-9941-52EF007E7B31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G10" authorId="0" shapeId="0" xr:uid="{1764CEC1-F2DC-4DB3-8572-1CCA29D8CB4E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35" authorId="0" shapeId="0" xr:uid="{589359E7-602B-4E87-BD94-BF2E497B3C9D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59" authorId="0" shapeId="0" xr:uid="{E960B328-6D84-4D32-8A07-E0EBE1178471}">
      <text>
        <r>
          <rPr>
            <b/>
            <sz val="9"/>
            <color indexed="81"/>
            <rFont val="Segoe UI"/>
            <family val="2"/>
          </rPr>
          <t>Juhtlahter</t>
        </r>
      </text>
    </comment>
    <comment ref="C85" authorId="0" shapeId="0" xr:uid="{CEC15B4A-042D-40A4-9A36-D54EC1FE62EC}">
      <text>
        <r>
          <rPr>
            <b/>
            <sz val="9"/>
            <color indexed="81"/>
            <rFont val="Segoe UI"/>
            <family val="2"/>
          </rPr>
          <t>Juhtlahter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<sst xmlns="http://schemas.openxmlformats.org/spreadsheetml/2006/main" count="7312" uniqueCount="633">
  <si>
    <t>L A U A T E N N I S E S</t>
  </si>
  <si>
    <t>Peakohtunik:</t>
  </si>
  <si>
    <t>1.game</t>
  </si>
  <si>
    <t>2.game</t>
  </si>
  <si>
    <t>3.game</t>
  </si>
  <si>
    <t>4.game</t>
  </si>
  <si>
    <t>5.game</t>
  </si>
  <si>
    <t>Games</t>
  </si>
  <si>
    <t>Score</t>
  </si>
  <si>
    <t>A</t>
  </si>
  <si>
    <t>Y</t>
  </si>
  <si>
    <t>B</t>
  </si>
  <si>
    <t>X</t>
  </si>
  <si>
    <t>C</t>
  </si>
  <si>
    <t>Z</t>
  </si>
  <si>
    <t>Paar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</si>
  <si>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</si>
  <si>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</si>
  <si>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</si>
  <si>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</si>
  <si>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</si>
  <si>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</si>
  <si>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</si>
  <si>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</si>
  <si>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</si>
  <si>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</si>
  <si>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ELTL</t>
  </si>
  <si>
    <t>LIIGA:</t>
  </si>
  <si>
    <t>(Võistluse nimetus)</t>
  </si>
  <si>
    <t>Kuupäev:</t>
  </si>
  <si>
    <t>Kell:</t>
  </si>
  <si>
    <t>Voor:</t>
  </si>
  <si>
    <t>Laud:</t>
  </si>
  <si>
    <t>Võistkond ABC</t>
  </si>
  <si>
    <t>Võistkond XYZ</t>
  </si>
  <si>
    <t>Mängude</t>
  </si>
  <si>
    <t>1. sett</t>
  </si>
  <si>
    <t>2. sett</t>
  </si>
  <si>
    <t>3. sett</t>
  </si>
  <si>
    <t>4. sett</t>
  </si>
  <si>
    <t>5.sett</t>
  </si>
  <si>
    <t>Skoor</t>
  </si>
  <si>
    <t>järjekord</t>
  </si>
  <si>
    <t>ABC</t>
  </si>
  <si>
    <t>XYZ</t>
  </si>
  <si>
    <t>A-Y</t>
  </si>
  <si>
    <t>B-X</t>
  </si>
  <si>
    <t>C-Z</t>
  </si>
  <si>
    <t>A-X</t>
  </si>
  <si>
    <t>C-Y</t>
  </si>
  <si>
    <t>B-Z</t>
  </si>
  <si>
    <t>VÕITJA:</t>
  </si>
  <si>
    <t>Kapten ABC:</t>
  </si>
  <si>
    <t>Kapten XYZ:</t>
  </si>
  <si>
    <t>D</t>
  </si>
  <si>
    <t>E</t>
  </si>
  <si>
    <t>Q</t>
  </si>
  <si>
    <t>W</t>
  </si>
  <si>
    <t xml:space="preserve"> </t>
  </si>
  <si>
    <t xml:space="preserve">Laud: </t>
  </si>
  <si>
    <t>KUKK</t>
  </si>
  <si>
    <t>VUHKA</t>
  </si>
  <si>
    <t>Sergei</t>
  </si>
  <si>
    <t>Kevin</t>
  </si>
  <si>
    <t>Kevin KUKK</t>
  </si>
  <si>
    <t>Martin</t>
  </si>
  <si>
    <t>Toomas</t>
  </si>
  <si>
    <t>I</t>
  </si>
  <si>
    <t>Match no 1</t>
  </si>
  <si>
    <t>Match no 2</t>
  </si>
  <si>
    <t>Match no 3</t>
  </si>
  <si>
    <t>Match no 4</t>
  </si>
  <si>
    <t>Match no 5</t>
  </si>
  <si>
    <t>Match no 6</t>
  </si>
  <si>
    <t>Match no 7</t>
  </si>
  <si>
    <t>Match no 8</t>
  </si>
  <si>
    <t>Match no 9</t>
  </si>
  <si>
    <t>Match no 10</t>
  </si>
  <si>
    <t>Match no 11</t>
  </si>
  <si>
    <t>Match no 12</t>
  </si>
  <si>
    <t>Laud: 1</t>
  </si>
  <si>
    <t>Laud: 4</t>
  </si>
  <si>
    <t>F</t>
  </si>
  <si>
    <t>G</t>
  </si>
  <si>
    <t>H</t>
  </si>
  <si>
    <t>VOISTLUS</t>
  </si>
  <si>
    <t>KUUPAEV</t>
  </si>
  <si>
    <t>ASUKOHT</t>
  </si>
  <si>
    <t>KOHTUNIK</t>
  </si>
  <si>
    <t>KORRALDAJA</t>
  </si>
  <si>
    <t>ID</t>
  </si>
  <si>
    <t>PERENIMI</t>
  </si>
  <si>
    <t>EESNIMI</t>
  </si>
  <si>
    <t>ELTLID</t>
  </si>
  <si>
    <t>MANGU_ID</t>
  </si>
  <si>
    <t>KLASS</t>
  </si>
  <si>
    <t>VOITJA_ID</t>
  </si>
  <si>
    <t>VOITJA_NIMI</t>
  </si>
  <si>
    <t>KAOTAJA_ID</t>
  </si>
  <si>
    <t>KAOTAJA_NIMI</t>
  </si>
  <si>
    <t>SETID</t>
  </si>
  <si>
    <t>PUNKTID</t>
  </si>
  <si>
    <t>3:1</t>
  </si>
  <si>
    <t>2:3</t>
  </si>
  <si>
    <t>0:3</t>
  </si>
  <si>
    <t>3:2</t>
  </si>
  <si>
    <t>1:3</t>
  </si>
  <si>
    <t>3:0</t>
  </si>
  <si>
    <t>Tulemus</t>
  </si>
  <si>
    <t>Mängija 1</t>
  </si>
  <si>
    <t>Mängija 2</t>
  </si>
  <si>
    <t>Võitja</t>
  </si>
  <si>
    <t>Kaotaja</t>
  </si>
  <si>
    <t>Meeskond1</t>
  </si>
  <si>
    <t>Meeskond2</t>
  </si>
  <si>
    <t>Meeskond3</t>
  </si>
  <si>
    <t>Meeskond4</t>
  </si>
  <si>
    <t>Meeskond5</t>
  </si>
  <si>
    <t>Meeskond6</t>
  </si>
  <si>
    <t>Meeskond7</t>
  </si>
  <si>
    <t>Meeskond8</t>
  </si>
  <si>
    <t>Veiko</t>
  </si>
  <si>
    <t>II Liiga</t>
  </si>
  <si>
    <t>KIBENA</t>
  </si>
  <si>
    <t>Lauri</t>
  </si>
  <si>
    <t>Veiko KIBENA</t>
  </si>
  <si>
    <t>Mart</t>
  </si>
  <si>
    <t>Aleksei</t>
  </si>
  <si>
    <t>I voor kell 10:00</t>
  </si>
  <si>
    <t>3:4</t>
  </si>
  <si>
    <t>4:0</t>
  </si>
  <si>
    <t>4:1</t>
  </si>
  <si>
    <t>4:2</t>
  </si>
  <si>
    <t>4:3</t>
  </si>
  <si>
    <t>0:4</t>
  </si>
  <si>
    <t>1:4</t>
  </si>
  <si>
    <t>2:4</t>
  </si>
  <si>
    <t>2:0</t>
  </si>
  <si>
    <t>2:1</t>
  </si>
  <si>
    <t>0:2</t>
  </si>
  <si>
    <t>1:2</t>
  </si>
  <si>
    <t>w.o.</t>
  </si>
  <si>
    <t>o.w.</t>
  </si>
  <si>
    <t>Setid 1</t>
  </si>
  <si>
    <t>Setid2</t>
  </si>
  <si>
    <t>Eesti Lauatenniseliit</t>
  </si>
  <si>
    <t>Tulemused kinnitab:</t>
  </si>
  <si>
    <t>ESTONIAN TABLE TENNIS ASSOCIATION</t>
  </si>
  <si>
    <t>Nr.</t>
  </si>
  <si>
    <t>Name</t>
  </si>
  <si>
    <t>Points</t>
  </si>
  <si>
    <t>Place</t>
  </si>
  <si>
    <t>1.v</t>
  </si>
  <si>
    <t>2.v</t>
  </si>
  <si>
    <t>3.v</t>
  </si>
  <si>
    <t>4.v</t>
  </si>
  <si>
    <t>5.v</t>
  </si>
  <si>
    <t>6.v</t>
  </si>
  <si>
    <t>7.v</t>
  </si>
  <si>
    <t>1-8</t>
  </si>
  <si>
    <t>1-7</t>
  </si>
  <si>
    <t>1-6</t>
  </si>
  <si>
    <t>1-5</t>
  </si>
  <si>
    <t>1-4</t>
  </si>
  <si>
    <t>1-3</t>
  </si>
  <si>
    <t>1-2</t>
  </si>
  <si>
    <t>2-7</t>
  </si>
  <si>
    <t>8-6</t>
  </si>
  <si>
    <t>7-5</t>
  </si>
  <si>
    <t>6-4</t>
  </si>
  <si>
    <t>5-3</t>
  </si>
  <si>
    <t>4-2</t>
  </si>
  <si>
    <t>3-8</t>
  </si>
  <si>
    <t>3-6</t>
  </si>
  <si>
    <t>2-5</t>
  </si>
  <si>
    <t>8-4</t>
  </si>
  <si>
    <t>7-3</t>
  </si>
  <si>
    <t>6-2</t>
  </si>
  <si>
    <t>5-8</t>
  </si>
  <si>
    <t>4-7</t>
  </si>
  <si>
    <t>4-5</t>
  </si>
  <si>
    <t>3-4</t>
  </si>
  <si>
    <t>2-3</t>
  </si>
  <si>
    <t>8-2</t>
  </si>
  <si>
    <t>7-8</t>
  </si>
  <si>
    <t>6-7</t>
  </si>
  <si>
    <t>5-6</t>
  </si>
  <si>
    <t>1.voor</t>
  </si>
  <si>
    <t>Result</t>
  </si>
  <si>
    <t>Game 1</t>
  </si>
  <si>
    <t>Game 2</t>
  </si>
  <si>
    <t>Game 3</t>
  </si>
  <si>
    <t>Game 4</t>
  </si>
  <si>
    <t>Game 5</t>
  </si>
  <si>
    <t>Game 6</t>
  </si>
  <si>
    <t>Game 7</t>
  </si>
  <si>
    <t>2.voor</t>
  </si>
  <si>
    <t>3.voor</t>
  </si>
  <si>
    <t>4.voor</t>
  </si>
  <si>
    <t>5.voor</t>
  </si>
  <si>
    <t>6.voor</t>
  </si>
  <si>
    <t>7.voor</t>
  </si>
  <si>
    <t>8-1</t>
  </si>
  <si>
    <t>7-2</t>
  </si>
  <si>
    <t>6-3</t>
  </si>
  <si>
    <t>5-4</t>
  </si>
  <si>
    <t>7-1</t>
  </si>
  <si>
    <t>6-8</t>
  </si>
  <si>
    <t>5-2</t>
  </si>
  <si>
    <t>4-3</t>
  </si>
  <si>
    <t>6-1</t>
  </si>
  <si>
    <t>5-7</t>
  </si>
  <si>
    <t>4-8</t>
  </si>
  <si>
    <t>3-2</t>
  </si>
  <si>
    <t>5-1</t>
  </si>
  <si>
    <t>4-6</t>
  </si>
  <si>
    <t>3-7</t>
  </si>
  <si>
    <t>2-8</t>
  </si>
  <si>
    <t>4-1</t>
  </si>
  <si>
    <t>3-5</t>
  </si>
  <si>
    <t>2-6</t>
  </si>
  <si>
    <t>8-7</t>
  </si>
  <si>
    <t>3-1</t>
  </si>
  <si>
    <t>2-4</t>
  </si>
  <si>
    <t>8-5</t>
  </si>
  <si>
    <t>7-6</t>
  </si>
  <si>
    <t>2-1</t>
  </si>
  <si>
    <t>8-3</t>
  </si>
  <si>
    <t>7-4</t>
  </si>
  <si>
    <t>6-5</t>
  </si>
  <si>
    <t>Tiim FORUS - Maardu LTK</t>
  </si>
  <si>
    <t>Viimsi PINX</t>
  </si>
  <si>
    <t>TalTech Spordiklubi</t>
  </si>
  <si>
    <t>Tartu SS Kalev</t>
  </si>
  <si>
    <t>Viljandi LTK Sakala</t>
  </si>
  <si>
    <t>SPINMASTER</t>
  </si>
  <si>
    <t>LUŠIN</t>
  </si>
  <si>
    <t>Viimsi LTK/EM-SERV</t>
  </si>
  <si>
    <t>LTK Kalev/Radiaatorikeskus</t>
  </si>
  <si>
    <t>1-2(2)</t>
  </si>
  <si>
    <t>1-8(2)</t>
  </si>
  <si>
    <t>2-7(2)</t>
  </si>
  <si>
    <t>3-6(2)</t>
  </si>
  <si>
    <t>4-5(2)</t>
  </si>
  <si>
    <t>1-7(2)</t>
  </si>
  <si>
    <t>8-6(2)</t>
  </si>
  <si>
    <t>2-5(2)</t>
  </si>
  <si>
    <t>3-4(2)</t>
  </si>
  <si>
    <t>1-6(2)</t>
  </si>
  <si>
    <t>7-5(2)</t>
  </si>
  <si>
    <t>8-4(2)</t>
  </si>
  <si>
    <t>2-3(2)</t>
  </si>
  <si>
    <t>1-5(2)</t>
  </si>
  <si>
    <t>6-4(2)</t>
  </si>
  <si>
    <t>7-3(2)</t>
  </si>
  <si>
    <t>8-2(2)</t>
  </si>
  <si>
    <t>1-4(2)</t>
  </si>
  <si>
    <t>5-3(2)</t>
  </si>
  <si>
    <t>6-2(2)</t>
  </si>
  <si>
    <t>7-8(2)</t>
  </si>
  <si>
    <t>1-3(2)</t>
  </si>
  <si>
    <t>4-2(2)</t>
  </si>
  <si>
    <t>5-8(2)</t>
  </si>
  <si>
    <t>6-7(2)</t>
  </si>
  <si>
    <t>3-8(2)</t>
  </si>
  <si>
    <t>4-7(2)</t>
  </si>
  <si>
    <t>5-6(2)</t>
  </si>
  <si>
    <t>8.voor</t>
  </si>
  <si>
    <t>8-1(2)</t>
  </si>
  <si>
    <t>7-2(2)</t>
  </si>
  <si>
    <t>6-3(2)</t>
  </si>
  <si>
    <t>5-4(2)</t>
  </si>
  <si>
    <t>7-1(2)</t>
  </si>
  <si>
    <t>6-8(2)</t>
  </si>
  <si>
    <t>5-2(2)</t>
  </si>
  <si>
    <t>4-3(2)</t>
  </si>
  <si>
    <t>6-1(2)</t>
  </si>
  <si>
    <t>5-7(2)</t>
  </si>
  <si>
    <t>4-8(2)</t>
  </si>
  <si>
    <t>3-2(2)</t>
  </si>
  <si>
    <t>5-1(2)</t>
  </si>
  <si>
    <t>4-6(2)</t>
  </si>
  <si>
    <t>3-7(2)</t>
  </si>
  <si>
    <t>2-8(2)</t>
  </si>
  <si>
    <t>4-1(2)</t>
  </si>
  <si>
    <t>3-5(2)</t>
  </si>
  <si>
    <t>2-6(2)</t>
  </si>
  <si>
    <t>8-7(2)</t>
  </si>
  <si>
    <t>3-1(2)</t>
  </si>
  <si>
    <t>2-4(2)</t>
  </si>
  <si>
    <t>8-5(2)</t>
  </si>
  <si>
    <t>7-6(2)</t>
  </si>
  <si>
    <t>2-1(2)</t>
  </si>
  <si>
    <t>8-3(2)</t>
  </si>
  <si>
    <t>7-4(2)</t>
  </si>
  <si>
    <t>6-5(2)</t>
  </si>
  <si>
    <t>9.voor</t>
  </si>
  <si>
    <t>10.voor</t>
  </si>
  <si>
    <t>11.voor</t>
  </si>
  <si>
    <t>8.v</t>
  </si>
  <si>
    <t>9.v</t>
  </si>
  <si>
    <t>10.v</t>
  </si>
  <si>
    <t>11.v</t>
  </si>
  <si>
    <t>12.v</t>
  </si>
  <si>
    <t>13.v</t>
  </si>
  <si>
    <t>14.v</t>
  </si>
  <si>
    <t>12.voor</t>
  </si>
  <si>
    <t>13.voor</t>
  </si>
  <si>
    <t>LAANE</t>
  </si>
  <si>
    <t>DANILOV</t>
  </si>
  <si>
    <t>HIISKU</t>
  </si>
  <si>
    <t>URSU</t>
  </si>
  <si>
    <t>WITKOWSKI</t>
  </si>
  <si>
    <t>TENNILÄ</t>
  </si>
  <si>
    <t>Aleksandr</t>
  </si>
  <si>
    <t>Artjom</t>
  </si>
  <si>
    <t>Vladislav</t>
  </si>
  <si>
    <t>Antoni</t>
  </si>
  <si>
    <t>Otto</t>
  </si>
  <si>
    <t>SMIRNOV</t>
  </si>
  <si>
    <t>Aleksandr LUŠIN</t>
  </si>
  <si>
    <t>Lauri LAANE</t>
  </si>
  <si>
    <t>Sergei DANILOV</t>
  </si>
  <si>
    <t>Artjom HIISKU</t>
  </si>
  <si>
    <t>Vladislav URSU</t>
  </si>
  <si>
    <t>Antoni WITKOWSKI</t>
  </si>
  <si>
    <t>Otto TENNILÄ</t>
  </si>
  <si>
    <t>PETROV</t>
  </si>
  <si>
    <t>Maksim</t>
  </si>
  <si>
    <t>LIBENE</t>
  </si>
  <si>
    <t>Carlo</t>
  </si>
  <si>
    <t>ACCORSI</t>
  </si>
  <si>
    <t>Daniel</t>
  </si>
  <si>
    <t>KOSIBA</t>
  </si>
  <si>
    <t>Dmitri</t>
  </si>
  <si>
    <t>BOBROV</t>
  </si>
  <si>
    <t>Sergei PETROV</t>
  </si>
  <si>
    <t>Maksim VUHKA</t>
  </si>
  <si>
    <t>Toomas LIBENE</t>
  </si>
  <si>
    <t>Carlo ACCORSI</t>
  </si>
  <si>
    <t>Daniel KOSIBA</t>
  </si>
  <si>
    <t>Madis</t>
  </si>
  <si>
    <t>MOOS</t>
  </si>
  <si>
    <t>Stanislav</t>
  </si>
  <si>
    <t>STROGOV</t>
  </si>
  <si>
    <t>Andrei</t>
  </si>
  <si>
    <t>MALTIZOV</t>
  </si>
  <si>
    <t>Vallot</t>
  </si>
  <si>
    <t>VAINULA</t>
  </si>
  <si>
    <t>Samuli</t>
  </si>
  <si>
    <t>SOINE</t>
  </si>
  <si>
    <t>Tomasz</t>
  </si>
  <si>
    <t>LEWANDOWSKI</t>
  </si>
  <si>
    <t>Arturs</t>
  </si>
  <si>
    <t>REINHOLDS</t>
  </si>
  <si>
    <t>Madis MOOS</t>
  </si>
  <si>
    <t>Stanislav STROGOV</t>
  </si>
  <si>
    <t>Andrei MALTIZOV</t>
  </si>
  <si>
    <t>Vallot VAINULA</t>
  </si>
  <si>
    <t>Samuli SOINE</t>
  </si>
  <si>
    <t>Tomasz LEWANDOWSKI</t>
  </si>
  <si>
    <t>Arturs REINHOLDS</t>
  </si>
  <si>
    <t>Markkos</t>
  </si>
  <si>
    <t>PUKK</t>
  </si>
  <si>
    <t>Osqar</t>
  </si>
  <si>
    <t>Raini</t>
  </si>
  <si>
    <t>TSÄKO</t>
  </si>
  <si>
    <t>Arttu Antero</t>
  </si>
  <si>
    <t>PIHKALA</t>
  </si>
  <si>
    <t>LUUK</t>
  </si>
  <si>
    <t>Markkos PUKK</t>
  </si>
  <si>
    <t>Osqar PUKK</t>
  </si>
  <si>
    <t>Raini TSÄKO</t>
  </si>
  <si>
    <t>Arttu Antero PIHKALA</t>
  </si>
  <si>
    <t>Mart LUUK</t>
  </si>
  <si>
    <t xml:space="preserve">Valdas </t>
  </si>
  <si>
    <t>MARTINKUS</t>
  </si>
  <si>
    <t>Erik</t>
  </si>
  <si>
    <t>NÜÜD</t>
  </si>
  <si>
    <t>Robi</t>
  </si>
  <si>
    <t>TOOMING</t>
  </si>
  <si>
    <t>Märt</t>
  </si>
  <si>
    <t>KURVET</t>
  </si>
  <si>
    <t>Aaro</t>
  </si>
  <si>
    <t>ÕISMETS</t>
  </si>
  <si>
    <t>Valdas  MARTINKUS</t>
  </si>
  <si>
    <t>Erik NÜÜD</t>
  </si>
  <si>
    <t>Robi TOOMING</t>
  </si>
  <si>
    <t>Märt KURVET</t>
  </si>
  <si>
    <t>Aaro ÕISMETS</t>
  </si>
  <si>
    <t>Jan Kenneth</t>
  </si>
  <si>
    <t>TOMING</t>
  </si>
  <si>
    <t>KLJUTSENKOV</t>
  </si>
  <si>
    <t>Filat</t>
  </si>
  <si>
    <t>ANDREEV</t>
  </si>
  <si>
    <t>Elvis</t>
  </si>
  <si>
    <t>Josef</t>
  </si>
  <si>
    <t>KELLER</t>
  </si>
  <si>
    <t>RUDNIKOVS</t>
  </si>
  <si>
    <t>SPALIS</t>
  </si>
  <si>
    <t>Andrejs</t>
  </si>
  <si>
    <t>CEMIRTANS</t>
  </si>
  <si>
    <t>Vladimir</t>
  </si>
  <si>
    <t>Jan Kenneth TOMING</t>
  </si>
  <si>
    <t>Sergei KLJUTSENKOV</t>
  </si>
  <si>
    <t>Filat ANDREEV</t>
  </si>
  <si>
    <t>Elvis LIBENE</t>
  </si>
  <si>
    <t>Josef KELLER</t>
  </si>
  <si>
    <t>Arturs RUDNIKOVS</t>
  </si>
  <si>
    <t>Arturs SPALIS</t>
  </si>
  <si>
    <t>Andrejs CEMIRTANS</t>
  </si>
  <si>
    <t>Pert Marten</t>
  </si>
  <si>
    <t>LEHTLAAN</t>
  </si>
  <si>
    <t>Ilmar</t>
  </si>
  <si>
    <t>NIKONOROV</t>
  </si>
  <si>
    <t>Raimond</t>
  </si>
  <si>
    <t>EINER</t>
  </si>
  <si>
    <t>Daniels</t>
  </si>
  <si>
    <t>KOGANS</t>
  </si>
  <si>
    <t>Aleksi</t>
  </si>
  <si>
    <t>LINDSÖ</t>
  </si>
  <si>
    <t>Pert Marten LEHTLAAN</t>
  </si>
  <si>
    <t>Ilmar VUHKA</t>
  </si>
  <si>
    <t>Aleksei NIKONOROV</t>
  </si>
  <si>
    <t>Raimond EINER</t>
  </si>
  <si>
    <t>Daniels KOGANS</t>
  </si>
  <si>
    <t>Daniel LINDSÖ</t>
  </si>
  <si>
    <t xml:space="preserve">SIREL </t>
  </si>
  <si>
    <t>Allan</t>
  </si>
  <si>
    <t>KOTTISE</t>
  </si>
  <si>
    <t>Kristjan</t>
  </si>
  <si>
    <t>KANT</t>
  </si>
  <si>
    <t xml:space="preserve">KRAIKO </t>
  </si>
  <si>
    <t>Jorma</t>
  </si>
  <si>
    <t>LAHTINEN</t>
  </si>
  <si>
    <t>Allan KOTTISE</t>
  </si>
  <si>
    <t>Kristjan KANT</t>
  </si>
  <si>
    <t xml:space="preserve">Martin KRAIKO </t>
  </si>
  <si>
    <t>Jorma LAHTINEN</t>
  </si>
  <si>
    <t>14.voor</t>
  </si>
  <si>
    <t>II</t>
  </si>
  <si>
    <t>III</t>
  </si>
  <si>
    <t>Eesti meistriliiga</t>
  </si>
  <si>
    <t>Meistriliiga</t>
  </si>
  <si>
    <t>10.00</t>
  </si>
  <si>
    <t>1. voor</t>
  </si>
  <si>
    <t>2. voor</t>
  </si>
  <si>
    <t>3. voor</t>
  </si>
  <si>
    <t>4. voor</t>
  </si>
  <si>
    <t>5. voor</t>
  </si>
  <si>
    <t>6. voor</t>
  </si>
  <si>
    <t>7. voor</t>
  </si>
  <si>
    <t>8. voor</t>
  </si>
  <si>
    <t>9. voor</t>
  </si>
  <si>
    <t>10. voor</t>
  </si>
  <si>
    <t>11. voor</t>
  </si>
  <si>
    <t>12. voor</t>
  </si>
  <si>
    <t>13. voor</t>
  </si>
  <si>
    <t>14. voor</t>
  </si>
  <si>
    <t>-</t>
  </si>
  <si>
    <t>Märkused:</t>
  </si>
  <si>
    <t>EESTI 2024/2025 VÕISTKONDLIKUD MEISTRIVÕISTLUSED</t>
  </si>
  <si>
    <t>1. mängupäev 26. oktoober 2024. a Tallinn</t>
  </si>
  <si>
    <t>1. mängupäeva kohtumiste protokollid - meistriliiga</t>
  </si>
  <si>
    <t>Laud: 2</t>
  </si>
  <si>
    <t>Laud: 3</t>
  </si>
  <si>
    <t>13.00</t>
  </si>
  <si>
    <t>16.00</t>
  </si>
  <si>
    <t>II voor kell 13:00</t>
  </si>
  <si>
    <t>III voor kell 16:00</t>
  </si>
  <si>
    <t>2. mängupäev 23. november 2024. a Tallinn</t>
  </si>
  <si>
    <t>2. mängupäeva kohtumiste protokollid - meistriliiga</t>
  </si>
  <si>
    <t>Allar Vellner ja Andres Somer</t>
  </si>
  <si>
    <t>Võistkonnad</t>
  </si>
  <si>
    <t>VÕISTKONNA KOHTUMISEKS ÜLESANDMISE LEHT</t>
  </si>
  <si>
    <t>Algus:</t>
  </si>
  <si>
    <t>Leht tagasi kohtunikele</t>
  </si>
  <si>
    <t>Võistkond:</t>
  </si>
  <si>
    <t>Spikker</t>
  </si>
  <si>
    <t>Märgista meeskonna mängijate järjekord vastavalt võistkonna nimetuse tähega.</t>
  </si>
  <si>
    <t>Mängude järjekord</t>
  </si>
  <si>
    <t>Paarismäng</t>
  </si>
  <si>
    <t>Tähed:</t>
  </si>
  <si>
    <t>A, B, C, D, E</t>
  </si>
  <si>
    <t>X, Y, Z, Q, W</t>
  </si>
  <si>
    <t>NB! Paaris saavad mängida vaid ülesantud mängijad!</t>
  </si>
  <si>
    <t>Võistkonna kapten:</t>
  </si>
  <si>
    <t>Eesti võistkondlikud meistrivõistlused 2024/2025</t>
  </si>
  <si>
    <t>EESTI VÕISTKONDLIKUD MV 2024/2025 MEISTRILIIGA</t>
  </si>
  <si>
    <t>Pärast igat mängupäeva tuleb võistkondade andmed ära uuendada!</t>
  </si>
  <si>
    <t>Kui keegi asendab alumisest liigast, siis lisada nimi "Koosseisud" tabelisse I veergu</t>
  </si>
  <si>
    <t>Kui muuta vooru numbrit, siis muutuvad võistkonna nimed ja mängijate nimed vastavalt õigeks, samuti kellaajad</t>
  </si>
  <si>
    <t>3. mängupäeva kohtumiste protokollid - meistriliiga</t>
  </si>
  <si>
    <t>3. mängupäev 24. november 2024. a Tallinn</t>
  </si>
  <si>
    <t>4. mängupäeva kohtumiste protokollid - meistriliiga</t>
  </si>
  <si>
    <t>4. mängupäev 18. jaanuar 2025. a Tallinn</t>
  </si>
  <si>
    <t>Team ABC</t>
  </si>
  <si>
    <t>Team XYZ</t>
  </si>
  <si>
    <t>ABITABELIS pärast igat mängupäeva Protokoll_1p ära muuta vastavaks päevaks!</t>
  </si>
  <si>
    <t>Dmitri BOBROV</t>
  </si>
  <si>
    <t>Setid</t>
  </si>
  <si>
    <t>11:4</t>
  </si>
  <si>
    <t>11:6</t>
  </si>
  <si>
    <t>11:7</t>
  </si>
  <si>
    <t>11:3</t>
  </si>
  <si>
    <t>AD-YZ</t>
  </si>
  <si>
    <t>BC-XQ</t>
  </si>
  <si>
    <t>7:11</t>
  </si>
  <si>
    <t>6:11</t>
  </si>
  <si>
    <t>3:11</t>
  </si>
  <si>
    <t>5:11</t>
  </si>
  <si>
    <t>2:11</t>
  </si>
  <si>
    <t>4:11</t>
  </si>
  <si>
    <t>11:9</t>
  </si>
  <si>
    <t>AD-XY</t>
  </si>
  <si>
    <t>11:8</t>
  </si>
  <si>
    <t>13:11</t>
  </si>
  <si>
    <t>11:1</t>
  </si>
  <si>
    <t>14:16</t>
  </si>
  <si>
    <t>10:12</t>
  </si>
  <si>
    <t>AB-XY</t>
  </si>
  <si>
    <t>11:5</t>
  </si>
  <si>
    <t>9:11</t>
  </si>
  <si>
    <t>8:11</t>
  </si>
  <si>
    <t>13:15</t>
  </si>
  <si>
    <t>15:13</t>
  </si>
  <si>
    <t>14:12</t>
  </si>
  <si>
    <t>AC-XZ</t>
  </si>
  <si>
    <t>12:10</t>
  </si>
  <si>
    <t>BC-XY</t>
  </si>
  <si>
    <t>11:2</t>
  </si>
  <si>
    <t>11:13</t>
  </si>
  <si>
    <t>12:14</t>
  </si>
  <si>
    <t>AC-XY</t>
  </si>
  <si>
    <t>1:11</t>
  </si>
  <si>
    <t>BC-XZ</t>
  </si>
  <si>
    <t>AB-YZ</t>
  </si>
  <si>
    <t>AC-YZ</t>
  </si>
  <si>
    <t>16:14</t>
  </si>
  <si>
    <t>Aleksandr SMIRNOV</t>
  </si>
  <si>
    <t>DE-YZ</t>
  </si>
  <si>
    <t>AD-XZ</t>
  </si>
  <si>
    <t>CD-YZ</t>
  </si>
  <si>
    <t>16:18</t>
  </si>
  <si>
    <t>AB-YQ</t>
  </si>
  <si>
    <t>AE-XQ</t>
  </si>
  <si>
    <t>AC-YQ</t>
  </si>
  <si>
    <t>BC-YZ</t>
  </si>
  <si>
    <t>BD-YZ</t>
  </si>
  <si>
    <t>15:17</t>
  </si>
  <si>
    <t>0:11</t>
  </si>
  <si>
    <t>o:w</t>
  </si>
  <si>
    <t>AB-XZ</t>
  </si>
  <si>
    <t>w:o</t>
  </si>
  <si>
    <t>Lisada voorude lehele võistkonna kapten ja info, et pingil võib istuda 5 mängijat + kapten</t>
  </si>
  <si>
    <t>11:0</t>
  </si>
  <si>
    <t>Hetkel ära kustutatud Vladimir Petrov, kellel pole luba</t>
  </si>
  <si>
    <t>Aleksandr VUHKA</t>
  </si>
  <si>
    <t>Jevgeni BUZAK</t>
  </si>
  <si>
    <t>Rainer VALO</t>
  </si>
  <si>
    <t>Frank Tomas TÜRI</t>
  </si>
  <si>
    <t>AD-YX</t>
  </si>
  <si>
    <t>0:w</t>
  </si>
  <si>
    <t>w:0</t>
  </si>
  <si>
    <t>Valdas MARTINKUS</t>
  </si>
  <si>
    <t>Aleksi RÄSÄNEN</t>
  </si>
  <si>
    <t>RÄSÄNEN</t>
  </si>
  <si>
    <t>Andrei SIREL</t>
  </si>
  <si>
    <t>Martin KRAIKO</t>
  </si>
  <si>
    <t>Tallinn</t>
  </si>
  <si>
    <t>Allar Vellner</t>
  </si>
  <si>
    <t>Sergei Petrov</t>
  </si>
  <si>
    <t>Sergei Danilov</t>
  </si>
  <si>
    <t>Aleksander Vuhka</t>
  </si>
  <si>
    <t>AC-QW</t>
  </si>
  <si>
    <t>AC-XQ</t>
  </si>
  <si>
    <t>19:17</t>
  </si>
  <si>
    <t>BC-ZQ</t>
  </si>
  <si>
    <t>5. mängupäev 29. märts 2025. a Tallinn</t>
  </si>
  <si>
    <t>5. mängupäeva kohtumiste protokollid - meistriliiga</t>
  </si>
  <si>
    <t>Lauri Laane</t>
  </si>
  <si>
    <t>Aleksandr Smirnov</t>
  </si>
  <si>
    <t>Petrov</t>
  </si>
  <si>
    <t>Vuhka</t>
  </si>
  <si>
    <t>Maksim Vuhka</t>
  </si>
  <si>
    <t>Carlo Accorsi</t>
  </si>
  <si>
    <t>Kosiba</t>
  </si>
  <si>
    <t>Daniel Kosiba</t>
  </si>
  <si>
    <t>Moos</t>
  </si>
  <si>
    <t>Madis Moos</t>
  </si>
  <si>
    <t>Strogov</t>
  </si>
  <si>
    <t>Stanislav Strogov</t>
  </si>
  <si>
    <t>Andrei Maltizov</t>
  </si>
  <si>
    <t>Samuli Soine</t>
  </si>
  <si>
    <t>Pukk</t>
  </si>
  <si>
    <t>Markkos Pukk</t>
  </si>
  <si>
    <t>Pihkala</t>
  </si>
  <si>
    <t>Arttu Antero Pihkala</t>
  </si>
  <si>
    <t>Luuk</t>
  </si>
  <si>
    <t>Mart Luuk</t>
  </si>
  <si>
    <t>Valdas  Martinkus</t>
  </si>
  <si>
    <t>Erik Nüüd</t>
  </si>
  <si>
    <t>Robi Tooming</t>
  </si>
  <si>
    <t>Märt Kurvet</t>
  </si>
  <si>
    <t>Kevin Kukk</t>
  </si>
  <si>
    <t>Jan Kenneth Toming</t>
  </si>
  <si>
    <t>Filat Andreev</t>
  </si>
  <si>
    <t>Arturs Rudnikovs</t>
  </si>
  <si>
    <t>Lehtlaan</t>
  </si>
  <si>
    <t>Pert Marten Lehtlaan</t>
  </si>
  <si>
    <t>Ilmar Vuhka</t>
  </si>
  <si>
    <t>Aleksei Nikonorov</t>
  </si>
  <si>
    <t>Kogans</t>
  </si>
  <si>
    <t>Daniels Kogans</t>
  </si>
  <si>
    <t>Kristjan Kant</t>
  </si>
  <si>
    <t xml:space="preserve">Martin Kraiko </t>
  </si>
  <si>
    <t>Jorma Lahtinen</t>
  </si>
  <si>
    <t/>
  </si>
  <si>
    <t>Meistriliiga Play-Off</t>
  </si>
  <si>
    <t>Poolfinaal</t>
  </si>
  <si>
    <t>Finaal</t>
  </si>
  <si>
    <t>3. koht</t>
  </si>
  <si>
    <t>14.00</t>
  </si>
  <si>
    <t>I poolfinaal kell 10:00</t>
  </si>
  <si>
    <t>II poolfinaal kell 10:00</t>
  </si>
  <si>
    <t>Finaal kell 14:00</t>
  </si>
  <si>
    <t>EESTI VÕISTKONDLIKUD MV 2024/2025 MEISTRILIIGA PLAY-OFF</t>
  </si>
  <si>
    <t>Siit saad kopeerida vooru nime C9 lahtrisse, siis ta muudab kellaajad ära</t>
  </si>
  <si>
    <t>3-4. koht</t>
  </si>
  <si>
    <t>Play-off 03. mai 2025. a Tallinn</t>
  </si>
  <si>
    <t>3-4. koht kell 14:00</t>
  </si>
  <si>
    <t>Play-off kohtumiste protokollid - meistriliiga</t>
  </si>
  <si>
    <t>Eesti võistkondlikud meistrivõistlused play-off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</si>
</sst>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>
    <font>
      <sz val="11"/>
      <color theme="1"/>
      <name val="Calibri"/>
      <family val="2"/>
      <charset val="186"/>
      <scheme val="minor"/>
    </font>
    <font>
      <b/>
      <sz val="14"/>
      <name val="Verdana"/>
      <family val="2"/>
    </font>
    <font>
      <sz val="10"/>
      <name val="Arial"/>
      <family val="2"/>
    </font>
    <font>
      <sz val="10"/>
      <name val="Verdana"/>
      <family val="2"/>
    </font>
    <font>
      <b/>
      <sz val="11"/>
      <name val="Arial"/>
      <family val="2"/>
    </font>
    <font>
      <b/>
      <sz val="10"/>
      <name val="Verdana"/>
      <family val="2"/>
    </font>
    <font>
      <b/>
      <sz val="10"/>
      <name val="Arial"/>
      <family val="2"/>
      <charset val="186"/>
    </font>
    <font>
      <b/>
      <sz val="10"/>
      <name val="Arial"/>
      <family val="2"/>
    </font>
    <font>
      <b/>
      <sz val="12"/>
      <name val="Arial"/>
      <family val="2"/>
      <charset val="186"/>
    </font>
    <font>
      <sz val="10"/>
      <name val="MS Sans Serif"/>
      <family val="2"/>
      <charset val="186"/>
    </font>
    <font>
      <sz val="10"/>
      <name val="Arial"/>
      <family val="2"/>
      <charset val="186"/>
    </font>
    <font>
      <b/>
      <i/>
      <sz val="8"/>
      <name val="Arial"/>
      <family val="2"/>
      <charset val="186"/>
    </font>
    <font>
      <i/>
      <sz val="8"/>
      <name val="Arial"/>
      <family val="2"/>
    </font>
    <font>
      <b/>
      <sz val="8"/>
      <name val="Arial"/>
      <family val="2"/>
    </font>
    <font>
      <sz val="8"/>
      <name val="Arial"/>
      <family val="2"/>
      <charset val="186"/>
    </font>
    <font>
      <sz val="9"/>
      <name val="Arial"/>
      <family val="2"/>
      <charset val="186"/>
    </font>
    <font>
      <b/>
      <sz val="9"/>
      <name val="Arial"/>
      <family val="2"/>
    </font>
    <font>
      <b/>
      <sz val="9"/>
      <name val="Arial"/>
      <family val="2"/>
      <charset val="186"/>
    </font>
    <font>
      <sz val="6"/>
      <name val="Arial"/>
      <family val="2"/>
      <charset val="186"/>
    </font>
    <font>
      <b/>
      <i/>
      <u/>
      <sz val="10"/>
      <name val="Verdana"/>
      <family val="2"/>
      <charset val="186"/>
    </font>
    <font>
      <sz val="8"/>
      <name val="Arial Narrow"/>
      <family val="2"/>
    </font>
    <font>
      <sz val="8"/>
      <name val="Verdana"/>
      <family val="2"/>
    </font>
    <font>
      <sz val="10"/>
      <color theme="0"/>
      <name val="Verdana"/>
      <family val="2"/>
    </font>
    <font>
      <sz val="9"/>
      <color theme="0"/>
      <name val="Arial"/>
      <family val="2"/>
      <charset val="186"/>
    </font>
    <font>
      <sz val="10"/>
      <color theme="0"/>
      <name val="Arial"/>
      <family val="2"/>
      <charset val="186"/>
    </font>
    <font>
      <b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charset val="186"/>
      <scheme val="minor"/>
    </font>
    <font>
      <b/>
      <sz val="12"/>
      <name val="Times New Roman"/>
      <family val="1"/>
      <charset val="186"/>
    </font>
    <font>
      <sz val="12"/>
      <color indexed="8"/>
      <name val="Times New Roman"/>
      <family val="1"/>
      <charset val="186"/>
    </font>
    <font>
      <sz val="8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u/>
      <sz val="14"/>
      <name val="Arial"/>
      <family val="2"/>
      <charset val="186"/>
    </font>
    <font>
      <b/>
      <u/>
      <sz val="16"/>
      <name val="Arial"/>
      <family val="2"/>
      <charset val="186"/>
    </font>
    <font>
      <i/>
      <sz val="10"/>
      <name val="Arial"/>
      <family val="2"/>
      <charset val="186"/>
    </font>
    <font>
      <b/>
      <sz val="14"/>
      <name val="Arial"/>
      <family val="2"/>
      <charset val="186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9"/>
      <name val="Arial"/>
      <family val="2"/>
    </font>
    <font>
      <sz val="9"/>
      <color theme="1"/>
      <name val="Arial"/>
      <family val="2"/>
    </font>
    <font>
      <sz val="12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  <charset val="186"/>
    </font>
    <font>
      <b/>
      <sz val="11"/>
      <name val="Verdana"/>
      <family val="2"/>
    </font>
    <font>
      <b/>
      <sz val="10"/>
      <name val="Verdana Pro Cond"/>
      <family val="2"/>
    </font>
    <font>
      <b/>
      <sz val="10"/>
      <color theme="1"/>
      <name val="Verdana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FF0000"/>
      <name val="Calibri"/>
      <family val="2"/>
      <charset val="186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353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Dot">
        <color auto="1"/>
      </left>
      <right/>
      <top style="dashDot">
        <color auto="1"/>
      </top>
      <bottom/>
      <diagonal/>
    </border>
    <border>
      <left/>
      <right style="dashDot">
        <color auto="1"/>
      </right>
      <top style="dashDot">
        <color auto="1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Dot">
        <color auto="1"/>
      </left>
      <right/>
      <top/>
      <bottom/>
      <diagonal/>
    </border>
    <border>
      <left/>
      <right style="dashDot">
        <color auto="1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 style="dashDot">
        <color auto="1"/>
      </left>
      <right/>
      <top/>
      <bottom style="dashDot">
        <color auto="1"/>
      </bottom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/>
      <bottom style="mediumDashed">
        <color auto="1"/>
      </bottom>
      <diagonal/>
    </border>
  </borders>
  <cellStyleXfs count="6">
    <xf numFmtId="0" fontId="0" fillId="0" borderId="0"/>
    <xf numFmtId="0" fontId="9" fillId="0" borderId="0"/>
    <xf numFmtId="0" fontId="10" fillId="0" borderId="0"/>
    <xf numFmtId="0" fontId="10" fillId="0" borderId="0"/>
    <xf numFmtId="0" fontId="27" fillId="0" borderId="0"/>
    <xf numFmtId="0" fontId="28" fillId="0" borderId="0"/>
  </cellStyleXfs>
  <cellXfs count="307">
    <xf numFmtId="0" fontId="0" fillId="0" borderId="0" xfId="0"/>
    <xf numFmtId="0" fontId="10" fillId="0" borderId="0" xfId="2"/>
    <xf numFmtId="0" fontId="11" fillId="0" borderId="2" xfId="2" applyFont="1" applyBorder="1" applyAlignment="1">
      <alignment vertical="center"/>
    </xf>
    <xf numFmtId="0" fontId="4" fillId="0" borderId="2" xfId="2" applyFont="1" applyBorder="1" applyAlignment="1">
      <alignment horizontal="center" vertical="center"/>
    </xf>
    <xf numFmtId="0" fontId="4" fillId="0" borderId="2" xfId="2" applyFont="1" applyBorder="1" applyAlignment="1">
      <alignment vertical="center"/>
    </xf>
    <xf numFmtId="0" fontId="12" fillId="0" borderId="2" xfId="2" applyFont="1" applyBorder="1" applyAlignment="1">
      <alignment vertical="center"/>
    </xf>
    <xf numFmtId="49" fontId="13" fillId="0" borderId="2" xfId="2" applyNumberFormat="1" applyFont="1" applyBorder="1" applyAlignment="1">
      <alignment horizontal="center" vertical="center"/>
    </xf>
    <xf numFmtId="0" fontId="14" fillId="0" borderId="0" xfId="2" applyFont="1" applyAlignment="1">
      <alignment vertical="center"/>
    </xf>
    <xf numFmtId="0" fontId="15" fillId="0" borderId="2" xfId="2" applyFont="1" applyBorder="1" applyAlignme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7" fillId="0" borderId="0" xfId="2" applyFont="1" applyAlignment="1">
      <alignment horizontal="center" vertical="center"/>
    </xf>
    <xf numFmtId="0" fontId="6" fillId="0" borderId="0" xfId="2" applyFont="1"/>
    <xf numFmtId="0" fontId="6" fillId="0" borderId="6" xfId="2" applyFont="1" applyBorder="1"/>
    <xf numFmtId="0" fontId="10" fillId="0" borderId="6" xfId="2" applyBorder="1"/>
    <xf numFmtId="0" fontId="6" fillId="0" borderId="1" xfId="2" applyFont="1" applyBorder="1"/>
    <xf numFmtId="0" fontId="3" fillId="0" borderId="0" xfId="3" applyFont="1"/>
    <xf numFmtId="0" fontId="5" fillId="0" borderId="0" xfId="3" applyFont="1"/>
    <xf numFmtId="0" fontId="5" fillId="0" borderId="0" xfId="3" applyFont="1" applyAlignment="1">
      <alignment horizontal="left"/>
    </xf>
    <xf numFmtId="0" fontId="3" fillId="0" borderId="5" xfId="3" applyFont="1" applyBorder="1"/>
    <xf numFmtId="0" fontId="5" fillId="0" borderId="2" xfId="3" applyFont="1" applyBorder="1" applyAlignment="1">
      <alignment horizontal="center" vertical="center"/>
    </xf>
    <xf numFmtId="0" fontId="3" fillId="0" borderId="10" xfId="3" applyFont="1" applyBorder="1" applyAlignment="1">
      <alignment vertical="center"/>
    </xf>
    <xf numFmtId="0" fontId="5" fillId="0" borderId="4" xfId="3" applyFont="1" applyBorder="1" applyAlignment="1">
      <alignment horizontal="center" vertical="center"/>
    </xf>
    <xf numFmtId="0" fontId="3" fillId="0" borderId="11" xfId="3" applyFont="1" applyBorder="1" applyAlignment="1">
      <alignment vertical="center"/>
    </xf>
    <xf numFmtId="0" fontId="3" fillId="0" borderId="5" xfId="3" applyFont="1" applyBorder="1" applyAlignment="1">
      <alignment vertical="center"/>
    </xf>
    <xf numFmtId="0" fontId="21" fillId="0" borderId="5" xfId="3" applyFont="1" applyBorder="1" applyAlignment="1">
      <alignment vertical="center"/>
    </xf>
    <xf numFmtId="0" fontId="3" fillId="0" borderId="15" xfId="3" applyFont="1" applyBorder="1"/>
    <xf numFmtId="0" fontId="3" fillId="0" borderId="16" xfId="3" applyFont="1" applyBorder="1"/>
    <xf numFmtId="0" fontId="3" fillId="0" borderId="13" xfId="3" applyFont="1" applyBorder="1"/>
    <xf numFmtId="0" fontId="3" fillId="0" borderId="14" xfId="3" applyFont="1" applyBorder="1"/>
    <xf numFmtId="0" fontId="3" fillId="0" borderId="11" xfId="3" applyFont="1" applyBorder="1"/>
    <xf numFmtId="0" fontId="23" fillId="0" borderId="5" xfId="2" applyFont="1" applyBorder="1" applyAlignment="1">
      <alignment vertical="center"/>
    </xf>
    <xf numFmtId="0" fontId="24" fillId="0" borderId="0" xfId="2" applyFont="1"/>
    <xf numFmtId="0" fontId="17" fillId="0" borderId="2" xfId="2" applyFont="1" applyBorder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3" fillId="0" borderId="17" xfId="3" applyFont="1" applyBorder="1"/>
    <xf numFmtId="0" fontId="0" fillId="0" borderId="10" xfId="0" applyBorder="1"/>
    <xf numFmtId="0" fontId="22" fillId="0" borderId="9" xfId="3" applyFont="1" applyBorder="1" applyAlignment="1">
      <alignment vertical="center"/>
    </xf>
    <xf numFmtId="0" fontId="29" fillId="2" borderId="18" xfId="0" applyFont="1" applyFill="1" applyBorder="1"/>
    <xf numFmtId="49" fontId="29" fillId="2" borderId="18" xfId="0" applyNumberFormat="1" applyFont="1" applyFill="1" applyBorder="1"/>
    <xf numFmtId="0" fontId="30" fillId="0" borderId="0" xfId="0" applyFont="1" applyProtection="1">
      <protection locked="0"/>
    </xf>
    <xf numFmtId="0" fontId="29" fillId="2" borderId="19" xfId="0" applyFont="1" applyFill="1" applyBorder="1" applyProtection="1">
      <protection locked="0"/>
    </xf>
    <xf numFmtId="0" fontId="29" fillId="0" borderId="0" xfId="0" applyFont="1" applyProtection="1">
      <protection locked="0"/>
    </xf>
    <xf numFmtId="49" fontId="29" fillId="0" borderId="0" xfId="0" applyNumberFormat="1" applyFont="1" applyProtection="1">
      <protection locked="0"/>
    </xf>
    <xf numFmtId="49" fontId="30" fillId="0" borderId="0" xfId="0" applyNumberFormat="1" applyFont="1" applyProtection="1">
      <protection locked="0"/>
    </xf>
    <xf numFmtId="0" fontId="29" fillId="2" borderId="18" xfId="0" applyFont="1" applyFill="1" applyBorder="1" applyProtection="1">
      <protection locked="0"/>
    </xf>
    <xf numFmtId="14" fontId="29" fillId="0" borderId="0" xfId="0" applyNumberFormat="1" applyFont="1" applyProtection="1">
      <protection locked="0"/>
    </xf>
    <xf numFmtId="49" fontId="0" fillId="0" borderId="0" xfId="0" applyNumberFormat="1"/>
    <xf numFmtId="20" fontId="0" fillId="0" borderId="0" xfId="0" applyNumberFormat="1"/>
    <xf numFmtId="2" fontId="0" fillId="0" borderId="0" xfId="0" applyNumberFormat="1"/>
    <xf numFmtId="0" fontId="16" fillId="0" borderId="2" xfId="2" applyFont="1" applyBorder="1" applyAlignment="1">
      <alignment horizontal="center" vertical="center"/>
    </xf>
    <xf numFmtId="49" fontId="29" fillId="0" borderId="18" xfId="0" applyNumberFormat="1" applyFont="1" applyBorder="1"/>
    <xf numFmtId="49" fontId="29" fillId="0" borderId="0" xfId="0" applyNumberFormat="1" applyFont="1"/>
    <xf numFmtId="0" fontId="0" fillId="0" borderId="0" xfId="0" applyAlignment="1">
      <alignment horizontal="center"/>
    </xf>
    <xf numFmtId="0" fontId="0" fillId="0" borderId="27" xfId="0" applyBorder="1" applyAlignment="1">
      <alignment horizontal="center"/>
    </xf>
    <xf numFmtId="0" fontId="6" fillId="0" borderId="6" xfId="4" applyFont="1" applyBorder="1" applyAlignment="1">
      <alignment horizontal="center"/>
    </xf>
    <xf numFmtId="0" fontId="32" fillId="0" borderId="0" xfId="0" applyFont="1" applyAlignment="1">
      <alignment horizontal="center"/>
    </xf>
    <xf numFmtId="49" fontId="10" fillId="0" borderId="0" xfId="4" applyNumberFormat="1" applyFont="1" applyAlignment="1">
      <alignment horizontal="center"/>
    </xf>
    <xf numFmtId="0" fontId="32" fillId="0" borderId="0" xfId="0" applyFont="1"/>
    <xf numFmtId="0" fontId="10" fillId="0" borderId="0" xfId="4" applyFont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6" xfId="0" applyBorder="1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4" xfId="0" applyBorder="1"/>
    <xf numFmtId="0" fontId="0" fillId="3" borderId="0" xfId="0" applyFill="1"/>
    <xf numFmtId="0" fontId="42" fillId="0" borderId="0" xfId="0" applyFont="1"/>
    <xf numFmtId="0" fontId="43" fillId="0" borderId="6" xfId="2" applyFont="1" applyBorder="1"/>
    <xf numFmtId="0" fontId="5" fillId="0" borderId="7" xfId="3" applyFont="1" applyBorder="1" applyAlignment="1">
      <alignment horizontal="right"/>
    </xf>
    <xf numFmtId="0" fontId="19" fillId="0" borderId="0" xfId="3" applyFont="1" applyAlignment="1">
      <alignment horizontal="left"/>
    </xf>
    <xf numFmtId="0" fontId="20" fillId="0" borderId="7" xfId="3" applyFont="1" applyBorder="1" applyAlignment="1">
      <alignment horizontal="center"/>
    </xf>
    <xf numFmtId="0" fontId="42" fillId="0" borderId="6" xfId="0" applyFont="1" applyBorder="1" applyAlignment="1">
      <alignment horizontal="center" vertical="top"/>
    </xf>
    <xf numFmtId="0" fontId="42" fillId="0" borderId="1" xfId="0" applyFont="1" applyBorder="1" applyAlignment="1">
      <alignment horizontal="center" vertical="top"/>
    </xf>
    <xf numFmtId="0" fontId="5" fillId="0" borderId="0" xfId="3" applyFont="1" applyAlignment="1">
      <alignment horizontal="right"/>
    </xf>
    <xf numFmtId="0" fontId="3" fillId="0" borderId="7" xfId="3" applyFont="1" applyBorder="1"/>
    <xf numFmtId="0" fontId="15" fillId="0" borderId="3" xfId="2" applyFont="1" applyBorder="1" applyAlignment="1">
      <alignment horizontal="center" vertical="center"/>
    </xf>
    <xf numFmtId="0" fontId="4" fillId="0" borderId="0" xfId="2" applyFont="1"/>
    <xf numFmtId="0" fontId="43" fillId="0" borderId="2" xfId="2" applyFont="1" applyBorder="1" applyAlignment="1">
      <alignment horizontal="center"/>
    </xf>
    <xf numFmtId="0" fontId="10" fillId="0" borderId="2" xfId="2" applyBorder="1" applyAlignment="1">
      <alignment horizontal="center"/>
    </xf>
    <xf numFmtId="0" fontId="10" fillId="0" borderId="2" xfId="2" applyBorder="1"/>
    <xf numFmtId="0" fontId="19" fillId="0" borderId="0" xfId="3" applyFont="1"/>
    <xf numFmtId="0" fontId="44" fillId="0" borderId="5" xfId="3" applyFont="1" applyBorder="1"/>
    <xf numFmtId="0" fontId="20" fillId="0" borderId="7" xfId="3" applyFont="1" applyBorder="1"/>
    <xf numFmtId="0" fontId="20" fillId="0" borderId="0" xfId="3" applyFont="1" applyAlignment="1">
      <alignment horizontal="center"/>
    </xf>
    <xf numFmtId="0" fontId="3" fillId="0" borderId="0" xfId="3" applyFont="1" applyAlignment="1">
      <alignment horizontal="center"/>
    </xf>
    <xf numFmtId="0" fontId="20" fillId="0" borderId="0" xfId="3" applyFont="1"/>
    <xf numFmtId="14" fontId="45" fillId="0" borderId="0" xfId="3" applyNumberFormat="1" applyFont="1"/>
    <xf numFmtId="0" fontId="5" fillId="0" borderId="0" xfId="3" applyFont="1" applyAlignment="1">
      <alignment horizontal="center"/>
    </xf>
    <xf numFmtId="20" fontId="45" fillId="0" borderId="0" xfId="3" applyNumberFormat="1" applyFont="1" applyAlignment="1">
      <alignment horizontal="center"/>
    </xf>
    <xf numFmtId="0" fontId="46" fillId="0" borderId="0" xfId="0" applyFont="1"/>
    <xf numFmtId="0" fontId="5" fillId="0" borderId="52" xfId="3" applyFont="1" applyBorder="1" applyAlignment="1">
      <alignment horizontal="center"/>
    </xf>
    <xf numFmtId="0" fontId="5" fillId="0" borderId="53" xfId="3" applyFont="1" applyBorder="1" applyAlignment="1">
      <alignment horizontal="center"/>
    </xf>
    <xf numFmtId="0" fontId="25" fillId="5" borderId="54" xfId="0" applyFont="1" applyFill="1" applyBorder="1"/>
    <xf numFmtId="0" fontId="47" fillId="0" borderId="55" xfId="0" applyFont="1" applyBorder="1" applyAlignment="1">
      <alignment horizontal="center"/>
    </xf>
    <xf numFmtId="0" fontId="47" fillId="0" borderId="56" xfId="0" applyFont="1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0" xfId="0" applyBorder="1"/>
    <xf numFmtId="0" fontId="0" fillId="0" borderId="61" xfId="0" applyBorder="1"/>
    <xf numFmtId="0" fontId="0" fillId="0" borderId="63" xfId="0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0" fillId="0" borderId="64" xfId="0" applyBorder="1" applyAlignment="1">
      <alignment horizontal="center"/>
    </xf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48" fillId="0" borderId="0" xfId="0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67" xfId="0" applyBorder="1"/>
    <xf numFmtId="0" fontId="0" fillId="0" borderId="68" xfId="0" applyBorder="1"/>
    <xf numFmtId="0" fontId="44" fillId="0" borderId="5" xfId="3" applyFont="1" applyBorder="1" applyAlignment="1">
      <alignment horizontal="left"/>
    </xf>
    <xf numFmtId="49" fontId="5" fillId="0" borderId="0" xfId="3" applyNumberFormat="1" applyFont="1" applyAlignment="1">
      <alignment horizontal="center"/>
    </xf>
    <xf numFmtId="0" fontId="0" fillId="6" borderId="0" xfId="0" applyFill="1"/>
    <xf numFmtId="0" fontId="51" fillId="0" borderId="0" xfId="0" applyFont="1"/>
    <xf numFmtId="0" fontId="3" fillId="0" borderId="7" xfId="3" applyFont="1" applyBorder="1" applyAlignment="1">
      <alignment horizontal="center"/>
    </xf>
    <xf numFmtId="0" fontId="3" fillId="0" borderId="9" xfId="3" applyFont="1" applyBorder="1" applyAlignment="1">
      <alignment horizontal="center" vertical="center"/>
    </xf>
    <xf numFmtId="0" fontId="3" fillId="0" borderId="7" xfId="3" applyFont="1" applyBorder="1" applyAlignment="1">
      <alignment horizontal="center" vertical="center"/>
    </xf>
    <xf numFmtId="0" fontId="3" fillId="0" borderId="2" xfId="3" applyFont="1" applyBorder="1" applyAlignment="1">
      <alignment horizontal="center" vertical="center"/>
    </xf>
    <xf numFmtId="0" fontId="2" fillId="0" borderId="2" xfId="2" applyFont="1" applyBorder="1" applyAlignment="1">
      <alignment horizontal="center"/>
    </xf>
    <xf numFmtId="0" fontId="39" fillId="0" borderId="5" xfId="2" applyFont="1" applyBorder="1" applyAlignment="1">
      <alignment horizontal="center" vertical="center"/>
    </xf>
    <xf numFmtId="0" fontId="39" fillId="0" borderId="0" xfId="2" applyFont="1" applyAlignment="1">
      <alignment horizontal="center" vertical="center"/>
    </xf>
    <xf numFmtId="0" fontId="7" fillId="0" borderId="0" xfId="2" applyFont="1"/>
    <xf numFmtId="0" fontId="52" fillId="0" borderId="30" xfId="0" applyFont="1" applyBorder="1"/>
    <xf numFmtId="0" fontId="52" fillId="0" borderId="29" xfId="0" applyFont="1" applyBorder="1"/>
    <xf numFmtId="0" fontId="52" fillId="0" borderId="0" xfId="0" applyFont="1"/>
    <xf numFmtId="0" fontId="0" fillId="7" borderId="0" xfId="0" applyFill="1"/>
    <xf numFmtId="0" fontId="2" fillId="0" borderId="2" xfId="2" applyFont="1" applyBorder="1" applyAlignment="1">
      <alignment horizontal="center" vertical="center"/>
    </xf>
    <xf numFmtId="0" fontId="10" fillId="0" borderId="2" xfId="2" applyBorder="1" applyAlignment="1">
      <alignment horizontal="center" vertical="center"/>
    </xf>
    <xf numFmtId="20" fontId="3" fillId="0" borderId="9" xfId="3" applyNumberFormat="1" applyFont="1" applyBorder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0" fontId="42" fillId="8" borderId="0" xfId="0" applyFont="1" applyFill="1"/>
    <xf numFmtId="0" fontId="40" fillId="0" borderId="33" xfId="0" applyFont="1" applyBorder="1" applyAlignment="1">
      <alignment horizontal="center" vertical="top"/>
    </xf>
    <xf numFmtId="0" fontId="40" fillId="0" borderId="34" xfId="0" applyFont="1" applyBorder="1" applyAlignment="1">
      <alignment horizontal="center" vertical="top"/>
    </xf>
    <xf numFmtId="0" fontId="39" fillId="0" borderId="28" xfId="4" quotePrefix="1" applyFont="1" applyBorder="1" applyAlignment="1">
      <alignment horizontal="center" vertical="top"/>
    </xf>
    <xf numFmtId="0" fontId="39" fillId="0" borderId="30" xfId="4" quotePrefix="1" applyFont="1" applyBorder="1" applyAlignment="1">
      <alignment horizontal="center" vertical="top"/>
    </xf>
    <xf numFmtId="49" fontId="39" fillId="0" borderId="33" xfId="4" quotePrefix="1" applyNumberFormat="1" applyFont="1" applyBorder="1" applyAlignment="1">
      <alignment horizontal="center" vertical="top"/>
    </xf>
    <xf numFmtId="49" fontId="39" fillId="0" borderId="34" xfId="4" quotePrefix="1" applyNumberFormat="1" applyFont="1" applyBorder="1" applyAlignment="1">
      <alignment horizontal="center" vertical="top"/>
    </xf>
    <xf numFmtId="49" fontId="37" fillId="0" borderId="33" xfId="0" applyNumberFormat="1" applyFont="1" applyBorder="1" applyAlignment="1">
      <alignment horizontal="center" vertical="top"/>
    </xf>
    <xf numFmtId="49" fontId="37" fillId="0" borderId="34" xfId="0" applyNumberFormat="1" applyFont="1" applyBorder="1" applyAlignment="1">
      <alignment horizontal="center" vertical="top"/>
    </xf>
    <xf numFmtId="20" fontId="0" fillId="0" borderId="30" xfId="0" applyNumberFormat="1" applyBorder="1" applyAlignment="1">
      <alignment horizontal="center"/>
    </xf>
    <xf numFmtId="20" fontId="0" fillId="0" borderId="28" xfId="0" applyNumberFormat="1" applyBorder="1" applyAlignment="1">
      <alignment horizontal="center"/>
    </xf>
    <xf numFmtId="0" fontId="38" fillId="0" borderId="29" xfId="0" applyFont="1" applyBorder="1" applyAlignment="1">
      <alignment horizontal="left"/>
    </xf>
    <xf numFmtId="0" fontId="38" fillId="0" borderId="28" xfId="0" applyFont="1" applyBorder="1" applyAlignment="1">
      <alignment horizontal="left"/>
    </xf>
    <xf numFmtId="0" fontId="38" fillId="0" borderId="30" xfId="0" applyFont="1" applyBorder="1" applyAlignment="1">
      <alignment horizontal="left"/>
    </xf>
    <xf numFmtId="20" fontId="0" fillId="0" borderId="6" xfId="0" applyNumberFormat="1" applyBorder="1" applyAlignment="1">
      <alignment horizontal="center"/>
    </xf>
    <xf numFmtId="0" fontId="53" fillId="0" borderId="28" xfId="0" applyFont="1" applyBorder="1" applyAlignment="1">
      <alignment horizontal="left"/>
    </xf>
    <xf numFmtId="0" fontId="53" fillId="0" borderId="29" xfId="0" applyFont="1" applyBorder="1" applyAlignment="1">
      <alignment horizontal="left"/>
    </xf>
    <xf numFmtId="0" fontId="53" fillId="0" borderId="30" xfId="0" applyFont="1" applyBorder="1" applyAlignment="1">
      <alignment horizontal="left"/>
    </xf>
    <xf numFmtId="0" fontId="33" fillId="0" borderId="20" xfId="0" applyFont="1" applyBorder="1" applyAlignment="1">
      <alignment horizontal="left"/>
    </xf>
    <xf numFmtId="0" fontId="33" fillId="0" borderId="21" xfId="0" applyFont="1" applyBorder="1" applyAlignment="1">
      <alignment horizontal="left"/>
    </xf>
    <xf numFmtId="0" fontId="33" fillId="0" borderId="22" xfId="0" applyFont="1" applyBorder="1" applyAlignment="1">
      <alignment horizontal="left"/>
    </xf>
    <xf numFmtId="0" fontId="34" fillId="0" borderId="20" xfId="0" applyFont="1" applyBorder="1" applyAlignment="1">
      <alignment horizontal="center" vertical="center"/>
    </xf>
    <xf numFmtId="0" fontId="34" fillId="0" borderId="21" xfId="0" applyFont="1" applyBorder="1" applyAlignment="1">
      <alignment horizontal="center" vertical="center"/>
    </xf>
    <xf numFmtId="0" fontId="34" fillId="0" borderId="22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5" fillId="0" borderId="23" xfId="0" applyFont="1" applyBorder="1" applyAlignment="1">
      <alignment horizontal="left"/>
    </xf>
    <xf numFmtId="0" fontId="15" fillId="0" borderId="0" xfId="0" applyFont="1" applyAlignment="1">
      <alignment horizontal="left"/>
    </xf>
    <xf numFmtId="0" fontId="15" fillId="0" borderId="24" xfId="0" applyFont="1" applyBorder="1" applyAlignment="1">
      <alignment horizontal="left"/>
    </xf>
    <xf numFmtId="0" fontId="35" fillId="0" borderId="23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center" vertical="center" wrapText="1"/>
    </xf>
    <xf numFmtId="0" fontId="35" fillId="0" borderId="26" xfId="0" applyFont="1" applyBorder="1" applyAlignment="1">
      <alignment horizontal="center" vertical="center" wrapText="1"/>
    </xf>
    <xf numFmtId="0" fontId="35" fillId="0" borderId="27" xfId="0" applyFont="1" applyBorder="1" applyAlignment="1">
      <alignment horizontal="center" vertical="center" wrapText="1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6" fillId="0" borderId="28" xfId="4" quotePrefix="1" applyFont="1" applyBorder="1" applyAlignment="1">
      <alignment horizontal="center"/>
    </xf>
    <xf numFmtId="0" fontId="6" fillId="0" borderId="30" xfId="4" quotePrefix="1" applyFont="1" applyBorder="1" applyAlignment="1">
      <alignment horizontal="center"/>
    </xf>
    <xf numFmtId="0" fontId="27" fillId="0" borderId="31" xfId="4" quotePrefix="1" applyBorder="1" applyAlignment="1">
      <alignment horizontal="center" vertical="center"/>
    </xf>
    <xf numFmtId="0" fontId="27" fillId="0" borderId="32" xfId="4" quotePrefix="1" applyBorder="1" applyAlignment="1">
      <alignment horizontal="center" vertical="center"/>
    </xf>
    <xf numFmtId="0" fontId="27" fillId="0" borderId="42" xfId="4" quotePrefix="1" applyBorder="1" applyAlignment="1">
      <alignment horizontal="center" vertical="center"/>
    </xf>
    <xf numFmtId="0" fontId="41" fillId="0" borderId="20" xfId="4" quotePrefix="1" applyFont="1" applyBorder="1" applyAlignment="1">
      <alignment horizontal="center" vertical="center"/>
    </xf>
    <xf numFmtId="0" fontId="41" fillId="0" borderId="21" xfId="4" quotePrefix="1" applyFont="1" applyBorder="1" applyAlignment="1">
      <alignment horizontal="center" vertical="center"/>
    </xf>
    <xf numFmtId="0" fontId="41" fillId="0" borderId="22" xfId="4" quotePrefix="1" applyFont="1" applyBorder="1" applyAlignment="1">
      <alignment horizontal="center" vertical="center"/>
    </xf>
    <xf numFmtId="0" fontId="41" fillId="0" borderId="23" xfId="4" quotePrefix="1" applyFont="1" applyBorder="1" applyAlignment="1">
      <alignment horizontal="center" vertical="center"/>
    </xf>
    <xf numFmtId="0" fontId="41" fillId="0" borderId="0" xfId="4" quotePrefix="1" applyFont="1" applyAlignment="1">
      <alignment horizontal="center" vertical="center"/>
    </xf>
    <xf numFmtId="0" fontId="41" fillId="0" borderId="24" xfId="4" quotePrefix="1" applyFont="1" applyBorder="1" applyAlignment="1">
      <alignment horizontal="center" vertical="center"/>
    </xf>
    <xf numFmtId="0" fontId="41" fillId="0" borderId="43" xfId="4" quotePrefix="1" applyFont="1" applyBorder="1" applyAlignment="1">
      <alignment horizontal="center" vertical="center"/>
    </xf>
    <xf numFmtId="0" fontId="41" fillId="0" borderId="44" xfId="4" quotePrefix="1" applyFont="1" applyBorder="1" applyAlignment="1">
      <alignment horizontal="center" vertical="center"/>
    </xf>
    <xf numFmtId="0" fontId="41" fillId="0" borderId="45" xfId="4" quotePrefix="1" applyFont="1" applyBorder="1" applyAlignment="1">
      <alignment horizontal="center" vertical="center"/>
    </xf>
    <xf numFmtId="0" fontId="36" fillId="0" borderId="20" xfId="4" applyFont="1" applyBorder="1" applyAlignment="1">
      <alignment horizontal="center" vertical="center"/>
    </xf>
    <xf numFmtId="0" fontId="36" fillId="0" borderId="22" xfId="4" applyFont="1" applyBorder="1" applyAlignment="1">
      <alignment horizontal="center" vertical="center"/>
    </xf>
    <xf numFmtId="0" fontId="36" fillId="0" borderId="23" xfId="4" applyFont="1" applyBorder="1" applyAlignment="1">
      <alignment horizontal="center" vertical="center"/>
    </xf>
    <xf numFmtId="0" fontId="36" fillId="0" borderId="24" xfId="4" applyFont="1" applyBorder="1" applyAlignment="1">
      <alignment horizontal="center" vertical="center"/>
    </xf>
    <xf numFmtId="0" fontId="36" fillId="0" borderId="43" xfId="4" applyFont="1" applyBorder="1" applyAlignment="1">
      <alignment horizontal="center" vertical="center"/>
    </xf>
    <xf numFmtId="0" fontId="36" fillId="0" borderId="45" xfId="4" applyFont="1" applyBorder="1" applyAlignment="1">
      <alignment horizontal="center" vertical="center"/>
    </xf>
    <xf numFmtId="0" fontId="6" fillId="0" borderId="28" xfId="4" applyFont="1" applyBorder="1" applyAlignment="1">
      <alignment horizontal="center"/>
    </xf>
    <xf numFmtId="0" fontId="6" fillId="0" borderId="29" xfId="4" applyFont="1" applyBorder="1" applyAlignment="1">
      <alignment horizontal="center"/>
    </xf>
    <xf numFmtId="0" fontId="6" fillId="0" borderId="30" xfId="4" applyFont="1" applyBorder="1" applyAlignment="1">
      <alignment horizontal="center"/>
    </xf>
    <xf numFmtId="0" fontId="8" fillId="0" borderId="20" xfId="4" applyFont="1" applyBorder="1" applyAlignment="1">
      <alignment horizontal="center" vertical="center"/>
    </xf>
    <xf numFmtId="0" fontId="8" fillId="0" borderId="22" xfId="4" applyFont="1" applyBorder="1" applyAlignment="1">
      <alignment horizontal="center" vertical="center"/>
    </xf>
    <xf numFmtId="0" fontId="8" fillId="0" borderId="23" xfId="4" applyFont="1" applyBorder="1" applyAlignment="1">
      <alignment horizontal="center" vertical="center"/>
    </xf>
    <xf numFmtId="0" fontId="8" fillId="0" borderId="24" xfId="4" applyFont="1" applyBorder="1" applyAlignment="1">
      <alignment horizontal="center" vertical="center"/>
    </xf>
    <xf numFmtId="0" fontId="8" fillId="0" borderId="43" xfId="4" applyFont="1" applyBorder="1" applyAlignment="1">
      <alignment horizontal="center" vertical="center"/>
    </xf>
    <xf numFmtId="0" fontId="8" fillId="0" borderId="45" xfId="4" applyFont="1" applyBorder="1" applyAlignment="1">
      <alignment horizontal="center" vertical="center"/>
    </xf>
    <xf numFmtId="0" fontId="27" fillId="0" borderId="46" xfId="4" quotePrefix="1" applyBorder="1" applyAlignment="1">
      <alignment horizontal="center" vertical="center"/>
    </xf>
    <xf numFmtId="0" fontId="41" fillId="0" borderId="47" xfId="4" quotePrefix="1" applyFont="1" applyBorder="1" applyAlignment="1">
      <alignment horizontal="center" vertical="center"/>
    </xf>
    <xf numFmtId="0" fontId="41" fillId="0" borderId="48" xfId="4" quotePrefix="1" applyFont="1" applyBorder="1" applyAlignment="1">
      <alignment horizontal="center" vertical="center"/>
    </xf>
    <xf numFmtId="0" fontId="41" fillId="0" borderId="49" xfId="4" quotePrefix="1" applyFont="1" applyBorder="1" applyAlignment="1">
      <alignment horizontal="center" vertical="center"/>
    </xf>
    <xf numFmtId="0" fontId="39" fillId="0" borderId="40" xfId="4" quotePrefix="1" applyFont="1" applyBorder="1" applyAlignment="1">
      <alignment horizontal="center" vertical="top"/>
    </xf>
    <xf numFmtId="0" fontId="39" fillId="0" borderId="41" xfId="4" quotePrefix="1" applyFont="1" applyBorder="1" applyAlignment="1">
      <alignment horizontal="center" vertical="top"/>
    </xf>
    <xf numFmtId="0" fontId="36" fillId="0" borderId="47" xfId="4" applyFont="1" applyBorder="1" applyAlignment="1">
      <alignment horizontal="center" vertical="center"/>
    </xf>
    <xf numFmtId="0" fontId="36" fillId="0" borderId="49" xfId="4" applyFont="1" applyBorder="1" applyAlignment="1">
      <alignment horizontal="center" vertical="center"/>
    </xf>
    <xf numFmtId="0" fontId="8" fillId="0" borderId="47" xfId="4" applyFont="1" applyBorder="1" applyAlignment="1">
      <alignment horizontal="center" vertical="center"/>
    </xf>
    <xf numFmtId="0" fontId="8" fillId="0" borderId="49" xfId="4" applyFont="1" applyBorder="1" applyAlignment="1">
      <alignment horizontal="center" vertical="center"/>
    </xf>
    <xf numFmtId="49" fontId="40" fillId="0" borderId="33" xfId="0" applyNumberFormat="1" applyFont="1" applyBorder="1" applyAlignment="1">
      <alignment horizontal="center" vertical="top"/>
    </xf>
    <xf numFmtId="49" fontId="40" fillId="0" borderId="34" xfId="0" applyNumberFormat="1" applyFont="1" applyBorder="1" applyAlignment="1">
      <alignment horizontal="center" vertical="top"/>
    </xf>
    <xf numFmtId="0" fontId="27" fillId="0" borderId="50" xfId="4" quotePrefix="1" applyBorder="1" applyAlignment="1">
      <alignment horizontal="center" vertical="center"/>
    </xf>
    <xf numFmtId="0" fontId="27" fillId="0" borderId="39" xfId="4" quotePrefix="1" applyBorder="1" applyAlignment="1">
      <alignment horizontal="center" vertical="center"/>
    </xf>
    <xf numFmtId="0" fontId="27" fillId="0" borderId="51" xfId="4" quotePrefix="1" applyBorder="1" applyAlignment="1">
      <alignment horizontal="center" vertical="center"/>
    </xf>
    <xf numFmtId="0" fontId="32" fillId="0" borderId="25" xfId="0" applyFont="1" applyBorder="1" applyAlignment="1">
      <alignment horizontal="center"/>
    </xf>
    <xf numFmtId="0" fontId="32" fillId="0" borderId="27" xfId="0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26" xfId="0" applyFont="1" applyBorder="1" applyAlignment="1">
      <alignment horizontal="center"/>
    </xf>
    <xf numFmtId="0" fontId="41" fillId="0" borderId="47" xfId="4" quotePrefix="1" applyFont="1" applyBorder="1" applyAlignment="1">
      <alignment horizontal="center" vertical="center" wrapText="1"/>
    </xf>
    <xf numFmtId="0" fontId="41" fillId="0" borderId="48" xfId="4" quotePrefix="1" applyFont="1" applyBorder="1" applyAlignment="1">
      <alignment horizontal="center" vertical="center" wrapText="1"/>
    </xf>
    <xf numFmtId="0" fontId="41" fillId="0" borderId="49" xfId="4" quotePrefix="1" applyFont="1" applyBorder="1" applyAlignment="1">
      <alignment horizontal="center" vertical="center" wrapText="1"/>
    </xf>
    <xf numFmtId="0" fontId="41" fillId="0" borderId="23" xfId="4" quotePrefix="1" applyFont="1" applyBorder="1" applyAlignment="1">
      <alignment horizontal="center" vertical="center" wrapText="1"/>
    </xf>
    <xf numFmtId="0" fontId="41" fillId="0" borderId="0" xfId="4" quotePrefix="1" applyFont="1" applyAlignment="1">
      <alignment horizontal="center" vertical="center" wrapText="1"/>
    </xf>
    <xf numFmtId="0" fontId="41" fillId="0" borderId="24" xfId="4" quotePrefix="1" applyFont="1" applyBorder="1" applyAlignment="1">
      <alignment horizontal="center" vertical="center" wrapText="1"/>
    </xf>
    <xf numFmtId="0" fontId="41" fillId="0" borderId="43" xfId="4" quotePrefix="1" applyFont="1" applyBorder="1" applyAlignment="1">
      <alignment horizontal="center" vertical="center" wrapText="1"/>
    </xf>
    <xf numFmtId="0" fontId="41" fillId="0" borderId="44" xfId="4" quotePrefix="1" applyFont="1" applyBorder="1" applyAlignment="1">
      <alignment horizontal="center" vertical="center" wrapText="1"/>
    </xf>
    <xf numFmtId="0" fontId="41" fillId="0" borderId="45" xfId="4" quotePrefix="1" applyFont="1" applyBorder="1" applyAlignment="1">
      <alignment horizontal="center" vertical="center" wrapText="1"/>
    </xf>
    <xf numFmtId="0" fontId="0" fillId="0" borderId="4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49" fontId="39" fillId="0" borderId="30" xfId="4" quotePrefix="1" applyNumberFormat="1" applyFont="1" applyBorder="1" applyAlignment="1">
      <alignment horizontal="center" vertical="top"/>
    </xf>
    <xf numFmtId="49" fontId="39" fillId="0" borderId="28" xfId="4" quotePrefix="1" applyNumberFormat="1" applyFont="1" applyBorder="1" applyAlignment="1">
      <alignment horizontal="center" vertical="top"/>
    </xf>
    <xf numFmtId="0" fontId="42" fillId="0" borderId="26" xfId="0" applyFont="1" applyBorder="1" applyAlignment="1">
      <alignment horizontal="center" vertical="top"/>
    </xf>
    <xf numFmtId="0" fontId="42" fillId="0" borderId="28" xfId="0" applyFont="1" applyBorder="1" applyAlignment="1">
      <alignment horizontal="center" vertical="top"/>
    </xf>
    <xf numFmtId="0" fontId="42" fillId="0" borderId="30" xfId="0" applyFont="1" applyBorder="1" applyAlignment="1">
      <alignment horizontal="center" vertical="top"/>
    </xf>
    <xf numFmtId="0" fontId="42" fillId="0" borderId="29" xfId="0" applyFont="1" applyBorder="1" applyAlignment="1">
      <alignment horizontal="center" vertical="top"/>
    </xf>
    <xf numFmtId="0" fontId="48" fillId="0" borderId="57" xfId="0" applyFont="1" applyBorder="1" applyAlignment="1">
      <alignment horizontal="center" vertical="center" wrapText="1"/>
    </xf>
    <xf numFmtId="0" fontId="48" fillId="0" borderId="62" xfId="0" applyFont="1" applyBorder="1" applyAlignment="1">
      <alignment horizontal="center" vertical="center" wrapText="1"/>
    </xf>
    <xf numFmtId="0" fontId="49" fillId="0" borderId="60" xfId="0" applyFont="1" applyBorder="1" applyAlignment="1">
      <alignment horizontal="center"/>
    </xf>
    <xf numFmtId="0" fontId="49" fillId="0" borderId="61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0" xfId="0" applyAlignment="1">
      <alignment horizontal="left" vertical="center"/>
    </xf>
    <xf numFmtId="49" fontId="3" fillId="0" borderId="8" xfId="3" applyNumberFormat="1" applyFont="1" applyBorder="1" applyAlignment="1">
      <alignment horizontal="center" vertical="center"/>
    </xf>
    <xf numFmtId="49" fontId="3" fillId="0" borderId="9" xfId="3" applyNumberFormat="1" applyFont="1" applyBorder="1" applyAlignment="1">
      <alignment horizontal="center" vertical="center"/>
    </xf>
    <xf numFmtId="49" fontId="3" fillId="0" borderId="10" xfId="3" applyNumberFormat="1" applyFont="1" applyBorder="1" applyAlignment="1">
      <alignment horizontal="center" vertical="center"/>
    </xf>
    <xf numFmtId="0" fontId="3" fillId="0" borderId="8" xfId="3" applyFont="1" applyBorder="1" applyAlignment="1">
      <alignment horizontal="left" vertical="center"/>
    </xf>
    <xf numFmtId="0" fontId="3" fillId="0" borderId="9" xfId="3" applyFont="1" applyBorder="1" applyAlignment="1">
      <alignment horizontal="left" vertical="center"/>
    </xf>
    <xf numFmtId="0" fontId="3" fillId="0" borderId="10" xfId="3" applyFont="1" applyBorder="1" applyAlignment="1">
      <alignment horizontal="left" vertical="center"/>
    </xf>
    <xf numFmtId="0" fontId="3" fillId="0" borderId="12" xfId="3" applyFont="1" applyBorder="1" applyAlignment="1">
      <alignment horizontal="center" vertical="center"/>
    </xf>
    <xf numFmtId="0" fontId="3" fillId="0" borderId="7" xfId="3" applyFont="1" applyBorder="1" applyAlignment="1">
      <alignment horizontal="center" vertical="center"/>
    </xf>
    <xf numFmtId="0" fontId="3" fillId="0" borderId="13" xfId="3" applyFont="1" applyBorder="1" applyAlignment="1">
      <alignment horizontal="center" vertical="center"/>
    </xf>
    <xf numFmtId="0" fontId="3" fillId="0" borderId="8" xfId="3" applyFont="1" applyBorder="1" applyAlignment="1">
      <alignment horizontal="center" vertical="center"/>
    </xf>
    <xf numFmtId="0" fontId="3" fillId="0" borderId="9" xfId="3" applyFont="1" applyBorder="1" applyAlignment="1">
      <alignment horizontal="center" vertical="center"/>
    </xf>
    <xf numFmtId="0" fontId="3" fillId="0" borderId="10" xfId="3" applyFont="1" applyBorder="1" applyAlignment="1">
      <alignment horizontal="center" vertical="center"/>
    </xf>
    <xf numFmtId="0" fontId="3" fillId="0" borderId="14" xfId="3" applyFont="1" applyBorder="1" applyAlignment="1">
      <alignment horizontal="center" vertical="center"/>
    </xf>
    <xf numFmtId="0" fontId="5" fillId="0" borderId="5" xfId="3" applyFont="1" applyBorder="1" applyAlignment="1">
      <alignment horizontal="center" vertical="center"/>
    </xf>
    <xf numFmtId="0" fontId="5" fillId="0" borderId="11" xfId="3" applyFont="1" applyBorder="1" applyAlignment="1">
      <alignment horizontal="center" vertical="center"/>
    </xf>
    <xf numFmtId="0" fontId="5" fillId="0" borderId="7" xfId="3" applyFont="1" applyBorder="1" applyAlignment="1">
      <alignment horizontal="right"/>
    </xf>
    <xf numFmtId="0" fontId="3" fillId="0" borderId="12" xfId="3" applyFont="1" applyBorder="1" applyAlignment="1">
      <alignment horizontal="center"/>
    </xf>
    <xf numFmtId="0" fontId="3" fillId="0" borderId="7" xfId="3" applyFont="1" applyBorder="1" applyAlignment="1">
      <alignment horizontal="center"/>
    </xf>
    <xf numFmtId="0" fontId="5" fillId="0" borderId="8" xfId="3" applyFont="1" applyBorder="1" applyAlignment="1">
      <alignment horizontal="center" vertical="center"/>
    </xf>
    <xf numFmtId="0" fontId="5" fillId="0" borderId="10" xfId="3" applyFont="1" applyBorder="1" applyAlignment="1">
      <alignment horizontal="center" vertical="center"/>
    </xf>
    <xf numFmtId="0" fontId="3" fillId="0" borderId="8" xfId="3" applyFont="1" applyBorder="1" applyAlignment="1">
      <alignment horizontal="center"/>
    </xf>
    <xf numFmtId="0" fontId="3" fillId="0" borderId="10" xfId="3" applyFont="1" applyBorder="1" applyAlignment="1">
      <alignment horizontal="center"/>
    </xf>
    <xf numFmtId="0" fontId="19" fillId="0" borderId="0" xfId="3" applyFont="1" applyAlignment="1">
      <alignment horizontal="left"/>
    </xf>
    <xf numFmtId="0" fontId="5" fillId="0" borderId="9" xfId="3" applyFont="1" applyBorder="1" applyAlignment="1">
      <alignment horizontal="center" vertical="center"/>
    </xf>
    <xf numFmtId="0" fontId="5" fillId="0" borderId="5" xfId="3" applyFont="1" applyBorder="1" applyAlignment="1">
      <alignment horizontal="center"/>
    </xf>
    <xf numFmtId="0" fontId="5" fillId="0" borderId="0" xfId="3" applyFont="1" applyAlignment="1">
      <alignment horizontal="left"/>
    </xf>
    <xf numFmtId="0" fontId="20" fillId="0" borderId="7" xfId="3" applyFont="1" applyBorder="1" applyAlignment="1">
      <alignment horizontal="center"/>
    </xf>
    <xf numFmtId="14" fontId="5" fillId="0" borderId="0" xfId="3" applyNumberFormat="1" applyFont="1" applyAlignment="1">
      <alignment horizontal="left"/>
    </xf>
    <xf numFmtId="20" fontId="5" fillId="0" borderId="0" xfId="3" applyNumberFormat="1" applyFont="1" applyAlignment="1">
      <alignment horizontal="left"/>
    </xf>
    <xf numFmtId="0" fontId="5" fillId="0" borderId="5" xfId="3" applyFont="1" applyBorder="1" applyAlignment="1">
      <alignment horizontal="left"/>
    </xf>
    <xf numFmtId="0" fontId="5" fillId="4" borderId="5" xfId="3" applyFont="1" applyFill="1" applyBorder="1" applyAlignment="1">
      <alignment horizontal="left"/>
    </xf>
    <xf numFmtId="0" fontId="3" fillId="0" borderId="5" xfId="3" applyFont="1" applyBorder="1" applyAlignment="1">
      <alignment horizontal="center" vertical="center"/>
    </xf>
    <xf numFmtId="0" fontId="3" fillId="0" borderId="11" xfId="3" applyFont="1" applyBorder="1" applyAlignment="1">
      <alignment horizontal="center" vertical="center"/>
    </xf>
    <xf numFmtId="0" fontId="1" fillId="0" borderId="0" xfId="1" applyFont="1" applyAlignment="1">
      <alignment horizontal="center" vertical="center"/>
    </xf>
    <xf numFmtId="0" fontId="7" fillId="0" borderId="2" xfId="2" applyFont="1" applyBorder="1" applyAlignment="1">
      <alignment horizontal="center" vertical="center"/>
    </xf>
    <xf numFmtId="0" fontId="7" fillId="0" borderId="8" xfId="2" applyFont="1" applyBorder="1" applyAlignment="1">
      <alignment horizontal="center" vertical="center"/>
    </xf>
    <xf numFmtId="0" fontId="7" fillId="0" borderId="10" xfId="2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18" fillId="0" borderId="4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16" fillId="0" borderId="2" xfId="2" applyFont="1" applyBorder="1" applyAlignment="1">
      <alignment horizontal="center" vertical="center"/>
    </xf>
    <xf numFmtId="0" fontId="17" fillId="0" borderId="2" xfId="2" applyFont="1" applyBorder="1" applyAlignment="1">
      <alignment horizontal="center" vertical="center"/>
    </xf>
    <xf numFmtId="0" fontId="10" fillId="0" borderId="2" xfId="2" applyBorder="1" applyAlignment="1">
      <alignment vertical="center"/>
    </xf>
    <xf numFmtId="0" fontId="2" fillId="0" borderId="2" xfId="2" applyFont="1" applyBorder="1" applyAlignment="1">
      <alignment horizontal="center" vertical="center"/>
    </xf>
    <xf numFmtId="0" fontId="2" fillId="0" borderId="2" xfId="2" applyFont="1" applyBorder="1" applyAlignment="1">
      <alignment horizontal="center"/>
    </xf>
    <xf numFmtId="0" fontId="10" fillId="0" borderId="2" xfId="2" applyBorder="1" applyAlignment="1">
      <alignment horizontal="center" vertical="center"/>
    </xf>
    <xf numFmtId="0" fontId="10" fillId="0" borderId="2" xfId="2" applyBorder="1" applyAlignment="1">
      <alignment horizontal="center"/>
    </xf>
    <xf numFmtId="15" fontId="2" fillId="0" borderId="0" xfId="1" applyNumberFormat="1" applyFont="1" applyAlignment="1">
      <alignment horizontal="right"/>
    </xf>
    <xf numFmtId="15" fontId="2" fillId="0" borderId="0" xfId="1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10" fillId="0" borderId="2" xfId="2" applyBorder="1"/>
    <xf numFmtId="0" fontId="43" fillId="0" borderId="2" xfId="2" applyFont="1" applyBorder="1" applyAlignment="1">
      <alignment horizontal="center"/>
    </xf>
    <xf numFmtId="0" fontId="0" fillId="0" borderId="0" xfId="0" applyAlignment="1">
      <alignment horizontal="center"/>
    </xf>
  </cellXfs>
  <cellStyles count="6">
    <cellStyle name="Normaallaad 2" xfId="2" xr:uid="{00000000-0005-0000-0000-000000000000}"/>
    <cellStyle name="Normaallaad 2 2" xfId="5" xr:uid="{00000000-0005-0000-0000-000001000000}"/>
    <cellStyle name="Normal" xfId="0" builtinId="0"/>
    <cellStyle name="Normal 2" xfId="4" xr:uid="{00000000-0005-0000-0000-000003000000}"/>
    <cellStyle name="Normal_Eesti VMV08-algtabelid-v6 2" xfId="1" xr:uid="{00000000-0005-0000-0000-000004000000}"/>
    <cellStyle name="Normal_Protokoll" xfId="3" xr:uid="{00000000-0005-0000-0000-000005000000}"/>
  </cellStyles>
  <dxfs count="171"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vellner\Downloads\Allar\Lauatennis\Osalejad%20detsember.xlsx" TargetMode="External"/><Relationship Id="rId1" Type="http://schemas.openxmlformats.org/officeDocument/2006/relationships/externalLinkPath" Target="/Users/avellner/Downloads/Allar/Lauatennis/Osalejad%20detsemb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Osalejad"/>
      <sheetName val="Sheet1"/>
      <sheetName val="Sheet5"/>
      <sheetName val="Sheet4"/>
    </sheetNames>
    <sheetDataSet>
      <sheetData sheetId="0" refreshError="1">
        <row r="1">
          <cell r="A1" t="str">
            <v>FIRSTNAME FAMNAME</v>
          </cell>
          <cell r="B1" t="str">
            <v>PERSONID</v>
          </cell>
        </row>
        <row r="2">
          <cell r="A2" t="str">
            <v>VIKTOR ŠABANIN</v>
          </cell>
          <cell r="B2">
            <v>400</v>
          </cell>
        </row>
        <row r="3">
          <cell r="A3" t="str">
            <v>MIHAIL ŠABANOV</v>
          </cell>
          <cell r="B3">
            <v>5477</v>
          </cell>
        </row>
        <row r="4">
          <cell r="A4" t="str">
            <v>KSENIJA ŠABELNIKOVA</v>
          </cell>
          <cell r="B4">
            <v>5567</v>
          </cell>
        </row>
        <row r="5">
          <cell r="A5" t="str">
            <v>GENNADI ŠABUROV</v>
          </cell>
          <cell r="B5">
            <v>8645</v>
          </cell>
        </row>
        <row r="6">
          <cell r="A6" t="str">
            <v>RUSTAM ŠAKMAJEV</v>
          </cell>
          <cell r="B6">
            <v>8037</v>
          </cell>
        </row>
        <row r="7">
          <cell r="A7" t="str">
            <v>SERGEI ŠAMANKO</v>
          </cell>
          <cell r="B7">
            <v>8183</v>
          </cell>
        </row>
        <row r="8">
          <cell r="A8" t="str">
            <v>KIRILL ŠAPIRO</v>
          </cell>
          <cell r="B8">
            <v>6016</v>
          </cell>
        </row>
        <row r="9">
          <cell r="A9" t="str">
            <v>POLINA ŠAPOŠNIKOVA</v>
          </cell>
          <cell r="B9">
            <v>5117</v>
          </cell>
        </row>
        <row r="10">
          <cell r="A10" t="str">
            <v>ROMAN ŠARAPOV</v>
          </cell>
          <cell r="B10">
            <v>7597</v>
          </cell>
        </row>
        <row r="11">
          <cell r="A11" t="str">
            <v>KSENJA ŠARIMOVA</v>
          </cell>
          <cell r="B11">
            <v>5267</v>
          </cell>
        </row>
        <row r="12">
          <cell r="A12" t="str">
            <v>VLADIMIR ŠASTIN</v>
          </cell>
          <cell r="B12">
            <v>7758</v>
          </cell>
        </row>
        <row r="13">
          <cell r="A13" t="str">
            <v>OTT ŠEFFER</v>
          </cell>
          <cell r="B13">
            <v>3000</v>
          </cell>
        </row>
        <row r="14">
          <cell r="A14" t="str">
            <v>OLEG ŠEIKIN</v>
          </cell>
          <cell r="B14">
            <v>2983</v>
          </cell>
        </row>
        <row r="15">
          <cell r="A15" t="str">
            <v>JULIA ŠELIHH</v>
          </cell>
          <cell r="B15">
            <v>113</v>
          </cell>
        </row>
        <row r="16">
          <cell r="A16" t="str">
            <v>GINTAUTAS ŠEPKAUSKAS</v>
          </cell>
          <cell r="B16">
            <v>10762</v>
          </cell>
        </row>
        <row r="17">
          <cell r="A17" t="str">
            <v>DMITRI ŠERSTJUK</v>
          </cell>
          <cell r="B17">
            <v>5522</v>
          </cell>
        </row>
        <row r="18">
          <cell r="A18" t="str">
            <v>VALERIA ŠETINKINA</v>
          </cell>
          <cell r="B18">
            <v>2900</v>
          </cell>
        </row>
        <row r="19">
          <cell r="A19" t="str">
            <v>DANIIL ŠEVTSOV</v>
          </cell>
          <cell r="B19">
            <v>9228</v>
          </cell>
        </row>
        <row r="20">
          <cell r="A20" t="str">
            <v>ANASTASSIA ŠEVTSOVA</v>
          </cell>
          <cell r="B20">
            <v>7592</v>
          </cell>
        </row>
        <row r="21">
          <cell r="A21" t="str">
            <v>JEKATERINA ŠEVTSOVA</v>
          </cell>
          <cell r="B21">
            <v>9679</v>
          </cell>
        </row>
        <row r="22">
          <cell r="A22" t="str">
            <v>KRISTINA ŠEVTSOVA</v>
          </cell>
          <cell r="B22">
            <v>114</v>
          </cell>
        </row>
        <row r="23">
          <cell r="A23" t="str">
            <v>GERDA ŠIŠANOVAITE</v>
          </cell>
          <cell r="B23">
            <v>9434</v>
          </cell>
        </row>
        <row r="24">
          <cell r="A24" t="str">
            <v>IGNAS ŠIŠANOVAS</v>
          </cell>
          <cell r="B24">
            <v>9421</v>
          </cell>
        </row>
        <row r="25">
          <cell r="A25" t="str">
            <v>JURIS ŠILINŠ</v>
          </cell>
          <cell r="B25">
            <v>2256</v>
          </cell>
        </row>
        <row r="26">
          <cell r="A26" t="str">
            <v>VLADIMIR ŠILKOV</v>
          </cell>
          <cell r="B26">
            <v>7292</v>
          </cell>
        </row>
        <row r="27">
          <cell r="A27" t="str">
            <v>DARJA ŠILOVA</v>
          </cell>
          <cell r="B27">
            <v>5381</v>
          </cell>
        </row>
        <row r="28">
          <cell r="A28" t="str">
            <v>MARKO ŠIMANIS</v>
          </cell>
          <cell r="B28">
            <v>8980</v>
          </cell>
        </row>
        <row r="29">
          <cell r="A29" t="str">
            <v>SERGEI ŠIMANSKI</v>
          </cell>
          <cell r="B29">
            <v>5588</v>
          </cell>
        </row>
        <row r="30">
          <cell r="A30" t="str">
            <v>SERGEI ŠIMANSKI</v>
          </cell>
          <cell r="B30">
            <v>5589</v>
          </cell>
        </row>
        <row r="31">
          <cell r="A31" t="str">
            <v>OSKARS ŠIMELIS</v>
          </cell>
          <cell r="B31">
            <v>7207</v>
          </cell>
        </row>
        <row r="32">
          <cell r="A32" t="str">
            <v>DANAS ŠIMKUS</v>
          </cell>
          <cell r="B32">
            <v>8612</v>
          </cell>
        </row>
        <row r="33">
          <cell r="A33" t="str">
            <v>ALEKSEI ŠININ</v>
          </cell>
          <cell r="B33">
            <v>9157</v>
          </cell>
        </row>
        <row r="34">
          <cell r="A34" t="str">
            <v>ANTON ŠINKARJOV</v>
          </cell>
          <cell r="B34">
            <v>7999</v>
          </cell>
        </row>
        <row r="35">
          <cell r="A35" t="str">
            <v>SERGEI ŠINKORENKO</v>
          </cell>
          <cell r="B35">
            <v>8984</v>
          </cell>
        </row>
        <row r="36">
          <cell r="A36" t="str">
            <v>JEGOR ŠIPILOV</v>
          </cell>
          <cell r="B36">
            <v>3888</v>
          </cell>
        </row>
        <row r="37">
          <cell r="A37" t="str">
            <v>ARSENII ŠIRAI</v>
          </cell>
          <cell r="B37">
            <v>10203</v>
          </cell>
        </row>
        <row r="38">
          <cell r="A38" t="str">
            <v>MARINA ŠIRAI</v>
          </cell>
          <cell r="B38">
            <v>2284</v>
          </cell>
        </row>
        <row r="39">
          <cell r="A39" t="str">
            <v>MAIKE MONA ŠIRINOV</v>
          </cell>
          <cell r="B39">
            <v>2807</v>
          </cell>
        </row>
        <row r="40">
          <cell r="A40" t="str">
            <v>TATJANA ŠKALIKOVA</v>
          </cell>
          <cell r="B40">
            <v>115</v>
          </cell>
        </row>
        <row r="41">
          <cell r="A41" t="str">
            <v>ADELINA ŠKLJAR</v>
          </cell>
          <cell r="B41">
            <v>3053</v>
          </cell>
        </row>
        <row r="42">
          <cell r="A42" t="str">
            <v>MAKSIM ŠKLJAROV</v>
          </cell>
          <cell r="B42">
            <v>3652</v>
          </cell>
        </row>
        <row r="43">
          <cell r="A43" t="str">
            <v>URTĖ ŠLIAUTERYTĖ</v>
          </cell>
          <cell r="B43">
            <v>9673</v>
          </cell>
        </row>
        <row r="44">
          <cell r="A44" t="str">
            <v>JEVGENI ŠMÕKOV</v>
          </cell>
          <cell r="B44">
            <v>8502</v>
          </cell>
        </row>
        <row r="45">
          <cell r="A45" t="str">
            <v>KIRILL ŠMELJOV</v>
          </cell>
          <cell r="B45">
            <v>3936</v>
          </cell>
        </row>
        <row r="46">
          <cell r="A46" t="str">
            <v>ILJA ŠMIGELSKI</v>
          </cell>
          <cell r="B46">
            <v>9026</v>
          </cell>
        </row>
        <row r="47">
          <cell r="A47" t="str">
            <v>MARK-RENE ŠMITS</v>
          </cell>
          <cell r="B47">
            <v>3400</v>
          </cell>
        </row>
        <row r="48">
          <cell r="A48" t="str">
            <v>PAUL ŠOR</v>
          </cell>
          <cell r="B48">
            <v>10446</v>
          </cell>
        </row>
        <row r="49">
          <cell r="A49" t="str">
            <v>POLINA ŠORNIKOVA</v>
          </cell>
          <cell r="B49">
            <v>8005</v>
          </cell>
        </row>
        <row r="50">
          <cell r="A50" t="str">
            <v>ARTUR ŠTŠETININ</v>
          </cell>
          <cell r="B50">
            <v>5380</v>
          </cell>
        </row>
        <row r="51">
          <cell r="A51" t="str">
            <v>ANNA ŠTŠIPALKINA</v>
          </cell>
          <cell r="B51">
            <v>9041</v>
          </cell>
        </row>
        <row r="52">
          <cell r="A52" t="str">
            <v>NOJUS ŠTILINIS</v>
          </cell>
          <cell r="B52">
            <v>8442</v>
          </cell>
        </row>
        <row r="53">
          <cell r="A53" t="str">
            <v>DMITRI ŠUBIKOV</v>
          </cell>
          <cell r="B53">
            <v>5139</v>
          </cell>
        </row>
        <row r="54">
          <cell r="A54" t="str">
            <v>ANDREI ŠUBIN</v>
          </cell>
          <cell r="B54">
            <v>9472</v>
          </cell>
        </row>
        <row r="55">
          <cell r="A55" t="str">
            <v>VITALI ŠUDEGOV</v>
          </cell>
          <cell r="B55">
            <v>6278</v>
          </cell>
        </row>
        <row r="56">
          <cell r="A56" t="str">
            <v>AVO ŠULTS</v>
          </cell>
          <cell r="B56">
            <v>8898</v>
          </cell>
        </row>
        <row r="57">
          <cell r="A57" t="str">
            <v>KASPAR ŠULTS</v>
          </cell>
          <cell r="B57">
            <v>8752</v>
          </cell>
        </row>
        <row r="58">
          <cell r="A58" t="str">
            <v>JULIA ŠUMILOVA</v>
          </cell>
          <cell r="B58">
            <v>7003</v>
          </cell>
        </row>
        <row r="59">
          <cell r="A59" t="str">
            <v>MAKSIM ŠUPILOV</v>
          </cell>
          <cell r="B59">
            <v>9235</v>
          </cell>
        </row>
        <row r="60">
          <cell r="A60" t="str">
            <v>MAKAR ŠURÕGIN</v>
          </cell>
          <cell r="B60">
            <v>10561</v>
          </cell>
        </row>
        <row r="61">
          <cell r="A61" t="str">
            <v>MARGARITA ŠURMINA</v>
          </cell>
          <cell r="B61">
            <v>10598</v>
          </cell>
        </row>
        <row r="62">
          <cell r="A62" t="str">
            <v>MARINA ŠURMINA</v>
          </cell>
          <cell r="B62">
            <v>10597</v>
          </cell>
        </row>
        <row r="63">
          <cell r="A63" t="str">
            <v>EGOR ŠURNIN</v>
          </cell>
          <cell r="B63">
            <v>10058</v>
          </cell>
        </row>
        <row r="64">
          <cell r="A64" t="str">
            <v>ARTUR ŠUTOV</v>
          </cell>
          <cell r="B64">
            <v>9231</v>
          </cell>
        </row>
        <row r="65">
          <cell r="A65" t="str">
            <v>MARGUS ŠVETS</v>
          </cell>
          <cell r="B65">
            <v>7505</v>
          </cell>
        </row>
        <row r="66">
          <cell r="A66" t="str">
            <v>MARI-ANN ÖÖBIK</v>
          </cell>
          <cell r="B66">
            <v>4726</v>
          </cell>
        </row>
        <row r="67">
          <cell r="A67" t="str">
            <v>PAUL ÖÖBIK</v>
          </cell>
          <cell r="B67">
            <v>2638</v>
          </cell>
        </row>
        <row r="68">
          <cell r="A68" t="str">
            <v>CECELIA ÖNNBERG</v>
          </cell>
          <cell r="B68">
            <v>2320</v>
          </cell>
        </row>
        <row r="69">
          <cell r="A69" t="str">
            <v>OLLE ÅBERG</v>
          </cell>
          <cell r="B69">
            <v>9749</v>
          </cell>
        </row>
        <row r="70">
          <cell r="A70" t="str">
            <v>OLIVER ÄMARIK</v>
          </cell>
          <cell r="B70">
            <v>1585</v>
          </cell>
        </row>
        <row r="71">
          <cell r="A71" t="str">
            <v>OLMER ÕIGUS</v>
          </cell>
          <cell r="B71">
            <v>6009</v>
          </cell>
        </row>
        <row r="72">
          <cell r="A72" t="str">
            <v>TOOMAS ÕIGUS</v>
          </cell>
          <cell r="B72">
            <v>4868</v>
          </cell>
        </row>
        <row r="73">
          <cell r="A73" t="str">
            <v>IMRE ÕIM</v>
          </cell>
          <cell r="B73">
            <v>9540</v>
          </cell>
        </row>
        <row r="74">
          <cell r="A74" t="str">
            <v>MIKK KAAREL ÕIM</v>
          </cell>
          <cell r="B74">
            <v>9800</v>
          </cell>
        </row>
        <row r="75">
          <cell r="A75" t="str">
            <v>ARNE ÕISMAA</v>
          </cell>
          <cell r="B75">
            <v>7125</v>
          </cell>
        </row>
        <row r="76">
          <cell r="A76" t="str">
            <v>AARO ÕISMETS</v>
          </cell>
          <cell r="B76">
            <v>3014</v>
          </cell>
        </row>
        <row r="77">
          <cell r="A77" t="str">
            <v>MARIELL ÕISMETS</v>
          </cell>
          <cell r="B77">
            <v>8009</v>
          </cell>
        </row>
        <row r="78">
          <cell r="A78" t="str">
            <v>RAIVO ÕISMETS</v>
          </cell>
          <cell r="B78">
            <v>7812</v>
          </cell>
        </row>
        <row r="79">
          <cell r="A79" t="str">
            <v>TRINITY ÕISMETS</v>
          </cell>
          <cell r="B79">
            <v>5037</v>
          </cell>
        </row>
        <row r="80">
          <cell r="A80" t="str">
            <v>GRETE ÕISPUU</v>
          </cell>
          <cell r="B80">
            <v>4636</v>
          </cell>
        </row>
        <row r="81">
          <cell r="A81" t="str">
            <v>GRETE ÕITSPUU</v>
          </cell>
          <cell r="B81">
            <v>9565</v>
          </cell>
        </row>
        <row r="82">
          <cell r="A82" t="str">
            <v>KRISTO ÕITSPUU</v>
          </cell>
          <cell r="B82">
            <v>3344</v>
          </cell>
        </row>
        <row r="83">
          <cell r="A83" t="str">
            <v>ANTTI ÕNG</v>
          </cell>
          <cell r="B83">
            <v>1337</v>
          </cell>
        </row>
        <row r="84">
          <cell r="A84" t="str">
            <v>MADIS ÕNNIK</v>
          </cell>
          <cell r="B84">
            <v>478</v>
          </cell>
        </row>
        <row r="85">
          <cell r="A85" t="str">
            <v>MARTIN ÕNNIK</v>
          </cell>
          <cell r="B85">
            <v>479</v>
          </cell>
        </row>
        <row r="86">
          <cell r="A86" t="str">
            <v>ELLE ÕUN</v>
          </cell>
          <cell r="B86">
            <v>142</v>
          </cell>
        </row>
        <row r="87">
          <cell r="A87" t="str">
            <v>RAIT ÕUN</v>
          </cell>
          <cell r="B87">
            <v>2191</v>
          </cell>
        </row>
        <row r="88">
          <cell r="A88" t="str">
            <v>RANDO ÕUN</v>
          </cell>
          <cell r="B88">
            <v>2185</v>
          </cell>
        </row>
        <row r="89">
          <cell r="A89" t="str">
            <v>TIIT ÕUN</v>
          </cell>
          <cell r="B89">
            <v>5674</v>
          </cell>
        </row>
        <row r="90">
          <cell r="A90" t="str">
            <v>MAIROLD ÕUNAMÄGI</v>
          </cell>
          <cell r="B90">
            <v>8970</v>
          </cell>
        </row>
        <row r="91">
          <cell r="A91" t="str">
            <v>MAREK ÕUNAMÄGI</v>
          </cell>
          <cell r="B91">
            <v>9128</v>
          </cell>
        </row>
        <row r="92">
          <cell r="A92" t="str">
            <v>VELLO ÕUNAP</v>
          </cell>
          <cell r="B92">
            <v>1938</v>
          </cell>
        </row>
        <row r="93">
          <cell r="A93" t="str">
            <v>ALDO ÕUNAPUU</v>
          </cell>
          <cell r="B93">
            <v>7198</v>
          </cell>
        </row>
        <row r="94">
          <cell r="A94" t="str">
            <v>ALLAR ÕUNAPUU</v>
          </cell>
          <cell r="B94">
            <v>2918</v>
          </cell>
        </row>
        <row r="95">
          <cell r="A95" t="str">
            <v>ANDRE ÕUNAPUU</v>
          </cell>
          <cell r="B95">
            <v>1922</v>
          </cell>
        </row>
        <row r="96">
          <cell r="A96" t="str">
            <v>HAINER ÕUNAPUU</v>
          </cell>
          <cell r="B96">
            <v>1474</v>
          </cell>
        </row>
        <row r="97">
          <cell r="A97" t="str">
            <v>HANNA ÕUNAPUU</v>
          </cell>
          <cell r="B97">
            <v>6147</v>
          </cell>
        </row>
        <row r="98">
          <cell r="A98" t="str">
            <v>HARLIIS ÕUNAPUU</v>
          </cell>
          <cell r="B98">
            <v>2542</v>
          </cell>
        </row>
        <row r="99">
          <cell r="A99" t="str">
            <v>JOOSEP ÕUNAPUU</v>
          </cell>
          <cell r="B99">
            <v>8660</v>
          </cell>
        </row>
        <row r="100">
          <cell r="A100" t="str">
            <v>KEVIN KARL ÕUNAPUU</v>
          </cell>
          <cell r="B100">
            <v>7670</v>
          </cell>
        </row>
        <row r="101">
          <cell r="A101" t="str">
            <v>MERIT ÕUNAPUU</v>
          </cell>
          <cell r="B101">
            <v>7673</v>
          </cell>
        </row>
        <row r="102">
          <cell r="A102" t="str">
            <v>SVEN ERIK ÕUNAPUU</v>
          </cell>
          <cell r="B102">
            <v>7669</v>
          </cell>
        </row>
        <row r="103">
          <cell r="A103" t="str">
            <v>TEET ÕUNAPUU</v>
          </cell>
          <cell r="B103">
            <v>2370</v>
          </cell>
        </row>
        <row r="104">
          <cell r="A104" t="str">
            <v>REIN ÕUNAS</v>
          </cell>
          <cell r="B104">
            <v>499</v>
          </cell>
        </row>
        <row r="105">
          <cell r="A105" t="str">
            <v>EDUARD ŽAGARAS</v>
          </cell>
          <cell r="B105">
            <v>8120</v>
          </cell>
        </row>
        <row r="106">
          <cell r="A106" t="str">
            <v>ANDREI ŽALNIN</v>
          </cell>
          <cell r="B106">
            <v>8375</v>
          </cell>
        </row>
        <row r="107">
          <cell r="A107" t="str">
            <v>DENISS ŽALNIN</v>
          </cell>
          <cell r="B107">
            <v>10818</v>
          </cell>
        </row>
        <row r="108">
          <cell r="A108" t="str">
            <v>MARIA ŽAVRONKOVA</v>
          </cell>
          <cell r="B108">
            <v>7923</v>
          </cell>
        </row>
        <row r="109">
          <cell r="A109" t="str">
            <v>ARTAS ŽIAUBERIS</v>
          </cell>
          <cell r="B109">
            <v>8562</v>
          </cell>
        </row>
        <row r="110">
          <cell r="A110" t="str">
            <v>JULIJA ŽIGNOVSKAJA</v>
          </cell>
          <cell r="B110">
            <v>10554</v>
          </cell>
        </row>
        <row r="111">
          <cell r="A111" t="str">
            <v>IVAN ŽIGNOVSKI</v>
          </cell>
          <cell r="B111">
            <v>10537</v>
          </cell>
        </row>
        <row r="112">
          <cell r="A112" t="str">
            <v>MELĀNIJA ŽIKARE</v>
          </cell>
          <cell r="B112">
            <v>10659</v>
          </cell>
        </row>
        <row r="113">
          <cell r="A113" t="str">
            <v>ANTANAS ŽILINSKAS</v>
          </cell>
          <cell r="B113">
            <v>7006</v>
          </cell>
        </row>
        <row r="114">
          <cell r="A114" t="str">
            <v>VLADIMIR ŽILKIN</v>
          </cell>
          <cell r="B114">
            <v>9199</v>
          </cell>
        </row>
        <row r="115">
          <cell r="A115" t="str">
            <v>JURI ŽIRJAKOV</v>
          </cell>
          <cell r="B115">
            <v>3937</v>
          </cell>
        </row>
        <row r="116">
          <cell r="A116" t="str">
            <v>ANASTASSIA ŽITKOVA</v>
          </cell>
          <cell r="B116">
            <v>10170</v>
          </cell>
        </row>
        <row r="117">
          <cell r="A117" t="str">
            <v>TATJANA ŽIVETJEVA</v>
          </cell>
          <cell r="B117">
            <v>139</v>
          </cell>
        </row>
        <row r="118">
          <cell r="A118" t="str">
            <v>JULIA ŽMURKO</v>
          </cell>
          <cell r="B118">
            <v>3932</v>
          </cell>
        </row>
        <row r="119">
          <cell r="A119" t="str">
            <v>HENRI ŽOLUDEV</v>
          </cell>
          <cell r="B119">
            <v>8748</v>
          </cell>
        </row>
        <row r="120">
          <cell r="A120" t="str">
            <v>ANDREI ŽUŽLOV</v>
          </cell>
          <cell r="B120">
            <v>6010</v>
          </cell>
        </row>
        <row r="121">
          <cell r="A121" t="str">
            <v>EDVINS ŽUGS</v>
          </cell>
          <cell r="B121">
            <v>8698</v>
          </cell>
        </row>
        <row r="122">
          <cell r="A122" t="str">
            <v>INA ŽUK</v>
          </cell>
          <cell r="B122">
            <v>7494</v>
          </cell>
        </row>
        <row r="123">
          <cell r="A123" t="str">
            <v>IGOR ŽUKOV</v>
          </cell>
          <cell r="B123">
            <v>5575</v>
          </cell>
        </row>
        <row r="124">
          <cell r="A124" t="str">
            <v>OLIVER AABRELDAAL</v>
          </cell>
          <cell r="B124">
            <v>10049</v>
          </cell>
        </row>
        <row r="125">
          <cell r="A125" t="str">
            <v>MARET AADE</v>
          </cell>
          <cell r="B125">
            <v>7700</v>
          </cell>
        </row>
        <row r="126">
          <cell r="A126" t="str">
            <v>ARGO AADLI</v>
          </cell>
          <cell r="B126">
            <v>4147</v>
          </cell>
        </row>
        <row r="127">
          <cell r="A127" t="str">
            <v>TOOMAS AADUSAAR</v>
          </cell>
          <cell r="B127">
            <v>5975</v>
          </cell>
        </row>
        <row r="128">
          <cell r="A128" t="str">
            <v>URMET AAL</v>
          </cell>
          <cell r="B128">
            <v>2339</v>
          </cell>
        </row>
        <row r="129">
          <cell r="A129" t="str">
            <v>NINA AALTONEN</v>
          </cell>
          <cell r="B129">
            <v>931</v>
          </cell>
        </row>
        <row r="130">
          <cell r="A130" t="str">
            <v>ARNE MARINO AARAS</v>
          </cell>
          <cell r="B130">
            <v>2220</v>
          </cell>
        </row>
        <row r="131">
          <cell r="A131" t="str">
            <v>TAURI AARDAM</v>
          </cell>
          <cell r="B131">
            <v>10356</v>
          </cell>
        </row>
        <row r="132">
          <cell r="A132" t="str">
            <v>JOONAS-MARK AARDEVÄLJA</v>
          </cell>
          <cell r="B132">
            <v>4149</v>
          </cell>
        </row>
        <row r="133">
          <cell r="A133" t="str">
            <v>MÄRTEN AARDEVÄLJA</v>
          </cell>
          <cell r="B133">
            <v>4148</v>
          </cell>
        </row>
        <row r="134">
          <cell r="A134" t="str">
            <v>SASS ALBERT AARE</v>
          </cell>
          <cell r="B134">
            <v>6164</v>
          </cell>
        </row>
        <row r="135">
          <cell r="A135" t="str">
            <v>MIHKEL AAREMÄE</v>
          </cell>
          <cell r="B135">
            <v>7444</v>
          </cell>
        </row>
        <row r="136">
          <cell r="A136" t="str">
            <v>SIRLI AARIK</v>
          </cell>
          <cell r="B136">
            <v>1044</v>
          </cell>
        </row>
        <row r="137">
          <cell r="A137" t="str">
            <v>MARTIN AARN</v>
          </cell>
          <cell r="B137">
            <v>9578</v>
          </cell>
        </row>
        <row r="138">
          <cell r="A138" t="str">
            <v>REIKO AARN</v>
          </cell>
          <cell r="B138">
            <v>10698</v>
          </cell>
        </row>
        <row r="139">
          <cell r="A139" t="str">
            <v>ALLAR AARNA</v>
          </cell>
          <cell r="B139">
            <v>5249</v>
          </cell>
        </row>
        <row r="140">
          <cell r="A140" t="str">
            <v>MAGNUS AARNA</v>
          </cell>
          <cell r="B140">
            <v>5351</v>
          </cell>
        </row>
        <row r="141">
          <cell r="A141" t="str">
            <v>MARKEL AARNA</v>
          </cell>
          <cell r="B141">
            <v>5593</v>
          </cell>
        </row>
        <row r="142">
          <cell r="A142" t="str">
            <v>SIGNY AARNA</v>
          </cell>
          <cell r="B142">
            <v>2432</v>
          </cell>
        </row>
        <row r="143">
          <cell r="A143" t="str">
            <v>TIMO AARNIO</v>
          </cell>
          <cell r="B143">
            <v>3418</v>
          </cell>
        </row>
        <row r="144">
          <cell r="A144" t="str">
            <v>ANDREAS ARMAS AAS</v>
          </cell>
          <cell r="B144">
            <v>10759</v>
          </cell>
        </row>
        <row r="145">
          <cell r="A145" t="str">
            <v>HANS AAS</v>
          </cell>
          <cell r="B145">
            <v>1326</v>
          </cell>
        </row>
        <row r="146">
          <cell r="A146" t="str">
            <v>MERJE AAS</v>
          </cell>
          <cell r="B146">
            <v>15</v>
          </cell>
        </row>
        <row r="147">
          <cell r="A147" t="str">
            <v>SIMON AAS</v>
          </cell>
          <cell r="B147">
            <v>1741</v>
          </cell>
        </row>
        <row r="148">
          <cell r="A148" t="str">
            <v>TARMO AAS</v>
          </cell>
          <cell r="B148">
            <v>4150</v>
          </cell>
        </row>
        <row r="149">
          <cell r="A149" t="str">
            <v>JANEL AASA</v>
          </cell>
          <cell r="B149">
            <v>4151</v>
          </cell>
        </row>
        <row r="150">
          <cell r="A150" t="str">
            <v>RASMUS AASALAID</v>
          </cell>
          <cell r="B150">
            <v>2148</v>
          </cell>
        </row>
        <row r="151">
          <cell r="A151" t="str">
            <v>MARTIN AASMA</v>
          </cell>
          <cell r="B151">
            <v>8623</v>
          </cell>
        </row>
        <row r="152">
          <cell r="A152" t="str">
            <v>SIIM AASMÄE</v>
          </cell>
          <cell r="B152">
            <v>8976</v>
          </cell>
        </row>
        <row r="153">
          <cell r="A153" t="str">
            <v>RASMUS AASNA</v>
          </cell>
          <cell r="B153">
            <v>9340</v>
          </cell>
        </row>
        <row r="154">
          <cell r="A154" t="str">
            <v>TÕNU AASNA</v>
          </cell>
          <cell r="B154">
            <v>9168</v>
          </cell>
        </row>
        <row r="155">
          <cell r="A155" t="str">
            <v>TARMO AAV</v>
          </cell>
          <cell r="B155">
            <v>3024</v>
          </cell>
        </row>
        <row r="156">
          <cell r="A156" t="str">
            <v>ANDRO AAVIK</v>
          </cell>
          <cell r="B156">
            <v>2781</v>
          </cell>
        </row>
        <row r="157">
          <cell r="A157" t="str">
            <v>MILDRED AAVIK</v>
          </cell>
          <cell r="B157">
            <v>1697</v>
          </cell>
        </row>
        <row r="158">
          <cell r="A158" t="str">
            <v>ALEX AAVISTE</v>
          </cell>
          <cell r="B158">
            <v>9853</v>
          </cell>
        </row>
        <row r="159">
          <cell r="A159" t="str">
            <v>SAMUEL ABAIJON-NURMISUO</v>
          </cell>
          <cell r="B159">
            <v>10580</v>
          </cell>
        </row>
        <row r="160">
          <cell r="A160" t="str">
            <v>LAURA ABARAVICIUTE</v>
          </cell>
          <cell r="B160">
            <v>9433</v>
          </cell>
        </row>
        <row r="161">
          <cell r="A161" t="str">
            <v>ANETTE ABEL</v>
          </cell>
          <cell r="B161">
            <v>7058</v>
          </cell>
        </row>
        <row r="162">
          <cell r="A162" t="str">
            <v>SANDER ABEL</v>
          </cell>
          <cell r="B162">
            <v>4986</v>
          </cell>
        </row>
        <row r="163">
          <cell r="A163" t="str">
            <v>ERIK ABERMANN</v>
          </cell>
          <cell r="B163">
            <v>7794</v>
          </cell>
        </row>
        <row r="164">
          <cell r="A164" t="str">
            <v>BOSE ABHIRUP</v>
          </cell>
          <cell r="B164">
            <v>9834</v>
          </cell>
        </row>
        <row r="165">
          <cell r="A165" t="str">
            <v>PRIIT ABIRAM</v>
          </cell>
          <cell r="B165">
            <v>4641</v>
          </cell>
        </row>
        <row r="166">
          <cell r="A166" t="str">
            <v>TEET ABIRAM</v>
          </cell>
          <cell r="B166">
            <v>4642</v>
          </cell>
        </row>
        <row r="167">
          <cell r="A167" t="str">
            <v>POLINA ABLIKOVA</v>
          </cell>
          <cell r="B167">
            <v>8230</v>
          </cell>
        </row>
        <row r="168">
          <cell r="A168" t="str">
            <v>EDGAR ABOLTÕN</v>
          </cell>
          <cell r="B168">
            <v>4152</v>
          </cell>
        </row>
        <row r="169">
          <cell r="A169" t="str">
            <v>BOLADZHI OSKAR ABOLURIN</v>
          </cell>
          <cell r="B169">
            <v>10140</v>
          </cell>
        </row>
        <row r="170">
          <cell r="A170" t="str">
            <v>MAX ABRAM</v>
          </cell>
          <cell r="B170">
            <v>1859</v>
          </cell>
        </row>
        <row r="171">
          <cell r="A171" t="str">
            <v>LEV ABRAMENKOV</v>
          </cell>
          <cell r="B171">
            <v>5984</v>
          </cell>
        </row>
        <row r="172">
          <cell r="A172" t="str">
            <v>BRUNO ABRAMOV</v>
          </cell>
          <cell r="B172">
            <v>3205</v>
          </cell>
        </row>
        <row r="173">
          <cell r="A173" t="str">
            <v>MAARIKA ABRAMOVA</v>
          </cell>
          <cell r="B173">
            <v>3509</v>
          </cell>
        </row>
        <row r="174">
          <cell r="A174" t="str">
            <v>MARIA ABRAMOVA</v>
          </cell>
          <cell r="B174">
            <v>7351</v>
          </cell>
        </row>
        <row r="175">
          <cell r="A175" t="str">
            <v>MARTIN ABRAMSON</v>
          </cell>
          <cell r="B175">
            <v>9276</v>
          </cell>
        </row>
        <row r="176">
          <cell r="A176" t="str">
            <v>VLADIMIR ABUSHKEVICH</v>
          </cell>
          <cell r="B176">
            <v>10588</v>
          </cell>
        </row>
        <row r="177">
          <cell r="A177" t="str">
            <v>ARINA ABUZOVA</v>
          </cell>
          <cell r="B177">
            <v>10007</v>
          </cell>
        </row>
        <row r="178">
          <cell r="A178" t="str">
            <v>CARLO ACCORSI</v>
          </cell>
          <cell r="B178">
            <v>3096</v>
          </cell>
        </row>
        <row r="179">
          <cell r="A179" t="str">
            <v>ŽYGIMANTAS ADAMONIS</v>
          </cell>
          <cell r="B179">
            <v>10224</v>
          </cell>
        </row>
        <row r="180">
          <cell r="A180" t="str">
            <v>MOTIEJUS ADAMONIS</v>
          </cell>
          <cell r="B180">
            <v>10225</v>
          </cell>
        </row>
        <row r="181">
          <cell r="A181" t="str">
            <v>VILTAUTĖ ADAMONYTE</v>
          </cell>
          <cell r="B181">
            <v>8780</v>
          </cell>
        </row>
        <row r="182">
          <cell r="A182" t="str">
            <v>ELIZAVETA ADAMOVA</v>
          </cell>
          <cell r="B182">
            <v>10075</v>
          </cell>
        </row>
        <row r="183">
          <cell r="A183" t="str">
            <v>ALARI ADAMSON</v>
          </cell>
          <cell r="B183">
            <v>3729</v>
          </cell>
        </row>
        <row r="184">
          <cell r="A184" t="str">
            <v>ALFRED ADAMSON</v>
          </cell>
          <cell r="B184">
            <v>8108</v>
          </cell>
        </row>
        <row r="185">
          <cell r="A185" t="str">
            <v>ANGELA ADAMSON</v>
          </cell>
          <cell r="B185">
            <v>2084</v>
          </cell>
        </row>
        <row r="186">
          <cell r="A186" t="str">
            <v>ERGO ADAMSON</v>
          </cell>
          <cell r="B186">
            <v>6986</v>
          </cell>
        </row>
        <row r="187">
          <cell r="A187" t="str">
            <v>ERKI ADAMSON</v>
          </cell>
          <cell r="B187">
            <v>1317</v>
          </cell>
        </row>
        <row r="188">
          <cell r="A188" t="str">
            <v>KATRIN ADAMSON</v>
          </cell>
          <cell r="B188">
            <v>9645</v>
          </cell>
        </row>
        <row r="189">
          <cell r="A189" t="str">
            <v>KERT ADAMSON</v>
          </cell>
          <cell r="B189">
            <v>4153</v>
          </cell>
        </row>
        <row r="190">
          <cell r="A190" t="str">
            <v>STELLA ADAMSON</v>
          </cell>
          <cell r="B190">
            <v>18</v>
          </cell>
        </row>
        <row r="191">
          <cell r="A191" t="str">
            <v>MAARJA-LUISA ADELMAN</v>
          </cell>
          <cell r="B191">
            <v>9166</v>
          </cell>
        </row>
        <row r="192">
          <cell r="A192" t="str">
            <v>ALEKSANDER ADER</v>
          </cell>
          <cell r="B192">
            <v>9879</v>
          </cell>
        </row>
        <row r="193">
          <cell r="A193" t="str">
            <v>GERDO ADLI</v>
          </cell>
          <cell r="B193">
            <v>10372</v>
          </cell>
        </row>
        <row r="194">
          <cell r="A194" t="str">
            <v>MARTIN ADLI</v>
          </cell>
          <cell r="B194">
            <v>1900</v>
          </cell>
        </row>
        <row r="195">
          <cell r="A195" t="str">
            <v>VELLO ADOBERG</v>
          </cell>
          <cell r="B195">
            <v>3672</v>
          </cell>
        </row>
        <row r="196">
          <cell r="A196" t="str">
            <v>GINTAUTAS ADOMAITIS</v>
          </cell>
          <cell r="B196">
            <v>10498</v>
          </cell>
        </row>
        <row r="197">
          <cell r="A197" t="str">
            <v>VAKARIS ADOMAITIS</v>
          </cell>
          <cell r="B197">
            <v>8014</v>
          </cell>
        </row>
        <row r="198">
          <cell r="A198" t="str">
            <v>ROMULDAS ADOMAUSKAS</v>
          </cell>
          <cell r="B198">
            <v>3529</v>
          </cell>
        </row>
        <row r="199">
          <cell r="A199" t="str">
            <v>EGLE ADOMELITE</v>
          </cell>
          <cell r="B199">
            <v>1929</v>
          </cell>
        </row>
        <row r="200">
          <cell r="A200" t="str">
            <v>LINA ADOMELYTE</v>
          </cell>
          <cell r="B200">
            <v>1261</v>
          </cell>
        </row>
        <row r="201">
          <cell r="A201" t="str">
            <v>CRISTINA ADUSON</v>
          </cell>
          <cell r="B201">
            <v>4643</v>
          </cell>
        </row>
        <row r="202">
          <cell r="A202" t="str">
            <v>VLADIMIR AERULOO</v>
          </cell>
          <cell r="B202">
            <v>1476</v>
          </cell>
        </row>
        <row r="203">
          <cell r="A203" t="str">
            <v>ÖZGÜN NIDAL AFALCAN</v>
          </cell>
          <cell r="B203">
            <v>9810</v>
          </cell>
        </row>
        <row r="204">
          <cell r="A204" t="str">
            <v>ELIZAVETA AFANASEVA</v>
          </cell>
          <cell r="B204">
            <v>9515</v>
          </cell>
        </row>
        <row r="205">
          <cell r="A205" t="str">
            <v>KATRIN AFANASJEV</v>
          </cell>
          <cell r="B205">
            <v>5534</v>
          </cell>
        </row>
        <row r="206">
          <cell r="A206" t="str">
            <v>KERT AFANASJEV</v>
          </cell>
          <cell r="B206">
            <v>5533</v>
          </cell>
        </row>
        <row r="207">
          <cell r="A207" t="str">
            <v>DIANA AFANASJEVA</v>
          </cell>
          <cell r="B207">
            <v>3730</v>
          </cell>
        </row>
        <row r="208">
          <cell r="A208" t="str">
            <v>NELLJA AFANASJEVA</v>
          </cell>
          <cell r="B208">
            <v>8615</v>
          </cell>
        </row>
        <row r="209">
          <cell r="A209" t="str">
            <v>IGOR AFONSKI</v>
          </cell>
          <cell r="B209">
            <v>2581</v>
          </cell>
        </row>
        <row r="210">
          <cell r="A210" t="str">
            <v>MAKSIM AGARKOV</v>
          </cell>
          <cell r="B210">
            <v>3101</v>
          </cell>
        </row>
        <row r="211">
          <cell r="A211" t="str">
            <v>VIKTORIJA AGEJEVA</v>
          </cell>
          <cell r="B211">
            <v>3708</v>
          </cell>
        </row>
        <row r="212">
          <cell r="A212" t="str">
            <v>JEVGENI AGNEVSIKOV</v>
          </cell>
          <cell r="B212">
            <v>1315</v>
          </cell>
        </row>
        <row r="213">
          <cell r="A213" t="str">
            <v>LIINA AGUR</v>
          </cell>
          <cell r="B213">
            <v>19</v>
          </cell>
        </row>
        <row r="214">
          <cell r="A214" t="str">
            <v>MARI AGUR</v>
          </cell>
          <cell r="B214">
            <v>524</v>
          </cell>
        </row>
        <row r="215">
          <cell r="A215" t="str">
            <v>RIIN AGUR</v>
          </cell>
          <cell r="B215">
            <v>4154</v>
          </cell>
        </row>
        <row r="216">
          <cell r="A216" t="str">
            <v>VLADISLAV AGURJANOVS</v>
          </cell>
          <cell r="B216">
            <v>1997</v>
          </cell>
        </row>
        <row r="217">
          <cell r="A217" t="str">
            <v>ARTUR AHHANEN</v>
          </cell>
          <cell r="B217">
            <v>2549</v>
          </cell>
        </row>
        <row r="218">
          <cell r="A218" t="str">
            <v>ARDI AHI</v>
          </cell>
          <cell r="B218">
            <v>8507</v>
          </cell>
        </row>
        <row r="219">
          <cell r="A219" t="str">
            <v>JARNO AHI</v>
          </cell>
          <cell r="B219">
            <v>3551</v>
          </cell>
        </row>
        <row r="220">
          <cell r="A220" t="str">
            <v>KSENJA AHMADZONOVA</v>
          </cell>
          <cell r="B220">
            <v>1502</v>
          </cell>
        </row>
        <row r="221">
          <cell r="A221" t="str">
            <v>EERO AHO</v>
          </cell>
          <cell r="B221">
            <v>2203</v>
          </cell>
        </row>
        <row r="222">
          <cell r="A222" t="str">
            <v>OTT AHONEN</v>
          </cell>
          <cell r="B222">
            <v>3556</v>
          </cell>
        </row>
        <row r="223">
          <cell r="A223" t="str">
            <v>INGMAR AIA</v>
          </cell>
          <cell r="B223">
            <v>5147</v>
          </cell>
        </row>
        <row r="224">
          <cell r="A224" t="str">
            <v>KALEV AIAR</v>
          </cell>
          <cell r="B224">
            <v>7499</v>
          </cell>
        </row>
        <row r="225">
          <cell r="A225" t="str">
            <v>HEIKKI AID</v>
          </cell>
          <cell r="B225">
            <v>10037</v>
          </cell>
        </row>
        <row r="226">
          <cell r="A226" t="str">
            <v>MARKUS AIDLA</v>
          </cell>
          <cell r="B226">
            <v>5895</v>
          </cell>
        </row>
        <row r="227">
          <cell r="A227" t="str">
            <v>KRISTJAN AIDNIK</v>
          </cell>
          <cell r="B227">
            <v>1158</v>
          </cell>
        </row>
        <row r="228">
          <cell r="A228" t="str">
            <v>MARTIN AIGRO</v>
          </cell>
          <cell r="B228">
            <v>10586</v>
          </cell>
        </row>
        <row r="229">
          <cell r="A229" t="str">
            <v>RALF AIGRO</v>
          </cell>
          <cell r="B229">
            <v>8675</v>
          </cell>
        </row>
        <row r="230">
          <cell r="A230" t="str">
            <v>JÜRI AILJAMAA</v>
          </cell>
          <cell r="B230">
            <v>148</v>
          </cell>
        </row>
        <row r="231">
          <cell r="A231" t="str">
            <v>TARMO AINSAAR</v>
          </cell>
          <cell r="B231">
            <v>6185</v>
          </cell>
        </row>
        <row r="232">
          <cell r="A232" t="str">
            <v>TALVI AINSAR</v>
          </cell>
          <cell r="B232">
            <v>8202</v>
          </cell>
        </row>
        <row r="233">
          <cell r="A233" t="str">
            <v>ELMAR AIZADA</v>
          </cell>
          <cell r="B233">
            <v>9642</v>
          </cell>
        </row>
        <row r="234">
          <cell r="A234" t="str">
            <v>ATS AIT</v>
          </cell>
          <cell r="B234">
            <v>2598</v>
          </cell>
        </row>
        <row r="235">
          <cell r="A235" t="str">
            <v>KASPAR AIT</v>
          </cell>
          <cell r="B235">
            <v>5046</v>
          </cell>
        </row>
        <row r="236">
          <cell r="A236" t="str">
            <v>VLADISLAV AIT</v>
          </cell>
          <cell r="B236">
            <v>8176</v>
          </cell>
        </row>
        <row r="237">
          <cell r="A237" t="str">
            <v>GUNNAR AJA</v>
          </cell>
          <cell r="B237">
            <v>5220</v>
          </cell>
        </row>
        <row r="238">
          <cell r="A238" t="str">
            <v>OTT AKENPÄRG</v>
          </cell>
          <cell r="B238">
            <v>8851</v>
          </cell>
        </row>
        <row r="239">
          <cell r="A239" t="str">
            <v>CARL AKERLIND</v>
          </cell>
          <cell r="B239">
            <v>1764</v>
          </cell>
        </row>
        <row r="240">
          <cell r="A240" t="str">
            <v>JERLAN AKHMETOV</v>
          </cell>
          <cell r="B240">
            <v>10731</v>
          </cell>
        </row>
        <row r="241">
          <cell r="A241" t="str">
            <v>IRINA AKIMKINA</v>
          </cell>
          <cell r="B241">
            <v>4956</v>
          </cell>
        </row>
        <row r="242">
          <cell r="A242" t="str">
            <v>ALESKSEI AKIMOV</v>
          </cell>
          <cell r="B242">
            <v>9439</v>
          </cell>
        </row>
        <row r="243">
          <cell r="A243" t="str">
            <v>ANDREI AKIMOV</v>
          </cell>
          <cell r="B243">
            <v>354</v>
          </cell>
        </row>
        <row r="244">
          <cell r="A244" t="str">
            <v>ILJA AKIMOV</v>
          </cell>
          <cell r="B244">
            <v>7631</v>
          </cell>
        </row>
        <row r="245">
          <cell r="A245" t="str">
            <v>KONSTANTIN AKIMOV</v>
          </cell>
          <cell r="B245">
            <v>7484</v>
          </cell>
        </row>
        <row r="246">
          <cell r="A246" t="str">
            <v>TIMO AKKANEN</v>
          </cell>
          <cell r="B246">
            <v>10156</v>
          </cell>
        </row>
        <row r="247">
          <cell r="A247" t="str">
            <v>GENNADI AKMAN</v>
          </cell>
          <cell r="B247">
            <v>1192</v>
          </cell>
        </row>
        <row r="248">
          <cell r="A248" t="str">
            <v>VLADIMIR AKSAKOV</v>
          </cell>
          <cell r="B248">
            <v>1310</v>
          </cell>
        </row>
        <row r="249">
          <cell r="A249" t="str">
            <v>KRISTIIN AKSALU</v>
          </cell>
          <cell r="B249">
            <v>8756</v>
          </cell>
        </row>
        <row r="250">
          <cell r="A250" t="str">
            <v>SIIM AKSALU</v>
          </cell>
          <cell r="B250">
            <v>1000</v>
          </cell>
        </row>
        <row r="251">
          <cell r="A251" t="str">
            <v>EINAR AKSEL</v>
          </cell>
          <cell r="B251">
            <v>5047</v>
          </cell>
        </row>
        <row r="252">
          <cell r="A252" t="str">
            <v>DENIS AKSELROD</v>
          </cell>
          <cell r="B252">
            <v>3731</v>
          </cell>
        </row>
        <row r="253">
          <cell r="A253" t="str">
            <v>MAKSIM AKSELROD</v>
          </cell>
          <cell r="B253">
            <v>7809</v>
          </cell>
        </row>
        <row r="254">
          <cell r="A254" t="str">
            <v>RIINA AKSENENKO</v>
          </cell>
          <cell r="B254">
            <v>2627</v>
          </cell>
        </row>
        <row r="255">
          <cell r="A255" t="str">
            <v>NIKITA AKSJONOV</v>
          </cell>
          <cell r="B255">
            <v>8121</v>
          </cell>
        </row>
        <row r="256">
          <cell r="A256" t="str">
            <v>EDA ALA</v>
          </cell>
          <cell r="B256">
            <v>1107</v>
          </cell>
        </row>
        <row r="257">
          <cell r="A257" t="str">
            <v>SIMAR ALAMA</v>
          </cell>
          <cell r="B257">
            <v>10244</v>
          </cell>
        </row>
        <row r="258">
          <cell r="A258" t="str">
            <v>STENMAR ALAMA</v>
          </cell>
          <cell r="B258">
            <v>10210</v>
          </cell>
        </row>
        <row r="259">
          <cell r="A259" t="str">
            <v>SVEN ALAMAA</v>
          </cell>
          <cell r="B259">
            <v>1094</v>
          </cell>
        </row>
        <row r="260">
          <cell r="A260" t="str">
            <v>LAURI ALAMETS</v>
          </cell>
          <cell r="B260">
            <v>4155</v>
          </cell>
        </row>
        <row r="261">
          <cell r="A261" t="str">
            <v>IVAN ALANŽI</v>
          </cell>
          <cell r="B261">
            <v>8594</v>
          </cell>
        </row>
        <row r="262">
          <cell r="A262" t="str">
            <v>CAROLINE ALANURM</v>
          </cell>
          <cell r="B262">
            <v>2721</v>
          </cell>
        </row>
        <row r="263">
          <cell r="A263" t="str">
            <v>KRISTIN ANETT ALASI</v>
          </cell>
          <cell r="B263">
            <v>6001</v>
          </cell>
        </row>
        <row r="264">
          <cell r="A264" t="str">
            <v>ELMAR DANIEL ALASOO</v>
          </cell>
          <cell r="B264">
            <v>5438</v>
          </cell>
        </row>
        <row r="265">
          <cell r="A265" t="str">
            <v>JARMO ALATARE</v>
          </cell>
          <cell r="B265">
            <v>1590</v>
          </cell>
        </row>
        <row r="266">
          <cell r="A266" t="str">
            <v>VERA ALEHANT</v>
          </cell>
          <cell r="B266">
            <v>5030</v>
          </cell>
        </row>
        <row r="267">
          <cell r="A267" t="str">
            <v>RUSLAN ALEJEV</v>
          </cell>
          <cell r="B267">
            <v>1024</v>
          </cell>
        </row>
        <row r="268">
          <cell r="A268" t="str">
            <v>ANTON ALEKNAVICIUS</v>
          </cell>
          <cell r="B268">
            <v>8099</v>
          </cell>
        </row>
        <row r="269">
          <cell r="A269" t="str">
            <v>KESTUTIS ALEKNAVICIUS</v>
          </cell>
          <cell r="B269">
            <v>8098</v>
          </cell>
        </row>
        <row r="270">
          <cell r="A270" t="str">
            <v>KATRIN ALEKNAVICIUTE</v>
          </cell>
          <cell r="B270">
            <v>2795</v>
          </cell>
        </row>
        <row r="271">
          <cell r="A271" t="str">
            <v>SALOVA ALEKSANDRA</v>
          </cell>
          <cell r="B271">
            <v>8950</v>
          </cell>
        </row>
        <row r="272">
          <cell r="A272" t="str">
            <v>LEONID ALEKSANDROV</v>
          </cell>
          <cell r="B272">
            <v>9787</v>
          </cell>
        </row>
        <row r="273">
          <cell r="A273" t="str">
            <v>MARIANNA ALEKSANDROVA</v>
          </cell>
          <cell r="B273">
            <v>7149</v>
          </cell>
        </row>
        <row r="274">
          <cell r="A274" t="str">
            <v>OLHA ALEKSANDROVA</v>
          </cell>
          <cell r="B274">
            <v>10827</v>
          </cell>
        </row>
        <row r="275">
          <cell r="A275" t="str">
            <v>VIKTORIA ALEKSANDROVITS</v>
          </cell>
          <cell r="B275">
            <v>2993</v>
          </cell>
        </row>
        <row r="276">
          <cell r="A276" t="str">
            <v>POLINA ALEKSEENKOVA</v>
          </cell>
          <cell r="B276">
            <v>7817</v>
          </cell>
        </row>
        <row r="277">
          <cell r="A277" t="str">
            <v>ARTEMI ALEKSEEV</v>
          </cell>
          <cell r="B277">
            <v>9446</v>
          </cell>
        </row>
        <row r="278">
          <cell r="A278" t="str">
            <v>LARISA ALEKSEJENKO</v>
          </cell>
          <cell r="B278">
            <v>9479</v>
          </cell>
        </row>
        <row r="279">
          <cell r="A279" t="str">
            <v>ARKADI ALEKSEJEV</v>
          </cell>
          <cell r="B279">
            <v>9534</v>
          </cell>
        </row>
        <row r="280">
          <cell r="A280" t="str">
            <v>DMITRI ALEKSEJEV</v>
          </cell>
          <cell r="B280">
            <v>1005</v>
          </cell>
        </row>
        <row r="281">
          <cell r="A281" t="str">
            <v>ROMAN ALEKSEJEV</v>
          </cell>
          <cell r="B281">
            <v>2456</v>
          </cell>
        </row>
        <row r="282">
          <cell r="A282" t="str">
            <v>VLADIMIR ALEKSEJEV</v>
          </cell>
          <cell r="B282">
            <v>1309</v>
          </cell>
        </row>
        <row r="283">
          <cell r="A283" t="str">
            <v>KSENIA ALEKSEJEVA</v>
          </cell>
          <cell r="B283">
            <v>4156</v>
          </cell>
        </row>
        <row r="284">
          <cell r="A284" t="str">
            <v>NATALIA ALEKSEJEVA</v>
          </cell>
          <cell r="B284">
            <v>2632</v>
          </cell>
        </row>
        <row r="285">
          <cell r="A285" t="str">
            <v>ANDREJS ALEKSEJEVS</v>
          </cell>
          <cell r="B285">
            <v>8333</v>
          </cell>
        </row>
        <row r="286">
          <cell r="A286" t="str">
            <v>DEIVIDAS ALEKSERIŪNAS</v>
          </cell>
          <cell r="B286">
            <v>8563</v>
          </cell>
        </row>
        <row r="287">
          <cell r="A287" t="str">
            <v>ARTJOM ALEKSIN</v>
          </cell>
          <cell r="B287">
            <v>403</v>
          </cell>
        </row>
        <row r="288">
          <cell r="A288" t="str">
            <v>SEVASTJAN ALEKSIN</v>
          </cell>
          <cell r="B288">
            <v>10382</v>
          </cell>
        </row>
        <row r="289">
          <cell r="A289" t="str">
            <v>AMELIJA ALEKSINA</v>
          </cell>
          <cell r="B289">
            <v>10209</v>
          </cell>
        </row>
        <row r="290">
          <cell r="A290" t="str">
            <v>JULIA ALEKSINA</v>
          </cell>
          <cell r="B290">
            <v>3546</v>
          </cell>
        </row>
        <row r="291">
          <cell r="A291" t="str">
            <v>ALEKSAS ALENINAS</v>
          </cell>
          <cell r="B291">
            <v>7210</v>
          </cell>
        </row>
        <row r="292">
          <cell r="A292" t="str">
            <v>ALARI ALEV</v>
          </cell>
          <cell r="B292">
            <v>3129</v>
          </cell>
        </row>
        <row r="293">
          <cell r="A293" t="str">
            <v>PAVEL ALFEROV</v>
          </cell>
          <cell r="B293">
            <v>4157</v>
          </cell>
        </row>
        <row r="294">
          <cell r="A294" t="str">
            <v>ELISE ALGO</v>
          </cell>
          <cell r="B294">
            <v>4158</v>
          </cell>
        </row>
        <row r="295">
          <cell r="A295" t="str">
            <v>KASPAR ALGO</v>
          </cell>
          <cell r="B295">
            <v>3075</v>
          </cell>
        </row>
        <row r="296">
          <cell r="A296" t="str">
            <v>SANDER ALGO</v>
          </cell>
          <cell r="B296">
            <v>1662</v>
          </cell>
        </row>
        <row r="297">
          <cell r="A297" t="str">
            <v>STEVEN ALGO</v>
          </cell>
          <cell r="B297">
            <v>1661</v>
          </cell>
        </row>
        <row r="298">
          <cell r="A298" t="str">
            <v>ANGELIKA ALGPEUS</v>
          </cell>
          <cell r="B298">
            <v>6108</v>
          </cell>
        </row>
        <row r="299">
          <cell r="A299" t="str">
            <v>MIHKEL ALGUS</v>
          </cell>
          <cell r="B299">
            <v>4729</v>
          </cell>
        </row>
        <row r="300">
          <cell r="A300" t="str">
            <v>ULIANA ALHOUSKAJA</v>
          </cell>
          <cell r="B300">
            <v>8321</v>
          </cell>
        </row>
        <row r="301">
          <cell r="A301" t="str">
            <v>BERIT ALITS</v>
          </cell>
          <cell r="B301">
            <v>925</v>
          </cell>
        </row>
        <row r="302">
          <cell r="A302" t="str">
            <v>BOSSE ALITS</v>
          </cell>
          <cell r="B302">
            <v>904</v>
          </cell>
        </row>
        <row r="303">
          <cell r="A303" t="str">
            <v>ANDRES ALJASTE</v>
          </cell>
          <cell r="B303">
            <v>5237</v>
          </cell>
        </row>
        <row r="304">
          <cell r="A304" t="str">
            <v>KRISTOPHER ALJASTE</v>
          </cell>
          <cell r="B304">
            <v>5193</v>
          </cell>
        </row>
        <row r="305">
          <cell r="A305" t="str">
            <v>ARVI ALL</v>
          </cell>
          <cell r="B305">
            <v>3094</v>
          </cell>
        </row>
        <row r="306">
          <cell r="A306" t="str">
            <v>TARMO ALL</v>
          </cell>
          <cell r="B306">
            <v>9687</v>
          </cell>
        </row>
        <row r="307">
          <cell r="A307" t="str">
            <v>ARNOLD ALLA</v>
          </cell>
          <cell r="B307">
            <v>2384</v>
          </cell>
        </row>
        <row r="308">
          <cell r="A308" t="str">
            <v>NADEZDA ALLA</v>
          </cell>
          <cell r="B308">
            <v>2021</v>
          </cell>
        </row>
        <row r="309">
          <cell r="A309" t="str">
            <v>ESTER ALLABERG</v>
          </cell>
          <cell r="B309">
            <v>7245</v>
          </cell>
        </row>
        <row r="310">
          <cell r="A310" t="str">
            <v>JAAK ALLAS</v>
          </cell>
          <cell r="B310">
            <v>495</v>
          </cell>
        </row>
        <row r="311">
          <cell r="A311" t="str">
            <v>RUSLAN ALLEJEV</v>
          </cell>
          <cell r="B311">
            <v>1467</v>
          </cell>
        </row>
        <row r="312">
          <cell r="A312" t="str">
            <v>ARTUR ALLESE</v>
          </cell>
          <cell r="B312">
            <v>10194</v>
          </cell>
        </row>
        <row r="313">
          <cell r="A313" t="str">
            <v>MARII ALLEV</v>
          </cell>
          <cell r="B313">
            <v>9664</v>
          </cell>
        </row>
        <row r="314">
          <cell r="A314" t="str">
            <v>AIMUR ALLIK</v>
          </cell>
          <cell r="B314">
            <v>3590</v>
          </cell>
        </row>
        <row r="315">
          <cell r="A315" t="str">
            <v>ALAR ALLIK</v>
          </cell>
          <cell r="B315">
            <v>6182</v>
          </cell>
        </row>
        <row r="316">
          <cell r="A316" t="str">
            <v>ANNIKA ALLIK</v>
          </cell>
          <cell r="B316">
            <v>4808</v>
          </cell>
        </row>
        <row r="317">
          <cell r="A317" t="str">
            <v>KAJA ALLIK</v>
          </cell>
          <cell r="B317">
            <v>8260</v>
          </cell>
        </row>
        <row r="318">
          <cell r="A318" t="str">
            <v>KERSI ALLIK</v>
          </cell>
          <cell r="B318">
            <v>4159</v>
          </cell>
        </row>
        <row r="319">
          <cell r="A319" t="str">
            <v>LIINA ALLIK</v>
          </cell>
          <cell r="B319">
            <v>1607</v>
          </cell>
        </row>
        <row r="320">
          <cell r="A320" t="str">
            <v>MIHKEL ALLIK</v>
          </cell>
          <cell r="B320">
            <v>8716</v>
          </cell>
        </row>
        <row r="321">
          <cell r="A321" t="str">
            <v>RUUDI ALLIK</v>
          </cell>
          <cell r="B321">
            <v>9932</v>
          </cell>
        </row>
        <row r="322">
          <cell r="A322" t="str">
            <v>WERNER ALLIK</v>
          </cell>
          <cell r="B322">
            <v>2315</v>
          </cell>
        </row>
        <row r="323">
          <cell r="A323" t="str">
            <v>ANDRUS ALLIKAS</v>
          </cell>
          <cell r="B323">
            <v>8703</v>
          </cell>
        </row>
        <row r="324">
          <cell r="A324" t="str">
            <v>GETLYN ALLIKIVI</v>
          </cell>
          <cell r="B324">
            <v>20</v>
          </cell>
        </row>
        <row r="325">
          <cell r="A325" t="str">
            <v>KALEV ALLIKIVI</v>
          </cell>
          <cell r="B325">
            <v>5292</v>
          </cell>
        </row>
        <row r="326">
          <cell r="A326" t="str">
            <v>OLIVER ALLIKMA</v>
          </cell>
          <cell r="B326">
            <v>2896</v>
          </cell>
        </row>
        <row r="327">
          <cell r="A327" t="str">
            <v>ANDRIS ALLIKOJA</v>
          </cell>
          <cell r="B327">
            <v>9217</v>
          </cell>
        </row>
        <row r="328">
          <cell r="A328" t="str">
            <v>ANDRUS ALLIKOJA</v>
          </cell>
          <cell r="B328">
            <v>149</v>
          </cell>
        </row>
        <row r="329">
          <cell r="A329" t="str">
            <v>JAANUS ALLIKOJA</v>
          </cell>
          <cell r="B329">
            <v>147</v>
          </cell>
        </row>
        <row r="330">
          <cell r="A330" t="str">
            <v>PEETER ALLIKOJA</v>
          </cell>
          <cell r="B330">
            <v>143</v>
          </cell>
        </row>
        <row r="331">
          <cell r="A331" t="str">
            <v>TIIU ALLIKOJA</v>
          </cell>
          <cell r="B331">
            <v>8353</v>
          </cell>
        </row>
        <row r="332">
          <cell r="A332" t="str">
            <v>LIVIA ALLIKSAAR</v>
          </cell>
          <cell r="B332">
            <v>5439</v>
          </cell>
        </row>
        <row r="333">
          <cell r="A333" t="str">
            <v>MALTIS ALLIKSOO</v>
          </cell>
          <cell r="B333">
            <v>1356</v>
          </cell>
        </row>
        <row r="334">
          <cell r="A334" t="str">
            <v>MARGUS ALLIKSOO</v>
          </cell>
          <cell r="B334">
            <v>1003</v>
          </cell>
        </row>
        <row r="335">
          <cell r="A335" t="str">
            <v>MATTIS ALLIKSOO</v>
          </cell>
          <cell r="B335">
            <v>5238</v>
          </cell>
        </row>
        <row r="336">
          <cell r="A336" t="str">
            <v>TEVIN ALLIKSOO</v>
          </cell>
          <cell r="B336">
            <v>9447</v>
          </cell>
        </row>
        <row r="337">
          <cell r="A337" t="str">
            <v>LAURI ALLMANN</v>
          </cell>
          <cell r="B337">
            <v>9549</v>
          </cell>
        </row>
        <row r="338">
          <cell r="A338" t="str">
            <v>RASMUS ALLMERE</v>
          </cell>
          <cell r="B338">
            <v>7887</v>
          </cell>
        </row>
        <row r="339">
          <cell r="A339" t="str">
            <v>GERLI ALLOS</v>
          </cell>
          <cell r="B339">
            <v>2843</v>
          </cell>
        </row>
        <row r="340">
          <cell r="A340" t="str">
            <v>KAIRE ALLVEE</v>
          </cell>
          <cell r="B340">
            <v>1976</v>
          </cell>
        </row>
        <row r="341">
          <cell r="A341" t="str">
            <v>NETA ALON</v>
          </cell>
          <cell r="B341">
            <v>8319</v>
          </cell>
        </row>
        <row r="342">
          <cell r="A342" t="str">
            <v>HENRI ALPIUS</v>
          </cell>
          <cell r="B342">
            <v>7342</v>
          </cell>
        </row>
        <row r="343">
          <cell r="A343" t="str">
            <v>KERSTIN ALPIUS</v>
          </cell>
          <cell r="B343">
            <v>7097</v>
          </cell>
        </row>
        <row r="344">
          <cell r="A344" t="str">
            <v>MARCOS ALTERMAN</v>
          </cell>
          <cell r="B344">
            <v>7896</v>
          </cell>
        </row>
        <row r="345">
          <cell r="A345" t="str">
            <v>ADELE ALTERMANN</v>
          </cell>
          <cell r="B345">
            <v>7823</v>
          </cell>
        </row>
        <row r="346">
          <cell r="A346" t="str">
            <v>RAIT ALTMÄE</v>
          </cell>
          <cell r="B346">
            <v>2981</v>
          </cell>
        </row>
        <row r="347">
          <cell r="A347" t="str">
            <v>RAUL ALTMÄE</v>
          </cell>
          <cell r="B347">
            <v>2982</v>
          </cell>
        </row>
        <row r="348">
          <cell r="A348" t="str">
            <v>ASTRA ALTOA</v>
          </cell>
          <cell r="B348">
            <v>21</v>
          </cell>
        </row>
        <row r="349">
          <cell r="A349" t="str">
            <v>HENRI ALTRAJA</v>
          </cell>
          <cell r="B349">
            <v>8513</v>
          </cell>
        </row>
        <row r="350">
          <cell r="A350" t="str">
            <v>VLADIMIR ALTUHHOV</v>
          </cell>
          <cell r="B350">
            <v>2497</v>
          </cell>
        </row>
        <row r="351">
          <cell r="A351" t="str">
            <v>MAE ALTVÄLJA</v>
          </cell>
          <cell r="B351">
            <v>2926</v>
          </cell>
        </row>
        <row r="352">
          <cell r="A352" t="str">
            <v>ARTJOM AMBERG</v>
          </cell>
          <cell r="B352">
            <v>7314</v>
          </cell>
        </row>
        <row r="353">
          <cell r="A353" t="str">
            <v>JELENA AMBERG</v>
          </cell>
          <cell r="B353">
            <v>22</v>
          </cell>
        </row>
        <row r="354">
          <cell r="A354" t="str">
            <v>TOOMAS AMBERG</v>
          </cell>
          <cell r="B354">
            <v>7696</v>
          </cell>
        </row>
        <row r="355">
          <cell r="A355" t="str">
            <v>MIREK AMBRE</v>
          </cell>
          <cell r="B355">
            <v>10196</v>
          </cell>
        </row>
        <row r="356">
          <cell r="A356" t="str">
            <v>NORMAN JAAK AMBRE</v>
          </cell>
          <cell r="B356">
            <v>5403</v>
          </cell>
        </row>
        <row r="357">
          <cell r="A357" t="str">
            <v>MART AMER</v>
          </cell>
          <cell r="B357">
            <v>4161</v>
          </cell>
        </row>
        <row r="358">
          <cell r="A358" t="str">
            <v>SIIM AKSEL AMER</v>
          </cell>
          <cell r="B358">
            <v>9689</v>
          </cell>
        </row>
        <row r="359">
          <cell r="A359" t="str">
            <v>REEMET AMMER</v>
          </cell>
          <cell r="B359">
            <v>8024</v>
          </cell>
        </row>
        <row r="360">
          <cell r="A360" t="str">
            <v>REMMET AMMER</v>
          </cell>
          <cell r="B360">
            <v>1939</v>
          </cell>
        </row>
        <row r="361">
          <cell r="A361" t="str">
            <v>VJATSESLAV AMOSOV</v>
          </cell>
          <cell r="B361">
            <v>9202</v>
          </cell>
        </row>
        <row r="362">
          <cell r="A362" t="str">
            <v>VICTOR AMSTRUP</v>
          </cell>
          <cell r="B362">
            <v>8140</v>
          </cell>
        </row>
        <row r="363">
          <cell r="A363" t="str">
            <v>EGOR ANANEV</v>
          </cell>
          <cell r="B363">
            <v>5653</v>
          </cell>
        </row>
        <row r="364">
          <cell r="A364" t="str">
            <v>VLADIMIR ANANEVITS</v>
          </cell>
          <cell r="B364">
            <v>3388</v>
          </cell>
        </row>
        <row r="365">
          <cell r="A365" t="str">
            <v>RASMUS ANBUS</v>
          </cell>
          <cell r="B365">
            <v>9013</v>
          </cell>
        </row>
        <row r="366">
          <cell r="A366" t="str">
            <v>JOHN ANCKAR</v>
          </cell>
          <cell r="B366">
            <v>3597</v>
          </cell>
        </row>
        <row r="367">
          <cell r="A367" t="str">
            <v>LEO ANDER</v>
          </cell>
          <cell r="B367">
            <v>5239</v>
          </cell>
        </row>
        <row r="368">
          <cell r="A368" t="str">
            <v>LOUISE WIND ANDERSEN</v>
          </cell>
          <cell r="B368">
            <v>7547</v>
          </cell>
        </row>
        <row r="369">
          <cell r="A369" t="str">
            <v>MARTIN BUCH ANDERSEN</v>
          </cell>
          <cell r="B369">
            <v>7532</v>
          </cell>
        </row>
        <row r="370">
          <cell r="A370" t="str">
            <v>MIKKEL SKOVBORG ANDERSEN</v>
          </cell>
          <cell r="B370">
            <v>9424</v>
          </cell>
        </row>
        <row r="371">
          <cell r="A371" t="str">
            <v>THERESE ANDERSEN</v>
          </cell>
          <cell r="B371">
            <v>2209</v>
          </cell>
        </row>
        <row r="372">
          <cell r="A372" t="str">
            <v>JANAR ANDERSON</v>
          </cell>
          <cell r="B372">
            <v>9522</v>
          </cell>
        </row>
        <row r="373">
          <cell r="A373" t="str">
            <v>JANNE ANDERSON</v>
          </cell>
          <cell r="B373">
            <v>9019</v>
          </cell>
        </row>
        <row r="374">
          <cell r="A374" t="str">
            <v>KRISTOFFER ANDERSON</v>
          </cell>
          <cell r="B374">
            <v>4987</v>
          </cell>
        </row>
        <row r="375">
          <cell r="A375" t="str">
            <v>CHARLOTTE ANDERSSON</v>
          </cell>
          <cell r="B375">
            <v>1506</v>
          </cell>
        </row>
        <row r="376">
          <cell r="A376" t="str">
            <v>MATTHIAS ANDERSSON</v>
          </cell>
          <cell r="B376">
            <v>1628</v>
          </cell>
        </row>
        <row r="377">
          <cell r="A377" t="str">
            <v>FILAT ANDREEV</v>
          </cell>
          <cell r="B377">
            <v>10602</v>
          </cell>
        </row>
        <row r="378">
          <cell r="A378" t="str">
            <v>ILJA ANDREEV</v>
          </cell>
          <cell r="B378">
            <v>4162</v>
          </cell>
        </row>
        <row r="379">
          <cell r="A379" t="str">
            <v>ANASTASSIJA ANDREEVA</v>
          </cell>
          <cell r="B379">
            <v>9493</v>
          </cell>
        </row>
        <row r="380">
          <cell r="A380" t="str">
            <v>LIIDIA ANDREEVA</v>
          </cell>
          <cell r="B380">
            <v>34</v>
          </cell>
        </row>
        <row r="381">
          <cell r="A381" t="str">
            <v>JANE ANDREI</v>
          </cell>
          <cell r="B381">
            <v>3726</v>
          </cell>
        </row>
        <row r="382">
          <cell r="A382" t="str">
            <v>ROBERT ANDREJEV</v>
          </cell>
          <cell r="B382">
            <v>6052</v>
          </cell>
        </row>
        <row r="383">
          <cell r="A383" t="str">
            <v>SLAVIK ANDREJEV</v>
          </cell>
          <cell r="B383">
            <v>5254</v>
          </cell>
        </row>
        <row r="384">
          <cell r="A384" t="str">
            <v>VJATŠESLAV ANDREJEV</v>
          </cell>
          <cell r="B384">
            <v>5576</v>
          </cell>
        </row>
        <row r="385">
          <cell r="A385" t="str">
            <v>ALINA ANDREJEVA</v>
          </cell>
          <cell r="B385">
            <v>7037</v>
          </cell>
        </row>
        <row r="386">
          <cell r="A386" t="str">
            <v>ANASTASSIA ANDREJEVA</v>
          </cell>
          <cell r="B386">
            <v>1700</v>
          </cell>
        </row>
        <row r="387">
          <cell r="A387" t="str">
            <v>DIANA ANDREJEVA</v>
          </cell>
          <cell r="B387">
            <v>8367</v>
          </cell>
        </row>
        <row r="388">
          <cell r="A388" t="str">
            <v>JEKATERINA ANDREJEVA</v>
          </cell>
          <cell r="B388">
            <v>3641</v>
          </cell>
        </row>
        <row r="389">
          <cell r="A389" t="str">
            <v>KRISTINA ANDREJEVA</v>
          </cell>
          <cell r="B389">
            <v>3732</v>
          </cell>
        </row>
        <row r="390">
          <cell r="A390" t="str">
            <v>SVEN ANDREK</v>
          </cell>
          <cell r="B390">
            <v>4809</v>
          </cell>
        </row>
        <row r="391">
          <cell r="A391" t="str">
            <v>TARVO ANDRES</v>
          </cell>
          <cell r="B391">
            <v>5256</v>
          </cell>
        </row>
        <row r="392">
          <cell r="A392" t="str">
            <v>MARINA ANDRIANOVA</v>
          </cell>
          <cell r="B392">
            <v>3649</v>
          </cell>
        </row>
        <row r="393">
          <cell r="A393" t="str">
            <v>ALEKSANDR ANDRIASJAN</v>
          </cell>
          <cell r="B393">
            <v>5250</v>
          </cell>
        </row>
        <row r="394">
          <cell r="A394" t="str">
            <v>VLADISLAV ANDRIJAKO</v>
          </cell>
          <cell r="B394">
            <v>4163</v>
          </cell>
        </row>
        <row r="395">
          <cell r="A395" t="str">
            <v>DARJA ANDRIJANOVA</v>
          </cell>
          <cell r="B395">
            <v>5979</v>
          </cell>
        </row>
        <row r="396">
          <cell r="A396" t="str">
            <v>MAKSIM ANDRIJASHKIN</v>
          </cell>
          <cell r="B396">
            <v>1814</v>
          </cell>
        </row>
        <row r="397">
          <cell r="A397" t="str">
            <v>ANASTASSIA ANDRIJASHKINA</v>
          </cell>
          <cell r="B397">
            <v>3510</v>
          </cell>
        </row>
        <row r="398">
          <cell r="A398" t="str">
            <v>SERGEI ANDRONOV</v>
          </cell>
          <cell r="B398">
            <v>10199</v>
          </cell>
        </row>
        <row r="399">
          <cell r="A399" t="str">
            <v>MONIKA ANDRONOVA</v>
          </cell>
          <cell r="B399">
            <v>5501</v>
          </cell>
        </row>
        <row r="400">
          <cell r="A400" t="str">
            <v>KONSTANTINS ANDRONOVS</v>
          </cell>
          <cell r="B400">
            <v>3696</v>
          </cell>
        </row>
        <row r="401">
          <cell r="A401" t="str">
            <v>ALEKSANDRA ANDRZEJCZYK</v>
          </cell>
          <cell r="B401">
            <v>8085</v>
          </cell>
        </row>
        <row r="402">
          <cell r="A402" t="str">
            <v>AIMAR ANDRUSE</v>
          </cell>
          <cell r="B402">
            <v>3560</v>
          </cell>
        </row>
        <row r="403">
          <cell r="A403" t="str">
            <v>HEINO ANGERJAS</v>
          </cell>
          <cell r="B403">
            <v>144</v>
          </cell>
        </row>
        <row r="404">
          <cell r="A404" t="str">
            <v>TARMO ANIER</v>
          </cell>
          <cell r="B404">
            <v>10562</v>
          </cell>
        </row>
        <row r="405">
          <cell r="A405" t="str">
            <v>MART ANIJÄRV</v>
          </cell>
          <cell r="B405">
            <v>3494</v>
          </cell>
        </row>
        <row r="406">
          <cell r="A406" t="str">
            <v>TOOMAS-ERIK ANIJÄRV</v>
          </cell>
          <cell r="B406">
            <v>5219</v>
          </cell>
        </row>
        <row r="407">
          <cell r="A407" t="str">
            <v>ANDREAS ANIJALG</v>
          </cell>
          <cell r="B407">
            <v>10098</v>
          </cell>
        </row>
        <row r="408">
          <cell r="A408" t="str">
            <v>VYTENIS ANILIONIS</v>
          </cell>
          <cell r="B408">
            <v>9762</v>
          </cell>
        </row>
        <row r="409">
          <cell r="A409" t="str">
            <v>ALEKSEI ANISKOV</v>
          </cell>
          <cell r="B409">
            <v>4164</v>
          </cell>
        </row>
        <row r="410">
          <cell r="A410" t="str">
            <v>REINIS ANISKOVICS</v>
          </cell>
          <cell r="B410">
            <v>7427</v>
          </cell>
        </row>
        <row r="411">
          <cell r="A411" t="str">
            <v>NIKITA ANISSIMOV</v>
          </cell>
          <cell r="B411">
            <v>2761</v>
          </cell>
        </row>
        <row r="412">
          <cell r="A412" t="str">
            <v>DAVID ANISTSENKO</v>
          </cell>
          <cell r="B412">
            <v>9823</v>
          </cell>
        </row>
        <row r="413">
          <cell r="A413" t="str">
            <v>RICHARD ANMANN</v>
          </cell>
          <cell r="B413">
            <v>9737</v>
          </cell>
        </row>
        <row r="414">
          <cell r="A414" t="str">
            <v>ANDRE ANNI</v>
          </cell>
          <cell r="B414">
            <v>7059</v>
          </cell>
        </row>
        <row r="415">
          <cell r="A415" t="str">
            <v>OLIVER ANNIKO</v>
          </cell>
          <cell r="B415">
            <v>10676</v>
          </cell>
        </row>
        <row r="416">
          <cell r="A416" t="str">
            <v>RAGNAR ANNIKO</v>
          </cell>
          <cell r="B416">
            <v>7176</v>
          </cell>
        </row>
        <row r="417">
          <cell r="A417" t="str">
            <v>VAMBOLA ANNILO</v>
          </cell>
          <cell r="B417">
            <v>4810</v>
          </cell>
        </row>
        <row r="418">
          <cell r="A418" t="str">
            <v>ALBERT ANNIMÄE</v>
          </cell>
          <cell r="B418">
            <v>4060</v>
          </cell>
        </row>
        <row r="419">
          <cell r="A419" t="str">
            <v>ARTUR ANNIMÄE</v>
          </cell>
          <cell r="B419">
            <v>2890</v>
          </cell>
        </row>
        <row r="420">
          <cell r="A420" t="str">
            <v>MARKUS OLIVER ANNUK</v>
          </cell>
          <cell r="B420">
            <v>9180</v>
          </cell>
        </row>
        <row r="421">
          <cell r="A421" t="str">
            <v>JOHAN ERIC ANNUS</v>
          </cell>
          <cell r="B421">
            <v>10780</v>
          </cell>
        </row>
        <row r="422">
          <cell r="A422" t="str">
            <v>KOIT ANNUS</v>
          </cell>
          <cell r="B422">
            <v>10184</v>
          </cell>
        </row>
        <row r="423">
          <cell r="A423" t="str">
            <v>OLIVER ANNUS</v>
          </cell>
          <cell r="B423">
            <v>9102</v>
          </cell>
        </row>
        <row r="424">
          <cell r="A424" t="str">
            <v>SILVI ANNUS</v>
          </cell>
          <cell r="B424">
            <v>9967</v>
          </cell>
        </row>
        <row r="425">
          <cell r="A425" t="str">
            <v>VILGE ANNUS</v>
          </cell>
          <cell r="B425">
            <v>9968</v>
          </cell>
        </row>
        <row r="426">
          <cell r="A426" t="str">
            <v>ANN-BRIT ANSON</v>
          </cell>
          <cell r="B426">
            <v>4165</v>
          </cell>
        </row>
        <row r="427">
          <cell r="A427" t="str">
            <v>ANNA ANSONE</v>
          </cell>
          <cell r="B427">
            <v>5157</v>
          </cell>
        </row>
        <row r="428">
          <cell r="A428" t="str">
            <v>RENĀTS ANSPOKS</v>
          </cell>
          <cell r="B428">
            <v>10734</v>
          </cell>
        </row>
        <row r="429">
          <cell r="A429" t="str">
            <v>ANNIKA ANT</v>
          </cell>
          <cell r="B429">
            <v>4863</v>
          </cell>
        </row>
        <row r="430">
          <cell r="A430" t="str">
            <v>REIN ANT</v>
          </cell>
          <cell r="B430">
            <v>8968</v>
          </cell>
        </row>
        <row r="431">
          <cell r="A431" t="str">
            <v>RIINE ANT</v>
          </cell>
          <cell r="B431">
            <v>23</v>
          </cell>
        </row>
        <row r="432">
          <cell r="A432" t="str">
            <v>VAMBOLA ANTER</v>
          </cell>
          <cell r="B432">
            <v>1148</v>
          </cell>
        </row>
        <row r="433">
          <cell r="A433" t="str">
            <v>ALEKSANDER ANTIK</v>
          </cell>
          <cell r="B433">
            <v>10787</v>
          </cell>
        </row>
        <row r="434">
          <cell r="A434" t="str">
            <v>ANTON ANTIK</v>
          </cell>
          <cell r="B434">
            <v>10788</v>
          </cell>
        </row>
        <row r="435">
          <cell r="A435" t="str">
            <v>ARTJOM ANTIPIN</v>
          </cell>
          <cell r="B435">
            <v>6030</v>
          </cell>
        </row>
        <row r="436">
          <cell r="A436" t="str">
            <v>MARKUS GENERT ANTO</v>
          </cell>
          <cell r="B436">
            <v>7438</v>
          </cell>
        </row>
        <row r="437">
          <cell r="A437" t="str">
            <v>AIVAR ANTON</v>
          </cell>
          <cell r="B437">
            <v>10821</v>
          </cell>
        </row>
        <row r="438">
          <cell r="A438" t="str">
            <v>ALAR ANTON</v>
          </cell>
          <cell r="B438">
            <v>1159</v>
          </cell>
        </row>
        <row r="439">
          <cell r="A439" t="str">
            <v>ALLAR ANTON</v>
          </cell>
          <cell r="B439">
            <v>3360</v>
          </cell>
        </row>
        <row r="440">
          <cell r="A440" t="str">
            <v>OTTO ANTON</v>
          </cell>
          <cell r="B440">
            <v>4166</v>
          </cell>
        </row>
        <row r="441">
          <cell r="A441" t="str">
            <v>VADZIM ANTONAU</v>
          </cell>
          <cell r="B441">
            <v>8449</v>
          </cell>
        </row>
        <row r="442">
          <cell r="A442" t="str">
            <v>ALDIS ANTONOV</v>
          </cell>
          <cell r="B442">
            <v>1694</v>
          </cell>
        </row>
        <row r="443">
          <cell r="A443" t="str">
            <v>ALEKSANDER ANTONOV</v>
          </cell>
          <cell r="B443">
            <v>444</v>
          </cell>
        </row>
        <row r="444">
          <cell r="A444" t="str">
            <v>JEVGENI ANTONOV</v>
          </cell>
          <cell r="B444">
            <v>1417</v>
          </cell>
        </row>
        <row r="445">
          <cell r="A445" t="str">
            <v>OLEG ANTONOV</v>
          </cell>
          <cell r="B445">
            <v>453</v>
          </cell>
        </row>
        <row r="446">
          <cell r="A446" t="str">
            <v>RISTO ANTONOV</v>
          </cell>
          <cell r="B446">
            <v>8894</v>
          </cell>
        </row>
        <row r="447">
          <cell r="A447" t="str">
            <v>DARIA ANTOSHKINA</v>
          </cell>
          <cell r="B447">
            <v>4167</v>
          </cell>
        </row>
        <row r="448">
          <cell r="A448" t="str">
            <v>ARTEM ANTSIBOR</v>
          </cell>
          <cell r="B448">
            <v>7707</v>
          </cell>
        </row>
        <row r="449">
          <cell r="A449" t="str">
            <v>HANNA MARIA ANTSON</v>
          </cell>
          <cell r="B449">
            <v>10685</v>
          </cell>
        </row>
        <row r="450">
          <cell r="A450" t="str">
            <v>VALTTERI ANTTILA</v>
          </cell>
          <cell r="B450">
            <v>8398</v>
          </cell>
        </row>
        <row r="451">
          <cell r="A451" t="str">
            <v>ANDREI ANUFRIJEV</v>
          </cell>
          <cell r="B451">
            <v>4168</v>
          </cell>
        </row>
        <row r="452">
          <cell r="A452" t="str">
            <v>ARINA ANUFRIJEVA</v>
          </cell>
          <cell r="B452">
            <v>4170</v>
          </cell>
        </row>
        <row r="453">
          <cell r="A453" t="str">
            <v>JULIA ANUFRIJEVA</v>
          </cell>
          <cell r="B453">
            <v>4169</v>
          </cell>
        </row>
        <row r="454">
          <cell r="A454" t="str">
            <v>LENNART ANVELT</v>
          </cell>
          <cell r="B454">
            <v>332</v>
          </cell>
        </row>
        <row r="455">
          <cell r="A455" t="str">
            <v>JAANA ÜKSIK</v>
          </cell>
          <cell r="B455">
            <v>10515</v>
          </cell>
        </row>
        <row r="456">
          <cell r="A456" t="str">
            <v>KAREL ÜKSVÄRAV</v>
          </cell>
          <cell r="B456">
            <v>2968</v>
          </cell>
        </row>
        <row r="457">
          <cell r="A457" t="str">
            <v>ARVO ÜLENÕMM</v>
          </cell>
          <cell r="B457">
            <v>2729</v>
          </cell>
        </row>
        <row r="458">
          <cell r="A458" t="str">
            <v>ÜLO ÜLESOO</v>
          </cell>
          <cell r="B458">
            <v>1925</v>
          </cell>
        </row>
        <row r="459">
          <cell r="A459" t="str">
            <v>ALEKSANDER ÜLLE</v>
          </cell>
          <cell r="B459">
            <v>1393</v>
          </cell>
        </row>
        <row r="460">
          <cell r="A460" t="str">
            <v>ENDEL-EINO ÜTT</v>
          </cell>
          <cell r="B460">
            <v>292</v>
          </cell>
        </row>
        <row r="461">
          <cell r="A461" t="str">
            <v>MARKUS ÜTT</v>
          </cell>
          <cell r="B461">
            <v>5387</v>
          </cell>
        </row>
        <row r="462">
          <cell r="A462" t="str">
            <v>ENNU AOVEER</v>
          </cell>
          <cell r="B462">
            <v>9590</v>
          </cell>
        </row>
        <row r="463">
          <cell r="A463" t="str">
            <v>MATISS APRUPS</v>
          </cell>
          <cell r="B463">
            <v>9389</v>
          </cell>
        </row>
        <row r="464">
          <cell r="A464" t="str">
            <v>AIVAR APSALON</v>
          </cell>
          <cell r="B464">
            <v>2143</v>
          </cell>
        </row>
        <row r="465">
          <cell r="A465" t="str">
            <v>VALERI APSALON</v>
          </cell>
          <cell r="B465">
            <v>4171</v>
          </cell>
        </row>
        <row r="466">
          <cell r="A466" t="str">
            <v>AINAR APSE</v>
          </cell>
          <cell r="B466">
            <v>1176</v>
          </cell>
        </row>
        <row r="467">
          <cell r="A467" t="str">
            <v>JANIS APSE</v>
          </cell>
          <cell r="B467">
            <v>1991</v>
          </cell>
        </row>
        <row r="468">
          <cell r="A468" t="str">
            <v>MEELIS APSOLON</v>
          </cell>
          <cell r="B468">
            <v>9552</v>
          </cell>
        </row>
        <row r="469">
          <cell r="A469" t="str">
            <v>ANNA-GRETE ARAK</v>
          </cell>
          <cell r="B469">
            <v>2789</v>
          </cell>
        </row>
        <row r="470">
          <cell r="A470" t="str">
            <v>ANNI ARAK</v>
          </cell>
          <cell r="B470">
            <v>1045</v>
          </cell>
        </row>
        <row r="471">
          <cell r="A471" t="str">
            <v>MIHKEL ARAK</v>
          </cell>
          <cell r="B471">
            <v>7246</v>
          </cell>
        </row>
        <row r="472">
          <cell r="A472" t="str">
            <v>OTT ARAK</v>
          </cell>
          <cell r="B472">
            <v>10177</v>
          </cell>
        </row>
        <row r="473">
          <cell r="A473" t="str">
            <v>SIIM ARAK</v>
          </cell>
          <cell r="B473">
            <v>7183</v>
          </cell>
        </row>
        <row r="474">
          <cell r="A474" t="str">
            <v>TARMO ARAK</v>
          </cell>
          <cell r="B474">
            <v>2265</v>
          </cell>
        </row>
        <row r="475">
          <cell r="A475" t="str">
            <v>URMAS ARAK</v>
          </cell>
          <cell r="B475">
            <v>2266</v>
          </cell>
        </row>
        <row r="476">
          <cell r="A476" t="str">
            <v>ANDRES ARANDI</v>
          </cell>
          <cell r="B476">
            <v>1545</v>
          </cell>
        </row>
        <row r="477">
          <cell r="A477" t="str">
            <v>MARION ARE</v>
          </cell>
          <cell r="B477">
            <v>7628</v>
          </cell>
        </row>
        <row r="478">
          <cell r="A478" t="str">
            <v>IVO ARENS</v>
          </cell>
          <cell r="B478">
            <v>2291</v>
          </cell>
        </row>
        <row r="479">
          <cell r="A479" t="str">
            <v>DAVID ARGUS</v>
          </cell>
          <cell r="B479">
            <v>986</v>
          </cell>
        </row>
        <row r="480">
          <cell r="A480" t="str">
            <v>ALEKSANDR ARHIPOV</v>
          </cell>
          <cell r="B480">
            <v>9237</v>
          </cell>
        </row>
        <row r="481">
          <cell r="A481" t="str">
            <v>TORMI ARIVA</v>
          </cell>
          <cell r="B481">
            <v>6079</v>
          </cell>
        </row>
        <row r="482">
          <cell r="A482" t="str">
            <v>URMO ARIVA</v>
          </cell>
          <cell r="B482">
            <v>2267</v>
          </cell>
        </row>
        <row r="483">
          <cell r="A483" t="str">
            <v>UNO ARMEI</v>
          </cell>
          <cell r="B483">
            <v>7307</v>
          </cell>
        </row>
        <row r="484">
          <cell r="A484" t="str">
            <v>DANIELLE ARMONAITE</v>
          </cell>
          <cell r="B484">
            <v>5455</v>
          </cell>
        </row>
        <row r="485">
          <cell r="A485" t="str">
            <v>RAMUNE ARMONAITE</v>
          </cell>
          <cell r="B485">
            <v>3188</v>
          </cell>
        </row>
        <row r="486">
          <cell r="A486" t="str">
            <v>MAREK ARMULIK</v>
          </cell>
          <cell r="B486">
            <v>1815</v>
          </cell>
        </row>
        <row r="487">
          <cell r="A487" t="str">
            <v>KIUR MARTEN ARNA</v>
          </cell>
          <cell r="B487">
            <v>8111</v>
          </cell>
        </row>
        <row r="488">
          <cell r="A488" t="str">
            <v>SIIM ARO</v>
          </cell>
          <cell r="B488">
            <v>3076</v>
          </cell>
        </row>
        <row r="489">
          <cell r="A489" t="str">
            <v>JULIA AROLD</v>
          </cell>
          <cell r="B489">
            <v>25</v>
          </cell>
        </row>
        <row r="490">
          <cell r="A490" t="str">
            <v>KÄTLIN ARON</v>
          </cell>
          <cell r="B490">
            <v>4941</v>
          </cell>
        </row>
        <row r="491">
          <cell r="A491" t="str">
            <v>VEIKO ARON</v>
          </cell>
          <cell r="B491">
            <v>3661</v>
          </cell>
        </row>
        <row r="492">
          <cell r="A492" t="str">
            <v>ALVAR ARONIJA</v>
          </cell>
          <cell r="B492">
            <v>1482</v>
          </cell>
        </row>
        <row r="493">
          <cell r="A493" t="str">
            <v>KERDO AROS</v>
          </cell>
          <cell r="B493">
            <v>9300</v>
          </cell>
        </row>
        <row r="494">
          <cell r="A494" t="str">
            <v>LEHO AROS</v>
          </cell>
          <cell r="B494">
            <v>1834</v>
          </cell>
        </row>
        <row r="495">
          <cell r="A495" t="str">
            <v>EERO ARPO</v>
          </cell>
          <cell r="B495">
            <v>9311</v>
          </cell>
        </row>
        <row r="496">
          <cell r="A496" t="str">
            <v>EKKE ARPO</v>
          </cell>
          <cell r="B496">
            <v>10782</v>
          </cell>
        </row>
        <row r="497">
          <cell r="A497" t="str">
            <v>ERT ARPO</v>
          </cell>
          <cell r="B497">
            <v>8817</v>
          </cell>
        </row>
        <row r="498">
          <cell r="A498" t="str">
            <v>MAREK ARRAS</v>
          </cell>
          <cell r="B498">
            <v>9113</v>
          </cell>
        </row>
        <row r="499">
          <cell r="A499" t="str">
            <v>MARKUS ARRAS</v>
          </cell>
          <cell r="B499">
            <v>8805</v>
          </cell>
        </row>
        <row r="500">
          <cell r="A500" t="str">
            <v>HEITI ARRO</v>
          </cell>
          <cell r="B500">
            <v>1897</v>
          </cell>
        </row>
        <row r="501">
          <cell r="A501" t="str">
            <v>INDREK ARRO</v>
          </cell>
          <cell r="B501">
            <v>145</v>
          </cell>
        </row>
        <row r="502">
          <cell r="A502" t="str">
            <v>NIKOLAI ARTAMOŠIN</v>
          </cell>
          <cell r="B502">
            <v>7492</v>
          </cell>
        </row>
        <row r="503">
          <cell r="A503" t="str">
            <v>JULIA ARTAMONOVA</v>
          </cell>
          <cell r="B503">
            <v>9035</v>
          </cell>
        </row>
        <row r="504">
          <cell r="A504" t="str">
            <v>VARVARA ARTAMONOVA</v>
          </cell>
          <cell r="B504">
            <v>2901</v>
          </cell>
        </row>
        <row r="505">
          <cell r="A505" t="str">
            <v>MARIA ARTEMEVA</v>
          </cell>
          <cell r="B505">
            <v>8222</v>
          </cell>
        </row>
        <row r="506">
          <cell r="A506" t="str">
            <v>ANJA ARTEMINA</v>
          </cell>
          <cell r="B506">
            <v>2565</v>
          </cell>
        </row>
        <row r="507">
          <cell r="A507" t="str">
            <v>KIRILL ARTJOMENKO</v>
          </cell>
          <cell r="B507">
            <v>1529</v>
          </cell>
        </row>
        <row r="508">
          <cell r="A508" t="str">
            <v>KONSTANTIN ARTJOMENKO</v>
          </cell>
          <cell r="B508">
            <v>7978</v>
          </cell>
        </row>
        <row r="509">
          <cell r="A509" t="str">
            <v>NIKITA ARTJOMENKO</v>
          </cell>
          <cell r="B509">
            <v>5127</v>
          </cell>
        </row>
        <row r="510">
          <cell r="A510" t="str">
            <v>ANNA ARTJOMINA</v>
          </cell>
          <cell r="B510">
            <v>2745</v>
          </cell>
        </row>
        <row r="511">
          <cell r="A511" t="str">
            <v>ERMEL ARTUR</v>
          </cell>
          <cell r="B511">
            <v>7623</v>
          </cell>
        </row>
        <row r="512">
          <cell r="A512" t="str">
            <v>MOROZ ARTUR</v>
          </cell>
          <cell r="B512">
            <v>9655</v>
          </cell>
        </row>
        <row r="513">
          <cell r="A513" t="str">
            <v>INGRID ARU</v>
          </cell>
          <cell r="B513">
            <v>10797</v>
          </cell>
        </row>
        <row r="514">
          <cell r="A514" t="str">
            <v>KAROLIN ARU</v>
          </cell>
          <cell r="B514">
            <v>9339</v>
          </cell>
        </row>
        <row r="515">
          <cell r="A515" t="str">
            <v>KARUS ARU</v>
          </cell>
          <cell r="B515">
            <v>9990</v>
          </cell>
        </row>
        <row r="516">
          <cell r="A516" t="str">
            <v>AIVO ARULA</v>
          </cell>
          <cell r="B516">
            <v>9206</v>
          </cell>
        </row>
        <row r="517">
          <cell r="A517" t="str">
            <v>JAANUS ARULA</v>
          </cell>
          <cell r="B517">
            <v>1013</v>
          </cell>
        </row>
        <row r="518">
          <cell r="A518" t="str">
            <v>MAGNAR ARULA</v>
          </cell>
          <cell r="B518">
            <v>4644</v>
          </cell>
        </row>
        <row r="519">
          <cell r="A519" t="str">
            <v>MARIA LISANNE ARUMÄE</v>
          </cell>
          <cell r="B519">
            <v>6197</v>
          </cell>
        </row>
        <row r="520">
          <cell r="A520" t="str">
            <v>SANDER ARUMÄGI</v>
          </cell>
          <cell r="B520">
            <v>5048</v>
          </cell>
        </row>
        <row r="521">
          <cell r="A521" t="str">
            <v>LAURI ARUMEEEL</v>
          </cell>
          <cell r="B521">
            <v>10524</v>
          </cell>
        </row>
        <row r="522">
          <cell r="A522" t="str">
            <v>LAURI ARUMEEL</v>
          </cell>
          <cell r="B522">
            <v>10631</v>
          </cell>
        </row>
        <row r="523">
          <cell r="A523" t="str">
            <v>KÄTLIN ARUS</v>
          </cell>
          <cell r="B523">
            <v>4172</v>
          </cell>
        </row>
        <row r="524">
          <cell r="A524" t="str">
            <v>SIIM ARUSAAR</v>
          </cell>
          <cell r="B524">
            <v>10166</v>
          </cell>
        </row>
        <row r="525">
          <cell r="A525" t="str">
            <v>MARIA ARUSOO</v>
          </cell>
          <cell r="B525">
            <v>8584</v>
          </cell>
        </row>
        <row r="526">
          <cell r="A526" t="str">
            <v>OLIVER ARUSOO</v>
          </cell>
          <cell r="B526">
            <v>9388</v>
          </cell>
        </row>
        <row r="527">
          <cell r="A527" t="str">
            <v>GABRIEL ARUTJUNJAN</v>
          </cell>
          <cell r="B527">
            <v>6206</v>
          </cell>
        </row>
        <row r="528">
          <cell r="A528" t="str">
            <v>ANNA MIA ASMER</v>
          </cell>
          <cell r="B528">
            <v>8871</v>
          </cell>
        </row>
        <row r="529">
          <cell r="A529" t="str">
            <v>BIANCA LILY ASMER</v>
          </cell>
          <cell r="B529">
            <v>8873</v>
          </cell>
        </row>
        <row r="530">
          <cell r="A530" t="str">
            <v>CLAN-GUSTAV ASO</v>
          </cell>
          <cell r="B530">
            <v>3733</v>
          </cell>
        </row>
        <row r="531">
          <cell r="A531" t="str">
            <v>ALAR ASSÜKÜLL</v>
          </cell>
          <cell r="B531">
            <v>1138</v>
          </cell>
        </row>
        <row r="532">
          <cell r="A532" t="str">
            <v>ANDREAS ASSIN</v>
          </cell>
          <cell r="B532">
            <v>8204</v>
          </cell>
        </row>
        <row r="533">
          <cell r="A533" t="str">
            <v>JEVGENI ASTAFJEV</v>
          </cell>
          <cell r="B533">
            <v>8936</v>
          </cell>
        </row>
        <row r="534">
          <cell r="A534" t="str">
            <v>MARK ASTAHHOV</v>
          </cell>
          <cell r="B534">
            <v>9925</v>
          </cell>
        </row>
        <row r="535">
          <cell r="A535" t="str">
            <v>TAANIEL ASTUKEVITS-OBOLENSKI</v>
          </cell>
          <cell r="B535">
            <v>2492</v>
          </cell>
        </row>
        <row r="536">
          <cell r="A536" t="str">
            <v>AMANDA ELLYNORA ASU</v>
          </cell>
          <cell r="B536">
            <v>10189</v>
          </cell>
        </row>
        <row r="537">
          <cell r="A537" t="str">
            <v>SEBASTIAN ASU</v>
          </cell>
          <cell r="B537">
            <v>9179</v>
          </cell>
        </row>
        <row r="538">
          <cell r="A538" t="str">
            <v>SILVER ASU</v>
          </cell>
          <cell r="B538">
            <v>9126</v>
          </cell>
        </row>
        <row r="539">
          <cell r="A539" t="str">
            <v>DARIA AZARENKOVA</v>
          </cell>
          <cell r="B539">
            <v>9874</v>
          </cell>
        </row>
        <row r="540">
          <cell r="A540" t="str">
            <v>KAREN ATABEKJAN</v>
          </cell>
          <cell r="B540">
            <v>5079</v>
          </cell>
        </row>
        <row r="541">
          <cell r="A541" t="str">
            <v>DIANA ATAJAN</v>
          </cell>
          <cell r="B541">
            <v>1202</v>
          </cell>
        </row>
        <row r="542">
          <cell r="A542" t="str">
            <v>GRANT ATAJAN</v>
          </cell>
          <cell r="B542">
            <v>1531</v>
          </cell>
        </row>
        <row r="543">
          <cell r="A543" t="str">
            <v>TIMUR ATAKISHIEV</v>
          </cell>
          <cell r="B543">
            <v>10486</v>
          </cell>
        </row>
        <row r="544">
          <cell r="A544" t="str">
            <v>KATERINA ATAMANOVA</v>
          </cell>
          <cell r="B544">
            <v>2545</v>
          </cell>
        </row>
        <row r="545">
          <cell r="A545" t="str">
            <v>MIRON ATJUNKIN</v>
          </cell>
          <cell r="B545">
            <v>8070</v>
          </cell>
        </row>
        <row r="546">
          <cell r="A546" t="str">
            <v>HARRI ATSO</v>
          </cell>
          <cell r="B546">
            <v>5240</v>
          </cell>
        </row>
        <row r="547">
          <cell r="A547" t="str">
            <v>HARRY ATSO</v>
          </cell>
          <cell r="B547">
            <v>4645</v>
          </cell>
        </row>
        <row r="548">
          <cell r="A548" t="str">
            <v>PRIIT ATSO</v>
          </cell>
          <cell r="B548">
            <v>2846</v>
          </cell>
        </row>
        <row r="549">
          <cell r="A549" t="str">
            <v>ALEKSI ATTILA</v>
          </cell>
          <cell r="B549">
            <v>1721</v>
          </cell>
        </row>
        <row r="550">
          <cell r="A550" t="str">
            <v>TUOMAS ATTILA</v>
          </cell>
          <cell r="B550">
            <v>1988</v>
          </cell>
        </row>
        <row r="551">
          <cell r="A551" t="str">
            <v>REIJO ATTO</v>
          </cell>
          <cell r="B551">
            <v>2038</v>
          </cell>
        </row>
        <row r="552">
          <cell r="A552" t="str">
            <v>AGNES AUDSE</v>
          </cell>
          <cell r="B552">
            <v>2805</v>
          </cell>
        </row>
        <row r="553">
          <cell r="A553" t="str">
            <v>LAURA AUER</v>
          </cell>
          <cell r="B553">
            <v>4173</v>
          </cell>
        </row>
        <row r="554">
          <cell r="A554" t="str">
            <v>AMANDA AUGSTKALNE</v>
          </cell>
          <cell r="B554">
            <v>10835</v>
          </cell>
        </row>
        <row r="555">
          <cell r="A555" t="str">
            <v>DAINIS AUGSTKALNS</v>
          </cell>
          <cell r="B555">
            <v>3356</v>
          </cell>
        </row>
        <row r="556">
          <cell r="A556" t="str">
            <v>GUNARS AUMEISTERS</v>
          </cell>
          <cell r="B556">
            <v>5550</v>
          </cell>
        </row>
        <row r="557">
          <cell r="A557" t="str">
            <v>ANDREAS AUN</v>
          </cell>
          <cell r="B557">
            <v>2624</v>
          </cell>
        </row>
        <row r="558">
          <cell r="A558" t="str">
            <v>ANNALA AUN</v>
          </cell>
          <cell r="B558">
            <v>949</v>
          </cell>
        </row>
        <row r="559">
          <cell r="A559" t="str">
            <v>JÜRGO AUN</v>
          </cell>
          <cell r="B559">
            <v>8240</v>
          </cell>
        </row>
        <row r="560">
          <cell r="A560" t="str">
            <v>ANU AUNAPU</v>
          </cell>
          <cell r="B560">
            <v>5997</v>
          </cell>
        </row>
        <row r="561">
          <cell r="A561" t="str">
            <v>LEONID AUNAPU</v>
          </cell>
          <cell r="B561">
            <v>341</v>
          </cell>
        </row>
        <row r="562">
          <cell r="A562" t="str">
            <v>ARTUR AUNIMÄE</v>
          </cell>
          <cell r="B562">
            <v>3734</v>
          </cell>
        </row>
        <row r="563">
          <cell r="A563" t="str">
            <v>TAURI AUPAJU</v>
          </cell>
          <cell r="B563">
            <v>1679</v>
          </cell>
        </row>
        <row r="564">
          <cell r="A564" t="str">
            <v>ANDRO AUS</v>
          </cell>
          <cell r="B564">
            <v>7196</v>
          </cell>
        </row>
        <row r="565">
          <cell r="A565" t="str">
            <v>SIIM AUSALU</v>
          </cell>
          <cell r="B565">
            <v>4646</v>
          </cell>
        </row>
        <row r="566">
          <cell r="A566" t="str">
            <v>TAAVI AUSALU</v>
          </cell>
          <cell r="B566">
            <v>1181</v>
          </cell>
        </row>
        <row r="567">
          <cell r="A567" t="str">
            <v>HANNES AUSMEES</v>
          </cell>
          <cell r="B567">
            <v>3257</v>
          </cell>
        </row>
        <row r="568">
          <cell r="A568" t="str">
            <v>ALAR AUST</v>
          </cell>
          <cell r="B568">
            <v>10819</v>
          </cell>
        </row>
        <row r="569">
          <cell r="A569" t="str">
            <v>ANNIKA AUST</v>
          </cell>
          <cell r="B569">
            <v>10174</v>
          </cell>
        </row>
        <row r="570">
          <cell r="A570" t="str">
            <v>MARCUS AUVÄÄRT</v>
          </cell>
          <cell r="B570">
            <v>8648</v>
          </cell>
        </row>
        <row r="571">
          <cell r="A571" t="str">
            <v>AIRI AVAMERI</v>
          </cell>
          <cell r="B571">
            <v>2755</v>
          </cell>
        </row>
        <row r="572">
          <cell r="A572" t="str">
            <v>IGOR AVANESOV</v>
          </cell>
          <cell r="B572">
            <v>9074</v>
          </cell>
        </row>
        <row r="573">
          <cell r="A573" t="str">
            <v>LORETA AVELIENĖ</v>
          </cell>
          <cell r="B573">
            <v>10774</v>
          </cell>
        </row>
        <row r="574">
          <cell r="A574" t="str">
            <v>JÜRI AVIKSON</v>
          </cell>
          <cell r="B574">
            <v>5942</v>
          </cell>
        </row>
        <row r="575">
          <cell r="A575" t="str">
            <v>OSVALD AVILO</v>
          </cell>
          <cell r="B575">
            <v>2780</v>
          </cell>
        </row>
        <row r="576">
          <cell r="A576" t="str">
            <v>ALEKSANDR BÕKOV</v>
          </cell>
          <cell r="B576">
            <v>8576</v>
          </cell>
        </row>
        <row r="577">
          <cell r="A577" t="str">
            <v>MARK BÕKOV</v>
          </cell>
          <cell r="B577">
            <v>9775</v>
          </cell>
        </row>
        <row r="578">
          <cell r="A578" t="str">
            <v>KSENJA BÕKOVA</v>
          </cell>
          <cell r="B578">
            <v>5481</v>
          </cell>
        </row>
        <row r="579">
          <cell r="A579" t="str">
            <v>GERMAN BÕSTROV</v>
          </cell>
          <cell r="B579">
            <v>1654</v>
          </cell>
        </row>
        <row r="580">
          <cell r="A580" t="str">
            <v>REGIINA BÕSTROVA</v>
          </cell>
          <cell r="B580">
            <v>4190</v>
          </cell>
        </row>
        <row r="581">
          <cell r="A581" t="str">
            <v>ARTJOM BÕTŠKOV</v>
          </cell>
          <cell r="B581">
            <v>7603</v>
          </cell>
        </row>
        <row r="582">
          <cell r="A582" t="str">
            <v>DMITRI BAŠARIN</v>
          </cell>
          <cell r="B582">
            <v>5932</v>
          </cell>
        </row>
        <row r="583">
          <cell r="A583" t="str">
            <v>JAANA BAARTH</v>
          </cell>
          <cell r="B583">
            <v>2634</v>
          </cell>
        </row>
        <row r="584">
          <cell r="A584" t="str">
            <v>MARTIN BABADŽAN</v>
          </cell>
          <cell r="B584">
            <v>5399</v>
          </cell>
        </row>
        <row r="585">
          <cell r="A585" t="str">
            <v>DMITRI BABCHIK</v>
          </cell>
          <cell r="B585">
            <v>5649</v>
          </cell>
        </row>
        <row r="586">
          <cell r="A586" t="str">
            <v>ANTON BABI</v>
          </cell>
          <cell r="B586">
            <v>5568</v>
          </cell>
        </row>
        <row r="587">
          <cell r="A587" t="str">
            <v>TANEL BABIN</v>
          </cell>
          <cell r="B587">
            <v>5287</v>
          </cell>
        </row>
        <row r="588">
          <cell r="A588" t="str">
            <v>ALEKSANDER BABTŠENKO</v>
          </cell>
          <cell r="B588">
            <v>5998</v>
          </cell>
        </row>
        <row r="589">
          <cell r="A589" t="str">
            <v>ARTJOM BABTŠENKO</v>
          </cell>
          <cell r="B589">
            <v>6000</v>
          </cell>
        </row>
        <row r="590">
          <cell r="A590" t="str">
            <v>GUSTV BABTIST</v>
          </cell>
          <cell r="B590">
            <v>9281</v>
          </cell>
        </row>
        <row r="591">
          <cell r="A591" t="str">
            <v>TAURI BACHMAN</v>
          </cell>
          <cell r="B591">
            <v>7572</v>
          </cell>
        </row>
        <row r="592">
          <cell r="A592" t="str">
            <v>JOAKIM BACHSATÄTTER</v>
          </cell>
          <cell r="B592">
            <v>2219</v>
          </cell>
        </row>
        <row r="593">
          <cell r="A593" t="str">
            <v>DENISS BADAJEV</v>
          </cell>
          <cell r="B593">
            <v>8360</v>
          </cell>
        </row>
        <row r="594">
          <cell r="A594" t="str">
            <v>DARINA BADAJEVA</v>
          </cell>
          <cell r="B594">
            <v>10202</v>
          </cell>
        </row>
        <row r="595">
          <cell r="A595" t="str">
            <v>TAMIM BADAWI</v>
          </cell>
          <cell r="B595">
            <v>9283</v>
          </cell>
        </row>
        <row r="596">
          <cell r="A596" t="str">
            <v>DOVYDAS BAGDONAS</v>
          </cell>
          <cell r="B596">
            <v>3170</v>
          </cell>
        </row>
        <row r="597">
          <cell r="A597" t="str">
            <v>SANIJA BAGDONE</v>
          </cell>
          <cell r="B597">
            <v>7104</v>
          </cell>
        </row>
        <row r="598">
          <cell r="A598" t="str">
            <v>POVILAS BAGUZIS</v>
          </cell>
          <cell r="B598">
            <v>3534</v>
          </cell>
        </row>
        <row r="599">
          <cell r="A599" t="str">
            <v>JELENA BAHAREVA</v>
          </cell>
          <cell r="B599">
            <v>3549</v>
          </cell>
        </row>
        <row r="600">
          <cell r="A600" t="str">
            <v>RASMUS BAHOVSKI</v>
          </cell>
          <cell r="B600">
            <v>1888</v>
          </cell>
        </row>
        <row r="601">
          <cell r="A601" t="str">
            <v>SILVER BAHOVSKI</v>
          </cell>
          <cell r="B601">
            <v>1623</v>
          </cell>
        </row>
        <row r="602">
          <cell r="A602" t="str">
            <v>TOOMAS BAHOVSKI</v>
          </cell>
          <cell r="B602">
            <v>2139</v>
          </cell>
        </row>
        <row r="603">
          <cell r="A603" t="str">
            <v>EVA BAIBORODINA</v>
          </cell>
          <cell r="B603">
            <v>6273</v>
          </cell>
        </row>
        <row r="604">
          <cell r="A604" t="str">
            <v>BOGDAN BAIDUKENOV</v>
          </cell>
          <cell r="B604">
            <v>4062</v>
          </cell>
        </row>
        <row r="605">
          <cell r="A605" t="str">
            <v>RAGNAR BAJEV</v>
          </cell>
          <cell r="B605">
            <v>433</v>
          </cell>
        </row>
        <row r="606">
          <cell r="A606" t="str">
            <v>QYSTEIN BAKKE</v>
          </cell>
          <cell r="B606">
            <v>2223</v>
          </cell>
        </row>
        <row r="607">
          <cell r="A607" t="str">
            <v>ALEKSANDR BAKMAN</v>
          </cell>
          <cell r="B607">
            <v>3735</v>
          </cell>
        </row>
        <row r="608">
          <cell r="A608" t="str">
            <v>MAKSIM BALÕBERDIN</v>
          </cell>
          <cell r="B608">
            <v>7282</v>
          </cell>
        </row>
        <row r="609">
          <cell r="A609" t="str">
            <v>IRINA BALABANOVA</v>
          </cell>
          <cell r="B609">
            <v>1139</v>
          </cell>
        </row>
        <row r="610">
          <cell r="A610" t="str">
            <v>ROMAS BALAISIS</v>
          </cell>
          <cell r="B610">
            <v>3526</v>
          </cell>
        </row>
        <row r="611">
          <cell r="A611" t="str">
            <v>JURIJS BALAMUTOVS</v>
          </cell>
          <cell r="B611">
            <v>9020</v>
          </cell>
        </row>
        <row r="612">
          <cell r="A612" t="str">
            <v>VICTORIIA BALESNA</v>
          </cell>
          <cell r="B612">
            <v>10230</v>
          </cell>
        </row>
        <row r="613">
          <cell r="A613" t="str">
            <v>NIKOLAI BALEV</v>
          </cell>
          <cell r="B613">
            <v>150</v>
          </cell>
        </row>
        <row r="614">
          <cell r="A614" t="str">
            <v>OLIVER BALITSKI</v>
          </cell>
          <cell r="B614">
            <v>7617</v>
          </cell>
        </row>
        <row r="615">
          <cell r="A615" t="str">
            <v>AIVARS BALODIS</v>
          </cell>
          <cell r="B615">
            <v>3191</v>
          </cell>
        </row>
        <row r="616">
          <cell r="A616" t="str">
            <v>AIVIS BALODIS</v>
          </cell>
          <cell r="B616">
            <v>3620</v>
          </cell>
        </row>
        <row r="617">
          <cell r="A617" t="str">
            <v>MIHAIL BALONUŠKOV</v>
          </cell>
          <cell r="B617">
            <v>5946</v>
          </cell>
        </row>
        <row r="618">
          <cell r="A618" t="str">
            <v>ILVA BALTUTE</v>
          </cell>
          <cell r="B618">
            <v>9817</v>
          </cell>
        </row>
        <row r="619">
          <cell r="A619" t="str">
            <v>NOJUS BALČIŪNAS</v>
          </cell>
          <cell r="B619">
            <v>9666</v>
          </cell>
        </row>
        <row r="620">
          <cell r="A620" t="str">
            <v>ANNA BANAROVA</v>
          </cell>
          <cell r="B620">
            <v>2561</v>
          </cell>
        </row>
        <row r="621">
          <cell r="A621" t="str">
            <v>ULJANA BANDURINA</v>
          </cell>
          <cell r="B621">
            <v>9921</v>
          </cell>
        </row>
        <row r="622">
          <cell r="A622" t="str">
            <v>ARTJOM BARANOV</v>
          </cell>
          <cell r="B622">
            <v>8743</v>
          </cell>
        </row>
        <row r="623">
          <cell r="A623" t="str">
            <v>SERHII BARANOV</v>
          </cell>
          <cell r="B623">
            <v>10664</v>
          </cell>
        </row>
        <row r="624">
          <cell r="A624" t="str">
            <v>NORMANDS BARANOVSKIS</v>
          </cell>
          <cell r="B624">
            <v>9818</v>
          </cell>
        </row>
        <row r="625">
          <cell r="A625" t="str">
            <v>MIHAIL BARBÕŠEV</v>
          </cell>
          <cell r="B625">
            <v>10864</v>
          </cell>
        </row>
        <row r="626">
          <cell r="A626" t="str">
            <v>NONA-SALOME BARBO</v>
          </cell>
          <cell r="B626">
            <v>26</v>
          </cell>
        </row>
        <row r="627">
          <cell r="A627" t="str">
            <v>IGOR BARNATSKI</v>
          </cell>
          <cell r="B627">
            <v>5579</v>
          </cell>
        </row>
        <row r="628">
          <cell r="A628" t="str">
            <v>ENRICO BARONE</v>
          </cell>
          <cell r="B628">
            <v>7975</v>
          </cell>
        </row>
        <row r="629">
          <cell r="A629" t="str">
            <v>ALEKSANDR BARZUKOV</v>
          </cell>
          <cell r="B629">
            <v>5260</v>
          </cell>
        </row>
        <row r="630">
          <cell r="A630" t="str">
            <v>CAROLINA BART</v>
          </cell>
          <cell r="B630">
            <v>5158</v>
          </cell>
        </row>
        <row r="631">
          <cell r="A631" t="str">
            <v>ROKAS BARTUSEVICIUS</v>
          </cell>
          <cell r="B631">
            <v>7208</v>
          </cell>
        </row>
        <row r="632">
          <cell r="A632" t="str">
            <v>DOMINIKAS BARTUSEVITCIUS</v>
          </cell>
          <cell r="B632">
            <v>3736</v>
          </cell>
        </row>
        <row r="633">
          <cell r="A633" t="str">
            <v>ANTON BARYSHNIKOV</v>
          </cell>
          <cell r="B633">
            <v>7209</v>
          </cell>
        </row>
        <row r="634">
          <cell r="A634" t="str">
            <v>TAIVO BASHKIROV</v>
          </cell>
          <cell r="B634">
            <v>1471</v>
          </cell>
        </row>
        <row r="635">
          <cell r="A635" t="str">
            <v>YURII BASII</v>
          </cell>
          <cell r="B635">
            <v>9293</v>
          </cell>
        </row>
        <row r="636">
          <cell r="A636" t="str">
            <v>UGNE BASKUTITE</v>
          </cell>
          <cell r="B636">
            <v>2513</v>
          </cell>
        </row>
        <row r="637">
          <cell r="A637" t="str">
            <v>ARSENI BASSARANOVITŠ</v>
          </cell>
          <cell r="B637">
            <v>7836</v>
          </cell>
        </row>
        <row r="638">
          <cell r="A638" t="str">
            <v>SEMJON BASSOV</v>
          </cell>
          <cell r="B638">
            <v>8122</v>
          </cell>
        </row>
        <row r="639">
          <cell r="A639" t="str">
            <v>NIKOLAI BAZAROV</v>
          </cell>
          <cell r="B639">
            <v>151</v>
          </cell>
        </row>
        <row r="640">
          <cell r="A640" t="str">
            <v>ALEKSANDRS BAZAROVS</v>
          </cell>
          <cell r="B640">
            <v>10688</v>
          </cell>
        </row>
        <row r="641">
          <cell r="A641" t="str">
            <v>MARK BATŠA</v>
          </cell>
          <cell r="B641">
            <v>7040</v>
          </cell>
        </row>
        <row r="642">
          <cell r="A642" t="str">
            <v>JEVGENI BATAROV</v>
          </cell>
          <cell r="B642">
            <v>4174</v>
          </cell>
        </row>
        <row r="643">
          <cell r="A643" t="str">
            <v>STEFAN BATIN</v>
          </cell>
          <cell r="B643">
            <v>10786</v>
          </cell>
        </row>
        <row r="644">
          <cell r="A644" t="str">
            <v>PETR BATUHTIN</v>
          </cell>
          <cell r="B644">
            <v>9477</v>
          </cell>
        </row>
        <row r="645">
          <cell r="A645" t="str">
            <v>ANITA BATUROVA</v>
          </cell>
          <cell r="B645">
            <v>6258</v>
          </cell>
        </row>
        <row r="646">
          <cell r="A646" t="str">
            <v>LARS HENDRIK BECKER</v>
          </cell>
          <cell r="B646">
            <v>9659</v>
          </cell>
        </row>
        <row r="647">
          <cell r="A647" t="str">
            <v>KIRILL BEDJUHHOV</v>
          </cell>
          <cell r="B647">
            <v>4175</v>
          </cell>
        </row>
        <row r="648">
          <cell r="A648" t="str">
            <v>DANIELS BEIGARTS</v>
          </cell>
          <cell r="B648">
            <v>8629</v>
          </cell>
        </row>
        <row r="649">
          <cell r="A649" t="str">
            <v>MERIL BEILMANN</v>
          </cell>
          <cell r="B649">
            <v>2488</v>
          </cell>
        </row>
        <row r="650">
          <cell r="A650" t="str">
            <v>ROMAN BEKHOV</v>
          </cell>
          <cell r="B650">
            <v>3737</v>
          </cell>
        </row>
        <row r="651">
          <cell r="A651" t="str">
            <v>ANDREI BEKKER</v>
          </cell>
          <cell r="B651">
            <v>7323</v>
          </cell>
        </row>
        <row r="652">
          <cell r="A652" t="str">
            <v>TONI BEKKER</v>
          </cell>
          <cell r="B652">
            <v>10121</v>
          </cell>
        </row>
        <row r="653">
          <cell r="A653" t="str">
            <v>JELIZAVETA BELAJKOVA</v>
          </cell>
          <cell r="B653">
            <v>2493</v>
          </cell>
        </row>
        <row r="654">
          <cell r="A654" t="str">
            <v>VINETA BELANOVICHA</v>
          </cell>
          <cell r="B654">
            <v>7720</v>
          </cell>
        </row>
        <row r="655">
          <cell r="A655" t="str">
            <v>ALEKSANDR BELIANSKI</v>
          </cell>
          <cell r="B655">
            <v>10548</v>
          </cell>
        </row>
        <row r="656">
          <cell r="A656" t="str">
            <v>ERNEST BELIHH</v>
          </cell>
          <cell r="B656">
            <v>4134</v>
          </cell>
        </row>
        <row r="657">
          <cell r="A657" t="str">
            <v>JAN BELIK</v>
          </cell>
          <cell r="B657">
            <v>4176</v>
          </cell>
        </row>
        <row r="658">
          <cell r="A658" t="str">
            <v>DANIIL BELINSKIY</v>
          </cell>
          <cell r="B658">
            <v>7639</v>
          </cell>
        </row>
        <row r="659">
          <cell r="A659" t="str">
            <v>JULIA BELJAEVA</v>
          </cell>
          <cell r="B659">
            <v>7721</v>
          </cell>
        </row>
        <row r="660">
          <cell r="A660" t="str">
            <v>HIMRE BELJAJEV</v>
          </cell>
          <cell r="B660">
            <v>3381</v>
          </cell>
        </row>
        <row r="661">
          <cell r="A661" t="str">
            <v>JEVGENI BELJAJEV</v>
          </cell>
          <cell r="B661">
            <v>9082</v>
          </cell>
        </row>
        <row r="662">
          <cell r="A662" t="str">
            <v>SERGEI BELJAJEV</v>
          </cell>
          <cell r="B662">
            <v>930</v>
          </cell>
        </row>
        <row r="663">
          <cell r="A663" t="str">
            <v>OLGA BELJAJEVA</v>
          </cell>
          <cell r="B663">
            <v>27</v>
          </cell>
        </row>
        <row r="664">
          <cell r="A664" t="str">
            <v>DIMITRIJS BELJAJEVS</v>
          </cell>
          <cell r="B664">
            <v>1169</v>
          </cell>
        </row>
        <row r="665">
          <cell r="A665" t="str">
            <v>KIRA BELJAKOVA</v>
          </cell>
          <cell r="B665">
            <v>10566</v>
          </cell>
        </row>
        <row r="666">
          <cell r="A666" t="str">
            <v>LEONID BELJANKIN</v>
          </cell>
          <cell r="B666">
            <v>152</v>
          </cell>
        </row>
        <row r="667">
          <cell r="A667" t="str">
            <v>IGOR BELJANNIKOV</v>
          </cell>
          <cell r="B667">
            <v>7722</v>
          </cell>
        </row>
        <row r="668">
          <cell r="A668" t="str">
            <v>ALEKSEI BELKIN</v>
          </cell>
          <cell r="B668">
            <v>9960</v>
          </cell>
        </row>
        <row r="669">
          <cell r="A669" t="str">
            <v>JURAJ BELLA</v>
          </cell>
          <cell r="B669">
            <v>3591</v>
          </cell>
        </row>
        <row r="670">
          <cell r="A670" t="str">
            <v>REBECCA BELLEN</v>
          </cell>
          <cell r="B670">
            <v>9927</v>
          </cell>
        </row>
        <row r="671">
          <cell r="A671" t="str">
            <v>MARGARITA BELOZOR</v>
          </cell>
          <cell r="B671">
            <v>7021</v>
          </cell>
        </row>
        <row r="672">
          <cell r="A672" t="str">
            <v>SVETLANA BELOZOR</v>
          </cell>
          <cell r="B672">
            <v>6997</v>
          </cell>
        </row>
        <row r="673">
          <cell r="A673" t="str">
            <v>NIKITA BELOUS</v>
          </cell>
          <cell r="B673">
            <v>5637</v>
          </cell>
        </row>
        <row r="674">
          <cell r="A674" t="str">
            <v>VALERIY BELOUS</v>
          </cell>
          <cell r="B674">
            <v>7715</v>
          </cell>
        </row>
        <row r="675">
          <cell r="A675" t="str">
            <v>VERONIKA BELOUSOVA</v>
          </cell>
          <cell r="B675">
            <v>9091</v>
          </cell>
        </row>
        <row r="676">
          <cell r="A676" t="str">
            <v>ILJA BELOV</v>
          </cell>
          <cell r="B676">
            <v>7290</v>
          </cell>
        </row>
        <row r="677">
          <cell r="A677" t="str">
            <v>JÜRI BELOV</v>
          </cell>
          <cell r="B677">
            <v>7147</v>
          </cell>
        </row>
        <row r="678">
          <cell r="A678" t="str">
            <v>JURI BELOV</v>
          </cell>
          <cell r="B678">
            <v>2409</v>
          </cell>
        </row>
        <row r="679">
          <cell r="A679" t="str">
            <v>ALJONA BELOVA</v>
          </cell>
          <cell r="B679">
            <v>10615</v>
          </cell>
        </row>
        <row r="680">
          <cell r="A680" t="str">
            <v>JANA BELOVA</v>
          </cell>
          <cell r="B680">
            <v>10543</v>
          </cell>
        </row>
        <row r="681">
          <cell r="A681" t="str">
            <v>VERONIKA BELOVA</v>
          </cell>
          <cell r="B681">
            <v>1046</v>
          </cell>
        </row>
        <row r="682">
          <cell r="A682" t="str">
            <v>ELIZAVETA BELYAEVA</v>
          </cell>
          <cell r="B682">
            <v>5479</v>
          </cell>
        </row>
        <row r="683">
          <cell r="A683" t="str">
            <v>ARVO BENDI</v>
          </cell>
          <cell r="B683">
            <v>2476</v>
          </cell>
        </row>
        <row r="684">
          <cell r="A684" t="str">
            <v>HARRI BENDI</v>
          </cell>
          <cell r="B684">
            <v>2473</v>
          </cell>
        </row>
        <row r="685">
          <cell r="A685" t="str">
            <v>THORFINNSSON BENDIC</v>
          </cell>
          <cell r="B685">
            <v>5121</v>
          </cell>
        </row>
        <row r="686">
          <cell r="A686" t="str">
            <v>VADIM BEREŽKOV</v>
          </cell>
          <cell r="B686">
            <v>3738</v>
          </cell>
        </row>
        <row r="687">
          <cell r="A687" t="str">
            <v>KRISTINA BEREŽKOVA</v>
          </cell>
          <cell r="B687">
            <v>7431</v>
          </cell>
        </row>
        <row r="688">
          <cell r="A688" t="str">
            <v>EKATERINA BERENDEEVA</v>
          </cell>
          <cell r="B688">
            <v>5646</v>
          </cell>
        </row>
        <row r="689">
          <cell r="A689" t="str">
            <v>JELENA BERESNEVA</v>
          </cell>
          <cell r="B689">
            <v>8067</v>
          </cell>
        </row>
        <row r="690">
          <cell r="A690" t="str">
            <v>ARTUR BERESTOV</v>
          </cell>
          <cell r="B690">
            <v>6040</v>
          </cell>
        </row>
        <row r="691">
          <cell r="A691" t="str">
            <v>OSKAR BERGGREN</v>
          </cell>
          <cell r="B691">
            <v>4647</v>
          </cell>
        </row>
        <row r="692">
          <cell r="A692" t="str">
            <v>TOBIAS BERGMAN</v>
          </cell>
          <cell r="B692">
            <v>2225</v>
          </cell>
        </row>
        <row r="693">
          <cell r="A693" t="str">
            <v>MARTINŠ BERGMANIS</v>
          </cell>
          <cell r="B693">
            <v>6166</v>
          </cell>
        </row>
        <row r="694">
          <cell r="A694" t="str">
            <v>RUDOLFS BERGMANIS</v>
          </cell>
          <cell r="B694">
            <v>6179</v>
          </cell>
        </row>
        <row r="695">
          <cell r="A695" t="str">
            <v>ELMAR BERGMANN</v>
          </cell>
          <cell r="B695">
            <v>3689</v>
          </cell>
        </row>
        <row r="696">
          <cell r="A696" t="str">
            <v>NADARIAN BERIJA</v>
          </cell>
          <cell r="B696">
            <v>3739</v>
          </cell>
        </row>
        <row r="697">
          <cell r="A697" t="str">
            <v>BEATE BERKE</v>
          </cell>
          <cell r="B697">
            <v>7467</v>
          </cell>
        </row>
        <row r="698">
          <cell r="A698" t="str">
            <v>DAVID BERMAN</v>
          </cell>
          <cell r="B698">
            <v>9723</v>
          </cell>
        </row>
        <row r="699">
          <cell r="A699" t="str">
            <v>ERIC BERNER</v>
          </cell>
          <cell r="B699">
            <v>2221</v>
          </cell>
        </row>
        <row r="700">
          <cell r="A700" t="str">
            <v>MAARIKA BERNHARD</v>
          </cell>
          <cell r="B700">
            <v>3149</v>
          </cell>
        </row>
        <row r="701">
          <cell r="A701" t="str">
            <v>ALANS BERNHARDS</v>
          </cell>
          <cell r="B701">
            <v>9136</v>
          </cell>
        </row>
        <row r="702">
          <cell r="A702" t="str">
            <v>KEVINS BERNHARDS</v>
          </cell>
          <cell r="B702">
            <v>8699</v>
          </cell>
        </row>
        <row r="703">
          <cell r="A703" t="str">
            <v>MARIKA BERNHARDT</v>
          </cell>
          <cell r="B703">
            <v>4177</v>
          </cell>
        </row>
        <row r="704">
          <cell r="A704" t="str">
            <v>SAULĖ BERNIKAITĖ</v>
          </cell>
          <cell r="B704">
            <v>9667</v>
          </cell>
        </row>
        <row r="705">
          <cell r="A705" t="str">
            <v>ELVIRA BERS</v>
          </cell>
          <cell r="B705">
            <v>4179</v>
          </cell>
        </row>
        <row r="706">
          <cell r="A706" t="str">
            <v>NIKITA BERS</v>
          </cell>
          <cell r="B706">
            <v>4178</v>
          </cell>
        </row>
        <row r="707">
          <cell r="A707" t="str">
            <v>MARTIŅŠ BERZIŅŠ</v>
          </cell>
          <cell r="B707">
            <v>8915</v>
          </cell>
        </row>
        <row r="708">
          <cell r="A708" t="str">
            <v>ELINA BERZINA</v>
          </cell>
          <cell r="B708">
            <v>2960</v>
          </cell>
        </row>
        <row r="709">
          <cell r="A709" t="str">
            <v>MADARA BERZINA</v>
          </cell>
          <cell r="B709">
            <v>1716</v>
          </cell>
        </row>
        <row r="710">
          <cell r="A710" t="str">
            <v>ANDREI BERZINSH</v>
          </cell>
          <cell r="B710">
            <v>2263</v>
          </cell>
        </row>
        <row r="711">
          <cell r="A711" t="str">
            <v>ANDREI BERZINSH</v>
          </cell>
          <cell r="B711">
            <v>4063</v>
          </cell>
        </row>
        <row r="712">
          <cell r="A712" t="str">
            <v>JEVGENI BERZINSH</v>
          </cell>
          <cell r="B712">
            <v>2244</v>
          </cell>
        </row>
        <row r="713">
          <cell r="A713" t="str">
            <v>LEHTE BERTLOV</v>
          </cell>
          <cell r="B713">
            <v>28</v>
          </cell>
        </row>
        <row r="714">
          <cell r="A714" t="str">
            <v>RAMAN BESTAEU</v>
          </cell>
          <cell r="B714">
            <v>8742</v>
          </cell>
        </row>
        <row r="715">
          <cell r="A715" t="str">
            <v>GINTAUTAS BEZARAS</v>
          </cell>
          <cell r="B715">
            <v>10844</v>
          </cell>
        </row>
        <row r="716">
          <cell r="A716" t="str">
            <v>VLADIMIR BEZMENOV</v>
          </cell>
          <cell r="B716">
            <v>4648</v>
          </cell>
        </row>
        <row r="717">
          <cell r="A717" t="str">
            <v>NADEŽDA BETLINSKAJA</v>
          </cell>
          <cell r="B717">
            <v>5641</v>
          </cell>
        </row>
        <row r="718">
          <cell r="A718" t="str">
            <v>BERT BETTAI</v>
          </cell>
          <cell r="B718">
            <v>3472</v>
          </cell>
        </row>
        <row r="719">
          <cell r="A719" t="str">
            <v>ARTUR BIALEK</v>
          </cell>
          <cell r="B719">
            <v>10337</v>
          </cell>
        </row>
        <row r="720">
          <cell r="A720" t="str">
            <v>ALEKSANDER BILD</v>
          </cell>
          <cell r="B720">
            <v>1947</v>
          </cell>
        </row>
        <row r="721">
          <cell r="A721" t="str">
            <v>BEATE BILKEVICA</v>
          </cell>
          <cell r="B721">
            <v>7468</v>
          </cell>
        </row>
        <row r="722">
          <cell r="A722" t="str">
            <v>ANDREI BILOZOR</v>
          </cell>
          <cell r="B722">
            <v>2500</v>
          </cell>
        </row>
        <row r="723">
          <cell r="A723" t="str">
            <v>VERONIKA BIRJUKOVA</v>
          </cell>
          <cell r="B723">
            <v>1204</v>
          </cell>
        </row>
        <row r="724">
          <cell r="A724" t="str">
            <v>VIKTORIA BIRJUKOVA</v>
          </cell>
          <cell r="B724">
            <v>1205</v>
          </cell>
        </row>
        <row r="725">
          <cell r="A725" t="str">
            <v>MERLE BIRK</v>
          </cell>
          <cell r="B725">
            <v>7567</v>
          </cell>
        </row>
        <row r="726">
          <cell r="A726" t="str">
            <v>INGA BIRZNIECE</v>
          </cell>
          <cell r="B726">
            <v>3741</v>
          </cell>
        </row>
        <row r="727">
          <cell r="A727" t="str">
            <v>LIGA BIRZNIECE</v>
          </cell>
          <cell r="B727">
            <v>3740</v>
          </cell>
        </row>
        <row r="728">
          <cell r="A728" t="str">
            <v>IVARS BITE</v>
          </cell>
          <cell r="B728">
            <v>1357</v>
          </cell>
        </row>
        <row r="729">
          <cell r="A729" t="str">
            <v>TIMOFEI BITIUKOV</v>
          </cell>
          <cell r="B729">
            <v>8633</v>
          </cell>
        </row>
        <row r="730">
          <cell r="A730" t="str">
            <v>ALINA BJURKLAND</v>
          </cell>
          <cell r="B730">
            <v>4180</v>
          </cell>
        </row>
        <row r="731">
          <cell r="A731" t="str">
            <v>UUDO BLAASEN</v>
          </cell>
          <cell r="B731">
            <v>307</v>
          </cell>
        </row>
        <row r="732">
          <cell r="A732" t="str">
            <v>JIRI BLAZEK</v>
          </cell>
          <cell r="B732">
            <v>8751</v>
          </cell>
        </row>
        <row r="733">
          <cell r="A733" t="str">
            <v>IGNOTAS BLAZEVČIUS</v>
          </cell>
          <cell r="B733">
            <v>10576</v>
          </cell>
        </row>
        <row r="734">
          <cell r="A734" t="str">
            <v>RUSLAN BLAT</v>
          </cell>
          <cell r="B734">
            <v>9616</v>
          </cell>
        </row>
        <row r="735">
          <cell r="A735" t="str">
            <v>AIVARS BLAUZDE</v>
          </cell>
          <cell r="B735">
            <v>3519</v>
          </cell>
        </row>
        <row r="736">
          <cell r="A736" t="str">
            <v>AGU BLEIVE</v>
          </cell>
          <cell r="B736">
            <v>901</v>
          </cell>
        </row>
        <row r="737">
          <cell r="A737" t="str">
            <v>MIHHAIL BLOHHIN</v>
          </cell>
          <cell r="B737">
            <v>5370</v>
          </cell>
        </row>
        <row r="738">
          <cell r="A738" t="str">
            <v>IMRE BLOK</v>
          </cell>
          <cell r="B738">
            <v>2457</v>
          </cell>
        </row>
        <row r="739">
          <cell r="A739" t="str">
            <v>KAJ BLOMFELT</v>
          </cell>
          <cell r="B739">
            <v>1998</v>
          </cell>
        </row>
        <row r="740">
          <cell r="A740" t="str">
            <v>NADEZDA BLUMA</v>
          </cell>
          <cell r="B740">
            <v>3983</v>
          </cell>
        </row>
        <row r="741">
          <cell r="A741" t="str">
            <v>RAINELDA ESTERE BLUMBERGA</v>
          </cell>
          <cell r="B741">
            <v>8624</v>
          </cell>
        </row>
        <row r="742">
          <cell r="A742" t="str">
            <v>JEGOR BOBKOV</v>
          </cell>
          <cell r="B742">
            <v>3742</v>
          </cell>
        </row>
        <row r="743">
          <cell r="A743" t="str">
            <v>ANNA-LISA BOBROV</v>
          </cell>
          <cell r="B743">
            <v>4181</v>
          </cell>
        </row>
        <row r="744">
          <cell r="A744" t="str">
            <v>DMITRI BOBROV</v>
          </cell>
          <cell r="B744">
            <v>10339</v>
          </cell>
        </row>
        <row r="745">
          <cell r="A745" t="str">
            <v>HANNA-LOORA BOBROV</v>
          </cell>
          <cell r="B745">
            <v>3155</v>
          </cell>
        </row>
        <row r="746">
          <cell r="A746" t="str">
            <v>VLADIMIR BOBROV</v>
          </cell>
          <cell r="B746">
            <v>9072</v>
          </cell>
        </row>
        <row r="747">
          <cell r="A747" t="str">
            <v>DENISS BODNJA</v>
          </cell>
          <cell r="B747">
            <v>2548</v>
          </cell>
        </row>
        <row r="748">
          <cell r="A748" t="str">
            <v>LINDA BOGDANE</v>
          </cell>
          <cell r="B748">
            <v>1710</v>
          </cell>
        </row>
        <row r="749">
          <cell r="A749" t="str">
            <v>ARNOLD BOGDANOV</v>
          </cell>
          <cell r="B749">
            <v>2017</v>
          </cell>
        </row>
        <row r="750">
          <cell r="A750" t="str">
            <v>IGOR BOGDANOV</v>
          </cell>
          <cell r="B750">
            <v>4769</v>
          </cell>
        </row>
        <row r="751">
          <cell r="A751" t="str">
            <v>NIKITA BOGDANOV</v>
          </cell>
          <cell r="B751">
            <v>7952</v>
          </cell>
        </row>
        <row r="752">
          <cell r="A752" t="str">
            <v>KARINA BOGDANOVA</v>
          </cell>
          <cell r="B752">
            <v>4182</v>
          </cell>
        </row>
        <row r="753">
          <cell r="A753" t="str">
            <v>LIVA BOGDANOVICA</v>
          </cell>
          <cell r="B753">
            <v>7469</v>
          </cell>
        </row>
        <row r="754">
          <cell r="A754" t="str">
            <v>INTARS BOGDANS</v>
          </cell>
          <cell r="B754">
            <v>2264</v>
          </cell>
        </row>
        <row r="755">
          <cell r="A755" t="str">
            <v>BAIBA BOGDASAROVA</v>
          </cell>
          <cell r="B755">
            <v>1206</v>
          </cell>
        </row>
        <row r="756">
          <cell r="A756" t="str">
            <v>IGOR BOGDASHKO</v>
          </cell>
          <cell r="B756">
            <v>4183</v>
          </cell>
        </row>
        <row r="757">
          <cell r="A757" t="str">
            <v>RICKARD BOGEMYR</v>
          </cell>
          <cell r="B757">
            <v>2588</v>
          </cell>
        </row>
        <row r="758">
          <cell r="A758" t="str">
            <v>ARSEN BOGENS</v>
          </cell>
          <cell r="B758">
            <v>9491</v>
          </cell>
        </row>
        <row r="759">
          <cell r="A759" t="str">
            <v>ALEKSANDR BOGLOV</v>
          </cell>
          <cell r="B759">
            <v>4988</v>
          </cell>
        </row>
        <row r="760">
          <cell r="A760" t="str">
            <v>ALEKSEI BOGLOV</v>
          </cell>
          <cell r="B760">
            <v>1477</v>
          </cell>
        </row>
        <row r="761">
          <cell r="A761" t="str">
            <v>ANASTASSIA BOGLOVA</v>
          </cell>
          <cell r="B761">
            <v>9987</v>
          </cell>
        </row>
        <row r="762">
          <cell r="A762" t="str">
            <v>ANASTASSIJA BOGLOVA</v>
          </cell>
          <cell r="B762">
            <v>9923</v>
          </cell>
        </row>
        <row r="763">
          <cell r="A763" t="str">
            <v>MARIA BOGLOVA</v>
          </cell>
          <cell r="B763">
            <v>29</v>
          </cell>
        </row>
        <row r="764">
          <cell r="A764" t="str">
            <v>JAAN BOGOMOLOV</v>
          </cell>
          <cell r="B764">
            <v>2892</v>
          </cell>
        </row>
        <row r="765">
          <cell r="A765" t="str">
            <v>OTTO BOIJE</v>
          </cell>
          <cell r="B765">
            <v>937</v>
          </cell>
        </row>
        <row r="766">
          <cell r="A766" t="str">
            <v>FILIPP BOIKO</v>
          </cell>
          <cell r="B766">
            <v>6017</v>
          </cell>
        </row>
        <row r="767">
          <cell r="A767" t="str">
            <v>JURIJS BOIKO</v>
          </cell>
          <cell r="B767">
            <v>8341</v>
          </cell>
        </row>
        <row r="768">
          <cell r="A768" t="str">
            <v>LEONID BOITSOV</v>
          </cell>
          <cell r="B768">
            <v>153</v>
          </cell>
        </row>
        <row r="769">
          <cell r="A769" t="str">
            <v>JAANIKA BOITSOVA</v>
          </cell>
          <cell r="B769">
            <v>4184</v>
          </cell>
        </row>
        <row r="770">
          <cell r="A770" t="str">
            <v>ALEKSANDRA BOJARTŠUK</v>
          </cell>
          <cell r="B770">
            <v>8364</v>
          </cell>
        </row>
        <row r="771">
          <cell r="A771" t="str">
            <v>ANDRIAN BOLŠAKOV</v>
          </cell>
          <cell r="B771">
            <v>5672</v>
          </cell>
        </row>
        <row r="772">
          <cell r="A772" t="str">
            <v>FRED PETER BOLDIN</v>
          </cell>
          <cell r="B772">
            <v>10320</v>
          </cell>
        </row>
        <row r="773">
          <cell r="A773" t="str">
            <v>AAVO BOLLVERK</v>
          </cell>
          <cell r="B773">
            <v>157</v>
          </cell>
        </row>
        <row r="774">
          <cell r="A774" t="str">
            <v>KARLIS BOLLVERK</v>
          </cell>
          <cell r="B774">
            <v>6239</v>
          </cell>
        </row>
        <row r="775">
          <cell r="A775" t="str">
            <v>ALEKSEI BOLSHAKOV</v>
          </cell>
          <cell r="B775">
            <v>1376</v>
          </cell>
        </row>
        <row r="776">
          <cell r="A776" t="str">
            <v>DENIS BOLTRUSHKO</v>
          </cell>
          <cell r="B776">
            <v>1224</v>
          </cell>
        </row>
        <row r="777">
          <cell r="A777" t="str">
            <v>ERNST BOMBE</v>
          </cell>
          <cell r="B777">
            <v>154</v>
          </cell>
        </row>
        <row r="778">
          <cell r="A778" t="str">
            <v>ANATOLI BONDARENKO</v>
          </cell>
          <cell r="B778">
            <v>1512</v>
          </cell>
        </row>
        <row r="779">
          <cell r="A779" t="str">
            <v>DARJA BONDAREVA</v>
          </cell>
          <cell r="B779">
            <v>5453</v>
          </cell>
        </row>
        <row r="780">
          <cell r="A780" t="str">
            <v>ANDREI BONDARIK</v>
          </cell>
          <cell r="B780">
            <v>4185</v>
          </cell>
        </row>
        <row r="781">
          <cell r="A781" t="str">
            <v>LUKAS BONDERUP</v>
          </cell>
          <cell r="B781">
            <v>8138</v>
          </cell>
        </row>
        <row r="782">
          <cell r="A782" t="str">
            <v>VLADISLAV BONDYGOV</v>
          </cell>
          <cell r="B782">
            <v>6042</v>
          </cell>
        </row>
        <row r="783">
          <cell r="A783" t="str">
            <v>SARAH BONNIN</v>
          </cell>
          <cell r="B783">
            <v>10696</v>
          </cell>
        </row>
        <row r="784">
          <cell r="A784" t="str">
            <v>BRECA BORGA</v>
          </cell>
          <cell r="B784">
            <v>7904</v>
          </cell>
        </row>
        <row r="785">
          <cell r="A785" t="str">
            <v>MATHIAS BORGERSEN</v>
          </cell>
          <cell r="B785">
            <v>2215</v>
          </cell>
        </row>
        <row r="786">
          <cell r="A786" t="str">
            <v>IRINA BORISIK</v>
          </cell>
          <cell r="B786">
            <v>4186</v>
          </cell>
        </row>
        <row r="787">
          <cell r="A787" t="str">
            <v>TAISIA BORISOVA</v>
          </cell>
          <cell r="B787">
            <v>8582</v>
          </cell>
        </row>
        <row r="788">
          <cell r="A788" t="str">
            <v>VALĒRIJA BORISOVA</v>
          </cell>
          <cell r="B788">
            <v>10653</v>
          </cell>
        </row>
        <row r="789">
          <cell r="A789" t="str">
            <v>JEVGENI BORISSOV</v>
          </cell>
          <cell r="B789">
            <v>4187</v>
          </cell>
        </row>
        <row r="790">
          <cell r="A790" t="str">
            <v>OLEG BORISSOV</v>
          </cell>
          <cell r="B790">
            <v>7116</v>
          </cell>
        </row>
        <row r="791">
          <cell r="A791" t="str">
            <v>MARIA BORISSOVA</v>
          </cell>
          <cell r="B791">
            <v>7326</v>
          </cell>
        </row>
        <row r="792">
          <cell r="A792" t="str">
            <v>TAISSIA BORISSOVA</v>
          </cell>
          <cell r="B792">
            <v>9251</v>
          </cell>
        </row>
        <row r="793">
          <cell r="A793" t="str">
            <v>ANNE BORKMANN</v>
          </cell>
          <cell r="B793">
            <v>2758</v>
          </cell>
        </row>
        <row r="794">
          <cell r="A794" t="str">
            <v>MARCUS BORKMANN</v>
          </cell>
          <cell r="B794">
            <v>9449</v>
          </cell>
        </row>
        <row r="795">
          <cell r="A795" t="str">
            <v>MART BORN</v>
          </cell>
          <cell r="B795">
            <v>9734</v>
          </cell>
        </row>
        <row r="796">
          <cell r="A796" t="str">
            <v>JEGOR BORODIN</v>
          </cell>
          <cell r="B796">
            <v>3743</v>
          </cell>
        </row>
        <row r="797">
          <cell r="A797" t="str">
            <v>OLGA BORODINA</v>
          </cell>
          <cell r="B797">
            <v>30</v>
          </cell>
        </row>
        <row r="798">
          <cell r="A798" t="str">
            <v>TATIANA BORODITCKAJA</v>
          </cell>
          <cell r="B798">
            <v>7110</v>
          </cell>
        </row>
        <row r="799">
          <cell r="A799" t="str">
            <v>JURI BORODULIN</v>
          </cell>
          <cell r="B799">
            <v>4770</v>
          </cell>
        </row>
        <row r="800">
          <cell r="A800" t="str">
            <v>ALEKS BORONILŠTŠIKOV</v>
          </cell>
          <cell r="B800">
            <v>9159</v>
          </cell>
        </row>
        <row r="801">
          <cell r="A801" t="str">
            <v>ANDREI BOROTOV</v>
          </cell>
          <cell r="B801">
            <v>4188</v>
          </cell>
        </row>
        <row r="802">
          <cell r="A802" t="str">
            <v>MAKSIM BOROVSKI</v>
          </cell>
          <cell r="B802">
            <v>5286</v>
          </cell>
        </row>
        <row r="803">
          <cell r="A803" t="str">
            <v>VLADISLAV BOROVUŠKIN</v>
          </cell>
          <cell r="B803">
            <v>5463</v>
          </cell>
        </row>
        <row r="804">
          <cell r="A804" t="str">
            <v>BEATRIS BOTVINA</v>
          </cell>
          <cell r="B804">
            <v>7824</v>
          </cell>
        </row>
        <row r="805">
          <cell r="A805" t="str">
            <v>BOUER BOUER</v>
          </cell>
          <cell r="B805">
            <v>10393</v>
          </cell>
        </row>
        <row r="806">
          <cell r="A806" t="str">
            <v>SOFIJA BOUER</v>
          </cell>
          <cell r="B806">
            <v>10380</v>
          </cell>
        </row>
        <row r="807">
          <cell r="A807" t="str">
            <v>JONATHAN BOYER</v>
          </cell>
          <cell r="B807">
            <v>10603</v>
          </cell>
        </row>
        <row r="808">
          <cell r="A808" t="str">
            <v>YOCHANA IRINA SOFIA BOYER</v>
          </cell>
          <cell r="B808">
            <v>10528</v>
          </cell>
        </row>
        <row r="809">
          <cell r="A809" t="str">
            <v>EVA-MARIA BOYKO</v>
          </cell>
          <cell r="B809">
            <v>8861</v>
          </cell>
        </row>
        <row r="810">
          <cell r="A810" t="str">
            <v>IVAN BRAGIN</v>
          </cell>
          <cell r="B810">
            <v>7350</v>
          </cell>
        </row>
        <row r="811">
          <cell r="A811" t="str">
            <v>JEGOR BRAGIN</v>
          </cell>
          <cell r="B811">
            <v>9653</v>
          </cell>
        </row>
        <row r="812">
          <cell r="A812" t="str">
            <v>JULIA BRAGINA</v>
          </cell>
          <cell r="B812">
            <v>8003</v>
          </cell>
        </row>
        <row r="813">
          <cell r="A813" t="str">
            <v>KSENIA BRAGINA</v>
          </cell>
          <cell r="B813">
            <v>5940</v>
          </cell>
        </row>
        <row r="814">
          <cell r="A814" t="str">
            <v>MARIS BRAMMANIS</v>
          </cell>
          <cell r="B814">
            <v>2801</v>
          </cell>
        </row>
        <row r="815">
          <cell r="A815" t="str">
            <v>MARGUS BRANT</v>
          </cell>
          <cell r="B815">
            <v>1292</v>
          </cell>
        </row>
        <row r="816">
          <cell r="A816" t="str">
            <v>EDVARD BRANTZAEG</v>
          </cell>
          <cell r="B816">
            <v>5080</v>
          </cell>
        </row>
        <row r="817">
          <cell r="A817" t="str">
            <v>KALLE BRÜGEL</v>
          </cell>
          <cell r="B817">
            <v>8565</v>
          </cell>
        </row>
        <row r="818">
          <cell r="A818" t="str">
            <v>ZANETA BRASAITE</v>
          </cell>
          <cell r="B818">
            <v>2524</v>
          </cell>
        </row>
        <row r="819">
          <cell r="A819" t="str">
            <v>STANISLAV BRATANOV</v>
          </cell>
          <cell r="B819">
            <v>2552</v>
          </cell>
        </row>
        <row r="820">
          <cell r="A820" t="str">
            <v>ANATOLI BRAUN</v>
          </cell>
          <cell r="B820">
            <v>1732</v>
          </cell>
        </row>
        <row r="821">
          <cell r="A821" t="str">
            <v>SANDRA BRAUN</v>
          </cell>
          <cell r="B821">
            <v>10234</v>
          </cell>
        </row>
        <row r="822">
          <cell r="A822" t="str">
            <v>DANIELS BRECS</v>
          </cell>
          <cell r="B822">
            <v>2585</v>
          </cell>
        </row>
        <row r="823">
          <cell r="A823" t="str">
            <v>KRISTIAN BRECS</v>
          </cell>
          <cell r="B823">
            <v>2584</v>
          </cell>
        </row>
        <row r="824">
          <cell r="A824" t="str">
            <v>INGRIDA BREIDŹIUTE</v>
          </cell>
          <cell r="B824">
            <v>3744</v>
          </cell>
        </row>
        <row r="825">
          <cell r="A825" t="str">
            <v>FLORENT BRICHET</v>
          </cell>
          <cell r="B825">
            <v>9910</v>
          </cell>
        </row>
        <row r="826">
          <cell r="A826" t="str">
            <v>MARIO BRIKMANIS</v>
          </cell>
          <cell r="B826">
            <v>7165</v>
          </cell>
        </row>
        <row r="827">
          <cell r="A827" t="str">
            <v>VLADIMIR BRIL</v>
          </cell>
          <cell r="B827">
            <v>6240</v>
          </cell>
        </row>
        <row r="828">
          <cell r="A828" t="str">
            <v>ALEKSEI BRITVIN</v>
          </cell>
          <cell r="B828">
            <v>2079</v>
          </cell>
        </row>
        <row r="829">
          <cell r="A829" t="str">
            <v>KRISTIINA BRJANTSEVA</v>
          </cell>
          <cell r="B829">
            <v>31</v>
          </cell>
        </row>
        <row r="830">
          <cell r="A830" t="str">
            <v>VITALI BRODJANSKI</v>
          </cell>
          <cell r="B830">
            <v>1515</v>
          </cell>
        </row>
        <row r="831">
          <cell r="A831" t="str">
            <v>EDUARD BROK</v>
          </cell>
          <cell r="B831">
            <v>2027</v>
          </cell>
        </row>
        <row r="832">
          <cell r="A832" t="str">
            <v>ROMUALD BRUDNIS</v>
          </cell>
          <cell r="B832">
            <v>3532</v>
          </cell>
        </row>
        <row r="833">
          <cell r="A833" t="str">
            <v>ALEKSANDR BRUNFELD</v>
          </cell>
          <cell r="B833">
            <v>1388</v>
          </cell>
        </row>
        <row r="834">
          <cell r="A834" t="str">
            <v>KIRILL BRUTOVSKI</v>
          </cell>
          <cell r="B834">
            <v>8678</v>
          </cell>
        </row>
        <row r="835">
          <cell r="A835" t="str">
            <v>MARIUS BUCYS</v>
          </cell>
          <cell r="B835">
            <v>2521</v>
          </cell>
        </row>
        <row r="836">
          <cell r="A836" t="str">
            <v>RAMUNIS BUDRIUNAS</v>
          </cell>
          <cell r="B836">
            <v>3528</v>
          </cell>
        </row>
        <row r="837">
          <cell r="A837" t="str">
            <v>MELIH BUGUR</v>
          </cell>
          <cell r="B837">
            <v>9804</v>
          </cell>
        </row>
        <row r="838">
          <cell r="A838" t="str">
            <v>DANIEL BUHHAROV</v>
          </cell>
          <cell r="B838">
            <v>10480</v>
          </cell>
        </row>
        <row r="839">
          <cell r="A839" t="str">
            <v>ANTON BUKETOV</v>
          </cell>
          <cell r="B839">
            <v>2444</v>
          </cell>
        </row>
        <row r="840">
          <cell r="A840" t="str">
            <v>KRISTAP BUKOVSKIS</v>
          </cell>
          <cell r="B840">
            <v>2590</v>
          </cell>
        </row>
        <row r="841">
          <cell r="A841" t="str">
            <v>LUDMILLA BULAHA</v>
          </cell>
          <cell r="B841">
            <v>3704</v>
          </cell>
        </row>
        <row r="842">
          <cell r="A842" t="str">
            <v>NIINA BULAJEVA</v>
          </cell>
          <cell r="B842">
            <v>1495</v>
          </cell>
        </row>
        <row r="843">
          <cell r="A843" t="str">
            <v>SEMJON BULANOVITŠ</v>
          </cell>
          <cell r="B843">
            <v>9952</v>
          </cell>
        </row>
        <row r="844">
          <cell r="A844" t="str">
            <v>STEPAN BULANOVITŠ</v>
          </cell>
          <cell r="B844">
            <v>9618</v>
          </cell>
        </row>
        <row r="845">
          <cell r="A845" t="str">
            <v>RASHID BULATOV</v>
          </cell>
          <cell r="B845">
            <v>1864</v>
          </cell>
        </row>
        <row r="846">
          <cell r="A846" t="str">
            <v>STEPAN BULAVKIN</v>
          </cell>
          <cell r="B846">
            <v>5629</v>
          </cell>
        </row>
        <row r="847">
          <cell r="A847" t="str">
            <v>SOFIJA BULAVKINA</v>
          </cell>
          <cell r="B847">
            <v>7918</v>
          </cell>
        </row>
        <row r="848">
          <cell r="A848" t="str">
            <v>STEPAN BULAVSKI</v>
          </cell>
          <cell r="B848">
            <v>5366</v>
          </cell>
        </row>
        <row r="849">
          <cell r="A849" t="str">
            <v>SEBASTIAN BULLEGHIN</v>
          </cell>
          <cell r="B849">
            <v>1625</v>
          </cell>
        </row>
        <row r="850">
          <cell r="A850" t="str">
            <v>VIKTOR BULMEISTER</v>
          </cell>
          <cell r="B850">
            <v>2764</v>
          </cell>
        </row>
        <row r="851">
          <cell r="A851" t="str">
            <v>ARINA BULMEISTERE</v>
          </cell>
          <cell r="B851">
            <v>2771</v>
          </cell>
        </row>
        <row r="852">
          <cell r="A852" t="str">
            <v>ERIK BUMAN</v>
          </cell>
          <cell r="B852">
            <v>3082</v>
          </cell>
        </row>
        <row r="853">
          <cell r="A853" t="str">
            <v>TRISTAN BUNGE</v>
          </cell>
          <cell r="B853">
            <v>9752</v>
          </cell>
        </row>
        <row r="854">
          <cell r="A854" t="str">
            <v>MARGARITA BUNKE</v>
          </cell>
          <cell r="B854">
            <v>1822</v>
          </cell>
        </row>
        <row r="855">
          <cell r="A855" t="str">
            <v>MARIKA BUNKE</v>
          </cell>
          <cell r="B855">
            <v>1717</v>
          </cell>
        </row>
        <row r="856">
          <cell r="A856" t="str">
            <v>ROMAN BURAKOV</v>
          </cell>
          <cell r="B856">
            <v>1445</v>
          </cell>
        </row>
        <row r="857">
          <cell r="A857" t="str">
            <v>MANTAS BUREIKA</v>
          </cell>
          <cell r="B857">
            <v>3745</v>
          </cell>
        </row>
        <row r="858">
          <cell r="A858" t="str">
            <v>MATISS BURGIS</v>
          </cell>
          <cell r="B858">
            <v>1516</v>
          </cell>
        </row>
        <row r="859">
          <cell r="A859" t="str">
            <v>REINIS BURGIS</v>
          </cell>
          <cell r="B859">
            <v>1513</v>
          </cell>
        </row>
        <row r="860">
          <cell r="A860" t="str">
            <v>JÜRI BURIHHIN</v>
          </cell>
          <cell r="B860">
            <v>7392</v>
          </cell>
        </row>
        <row r="861">
          <cell r="A861" t="str">
            <v>ANASTASSIA BURLAK</v>
          </cell>
          <cell r="B861">
            <v>9782</v>
          </cell>
        </row>
        <row r="862">
          <cell r="A862" t="str">
            <v>PIRET BURMEISTER</v>
          </cell>
          <cell r="B862">
            <v>32</v>
          </cell>
        </row>
        <row r="863">
          <cell r="A863" t="str">
            <v>TÕNU BURMEISTER</v>
          </cell>
          <cell r="B863">
            <v>449</v>
          </cell>
        </row>
        <row r="864">
          <cell r="A864" t="str">
            <v>VIKTORIA BURMISTOVA</v>
          </cell>
          <cell r="B864">
            <v>7568</v>
          </cell>
        </row>
        <row r="865">
          <cell r="A865" t="str">
            <v>ARTUR BURNAZYAN</v>
          </cell>
          <cell r="B865">
            <v>5640</v>
          </cell>
        </row>
        <row r="866">
          <cell r="A866" t="str">
            <v>DANIIL BUROV</v>
          </cell>
          <cell r="B866">
            <v>7830</v>
          </cell>
        </row>
        <row r="867">
          <cell r="A867" t="str">
            <v>VJATSESLAV BUROV</v>
          </cell>
          <cell r="B867">
            <v>3160</v>
          </cell>
        </row>
        <row r="868">
          <cell r="A868" t="str">
            <v>ANGELINA BURTSEVA</v>
          </cell>
          <cell r="B868">
            <v>2445</v>
          </cell>
        </row>
        <row r="869">
          <cell r="A869" t="str">
            <v>ANNA BURTSEVA</v>
          </cell>
          <cell r="B869">
            <v>8223</v>
          </cell>
        </row>
        <row r="870">
          <cell r="A870" t="str">
            <v>AGAFIA BUSA</v>
          </cell>
          <cell r="B870">
            <v>3706</v>
          </cell>
        </row>
        <row r="871">
          <cell r="A871" t="str">
            <v>HENRI BUSCH</v>
          </cell>
          <cell r="B871">
            <v>2800</v>
          </cell>
        </row>
        <row r="872">
          <cell r="A872" t="str">
            <v>KATRIN BUSCH</v>
          </cell>
          <cell r="B872">
            <v>7200</v>
          </cell>
        </row>
        <row r="873">
          <cell r="A873" t="str">
            <v>SIGNE LIIS BUSCH</v>
          </cell>
          <cell r="B873">
            <v>7854</v>
          </cell>
        </row>
        <row r="874">
          <cell r="A874" t="str">
            <v>ILJA BUSHEIKO</v>
          </cell>
          <cell r="B874">
            <v>2988</v>
          </cell>
        </row>
        <row r="875">
          <cell r="A875" t="str">
            <v>MARGARITA BUSORGINA</v>
          </cell>
          <cell r="B875">
            <v>1207</v>
          </cell>
        </row>
        <row r="876">
          <cell r="A876" t="str">
            <v>DANIIL BUZAK</v>
          </cell>
          <cell r="B876">
            <v>10399</v>
          </cell>
        </row>
        <row r="877">
          <cell r="A877" t="str">
            <v>JEVGENI BUZAK</v>
          </cell>
          <cell r="B877">
            <v>7190</v>
          </cell>
        </row>
        <row r="878">
          <cell r="A878" t="str">
            <v>SERGEI BUZAK</v>
          </cell>
          <cell r="B878">
            <v>3114</v>
          </cell>
        </row>
        <row r="879">
          <cell r="A879" t="str">
            <v>LEONID BUTAKOV</v>
          </cell>
          <cell r="B879">
            <v>156</v>
          </cell>
        </row>
        <row r="880">
          <cell r="A880" t="str">
            <v>ILJA BUTRIN</v>
          </cell>
          <cell r="B880">
            <v>4189</v>
          </cell>
        </row>
        <row r="881">
          <cell r="A881" t="str">
            <v>ROMI BUUSMAN</v>
          </cell>
          <cell r="B881">
            <v>7167</v>
          </cell>
        </row>
        <row r="882">
          <cell r="A882" t="str">
            <v>IEVA BUČINSKAITĖ</v>
          </cell>
          <cell r="B882">
            <v>9356</v>
          </cell>
        </row>
        <row r="883">
          <cell r="A883" t="str">
            <v>DOMANTAS BUČINSKAS</v>
          </cell>
          <cell r="B883">
            <v>8560</v>
          </cell>
        </row>
        <row r="884">
          <cell r="A884" t="str">
            <v>KRISTERS BĀLIŅŠ</v>
          </cell>
          <cell r="B884">
            <v>9285</v>
          </cell>
        </row>
        <row r="885">
          <cell r="A885" t="str">
            <v>MAXIM BYSTROV</v>
          </cell>
          <cell r="B885">
            <v>10589</v>
          </cell>
        </row>
        <row r="886">
          <cell r="A886" t="str">
            <v>CRAIGE CAMPBELL</v>
          </cell>
          <cell r="B886">
            <v>9277</v>
          </cell>
        </row>
        <row r="887">
          <cell r="A887" t="str">
            <v>BARBARA CASTKOVA</v>
          </cell>
          <cell r="B887">
            <v>3746</v>
          </cell>
        </row>
        <row r="888">
          <cell r="A888" t="str">
            <v>ANDREJS CEMIRTANS</v>
          </cell>
          <cell r="B888">
            <v>7424</v>
          </cell>
        </row>
        <row r="889">
          <cell r="A889" t="str">
            <v>KLAIDAS CEPAITIS</v>
          </cell>
          <cell r="B889">
            <v>7744</v>
          </cell>
        </row>
        <row r="890">
          <cell r="A890" t="str">
            <v>VEČISLAVAS CHAKIMOVAS</v>
          </cell>
          <cell r="B890">
            <v>10764</v>
          </cell>
        </row>
        <row r="891">
          <cell r="A891" t="str">
            <v>TANMOY CHAKRABARTY</v>
          </cell>
          <cell r="B891">
            <v>9015</v>
          </cell>
        </row>
        <row r="892">
          <cell r="A892" t="str">
            <v>HUY CHAU DINH</v>
          </cell>
          <cell r="B892">
            <v>6241</v>
          </cell>
        </row>
        <row r="893">
          <cell r="A893" t="str">
            <v>KIRILL CHAUZOV</v>
          </cell>
          <cell r="B893">
            <v>3747</v>
          </cell>
        </row>
        <row r="894">
          <cell r="A894" t="str">
            <v>ANDREIJS CHEMIRTANS</v>
          </cell>
          <cell r="B894">
            <v>7330</v>
          </cell>
        </row>
        <row r="895">
          <cell r="A895" t="str">
            <v>ANASTASIIA CHEREPOVSKAIA</v>
          </cell>
          <cell r="B895">
            <v>5648</v>
          </cell>
        </row>
        <row r="896">
          <cell r="A896" t="str">
            <v>IHOR CHERKASHYN</v>
          </cell>
          <cell r="B896">
            <v>10627</v>
          </cell>
        </row>
        <row r="897">
          <cell r="A897" t="str">
            <v>YEVHENII CHERKASHYN</v>
          </cell>
          <cell r="B897">
            <v>10259</v>
          </cell>
        </row>
        <row r="898">
          <cell r="A898" t="str">
            <v>VALERI CHERNÕHH</v>
          </cell>
          <cell r="B898">
            <v>278</v>
          </cell>
        </row>
        <row r="899">
          <cell r="A899" t="str">
            <v>VADIM CHIKANCHY</v>
          </cell>
          <cell r="B899">
            <v>10796</v>
          </cell>
        </row>
        <row r="900">
          <cell r="A900" t="str">
            <v>ANNA CHIZHEVICH</v>
          </cell>
          <cell r="B900">
            <v>1609</v>
          </cell>
        </row>
        <row r="901">
          <cell r="A901" t="str">
            <v>GERT CHRISTJANSON</v>
          </cell>
          <cell r="B901">
            <v>3496</v>
          </cell>
        </row>
        <row r="902">
          <cell r="A902" t="str">
            <v>JOHANNA CHRISTJANSON</v>
          </cell>
          <cell r="B902">
            <v>2358</v>
          </cell>
        </row>
        <row r="903">
          <cell r="A903" t="str">
            <v>JANA CHRISTOPHER</v>
          </cell>
          <cell r="B903">
            <v>10035</v>
          </cell>
        </row>
        <row r="904">
          <cell r="A904" t="str">
            <v>ALEKSEIJS CHUGUNOVS</v>
          </cell>
          <cell r="B904">
            <v>2250</v>
          </cell>
        </row>
        <row r="905">
          <cell r="A905" t="str">
            <v>SERGEIJS CHUGUNOVS</v>
          </cell>
          <cell r="B905">
            <v>2238</v>
          </cell>
        </row>
        <row r="906">
          <cell r="A906" t="str">
            <v>ALYONA CHUKHNYAY</v>
          </cell>
          <cell r="B906">
            <v>5678</v>
          </cell>
        </row>
        <row r="907">
          <cell r="A907" t="str">
            <v>NADEŽDA CHUVPILO</v>
          </cell>
          <cell r="B907">
            <v>9156</v>
          </cell>
        </row>
        <row r="908">
          <cell r="A908" t="str">
            <v>ROALDS CILDERMANIS</v>
          </cell>
          <cell r="B908">
            <v>1729</v>
          </cell>
        </row>
        <row r="909">
          <cell r="A909" t="str">
            <v>ARMANDS CIRULIS</v>
          </cell>
          <cell r="B909">
            <v>850</v>
          </cell>
        </row>
        <row r="910">
          <cell r="A910" t="str">
            <v>JANIS CIRULIS</v>
          </cell>
          <cell r="B910">
            <v>848</v>
          </cell>
        </row>
        <row r="911">
          <cell r="A911" t="str">
            <v>ALEXANDER CLAVEL</v>
          </cell>
          <cell r="B911">
            <v>7872</v>
          </cell>
        </row>
        <row r="912">
          <cell r="A912" t="str">
            <v>JORA CLIPII</v>
          </cell>
          <cell r="B912">
            <v>10868</v>
          </cell>
        </row>
        <row r="913">
          <cell r="A913" t="str">
            <v>ETIENNE COLAFRANCESCO</v>
          </cell>
          <cell r="B913">
            <v>6244</v>
          </cell>
        </row>
        <row r="914">
          <cell r="A914" t="str">
            <v>CHIRILL COVALENKO</v>
          </cell>
          <cell r="B914">
            <v>10492</v>
          </cell>
        </row>
        <row r="915">
          <cell r="A915" t="str">
            <v>SERGEIJS CUGUNOVS</v>
          </cell>
          <cell r="B915">
            <v>3518</v>
          </cell>
        </row>
        <row r="916">
          <cell r="A916" t="str">
            <v>SILJA CYBAIER-KIBENA</v>
          </cell>
          <cell r="B916">
            <v>60</v>
          </cell>
        </row>
        <row r="917">
          <cell r="A917" t="str">
            <v>ANDRE LARS DA CUNHA</v>
          </cell>
          <cell r="B917">
            <v>10634</v>
          </cell>
        </row>
        <row r="918">
          <cell r="A918" t="str">
            <v>DMITRI DÕRIN</v>
          </cell>
          <cell r="B918">
            <v>4196</v>
          </cell>
        </row>
        <row r="919">
          <cell r="A919" t="str">
            <v>GEORGI DADONOV</v>
          </cell>
          <cell r="B919">
            <v>9099</v>
          </cell>
        </row>
        <row r="920">
          <cell r="A920" t="str">
            <v>ALEKSAS DAMALAKAS</v>
          </cell>
          <cell r="B920">
            <v>8779</v>
          </cell>
        </row>
        <row r="921">
          <cell r="A921" t="str">
            <v>VIKTORAS DAMBRAUSKAS</v>
          </cell>
          <cell r="B921">
            <v>7327</v>
          </cell>
        </row>
        <row r="922">
          <cell r="A922" t="str">
            <v>VILIUS DANIŪNAS</v>
          </cell>
          <cell r="B922">
            <v>7322</v>
          </cell>
        </row>
        <row r="923">
          <cell r="A923" t="str">
            <v>ULADZISLAU DANIANKOU</v>
          </cell>
          <cell r="B923">
            <v>8316</v>
          </cell>
        </row>
        <row r="924">
          <cell r="A924" t="str">
            <v>RUDOLF DANIEL</v>
          </cell>
          <cell r="B924">
            <v>3984</v>
          </cell>
        </row>
        <row r="925">
          <cell r="A925" t="str">
            <v>VILIUS DANIELIUS</v>
          </cell>
          <cell r="B925">
            <v>8777</v>
          </cell>
        </row>
        <row r="926">
          <cell r="A926" t="str">
            <v>MIIKAEL DANIELJANTS</v>
          </cell>
          <cell r="B926">
            <v>2760</v>
          </cell>
        </row>
        <row r="927">
          <cell r="A927" t="str">
            <v>ALLAN DANIELSON</v>
          </cell>
          <cell r="B927">
            <v>7581</v>
          </cell>
        </row>
        <row r="928">
          <cell r="A928" t="str">
            <v>OSKAR DANIELSSON</v>
          </cell>
          <cell r="B928">
            <v>4989</v>
          </cell>
        </row>
        <row r="929">
          <cell r="A929" t="str">
            <v>ANDREI DANILOV</v>
          </cell>
          <cell r="B929">
            <v>3402</v>
          </cell>
        </row>
        <row r="930">
          <cell r="A930" t="str">
            <v>HANNES DANILOV</v>
          </cell>
          <cell r="B930">
            <v>4110</v>
          </cell>
        </row>
        <row r="931">
          <cell r="A931" t="str">
            <v>NIKITA DANILOV</v>
          </cell>
          <cell r="B931">
            <v>4191</v>
          </cell>
        </row>
        <row r="932">
          <cell r="A932" t="str">
            <v>NIKOLAI DANILOV</v>
          </cell>
          <cell r="B932">
            <v>1964</v>
          </cell>
        </row>
        <row r="933">
          <cell r="A933" t="str">
            <v>SERGEI DANILOV</v>
          </cell>
          <cell r="B933">
            <v>496</v>
          </cell>
        </row>
        <row r="934">
          <cell r="A934" t="str">
            <v>ULADZISLAU DANINKOU</v>
          </cell>
          <cell r="B934">
            <v>9200</v>
          </cell>
        </row>
        <row r="935">
          <cell r="A935" t="str">
            <v>TOAN DAO</v>
          </cell>
          <cell r="B935">
            <v>10311</v>
          </cell>
        </row>
        <row r="936">
          <cell r="A936" t="str">
            <v>JONAS DARGIS</v>
          </cell>
          <cell r="B936">
            <v>3482</v>
          </cell>
        </row>
        <row r="937">
          <cell r="A937" t="str">
            <v>MARKUS DARKEVICS</v>
          </cell>
          <cell r="B937">
            <v>10110</v>
          </cell>
        </row>
        <row r="938">
          <cell r="A938" t="str">
            <v>ANDREI DASHUK</v>
          </cell>
          <cell r="B938">
            <v>3644</v>
          </cell>
        </row>
        <row r="939">
          <cell r="A939" t="str">
            <v>MARIA DATŠENKO</v>
          </cell>
          <cell r="B939">
            <v>9703</v>
          </cell>
        </row>
        <row r="940">
          <cell r="A940" t="str">
            <v>EDVINAS DAUGERDAS</v>
          </cell>
          <cell r="B940">
            <v>5497</v>
          </cell>
        </row>
        <row r="941">
          <cell r="A941" t="str">
            <v>VYTAUTAS DAUGINTIS-RISTJAN</v>
          </cell>
          <cell r="B941">
            <v>7761</v>
          </cell>
        </row>
        <row r="942">
          <cell r="A942" t="str">
            <v>IRAMANTAS DAUKONTAS</v>
          </cell>
          <cell r="B942">
            <v>9363</v>
          </cell>
        </row>
        <row r="943">
          <cell r="A943" t="str">
            <v>SERGEI DAVÕDOV</v>
          </cell>
          <cell r="B943">
            <v>1253</v>
          </cell>
        </row>
        <row r="944">
          <cell r="A944" t="str">
            <v>VLADIMIR DAVÕDOV</v>
          </cell>
          <cell r="B944">
            <v>7657</v>
          </cell>
        </row>
        <row r="945">
          <cell r="A945" t="str">
            <v>JONAS DAVIDAVIČIUS</v>
          </cell>
          <cell r="B945">
            <v>10573</v>
          </cell>
        </row>
        <row r="946">
          <cell r="A946" t="str">
            <v>EMIL DE MAEYER</v>
          </cell>
          <cell r="B946">
            <v>9419</v>
          </cell>
        </row>
        <row r="947">
          <cell r="A947" t="str">
            <v>ULJANA DEDIKOVA</v>
          </cell>
          <cell r="B947">
            <v>9312</v>
          </cell>
        </row>
        <row r="948">
          <cell r="A948" t="str">
            <v>ALEKSEI DEDLOVSKI</v>
          </cell>
          <cell r="B948">
            <v>8631</v>
          </cell>
        </row>
        <row r="949">
          <cell r="A949" t="str">
            <v>JARMO DEEDIN</v>
          </cell>
          <cell r="B949">
            <v>9544</v>
          </cell>
        </row>
        <row r="950">
          <cell r="A950" t="str">
            <v>ANNA DEGTJARJOVA</v>
          </cell>
          <cell r="B950">
            <v>33</v>
          </cell>
        </row>
        <row r="951">
          <cell r="A951" t="str">
            <v>ALEKSANDR DEKANOSIDZE</v>
          </cell>
          <cell r="B951">
            <v>3480</v>
          </cell>
        </row>
        <row r="952">
          <cell r="A952" t="str">
            <v>ASTA DEKONAITE</v>
          </cell>
          <cell r="B952">
            <v>3502</v>
          </cell>
        </row>
        <row r="953">
          <cell r="A953" t="str">
            <v>JEVGENI DELISSOV</v>
          </cell>
          <cell r="B953">
            <v>158</v>
          </cell>
        </row>
        <row r="954">
          <cell r="A954" t="str">
            <v>HILLEVI DELLA MORTE</v>
          </cell>
          <cell r="B954">
            <v>9761</v>
          </cell>
        </row>
        <row r="955">
          <cell r="A955" t="str">
            <v>KIRILS DEMŠOVS</v>
          </cell>
          <cell r="B955">
            <v>10395</v>
          </cell>
        </row>
        <row r="956">
          <cell r="A956" t="str">
            <v>YURIY DEMENTJEV</v>
          </cell>
          <cell r="B956">
            <v>8061</v>
          </cell>
        </row>
        <row r="957">
          <cell r="A957" t="str">
            <v>JELIZAVETA DEMENTJEVA</v>
          </cell>
          <cell r="B957">
            <v>7001</v>
          </cell>
        </row>
        <row r="958">
          <cell r="A958" t="str">
            <v>OLGA DEMIANENKO</v>
          </cell>
          <cell r="B958">
            <v>7450</v>
          </cell>
        </row>
        <row r="959">
          <cell r="A959" t="str">
            <v>ANDREI DEMIHHOVSKI</v>
          </cell>
          <cell r="B959">
            <v>5541</v>
          </cell>
        </row>
        <row r="960">
          <cell r="A960" t="str">
            <v>DANIIL DEMIN</v>
          </cell>
          <cell r="B960">
            <v>7111</v>
          </cell>
        </row>
        <row r="961">
          <cell r="A961" t="str">
            <v>ALEKSEI DEMITSEV</v>
          </cell>
          <cell r="B961">
            <v>2489</v>
          </cell>
        </row>
        <row r="962">
          <cell r="A962" t="str">
            <v>SIMENG DENG</v>
          </cell>
          <cell r="B962">
            <v>8149</v>
          </cell>
        </row>
        <row r="963">
          <cell r="A963" t="str">
            <v>KATJA DENISENKO</v>
          </cell>
          <cell r="B963">
            <v>3986</v>
          </cell>
        </row>
        <row r="964">
          <cell r="A964" t="str">
            <v>NIKOLAI DENISENKO</v>
          </cell>
          <cell r="B964">
            <v>3985</v>
          </cell>
        </row>
        <row r="965">
          <cell r="A965" t="str">
            <v>ANNA DENISOVA</v>
          </cell>
          <cell r="B965">
            <v>6169</v>
          </cell>
        </row>
        <row r="966">
          <cell r="A966" t="str">
            <v>FEDOR DENISSOV</v>
          </cell>
          <cell r="B966">
            <v>6163</v>
          </cell>
        </row>
        <row r="967">
          <cell r="A967" t="str">
            <v>ALEKSANDR DERBENJOV</v>
          </cell>
          <cell r="B967">
            <v>4192</v>
          </cell>
        </row>
        <row r="968">
          <cell r="A968" t="str">
            <v>ANTON DERBENJOV</v>
          </cell>
          <cell r="B968">
            <v>361</v>
          </cell>
        </row>
        <row r="969">
          <cell r="A969" t="str">
            <v>LEONID DERBINJOV</v>
          </cell>
          <cell r="B969">
            <v>7513</v>
          </cell>
        </row>
        <row r="970">
          <cell r="A970" t="str">
            <v>VLADIMIR DEREVJAGO</v>
          </cell>
          <cell r="B970">
            <v>3422</v>
          </cell>
        </row>
        <row r="971">
          <cell r="A971" t="str">
            <v>KSENIA DERGUNOVA</v>
          </cell>
          <cell r="B971">
            <v>2032</v>
          </cell>
        </row>
        <row r="972">
          <cell r="A972" t="str">
            <v>AISTE DERVINYTE</v>
          </cell>
          <cell r="B972">
            <v>7734</v>
          </cell>
        </row>
        <row r="973">
          <cell r="A973" t="str">
            <v>ALEKSANDRS DETUŠEVS</v>
          </cell>
          <cell r="B973">
            <v>7433</v>
          </cell>
        </row>
        <row r="974">
          <cell r="A974" t="str">
            <v>ROMAN DEVJASHIN</v>
          </cell>
          <cell r="B974">
            <v>1622</v>
          </cell>
        </row>
        <row r="975">
          <cell r="A975" t="str">
            <v>ALEKSANDRA DIDENKO</v>
          </cell>
          <cell r="B975">
            <v>9044</v>
          </cell>
        </row>
        <row r="976">
          <cell r="A976" t="str">
            <v>JELENA DIKOPAVLENKO</v>
          </cell>
          <cell r="B976">
            <v>2579</v>
          </cell>
        </row>
        <row r="977">
          <cell r="A977" t="str">
            <v>ILNUR DINMUKHAMETOV</v>
          </cell>
          <cell r="B977">
            <v>9410</v>
          </cell>
        </row>
        <row r="978">
          <cell r="A978" t="str">
            <v>NIKOLAI DIVONIN</v>
          </cell>
          <cell r="B978">
            <v>1362</v>
          </cell>
        </row>
        <row r="979">
          <cell r="A979" t="str">
            <v>ALEKSEI DJAKOV</v>
          </cell>
          <cell r="B979">
            <v>3748</v>
          </cell>
        </row>
        <row r="980">
          <cell r="A980" t="str">
            <v>ELINA DJOMINA</v>
          </cell>
          <cell r="B980">
            <v>2854</v>
          </cell>
        </row>
        <row r="981">
          <cell r="A981" t="str">
            <v>MICHAEL DJUDJAKOV</v>
          </cell>
          <cell r="B981">
            <v>5259</v>
          </cell>
        </row>
        <row r="982">
          <cell r="A982" t="str">
            <v>ALEVTINA DJUKINA</v>
          </cell>
          <cell r="B982">
            <v>4193</v>
          </cell>
        </row>
        <row r="983">
          <cell r="A983" t="str">
            <v>OLEG DMITRIEV</v>
          </cell>
          <cell r="B983">
            <v>8973</v>
          </cell>
        </row>
        <row r="984">
          <cell r="A984" t="str">
            <v>KIRILL DMITRIJEV</v>
          </cell>
          <cell r="B984">
            <v>5631</v>
          </cell>
        </row>
        <row r="985">
          <cell r="A985" t="str">
            <v>MATVEI DMITRIJEV</v>
          </cell>
          <cell r="B985">
            <v>8875</v>
          </cell>
        </row>
        <row r="986">
          <cell r="A986" t="str">
            <v>LIDIA DMITRIJEVA</v>
          </cell>
          <cell r="B986">
            <v>4914</v>
          </cell>
        </row>
        <row r="987">
          <cell r="A987" t="str">
            <v>ANDREI DMITROVITŠ</v>
          </cell>
          <cell r="B987">
            <v>5363</v>
          </cell>
        </row>
        <row r="988">
          <cell r="A988" t="str">
            <v>DMITRI DOBÕŠEV-PROOSVÄLI</v>
          </cell>
          <cell r="B988">
            <v>10792</v>
          </cell>
        </row>
        <row r="989">
          <cell r="A989" t="str">
            <v>MARINA DOBRANSKAJA</v>
          </cell>
          <cell r="B989">
            <v>4968</v>
          </cell>
        </row>
        <row r="990">
          <cell r="A990" t="str">
            <v>DANIL DOBRIS</v>
          </cell>
          <cell r="B990">
            <v>7115</v>
          </cell>
        </row>
        <row r="991">
          <cell r="A991" t="str">
            <v>VSEVOLOD DOBRIS</v>
          </cell>
          <cell r="B991">
            <v>7646</v>
          </cell>
        </row>
        <row r="992">
          <cell r="A992" t="str">
            <v>ULDIS DOBRISHKO</v>
          </cell>
          <cell r="B992">
            <v>3520</v>
          </cell>
        </row>
        <row r="993">
          <cell r="A993" t="str">
            <v>RON DOBRJANSKI-PIIRSALU</v>
          </cell>
          <cell r="B993">
            <v>5393</v>
          </cell>
        </row>
        <row r="994">
          <cell r="A994" t="str">
            <v>POLINA DOLGANOVSKAJA</v>
          </cell>
          <cell r="B994">
            <v>5623</v>
          </cell>
        </row>
        <row r="995">
          <cell r="A995" t="str">
            <v>ALEKSANDRS DOLMATOVS</v>
          </cell>
          <cell r="B995">
            <v>1530</v>
          </cell>
        </row>
        <row r="996">
          <cell r="A996" t="str">
            <v>ANDRIS DOLZENKO</v>
          </cell>
          <cell r="B996">
            <v>2600</v>
          </cell>
        </row>
        <row r="997">
          <cell r="A997" t="str">
            <v>RIHO DOMBERG</v>
          </cell>
          <cell r="B997">
            <v>2932</v>
          </cell>
        </row>
        <row r="998">
          <cell r="A998" t="str">
            <v>ARNOLDAS DOMEIKA</v>
          </cell>
          <cell r="B998">
            <v>3015</v>
          </cell>
        </row>
        <row r="999">
          <cell r="A999" t="str">
            <v>BENAS DOMEIKA</v>
          </cell>
          <cell r="B999">
            <v>9358</v>
          </cell>
        </row>
        <row r="1000">
          <cell r="A1000" t="str">
            <v>TONETAS DOMEIKA</v>
          </cell>
          <cell r="B1000">
            <v>2213</v>
          </cell>
        </row>
        <row r="1001">
          <cell r="A1001" t="str">
            <v>RENOT DOMKOVS</v>
          </cell>
          <cell r="B1001">
            <v>7430</v>
          </cell>
        </row>
        <row r="1002">
          <cell r="A1002" t="str">
            <v>MARIA DOMRACHEVA</v>
          </cell>
          <cell r="B1002">
            <v>9819</v>
          </cell>
        </row>
        <row r="1003">
          <cell r="A1003" t="str">
            <v>MARINA DONNER</v>
          </cell>
          <cell r="B1003">
            <v>10613</v>
          </cell>
        </row>
        <row r="1004">
          <cell r="A1004" t="str">
            <v>DMITRI DONSKOV</v>
          </cell>
          <cell r="B1004">
            <v>10488</v>
          </cell>
        </row>
        <row r="1005">
          <cell r="A1005" t="str">
            <v>AIVAR DOONER</v>
          </cell>
          <cell r="B1005">
            <v>410</v>
          </cell>
        </row>
        <row r="1006">
          <cell r="A1006" t="str">
            <v>SOFIJA DOROŽKINA</v>
          </cell>
          <cell r="B1006">
            <v>10758</v>
          </cell>
        </row>
        <row r="1007">
          <cell r="A1007" t="str">
            <v>SOJA DOROŽKINA</v>
          </cell>
          <cell r="B1007">
            <v>10667</v>
          </cell>
        </row>
        <row r="1008">
          <cell r="A1008" t="str">
            <v>SOFIIA DOROCHKINA</v>
          </cell>
          <cell r="B1008">
            <v>4897</v>
          </cell>
        </row>
        <row r="1009">
          <cell r="A1009" t="str">
            <v>SEVA DOROFEJEV</v>
          </cell>
          <cell r="B1009">
            <v>5555</v>
          </cell>
        </row>
        <row r="1010">
          <cell r="A1010" t="str">
            <v>ALEKSANDRA DOROFEJEVA</v>
          </cell>
          <cell r="B1010">
            <v>4194</v>
          </cell>
        </row>
        <row r="1011">
          <cell r="A1011" t="str">
            <v>KIRILL DOROVATOVSKI</v>
          </cell>
          <cell r="B1011">
            <v>5464</v>
          </cell>
        </row>
        <row r="1012">
          <cell r="A1012" t="str">
            <v>GODA DOVYDAITYTE</v>
          </cell>
          <cell r="B1012">
            <v>9678</v>
          </cell>
        </row>
        <row r="1013">
          <cell r="A1013" t="str">
            <v>MARK DRÕGIN</v>
          </cell>
          <cell r="B1013">
            <v>5160</v>
          </cell>
        </row>
        <row r="1014">
          <cell r="A1014" t="str">
            <v>DENIS DRABOVICH</v>
          </cell>
          <cell r="B1014">
            <v>7293</v>
          </cell>
        </row>
        <row r="1015">
          <cell r="A1015" t="str">
            <v>MIKS DREIMANIS</v>
          </cell>
          <cell r="B1015">
            <v>2618</v>
          </cell>
        </row>
        <row r="1016">
          <cell r="A1016" t="str">
            <v>ARSENI DREL</v>
          </cell>
          <cell r="B1016">
            <v>10623</v>
          </cell>
        </row>
        <row r="1017">
          <cell r="A1017" t="str">
            <v>VITALINA DREL</v>
          </cell>
          <cell r="B1017">
            <v>10544</v>
          </cell>
        </row>
        <row r="1018">
          <cell r="A1018" t="str">
            <v>MINA MOLNES DRIVEKLEPP</v>
          </cell>
          <cell r="B1018">
            <v>7545</v>
          </cell>
        </row>
        <row r="1019">
          <cell r="A1019" t="str">
            <v>DARIA DROZD</v>
          </cell>
          <cell r="B1019">
            <v>2253</v>
          </cell>
        </row>
        <row r="1020">
          <cell r="A1020" t="str">
            <v>VALERIA DROZDOVA</v>
          </cell>
          <cell r="B1020">
            <v>10381</v>
          </cell>
        </row>
        <row r="1021">
          <cell r="A1021" t="str">
            <v>ALEXANDER DRUŽBIN</v>
          </cell>
          <cell r="B1021">
            <v>10458</v>
          </cell>
        </row>
        <row r="1022">
          <cell r="A1022" t="str">
            <v>TEREZA TABEA DRUVINA</v>
          </cell>
          <cell r="B1022">
            <v>5159</v>
          </cell>
        </row>
        <row r="1023">
          <cell r="A1023" t="str">
            <v>EDGARS DZALBS</v>
          </cell>
          <cell r="B1023">
            <v>2418</v>
          </cell>
        </row>
        <row r="1024">
          <cell r="A1024" t="str">
            <v>VILIS DZALBS</v>
          </cell>
          <cell r="B1024">
            <v>2419</v>
          </cell>
        </row>
        <row r="1025">
          <cell r="A1025" t="str">
            <v>HUGO DUARTE</v>
          </cell>
          <cell r="B1025">
            <v>9571</v>
          </cell>
        </row>
        <row r="1026">
          <cell r="A1026" t="str">
            <v>KRYSTYNA DUBA</v>
          </cell>
          <cell r="B1026">
            <v>10273</v>
          </cell>
        </row>
        <row r="1027">
          <cell r="A1027" t="str">
            <v>JANIS DUBOV</v>
          </cell>
          <cell r="B1027">
            <v>7291</v>
          </cell>
        </row>
        <row r="1028">
          <cell r="A1028" t="str">
            <v>ELINA DUBOVA</v>
          </cell>
          <cell r="B1028">
            <v>4195</v>
          </cell>
        </row>
        <row r="1029">
          <cell r="A1029" t="str">
            <v>DARJA DUBOVTSEVA</v>
          </cell>
          <cell r="B1029">
            <v>5502</v>
          </cell>
        </row>
        <row r="1030">
          <cell r="A1030" t="str">
            <v>SVETLANA DUBOVTSEVA</v>
          </cell>
          <cell r="B1030">
            <v>5503</v>
          </cell>
        </row>
        <row r="1031">
          <cell r="A1031" t="str">
            <v>VLADISLAV DUBROVSKI</v>
          </cell>
          <cell r="B1031">
            <v>4812</v>
          </cell>
        </row>
        <row r="1032">
          <cell r="A1032" t="str">
            <v>VILLIS DUBROVSKIS</v>
          </cell>
          <cell r="B1032">
            <v>1730</v>
          </cell>
        </row>
        <row r="1033">
          <cell r="A1033" t="str">
            <v>CHRISTOPHER DUCKETT</v>
          </cell>
          <cell r="B1033">
            <v>8421</v>
          </cell>
        </row>
        <row r="1034">
          <cell r="A1034" t="str">
            <v>VALENTIN DUDAR</v>
          </cell>
          <cell r="B1034">
            <v>462</v>
          </cell>
        </row>
        <row r="1035">
          <cell r="A1035" t="str">
            <v>ALEKSANDR DUDKIN</v>
          </cell>
          <cell r="B1035">
            <v>2048</v>
          </cell>
        </row>
        <row r="1036">
          <cell r="A1036" t="str">
            <v>ARTEMI DUDKIN</v>
          </cell>
          <cell r="B1036">
            <v>9264</v>
          </cell>
        </row>
        <row r="1037">
          <cell r="A1037" t="str">
            <v>ARTJOM DUDKIN</v>
          </cell>
          <cell r="B1037">
            <v>9059</v>
          </cell>
        </row>
        <row r="1038">
          <cell r="A1038" t="str">
            <v>ILJA DUDKIN</v>
          </cell>
          <cell r="B1038">
            <v>8792</v>
          </cell>
        </row>
        <row r="1039">
          <cell r="A1039" t="str">
            <v>RUSLAN DUHHOV</v>
          </cell>
          <cell r="B1039">
            <v>3152</v>
          </cell>
        </row>
        <row r="1040">
          <cell r="A1040" t="str">
            <v>MARIKA DUKATSH</v>
          </cell>
          <cell r="B1040">
            <v>4064</v>
          </cell>
        </row>
        <row r="1041">
          <cell r="A1041" t="str">
            <v>ARTEM DULAEV</v>
          </cell>
          <cell r="B1041">
            <v>9513</v>
          </cell>
        </row>
        <row r="1042">
          <cell r="A1042" t="str">
            <v>AIVARS DULBERGS</v>
          </cell>
          <cell r="B1042">
            <v>7131</v>
          </cell>
        </row>
        <row r="1043">
          <cell r="A1043" t="str">
            <v>GUNTIS DULBERGS</v>
          </cell>
          <cell r="B1043">
            <v>7132</v>
          </cell>
        </row>
        <row r="1044">
          <cell r="A1044" t="str">
            <v>ALEKSEI DULOV</v>
          </cell>
          <cell r="B1044">
            <v>2278</v>
          </cell>
        </row>
        <row r="1045">
          <cell r="A1045" t="str">
            <v>JONAS DVARIŠKIS</v>
          </cell>
          <cell r="B1045">
            <v>10765</v>
          </cell>
        </row>
        <row r="1046">
          <cell r="A1046" t="str">
            <v>MARIA DVORETSKOVA</v>
          </cell>
          <cell r="B1046">
            <v>7610</v>
          </cell>
        </row>
        <row r="1047">
          <cell r="A1047" t="str">
            <v>ALEXANDER DYROFF</v>
          </cell>
          <cell r="B1047">
            <v>7808</v>
          </cell>
        </row>
        <row r="1048">
          <cell r="A1048" t="str">
            <v>ROCCO EAST</v>
          </cell>
          <cell r="B1048">
            <v>8107</v>
          </cell>
        </row>
        <row r="1049">
          <cell r="A1049" t="str">
            <v>MART EBOLT</v>
          </cell>
          <cell r="B1049">
            <v>3749</v>
          </cell>
        </row>
        <row r="1050">
          <cell r="A1050" t="str">
            <v>MARCUS ECHTE</v>
          </cell>
          <cell r="B1050">
            <v>8961</v>
          </cell>
        </row>
        <row r="1051">
          <cell r="A1051" t="str">
            <v>ARTURS EDOLFS</v>
          </cell>
          <cell r="B1051">
            <v>3358</v>
          </cell>
        </row>
        <row r="1052">
          <cell r="A1052" t="str">
            <v>KALLE EDULA</v>
          </cell>
          <cell r="B1052">
            <v>159</v>
          </cell>
        </row>
        <row r="1053">
          <cell r="A1053" t="str">
            <v>HENRY KEITH EDUR</v>
          </cell>
          <cell r="B1053">
            <v>7941</v>
          </cell>
        </row>
        <row r="1054">
          <cell r="A1054" t="str">
            <v>INES EDUR</v>
          </cell>
          <cell r="B1054">
            <v>5519</v>
          </cell>
        </row>
        <row r="1055">
          <cell r="A1055" t="str">
            <v>ISAK EDWARDSSON</v>
          </cell>
          <cell r="B1055">
            <v>9746</v>
          </cell>
        </row>
        <row r="1056">
          <cell r="A1056" t="str">
            <v>EGERD-MEELIS EELMÄE</v>
          </cell>
          <cell r="B1056">
            <v>6082</v>
          </cell>
        </row>
        <row r="1057">
          <cell r="A1057" t="str">
            <v>LEO EELMÄE</v>
          </cell>
          <cell r="B1057">
            <v>8823</v>
          </cell>
        </row>
        <row r="1058">
          <cell r="A1058" t="str">
            <v>TÕNIS EELMAA</v>
          </cell>
          <cell r="B1058">
            <v>3465</v>
          </cell>
        </row>
        <row r="1059">
          <cell r="A1059" t="str">
            <v>KULDAR EELSOO</v>
          </cell>
          <cell r="B1059">
            <v>7373</v>
          </cell>
        </row>
        <row r="1060">
          <cell r="A1060" t="str">
            <v>KADRI EENLO</v>
          </cell>
          <cell r="B1060">
            <v>9724</v>
          </cell>
        </row>
        <row r="1061">
          <cell r="A1061" t="str">
            <v>AGO EENSALU</v>
          </cell>
          <cell r="B1061">
            <v>1098</v>
          </cell>
        </row>
        <row r="1062">
          <cell r="A1062" t="str">
            <v>IVO EENSALU</v>
          </cell>
          <cell r="B1062">
            <v>1087</v>
          </cell>
        </row>
        <row r="1063">
          <cell r="A1063" t="str">
            <v>KERT EERIK</v>
          </cell>
          <cell r="B1063">
            <v>8573</v>
          </cell>
        </row>
        <row r="1064">
          <cell r="A1064" t="str">
            <v>CASPER EERIKSON</v>
          </cell>
          <cell r="B1064">
            <v>5544</v>
          </cell>
        </row>
        <row r="1065">
          <cell r="A1065" t="str">
            <v>ANNA-BRITTA EESMAA</v>
          </cell>
          <cell r="B1065">
            <v>1343</v>
          </cell>
        </row>
        <row r="1066">
          <cell r="A1066" t="str">
            <v>LIISA EESMAA</v>
          </cell>
          <cell r="B1066">
            <v>35</v>
          </cell>
        </row>
        <row r="1067">
          <cell r="A1067" t="str">
            <v>PIRET EESMAA</v>
          </cell>
          <cell r="B1067">
            <v>4088</v>
          </cell>
        </row>
        <row r="1068">
          <cell r="A1068" t="str">
            <v>RELJO EFERT</v>
          </cell>
          <cell r="B1068">
            <v>4197</v>
          </cell>
        </row>
        <row r="1069">
          <cell r="A1069" t="str">
            <v>DENIS EFIMOV</v>
          </cell>
          <cell r="B1069">
            <v>10141</v>
          </cell>
        </row>
        <row r="1070">
          <cell r="A1070" t="str">
            <v>MAXIM EFIMOV</v>
          </cell>
          <cell r="B1070">
            <v>8054</v>
          </cell>
        </row>
        <row r="1071">
          <cell r="A1071" t="str">
            <v>KSENJA EFIMOVA</v>
          </cell>
          <cell r="B1071">
            <v>3247</v>
          </cell>
        </row>
        <row r="1072">
          <cell r="A1072" t="str">
            <v>OLEG EFREMOV</v>
          </cell>
          <cell r="B1072">
            <v>7221</v>
          </cell>
        </row>
        <row r="1073">
          <cell r="A1073" t="str">
            <v>STEVE EGLIN</v>
          </cell>
          <cell r="B1073">
            <v>3750</v>
          </cell>
        </row>
        <row r="1074">
          <cell r="A1074" t="str">
            <v>IVAN EGOROV</v>
          </cell>
          <cell r="B1074">
            <v>3751</v>
          </cell>
        </row>
        <row r="1075">
          <cell r="A1075" t="str">
            <v>ERIC EHAND</v>
          </cell>
          <cell r="B1075">
            <v>6126</v>
          </cell>
        </row>
        <row r="1076">
          <cell r="A1076" t="str">
            <v>ERKKI EHAND</v>
          </cell>
          <cell r="B1076">
            <v>3190</v>
          </cell>
        </row>
        <row r="1077">
          <cell r="A1077" t="str">
            <v>ATS EHASALU</v>
          </cell>
          <cell r="B1077">
            <v>4111</v>
          </cell>
        </row>
        <row r="1078">
          <cell r="A1078" t="str">
            <v>EGERT EHRLICK</v>
          </cell>
          <cell r="B1078">
            <v>2293</v>
          </cell>
        </row>
        <row r="1079">
          <cell r="A1079" t="str">
            <v>REINO EHRLICK</v>
          </cell>
          <cell r="B1079">
            <v>2294</v>
          </cell>
        </row>
        <row r="1080">
          <cell r="A1080" t="str">
            <v>MARCUS EHTE</v>
          </cell>
          <cell r="B1080">
            <v>9122</v>
          </cell>
        </row>
        <row r="1081">
          <cell r="A1081" t="str">
            <v>JOHAN EICHHORN</v>
          </cell>
          <cell r="B1081">
            <v>10309</v>
          </cell>
        </row>
        <row r="1082">
          <cell r="A1082" t="str">
            <v>MADIS EICHLER</v>
          </cell>
          <cell r="B1082">
            <v>7383</v>
          </cell>
        </row>
        <row r="1083">
          <cell r="A1083" t="str">
            <v>GINTS EICHMANIS</v>
          </cell>
          <cell r="B1083">
            <v>2262</v>
          </cell>
        </row>
        <row r="1084">
          <cell r="A1084" t="str">
            <v>MARKUS EIER</v>
          </cell>
          <cell r="B1084">
            <v>8406</v>
          </cell>
        </row>
        <row r="1085">
          <cell r="A1085" t="str">
            <v>TANEL EIKEN</v>
          </cell>
          <cell r="B1085">
            <v>10740</v>
          </cell>
        </row>
        <row r="1086">
          <cell r="A1086" t="str">
            <v>RAFAEL EIKNER</v>
          </cell>
          <cell r="B1086">
            <v>10042</v>
          </cell>
        </row>
        <row r="1087">
          <cell r="A1087" t="str">
            <v>EGERT EILASTE</v>
          </cell>
          <cell r="B1087">
            <v>1634</v>
          </cell>
        </row>
        <row r="1088">
          <cell r="A1088" t="str">
            <v>RISTO EINBERG</v>
          </cell>
          <cell r="B1088">
            <v>9676</v>
          </cell>
        </row>
        <row r="1089">
          <cell r="A1089" t="str">
            <v>SIIM EINBERG</v>
          </cell>
          <cell r="B1089">
            <v>1373</v>
          </cell>
        </row>
        <row r="1090">
          <cell r="A1090" t="str">
            <v>MIHKEL EINBLAU</v>
          </cell>
          <cell r="B1090">
            <v>481</v>
          </cell>
        </row>
        <row r="1091">
          <cell r="A1091" t="str">
            <v>GERT EINER</v>
          </cell>
          <cell r="B1091">
            <v>9891</v>
          </cell>
        </row>
        <row r="1092">
          <cell r="A1092" t="str">
            <v>RAIMOND EINER</v>
          </cell>
          <cell r="B1092">
            <v>482</v>
          </cell>
        </row>
        <row r="1093">
          <cell r="A1093" t="str">
            <v>ROLAND EINER</v>
          </cell>
          <cell r="B1093">
            <v>483</v>
          </cell>
        </row>
        <row r="1094">
          <cell r="A1094" t="str">
            <v>SANDRA EINER</v>
          </cell>
          <cell r="B1094">
            <v>10420</v>
          </cell>
        </row>
        <row r="1095">
          <cell r="A1095" t="str">
            <v>STEFAN EINLA</v>
          </cell>
          <cell r="B1095">
            <v>9531</v>
          </cell>
        </row>
        <row r="1096">
          <cell r="A1096" t="str">
            <v>LAIRI EINMAA</v>
          </cell>
          <cell r="B1096">
            <v>2950</v>
          </cell>
        </row>
        <row r="1097">
          <cell r="A1097" t="str">
            <v>KRISTJAN EINROOS</v>
          </cell>
          <cell r="B1097">
            <v>10842</v>
          </cell>
        </row>
        <row r="1098">
          <cell r="A1098" t="str">
            <v>ERKI EIRAND</v>
          </cell>
          <cell r="B1098">
            <v>5328</v>
          </cell>
        </row>
        <row r="1099">
          <cell r="A1099" t="str">
            <v>PILLE-RIIN EISKOP</v>
          </cell>
          <cell r="B1099">
            <v>4198</v>
          </cell>
        </row>
        <row r="1100">
          <cell r="A1100" t="str">
            <v>EIKO EISMEL</v>
          </cell>
          <cell r="B1100">
            <v>3433</v>
          </cell>
        </row>
        <row r="1101">
          <cell r="A1101" t="str">
            <v>PRIIT EIVER</v>
          </cell>
          <cell r="B1101">
            <v>2985</v>
          </cell>
        </row>
        <row r="1102">
          <cell r="A1102" t="str">
            <v>BRITT ELBING</v>
          </cell>
          <cell r="B1102">
            <v>3723</v>
          </cell>
        </row>
        <row r="1103">
          <cell r="A1103" t="str">
            <v>LOFITSKI ELEN</v>
          </cell>
          <cell r="B1103">
            <v>10473</v>
          </cell>
        </row>
        <row r="1104">
          <cell r="A1104" t="str">
            <v>DENIS ELERT</v>
          </cell>
          <cell r="B1104">
            <v>5081</v>
          </cell>
        </row>
        <row r="1105">
          <cell r="A1105" t="str">
            <v>KARINA ELIAS</v>
          </cell>
          <cell r="B1105">
            <v>6092</v>
          </cell>
        </row>
        <row r="1106">
          <cell r="A1106" t="str">
            <v>ANDREI ELIASHEV</v>
          </cell>
          <cell r="B1106">
            <v>3171</v>
          </cell>
        </row>
        <row r="1107">
          <cell r="A1107" t="str">
            <v>AIVAR ELISSAAR</v>
          </cell>
          <cell r="B1107">
            <v>1454</v>
          </cell>
        </row>
        <row r="1108">
          <cell r="A1108" t="str">
            <v>PEETER ELISTE</v>
          </cell>
          <cell r="B1108">
            <v>1018</v>
          </cell>
        </row>
        <row r="1109">
          <cell r="A1109" t="str">
            <v>EVE ELKEN</v>
          </cell>
          <cell r="B1109">
            <v>10314</v>
          </cell>
        </row>
        <row r="1110">
          <cell r="A1110" t="str">
            <v>PAUL ELKENHANS</v>
          </cell>
          <cell r="B1110">
            <v>7634</v>
          </cell>
        </row>
        <row r="1111">
          <cell r="A1111" t="str">
            <v>HITHAM ELKOPTI</v>
          </cell>
          <cell r="B1111">
            <v>8893</v>
          </cell>
        </row>
        <row r="1112">
          <cell r="A1112" t="str">
            <v>VIKTORIA ELLERMAA</v>
          </cell>
          <cell r="B1112">
            <v>7553</v>
          </cell>
        </row>
        <row r="1113">
          <cell r="A1113" t="str">
            <v>TOOMAS ELLING</v>
          </cell>
          <cell r="B1113">
            <v>5049</v>
          </cell>
        </row>
        <row r="1114">
          <cell r="A1114" t="str">
            <v>KÄRT ELMEND</v>
          </cell>
          <cell r="B1114">
            <v>3960</v>
          </cell>
        </row>
        <row r="1115">
          <cell r="A1115" t="str">
            <v>KASPAR ELMEND</v>
          </cell>
          <cell r="B1115">
            <v>3104</v>
          </cell>
        </row>
        <row r="1116">
          <cell r="A1116" t="str">
            <v>ANDRES ELMIK</v>
          </cell>
          <cell r="B1116">
            <v>4813</v>
          </cell>
        </row>
        <row r="1117">
          <cell r="A1117" t="str">
            <v>LAURI ELOR</v>
          </cell>
          <cell r="B1117">
            <v>4199</v>
          </cell>
        </row>
        <row r="1118">
          <cell r="A1118" t="str">
            <v>ALLAN-ERIK ELP</v>
          </cell>
          <cell r="B1118">
            <v>4730</v>
          </cell>
        </row>
        <row r="1119">
          <cell r="A1119" t="str">
            <v>ERLEND ELTERMAA</v>
          </cell>
          <cell r="B1119">
            <v>3288</v>
          </cell>
        </row>
        <row r="1120">
          <cell r="A1120" t="str">
            <v>GETTER ELTERMAA</v>
          </cell>
          <cell r="B1120">
            <v>2865</v>
          </cell>
        </row>
        <row r="1121">
          <cell r="A1121" t="str">
            <v>SVEN ELVELT</v>
          </cell>
          <cell r="B1121">
            <v>8772</v>
          </cell>
        </row>
        <row r="1122">
          <cell r="A1122" t="str">
            <v>TAAVI ELVEST</v>
          </cell>
          <cell r="B1122">
            <v>1489</v>
          </cell>
        </row>
        <row r="1123">
          <cell r="A1123" t="str">
            <v>TEELE ELVEST</v>
          </cell>
          <cell r="B1123">
            <v>1490</v>
          </cell>
        </row>
        <row r="1124">
          <cell r="A1124" t="str">
            <v>VLADISLAV EM</v>
          </cell>
          <cell r="B1124">
            <v>3753</v>
          </cell>
        </row>
        <row r="1125">
          <cell r="A1125" t="str">
            <v>MARIE END</v>
          </cell>
          <cell r="B1125">
            <v>5394</v>
          </cell>
        </row>
        <row r="1126">
          <cell r="A1126" t="str">
            <v>FELIX ENDER</v>
          </cell>
          <cell r="B1126">
            <v>8031</v>
          </cell>
        </row>
        <row r="1127">
          <cell r="A1127" t="str">
            <v>MERILYN ENDERS</v>
          </cell>
          <cell r="B1127">
            <v>1703</v>
          </cell>
        </row>
        <row r="1128">
          <cell r="A1128" t="str">
            <v>HARRI ENGEL</v>
          </cell>
          <cell r="B1128">
            <v>10417</v>
          </cell>
        </row>
        <row r="1129">
          <cell r="A1129" t="str">
            <v>LIESMA ENGELE</v>
          </cell>
          <cell r="B1129">
            <v>2275</v>
          </cell>
        </row>
        <row r="1130">
          <cell r="A1130" t="str">
            <v>MAREKS ENGELIS</v>
          </cell>
          <cell r="B1130">
            <v>5636</v>
          </cell>
        </row>
        <row r="1131">
          <cell r="A1131" t="str">
            <v>MARIS ENGELIS</v>
          </cell>
          <cell r="B1131">
            <v>5638</v>
          </cell>
        </row>
        <row r="1132">
          <cell r="A1132" t="str">
            <v>CARINA ENGLUND</v>
          </cell>
          <cell r="B1132">
            <v>3609</v>
          </cell>
        </row>
        <row r="1133">
          <cell r="A1133" t="str">
            <v>SABINA ENGLUND</v>
          </cell>
          <cell r="B1133">
            <v>2853</v>
          </cell>
        </row>
        <row r="1134">
          <cell r="A1134" t="str">
            <v>VLADISLAV ENIKEJEV</v>
          </cell>
          <cell r="B1134">
            <v>1532</v>
          </cell>
        </row>
        <row r="1135">
          <cell r="A1135" t="str">
            <v>ANNELI ENKVIST</v>
          </cell>
          <cell r="B1135">
            <v>1907</v>
          </cell>
        </row>
        <row r="1136">
          <cell r="A1136" t="str">
            <v>MARIO ENNEMUIST</v>
          </cell>
          <cell r="B1136">
            <v>2184</v>
          </cell>
        </row>
        <row r="1137">
          <cell r="A1137" t="str">
            <v>MAIE ENNI</v>
          </cell>
          <cell r="B1137">
            <v>8512</v>
          </cell>
        </row>
        <row r="1138">
          <cell r="A1138" t="str">
            <v>LILIJA ENNO</v>
          </cell>
          <cell r="B1138">
            <v>9481</v>
          </cell>
        </row>
        <row r="1139">
          <cell r="A1139" t="str">
            <v>ERKI ENNOJA</v>
          </cell>
          <cell r="B1139">
            <v>1969</v>
          </cell>
        </row>
        <row r="1140">
          <cell r="A1140" t="str">
            <v>HENRY EPRO</v>
          </cell>
          <cell r="B1140">
            <v>7033</v>
          </cell>
        </row>
        <row r="1141">
          <cell r="A1141" t="str">
            <v>MARTINS ERCENIEKS</v>
          </cell>
          <cell r="B1141">
            <v>2000</v>
          </cell>
        </row>
        <row r="1142">
          <cell r="A1142" t="str">
            <v>INDREK ERDMANN</v>
          </cell>
          <cell r="B1142">
            <v>10145</v>
          </cell>
        </row>
        <row r="1143">
          <cell r="A1143" t="str">
            <v>VASILII EREMENKO</v>
          </cell>
          <cell r="B1143">
            <v>5658</v>
          </cell>
        </row>
        <row r="1144">
          <cell r="A1144" t="str">
            <v>ERIC ERICSON</v>
          </cell>
          <cell r="B1144">
            <v>2593</v>
          </cell>
        </row>
        <row r="1145">
          <cell r="A1145" t="str">
            <v>SIMON ERICSSON</v>
          </cell>
          <cell r="B1145">
            <v>9406</v>
          </cell>
        </row>
        <row r="1146">
          <cell r="A1146" t="str">
            <v>ARDO ERIK</v>
          </cell>
          <cell r="B1146">
            <v>4044</v>
          </cell>
        </row>
        <row r="1147">
          <cell r="A1147" t="str">
            <v>DAGNE ERIK</v>
          </cell>
          <cell r="B1147">
            <v>3084</v>
          </cell>
        </row>
        <row r="1148">
          <cell r="A1148" t="str">
            <v>ELLE ERIK</v>
          </cell>
          <cell r="B1148">
            <v>36</v>
          </cell>
        </row>
        <row r="1149">
          <cell r="A1149" t="str">
            <v>KADRI-LIIS ERIK</v>
          </cell>
          <cell r="B1149">
            <v>37</v>
          </cell>
        </row>
        <row r="1150">
          <cell r="A1150" t="str">
            <v>KARL ERIK</v>
          </cell>
          <cell r="B1150">
            <v>3961</v>
          </cell>
        </row>
        <row r="1151">
          <cell r="A1151" t="str">
            <v>VERA ERIKSONE</v>
          </cell>
          <cell r="B1151">
            <v>1829</v>
          </cell>
        </row>
        <row r="1152">
          <cell r="A1152" t="str">
            <v>PAJU ERIKSSON</v>
          </cell>
          <cell r="B1152">
            <v>2839</v>
          </cell>
        </row>
        <row r="1153">
          <cell r="A1153" t="str">
            <v>PIHLA ERIKSSON</v>
          </cell>
          <cell r="B1153">
            <v>2840</v>
          </cell>
        </row>
        <row r="1154">
          <cell r="A1154" t="str">
            <v>PINJA ERIKSSON</v>
          </cell>
          <cell r="B1154">
            <v>2838</v>
          </cell>
        </row>
        <row r="1155">
          <cell r="A1155" t="str">
            <v>ROY ERIKSSON</v>
          </cell>
          <cell r="B1155">
            <v>8444</v>
          </cell>
        </row>
        <row r="1156">
          <cell r="A1156" t="str">
            <v>SOFIE ERIKSSON</v>
          </cell>
          <cell r="B1156">
            <v>3604</v>
          </cell>
        </row>
        <row r="1157">
          <cell r="A1157" t="str">
            <v>ANNELY ERILAID</v>
          </cell>
          <cell r="B1157">
            <v>1856</v>
          </cell>
        </row>
        <row r="1158">
          <cell r="A1158" t="str">
            <v>KAUR ERLICH</v>
          </cell>
          <cell r="B1158">
            <v>7626</v>
          </cell>
        </row>
        <row r="1159">
          <cell r="A1159" t="str">
            <v>CATHRIN ERM</v>
          </cell>
          <cell r="B1159">
            <v>9494</v>
          </cell>
        </row>
        <row r="1160">
          <cell r="A1160" t="str">
            <v>JOOSEP ERMANN</v>
          </cell>
          <cell r="B1160">
            <v>3349</v>
          </cell>
        </row>
        <row r="1161">
          <cell r="A1161" t="str">
            <v>LAUR ERMANN</v>
          </cell>
          <cell r="B1161">
            <v>3539</v>
          </cell>
        </row>
        <row r="1162">
          <cell r="A1162" t="str">
            <v>ANNELY ERMEL</v>
          </cell>
          <cell r="B1162">
            <v>1260</v>
          </cell>
        </row>
        <row r="1163">
          <cell r="A1163" t="str">
            <v>ANDRY ERNITS</v>
          </cell>
          <cell r="B1163">
            <v>9169</v>
          </cell>
        </row>
        <row r="1164">
          <cell r="A1164" t="str">
            <v>JOHANN PHILIPP ALEXANDER ERNITS</v>
          </cell>
          <cell r="B1164">
            <v>9577</v>
          </cell>
        </row>
        <row r="1165">
          <cell r="A1165" t="str">
            <v>KRISTI ERNITS</v>
          </cell>
          <cell r="B1165">
            <v>1407</v>
          </cell>
        </row>
        <row r="1166">
          <cell r="A1166" t="str">
            <v>MAKSIM ERRO</v>
          </cell>
          <cell r="B1166">
            <v>8926</v>
          </cell>
        </row>
        <row r="1167">
          <cell r="A1167" t="str">
            <v>FERDINAND ERSTU</v>
          </cell>
          <cell r="B1167">
            <v>9383</v>
          </cell>
        </row>
        <row r="1168">
          <cell r="A1168" t="str">
            <v>ARTJOM ERT</v>
          </cell>
          <cell r="B1168">
            <v>4065</v>
          </cell>
        </row>
        <row r="1169">
          <cell r="A1169" t="str">
            <v>MARII ERT</v>
          </cell>
          <cell r="B1169">
            <v>7858</v>
          </cell>
        </row>
        <row r="1170">
          <cell r="A1170" t="str">
            <v>RENEE ERT</v>
          </cell>
          <cell r="B1170">
            <v>9292</v>
          </cell>
        </row>
        <row r="1171">
          <cell r="A1171" t="str">
            <v>MARTEN ERUSK</v>
          </cell>
          <cell r="B1171">
            <v>5389</v>
          </cell>
        </row>
        <row r="1172">
          <cell r="A1172" t="str">
            <v>SIIM ESKO</v>
          </cell>
          <cell r="B1172">
            <v>10669</v>
          </cell>
        </row>
        <row r="1173">
          <cell r="A1173" t="str">
            <v>TAIVO ESKO</v>
          </cell>
          <cell r="B1173">
            <v>1163</v>
          </cell>
        </row>
        <row r="1174">
          <cell r="A1174" t="str">
            <v>MADIS ESKUSSON</v>
          </cell>
          <cell r="B1174">
            <v>4200</v>
          </cell>
        </row>
        <row r="1175">
          <cell r="A1175" t="str">
            <v>STELLA ESSMAN</v>
          </cell>
          <cell r="B1175">
            <v>4201</v>
          </cell>
        </row>
        <row r="1176">
          <cell r="A1176" t="str">
            <v>VALDO ESSMANN</v>
          </cell>
          <cell r="B1176">
            <v>4202</v>
          </cell>
        </row>
        <row r="1177">
          <cell r="A1177" t="str">
            <v>MIHHAIL EZEPCHUK</v>
          </cell>
          <cell r="B1177">
            <v>9058</v>
          </cell>
        </row>
        <row r="1178">
          <cell r="A1178" t="str">
            <v>KRISTER ERIK ETULAID</v>
          </cell>
          <cell r="B1178">
            <v>3608</v>
          </cell>
        </row>
        <row r="1179">
          <cell r="A1179" t="str">
            <v>TAUNO EVARD</v>
          </cell>
          <cell r="B1179">
            <v>3225</v>
          </cell>
        </row>
        <row r="1180">
          <cell r="A1180" t="str">
            <v>ANTTI EVERT</v>
          </cell>
          <cell r="B1180">
            <v>1316</v>
          </cell>
        </row>
        <row r="1181">
          <cell r="A1181" t="str">
            <v>RAUNO EVERT</v>
          </cell>
          <cell r="B1181">
            <v>1733</v>
          </cell>
        </row>
        <row r="1182">
          <cell r="A1182" t="str">
            <v>REINE EVERT</v>
          </cell>
          <cell r="B1182">
            <v>1614</v>
          </cell>
        </row>
        <row r="1183">
          <cell r="A1183" t="str">
            <v>ALEKSANDRA EVSTAFJEVA</v>
          </cell>
          <cell r="B1183">
            <v>9239</v>
          </cell>
        </row>
        <row r="1184">
          <cell r="A1184" t="str">
            <v>MANTAS FABIJONAVICIUS</v>
          </cell>
          <cell r="B1184">
            <v>3481</v>
          </cell>
        </row>
        <row r="1185">
          <cell r="A1185" t="str">
            <v>RANDO FABRITSI</v>
          </cell>
          <cell r="B1185">
            <v>7127</v>
          </cell>
        </row>
        <row r="1186">
          <cell r="A1186" t="str">
            <v>FELICIA FALCK</v>
          </cell>
          <cell r="B1186">
            <v>1498</v>
          </cell>
        </row>
        <row r="1187">
          <cell r="A1187" t="str">
            <v>DMITRI FAMIN</v>
          </cell>
          <cell r="B1187">
            <v>10633</v>
          </cell>
        </row>
        <row r="1188">
          <cell r="A1188" t="str">
            <v>LEONIDS FARBTUHS</v>
          </cell>
          <cell r="B1188">
            <v>8059</v>
          </cell>
        </row>
        <row r="1189">
          <cell r="A1189" t="str">
            <v>VALERIJS FARBTUHS</v>
          </cell>
          <cell r="B1189">
            <v>6252</v>
          </cell>
        </row>
        <row r="1190">
          <cell r="A1190" t="str">
            <v>ANTON FARFOROVSKI</v>
          </cell>
          <cell r="B1190">
            <v>2157</v>
          </cell>
        </row>
        <row r="1191">
          <cell r="A1191" t="str">
            <v>ARSENI FARFOROVSKI</v>
          </cell>
          <cell r="B1191">
            <v>5285</v>
          </cell>
        </row>
        <row r="1192">
          <cell r="A1192" t="str">
            <v>LARISSA FARINA</v>
          </cell>
          <cell r="B1192">
            <v>1209</v>
          </cell>
        </row>
        <row r="1193">
          <cell r="A1193" t="str">
            <v>LJUBOV FASHUK</v>
          </cell>
          <cell r="B1193">
            <v>8530</v>
          </cell>
        </row>
        <row r="1194">
          <cell r="A1194" t="str">
            <v>FATIMA FATAKOVA</v>
          </cell>
          <cell r="B1194">
            <v>3754</v>
          </cell>
        </row>
        <row r="1195">
          <cell r="A1195" t="str">
            <v>DAMIR FATKULIN</v>
          </cell>
          <cell r="B1195">
            <v>10647</v>
          </cell>
        </row>
        <row r="1196">
          <cell r="A1196" t="str">
            <v>GUSTAV FAURSCHOU</v>
          </cell>
          <cell r="B1196">
            <v>9417</v>
          </cell>
        </row>
        <row r="1197">
          <cell r="A1197" t="str">
            <v>DMITRI FEDCHENKO</v>
          </cell>
          <cell r="B1197">
            <v>421</v>
          </cell>
        </row>
        <row r="1198">
          <cell r="A1198" t="str">
            <v>SAVELI FEDJAJEV</v>
          </cell>
          <cell r="B1198">
            <v>9485</v>
          </cell>
        </row>
        <row r="1199">
          <cell r="A1199" t="str">
            <v>ROMAN FEDORENKO</v>
          </cell>
          <cell r="B1199">
            <v>1366</v>
          </cell>
        </row>
        <row r="1200">
          <cell r="A1200" t="str">
            <v>ANTON FEDOSSIMOV</v>
          </cell>
          <cell r="B1200">
            <v>8078</v>
          </cell>
        </row>
        <row r="1201">
          <cell r="A1201" t="str">
            <v>DMITRII FEDOTOV</v>
          </cell>
          <cell r="B1201">
            <v>10144</v>
          </cell>
        </row>
        <row r="1202">
          <cell r="A1202" t="str">
            <v>PETR FEDOTOV</v>
          </cell>
          <cell r="B1202">
            <v>8234</v>
          </cell>
        </row>
        <row r="1203">
          <cell r="A1203" t="str">
            <v>MILENA FEDOTOVA</v>
          </cell>
          <cell r="B1203">
            <v>7544</v>
          </cell>
        </row>
        <row r="1204">
          <cell r="A1204" t="str">
            <v>VERONIKA FEDOTOVA</v>
          </cell>
          <cell r="B1204">
            <v>4066</v>
          </cell>
        </row>
        <row r="1205">
          <cell r="A1205" t="str">
            <v>VIKTORIA FEDOTOVA</v>
          </cell>
          <cell r="B1205">
            <v>2904</v>
          </cell>
        </row>
        <row r="1206">
          <cell r="A1206" t="str">
            <v>DMITRI FEDTSENKO</v>
          </cell>
          <cell r="B1206">
            <v>4203</v>
          </cell>
        </row>
        <row r="1207">
          <cell r="A1207" t="str">
            <v>SERGEI FEDTSENKO</v>
          </cell>
          <cell r="B1207">
            <v>2078</v>
          </cell>
        </row>
        <row r="1208">
          <cell r="A1208" t="str">
            <v>MÄRT FEDULOV</v>
          </cell>
          <cell r="B1208">
            <v>1794</v>
          </cell>
        </row>
        <row r="1209">
          <cell r="A1209" t="str">
            <v>FYODOR FEDYAEV</v>
          </cell>
          <cell r="B1209">
            <v>5365</v>
          </cell>
        </row>
        <row r="1210">
          <cell r="A1210" t="str">
            <v>RAUNO FEIMAN</v>
          </cell>
          <cell r="B1210">
            <v>10610</v>
          </cell>
        </row>
        <row r="1211">
          <cell r="A1211" t="str">
            <v>LENNART FELDBACH</v>
          </cell>
          <cell r="B1211">
            <v>8726</v>
          </cell>
        </row>
        <row r="1212">
          <cell r="A1212" t="str">
            <v>DIANA FELDMAN</v>
          </cell>
          <cell r="B1212">
            <v>3325</v>
          </cell>
        </row>
        <row r="1213">
          <cell r="A1213" t="str">
            <v>ALEKSEI FELDSHEROV</v>
          </cell>
          <cell r="B1213">
            <v>4204</v>
          </cell>
        </row>
        <row r="1214">
          <cell r="A1214" t="str">
            <v>ENNO FELS</v>
          </cell>
          <cell r="B1214">
            <v>4649</v>
          </cell>
        </row>
        <row r="1215">
          <cell r="A1215" t="str">
            <v>ALEKSANDR FENCAK</v>
          </cell>
          <cell r="B1215">
            <v>1225</v>
          </cell>
        </row>
        <row r="1216">
          <cell r="A1216" t="str">
            <v>JURI FENIN</v>
          </cell>
          <cell r="B1216">
            <v>2499</v>
          </cell>
        </row>
        <row r="1217">
          <cell r="A1217" t="str">
            <v>POLINA FEOFANOVA</v>
          </cell>
          <cell r="B1217">
            <v>10557</v>
          </cell>
        </row>
        <row r="1218">
          <cell r="A1218" t="str">
            <v>PAULA FERŠEL</v>
          </cell>
          <cell r="B1218">
            <v>5082</v>
          </cell>
        </row>
        <row r="1219">
          <cell r="A1219" t="str">
            <v>NIKITA FERAKJAN</v>
          </cell>
          <cell r="B1219">
            <v>5128</v>
          </cell>
        </row>
        <row r="1220">
          <cell r="A1220" t="str">
            <v>ARSENI FETISSOV</v>
          </cell>
          <cell r="B1220">
            <v>9579</v>
          </cell>
        </row>
        <row r="1221">
          <cell r="A1221" t="str">
            <v>ARINA FETJUKOVA</v>
          </cell>
          <cell r="B1221">
            <v>10556</v>
          </cell>
        </row>
        <row r="1222">
          <cell r="A1222" t="str">
            <v>FF FF</v>
          </cell>
          <cell r="B1222">
            <v>1478</v>
          </cell>
        </row>
        <row r="1223">
          <cell r="A1223" t="str">
            <v>VLADIMIR FFFFFFFF</v>
          </cell>
          <cell r="B1223">
            <v>3630</v>
          </cell>
        </row>
        <row r="1224">
          <cell r="A1224" t="str">
            <v>KAROLIN FIGOL</v>
          </cell>
          <cell r="B1224">
            <v>7225</v>
          </cell>
        </row>
        <row r="1225">
          <cell r="A1225" t="str">
            <v>DANIIL FILIPENKO</v>
          </cell>
          <cell r="B1225">
            <v>8587</v>
          </cell>
        </row>
        <row r="1226">
          <cell r="A1226" t="str">
            <v>ALEKSANDR FILIPOV</v>
          </cell>
          <cell r="B1226">
            <v>5452</v>
          </cell>
        </row>
        <row r="1227">
          <cell r="A1227" t="str">
            <v>NIKOLAI FILIPOV</v>
          </cell>
          <cell r="B1227">
            <v>9130</v>
          </cell>
        </row>
        <row r="1228">
          <cell r="A1228" t="str">
            <v>JEVGENIJS FILIPOVS</v>
          </cell>
          <cell r="B1228">
            <v>4990</v>
          </cell>
        </row>
        <row r="1229">
          <cell r="A1229" t="str">
            <v>ANDREI FILIPPOV</v>
          </cell>
          <cell r="B1229">
            <v>5129</v>
          </cell>
        </row>
        <row r="1230">
          <cell r="A1230" t="str">
            <v>RAILI FILIPPOV</v>
          </cell>
          <cell r="B1230">
            <v>4205</v>
          </cell>
        </row>
        <row r="1231">
          <cell r="A1231" t="str">
            <v>VLADISLAV FILIPPOV</v>
          </cell>
          <cell r="B1231">
            <v>3122</v>
          </cell>
        </row>
        <row r="1232">
          <cell r="A1232" t="str">
            <v>ALEKSANDR FILITŠEV</v>
          </cell>
          <cell r="B1232">
            <v>9741</v>
          </cell>
        </row>
        <row r="1233">
          <cell r="A1233" t="str">
            <v>VITALI FILITSEV</v>
          </cell>
          <cell r="B1233">
            <v>3161</v>
          </cell>
        </row>
        <row r="1234">
          <cell r="A1234" t="str">
            <v>ANATOLI FILONENKO</v>
          </cell>
          <cell r="B1234">
            <v>5922</v>
          </cell>
        </row>
        <row r="1235">
          <cell r="A1235" t="str">
            <v>DANILA FILYSKIN</v>
          </cell>
          <cell r="B1235">
            <v>5515</v>
          </cell>
        </row>
        <row r="1236">
          <cell r="A1236" t="str">
            <v>PHILIP FINELL</v>
          </cell>
          <cell r="B1236">
            <v>1617</v>
          </cell>
        </row>
        <row r="1237">
          <cell r="A1237" t="str">
            <v>MAARIKA FINNE</v>
          </cell>
          <cell r="B1237">
            <v>5879</v>
          </cell>
        </row>
        <row r="1238">
          <cell r="A1238" t="str">
            <v>EDUARD FISHMAN</v>
          </cell>
          <cell r="B1238">
            <v>10826</v>
          </cell>
        </row>
        <row r="1239">
          <cell r="A1239" t="str">
            <v>DMYTRO FISHMANN</v>
          </cell>
          <cell r="B1239">
            <v>10828</v>
          </cell>
        </row>
        <row r="1240">
          <cell r="A1240" t="str">
            <v>MARKUS FIUT</v>
          </cell>
          <cell r="B1240">
            <v>4206</v>
          </cell>
        </row>
        <row r="1241">
          <cell r="A1241" t="str">
            <v>HALVARD FJELL</v>
          </cell>
          <cell r="B1241">
            <v>2217</v>
          </cell>
        </row>
        <row r="1242">
          <cell r="A1242" t="str">
            <v>ANATOLI FJODOROV</v>
          </cell>
          <cell r="B1242">
            <v>7101</v>
          </cell>
        </row>
        <row r="1243">
          <cell r="A1243" t="str">
            <v>DAMIR FJODOROV</v>
          </cell>
          <cell r="B1243">
            <v>10616</v>
          </cell>
        </row>
        <row r="1244">
          <cell r="A1244" t="str">
            <v>DANIIL FJODOROV</v>
          </cell>
          <cell r="B1244">
            <v>8190</v>
          </cell>
        </row>
        <row r="1245">
          <cell r="A1245" t="str">
            <v>KRISTAN FJODOROV</v>
          </cell>
          <cell r="B1245">
            <v>9898</v>
          </cell>
        </row>
        <row r="1246">
          <cell r="A1246" t="str">
            <v>MARAT FJODOROV</v>
          </cell>
          <cell r="B1246">
            <v>9950</v>
          </cell>
        </row>
        <row r="1247">
          <cell r="A1247" t="str">
            <v>OLEG FJODOROV</v>
          </cell>
          <cell r="B1247">
            <v>9727</v>
          </cell>
        </row>
        <row r="1248">
          <cell r="A1248" t="str">
            <v>ROLAND FJODOROV</v>
          </cell>
          <cell r="B1248">
            <v>9893</v>
          </cell>
        </row>
        <row r="1249">
          <cell r="A1249" t="str">
            <v>SERGEI FJODOROV</v>
          </cell>
          <cell r="B1249">
            <v>5660</v>
          </cell>
        </row>
        <row r="1250">
          <cell r="A1250" t="str">
            <v>STANISLAV FJODOROV</v>
          </cell>
          <cell r="B1250">
            <v>369</v>
          </cell>
        </row>
        <row r="1251">
          <cell r="A1251" t="str">
            <v>DARJA FJODOROVA</v>
          </cell>
          <cell r="B1251">
            <v>2495</v>
          </cell>
        </row>
        <row r="1252">
          <cell r="A1252" t="str">
            <v>DIANA FJODOROVA</v>
          </cell>
          <cell r="B1252">
            <v>5358</v>
          </cell>
        </row>
        <row r="1253">
          <cell r="A1253" t="str">
            <v>KSENJA FJODOROVA</v>
          </cell>
          <cell r="B1253">
            <v>4209</v>
          </cell>
        </row>
        <row r="1254">
          <cell r="A1254" t="str">
            <v>MARGARITA FJODOROVA</v>
          </cell>
          <cell r="B1254">
            <v>4208</v>
          </cell>
        </row>
        <row r="1255">
          <cell r="A1255" t="str">
            <v>NATALIJA FJODOROVA</v>
          </cell>
          <cell r="B1255">
            <v>7429</v>
          </cell>
        </row>
        <row r="1256">
          <cell r="A1256" t="str">
            <v>VIKTORIA FJODOROVA</v>
          </cell>
          <cell r="B1256">
            <v>4207</v>
          </cell>
        </row>
        <row r="1257">
          <cell r="A1257" t="str">
            <v>HARALDS FJODOROVS</v>
          </cell>
          <cell r="B1257">
            <v>9516</v>
          </cell>
        </row>
        <row r="1258">
          <cell r="A1258" t="str">
            <v>JOUNI FLEMMING</v>
          </cell>
          <cell r="B1258">
            <v>3415</v>
          </cell>
        </row>
        <row r="1259">
          <cell r="A1259" t="str">
            <v>VEIKKA FLEMMING</v>
          </cell>
          <cell r="B1259">
            <v>3553</v>
          </cell>
        </row>
        <row r="1260">
          <cell r="A1260" t="str">
            <v>KAIDO FLOREN</v>
          </cell>
          <cell r="B1260">
            <v>7421</v>
          </cell>
        </row>
        <row r="1261">
          <cell r="A1261" t="str">
            <v>SVEIN FOLKESON</v>
          </cell>
          <cell r="B1261">
            <v>5948</v>
          </cell>
        </row>
        <row r="1262">
          <cell r="A1262" t="str">
            <v>DMITRY FOMICHENKO</v>
          </cell>
          <cell r="B1262">
            <v>7384</v>
          </cell>
        </row>
        <row r="1263">
          <cell r="A1263" t="str">
            <v>ANDREI FOMIN</v>
          </cell>
          <cell r="B1263">
            <v>10475</v>
          </cell>
        </row>
        <row r="1264">
          <cell r="A1264" t="str">
            <v>DENISS FOMIN</v>
          </cell>
          <cell r="B1264">
            <v>4210</v>
          </cell>
        </row>
        <row r="1265">
          <cell r="A1265" t="str">
            <v>SOFIJA FOMINÕHH</v>
          </cell>
          <cell r="B1265">
            <v>9705</v>
          </cell>
        </row>
        <row r="1266">
          <cell r="A1266" t="str">
            <v>TATJANA FOMOTSHKINA</v>
          </cell>
          <cell r="B1266">
            <v>4211</v>
          </cell>
        </row>
        <row r="1267">
          <cell r="A1267" t="str">
            <v>ALEX FOOLADI</v>
          </cell>
          <cell r="B1267">
            <v>5513</v>
          </cell>
        </row>
        <row r="1268">
          <cell r="A1268" t="str">
            <v>KRISTO FORSEL</v>
          </cell>
          <cell r="B1268">
            <v>8697</v>
          </cell>
        </row>
        <row r="1269">
          <cell r="A1269" t="str">
            <v>ALISA FRANCHI</v>
          </cell>
          <cell r="B1269">
            <v>8527</v>
          </cell>
        </row>
        <row r="1270">
          <cell r="A1270" t="str">
            <v>LININA FRANCISKA</v>
          </cell>
          <cell r="B1270">
            <v>8268</v>
          </cell>
        </row>
        <row r="1271">
          <cell r="A1271" t="str">
            <v>NELLIE FRANZÉN</v>
          </cell>
          <cell r="B1271">
            <v>9760</v>
          </cell>
        </row>
        <row r="1272">
          <cell r="A1272" t="str">
            <v>SVEN FRANTSUZOV</v>
          </cell>
          <cell r="B1272">
            <v>10802</v>
          </cell>
        </row>
        <row r="1273">
          <cell r="A1273" t="str">
            <v>SAMUEL FREESE</v>
          </cell>
          <cell r="B1273">
            <v>9753</v>
          </cell>
        </row>
        <row r="1274">
          <cell r="A1274" t="str">
            <v>KRISTO FREI</v>
          </cell>
          <cell r="B1274">
            <v>3357</v>
          </cell>
        </row>
        <row r="1275">
          <cell r="A1275" t="str">
            <v>CASPAR FREIBERG</v>
          </cell>
          <cell r="B1275">
            <v>9236</v>
          </cell>
        </row>
        <row r="1276">
          <cell r="A1276" t="str">
            <v>MARIS FREIBERGS</v>
          </cell>
          <cell r="B1276">
            <v>1274</v>
          </cell>
        </row>
        <row r="1277">
          <cell r="A1277" t="str">
            <v>ALEKSANDRA FREIRIK</v>
          </cell>
          <cell r="B1277">
            <v>8872</v>
          </cell>
        </row>
        <row r="1278">
          <cell r="A1278" t="str">
            <v>SEBASTIAN FREIRIK</v>
          </cell>
          <cell r="B1278">
            <v>8870</v>
          </cell>
        </row>
        <row r="1279">
          <cell r="A1279" t="str">
            <v>MIKAEL FREJBORG</v>
          </cell>
          <cell r="B1279">
            <v>3028</v>
          </cell>
        </row>
        <row r="1280">
          <cell r="A1280" t="str">
            <v>LUKAS FREJERIS</v>
          </cell>
          <cell r="B1280">
            <v>9364</v>
          </cell>
        </row>
        <row r="1281">
          <cell r="A1281" t="str">
            <v>ZANE FRIDENBERGA</v>
          </cell>
          <cell r="B1281">
            <v>2573</v>
          </cell>
        </row>
        <row r="1282">
          <cell r="A1282" t="str">
            <v>KENNO FRIDRIKSON</v>
          </cell>
          <cell r="B1282">
            <v>2401</v>
          </cell>
        </row>
        <row r="1283">
          <cell r="A1283" t="str">
            <v>LUKAS FRIELING</v>
          </cell>
          <cell r="B1283">
            <v>10090</v>
          </cell>
        </row>
        <row r="1284">
          <cell r="A1284" t="str">
            <v>ANATOLI FROLOV</v>
          </cell>
          <cell r="B1284">
            <v>9201</v>
          </cell>
        </row>
        <row r="1285">
          <cell r="A1285" t="str">
            <v>IVAN FROLOV</v>
          </cell>
          <cell r="B1285">
            <v>9024</v>
          </cell>
        </row>
        <row r="1286">
          <cell r="A1286" t="str">
            <v>JARINA FROLUKOVA</v>
          </cell>
          <cell r="B1286">
            <v>10617</v>
          </cell>
        </row>
        <row r="1287">
          <cell r="A1287" t="str">
            <v>KRISTJAN FROSCH</v>
          </cell>
          <cell r="B1287">
            <v>9979</v>
          </cell>
        </row>
        <row r="1288">
          <cell r="A1288" t="str">
            <v>RISTO FUCHS</v>
          </cell>
          <cell r="B1288">
            <v>497</v>
          </cell>
        </row>
        <row r="1289">
          <cell r="A1289" t="str">
            <v>KRISTJAN FUKS</v>
          </cell>
          <cell r="B1289">
            <v>5668</v>
          </cell>
        </row>
        <row r="1290">
          <cell r="A1290" t="str">
            <v>MELANIE FUKS</v>
          </cell>
          <cell r="B1290">
            <v>7226</v>
          </cell>
        </row>
        <row r="1291">
          <cell r="A1291" t="str">
            <v>POLINA FURMINSKAJA</v>
          </cell>
          <cell r="B1291">
            <v>8787</v>
          </cell>
        </row>
        <row r="1292">
          <cell r="A1292" t="str">
            <v>PAUL EROS FUSI</v>
          </cell>
          <cell r="B1292">
            <v>5440</v>
          </cell>
        </row>
        <row r="1293">
          <cell r="A1293" t="str">
            <v>DENISS GAŠIN</v>
          </cell>
          <cell r="B1293">
            <v>5130</v>
          </cell>
        </row>
        <row r="1294">
          <cell r="A1294" t="str">
            <v>JURI GAŠIN</v>
          </cell>
          <cell r="B1294">
            <v>7220</v>
          </cell>
        </row>
        <row r="1295">
          <cell r="A1295" t="str">
            <v>KRISTA GABRANE</v>
          </cell>
          <cell r="B1295">
            <v>2575</v>
          </cell>
        </row>
        <row r="1296">
          <cell r="A1296" t="str">
            <v>MATVEI GAEV</v>
          </cell>
          <cell r="B1296">
            <v>8586</v>
          </cell>
        </row>
        <row r="1297">
          <cell r="A1297" t="str">
            <v>JONAS GAFUR</v>
          </cell>
          <cell r="B1297">
            <v>9282</v>
          </cell>
        </row>
        <row r="1298">
          <cell r="A1298" t="str">
            <v>BAIBA GAGA</v>
          </cell>
          <cell r="B1298">
            <v>1821</v>
          </cell>
        </row>
        <row r="1299">
          <cell r="A1299" t="str">
            <v>KELLI GAGARINA</v>
          </cell>
          <cell r="B1299">
            <v>8691</v>
          </cell>
        </row>
        <row r="1300">
          <cell r="A1300" t="str">
            <v>PAVEL GAGEN</v>
          </cell>
          <cell r="B1300">
            <v>2451</v>
          </cell>
        </row>
        <row r="1301">
          <cell r="A1301" t="str">
            <v>ALEKSANDR GAIDAŠOV</v>
          </cell>
          <cell r="B1301">
            <v>8304</v>
          </cell>
        </row>
        <row r="1302">
          <cell r="A1302" t="str">
            <v>VILNIS GAILUMS</v>
          </cell>
          <cell r="B1302">
            <v>1577</v>
          </cell>
        </row>
        <row r="1303">
          <cell r="A1303" t="str">
            <v>STANISLAV GAISTRUK</v>
          </cell>
          <cell r="B1303">
            <v>8277</v>
          </cell>
        </row>
        <row r="1304">
          <cell r="A1304" t="str">
            <v>SOFIE GALASHUK</v>
          </cell>
          <cell r="B1304">
            <v>2406</v>
          </cell>
        </row>
        <row r="1305">
          <cell r="A1305" t="str">
            <v>JUSTAS GALATILTIS</v>
          </cell>
          <cell r="B1305">
            <v>1934</v>
          </cell>
        </row>
        <row r="1306">
          <cell r="A1306" t="str">
            <v>ANNA GALIOS</v>
          </cell>
          <cell r="B1306">
            <v>6221</v>
          </cell>
        </row>
        <row r="1307">
          <cell r="A1307" t="str">
            <v>ANNIKI GALKAN</v>
          </cell>
          <cell r="B1307">
            <v>4212</v>
          </cell>
        </row>
        <row r="1308">
          <cell r="A1308" t="str">
            <v>HELEN GALKAN</v>
          </cell>
          <cell r="B1308">
            <v>892</v>
          </cell>
        </row>
        <row r="1309">
          <cell r="A1309" t="str">
            <v>JANIS GALKAN</v>
          </cell>
          <cell r="B1309">
            <v>1078</v>
          </cell>
        </row>
        <row r="1310">
          <cell r="A1310" t="str">
            <v>RAMONA GALSONE</v>
          </cell>
          <cell r="B1310">
            <v>2197</v>
          </cell>
        </row>
        <row r="1311">
          <cell r="A1311" t="str">
            <v>MYKOLA GALUSHKA</v>
          </cell>
          <cell r="B1311">
            <v>10295</v>
          </cell>
        </row>
        <row r="1312">
          <cell r="A1312" t="str">
            <v>JURIJS GAMAJUNOVS</v>
          </cell>
          <cell r="B1312">
            <v>2651</v>
          </cell>
        </row>
        <row r="1313">
          <cell r="A1313" t="str">
            <v>KUZEY GÜNDOGDU</v>
          </cell>
          <cell r="B1313">
            <v>9814</v>
          </cell>
        </row>
        <row r="1314">
          <cell r="A1314" t="str">
            <v>JÜRGEN GÜSSON</v>
          </cell>
          <cell r="B1314">
            <v>8596</v>
          </cell>
        </row>
        <row r="1315">
          <cell r="A1315" t="str">
            <v>VLADIMIR GAPANOVITS</v>
          </cell>
          <cell r="B1315">
            <v>3755</v>
          </cell>
        </row>
        <row r="1316">
          <cell r="A1316" t="str">
            <v>MAKSIMS GARABA</v>
          </cell>
          <cell r="B1316">
            <v>7425</v>
          </cell>
        </row>
        <row r="1317">
          <cell r="A1317" t="str">
            <v>ALEKSANDR GARANIN</v>
          </cell>
          <cell r="B1317">
            <v>8000</v>
          </cell>
        </row>
        <row r="1318">
          <cell r="A1318" t="str">
            <v>JURI GARAT</v>
          </cell>
          <cell r="B1318">
            <v>2556</v>
          </cell>
        </row>
        <row r="1319">
          <cell r="A1319" t="str">
            <v>DŽIUGAS GARBAUSKAS</v>
          </cell>
          <cell r="B1319">
            <v>8162</v>
          </cell>
        </row>
        <row r="1320">
          <cell r="A1320" t="str">
            <v>ALVYDAS GARBENIS</v>
          </cell>
          <cell r="B1320">
            <v>10766</v>
          </cell>
        </row>
        <row r="1321">
          <cell r="A1321" t="str">
            <v>RUSLAN GARIFOV</v>
          </cell>
          <cell r="B1321">
            <v>2090</v>
          </cell>
        </row>
        <row r="1322">
          <cell r="A1322" t="str">
            <v>MARINA GARNAIA</v>
          </cell>
          <cell r="B1322">
            <v>5652</v>
          </cell>
        </row>
        <row r="1323">
          <cell r="A1323" t="str">
            <v>TATIANA GARNOVA</v>
          </cell>
          <cell r="B1323">
            <v>9521</v>
          </cell>
        </row>
        <row r="1324">
          <cell r="A1324" t="str">
            <v>ARSEN GASANOV</v>
          </cell>
          <cell r="B1324">
            <v>4970</v>
          </cell>
        </row>
        <row r="1325">
          <cell r="A1325" t="str">
            <v>KALLE GASTON</v>
          </cell>
          <cell r="B1325">
            <v>4864</v>
          </cell>
        </row>
        <row r="1326">
          <cell r="A1326" t="str">
            <v>DIANA GAVŠINA</v>
          </cell>
          <cell r="B1326">
            <v>9271</v>
          </cell>
        </row>
        <row r="1327">
          <cell r="A1327" t="str">
            <v>MAKSIM GAVRILOV</v>
          </cell>
          <cell r="B1327">
            <v>406</v>
          </cell>
        </row>
        <row r="1328">
          <cell r="A1328" t="str">
            <v>SANDRA GAVRILOVA</v>
          </cell>
          <cell r="B1328">
            <v>8826</v>
          </cell>
        </row>
        <row r="1329">
          <cell r="A1329" t="str">
            <v>DIANA GAVSINA</v>
          </cell>
          <cell r="B1329">
            <v>9053</v>
          </cell>
        </row>
        <row r="1330">
          <cell r="A1330" t="str">
            <v>AUKSE GECEVICIUTE</v>
          </cell>
          <cell r="B1330">
            <v>3571</v>
          </cell>
        </row>
        <row r="1331">
          <cell r="A1331" t="str">
            <v>ERGO GELENITSH</v>
          </cell>
          <cell r="B1331">
            <v>2827</v>
          </cell>
        </row>
        <row r="1332">
          <cell r="A1332" t="str">
            <v>MARIJA GELFOND</v>
          </cell>
          <cell r="B1332">
            <v>5142</v>
          </cell>
        </row>
        <row r="1333">
          <cell r="A1333" t="str">
            <v>DANIEL GELLER</v>
          </cell>
          <cell r="B1333">
            <v>6207</v>
          </cell>
        </row>
        <row r="1334">
          <cell r="A1334" t="str">
            <v>KSENIA GENITE</v>
          </cell>
          <cell r="B1334">
            <v>9042</v>
          </cell>
        </row>
        <row r="1335">
          <cell r="A1335" t="str">
            <v>KSENIJA GENITE</v>
          </cell>
          <cell r="B1335">
            <v>9252</v>
          </cell>
        </row>
        <row r="1336">
          <cell r="A1336" t="str">
            <v>STANISLAV GERASHENKO</v>
          </cell>
          <cell r="B1336">
            <v>1800</v>
          </cell>
        </row>
        <row r="1337">
          <cell r="A1337" t="str">
            <v>VIKTOR-MATVII GERASIMOV</v>
          </cell>
          <cell r="B1337">
            <v>10852</v>
          </cell>
        </row>
        <row r="1338">
          <cell r="A1338" t="str">
            <v>ALEKSEI GERASSIMOV</v>
          </cell>
          <cell r="B1338">
            <v>4991</v>
          </cell>
        </row>
        <row r="1339">
          <cell r="A1339" t="str">
            <v>ARTUR GERASSIMOV</v>
          </cell>
          <cell r="B1339">
            <v>7917</v>
          </cell>
        </row>
        <row r="1340">
          <cell r="A1340" t="str">
            <v>AROMEDA GERCIUTE</v>
          </cell>
          <cell r="B1340">
            <v>7216</v>
          </cell>
        </row>
        <row r="1341">
          <cell r="A1341" t="str">
            <v>ALEKSI GERDT</v>
          </cell>
          <cell r="B1341">
            <v>1552</v>
          </cell>
        </row>
        <row r="1342">
          <cell r="A1342" t="str">
            <v>KIMMO GERDT</v>
          </cell>
          <cell r="B1342">
            <v>1565</v>
          </cell>
        </row>
        <row r="1343">
          <cell r="A1343" t="str">
            <v>KASSANDRA GEREJEVA</v>
          </cell>
          <cell r="B1343">
            <v>10541</v>
          </cell>
        </row>
        <row r="1344">
          <cell r="A1344" t="str">
            <v>KRISTIINA GERGELJUK</v>
          </cell>
          <cell r="B1344">
            <v>4213</v>
          </cell>
        </row>
        <row r="1345">
          <cell r="A1345" t="str">
            <v>EVELIN GERJAK</v>
          </cell>
          <cell r="B1345">
            <v>4214</v>
          </cell>
        </row>
        <row r="1346">
          <cell r="A1346" t="str">
            <v>JAN GERLYNSKI</v>
          </cell>
          <cell r="B1346">
            <v>8082</v>
          </cell>
        </row>
        <row r="1347">
          <cell r="A1347" t="str">
            <v>SOFIA VIKTORIA GEROISKAJA</v>
          </cell>
          <cell r="B1347">
            <v>3756</v>
          </cell>
        </row>
        <row r="1348">
          <cell r="A1348" t="str">
            <v>ELIZABETH GERTNER</v>
          </cell>
          <cell r="B1348">
            <v>5261</v>
          </cell>
        </row>
        <row r="1349">
          <cell r="A1349" t="str">
            <v>ANNA GEVELLER</v>
          </cell>
          <cell r="B1349">
            <v>9483</v>
          </cell>
        </row>
        <row r="1350">
          <cell r="A1350" t="str">
            <v>MARIA GEVELLER</v>
          </cell>
          <cell r="B1350">
            <v>3220</v>
          </cell>
        </row>
        <row r="1351">
          <cell r="A1351" t="str">
            <v>GGG GGG</v>
          </cell>
          <cell r="B1351">
            <v>1932</v>
          </cell>
        </row>
        <row r="1352">
          <cell r="A1352" t="str">
            <v>DANIEL GHAZANFARI</v>
          </cell>
          <cell r="B1352">
            <v>1533</v>
          </cell>
        </row>
        <row r="1353">
          <cell r="A1353" t="str">
            <v>JANIS GIBALA</v>
          </cell>
          <cell r="B1353">
            <v>3716</v>
          </cell>
        </row>
        <row r="1354">
          <cell r="A1354" t="str">
            <v>MATAS GIEDRAITIS</v>
          </cell>
          <cell r="B1354">
            <v>8778</v>
          </cell>
        </row>
        <row r="1355">
          <cell r="A1355" t="str">
            <v>JAANUS GILDEMANN</v>
          </cell>
          <cell r="B1355">
            <v>4650</v>
          </cell>
        </row>
        <row r="1356">
          <cell r="A1356" t="str">
            <v>TAAVI GILDEN</v>
          </cell>
          <cell r="B1356">
            <v>9533</v>
          </cell>
        </row>
        <row r="1357">
          <cell r="A1357" t="str">
            <v>DANIEL GIRGIDOV</v>
          </cell>
          <cell r="B1357">
            <v>9087</v>
          </cell>
        </row>
        <row r="1358">
          <cell r="A1358" t="str">
            <v>MARIA GIRLEA</v>
          </cell>
          <cell r="B1358">
            <v>10157</v>
          </cell>
        </row>
        <row r="1359">
          <cell r="A1359" t="str">
            <v>TIGRAN GJULUMJAN</v>
          </cell>
          <cell r="B1359">
            <v>7279</v>
          </cell>
        </row>
        <row r="1360">
          <cell r="A1360" t="str">
            <v>RAIMONDO GLADEVICS</v>
          </cell>
          <cell r="B1360">
            <v>1720</v>
          </cell>
        </row>
        <row r="1361">
          <cell r="A1361" t="str">
            <v>ROMAN GLAZANTSEV</v>
          </cell>
          <cell r="B1361">
            <v>1557</v>
          </cell>
        </row>
        <row r="1362">
          <cell r="A1362" t="str">
            <v>DENISS GLAZKOV</v>
          </cell>
          <cell r="B1362">
            <v>3476</v>
          </cell>
        </row>
        <row r="1363">
          <cell r="A1363" t="str">
            <v>SERGEI GLAZKOV</v>
          </cell>
          <cell r="B1363">
            <v>4215</v>
          </cell>
        </row>
        <row r="1364">
          <cell r="A1364" t="str">
            <v>ANATOLI GLAZOV</v>
          </cell>
          <cell r="B1364">
            <v>2965</v>
          </cell>
        </row>
        <row r="1365">
          <cell r="A1365" t="str">
            <v>ILJA GLAZUNOV</v>
          </cell>
          <cell r="B1365">
            <v>4067</v>
          </cell>
        </row>
        <row r="1366">
          <cell r="A1366" t="str">
            <v>ARINA GLAZUNOVA</v>
          </cell>
          <cell r="B1366">
            <v>10567</v>
          </cell>
        </row>
        <row r="1367">
          <cell r="A1367" t="str">
            <v>VITALIJS GLAZUNOVS</v>
          </cell>
          <cell r="B1367">
            <v>1121</v>
          </cell>
        </row>
        <row r="1368">
          <cell r="A1368" t="str">
            <v>OLEG GLIVENKO</v>
          </cell>
          <cell r="B1368">
            <v>1737</v>
          </cell>
        </row>
        <row r="1369">
          <cell r="A1369" t="str">
            <v>MARTYNAS GLODENIS</v>
          </cell>
          <cell r="B1369">
            <v>8440</v>
          </cell>
        </row>
        <row r="1370">
          <cell r="A1370" t="str">
            <v>LASMA GLODEVICE</v>
          </cell>
          <cell r="B1370">
            <v>1719</v>
          </cell>
        </row>
        <row r="1371">
          <cell r="A1371" t="str">
            <v>JEVGENI GLOHOVTŠENKO</v>
          </cell>
          <cell r="B1371">
            <v>3116</v>
          </cell>
        </row>
        <row r="1372">
          <cell r="A1372" t="str">
            <v>DAANIEL GLUŠKOV</v>
          </cell>
          <cell r="B1372">
            <v>7627</v>
          </cell>
        </row>
        <row r="1373">
          <cell r="A1373" t="str">
            <v>ALEKSANDR GLUSHKO</v>
          </cell>
          <cell r="B1373">
            <v>4216</v>
          </cell>
        </row>
        <row r="1374">
          <cell r="A1374" t="str">
            <v>JEVGENIJS GMIRAKS</v>
          </cell>
          <cell r="B1374">
            <v>1660</v>
          </cell>
        </row>
        <row r="1375">
          <cell r="A1375" t="str">
            <v>ARTJOM GNEZDILOV</v>
          </cell>
          <cell r="B1375">
            <v>5990</v>
          </cell>
        </row>
        <row r="1376">
          <cell r="A1376" t="str">
            <v>IVAN GNEZDILOV</v>
          </cell>
          <cell r="B1376">
            <v>368</v>
          </cell>
        </row>
        <row r="1377">
          <cell r="A1377" t="str">
            <v>JURI GNEZDILOV</v>
          </cell>
          <cell r="B1377">
            <v>1806</v>
          </cell>
        </row>
        <row r="1378">
          <cell r="A1378" t="str">
            <v>KERNIUS GNIZINSKAS</v>
          </cell>
          <cell r="B1378">
            <v>9763</v>
          </cell>
        </row>
        <row r="1379">
          <cell r="A1379" t="str">
            <v>JEGOR GNJAZEV</v>
          </cell>
          <cell r="B1379">
            <v>7613</v>
          </cell>
        </row>
        <row r="1380">
          <cell r="A1380" t="str">
            <v>MARK GNUSARKOV</v>
          </cell>
          <cell r="B1380">
            <v>7476</v>
          </cell>
        </row>
        <row r="1381">
          <cell r="A1381" t="str">
            <v>JURI GODES</v>
          </cell>
          <cell r="B1381">
            <v>1523</v>
          </cell>
        </row>
        <row r="1382">
          <cell r="A1382" t="str">
            <v>NIKITA GOLDMAN</v>
          </cell>
          <cell r="B1382">
            <v>3757</v>
          </cell>
        </row>
        <row r="1383">
          <cell r="A1383" t="str">
            <v>VASSILI GOLIGUZOV</v>
          </cell>
          <cell r="B1383">
            <v>5489</v>
          </cell>
        </row>
        <row r="1384">
          <cell r="A1384" t="str">
            <v>KIRILL GOLIKOV</v>
          </cell>
          <cell r="B1384">
            <v>7041</v>
          </cell>
        </row>
        <row r="1385">
          <cell r="A1385" t="str">
            <v>PAVEL GOLIKOV</v>
          </cell>
          <cell r="B1385">
            <v>9476</v>
          </cell>
        </row>
        <row r="1386">
          <cell r="A1386" t="str">
            <v>JEKATERINA GOLIKOVA</v>
          </cell>
          <cell r="B1386">
            <v>3180</v>
          </cell>
        </row>
        <row r="1387">
          <cell r="A1387" t="str">
            <v>VLADISLAV GOLODOV</v>
          </cell>
          <cell r="B1387">
            <v>7192</v>
          </cell>
        </row>
        <row r="1388">
          <cell r="A1388" t="str">
            <v>NATALIA GOLOVANOVA</v>
          </cell>
          <cell r="B1388">
            <v>1507</v>
          </cell>
        </row>
        <row r="1389">
          <cell r="A1389" t="str">
            <v>ANNA GOLOVINA</v>
          </cell>
          <cell r="B1389">
            <v>8236</v>
          </cell>
        </row>
        <row r="1390">
          <cell r="A1390" t="str">
            <v>ARTUR GOLOVKO</v>
          </cell>
          <cell r="B1390">
            <v>9924</v>
          </cell>
        </row>
        <row r="1391">
          <cell r="A1391" t="str">
            <v>ANDREI GOLUBEV</v>
          </cell>
          <cell r="B1391">
            <v>5454</v>
          </cell>
        </row>
        <row r="1392">
          <cell r="A1392" t="str">
            <v>SERGEI GOLUBEV</v>
          </cell>
          <cell r="B1392">
            <v>420</v>
          </cell>
        </row>
        <row r="1393">
          <cell r="A1393" t="str">
            <v>ANASTASSIA GOLUBEVA</v>
          </cell>
          <cell r="B1393">
            <v>3305</v>
          </cell>
        </row>
        <row r="1394">
          <cell r="A1394" t="str">
            <v>ARTIS GOLUBOVS</v>
          </cell>
          <cell r="B1394">
            <v>3192</v>
          </cell>
        </row>
        <row r="1395">
          <cell r="A1395" t="str">
            <v>MODRIS GOLUBOVS</v>
          </cell>
          <cell r="B1395">
            <v>6261</v>
          </cell>
        </row>
        <row r="1396">
          <cell r="A1396" t="str">
            <v>IGOR GONTŠARENKO</v>
          </cell>
          <cell r="B1396">
            <v>5947</v>
          </cell>
        </row>
        <row r="1397">
          <cell r="A1397" t="str">
            <v>OLGA GORŠKALEVA</v>
          </cell>
          <cell r="B1397">
            <v>6995</v>
          </cell>
        </row>
        <row r="1398">
          <cell r="A1398" t="str">
            <v>DMITRI GORBATŠOV</v>
          </cell>
          <cell r="B1398">
            <v>8167</v>
          </cell>
        </row>
        <row r="1399">
          <cell r="A1399" t="str">
            <v>VLADIMIR GORBATJUK</v>
          </cell>
          <cell r="B1399">
            <v>5035</v>
          </cell>
        </row>
        <row r="1400">
          <cell r="A1400" t="str">
            <v>ANDREI GORBATOV</v>
          </cell>
          <cell r="B1400">
            <v>1025</v>
          </cell>
        </row>
        <row r="1401">
          <cell r="A1401" t="str">
            <v>VASSILI GORBATSHOV</v>
          </cell>
          <cell r="B1401">
            <v>3645</v>
          </cell>
        </row>
        <row r="1402">
          <cell r="A1402" t="str">
            <v>LIIDIA GORBULKO</v>
          </cell>
          <cell r="B1402">
            <v>9233</v>
          </cell>
        </row>
        <row r="1403">
          <cell r="A1403" t="str">
            <v>KRISTO GORBUNOV</v>
          </cell>
          <cell r="B1403">
            <v>5051</v>
          </cell>
        </row>
        <row r="1404">
          <cell r="A1404" t="str">
            <v>ANNE GORBUNOVA</v>
          </cell>
          <cell r="B1404">
            <v>2369</v>
          </cell>
        </row>
        <row r="1405">
          <cell r="A1405" t="str">
            <v>GERT GORDEJEV</v>
          </cell>
          <cell r="B1405">
            <v>3262</v>
          </cell>
        </row>
        <row r="1406">
          <cell r="A1406" t="str">
            <v>SERGEY GORELOV</v>
          </cell>
          <cell r="B1406">
            <v>9425</v>
          </cell>
        </row>
        <row r="1407">
          <cell r="A1407" t="str">
            <v>OLIVIA GORJATŠOVA</v>
          </cell>
          <cell r="B1407">
            <v>10345</v>
          </cell>
        </row>
        <row r="1408">
          <cell r="A1408" t="str">
            <v>VIKTOR GORJATSEV</v>
          </cell>
          <cell r="B1408">
            <v>1759</v>
          </cell>
        </row>
        <row r="1409">
          <cell r="A1409" t="str">
            <v>KIRILL GORJUŠIN</v>
          </cell>
          <cell r="B1409">
            <v>3758</v>
          </cell>
        </row>
        <row r="1410">
          <cell r="A1410" t="str">
            <v>ALEKSEI GORJUNOV</v>
          </cell>
          <cell r="B1410">
            <v>5628</v>
          </cell>
        </row>
        <row r="1411">
          <cell r="A1411" t="str">
            <v>JULIA GORJUNOV</v>
          </cell>
          <cell r="B1411">
            <v>3425</v>
          </cell>
        </row>
        <row r="1412">
          <cell r="A1412" t="str">
            <v>HENRI GORNISCHEFF</v>
          </cell>
          <cell r="B1412">
            <v>5427</v>
          </cell>
        </row>
        <row r="1413">
          <cell r="A1413" t="str">
            <v>ANDREI GORNOSTAJEV</v>
          </cell>
          <cell r="B1413">
            <v>8175</v>
          </cell>
        </row>
        <row r="1414">
          <cell r="A1414" t="str">
            <v>ALEKSANDR GOROBETS</v>
          </cell>
          <cell r="B1414">
            <v>10359</v>
          </cell>
        </row>
        <row r="1415">
          <cell r="A1415" t="str">
            <v>ANDRES GOROHHOV</v>
          </cell>
          <cell r="B1415">
            <v>2479</v>
          </cell>
        </row>
        <row r="1416">
          <cell r="A1416" t="str">
            <v>IVAN GOROLENKO</v>
          </cell>
          <cell r="B1416">
            <v>8902</v>
          </cell>
        </row>
        <row r="1417">
          <cell r="A1417" t="str">
            <v>KERT GORPINKO</v>
          </cell>
          <cell r="B1417">
            <v>10085</v>
          </cell>
        </row>
        <row r="1418">
          <cell r="A1418" t="str">
            <v>SOFJA GORPINTŠENKO</v>
          </cell>
          <cell r="B1418">
            <v>6048</v>
          </cell>
        </row>
        <row r="1419">
          <cell r="A1419" t="str">
            <v>ANTON GORSKI</v>
          </cell>
          <cell r="B1419">
            <v>1812</v>
          </cell>
        </row>
        <row r="1420">
          <cell r="A1420" t="str">
            <v>ANDRIS GORZOVS</v>
          </cell>
          <cell r="B1420">
            <v>2297</v>
          </cell>
        </row>
        <row r="1421">
          <cell r="A1421" t="str">
            <v>KARIN GOSSET</v>
          </cell>
          <cell r="B1421">
            <v>1071</v>
          </cell>
        </row>
        <row r="1422">
          <cell r="A1422" t="str">
            <v>NICOLAS GOSSET</v>
          </cell>
          <cell r="B1422">
            <v>8415</v>
          </cell>
        </row>
        <row r="1423">
          <cell r="A1423" t="str">
            <v>ARTUR GOTŠENKO</v>
          </cell>
          <cell r="B1423">
            <v>5038</v>
          </cell>
        </row>
        <row r="1424">
          <cell r="A1424" t="str">
            <v>ARINA GOTSENKO</v>
          </cell>
          <cell r="B1424">
            <v>5441</v>
          </cell>
        </row>
        <row r="1425">
          <cell r="A1425" t="str">
            <v>SERGEI GOVOR</v>
          </cell>
          <cell r="B1425">
            <v>4217</v>
          </cell>
        </row>
        <row r="1426">
          <cell r="A1426" t="str">
            <v>ANNA GOVRENKOVA</v>
          </cell>
          <cell r="B1426">
            <v>2306</v>
          </cell>
        </row>
        <row r="1427">
          <cell r="A1427" t="str">
            <v>KEVIN GRADICKAS</v>
          </cell>
          <cell r="B1427">
            <v>10270</v>
          </cell>
        </row>
        <row r="1428">
          <cell r="A1428" t="str">
            <v>LEONID GRADOV</v>
          </cell>
          <cell r="B1428">
            <v>8492</v>
          </cell>
        </row>
        <row r="1429">
          <cell r="A1429" t="str">
            <v>LARS OLOV GRANSTRÖM</v>
          </cell>
          <cell r="B1429">
            <v>9626</v>
          </cell>
        </row>
        <row r="1430">
          <cell r="A1430" t="str">
            <v>GEORG-GUSTAV GRANT</v>
          </cell>
          <cell r="B1430">
            <v>3343</v>
          </cell>
        </row>
        <row r="1431">
          <cell r="A1431" t="str">
            <v>INGE GRÜNBERG</v>
          </cell>
          <cell r="B1431">
            <v>4220</v>
          </cell>
        </row>
        <row r="1432">
          <cell r="A1432" t="str">
            <v>GRETE GRÜNMAN</v>
          </cell>
          <cell r="B1432">
            <v>5919</v>
          </cell>
        </row>
        <row r="1433">
          <cell r="A1433" t="str">
            <v>DARINA GRATŠEVA</v>
          </cell>
          <cell r="B1433">
            <v>5992</v>
          </cell>
        </row>
        <row r="1434">
          <cell r="A1434" t="str">
            <v>GUSTAVS GRAUDIŅŠ</v>
          </cell>
          <cell r="B1434">
            <v>8773</v>
          </cell>
        </row>
        <row r="1435">
          <cell r="A1435" t="str">
            <v>JANIS GRAUDINS</v>
          </cell>
          <cell r="B1435">
            <v>3236</v>
          </cell>
        </row>
        <row r="1436">
          <cell r="A1436" t="str">
            <v>KSENIA GRECHISHCHEVA</v>
          </cell>
          <cell r="B1436">
            <v>5654</v>
          </cell>
        </row>
        <row r="1437">
          <cell r="A1437" t="str">
            <v>ALPO GREEBE</v>
          </cell>
          <cell r="B1437">
            <v>7584</v>
          </cell>
        </row>
        <row r="1438">
          <cell r="A1438" t="str">
            <v>TAJA GRIŠINA</v>
          </cell>
          <cell r="B1438">
            <v>8400</v>
          </cell>
        </row>
        <row r="1439">
          <cell r="A1439" t="str">
            <v>EDRIAN GRIŠKUN</v>
          </cell>
          <cell r="B1439">
            <v>6222</v>
          </cell>
        </row>
        <row r="1440">
          <cell r="A1440" t="str">
            <v>NIKOLAI GRIŠTŠENKO</v>
          </cell>
          <cell r="B1440">
            <v>8077</v>
          </cell>
        </row>
        <row r="1441">
          <cell r="A1441" t="str">
            <v>ANDREIJS GRIBANOVS</v>
          </cell>
          <cell r="B1441">
            <v>1308</v>
          </cell>
        </row>
        <row r="1442">
          <cell r="A1442" t="str">
            <v>DARJA GRIBOVA</v>
          </cell>
          <cell r="B1442">
            <v>3759</v>
          </cell>
        </row>
        <row r="1443">
          <cell r="A1443" t="str">
            <v>ARTJOM GRIDIN</v>
          </cell>
          <cell r="B1443">
            <v>7612</v>
          </cell>
        </row>
        <row r="1444">
          <cell r="A1444" t="str">
            <v>DARIAN GRIGORJAN</v>
          </cell>
          <cell r="B1444">
            <v>7286</v>
          </cell>
        </row>
        <row r="1445">
          <cell r="A1445" t="str">
            <v>KARINA GRIGORJAN</v>
          </cell>
          <cell r="B1445">
            <v>5939</v>
          </cell>
        </row>
        <row r="1446">
          <cell r="A1446" t="str">
            <v>ALEKSANDR GRIGORJEV</v>
          </cell>
          <cell r="B1446">
            <v>7861</v>
          </cell>
        </row>
        <row r="1447">
          <cell r="A1447" t="str">
            <v>JURI GRIGORJEV</v>
          </cell>
          <cell r="B1447">
            <v>4921</v>
          </cell>
        </row>
        <row r="1448">
          <cell r="A1448" t="str">
            <v>NIKOLAI GRIGORJEV</v>
          </cell>
          <cell r="B1448">
            <v>3760</v>
          </cell>
        </row>
        <row r="1449">
          <cell r="A1449" t="str">
            <v>OLEG GRIGORJEV</v>
          </cell>
          <cell r="B1449">
            <v>7685</v>
          </cell>
        </row>
        <row r="1450">
          <cell r="A1450" t="str">
            <v>SERAFIM GRIGORJEV</v>
          </cell>
          <cell r="B1450">
            <v>10214</v>
          </cell>
        </row>
        <row r="1451">
          <cell r="A1451" t="str">
            <v>LAURA GRIGORUKAITĖ</v>
          </cell>
          <cell r="B1451">
            <v>8625</v>
          </cell>
        </row>
        <row r="1452">
          <cell r="A1452" t="str">
            <v>LAURYNAS GRIGORUKAS</v>
          </cell>
          <cell r="B1452">
            <v>7535</v>
          </cell>
        </row>
        <row r="1453">
          <cell r="A1453" t="str">
            <v>MARTA GRIGUS</v>
          </cell>
          <cell r="B1453">
            <v>10838</v>
          </cell>
        </row>
        <row r="1454">
          <cell r="A1454" t="str">
            <v>ILJA GRIMBERG</v>
          </cell>
          <cell r="B1454">
            <v>9023</v>
          </cell>
        </row>
        <row r="1455">
          <cell r="A1455" t="str">
            <v>EDGARS GRINBERGS</v>
          </cell>
          <cell r="B1455">
            <v>8939</v>
          </cell>
        </row>
        <row r="1456">
          <cell r="A1456" t="str">
            <v>MARGARITA GRINENKO</v>
          </cell>
          <cell r="B1456">
            <v>10004</v>
          </cell>
        </row>
        <row r="1457">
          <cell r="A1457" t="str">
            <v>DMITRI GRINKOV</v>
          </cell>
          <cell r="B1457">
            <v>1027</v>
          </cell>
        </row>
        <row r="1458">
          <cell r="A1458" t="str">
            <v>VLADIMIRS GRISHANOVS</v>
          </cell>
          <cell r="B1458">
            <v>2249</v>
          </cell>
        </row>
        <row r="1459">
          <cell r="A1459" t="str">
            <v>ANTON GROBER</v>
          </cell>
          <cell r="B1459">
            <v>988</v>
          </cell>
        </row>
        <row r="1460">
          <cell r="A1460" t="str">
            <v>ILJA GROHOTOV</v>
          </cell>
          <cell r="B1460">
            <v>10628</v>
          </cell>
        </row>
        <row r="1461">
          <cell r="A1461" t="str">
            <v>ILJA GROKHOTOV</v>
          </cell>
          <cell r="B1461">
            <v>10303</v>
          </cell>
        </row>
        <row r="1462">
          <cell r="A1462" t="str">
            <v>JURIJS GROMOVS</v>
          </cell>
          <cell r="B1462">
            <v>10736</v>
          </cell>
        </row>
        <row r="1463">
          <cell r="A1463" t="str">
            <v>MARCIS GROSBERGS</v>
          </cell>
          <cell r="B1463">
            <v>2845</v>
          </cell>
        </row>
        <row r="1464">
          <cell r="A1464" t="str">
            <v>GEA GROSS</v>
          </cell>
          <cell r="B1464">
            <v>38</v>
          </cell>
        </row>
        <row r="1465">
          <cell r="A1465" t="str">
            <v>HEINO GROSS</v>
          </cell>
          <cell r="B1465">
            <v>1066</v>
          </cell>
        </row>
        <row r="1466">
          <cell r="A1466" t="str">
            <v>LIIS GROSS</v>
          </cell>
          <cell r="B1466">
            <v>1442</v>
          </cell>
        </row>
        <row r="1467">
          <cell r="A1467" t="str">
            <v>RALF GROSS</v>
          </cell>
          <cell r="B1467">
            <v>10029</v>
          </cell>
        </row>
        <row r="1468">
          <cell r="A1468" t="str">
            <v>RAUNO GROSSBERG</v>
          </cell>
          <cell r="B1468">
            <v>4218</v>
          </cell>
        </row>
        <row r="1469">
          <cell r="A1469" t="str">
            <v>SERGEI GROZNIKOV</v>
          </cell>
          <cell r="B1469">
            <v>4219</v>
          </cell>
        </row>
        <row r="1470">
          <cell r="A1470" t="str">
            <v>VIKTORS GROZOVS</v>
          </cell>
          <cell r="B1470">
            <v>6178</v>
          </cell>
        </row>
        <row r="1471">
          <cell r="A1471" t="str">
            <v>KEIT GRZINIC</v>
          </cell>
          <cell r="B1471">
            <v>8132</v>
          </cell>
        </row>
        <row r="1472">
          <cell r="A1472" t="str">
            <v>OLGA GRUDEVA</v>
          </cell>
          <cell r="B1472">
            <v>6208</v>
          </cell>
        </row>
        <row r="1473">
          <cell r="A1473" t="str">
            <v>VELLO GRUFT</v>
          </cell>
          <cell r="B1473">
            <v>7380</v>
          </cell>
        </row>
        <row r="1474">
          <cell r="A1474" t="str">
            <v>ANGELINA GRUZDEVA</v>
          </cell>
          <cell r="B1474">
            <v>5466</v>
          </cell>
        </row>
        <row r="1475">
          <cell r="A1475" t="str">
            <v>JEVGENI GRUZDOV</v>
          </cell>
          <cell r="B1475">
            <v>1536</v>
          </cell>
        </row>
        <row r="1476">
          <cell r="A1476" t="str">
            <v>JEGOR GUŽVIN</v>
          </cell>
          <cell r="B1476">
            <v>8605</v>
          </cell>
        </row>
        <row r="1477">
          <cell r="A1477" t="str">
            <v>EMILIS GUDAITIS</v>
          </cell>
          <cell r="B1477">
            <v>10500</v>
          </cell>
        </row>
        <row r="1478">
          <cell r="A1478" t="str">
            <v>SERGEI GUDOV</v>
          </cell>
          <cell r="B1478">
            <v>2626</v>
          </cell>
        </row>
        <row r="1479">
          <cell r="A1479" t="str">
            <v>OLEG GUDRIANOV</v>
          </cell>
          <cell r="B1479">
            <v>3038</v>
          </cell>
        </row>
        <row r="1480">
          <cell r="A1480" t="str">
            <v>ADELA GUDYNAITE</v>
          </cell>
          <cell r="B1480">
            <v>7539</v>
          </cell>
        </row>
        <row r="1481">
          <cell r="A1481" t="str">
            <v>VITA GUGINYTĖ</v>
          </cell>
          <cell r="B1481">
            <v>10516</v>
          </cell>
        </row>
        <row r="1482">
          <cell r="A1482" t="str">
            <v>SOFIA GULAJA</v>
          </cell>
          <cell r="B1482">
            <v>5583</v>
          </cell>
        </row>
        <row r="1483">
          <cell r="A1483" t="str">
            <v>ŠARŪNAS GULBINAS</v>
          </cell>
          <cell r="B1483">
            <v>10308</v>
          </cell>
        </row>
        <row r="1484">
          <cell r="A1484" t="str">
            <v>MATIJUS GULBINAS</v>
          </cell>
          <cell r="B1484">
            <v>10574</v>
          </cell>
        </row>
        <row r="1485">
          <cell r="A1485" t="str">
            <v>RIMAS GULBIS</v>
          </cell>
          <cell r="B1485">
            <v>1479</v>
          </cell>
        </row>
        <row r="1486">
          <cell r="A1486" t="str">
            <v>ZIGMANTIS GULBIS</v>
          </cell>
          <cell r="B1486">
            <v>3523</v>
          </cell>
        </row>
        <row r="1487">
          <cell r="A1487" t="str">
            <v>RUSLAN GULIDA</v>
          </cell>
          <cell r="B1487">
            <v>8671</v>
          </cell>
        </row>
        <row r="1488">
          <cell r="A1488" t="str">
            <v>RAUNO GULL</v>
          </cell>
          <cell r="B1488">
            <v>3405</v>
          </cell>
        </row>
        <row r="1489">
          <cell r="A1489" t="str">
            <v>AMELIA GUNNARSSON</v>
          </cell>
          <cell r="B1489">
            <v>9759</v>
          </cell>
        </row>
        <row r="1490">
          <cell r="A1490" t="str">
            <v>PAULIUS GURA</v>
          </cell>
          <cell r="B1490">
            <v>6250</v>
          </cell>
        </row>
        <row r="1491">
          <cell r="A1491" t="str">
            <v>GERTU GUREJEV</v>
          </cell>
          <cell r="B1491">
            <v>4221</v>
          </cell>
        </row>
        <row r="1492">
          <cell r="A1492" t="str">
            <v>KARL GURKO</v>
          </cell>
          <cell r="B1492">
            <v>2738</v>
          </cell>
        </row>
        <row r="1493">
          <cell r="A1493" t="str">
            <v>OLIVER GURSKI</v>
          </cell>
          <cell r="B1493">
            <v>7576</v>
          </cell>
        </row>
        <row r="1494">
          <cell r="A1494" t="str">
            <v>VERA GURTAJUTE</v>
          </cell>
          <cell r="B1494">
            <v>10249</v>
          </cell>
        </row>
        <row r="1495">
          <cell r="A1495" t="str">
            <v>KLIM GUSAROV</v>
          </cell>
          <cell r="B1495">
            <v>6223</v>
          </cell>
        </row>
        <row r="1496">
          <cell r="A1496" t="str">
            <v>ALEXANDRA GUSAROVA</v>
          </cell>
          <cell r="B1496">
            <v>5574</v>
          </cell>
        </row>
        <row r="1497">
          <cell r="A1497" t="str">
            <v>RENE GUSEK</v>
          </cell>
          <cell r="B1497">
            <v>2996</v>
          </cell>
        </row>
        <row r="1498">
          <cell r="A1498" t="str">
            <v>ALEKSEI GUSEV</v>
          </cell>
          <cell r="B1498">
            <v>5449</v>
          </cell>
        </row>
        <row r="1499">
          <cell r="A1499" t="str">
            <v>ALEKSEY GUSEV</v>
          </cell>
          <cell r="B1499">
            <v>5131</v>
          </cell>
        </row>
        <row r="1500">
          <cell r="A1500" t="str">
            <v>ARTUR-OWENTA GUSEV</v>
          </cell>
          <cell r="B1500">
            <v>6029</v>
          </cell>
        </row>
        <row r="1501">
          <cell r="A1501" t="str">
            <v>ALEKSEI GUSSAROV</v>
          </cell>
          <cell r="B1501">
            <v>9331</v>
          </cell>
        </row>
        <row r="1502">
          <cell r="A1502" t="str">
            <v>OLEG GUSSAROV</v>
          </cell>
          <cell r="B1502">
            <v>8718</v>
          </cell>
        </row>
        <row r="1503">
          <cell r="A1503" t="str">
            <v>TIMUR GUSSEINOV</v>
          </cell>
          <cell r="B1503">
            <v>10839</v>
          </cell>
        </row>
        <row r="1504">
          <cell r="A1504" t="str">
            <v>INNA GUSSEVA</v>
          </cell>
          <cell r="B1504">
            <v>39</v>
          </cell>
        </row>
        <row r="1505">
          <cell r="A1505" t="str">
            <v>JULIA GUSSEVA</v>
          </cell>
          <cell r="B1505">
            <v>7002</v>
          </cell>
        </row>
        <row r="1506">
          <cell r="A1506" t="str">
            <v>LUDMILLA GUSSEVA</v>
          </cell>
          <cell r="B1506">
            <v>40</v>
          </cell>
        </row>
        <row r="1507">
          <cell r="A1507" t="str">
            <v>MARGARITA GUSSEVA</v>
          </cell>
          <cell r="B1507">
            <v>4222</v>
          </cell>
        </row>
        <row r="1508">
          <cell r="A1508" t="str">
            <v>VIKTORIJA GUZAR</v>
          </cell>
          <cell r="B1508">
            <v>5083</v>
          </cell>
        </row>
        <row r="1509">
          <cell r="A1509" t="str">
            <v>ALEKSEI GUZUMAN</v>
          </cell>
          <cell r="B1509">
            <v>2728</v>
          </cell>
        </row>
        <row r="1510">
          <cell r="A1510" t="str">
            <v>GODA GUTAPARAKYTÉ</v>
          </cell>
          <cell r="B1510">
            <v>7320</v>
          </cell>
        </row>
        <row r="1511">
          <cell r="A1511" t="str">
            <v>MIRON GYUSSON</v>
          </cell>
          <cell r="B1511">
            <v>9944</v>
          </cell>
        </row>
        <row r="1512">
          <cell r="A1512" t="str">
            <v>TAAR HÖÖVELSON</v>
          </cell>
          <cell r="B1512">
            <v>10857</v>
          </cell>
        </row>
        <row r="1513">
          <cell r="A1513" t="str">
            <v>HH HÖGLUND</v>
          </cell>
          <cell r="B1513">
            <v>1276</v>
          </cell>
        </row>
        <row r="1514">
          <cell r="A1514" t="str">
            <v>JÜRI HÖVEL</v>
          </cell>
          <cell r="B1514">
            <v>7662</v>
          </cell>
        </row>
        <row r="1515">
          <cell r="A1515" t="str">
            <v>JARNO HÖVEL</v>
          </cell>
          <cell r="B1515">
            <v>3070</v>
          </cell>
        </row>
        <row r="1516">
          <cell r="A1516" t="str">
            <v>KRÕÕT HÖVEL</v>
          </cell>
          <cell r="B1516">
            <v>48</v>
          </cell>
        </row>
        <row r="1517">
          <cell r="A1517" t="str">
            <v>MARKO HÖVEL</v>
          </cell>
          <cell r="B1517">
            <v>3072</v>
          </cell>
        </row>
        <row r="1518">
          <cell r="A1518" t="str">
            <v>HUGO HÅLLING</v>
          </cell>
          <cell r="B1518">
            <v>9278</v>
          </cell>
        </row>
        <row r="1519">
          <cell r="A1519" t="str">
            <v>MARTIN HÄMÄLÄINEN</v>
          </cell>
          <cell r="B1519">
            <v>8396</v>
          </cell>
        </row>
        <row r="1520">
          <cell r="A1520" t="str">
            <v>AHTO HÄRM</v>
          </cell>
          <cell r="B1520">
            <v>9684</v>
          </cell>
        </row>
        <row r="1521">
          <cell r="A1521" t="str">
            <v>HENRI HÄRM</v>
          </cell>
          <cell r="B1521">
            <v>9595</v>
          </cell>
        </row>
        <row r="1522">
          <cell r="A1522" t="str">
            <v>SANNA HÄRM</v>
          </cell>
          <cell r="B1522">
            <v>4240</v>
          </cell>
        </row>
        <row r="1523">
          <cell r="A1523" t="str">
            <v>ILKKA HÄRMÄLÄ</v>
          </cell>
          <cell r="B1523">
            <v>2058</v>
          </cell>
        </row>
        <row r="1524">
          <cell r="A1524" t="str">
            <v>OSKAR HÄRMASTE</v>
          </cell>
          <cell r="B1524">
            <v>7571</v>
          </cell>
        </row>
        <row r="1525">
          <cell r="A1525" t="str">
            <v>TANEL HÄRMIK</v>
          </cell>
          <cell r="B1525">
            <v>3036</v>
          </cell>
        </row>
        <row r="1526">
          <cell r="A1526" t="str">
            <v>ANNE HÄRMS</v>
          </cell>
          <cell r="B1526">
            <v>3948</v>
          </cell>
        </row>
        <row r="1527">
          <cell r="A1527" t="str">
            <v>JAAN HÄRMS</v>
          </cell>
          <cell r="B1527">
            <v>3946</v>
          </cell>
        </row>
        <row r="1528">
          <cell r="A1528" t="str">
            <v>JAAN HÄRMS</v>
          </cell>
          <cell r="B1528">
            <v>3947</v>
          </cell>
        </row>
        <row r="1529">
          <cell r="A1529" t="str">
            <v>JAANUS HÄRMS</v>
          </cell>
          <cell r="B1529">
            <v>3945</v>
          </cell>
        </row>
        <row r="1530">
          <cell r="A1530" t="str">
            <v>KRISTIINA HÄRMS</v>
          </cell>
          <cell r="B1530">
            <v>1201</v>
          </cell>
        </row>
        <row r="1531">
          <cell r="A1531" t="str">
            <v>MEELIS HÄRMS</v>
          </cell>
          <cell r="B1531">
            <v>3944</v>
          </cell>
        </row>
        <row r="1532">
          <cell r="A1532" t="str">
            <v>HELJU HÕBE</v>
          </cell>
          <cell r="B1532">
            <v>3987</v>
          </cell>
        </row>
        <row r="1533">
          <cell r="A1533" t="str">
            <v>LISANNA HÕBEMÄGI</v>
          </cell>
          <cell r="B1533">
            <v>8011</v>
          </cell>
        </row>
        <row r="1534">
          <cell r="A1534" t="str">
            <v>OTTOMAR HÕBEOJA</v>
          </cell>
          <cell r="B1534">
            <v>9975</v>
          </cell>
        </row>
        <row r="1535">
          <cell r="A1535" t="str">
            <v>MARKUS HÕBESALU</v>
          </cell>
          <cell r="B1535">
            <v>10201</v>
          </cell>
        </row>
        <row r="1536">
          <cell r="A1536" t="str">
            <v>ANDRES HÕRAK</v>
          </cell>
          <cell r="B1536">
            <v>2102</v>
          </cell>
        </row>
        <row r="1537">
          <cell r="A1537" t="str">
            <v>ROMET HAAB</v>
          </cell>
          <cell r="B1537">
            <v>10138</v>
          </cell>
        </row>
        <row r="1538">
          <cell r="A1538" t="str">
            <v>ERIK HAAMER</v>
          </cell>
          <cell r="B1538">
            <v>3938</v>
          </cell>
        </row>
        <row r="1539">
          <cell r="A1539" t="str">
            <v>ROBIN HAAMER</v>
          </cell>
          <cell r="B1539">
            <v>8119</v>
          </cell>
        </row>
        <row r="1540">
          <cell r="A1540" t="str">
            <v>JAAN HAAR</v>
          </cell>
          <cell r="B1540">
            <v>2979</v>
          </cell>
        </row>
        <row r="1541">
          <cell r="A1541" t="str">
            <v>SILVER HAAR</v>
          </cell>
          <cell r="B1541">
            <v>8249</v>
          </cell>
        </row>
        <row r="1542">
          <cell r="A1542" t="str">
            <v>MIKKO HAARIO</v>
          </cell>
          <cell r="B1542">
            <v>1779</v>
          </cell>
        </row>
        <row r="1543">
          <cell r="A1543" t="str">
            <v>HEIKI HAAS</v>
          </cell>
          <cell r="B1543">
            <v>5610</v>
          </cell>
        </row>
        <row r="1544">
          <cell r="A1544" t="str">
            <v>HELEN HAAVA</v>
          </cell>
          <cell r="B1544">
            <v>41</v>
          </cell>
        </row>
        <row r="1545">
          <cell r="A1545" t="str">
            <v>ÜLAR HAAVASALU</v>
          </cell>
          <cell r="B1545">
            <v>3299</v>
          </cell>
        </row>
        <row r="1546">
          <cell r="A1546" t="str">
            <v>KERO HAAVIK</v>
          </cell>
          <cell r="B1546">
            <v>9103</v>
          </cell>
        </row>
        <row r="1547">
          <cell r="A1547" t="str">
            <v>GERMAN HAAVISTU</v>
          </cell>
          <cell r="B1547">
            <v>7624</v>
          </cell>
        </row>
        <row r="1548">
          <cell r="A1548" t="str">
            <v>VALERIA HACHARD</v>
          </cell>
          <cell r="B1548">
            <v>1955</v>
          </cell>
        </row>
        <row r="1549">
          <cell r="A1549" t="str">
            <v>REMO HAGALA</v>
          </cell>
          <cell r="B1549">
            <v>2377</v>
          </cell>
        </row>
        <row r="1550">
          <cell r="A1550" t="str">
            <v>EMIL HAGLUND</v>
          </cell>
          <cell r="B1550">
            <v>9751</v>
          </cell>
        </row>
        <row r="1551">
          <cell r="A1551" t="str">
            <v>DIANA HAILOVA</v>
          </cell>
          <cell r="B1551">
            <v>5084</v>
          </cell>
        </row>
        <row r="1552">
          <cell r="A1552" t="str">
            <v>HOLDEN HAIN</v>
          </cell>
          <cell r="B1552">
            <v>9690</v>
          </cell>
        </row>
        <row r="1553">
          <cell r="A1553" t="str">
            <v>JOONAS HAIN</v>
          </cell>
          <cell r="B1553">
            <v>2188</v>
          </cell>
        </row>
        <row r="1554">
          <cell r="A1554" t="str">
            <v>MÄRT HAIN</v>
          </cell>
          <cell r="B1554">
            <v>8503</v>
          </cell>
        </row>
        <row r="1555">
          <cell r="A1555" t="str">
            <v>MAGNUS HAIN</v>
          </cell>
          <cell r="B1555">
            <v>2187</v>
          </cell>
        </row>
        <row r="1556">
          <cell r="A1556" t="str">
            <v>TOOMAS HAIN</v>
          </cell>
          <cell r="B1556">
            <v>4223</v>
          </cell>
        </row>
        <row r="1557">
          <cell r="A1557" t="str">
            <v>SARI HAKALA</v>
          </cell>
          <cell r="B1557">
            <v>1510</v>
          </cell>
        </row>
        <row r="1558">
          <cell r="A1558" t="str">
            <v>LAURI HAKASTE</v>
          </cell>
          <cell r="B1558">
            <v>10150</v>
          </cell>
        </row>
        <row r="1559">
          <cell r="A1559" t="str">
            <v>AIN-HANREE HAKK</v>
          </cell>
          <cell r="B1559">
            <v>9801</v>
          </cell>
        </row>
        <row r="1560">
          <cell r="A1560" t="str">
            <v>MIHKEL HAKKAJA</v>
          </cell>
          <cell r="B1560">
            <v>1650</v>
          </cell>
        </row>
        <row r="1561">
          <cell r="A1561" t="str">
            <v>RIIVO HAKMAN</v>
          </cell>
          <cell r="B1561">
            <v>1118</v>
          </cell>
        </row>
        <row r="1562">
          <cell r="A1562" t="str">
            <v>TIIT HALDMA</v>
          </cell>
          <cell r="B1562">
            <v>7497</v>
          </cell>
        </row>
        <row r="1563">
          <cell r="A1563" t="str">
            <v>TIIT HALJAND</v>
          </cell>
          <cell r="B1563">
            <v>1117</v>
          </cell>
        </row>
        <row r="1564">
          <cell r="A1564" t="str">
            <v>ALARI HALJAS</v>
          </cell>
          <cell r="B1564">
            <v>2516</v>
          </cell>
        </row>
        <row r="1565">
          <cell r="A1565" t="str">
            <v>ELIZABETH HALJAS</v>
          </cell>
          <cell r="B1565">
            <v>3554</v>
          </cell>
        </row>
        <row r="1566">
          <cell r="A1566" t="str">
            <v>EVELIN HALJAS</v>
          </cell>
          <cell r="B1566">
            <v>4225</v>
          </cell>
        </row>
        <row r="1567">
          <cell r="A1567" t="str">
            <v>MALDON HALJAS</v>
          </cell>
          <cell r="B1567">
            <v>4224</v>
          </cell>
        </row>
        <row r="1568">
          <cell r="A1568" t="str">
            <v>SIIM-MARTTEN HALJASMÄGI</v>
          </cell>
          <cell r="B1568">
            <v>9384</v>
          </cell>
        </row>
        <row r="1569">
          <cell r="A1569" t="str">
            <v>MAREK HALJASOKS</v>
          </cell>
          <cell r="B1569">
            <v>6987</v>
          </cell>
        </row>
        <row r="1570">
          <cell r="A1570" t="str">
            <v>SIMON-OTT HALJASTE</v>
          </cell>
          <cell r="B1570">
            <v>6065</v>
          </cell>
        </row>
        <row r="1571">
          <cell r="A1571" t="str">
            <v>DIANA HALLA</v>
          </cell>
          <cell r="B1571">
            <v>2285</v>
          </cell>
        </row>
        <row r="1572">
          <cell r="A1572" t="str">
            <v>KAAREL-MATI HALLA</v>
          </cell>
          <cell r="B1572">
            <v>162</v>
          </cell>
        </row>
        <row r="1573">
          <cell r="A1573" t="str">
            <v>AMANDA HALLIK</v>
          </cell>
          <cell r="B1573">
            <v>8524</v>
          </cell>
        </row>
        <row r="1574">
          <cell r="A1574" t="str">
            <v>ANTON HALLIK</v>
          </cell>
          <cell r="B1574">
            <v>2849</v>
          </cell>
        </row>
        <row r="1575">
          <cell r="A1575" t="str">
            <v>ENN HALLIK</v>
          </cell>
          <cell r="B1575">
            <v>163</v>
          </cell>
        </row>
        <row r="1576">
          <cell r="A1576" t="str">
            <v>HELENA HALLIK</v>
          </cell>
          <cell r="B1576">
            <v>9341</v>
          </cell>
        </row>
        <row r="1577">
          <cell r="A1577" t="str">
            <v>KAMILLA HALLIK</v>
          </cell>
          <cell r="B1577">
            <v>7309</v>
          </cell>
        </row>
        <row r="1578">
          <cell r="A1578" t="str">
            <v>LAURI HALLIK</v>
          </cell>
          <cell r="B1578">
            <v>302</v>
          </cell>
        </row>
        <row r="1579">
          <cell r="A1579" t="str">
            <v>LIIS HALLIK</v>
          </cell>
          <cell r="B1579">
            <v>4226</v>
          </cell>
        </row>
        <row r="1580">
          <cell r="A1580" t="str">
            <v>MARTTI HALLIMÄE</v>
          </cell>
          <cell r="B1580">
            <v>3046</v>
          </cell>
        </row>
        <row r="1581">
          <cell r="A1581" t="str">
            <v>GERRIT HALLMÄGI</v>
          </cell>
          <cell r="B1581">
            <v>8036</v>
          </cell>
        </row>
        <row r="1582">
          <cell r="A1582" t="str">
            <v>LIISE HALLMERE</v>
          </cell>
          <cell r="B1582">
            <v>3962</v>
          </cell>
        </row>
        <row r="1583">
          <cell r="A1583" t="str">
            <v>RAIDO HALLOP</v>
          </cell>
          <cell r="B1583">
            <v>1081</v>
          </cell>
        </row>
        <row r="1584">
          <cell r="A1584" t="str">
            <v>RIHO HALLOP</v>
          </cell>
          <cell r="B1584">
            <v>1415</v>
          </cell>
        </row>
        <row r="1585">
          <cell r="A1585" t="str">
            <v>EDGAR HAMBURG</v>
          </cell>
          <cell r="B1585">
            <v>4228</v>
          </cell>
        </row>
        <row r="1586">
          <cell r="A1586" t="str">
            <v>KAUR HAMBURG</v>
          </cell>
          <cell r="B1586">
            <v>4227</v>
          </cell>
        </row>
        <row r="1587">
          <cell r="A1587" t="str">
            <v>MIKK HAMBURG</v>
          </cell>
          <cell r="B1587">
            <v>7666</v>
          </cell>
        </row>
        <row r="1588">
          <cell r="A1588" t="str">
            <v>RALF HAMBURG</v>
          </cell>
          <cell r="B1588">
            <v>1156</v>
          </cell>
        </row>
        <row r="1589">
          <cell r="A1589" t="str">
            <v>ANNA-LIISA HAMIDŽANOVA</v>
          </cell>
          <cell r="B1589">
            <v>7202</v>
          </cell>
        </row>
        <row r="1590">
          <cell r="A1590" t="str">
            <v>DANIIL HAMIDULLIN</v>
          </cell>
          <cell r="B1590">
            <v>4971</v>
          </cell>
        </row>
        <row r="1591">
          <cell r="A1591" t="str">
            <v>VARVARA HAMITSKAJA</v>
          </cell>
          <cell r="B1591">
            <v>4229</v>
          </cell>
        </row>
        <row r="1592">
          <cell r="A1592" t="str">
            <v>HELE HAMMER</v>
          </cell>
          <cell r="B1592">
            <v>8769</v>
          </cell>
        </row>
        <row r="1593">
          <cell r="A1593" t="str">
            <v>LE NGOC BAO HAN</v>
          </cell>
          <cell r="B1593">
            <v>10663</v>
          </cell>
        </row>
        <row r="1594">
          <cell r="A1594" t="str">
            <v>EVA HANNI</v>
          </cell>
          <cell r="B1594">
            <v>42</v>
          </cell>
        </row>
        <row r="1595">
          <cell r="A1595" t="str">
            <v>IIRIS HANNI</v>
          </cell>
          <cell r="B1595">
            <v>4651</v>
          </cell>
        </row>
        <row r="1596">
          <cell r="A1596" t="str">
            <v>LAURI HANNI</v>
          </cell>
          <cell r="B1596">
            <v>8725</v>
          </cell>
        </row>
        <row r="1597">
          <cell r="A1597" t="str">
            <v>LENNART HANNI</v>
          </cell>
          <cell r="B1597">
            <v>3939</v>
          </cell>
        </row>
        <row r="1598">
          <cell r="A1598" t="str">
            <v>EERIK HANNUS</v>
          </cell>
          <cell r="B1598">
            <v>3110</v>
          </cell>
        </row>
        <row r="1599">
          <cell r="A1599" t="str">
            <v>HEIKI HANSAR</v>
          </cell>
          <cell r="B1599">
            <v>299</v>
          </cell>
        </row>
        <row r="1600">
          <cell r="A1600" t="str">
            <v>JOOSEP HANSAR</v>
          </cell>
          <cell r="B1600">
            <v>2100</v>
          </cell>
        </row>
        <row r="1601">
          <cell r="A1601" t="str">
            <v>TÕNU HANSAR</v>
          </cell>
          <cell r="B1601">
            <v>1684</v>
          </cell>
        </row>
        <row r="1602">
          <cell r="A1602" t="str">
            <v>TOOMAS HANSAR</v>
          </cell>
          <cell r="B1602">
            <v>336</v>
          </cell>
        </row>
        <row r="1603">
          <cell r="A1603" t="str">
            <v>KEVIN HANSCHMIDT</v>
          </cell>
          <cell r="B1603">
            <v>5327</v>
          </cell>
        </row>
        <row r="1604">
          <cell r="A1604" t="str">
            <v>ANTON HANSEN</v>
          </cell>
          <cell r="B1604">
            <v>1580</v>
          </cell>
        </row>
        <row r="1605">
          <cell r="A1605" t="str">
            <v>ÜLLAR HANSEN</v>
          </cell>
          <cell r="B1605">
            <v>2809</v>
          </cell>
        </row>
        <row r="1606">
          <cell r="A1606" t="str">
            <v>ARTUR HANSEN</v>
          </cell>
          <cell r="B1606">
            <v>1629</v>
          </cell>
        </row>
        <row r="1607">
          <cell r="A1607" t="str">
            <v>IMRE HANSEN</v>
          </cell>
          <cell r="B1607">
            <v>372</v>
          </cell>
        </row>
        <row r="1608">
          <cell r="A1608" t="str">
            <v>JON-MARTIN SOO HANSEN</v>
          </cell>
          <cell r="B1608">
            <v>7522</v>
          </cell>
        </row>
        <row r="1609">
          <cell r="A1609" t="str">
            <v>KULDAR HANSEN</v>
          </cell>
          <cell r="B1609">
            <v>7764</v>
          </cell>
        </row>
        <row r="1610">
          <cell r="A1610" t="str">
            <v>RIIVO HANSEN</v>
          </cell>
          <cell r="B1610">
            <v>4230</v>
          </cell>
        </row>
        <row r="1611">
          <cell r="A1611" t="str">
            <v>THOMAS HANSEN</v>
          </cell>
          <cell r="B1611">
            <v>7527</v>
          </cell>
        </row>
        <row r="1612">
          <cell r="A1612" t="str">
            <v>TREVOR HANSEN</v>
          </cell>
          <cell r="B1612">
            <v>8753</v>
          </cell>
        </row>
        <row r="1613">
          <cell r="A1613" t="str">
            <v>TUULI HANSEN</v>
          </cell>
          <cell r="B1613">
            <v>8962</v>
          </cell>
        </row>
        <row r="1614">
          <cell r="A1614" t="str">
            <v>VALLO HANSEN</v>
          </cell>
          <cell r="B1614">
            <v>2325</v>
          </cell>
        </row>
        <row r="1615">
          <cell r="A1615" t="str">
            <v>SIIM HANSI</v>
          </cell>
          <cell r="B1615">
            <v>4231</v>
          </cell>
        </row>
        <row r="1616">
          <cell r="A1616" t="str">
            <v>IRINA HANSING</v>
          </cell>
          <cell r="B1616">
            <v>5880</v>
          </cell>
        </row>
        <row r="1617">
          <cell r="A1617" t="str">
            <v>IVAN HANSING</v>
          </cell>
          <cell r="B1617">
            <v>5085</v>
          </cell>
        </row>
        <row r="1618">
          <cell r="A1618" t="str">
            <v>HERLI HANSMAN</v>
          </cell>
          <cell r="B1618">
            <v>9587</v>
          </cell>
        </row>
        <row r="1619">
          <cell r="A1619" t="str">
            <v>ALEXANDRA-OLIVIA HANSON</v>
          </cell>
          <cell r="B1619">
            <v>9436</v>
          </cell>
        </row>
        <row r="1620">
          <cell r="A1620" t="str">
            <v>ANNA MARIA HANSON</v>
          </cell>
          <cell r="B1620">
            <v>10071</v>
          </cell>
        </row>
        <row r="1621">
          <cell r="A1621" t="str">
            <v>ENE-LIIS HANSON</v>
          </cell>
          <cell r="B1621">
            <v>8237</v>
          </cell>
        </row>
        <row r="1622">
          <cell r="A1622" t="str">
            <v>KATRIN-RIINA HANSON</v>
          </cell>
          <cell r="B1622">
            <v>8238</v>
          </cell>
        </row>
        <row r="1623">
          <cell r="A1623" t="str">
            <v>REBECA HANSON</v>
          </cell>
          <cell r="B1623">
            <v>43</v>
          </cell>
        </row>
        <row r="1624">
          <cell r="A1624" t="str">
            <v>REELICA HANSON</v>
          </cell>
          <cell r="B1624">
            <v>2796</v>
          </cell>
        </row>
        <row r="1625">
          <cell r="A1625" t="str">
            <v>STELLA-MARII HANSON</v>
          </cell>
          <cell r="B1625">
            <v>7336</v>
          </cell>
        </row>
        <row r="1626">
          <cell r="A1626" t="str">
            <v>MARKUS HANSSON</v>
          </cell>
          <cell r="B1626">
            <v>5161</v>
          </cell>
        </row>
        <row r="1627">
          <cell r="A1627" t="str">
            <v>HARDO VILEN HÜLP</v>
          </cell>
          <cell r="B1627">
            <v>9718</v>
          </cell>
        </row>
        <row r="1628">
          <cell r="A1628" t="str">
            <v>ERKO-STEN HÜRGES</v>
          </cell>
          <cell r="B1628">
            <v>3293</v>
          </cell>
        </row>
        <row r="1629">
          <cell r="A1629" t="str">
            <v>RASMUS HÜTT</v>
          </cell>
          <cell r="B1629">
            <v>4957</v>
          </cell>
        </row>
        <row r="1630">
          <cell r="A1630" t="str">
            <v>JOOSEP HARAK</v>
          </cell>
          <cell r="B1630">
            <v>5052</v>
          </cell>
        </row>
        <row r="1631">
          <cell r="A1631" t="str">
            <v>RASMUS HARAK</v>
          </cell>
          <cell r="B1631">
            <v>5053</v>
          </cell>
        </row>
        <row r="1632">
          <cell r="A1632" t="str">
            <v>KERSTIN HARJAKAS</v>
          </cell>
          <cell r="B1632">
            <v>4232</v>
          </cell>
        </row>
        <row r="1633">
          <cell r="A1633" t="str">
            <v>ROBERT HARKMAA</v>
          </cell>
          <cell r="B1633">
            <v>903</v>
          </cell>
        </row>
        <row r="1634">
          <cell r="A1634" t="str">
            <v>DIANA HARLAMOVA</v>
          </cell>
          <cell r="B1634">
            <v>4233</v>
          </cell>
        </row>
        <row r="1635">
          <cell r="A1635" t="str">
            <v>DENIS HARRI</v>
          </cell>
          <cell r="B1635">
            <v>1022</v>
          </cell>
        </row>
        <row r="1636">
          <cell r="A1636" t="str">
            <v>FLORIAN MARCUS HARTLEB</v>
          </cell>
          <cell r="B1636">
            <v>8325</v>
          </cell>
        </row>
        <row r="1637">
          <cell r="A1637" t="str">
            <v>ANTON HASIUL</v>
          </cell>
          <cell r="B1637">
            <v>10193</v>
          </cell>
        </row>
        <row r="1638">
          <cell r="A1638" t="str">
            <v>TETIANA HASIUL</v>
          </cell>
          <cell r="B1638">
            <v>10051</v>
          </cell>
        </row>
        <row r="1639">
          <cell r="A1639" t="str">
            <v>BORGAR HAUG</v>
          </cell>
          <cell r="B1639">
            <v>7533</v>
          </cell>
        </row>
        <row r="1640">
          <cell r="A1640" t="str">
            <v>SILVER HAUGAS</v>
          </cell>
          <cell r="B1640">
            <v>1017</v>
          </cell>
        </row>
        <row r="1641">
          <cell r="A1641" t="str">
            <v>NILS MADSEN HAUGLAND</v>
          </cell>
          <cell r="B1641">
            <v>2222</v>
          </cell>
        </row>
        <row r="1642">
          <cell r="A1642" t="str">
            <v>VIKTOR HAVANSKI</v>
          </cell>
          <cell r="B1642">
            <v>7577</v>
          </cell>
        </row>
        <row r="1643">
          <cell r="A1643" t="str">
            <v>PAULI HAVERINEN</v>
          </cell>
          <cell r="B1643">
            <v>10468</v>
          </cell>
        </row>
        <row r="1644">
          <cell r="A1644" t="str">
            <v>OSCAR HEDLUND</v>
          </cell>
          <cell r="B1644">
            <v>9405</v>
          </cell>
        </row>
        <row r="1645">
          <cell r="A1645" t="str">
            <v>RAGNAR HEEK</v>
          </cell>
          <cell r="B1645">
            <v>428</v>
          </cell>
        </row>
        <row r="1646">
          <cell r="A1646" t="str">
            <v>DAN HEERING</v>
          </cell>
          <cell r="B1646">
            <v>8669</v>
          </cell>
        </row>
        <row r="1647">
          <cell r="A1647" t="str">
            <v>MEELI HEERINGSON</v>
          </cell>
          <cell r="B1647">
            <v>4731</v>
          </cell>
        </row>
        <row r="1648">
          <cell r="A1648" t="str">
            <v>MARK HEIDMETS</v>
          </cell>
          <cell r="B1648">
            <v>10130</v>
          </cell>
        </row>
        <row r="1649">
          <cell r="A1649" t="str">
            <v>RAO HEIDMETS</v>
          </cell>
          <cell r="B1649">
            <v>10131</v>
          </cell>
        </row>
        <row r="1650">
          <cell r="A1650" t="str">
            <v>HENRY HEIKKARÖ</v>
          </cell>
          <cell r="B1650">
            <v>1319</v>
          </cell>
        </row>
        <row r="1651">
          <cell r="A1651" t="str">
            <v>PETER HEIKKARÖ</v>
          </cell>
          <cell r="B1651">
            <v>1318</v>
          </cell>
        </row>
        <row r="1652">
          <cell r="A1652" t="str">
            <v>ANTON HEIKKERÖ</v>
          </cell>
          <cell r="B1652">
            <v>8994</v>
          </cell>
        </row>
        <row r="1653">
          <cell r="A1653" t="str">
            <v>MARKUS HEIKKINEN</v>
          </cell>
          <cell r="B1653">
            <v>3592</v>
          </cell>
        </row>
        <row r="1654">
          <cell r="A1654" t="str">
            <v>KERLI HEILU</v>
          </cell>
          <cell r="B1654">
            <v>7337</v>
          </cell>
        </row>
        <row r="1655">
          <cell r="A1655" t="str">
            <v>ELIIS CHRISTAL HEIN</v>
          </cell>
          <cell r="B1655">
            <v>8869</v>
          </cell>
        </row>
        <row r="1656">
          <cell r="A1656" t="str">
            <v>ERIC HEIN</v>
          </cell>
          <cell r="B1656">
            <v>7206</v>
          </cell>
        </row>
        <row r="1657">
          <cell r="A1657" t="str">
            <v>KENNO HEIN</v>
          </cell>
          <cell r="B1657">
            <v>7621</v>
          </cell>
        </row>
        <row r="1658">
          <cell r="A1658" t="str">
            <v>ANDRIS HEINAMAA</v>
          </cell>
          <cell r="B1658">
            <v>5976</v>
          </cell>
        </row>
        <row r="1659">
          <cell r="A1659" t="str">
            <v>ERIK HEINJÄRV</v>
          </cell>
          <cell r="B1659">
            <v>4234</v>
          </cell>
        </row>
        <row r="1660">
          <cell r="A1660" t="str">
            <v>RAIDO HEINLAID</v>
          </cell>
          <cell r="B1660">
            <v>2913</v>
          </cell>
        </row>
        <row r="1661">
          <cell r="A1661" t="str">
            <v>KRISTO HEINMANN</v>
          </cell>
          <cell r="B1661">
            <v>4235</v>
          </cell>
        </row>
        <row r="1662">
          <cell r="A1662" t="str">
            <v>RAIKO HEINMETS</v>
          </cell>
          <cell r="B1662">
            <v>10326</v>
          </cell>
        </row>
        <row r="1663">
          <cell r="A1663" t="str">
            <v>TÕNU HEINMETS</v>
          </cell>
          <cell r="B1663">
            <v>1885</v>
          </cell>
        </row>
        <row r="1664">
          <cell r="A1664" t="str">
            <v>JUKKA HEINONEN</v>
          </cell>
          <cell r="B1664">
            <v>1143</v>
          </cell>
        </row>
        <row r="1665">
          <cell r="A1665" t="str">
            <v>KARL-ERIK HEINPÕLD</v>
          </cell>
          <cell r="B1665">
            <v>3141</v>
          </cell>
        </row>
        <row r="1666">
          <cell r="A1666" t="str">
            <v>TARVO HEINROOS</v>
          </cell>
          <cell r="B1666">
            <v>5547</v>
          </cell>
        </row>
        <row r="1667">
          <cell r="A1667" t="str">
            <v>VILLEM HEINSALU</v>
          </cell>
          <cell r="B1667">
            <v>8416</v>
          </cell>
        </row>
        <row r="1668">
          <cell r="A1668" t="str">
            <v>MADIS HEINSOO</v>
          </cell>
          <cell r="B1668">
            <v>2242</v>
          </cell>
        </row>
        <row r="1669">
          <cell r="A1669" t="str">
            <v>ALIN HEISAAR</v>
          </cell>
          <cell r="B1669">
            <v>7281</v>
          </cell>
        </row>
        <row r="1670">
          <cell r="A1670" t="str">
            <v>KASPAR TÕNU HELEND</v>
          </cell>
          <cell r="B1670">
            <v>2644</v>
          </cell>
        </row>
        <row r="1671">
          <cell r="A1671" t="str">
            <v>TAURI HELIMETS</v>
          </cell>
          <cell r="B1671">
            <v>3761</v>
          </cell>
        </row>
        <row r="1672">
          <cell r="A1672" t="str">
            <v>MEINHARD HELIN</v>
          </cell>
          <cell r="B1672">
            <v>5162</v>
          </cell>
        </row>
        <row r="1673">
          <cell r="A1673" t="str">
            <v>RAIAN HELLENURM</v>
          </cell>
          <cell r="B1673">
            <v>10269</v>
          </cell>
        </row>
        <row r="1674">
          <cell r="A1674" t="str">
            <v>LIISBET HELLENURME</v>
          </cell>
          <cell r="B1674">
            <v>7273</v>
          </cell>
        </row>
        <row r="1675">
          <cell r="A1675" t="str">
            <v>IDA HELLSTRÖM</v>
          </cell>
          <cell r="B1675">
            <v>9758</v>
          </cell>
        </row>
        <row r="1676">
          <cell r="A1676" t="str">
            <v>ANNI HELM</v>
          </cell>
          <cell r="B1676">
            <v>4236</v>
          </cell>
        </row>
        <row r="1677">
          <cell r="A1677" t="str">
            <v>ANTS HENDRIKSON</v>
          </cell>
          <cell r="B1677">
            <v>356</v>
          </cell>
        </row>
        <row r="1678">
          <cell r="A1678" t="str">
            <v>TARMO HENDRIKSON</v>
          </cell>
          <cell r="B1678">
            <v>7141</v>
          </cell>
        </row>
        <row r="1679">
          <cell r="A1679" t="str">
            <v>EGERT HENK</v>
          </cell>
          <cell r="B1679">
            <v>8101</v>
          </cell>
        </row>
        <row r="1680">
          <cell r="A1680" t="str">
            <v>TILGA HENRI</v>
          </cell>
          <cell r="B1680">
            <v>10401</v>
          </cell>
        </row>
        <row r="1681">
          <cell r="A1681" t="str">
            <v>LIISA BRITH HENRIKSEN</v>
          </cell>
          <cell r="B1681">
            <v>7355</v>
          </cell>
        </row>
        <row r="1682">
          <cell r="A1682" t="str">
            <v>ALVIS HERCENBERGS</v>
          </cell>
          <cell r="B1682">
            <v>2857</v>
          </cell>
        </row>
        <row r="1683">
          <cell r="A1683" t="str">
            <v>MAREC HERMAN</v>
          </cell>
          <cell r="B1683">
            <v>5208</v>
          </cell>
        </row>
        <row r="1684">
          <cell r="A1684" t="str">
            <v>MAREK HERMAN</v>
          </cell>
          <cell r="B1684">
            <v>9594</v>
          </cell>
        </row>
        <row r="1685">
          <cell r="A1685" t="str">
            <v>EIK HERMANN</v>
          </cell>
          <cell r="B1685">
            <v>310</v>
          </cell>
        </row>
        <row r="1686">
          <cell r="A1686" t="str">
            <v>LAURI-HEINRICH HERMASTE</v>
          </cell>
          <cell r="B1686">
            <v>8630</v>
          </cell>
        </row>
        <row r="1687">
          <cell r="A1687" t="str">
            <v>TREVOR HERMASTE</v>
          </cell>
          <cell r="B1687">
            <v>8613</v>
          </cell>
        </row>
        <row r="1688">
          <cell r="A1688" t="str">
            <v>BIRGIT HERMAT</v>
          </cell>
          <cell r="B1688">
            <v>5401</v>
          </cell>
        </row>
        <row r="1689">
          <cell r="A1689" t="str">
            <v>SILVER HERMISTE</v>
          </cell>
          <cell r="B1689">
            <v>6072</v>
          </cell>
        </row>
        <row r="1690">
          <cell r="A1690" t="str">
            <v>CAROLINA HIETANEN</v>
          </cell>
          <cell r="B1690">
            <v>8909</v>
          </cell>
        </row>
        <row r="1691">
          <cell r="A1691" t="str">
            <v>PAULI HIETTIKO</v>
          </cell>
          <cell r="B1691">
            <v>1989</v>
          </cell>
        </row>
        <row r="1692">
          <cell r="A1692" t="str">
            <v>JOONAS HIIE</v>
          </cell>
          <cell r="B1692">
            <v>1736</v>
          </cell>
        </row>
        <row r="1693">
          <cell r="A1693" t="str">
            <v>JULIUS HIIE</v>
          </cell>
          <cell r="B1693">
            <v>8218</v>
          </cell>
        </row>
        <row r="1694">
          <cell r="A1694" t="str">
            <v>KEN HIIELAID</v>
          </cell>
          <cell r="B1694">
            <v>9852</v>
          </cell>
        </row>
        <row r="1695">
          <cell r="A1695" t="str">
            <v>ANDRUS HIIEMÄE</v>
          </cell>
          <cell r="B1695">
            <v>6002</v>
          </cell>
        </row>
        <row r="1696">
          <cell r="A1696" t="str">
            <v>RAIN HIIENURM</v>
          </cell>
          <cell r="B1696">
            <v>3762</v>
          </cell>
        </row>
        <row r="1697">
          <cell r="A1697" t="str">
            <v>HENRIK HIIR</v>
          </cell>
          <cell r="B1697">
            <v>4045</v>
          </cell>
        </row>
        <row r="1698">
          <cell r="A1698" t="str">
            <v>ANNELIIS HIIRE</v>
          </cell>
          <cell r="B1698">
            <v>1443</v>
          </cell>
        </row>
        <row r="1699">
          <cell r="A1699" t="str">
            <v>ARTJOM HIISKU</v>
          </cell>
          <cell r="B1699">
            <v>2743</v>
          </cell>
        </row>
        <row r="1700">
          <cell r="A1700" t="str">
            <v>GUNNAR HIIU</v>
          </cell>
          <cell r="B1700">
            <v>3362</v>
          </cell>
        </row>
        <row r="1701">
          <cell r="A1701" t="str">
            <v>EGLE HIIUS</v>
          </cell>
          <cell r="B1701">
            <v>10266</v>
          </cell>
        </row>
        <row r="1702">
          <cell r="A1702" t="str">
            <v>KEVIN HIMMASTE</v>
          </cell>
          <cell r="B1702">
            <v>4945</v>
          </cell>
        </row>
        <row r="1703">
          <cell r="A1703" t="str">
            <v>SANDER HIMMIST</v>
          </cell>
          <cell r="B1703">
            <v>8426</v>
          </cell>
        </row>
        <row r="1704">
          <cell r="A1704" t="str">
            <v>MARI HINDOV</v>
          </cell>
          <cell r="B1704">
            <v>45</v>
          </cell>
        </row>
        <row r="1705">
          <cell r="A1705" t="str">
            <v>ANNELIIS HINDREUS</v>
          </cell>
          <cell r="B1705">
            <v>911</v>
          </cell>
        </row>
        <row r="1706">
          <cell r="A1706" t="str">
            <v>PRIIT HINNOBERT</v>
          </cell>
          <cell r="B1706">
            <v>10770</v>
          </cell>
        </row>
        <row r="1707">
          <cell r="A1707" t="str">
            <v>KAIDO HINTO</v>
          </cell>
          <cell r="B1707">
            <v>7674</v>
          </cell>
        </row>
        <row r="1708">
          <cell r="A1708" t="str">
            <v>HANS-THOR HIOB</v>
          </cell>
          <cell r="B1708">
            <v>3374</v>
          </cell>
        </row>
        <row r="1709">
          <cell r="A1709" t="str">
            <v>RAIAN HIOB</v>
          </cell>
          <cell r="B1709">
            <v>10670</v>
          </cell>
        </row>
        <row r="1710">
          <cell r="A1710" t="str">
            <v>TÕNU HIOB</v>
          </cell>
          <cell r="B1710">
            <v>2661</v>
          </cell>
        </row>
        <row r="1711">
          <cell r="A1711" t="str">
            <v>TÕNU HIOBINO</v>
          </cell>
          <cell r="B1711">
            <v>3373</v>
          </cell>
        </row>
        <row r="1712">
          <cell r="A1712" t="str">
            <v>ANNIINA HIRVONEN</v>
          </cell>
          <cell r="B1712">
            <v>932</v>
          </cell>
        </row>
        <row r="1713">
          <cell r="A1713" t="str">
            <v>DARYA HLAZUNOVA</v>
          </cell>
          <cell r="B1713">
            <v>7729</v>
          </cell>
        </row>
        <row r="1714">
          <cell r="A1714" t="str">
            <v>ROMAN HMELEVSKOI</v>
          </cell>
          <cell r="B1714">
            <v>7655</v>
          </cell>
        </row>
        <row r="1715">
          <cell r="A1715" t="str">
            <v>ALEKSANDER HOEL</v>
          </cell>
          <cell r="B1715">
            <v>5086</v>
          </cell>
        </row>
        <row r="1716">
          <cell r="A1716" t="str">
            <v>MATS HOEL</v>
          </cell>
          <cell r="B1716">
            <v>7524</v>
          </cell>
        </row>
        <row r="1717">
          <cell r="A1717" t="str">
            <v>ELOR AVO HOJASSAAR</v>
          </cell>
          <cell r="B1717">
            <v>7845</v>
          </cell>
        </row>
        <row r="1718">
          <cell r="A1718" t="str">
            <v>RUDOLF HOLLO</v>
          </cell>
          <cell r="B1718">
            <v>9936</v>
          </cell>
        </row>
        <row r="1719">
          <cell r="A1719" t="str">
            <v>ELIN HOLM</v>
          </cell>
          <cell r="B1719">
            <v>4238</v>
          </cell>
        </row>
        <row r="1720">
          <cell r="A1720" t="str">
            <v>HARSEL HOLM</v>
          </cell>
          <cell r="B1720">
            <v>4237</v>
          </cell>
        </row>
        <row r="1721">
          <cell r="A1721" t="str">
            <v>KRISTJAN HOLM</v>
          </cell>
          <cell r="B1721">
            <v>8553</v>
          </cell>
        </row>
        <row r="1722">
          <cell r="A1722" t="str">
            <v>ROMAN HOLM</v>
          </cell>
          <cell r="B1722">
            <v>10296</v>
          </cell>
        </row>
        <row r="1723">
          <cell r="A1723" t="str">
            <v>RASMUS HOLMBERG</v>
          </cell>
          <cell r="B1723">
            <v>7890</v>
          </cell>
        </row>
        <row r="1724">
          <cell r="A1724" t="str">
            <v>DANIEL HOLTER</v>
          </cell>
          <cell r="B1724">
            <v>6044</v>
          </cell>
        </row>
        <row r="1725">
          <cell r="A1725" t="str">
            <v>IVAR HOLTER</v>
          </cell>
          <cell r="B1725">
            <v>7109</v>
          </cell>
        </row>
        <row r="1726">
          <cell r="A1726" t="str">
            <v>JURI HOMENKO</v>
          </cell>
          <cell r="B1726">
            <v>4239</v>
          </cell>
        </row>
        <row r="1727">
          <cell r="A1727" t="str">
            <v>TÕNIS HOMMIK</v>
          </cell>
          <cell r="B1727">
            <v>2093</v>
          </cell>
        </row>
        <row r="1728">
          <cell r="A1728" t="str">
            <v>EDUARD HOMTŠENKO</v>
          </cell>
          <cell r="B1728">
            <v>5039</v>
          </cell>
        </row>
        <row r="1729">
          <cell r="A1729" t="str">
            <v>MARTIN HOOLAID</v>
          </cell>
          <cell r="B1729">
            <v>2739</v>
          </cell>
        </row>
        <row r="1730">
          <cell r="A1730" t="str">
            <v>ELIS HOOP</v>
          </cell>
          <cell r="B1730">
            <v>9197</v>
          </cell>
        </row>
        <row r="1731">
          <cell r="A1731" t="str">
            <v>YURII HORLENKO</v>
          </cell>
          <cell r="B1731">
            <v>10798</v>
          </cell>
        </row>
        <row r="1732">
          <cell r="A1732" t="str">
            <v>JELIZAVETA HOROSHILOVA</v>
          </cell>
          <cell r="B1732">
            <v>46</v>
          </cell>
        </row>
        <row r="1733">
          <cell r="A1733" t="str">
            <v>ALINA HORST</v>
          </cell>
          <cell r="B1733">
            <v>6037</v>
          </cell>
        </row>
        <row r="1734">
          <cell r="A1734" t="str">
            <v>DANIEL HOZJAN</v>
          </cell>
          <cell r="B1734">
            <v>9695</v>
          </cell>
        </row>
        <row r="1735">
          <cell r="A1735" t="str">
            <v>ARTUR HOYER</v>
          </cell>
          <cell r="B1735">
            <v>3019</v>
          </cell>
        </row>
        <row r="1736">
          <cell r="A1736" t="str">
            <v>PJOTR HRAPOV</v>
          </cell>
          <cell r="B1736">
            <v>3562</v>
          </cell>
        </row>
        <row r="1737">
          <cell r="A1737" t="str">
            <v>DMITRI HRIPATCH</v>
          </cell>
          <cell r="B1737">
            <v>7113</v>
          </cell>
        </row>
        <row r="1738">
          <cell r="A1738" t="str">
            <v>DARJA HRUSTALJOVA</v>
          </cell>
          <cell r="B1738">
            <v>7254</v>
          </cell>
        </row>
        <row r="1739">
          <cell r="A1739" t="str">
            <v>MIHKEL HUBEL</v>
          </cell>
          <cell r="B1739">
            <v>4103</v>
          </cell>
        </row>
        <row r="1740">
          <cell r="A1740" t="str">
            <v>ALEXANDER HULTEN</v>
          </cell>
          <cell r="B1740">
            <v>9661</v>
          </cell>
        </row>
        <row r="1741">
          <cell r="A1741" t="str">
            <v>ARNO HUMAL</v>
          </cell>
          <cell r="B1741">
            <v>4888</v>
          </cell>
        </row>
        <row r="1742">
          <cell r="A1742" t="str">
            <v>GEORG ELIAS HUMAL</v>
          </cell>
          <cell r="B1742">
            <v>4969</v>
          </cell>
        </row>
        <row r="1743">
          <cell r="A1743" t="str">
            <v>HENN KAALEB HUMAL</v>
          </cell>
          <cell r="B1743">
            <v>4972</v>
          </cell>
        </row>
        <row r="1744">
          <cell r="A1744" t="str">
            <v>EVELI HURT</v>
          </cell>
          <cell r="B1744">
            <v>47</v>
          </cell>
        </row>
        <row r="1745">
          <cell r="A1745" t="str">
            <v>HARDI HURT</v>
          </cell>
          <cell r="B1745">
            <v>316</v>
          </cell>
        </row>
        <row r="1746">
          <cell r="A1746" t="str">
            <v>MIHKEL HURT</v>
          </cell>
          <cell r="B1746">
            <v>10271</v>
          </cell>
        </row>
        <row r="1747">
          <cell r="A1747" t="str">
            <v>KAROLIINA HUSSAR</v>
          </cell>
          <cell r="B1747">
            <v>5212</v>
          </cell>
        </row>
        <row r="1748">
          <cell r="A1748" t="str">
            <v>KARI HUSSO</v>
          </cell>
          <cell r="B1748">
            <v>3163</v>
          </cell>
        </row>
        <row r="1749">
          <cell r="A1749" t="str">
            <v>OSKAR HVASS</v>
          </cell>
          <cell r="B1749">
            <v>10285</v>
          </cell>
        </row>
        <row r="1750">
          <cell r="A1750" t="str">
            <v>ALEKSANDR HVORÕHH</v>
          </cell>
          <cell r="B1750">
            <v>1296</v>
          </cell>
        </row>
        <row r="1751">
          <cell r="A1751" t="str">
            <v>ELIAS HYNÖNEN</v>
          </cell>
          <cell r="B1751">
            <v>8677</v>
          </cell>
        </row>
        <row r="1752">
          <cell r="A1752" t="str">
            <v>VASIL IAROSHEVICH</v>
          </cell>
          <cell r="B1752">
            <v>10324</v>
          </cell>
        </row>
        <row r="1753">
          <cell r="A1753" t="str">
            <v>KARDO IBRUS</v>
          </cell>
          <cell r="B1753">
            <v>9514</v>
          </cell>
        </row>
        <row r="1754">
          <cell r="A1754" t="str">
            <v>KRISTJAN IBRUS</v>
          </cell>
          <cell r="B1754">
            <v>6090</v>
          </cell>
        </row>
        <row r="1755">
          <cell r="A1755" t="str">
            <v>RAIN IBRUS</v>
          </cell>
          <cell r="B1755">
            <v>4652</v>
          </cell>
        </row>
        <row r="1756">
          <cell r="A1756" t="str">
            <v>AARNE IDAVAIN</v>
          </cell>
          <cell r="B1756">
            <v>5054</v>
          </cell>
        </row>
        <row r="1757">
          <cell r="A1757" t="str">
            <v>ROBERT IDVAN</v>
          </cell>
          <cell r="B1757">
            <v>7090</v>
          </cell>
        </row>
        <row r="1758">
          <cell r="A1758" t="str">
            <v>JANAR IGNAHHIN</v>
          </cell>
          <cell r="B1758">
            <v>7586</v>
          </cell>
        </row>
        <row r="1759">
          <cell r="A1759" t="str">
            <v>VALERII IGNATEV</v>
          </cell>
          <cell r="B1759">
            <v>9606</v>
          </cell>
        </row>
        <row r="1760">
          <cell r="A1760" t="str">
            <v>IVAN IGNATJEV</v>
          </cell>
          <cell r="B1760">
            <v>1055</v>
          </cell>
        </row>
        <row r="1761">
          <cell r="A1761" t="str">
            <v>ROMAN IGNATJEV</v>
          </cell>
          <cell r="B1761">
            <v>408</v>
          </cell>
        </row>
        <row r="1762">
          <cell r="A1762" t="str">
            <v>VITALI IGNATJEV</v>
          </cell>
          <cell r="B1762">
            <v>5949</v>
          </cell>
        </row>
        <row r="1763">
          <cell r="A1763" t="str">
            <v>ANDI IKKONEN</v>
          </cell>
          <cell r="B1763">
            <v>10163</v>
          </cell>
        </row>
        <row r="1764">
          <cell r="A1764" t="str">
            <v>EGIL IKKONEN</v>
          </cell>
          <cell r="B1764">
            <v>5163</v>
          </cell>
        </row>
        <row r="1765">
          <cell r="A1765" t="str">
            <v>EIRIS IKKONEN</v>
          </cell>
          <cell r="B1765">
            <v>6154</v>
          </cell>
        </row>
        <row r="1766">
          <cell r="A1766" t="str">
            <v>INOOLE-KAARA IKKONEN</v>
          </cell>
          <cell r="B1766">
            <v>7029</v>
          </cell>
        </row>
        <row r="1767">
          <cell r="A1767" t="str">
            <v>HANNES IKLA</v>
          </cell>
          <cell r="B1767">
            <v>8354</v>
          </cell>
        </row>
        <row r="1768">
          <cell r="A1768" t="str">
            <v>IGOR ILIJN</v>
          </cell>
          <cell r="B1768">
            <v>5596</v>
          </cell>
        </row>
        <row r="1769">
          <cell r="A1769" t="str">
            <v>DARIA ILIKA</v>
          </cell>
          <cell r="B1769">
            <v>3092</v>
          </cell>
        </row>
        <row r="1770">
          <cell r="A1770" t="str">
            <v>DANIIL ILIN</v>
          </cell>
          <cell r="B1770">
            <v>2604</v>
          </cell>
        </row>
        <row r="1771">
          <cell r="A1771" t="str">
            <v>TEA ILISSON</v>
          </cell>
          <cell r="B1771">
            <v>4242</v>
          </cell>
        </row>
        <row r="1772">
          <cell r="A1772" t="str">
            <v>TOM ILISSON</v>
          </cell>
          <cell r="B1772">
            <v>4241</v>
          </cell>
        </row>
        <row r="1773">
          <cell r="A1773" t="str">
            <v>HELI ILJAŠENKO</v>
          </cell>
          <cell r="B1773">
            <v>9142</v>
          </cell>
        </row>
        <row r="1774">
          <cell r="A1774" t="str">
            <v>IGOR ILJIN</v>
          </cell>
          <cell r="B1774">
            <v>4653</v>
          </cell>
        </row>
        <row r="1775">
          <cell r="A1775" t="str">
            <v>VARVARA ILJINA</v>
          </cell>
          <cell r="B1775">
            <v>9223</v>
          </cell>
        </row>
        <row r="1776">
          <cell r="A1776" t="str">
            <v>ANTRA ILKENA</v>
          </cell>
          <cell r="B1776">
            <v>1211</v>
          </cell>
        </row>
        <row r="1777">
          <cell r="A1777" t="str">
            <v>INTA ILKENA</v>
          </cell>
          <cell r="B1777">
            <v>1306</v>
          </cell>
        </row>
        <row r="1778">
          <cell r="A1778" t="str">
            <v>RAIDO ILLAK</v>
          </cell>
          <cell r="B1778">
            <v>7174</v>
          </cell>
        </row>
        <row r="1779">
          <cell r="A1779" t="str">
            <v>ARTJOM ILLARIOSHKIN</v>
          </cell>
          <cell r="B1779">
            <v>486</v>
          </cell>
        </row>
        <row r="1780">
          <cell r="A1780" t="str">
            <v>LAURA HELEEN ILLENZEER</v>
          </cell>
          <cell r="B1780">
            <v>10872</v>
          </cell>
        </row>
        <row r="1781">
          <cell r="A1781" t="str">
            <v>KERT ILLIPE</v>
          </cell>
          <cell r="B1781">
            <v>3125</v>
          </cell>
        </row>
        <row r="1782">
          <cell r="A1782" t="str">
            <v>SILVER ILMENSKI</v>
          </cell>
          <cell r="B1782">
            <v>3315</v>
          </cell>
        </row>
        <row r="1783">
          <cell r="A1783" t="str">
            <v>BRENDA ILMJÄRV</v>
          </cell>
          <cell r="B1783">
            <v>3615</v>
          </cell>
        </row>
        <row r="1784">
          <cell r="A1784" t="str">
            <v>JARMO ILMJÄRV</v>
          </cell>
          <cell r="B1784">
            <v>2880</v>
          </cell>
        </row>
        <row r="1785">
          <cell r="A1785" t="str">
            <v>KARMO ILMJÄRV</v>
          </cell>
          <cell r="B1785">
            <v>3051</v>
          </cell>
        </row>
        <row r="1786">
          <cell r="A1786" t="str">
            <v>NIKOLAI ILMSOO</v>
          </cell>
          <cell r="B1786">
            <v>9170</v>
          </cell>
        </row>
        <row r="1787">
          <cell r="A1787" t="str">
            <v>OLIVER ILUMÄE</v>
          </cell>
          <cell r="B1787">
            <v>9181</v>
          </cell>
        </row>
        <row r="1788">
          <cell r="A1788" t="str">
            <v>KARL-ERIK ILUMETS</v>
          </cell>
          <cell r="B1788">
            <v>9542</v>
          </cell>
        </row>
        <row r="1789">
          <cell r="A1789" t="str">
            <v>FRANZ ILUS</v>
          </cell>
          <cell r="B1789">
            <v>6080</v>
          </cell>
        </row>
        <row r="1790">
          <cell r="A1790" t="str">
            <v>KARL-KRISTJAN ILUS</v>
          </cell>
          <cell r="B1790">
            <v>9543</v>
          </cell>
        </row>
        <row r="1791">
          <cell r="A1791" t="str">
            <v>EVI ILVES</v>
          </cell>
          <cell r="B1791">
            <v>49</v>
          </cell>
        </row>
        <row r="1792">
          <cell r="A1792" t="str">
            <v>HENRI ILVES</v>
          </cell>
          <cell r="B1792">
            <v>7026</v>
          </cell>
        </row>
        <row r="1793">
          <cell r="A1793" t="str">
            <v>KAIRIIN ILVES</v>
          </cell>
          <cell r="B1793">
            <v>7025</v>
          </cell>
        </row>
        <row r="1794">
          <cell r="A1794" t="str">
            <v>OSKAR ILVES</v>
          </cell>
          <cell r="B1794">
            <v>4654</v>
          </cell>
        </row>
        <row r="1795">
          <cell r="A1795" t="str">
            <v>RAGNAR ILVES</v>
          </cell>
          <cell r="B1795">
            <v>1671</v>
          </cell>
        </row>
        <row r="1796">
          <cell r="A1796" t="str">
            <v>RASMUS ILVES</v>
          </cell>
          <cell r="B1796">
            <v>4655</v>
          </cell>
        </row>
        <row r="1797">
          <cell r="A1797" t="str">
            <v>SANDER ERIK ILVES</v>
          </cell>
          <cell r="B1797">
            <v>6224</v>
          </cell>
        </row>
        <row r="1798">
          <cell r="A1798" t="str">
            <v>TAAVI ILVES</v>
          </cell>
          <cell r="B1798">
            <v>9175</v>
          </cell>
        </row>
        <row r="1799">
          <cell r="A1799" t="str">
            <v>VIKTOR ILVES</v>
          </cell>
          <cell r="B1799">
            <v>4243</v>
          </cell>
        </row>
        <row r="1800">
          <cell r="A1800" t="str">
            <v>JÜRI VIKENTI ILVEST</v>
          </cell>
          <cell r="B1800">
            <v>9375</v>
          </cell>
        </row>
        <row r="1801">
          <cell r="A1801" t="str">
            <v>YURI IMMONEN</v>
          </cell>
          <cell r="B1801">
            <v>8676</v>
          </cell>
        </row>
        <row r="1802">
          <cell r="A1802" t="str">
            <v>IEVA INDRIKSONE</v>
          </cell>
          <cell r="B1802">
            <v>1712</v>
          </cell>
        </row>
        <row r="1803">
          <cell r="A1803" t="str">
            <v>LAUMA INDRIKSONE</v>
          </cell>
          <cell r="B1803">
            <v>2083</v>
          </cell>
        </row>
        <row r="1804">
          <cell r="A1804" t="str">
            <v>ULVI INGALT</v>
          </cell>
          <cell r="B1804">
            <v>2876</v>
          </cell>
        </row>
        <row r="1805">
          <cell r="A1805" t="str">
            <v>ALARI INNO</v>
          </cell>
          <cell r="B1805">
            <v>9298</v>
          </cell>
        </row>
        <row r="1806">
          <cell r="A1806" t="str">
            <v>ELVIRA IOPIK</v>
          </cell>
          <cell r="B1806">
            <v>1613</v>
          </cell>
        </row>
        <row r="1807">
          <cell r="A1807" t="str">
            <v>ATS IRA</v>
          </cell>
          <cell r="B1807">
            <v>9208</v>
          </cell>
        </row>
        <row r="1808">
          <cell r="A1808" t="str">
            <v>INES IRA</v>
          </cell>
          <cell r="B1808">
            <v>9010</v>
          </cell>
        </row>
        <row r="1809">
          <cell r="A1809" t="str">
            <v>DANIEL IRBE</v>
          </cell>
          <cell r="B1809">
            <v>5442</v>
          </cell>
        </row>
        <row r="1810">
          <cell r="A1810" t="str">
            <v>GERT IRVAL</v>
          </cell>
          <cell r="B1810">
            <v>4992</v>
          </cell>
        </row>
        <row r="1811">
          <cell r="A1811" t="str">
            <v>ALEKSANDRA ISAJEVA</v>
          </cell>
          <cell r="B1811">
            <v>3570</v>
          </cell>
        </row>
        <row r="1812">
          <cell r="A1812" t="str">
            <v>ALINA ISAJEVA</v>
          </cell>
          <cell r="B1812">
            <v>2571</v>
          </cell>
        </row>
        <row r="1813">
          <cell r="A1813" t="str">
            <v>ANDREI ISATŠENKOV</v>
          </cell>
          <cell r="B1813">
            <v>7862</v>
          </cell>
        </row>
        <row r="1814">
          <cell r="A1814" t="str">
            <v>VALLO ISOP</v>
          </cell>
          <cell r="B1814">
            <v>411</v>
          </cell>
        </row>
        <row r="1815">
          <cell r="A1815" t="str">
            <v>VEIKO ISOP</v>
          </cell>
          <cell r="B1815">
            <v>872</v>
          </cell>
        </row>
        <row r="1816">
          <cell r="A1816" t="str">
            <v>SVEN ISSAJEV</v>
          </cell>
          <cell r="B1816">
            <v>322</v>
          </cell>
        </row>
        <row r="1817">
          <cell r="A1817" t="str">
            <v>ANATOLIJS ISSAJEVS</v>
          </cell>
          <cell r="B1817">
            <v>2648</v>
          </cell>
        </row>
        <row r="1818">
          <cell r="A1818" t="str">
            <v>ANDREI ISSAJEVS</v>
          </cell>
          <cell r="B1818">
            <v>2649</v>
          </cell>
        </row>
        <row r="1819">
          <cell r="A1819" t="str">
            <v>JEVGENIJS ISSAJEVS</v>
          </cell>
          <cell r="B1819">
            <v>1170</v>
          </cell>
        </row>
        <row r="1820">
          <cell r="A1820" t="str">
            <v>ARON ISSI</v>
          </cell>
          <cell r="B1820">
            <v>10407</v>
          </cell>
        </row>
        <row r="1821">
          <cell r="A1821" t="str">
            <v>MIKHAIL IZMAILOV</v>
          </cell>
          <cell r="B1821">
            <v>10363</v>
          </cell>
        </row>
        <row r="1822">
          <cell r="A1822" t="str">
            <v>VADIM IZMAILOV</v>
          </cell>
          <cell r="B1822">
            <v>3487</v>
          </cell>
        </row>
        <row r="1823">
          <cell r="A1823" t="str">
            <v>JEVGENIA IZMAILOVA</v>
          </cell>
          <cell r="B1823">
            <v>3005</v>
          </cell>
        </row>
        <row r="1824">
          <cell r="A1824" t="str">
            <v>ANASTASSIA IZMESTJEVA</v>
          </cell>
          <cell r="B1824">
            <v>1807</v>
          </cell>
        </row>
        <row r="1825">
          <cell r="A1825" t="str">
            <v>VLADIMIR IZOTOV</v>
          </cell>
          <cell r="B1825">
            <v>1428</v>
          </cell>
        </row>
        <row r="1826">
          <cell r="A1826" t="str">
            <v>MARIJA IZULENA</v>
          </cell>
          <cell r="B1826">
            <v>10250</v>
          </cell>
        </row>
        <row r="1827">
          <cell r="A1827" t="str">
            <v>TROFIM IURGANOV</v>
          </cell>
          <cell r="B1827">
            <v>8488</v>
          </cell>
        </row>
        <row r="1828">
          <cell r="A1828" t="str">
            <v>DINAR IUSUPOV</v>
          </cell>
          <cell r="B1828">
            <v>9409</v>
          </cell>
        </row>
        <row r="1829">
          <cell r="A1829" t="str">
            <v>AIGAR IVA</v>
          </cell>
          <cell r="B1829">
            <v>1076</v>
          </cell>
        </row>
        <row r="1830">
          <cell r="A1830" t="str">
            <v>ANDER IVA</v>
          </cell>
          <cell r="B1830">
            <v>2887</v>
          </cell>
        </row>
        <row r="1831">
          <cell r="A1831" t="str">
            <v>HELLÄ IVA</v>
          </cell>
          <cell r="B1831">
            <v>9582</v>
          </cell>
        </row>
        <row r="1832">
          <cell r="A1832" t="str">
            <v>JAKO IVA</v>
          </cell>
          <cell r="B1832">
            <v>7996</v>
          </cell>
        </row>
        <row r="1833">
          <cell r="A1833" t="str">
            <v>VIOLETTA IVAŠTŠENKO</v>
          </cell>
          <cell r="B1833">
            <v>3764</v>
          </cell>
        </row>
        <row r="1834">
          <cell r="A1834" t="str">
            <v>ANASTASSIA IVANKOVA</v>
          </cell>
          <cell r="B1834">
            <v>2378</v>
          </cell>
        </row>
        <row r="1835">
          <cell r="A1835" t="str">
            <v>AKIM IVANOV</v>
          </cell>
          <cell r="B1835">
            <v>10204</v>
          </cell>
        </row>
        <row r="1836">
          <cell r="A1836" t="str">
            <v>ALEKSANDR IVANOV</v>
          </cell>
          <cell r="B1836">
            <v>5234</v>
          </cell>
        </row>
        <row r="1837">
          <cell r="A1837" t="str">
            <v>ALEKSEI IVANOV</v>
          </cell>
          <cell r="B1837">
            <v>967</v>
          </cell>
        </row>
        <row r="1838">
          <cell r="A1838" t="str">
            <v>ALEKSEI IVANOV</v>
          </cell>
          <cell r="B1838">
            <v>4244</v>
          </cell>
        </row>
        <row r="1839">
          <cell r="A1839" t="str">
            <v>ANDREI IVANOV</v>
          </cell>
          <cell r="B1839">
            <v>5185</v>
          </cell>
        </row>
        <row r="1840">
          <cell r="A1840" t="str">
            <v>ARTJOM IVANOV</v>
          </cell>
          <cell r="B1840">
            <v>507</v>
          </cell>
        </row>
        <row r="1841">
          <cell r="A1841" t="str">
            <v>GLEB IVANOV</v>
          </cell>
          <cell r="B1841">
            <v>5475</v>
          </cell>
        </row>
        <row r="1842">
          <cell r="A1842" t="str">
            <v>KONSTANTIN IVANOV</v>
          </cell>
          <cell r="B1842">
            <v>2069</v>
          </cell>
        </row>
        <row r="1843">
          <cell r="A1843" t="str">
            <v>MAKSIM IVANOV</v>
          </cell>
          <cell r="B1843">
            <v>5504</v>
          </cell>
        </row>
        <row r="1844">
          <cell r="A1844" t="str">
            <v>SERGEI IVANOV</v>
          </cell>
          <cell r="B1844">
            <v>445</v>
          </cell>
        </row>
        <row r="1845">
          <cell r="A1845" t="str">
            <v>ALISA IVANOVA</v>
          </cell>
          <cell r="B1845">
            <v>9052</v>
          </cell>
        </row>
        <row r="1846">
          <cell r="A1846" t="str">
            <v>DARJA IVANOVA</v>
          </cell>
          <cell r="B1846">
            <v>4112</v>
          </cell>
        </row>
        <row r="1847">
          <cell r="A1847" t="str">
            <v>IRINA IVANOVA</v>
          </cell>
          <cell r="B1847">
            <v>8721</v>
          </cell>
        </row>
        <row r="1848">
          <cell r="A1848" t="str">
            <v>JEKATERINA IVANOVA</v>
          </cell>
          <cell r="B1848">
            <v>4246</v>
          </cell>
        </row>
        <row r="1849">
          <cell r="A1849" t="str">
            <v>MARIA IVANOVA</v>
          </cell>
          <cell r="B1849">
            <v>9478</v>
          </cell>
        </row>
        <row r="1850">
          <cell r="A1850" t="str">
            <v>MARINA IVANOVA</v>
          </cell>
          <cell r="B1850">
            <v>1401</v>
          </cell>
        </row>
        <row r="1851">
          <cell r="A1851" t="str">
            <v>PATRISIJA IVANOVA</v>
          </cell>
          <cell r="B1851">
            <v>3763</v>
          </cell>
        </row>
        <row r="1852">
          <cell r="A1852" t="str">
            <v>REGINA IVANOVA</v>
          </cell>
          <cell r="B1852">
            <v>4245</v>
          </cell>
        </row>
        <row r="1853">
          <cell r="A1853" t="str">
            <v>SOFIA IVANOVA</v>
          </cell>
          <cell r="B1853">
            <v>9033</v>
          </cell>
        </row>
        <row r="1854">
          <cell r="A1854" t="str">
            <v>VIKTORIA IVANOVA</v>
          </cell>
          <cell r="B1854">
            <v>8995</v>
          </cell>
        </row>
        <row r="1855">
          <cell r="A1855" t="str">
            <v>ANDREIJS IVANOVS</v>
          </cell>
          <cell r="B1855">
            <v>1171</v>
          </cell>
        </row>
        <row r="1856">
          <cell r="A1856" t="str">
            <v>ALLAN IVARINEN</v>
          </cell>
          <cell r="B1856">
            <v>7751</v>
          </cell>
        </row>
        <row r="1857">
          <cell r="A1857" t="str">
            <v>ERIKA IVARSSON</v>
          </cell>
          <cell r="B1857">
            <v>9431</v>
          </cell>
        </row>
        <row r="1858">
          <cell r="A1858" t="str">
            <v>ARTUR IVASK</v>
          </cell>
          <cell r="B1858">
            <v>2108</v>
          </cell>
        </row>
        <row r="1859">
          <cell r="A1859" t="str">
            <v>EVA-LIIS IVASK</v>
          </cell>
          <cell r="B1859">
            <v>4247</v>
          </cell>
        </row>
        <row r="1860">
          <cell r="A1860" t="str">
            <v>HARDY IVASK</v>
          </cell>
          <cell r="B1860">
            <v>1972</v>
          </cell>
        </row>
        <row r="1861">
          <cell r="A1861" t="str">
            <v>HARVY IVASK</v>
          </cell>
          <cell r="B1861">
            <v>2169</v>
          </cell>
        </row>
        <row r="1862">
          <cell r="A1862" t="str">
            <v>JAAKOP IVASK</v>
          </cell>
          <cell r="B1862">
            <v>8990</v>
          </cell>
        </row>
        <row r="1863">
          <cell r="A1863" t="str">
            <v>JANAR IVASK</v>
          </cell>
          <cell r="B1863">
            <v>2321</v>
          </cell>
        </row>
        <row r="1864">
          <cell r="A1864" t="str">
            <v>MARTIN IVASK</v>
          </cell>
          <cell r="B1864">
            <v>8330</v>
          </cell>
        </row>
        <row r="1865">
          <cell r="A1865" t="str">
            <v>MERILYN IVASK</v>
          </cell>
          <cell r="B1865">
            <v>3424</v>
          </cell>
        </row>
        <row r="1866">
          <cell r="A1866" t="str">
            <v>ALEKSANDR IVLEV</v>
          </cell>
          <cell r="B1866">
            <v>4068</v>
          </cell>
        </row>
        <row r="1867">
          <cell r="A1867" t="str">
            <v>ANISHA IYER</v>
          </cell>
          <cell r="B1867">
            <v>7538</v>
          </cell>
        </row>
        <row r="1868">
          <cell r="A1868" t="str">
            <v>ANDERS JÄGER</v>
          </cell>
          <cell r="B1868">
            <v>9177</v>
          </cell>
        </row>
        <row r="1869">
          <cell r="A1869" t="str">
            <v>JAAK JÄME</v>
          </cell>
          <cell r="B1869">
            <v>2712</v>
          </cell>
        </row>
        <row r="1870">
          <cell r="A1870" t="str">
            <v>ENDEL JÄNES</v>
          </cell>
          <cell r="B1870">
            <v>10059</v>
          </cell>
        </row>
        <row r="1871">
          <cell r="A1871" t="str">
            <v>GERT JÄNES</v>
          </cell>
          <cell r="B1871">
            <v>4659</v>
          </cell>
        </row>
        <row r="1872">
          <cell r="A1872" t="str">
            <v>KARLIS JÄNES</v>
          </cell>
          <cell r="B1872">
            <v>4661</v>
          </cell>
        </row>
        <row r="1873">
          <cell r="A1873" t="str">
            <v>REIN JÄNES</v>
          </cell>
          <cell r="B1873">
            <v>2368</v>
          </cell>
        </row>
        <row r="1874">
          <cell r="A1874" t="str">
            <v>MEINHARD JÄRLIK</v>
          </cell>
          <cell r="B1874">
            <v>2347</v>
          </cell>
        </row>
        <row r="1875">
          <cell r="A1875" t="str">
            <v>ADEELE HELEENE JÄRV</v>
          </cell>
          <cell r="B1875">
            <v>8859</v>
          </cell>
        </row>
        <row r="1876">
          <cell r="A1876" t="str">
            <v>ARABELLA JÄRV</v>
          </cell>
          <cell r="B1876">
            <v>10879</v>
          </cell>
        </row>
        <row r="1877">
          <cell r="A1877" t="str">
            <v>JAAN LEANDER JÄRV</v>
          </cell>
          <cell r="B1877">
            <v>10146</v>
          </cell>
        </row>
        <row r="1878">
          <cell r="A1878" t="str">
            <v>MARGUS JÄRV</v>
          </cell>
          <cell r="B1878">
            <v>9839</v>
          </cell>
        </row>
        <row r="1879">
          <cell r="A1879" t="str">
            <v>ANDRE JÄRVA</v>
          </cell>
          <cell r="B1879">
            <v>9018</v>
          </cell>
        </row>
        <row r="1880">
          <cell r="A1880" t="str">
            <v>IVAR JÄRVALA</v>
          </cell>
          <cell r="B1880">
            <v>2662</v>
          </cell>
        </row>
        <row r="1881">
          <cell r="A1881" t="str">
            <v>HENDRIK JÄRVAN</v>
          </cell>
          <cell r="B1881">
            <v>10374</v>
          </cell>
        </row>
        <row r="1882">
          <cell r="A1882" t="str">
            <v>HUBERT JÄRVAN</v>
          </cell>
          <cell r="B1882">
            <v>2035</v>
          </cell>
        </row>
        <row r="1883">
          <cell r="A1883" t="str">
            <v>JANNO JÄRVE</v>
          </cell>
          <cell r="B1883">
            <v>8241</v>
          </cell>
        </row>
        <row r="1884">
          <cell r="A1884" t="str">
            <v>KARL JÄRVE</v>
          </cell>
          <cell r="B1884">
            <v>2636</v>
          </cell>
        </row>
        <row r="1885">
          <cell r="A1885" t="str">
            <v>TAAVI JÄRVE</v>
          </cell>
          <cell r="B1885">
            <v>4963</v>
          </cell>
        </row>
        <row r="1886">
          <cell r="A1886" t="str">
            <v>TIIT JÄRVE</v>
          </cell>
          <cell r="B1886">
            <v>2686</v>
          </cell>
        </row>
        <row r="1887">
          <cell r="A1887" t="str">
            <v>IVAR JÄRVELA</v>
          </cell>
          <cell r="B1887">
            <v>1968</v>
          </cell>
        </row>
        <row r="1888">
          <cell r="A1888" t="str">
            <v>JAANUS JÄRVELA</v>
          </cell>
          <cell r="B1888">
            <v>1483</v>
          </cell>
        </row>
        <row r="1889">
          <cell r="A1889" t="str">
            <v>RAIN JÄRVELA</v>
          </cell>
          <cell r="B1889">
            <v>2434</v>
          </cell>
        </row>
        <row r="1890">
          <cell r="A1890" t="str">
            <v>HENRI JÄRVELAID</v>
          </cell>
          <cell r="B1890">
            <v>5283</v>
          </cell>
        </row>
        <row r="1891">
          <cell r="A1891" t="str">
            <v>CARL HENRIG JÄRVEPERE</v>
          </cell>
          <cell r="B1891">
            <v>4994</v>
          </cell>
        </row>
        <row r="1892">
          <cell r="A1892" t="str">
            <v>ROMAN JÄRVEPERE</v>
          </cell>
          <cell r="B1892">
            <v>9301</v>
          </cell>
        </row>
        <row r="1893">
          <cell r="A1893" t="str">
            <v>TANEL JÄRVESOO</v>
          </cell>
          <cell r="B1893">
            <v>4256</v>
          </cell>
        </row>
        <row r="1894">
          <cell r="A1894" t="str">
            <v>KASPER JÄRVI</v>
          </cell>
          <cell r="B1894">
            <v>8818</v>
          </cell>
        </row>
        <row r="1895">
          <cell r="A1895" t="str">
            <v>KENERT JÄRVI</v>
          </cell>
          <cell r="B1895">
            <v>9305</v>
          </cell>
        </row>
        <row r="1896">
          <cell r="A1896" t="str">
            <v>AARE JÄRVIK</v>
          </cell>
          <cell r="B1896">
            <v>5289</v>
          </cell>
        </row>
        <row r="1897">
          <cell r="A1897" t="str">
            <v>KARRO JÄRVIK</v>
          </cell>
          <cell r="B1897">
            <v>10429</v>
          </cell>
        </row>
        <row r="1898">
          <cell r="A1898" t="str">
            <v>MERILI JÄRVIK</v>
          </cell>
          <cell r="B1898">
            <v>3774</v>
          </cell>
        </row>
        <row r="1899">
          <cell r="A1899" t="str">
            <v>MIHKEL JÄRVISTE</v>
          </cell>
          <cell r="B1899">
            <v>5485</v>
          </cell>
        </row>
        <row r="1900">
          <cell r="A1900" t="str">
            <v>NORA LISANDRA JÄRVISTE</v>
          </cell>
          <cell r="B1900">
            <v>9991</v>
          </cell>
        </row>
        <row r="1901">
          <cell r="A1901" t="str">
            <v>AHTO JÄRVOJA</v>
          </cell>
          <cell r="B1901">
            <v>1798</v>
          </cell>
        </row>
        <row r="1902">
          <cell r="A1902" t="str">
            <v>MARGUS JÄRVSOO</v>
          </cell>
          <cell r="B1902">
            <v>2012</v>
          </cell>
        </row>
        <row r="1903">
          <cell r="A1903" t="str">
            <v>INDREK JÕELAID</v>
          </cell>
          <cell r="B1903">
            <v>9330</v>
          </cell>
        </row>
        <row r="1904">
          <cell r="A1904" t="str">
            <v>MARGUS JÕELAID</v>
          </cell>
          <cell r="B1904">
            <v>7417</v>
          </cell>
        </row>
        <row r="1905">
          <cell r="A1905" t="str">
            <v>KAREL JÕELEHT</v>
          </cell>
          <cell r="B1905">
            <v>9593</v>
          </cell>
        </row>
        <row r="1906">
          <cell r="A1906" t="str">
            <v>LAURI JÕELEHT</v>
          </cell>
          <cell r="B1906">
            <v>10747</v>
          </cell>
        </row>
        <row r="1907">
          <cell r="A1907" t="str">
            <v>MARKO JÕELEHT</v>
          </cell>
          <cell r="B1907">
            <v>5458</v>
          </cell>
        </row>
        <row r="1908">
          <cell r="A1908" t="str">
            <v>DEIN JÕELOO</v>
          </cell>
          <cell r="B1908">
            <v>9824</v>
          </cell>
        </row>
        <row r="1909">
          <cell r="A1909" t="str">
            <v>PETRI JÕEMA</v>
          </cell>
          <cell r="B1909">
            <v>392</v>
          </cell>
        </row>
        <row r="1910">
          <cell r="A1910" t="str">
            <v>JAN JÕEMETS</v>
          </cell>
          <cell r="B1910">
            <v>1297</v>
          </cell>
        </row>
        <row r="1911">
          <cell r="A1911" t="str">
            <v>MAARIKA JÕEMETS</v>
          </cell>
          <cell r="B1911">
            <v>3347</v>
          </cell>
        </row>
        <row r="1912">
          <cell r="A1912" t="str">
            <v>IAN SEBASTIAN JÕEORG</v>
          </cell>
          <cell r="B1912">
            <v>9002</v>
          </cell>
        </row>
        <row r="1913">
          <cell r="A1913" t="str">
            <v>DEIVY JÕESAAR</v>
          </cell>
          <cell r="B1913">
            <v>1403</v>
          </cell>
        </row>
        <row r="1914">
          <cell r="A1914" t="str">
            <v>EIRIIN JÕGEVA</v>
          </cell>
          <cell r="B1914">
            <v>6255</v>
          </cell>
        </row>
        <row r="1915">
          <cell r="A1915" t="str">
            <v>JARMO JÕGEVA</v>
          </cell>
          <cell r="B1915">
            <v>8184</v>
          </cell>
        </row>
        <row r="1916">
          <cell r="A1916" t="str">
            <v>TAAVI JÕGEVA</v>
          </cell>
          <cell r="B1916">
            <v>2414</v>
          </cell>
        </row>
        <row r="1917">
          <cell r="A1917" t="str">
            <v>TRIIN JÕGEVA</v>
          </cell>
          <cell r="B1917">
            <v>7441</v>
          </cell>
        </row>
        <row r="1918">
          <cell r="A1918" t="str">
            <v>WERNER JÕGEVA</v>
          </cell>
          <cell r="B1918">
            <v>6254</v>
          </cell>
        </row>
        <row r="1919">
          <cell r="A1919" t="str">
            <v>HUGO EERIK JÕGI</v>
          </cell>
          <cell r="B1919">
            <v>9178</v>
          </cell>
        </row>
        <row r="1920">
          <cell r="A1920" t="str">
            <v>JASS JASPER JÕGI</v>
          </cell>
          <cell r="B1920">
            <v>7085</v>
          </cell>
        </row>
        <row r="1921">
          <cell r="A1921" t="str">
            <v>KAUPO JÕGI</v>
          </cell>
          <cell r="B1921">
            <v>8509</v>
          </cell>
        </row>
        <row r="1922">
          <cell r="A1922" t="str">
            <v>URMI JÕGIS</v>
          </cell>
          <cell r="B1922">
            <v>52</v>
          </cell>
        </row>
        <row r="1923">
          <cell r="A1923" t="str">
            <v>TAUNO JÕGISTE</v>
          </cell>
          <cell r="B1923">
            <v>2227</v>
          </cell>
        </row>
        <row r="1924">
          <cell r="A1924" t="str">
            <v>SIMO JÕHVIKAS</v>
          </cell>
          <cell r="B1924">
            <v>10863</v>
          </cell>
        </row>
        <row r="1925">
          <cell r="A1925" t="str">
            <v>AGATA BRETE JÕPISELG</v>
          </cell>
          <cell r="B1925">
            <v>9212</v>
          </cell>
        </row>
        <row r="1926">
          <cell r="A1926" t="str">
            <v>MARILIN JÕULU</v>
          </cell>
          <cell r="B1926">
            <v>1983</v>
          </cell>
        </row>
        <row r="1927">
          <cell r="A1927" t="str">
            <v>MIHKEL JÕULU</v>
          </cell>
          <cell r="B1927">
            <v>2072</v>
          </cell>
        </row>
        <row r="1928">
          <cell r="A1928" t="str">
            <v>SERGEI JAŠIN</v>
          </cell>
          <cell r="B1928">
            <v>8575</v>
          </cell>
        </row>
        <row r="1929">
          <cell r="A1929" t="str">
            <v>ELGA JAAGUMAN</v>
          </cell>
          <cell r="B1929">
            <v>9915</v>
          </cell>
        </row>
        <row r="1930">
          <cell r="A1930" t="str">
            <v>KAUPO JAAGUP</v>
          </cell>
          <cell r="B1930">
            <v>2816</v>
          </cell>
        </row>
        <row r="1931">
          <cell r="A1931" t="str">
            <v>JAAN ERIK JAAKSON</v>
          </cell>
          <cell r="B1931">
            <v>8865</v>
          </cell>
        </row>
        <row r="1932">
          <cell r="A1932" t="str">
            <v>RUDOLF JAAKSOO</v>
          </cell>
          <cell r="B1932">
            <v>10317</v>
          </cell>
        </row>
        <row r="1933">
          <cell r="A1933" t="str">
            <v>MARKUS JAANIMÄGI</v>
          </cell>
          <cell r="B1933">
            <v>3401</v>
          </cell>
        </row>
        <row r="1934">
          <cell r="A1934" t="str">
            <v>SIRLI JAANIMÄGI</v>
          </cell>
          <cell r="B1934">
            <v>3219</v>
          </cell>
        </row>
        <row r="1935">
          <cell r="A1935" t="str">
            <v>ELERI JAANISTE</v>
          </cell>
          <cell r="B1935">
            <v>10031</v>
          </cell>
        </row>
        <row r="1936">
          <cell r="A1936" t="str">
            <v>MIKK JAANISTE</v>
          </cell>
          <cell r="B1936">
            <v>9320</v>
          </cell>
        </row>
        <row r="1937">
          <cell r="A1937" t="str">
            <v>REIN JAANISTE</v>
          </cell>
          <cell r="B1937">
            <v>1059</v>
          </cell>
        </row>
        <row r="1938">
          <cell r="A1938" t="str">
            <v>ANDRES JAANSON</v>
          </cell>
          <cell r="B1938">
            <v>1740</v>
          </cell>
        </row>
        <row r="1939">
          <cell r="A1939" t="str">
            <v>REIGO JAANSON</v>
          </cell>
          <cell r="B1939">
            <v>3682</v>
          </cell>
        </row>
        <row r="1940">
          <cell r="A1940" t="str">
            <v>KRISTO JAANSOO</v>
          </cell>
          <cell r="B1940">
            <v>4732</v>
          </cell>
        </row>
        <row r="1941">
          <cell r="A1941" t="str">
            <v>MARGUS JAANSOO</v>
          </cell>
          <cell r="B1941">
            <v>3765</v>
          </cell>
        </row>
        <row r="1942">
          <cell r="A1942" t="str">
            <v>TOIVO JAANUS</v>
          </cell>
          <cell r="B1942">
            <v>2299</v>
          </cell>
        </row>
        <row r="1943">
          <cell r="A1943" t="str">
            <v>ANTI JAAS</v>
          </cell>
          <cell r="B1943">
            <v>3766</v>
          </cell>
        </row>
        <row r="1944">
          <cell r="A1944" t="str">
            <v>JJ JAATINEN</v>
          </cell>
          <cell r="B1944">
            <v>1277</v>
          </cell>
        </row>
        <row r="1945">
          <cell r="A1945" t="str">
            <v>MARIA JABLUKOVITS</v>
          </cell>
          <cell r="B1945">
            <v>1028</v>
          </cell>
        </row>
        <row r="1946">
          <cell r="A1946" t="str">
            <v>NIKITA JABLUKOVITS</v>
          </cell>
          <cell r="B1946">
            <v>987</v>
          </cell>
        </row>
        <row r="1947">
          <cell r="A1947" t="str">
            <v>MEELIS JAESKI</v>
          </cell>
          <cell r="B1947">
            <v>4656</v>
          </cell>
        </row>
        <row r="1948">
          <cell r="A1948" t="str">
            <v>ALINA JAGNENKOVA</v>
          </cell>
          <cell r="B1948">
            <v>4814</v>
          </cell>
        </row>
        <row r="1949">
          <cell r="A1949" t="str">
            <v>FRANK JAHHU</v>
          </cell>
          <cell r="B1949">
            <v>10785</v>
          </cell>
        </row>
        <row r="1950">
          <cell r="A1950" t="str">
            <v>HANS HUGO JAHNSON</v>
          </cell>
          <cell r="B1950">
            <v>10012</v>
          </cell>
        </row>
        <row r="1951">
          <cell r="A1951" t="str">
            <v>KIRILS JAHONTOVS</v>
          </cell>
          <cell r="B1951">
            <v>3187</v>
          </cell>
        </row>
        <row r="1952">
          <cell r="A1952" t="str">
            <v>INGRID JAHU</v>
          </cell>
          <cell r="B1952">
            <v>50</v>
          </cell>
        </row>
        <row r="1953">
          <cell r="A1953" t="str">
            <v>TIMO JAIRUS</v>
          </cell>
          <cell r="B1953">
            <v>7343</v>
          </cell>
        </row>
        <row r="1954">
          <cell r="A1954" t="str">
            <v>BAIBA JAKE</v>
          </cell>
          <cell r="B1954">
            <v>1718</v>
          </cell>
        </row>
        <row r="1955">
          <cell r="A1955" t="str">
            <v>ANASTASSIJA JAKIMOVA</v>
          </cell>
          <cell r="B1955">
            <v>2193</v>
          </cell>
        </row>
        <row r="1956">
          <cell r="A1956" t="str">
            <v>EERIK JAKIMOVITŠ</v>
          </cell>
          <cell r="B1956">
            <v>8688</v>
          </cell>
        </row>
        <row r="1957">
          <cell r="A1957" t="str">
            <v>OLEG JAKIMOVITŠ</v>
          </cell>
          <cell r="B1957">
            <v>8689</v>
          </cell>
        </row>
        <row r="1958">
          <cell r="A1958" t="str">
            <v>ILONA JAKIMOVITS</v>
          </cell>
          <cell r="B1958">
            <v>4815</v>
          </cell>
        </row>
        <row r="1959">
          <cell r="A1959" t="str">
            <v>RASMUS JAKK</v>
          </cell>
          <cell r="B1959">
            <v>8158</v>
          </cell>
        </row>
        <row r="1960">
          <cell r="A1960" t="str">
            <v>LOUISE TRABJERG JAKOBSEN</v>
          </cell>
          <cell r="B1960">
            <v>7543</v>
          </cell>
        </row>
        <row r="1961">
          <cell r="A1961" t="str">
            <v>AUGUST JAKOBSON</v>
          </cell>
          <cell r="B1961">
            <v>8569</v>
          </cell>
        </row>
        <row r="1962">
          <cell r="A1962" t="str">
            <v>ERKO JAKOBSON</v>
          </cell>
          <cell r="B1962">
            <v>9546</v>
          </cell>
        </row>
        <row r="1963">
          <cell r="A1963" t="str">
            <v>INGA JAKOBSON</v>
          </cell>
          <cell r="B1963">
            <v>7589</v>
          </cell>
        </row>
        <row r="1964">
          <cell r="A1964" t="str">
            <v>JÜRI JAKOBSON</v>
          </cell>
          <cell r="B1964">
            <v>1353</v>
          </cell>
        </row>
        <row r="1965">
          <cell r="A1965" t="str">
            <v>JASPER JAKOBSON</v>
          </cell>
          <cell r="B1965">
            <v>8696</v>
          </cell>
        </row>
        <row r="1966">
          <cell r="A1966" t="str">
            <v>MAIE JAKOBSON</v>
          </cell>
          <cell r="B1966">
            <v>1910</v>
          </cell>
        </row>
        <row r="1967">
          <cell r="A1967" t="str">
            <v>REMI-REIVO JAKOBSON</v>
          </cell>
          <cell r="B1967">
            <v>6231</v>
          </cell>
        </row>
        <row r="1968">
          <cell r="A1968" t="str">
            <v>MARJANA JAKOVENKO</v>
          </cell>
          <cell r="B1968">
            <v>10591</v>
          </cell>
        </row>
        <row r="1969">
          <cell r="A1969" t="str">
            <v>ROBERTS JAKOVICS</v>
          </cell>
          <cell r="B1969">
            <v>3240</v>
          </cell>
        </row>
        <row r="1970">
          <cell r="A1970" t="str">
            <v>ARTHUR JAKOVLEV</v>
          </cell>
          <cell r="B1970">
            <v>9131</v>
          </cell>
        </row>
        <row r="1971">
          <cell r="A1971" t="str">
            <v>DANIIL JAKOVLEV</v>
          </cell>
          <cell r="B1971">
            <v>10386</v>
          </cell>
        </row>
        <row r="1972">
          <cell r="A1972" t="str">
            <v>GLEB JAKOVLEV</v>
          </cell>
          <cell r="B1972">
            <v>10211</v>
          </cell>
        </row>
        <row r="1973">
          <cell r="A1973" t="str">
            <v>MAKSIM JAKOVLEV</v>
          </cell>
          <cell r="B1973">
            <v>5983</v>
          </cell>
        </row>
        <row r="1974">
          <cell r="A1974" t="str">
            <v>NIKITA JAKOVLEV</v>
          </cell>
          <cell r="B1974">
            <v>10549</v>
          </cell>
        </row>
        <row r="1975">
          <cell r="A1975" t="str">
            <v>OTT JAKOVLEV</v>
          </cell>
          <cell r="B1975">
            <v>8684</v>
          </cell>
        </row>
        <row r="1976">
          <cell r="A1976" t="str">
            <v>SERGEI JAKOVLEV</v>
          </cell>
          <cell r="B1976">
            <v>1088</v>
          </cell>
        </row>
        <row r="1977">
          <cell r="A1977" t="str">
            <v>SERGEI JAKOVLEV</v>
          </cell>
          <cell r="B1977">
            <v>5609</v>
          </cell>
        </row>
        <row r="1978">
          <cell r="A1978" t="str">
            <v>SERGO JAKOVLEV</v>
          </cell>
          <cell r="B1978">
            <v>6069</v>
          </cell>
        </row>
        <row r="1979">
          <cell r="A1979" t="str">
            <v>VASSILI JAKOVLEV</v>
          </cell>
          <cell r="B1979">
            <v>7706</v>
          </cell>
        </row>
        <row r="1980">
          <cell r="A1980" t="str">
            <v>JANA JAKOVLEVA</v>
          </cell>
          <cell r="B1980">
            <v>8580</v>
          </cell>
        </row>
        <row r="1981">
          <cell r="A1981" t="str">
            <v>POLINA JAKOVLEVA</v>
          </cell>
          <cell r="B1981">
            <v>2964</v>
          </cell>
        </row>
        <row r="1982">
          <cell r="A1982" t="str">
            <v>VIKTORIA JAKOVLEVA</v>
          </cell>
          <cell r="B1982">
            <v>3767</v>
          </cell>
        </row>
        <row r="1983">
          <cell r="A1983" t="str">
            <v>MARTYNAS JAKOVLEVAS</v>
          </cell>
          <cell r="B1983">
            <v>9370</v>
          </cell>
        </row>
        <row r="1984">
          <cell r="A1984" t="str">
            <v>HENDRIK JAKS</v>
          </cell>
          <cell r="B1984">
            <v>7992</v>
          </cell>
        </row>
        <row r="1985">
          <cell r="A1985" t="str">
            <v>AHTI JAKSON</v>
          </cell>
          <cell r="B1985">
            <v>3768</v>
          </cell>
        </row>
        <row r="1986">
          <cell r="A1986" t="str">
            <v>JAN ERIK JAKSTEIN</v>
          </cell>
          <cell r="B1986">
            <v>8358</v>
          </cell>
        </row>
        <row r="1987">
          <cell r="A1987" t="str">
            <v>SOFIA JAKUŠEVA</v>
          </cell>
          <cell r="B1987">
            <v>9806</v>
          </cell>
        </row>
        <row r="1988">
          <cell r="A1988" t="str">
            <v>JULIA JAKUBOVA</v>
          </cell>
          <cell r="B1988">
            <v>8392</v>
          </cell>
        </row>
        <row r="1989">
          <cell r="A1989" t="str">
            <v>MARIA JAKUBOVITS</v>
          </cell>
          <cell r="B1989">
            <v>1714</v>
          </cell>
        </row>
        <row r="1990">
          <cell r="A1990" t="str">
            <v>EDGAR JALAS</v>
          </cell>
          <cell r="B1990">
            <v>1984</v>
          </cell>
        </row>
        <row r="1991">
          <cell r="A1991" t="str">
            <v>SANDER JALAS</v>
          </cell>
          <cell r="B1991">
            <v>2281</v>
          </cell>
        </row>
        <row r="1992">
          <cell r="A1992" t="str">
            <v>KADRI JALASTO</v>
          </cell>
          <cell r="B1992">
            <v>2075</v>
          </cell>
        </row>
        <row r="1993">
          <cell r="A1993" t="str">
            <v>KUNNAR JALGANEN</v>
          </cell>
          <cell r="B1993">
            <v>1141</v>
          </cell>
        </row>
        <row r="1994">
          <cell r="A1994" t="str">
            <v>JOHAN HENDRIK JALLAI</v>
          </cell>
          <cell r="B1994">
            <v>10052</v>
          </cell>
        </row>
        <row r="1995">
          <cell r="A1995" t="str">
            <v>MAIKO JALONEN</v>
          </cell>
          <cell r="B1995">
            <v>2828</v>
          </cell>
        </row>
        <row r="1996">
          <cell r="A1996" t="str">
            <v>ANASTASSIA JALUGINA</v>
          </cell>
          <cell r="B1996">
            <v>6026</v>
          </cell>
        </row>
        <row r="1997">
          <cell r="A1997" t="str">
            <v>ALAN JAMBAJEV</v>
          </cell>
          <cell r="B1997">
            <v>9619</v>
          </cell>
        </row>
        <row r="1998">
          <cell r="A1998" t="str">
            <v>ARTUR JAMSKOI</v>
          </cell>
          <cell r="B1998">
            <v>5881</v>
          </cell>
        </row>
        <row r="1999">
          <cell r="A1999" t="str">
            <v>NATALIA JANGOLENKO</v>
          </cell>
          <cell r="B1999">
            <v>3610</v>
          </cell>
        </row>
        <row r="2000">
          <cell r="A2000" t="str">
            <v>SKIRMANTE JANKAUSKAITE</v>
          </cell>
          <cell r="B2000">
            <v>7463</v>
          </cell>
        </row>
        <row r="2001">
          <cell r="A2001" t="str">
            <v>ARTURS JANKOVIC</v>
          </cell>
          <cell r="B2001">
            <v>7103</v>
          </cell>
        </row>
        <row r="2002">
          <cell r="A2002" t="str">
            <v>ARTJOM JANOVSKI</v>
          </cell>
          <cell r="B2002">
            <v>7600</v>
          </cell>
        </row>
        <row r="2003">
          <cell r="A2003" t="str">
            <v>RAMON JANSEN</v>
          </cell>
          <cell r="B2003">
            <v>9636</v>
          </cell>
        </row>
        <row r="2004">
          <cell r="A2004" t="str">
            <v>SAMUEL JANSEN</v>
          </cell>
          <cell r="B2004">
            <v>9637</v>
          </cell>
        </row>
        <row r="2005">
          <cell r="A2005" t="str">
            <v>ROLANDS JANSONS</v>
          </cell>
          <cell r="B2005">
            <v>4657</v>
          </cell>
        </row>
        <row r="2006">
          <cell r="A2006" t="str">
            <v>LAURI JANSSON</v>
          </cell>
          <cell r="B2006">
            <v>8680</v>
          </cell>
        </row>
        <row r="2007">
          <cell r="A2007" t="str">
            <v>SINTIJA JANUSEVICA</v>
          </cell>
          <cell r="B2007">
            <v>2850</v>
          </cell>
        </row>
        <row r="2008">
          <cell r="A2008" t="str">
            <v>ALIIS JÜRGEN</v>
          </cell>
          <cell r="B2008">
            <v>5213</v>
          </cell>
        </row>
        <row r="2009">
          <cell r="A2009" t="str">
            <v>KASPAR JÜRGENS</v>
          </cell>
          <cell r="B2009">
            <v>8681</v>
          </cell>
        </row>
        <row r="2010">
          <cell r="A2010" t="str">
            <v>RANDO JÜRGENS</v>
          </cell>
          <cell r="B2010">
            <v>2396</v>
          </cell>
        </row>
        <row r="2011">
          <cell r="A2011" t="str">
            <v>RENO JÜRGENS</v>
          </cell>
          <cell r="B2011">
            <v>5390</v>
          </cell>
        </row>
        <row r="2012">
          <cell r="A2012" t="str">
            <v>ANDRES JÜRGENSON</v>
          </cell>
          <cell r="B2012">
            <v>1683</v>
          </cell>
        </row>
        <row r="2013">
          <cell r="A2013" t="str">
            <v>KRISTO JÜRGENSON</v>
          </cell>
          <cell r="B2013">
            <v>9125</v>
          </cell>
        </row>
        <row r="2014">
          <cell r="A2014" t="str">
            <v>MATIAS JÜRGENSON</v>
          </cell>
          <cell r="B2014">
            <v>7269</v>
          </cell>
        </row>
        <row r="2015">
          <cell r="A2015" t="str">
            <v>GREGOR JÜRIADO</v>
          </cell>
          <cell r="B2015">
            <v>10723</v>
          </cell>
        </row>
        <row r="2016">
          <cell r="A2016" t="str">
            <v>JUHAN JÜRIADO</v>
          </cell>
          <cell r="B2016">
            <v>381</v>
          </cell>
        </row>
        <row r="2017">
          <cell r="A2017" t="str">
            <v>JÖRGEN JÜRINE</v>
          </cell>
          <cell r="B2017">
            <v>4662</v>
          </cell>
        </row>
        <row r="2018">
          <cell r="A2018" t="str">
            <v>ANNABEL-ANETT JÜRISAAR</v>
          </cell>
          <cell r="B2018">
            <v>8942</v>
          </cell>
        </row>
        <row r="2019">
          <cell r="A2019" t="str">
            <v>INDREK JÜRISE</v>
          </cell>
          <cell r="B2019">
            <v>4865</v>
          </cell>
        </row>
        <row r="2020">
          <cell r="A2020" t="str">
            <v>KIRKELIIS JÜRISOO</v>
          </cell>
          <cell r="B2020">
            <v>10299</v>
          </cell>
        </row>
        <row r="2021">
          <cell r="A2021" t="str">
            <v>KIRSI JÜRISOO</v>
          </cell>
          <cell r="B2021">
            <v>10680</v>
          </cell>
        </row>
        <row r="2022">
          <cell r="A2022" t="str">
            <v>MARIE-ELIISE JÜRISOO</v>
          </cell>
          <cell r="B2022">
            <v>5405</v>
          </cell>
        </row>
        <row r="2023">
          <cell r="A2023" t="str">
            <v>RIHO JÜRISOO</v>
          </cell>
          <cell r="B2023">
            <v>1314</v>
          </cell>
        </row>
        <row r="2024">
          <cell r="A2024" t="str">
            <v>ARTUR JÜRISSON</v>
          </cell>
          <cell r="B2024">
            <v>1742</v>
          </cell>
        </row>
        <row r="2025">
          <cell r="A2025" t="str">
            <v>LAURA JÜRJEN</v>
          </cell>
          <cell r="B2025">
            <v>9505</v>
          </cell>
        </row>
        <row r="2026">
          <cell r="A2026" t="str">
            <v>KAIRI JÜRME</v>
          </cell>
          <cell r="B2026">
            <v>1439</v>
          </cell>
        </row>
        <row r="2027">
          <cell r="A2027" t="str">
            <v>RONETH JÜRNA</v>
          </cell>
          <cell r="B2027">
            <v>9981</v>
          </cell>
        </row>
        <row r="2028">
          <cell r="A2028" t="str">
            <v>STENNETH JÜRNA</v>
          </cell>
          <cell r="B2028">
            <v>10212</v>
          </cell>
        </row>
        <row r="2029">
          <cell r="A2029" t="str">
            <v>ANITA JARIKOVA</v>
          </cell>
          <cell r="B2029">
            <v>10301</v>
          </cell>
        </row>
        <row r="2030">
          <cell r="A2030" t="str">
            <v>JANIS JARMAZANS</v>
          </cell>
          <cell r="B2030">
            <v>3376</v>
          </cell>
        </row>
        <row r="2031">
          <cell r="A2031" t="str">
            <v>ERVIN JAROVOI</v>
          </cell>
          <cell r="B2031">
            <v>10495</v>
          </cell>
        </row>
        <row r="2032">
          <cell r="A2032" t="str">
            <v>MARK JAROVOI</v>
          </cell>
          <cell r="B2032">
            <v>8799</v>
          </cell>
        </row>
        <row r="2033">
          <cell r="A2033" t="str">
            <v>NIKOLAS JAROVSKI</v>
          </cell>
          <cell r="B2033">
            <v>10033</v>
          </cell>
        </row>
        <row r="2034">
          <cell r="A2034" t="str">
            <v>IVAN JARTSEV</v>
          </cell>
          <cell r="B2034">
            <v>8115</v>
          </cell>
        </row>
        <row r="2035">
          <cell r="A2035" t="str">
            <v>VASSILI JASHIN</v>
          </cell>
          <cell r="B2035">
            <v>2955</v>
          </cell>
        </row>
        <row r="2036">
          <cell r="A2036" t="str">
            <v>JANEK JASHKOV</v>
          </cell>
          <cell r="B2036">
            <v>3097</v>
          </cell>
        </row>
        <row r="2037">
          <cell r="A2037" t="str">
            <v>BEATE JASHUKA</v>
          </cell>
          <cell r="B2037">
            <v>3505</v>
          </cell>
        </row>
        <row r="2038">
          <cell r="A2038" t="str">
            <v>KOSTAS JASIUNAS</v>
          </cell>
          <cell r="B2038">
            <v>10074</v>
          </cell>
        </row>
        <row r="2039">
          <cell r="A2039" t="str">
            <v>HELERI JASKA</v>
          </cell>
          <cell r="B2039">
            <v>6096</v>
          </cell>
        </row>
        <row r="2040">
          <cell r="A2040" t="str">
            <v>EDUARD JASKIN</v>
          </cell>
          <cell r="B2040">
            <v>1744</v>
          </cell>
        </row>
        <row r="2041">
          <cell r="A2041" t="str">
            <v>DMITRI JASTREBOV</v>
          </cell>
          <cell r="B2041">
            <v>165</v>
          </cell>
        </row>
        <row r="2042">
          <cell r="A2042" t="str">
            <v>MAKSIM JATSA</v>
          </cell>
          <cell r="B2042">
            <v>9390</v>
          </cell>
        </row>
        <row r="2043">
          <cell r="A2043" t="str">
            <v>KAROLINA JATSENJUK</v>
          </cell>
          <cell r="B2043">
            <v>9496</v>
          </cell>
        </row>
        <row r="2044">
          <cell r="A2044" t="str">
            <v>VLAD JATSENJUK</v>
          </cell>
          <cell r="B2044">
            <v>9497</v>
          </cell>
        </row>
        <row r="2045">
          <cell r="A2045" t="str">
            <v>TAURI JAUS</v>
          </cell>
          <cell r="B2045">
            <v>9858</v>
          </cell>
        </row>
        <row r="2046">
          <cell r="A2046" t="str">
            <v>NIKOLAS JAVORSKI</v>
          </cell>
          <cell r="B2046">
            <v>10079</v>
          </cell>
        </row>
        <row r="2047">
          <cell r="A2047" t="str">
            <v>JEVGENI JAVSHIN</v>
          </cell>
          <cell r="B2047">
            <v>3310</v>
          </cell>
        </row>
        <row r="2048">
          <cell r="A2048" t="str">
            <v>ANNA JEFANOVA</v>
          </cell>
          <cell r="B2048">
            <v>7947</v>
          </cell>
        </row>
        <row r="2049">
          <cell r="A2049" t="str">
            <v>KSENIA JEFIMOVA</v>
          </cell>
          <cell r="B2049">
            <v>3467</v>
          </cell>
        </row>
        <row r="2050">
          <cell r="A2050" t="str">
            <v>JEKATERIANA JEFREMOVA</v>
          </cell>
          <cell r="B2050">
            <v>3769</v>
          </cell>
        </row>
        <row r="2051">
          <cell r="A2051" t="str">
            <v>ANNA JEGANOVA</v>
          </cell>
          <cell r="B2051">
            <v>7860</v>
          </cell>
        </row>
        <row r="2052">
          <cell r="A2052" t="str">
            <v>ERIK JEGERS</v>
          </cell>
          <cell r="B2052">
            <v>5284</v>
          </cell>
        </row>
        <row r="2053">
          <cell r="A2053" t="str">
            <v>DENIS JEGOROV</v>
          </cell>
          <cell r="B2053">
            <v>4248</v>
          </cell>
        </row>
        <row r="2054">
          <cell r="A2054" t="str">
            <v>GRIGORI JEGOROV</v>
          </cell>
          <cell r="B2054">
            <v>9779</v>
          </cell>
        </row>
        <row r="2055">
          <cell r="A2055" t="str">
            <v>IVAN JEGOROV</v>
          </cell>
          <cell r="B2055">
            <v>3770</v>
          </cell>
        </row>
        <row r="2056">
          <cell r="A2056" t="str">
            <v>NIKOLAI JEGOROV</v>
          </cell>
          <cell r="B2056">
            <v>10260</v>
          </cell>
        </row>
        <row r="2057">
          <cell r="A2057" t="str">
            <v>NIKON JEGOROV</v>
          </cell>
          <cell r="B2057">
            <v>9780</v>
          </cell>
        </row>
        <row r="2058">
          <cell r="A2058" t="str">
            <v>TIMOFEI JEGOROV</v>
          </cell>
          <cell r="B2058">
            <v>9488</v>
          </cell>
        </row>
        <row r="2059">
          <cell r="A2059" t="str">
            <v>DARJA JEGOROVA</v>
          </cell>
          <cell r="B2059">
            <v>9951</v>
          </cell>
        </row>
        <row r="2060">
          <cell r="A2060" t="str">
            <v>JEKATERINA JEGOROVA</v>
          </cell>
          <cell r="B2060">
            <v>6155</v>
          </cell>
        </row>
        <row r="2061">
          <cell r="A2061" t="str">
            <v>ANDREI JEGOSHIN</v>
          </cell>
          <cell r="B2061">
            <v>1273</v>
          </cell>
        </row>
        <row r="2062">
          <cell r="A2062" t="str">
            <v>ALBERTS JEKABSONS</v>
          </cell>
          <cell r="B2062">
            <v>2550</v>
          </cell>
        </row>
        <row r="2063">
          <cell r="A2063" t="str">
            <v>ROMAN JELÕŠEV</v>
          </cell>
          <cell r="B2063">
            <v>9790</v>
          </cell>
        </row>
        <row r="2064">
          <cell r="A2064" t="str">
            <v>ALEKSANDR JELAGIN</v>
          </cell>
          <cell r="B2064">
            <v>3771</v>
          </cell>
        </row>
        <row r="2065">
          <cell r="A2065" t="str">
            <v>DZENNI JELISEENKO</v>
          </cell>
          <cell r="B2065">
            <v>5356</v>
          </cell>
        </row>
        <row r="2066">
          <cell r="A2066" t="str">
            <v>GENIVIVE JELISSEJENKO</v>
          </cell>
          <cell r="B2066">
            <v>5882</v>
          </cell>
        </row>
        <row r="2067">
          <cell r="A2067" t="str">
            <v>IVAN JELIZAROV</v>
          </cell>
          <cell r="B2067">
            <v>7012</v>
          </cell>
        </row>
        <row r="2068">
          <cell r="A2068" t="str">
            <v>IMRE JELLE</v>
          </cell>
          <cell r="B2068">
            <v>10362</v>
          </cell>
        </row>
        <row r="2069">
          <cell r="A2069" t="str">
            <v>JURI JEMELDJAZEV</v>
          </cell>
          <cell r="B2069">
            <v>166</v>
          </cell>
        </row>
        <row r="2070">
          <cell r="A2070" t="str">
            <v>ANNA JEMELJANOVA</v>
          </cell>
          <cell r="B2070">
            <v>10672</v>
          </cell>
        </row>
        <row r="2071">
          <cell r="A2071" t="str">
            <v>MIHHAIL JEMELJANOVS</v>
          </cell>
          <cell r="B2071">
            <v>1665</v>
          </cell>
        </row>
        <row r="2072">
          <cell r="A2072" t="str">
            <v>PILLE JENS</v>
          </cell>
          <cell r="B2072">
            <v>8963</v>
          </cell>
        </row>
        <row r="2073">
          <cell r="A2073" t="str">
            <v>STEVEN JENTS</v>
          </cell>
          <cell r="B2073">
            <v>4658</v>
          </cell>
        </row>
        <row r="2074">
          <cell r="A2074" t="str">
            <v>JELENA JEPIŠKINA</v>
          </cell>
          <cell r="B2074">
            <v>6998</v>
          </cell>
        </row>
        <row r="2075">
          <cell r="A2075" t="str">
            <v>LIISA JERAHTINA</v>
          </cell>
          <cell r="B2075">
            <v>2534</v>
          </cell>
        </row>
        <row r="2076">
          <cell r="A2076" t="str">
            <v>VALERI JERJOMIN</v>
          </cell>
          <cell r="B2076">
            <v>4249</v>
          </cell>
        </row>
        <row r="2077">
          <cell r="A2077" t="str">
            <v>RAŠID JERMAKOV</v>
          </cell>
          <cell r="B2077">
            <v>7583</v>
          </cell>
        </row>
        <row r="2078">
          <cell r="A2078" t="str">
            <v>MELISA JERMAKOVA</v>
          </cell>
          <cell r="B2078">
            <v>10735</v>
          </cell>
        </row>
        <row r="2079">
          <cell r="A2079" t="str">
            <v>SANDRIS JERMAKOVS</v>
          </cell>
          <cell r="B2079">
            <v>10737</v>
          </cell>
        </row>
        <row r="2080">
          <cell r="A2080" t="str">
            <v>JANIS JERMANTSANS</v>
          </cell>
          <cell r="B2080">
            <v>3408</v>
          </cell>
        </row>
        <row r="2081">
          <cell r="A2081" t="str">
            <v>ALEKSEI JEROMA</v>
          </cell>
          <cell r="B2081">
            <v>7831</v>
          </cell>
        </row>
        <row r="2082">
          <cell r="A2082" t="str">
            <v>ARMIN JESAAR</v>
          </cell>
          <cell r="B2082">
            <v>4251</v>
          </cell>
        </row>
        <row r="2083">
          <cell r="A2083" t="str">
            <v>MERILI JESAAR</v>
          </cell>
          <cell r="B2083">
            <v>4250</v>
          </cell>
        </row>
        <row r="2084">
          <cell r="A2084" t="str">
            <v>MIRJAM JESMIN</v>
          </cell>
          <cell r="B2084">
            <v>4892</v>
          </cell>
        </row>
        <row r="2085">
          <cell r="A2085" t="str">
            <v>ANNIKA JESSELJUNAS</v>
          </cell>
          <cell r="B2085">
            <v>10016</v>
          </cell>
        </row>
        <row r="2086">
          <cell r="A2086" t="str">
            <v>EMILIA JEVIN</v>
          </cell>
          <cell r="B2086">
            <v>9555</v>
          </cell>
        </row>
        <row r="2087">
          <cell r="A2087" t="str">
            <v>VIKTORIA JEVIN</v>
          </cell>
          <cell r="B2087">
            <v>9530</v>
          </cell>
        </row>
        <row r="2088">
          <cell r="A2088" t="str">
            <v>ILJA JEVLANOV</v>
          </cell>
          <cell r="B2088">
            <v>6168</v>
          </cell>
        </row>
        <row r="2089">
          <cell r="A2089" t="str">
            <v>ALEKSANDR JEVSTAFIADI</v>
          </cell>
          <cell r="B2089">
            <v>8523</v>
          </cell>
        </row>
        <row r="2090">
          <cell r="A2090" t="str">
            <v>ALEKSANDRA JEVSTAFJEVA</v>
          </cell>
          <cell r="B2090">
            <v>9269</v>
          </cell>
        </row>
        <row r="2091">
          <cell r="A2091" t="str">
            <v>JURI JEVSTIFEJEV</v>
          </cell>
          <cell r="B2091">
            <v>3151</v>
          </cell>
        </row>
        <row r="2092">
          <cell r="A2092" t="str">
            <v>MAKSIM JEVSTIGNEJEV</v>
          </cell>
          <cell r="B2092">
            <v>3772</v>
          </cell>
        </row>
        <row r="2093">
          <cell r="A2093" t="str">
            <v>JOANNA JOA</v>
          </cell>
          <cell r="B2093">
            <v>2407</v>
          </cell>
        </row>
        <row r="2094">
          <cell r="A2094" t="str">
            <v>JOEL JOA</v>
          </cell>
          <cell r="B2094">
            <v>997</v>
          </cell>
        </row>
        <row r="2095">
          <cell r="A2095" t="str">
            <v>MARK JOA</v>
          </cell>
          <cell r="B2095">
            <v>1390</v>
          </cell>
        </row>
        <row r="2096">
          <cell r="A2096" t="str">
            <v>RAUNO JOA</v>
          </cell>
          <cell r="B2096">
            <v>7671</v>
          </cell>
        </row>
        <row r="2097">
          <cell r="A2097" t="str">
            <v>ANNA-LIISA JOANDI</v>
          </cell>
          <cell r="B2097">
            <v>6095</v>
          </cell>
        </row>
        <row r="2098">
          <cell r="A2098" t="str">
            <v>IVO JOASOO</v>
          </cell>
          <cell r="B2098">
            <v>10451</v>
          </cell>
        </row>
        <row r="2099">
          <cell r="A2099" t="str">
            <v>FROEYDIS JOERGENSEN</v>
          </cell>
          <cell r="B2099">
            <v>7540</v>
          </cell>
        </row>
        <row r="2100">
          <cell r="A2100" t="str">
            <v>JOOSEP JOHANSON</v>
          </cell>
          <cell r="B2100">
            <v>6075</v>
          </cell>
        </row>
        <row r="2101">
          <cell r="A2101" t="str">
            <v>KARL JOHANSON</v>
          </cell>
          <cell r="B2101">
            <v>8143</v>
          </cell>
        </row>
        <row r="2102">
          <cell r="A2102" t="str">
            <v>KRISTJAN JOHANSON</v>
          </cell>
          <cell r="B2102">
            <v>3666</v>
          </cell>
        </row>
        <row r="2103">
          <cell r="A2103" t="str">
            <v>RENATE JOHANSON</v>
          </cell>
          <cell r="B2103">
            <v>7792</v>
          </cell>
        </row>
        <row r="2104">
          <cell r="A2104" t="str">
            <v>VIKTOR JOHANSON</v>
          </cell>
          <cell r="B2104">
            <v>8142</v>
          </cell>
        </row>
        <row r="2105">
          <cell r="A2105" t="str">
            <v>JOACHIM JOHANSSON</v>
          </cell>
          <cell r="B2105">
            <v>1638</v>
          </cell>
        </row>
        <row r="2106">
          <cell r="A2106" t="str">
            <v>SABINA JOHANSSON</v>
          </cell>
          <cell r="B2106">
            <v>2305</v>
          </cell>
        </row>
        <row r="2107">
          <cell r="A2107" t="str">
            <v>PAUL JOKINEN</v>
          </cell>
          <cell r="B2107">
            <v>7518</v>
          </cell>
        </row>
        <row r="2108">
          <cell r="A2108" t="str">
            <v>JELIZAVETA JOLKINA</v>
          </cell>
          <cell r="B2108">
            <v>5950</v>
          </cell>
        </row>
        <row r="2109">
          <cell r="A2109" t="str">
            <v>MATAS JOMANTAS</v>
          </cell>
          <cell r="B2109">
            <v>3164</v>
          </cell>
        </row>
        <row r="2110">
          <cell r="A2110" t="str">
            <v>UKU JOONAS</v>
          </cell>
          <cell r="B2110">
            <v>10313</v>
          </cell>
        </row>
        <row r="2111">
          <cell r="A2111" t="str">
            <v>ALEKSANDER JOONASING</v>
          </cell>
          <cell r="B2111">
            <v>5194</v>
          </cell>
        </row>
        <row r="2112">
          <cell r="A2112" t="str">
            <v>LILLE-ÕIE JOOSEPSON</v>
          </cell>
          <cell r="B2112">
            <v>2129</v>
          </cell>
        </row>
        <row r="2113">
          <cell r="A2113" t="str">
            <v>ANDRES JOOST</v>
          </cell>
          <cell r="B2113">
            <v>3270</v>
          </cell>
        </row>
        <row r="2114">
          <cell r="A2114" t="str">
            <v>ANU JOOST</v>
          </cell>
          <cell r="B2114">
            <v>4113</v>
          </cell>
        </row>
        <row r="2115">
          <cell r="A2115" t="str">
            <v>JANI JORMANAINEN</v>
          </cell>
          <cell r="B2115">
            <v>938</v>
          </cell>
        </row>
        <row r="2116">
          <cell r="A2116" t="str">
            <v>INA JOZEPSONE</v>
          </cell>
          <cell r="B2116">
            <v>51</v>
          </cell>
        </row>
        <row r="2117">
          <cell r="A2117" t="str">
            <v>SKAIVA JOVAIŠAITĖ</v>
          </cell>
          <cell r="B2117">
            <v>8567</v>
          </cell>
        </row>
        <row r="2118">
          <cell r="A2118" t="str">
            <v>NIKOLA JOVANOVIC</v>
          </cell>
          <cell r="B2118">
            <v>9280</v>
          </cell>
        </row>
        <row r="2119">
          <cell r="A2119" t="str">
            <v>MAKSIMS JOVLEVS</v>
          </cell>
          <cell r="B2119">
            <v>8340</v>
          </cell>
        </row>
        <row r="2120">
          <cell r="A2120" t="str">
            <v>NIKOLAI JUŠIN</v>
          </cell>
          <cell r="B2120">
            <v>7157</v>
          </cell>
        </row>
        <row r="2121">
          <cell r="A2121" t="str">
            <v>IGOR JUŠINSKI</v>
          </cell>
          <cell r="B2121">
            <v>10297</v>
          </cell>
        </row>
        <row r="2122">
          <cell r="A2122" t="str">
            <v>LIGA JUŠKEVICA</v>
          </cell>
          <cell r="B2122">
            <v>7224</v>
          </cell>
        </row>
        <row r="2123">
          <cell r="A2123" t="str">
            <v>EMA JUŠKEVIČIŪTĖ</v>
          </cell>
          <cell r="B2123">
            <v>10776</v>
          </cell>
        </row>
        <row r="2124">
          <cell r="A2124" t="str">
            <v>ARINA JUŠKOVA</v>
          </cell>
          <cell r="B2124">
            <v>5622</v>
          </cell>
        </row>
        <row r="2125">
          <cell r="A2125" t="str">
            <v>LUKRECIJA JUCHNAITE</v>
          </cell>
          <cell r="B2125">
            <v>8775</v>
          </cell>
        </row>
        <row r="2126">
          <cell r="A2126" t="str">
            <v>ANDRIS JUCMANIS</v>
          </cell>
          <cell r="B2126">
            <v>3336</v>
          </cell>
        </row>
        <row r="2127">
          <cell r="A2127" t="str">
            <v>MAKSIM JUDIN</v>
          </cell>
          <cell r="B2127">
            <v>4252</v>
          </cell>
        </row>
        <row r="2128">
          <cell r="A2128" t="str">
            <v>KIRILL JUFEREV</v>
          </cell>
          <cell r="B2128">
            <v>7629</v>
          </cell>
        </row>
        <row r="2129">
          <cell r="A2129" t="str">
            <v>TAUNO JUHANSON</v>
          </cell>
          <cell r="B2129">
            <v>9525</v>
          </cell>
        </row>
        <row r="2130">
          <cell r="A2130" t="str">
            <v>MARTEN JUHANSOO</v>
          </cell>
          <cell r="B2130">
            <v>7694</v>
          </cell>
        </row>
        <row r="2131">
          <cell r="A2131" t="str">
            <v>JOHANNA JUHKAM</v>
          </cell>
          <cell r="B2131">
            <v>3244</v>
          </cell>
        </row>
        <row r="2132">
          <cell r="A2132" t="str">
            <v>OTT JUHKAM</v>
          </cell>
          <cell r="B2132">
            <v>3223</v>
          </cell>
        </row>
        <row r="2133">
          <cell r="A2133" t="str">
            <v>DANIEL JUHT</v>
          </cell>
          <cell r="B2133">
            <v>4253</v>
          </cell>
        </row>
        <row r="2134">
          <cell r="A2134" t="str">
            <v>JOHN-ERIK JUHT</v>
          </cell>
          <cell r="B2134">
            <v>3660</v>
          </cell>
        </row>
        <row r="2135">
          <cell r="A2135" t="str">
            <v>PAUL JUKKA</v>
          </cell>
          <cell r="B2135">
            <v>2741</v>
          </cell>
        </row>
        <row r="2136">
          <cell r="A2136" t="str">
            <v>URTĖ JUKNAITĖ</v>
          </cell>
          <cell r="B2136">
            <v>9357</v>
          </cell>
        </row>
        <row r="2137">
          <cell r="A2137" t="str">
            <v>JUKKA JULIN</v>
          </cell>
          <cell r="B2137">
            <v>1517</v>
          </cell>
        </row>
        <row r="2138">
          <cell r="A2138" t="str">
            <v>VILLE JULIN</v>
          </cell>
          <cell r="B2138">
            <v>2049</v>
          </cell>
        </row>
        <row r="2139">
          <cell r="A2139" t="str">
            <v>MAREK JULINSKI</v>
          </cell>
          <cell r="B2139">
            <v>3314</v>
          </cell>
        </row>
        <row r="2140">
          <cell r="A2140" t="str">
            <v>URB JULIUS</v>
          </cell>
          <cell r="B2140">
            <v>8957</v>
          </cell>
        </row>
        <row r="2141">
          <cell r="A2141" t="str">
            <v>TAIMO JULLINEN</v>
          </cell>
          <cell r="B2141">
            <v>1575</v>
          </cell>
        </row>
        <row r="2142">
          <cell r="A2142" t="str">
            <v>MIHHAIL JUMANOV</v>
          </cell>
          <cell r="B2142">
            <v>6160</v>
          </cell>
        </row>
        <row r="2143">
          <cell r="A2143" t="str">
            <v>VIESTURS JUNDZIS</v>
          </cell>
          <cell r="B2143">
            <v>2259</v>
          </cell>
        </row>
        <row r="2144">
          <cell r="A2144" t="str">
            <v>NIKITA JUNKEVITS</v>
          </cell>
          <cell r="B2144">
            <v>2052</v>
          </cell>
        </row>
        <row r="2145">
          <cell r="A2145" t="str">
            <v>OSVALDAS JUODELIS</v>
          </cell>
          <cell r="B2145">
            <v>8145</v>
          </cell>
        </row>
        <row r="2146">
          <cell r="A2146" t="str">
            <v>JONAS JUOZAITIS</v>
          </cell>
          <cell r="B2146">
            <v>3527</v>
          </cell>
        </row>
        <row r="2147">
          <cell r="A2147" t="str">
            <v>ERIK JURGENS</v>
          </cell>
          <cell r="B2147">
            <v>2689</v>
          </cell>
        </row>
        <row r="2148">
          <cell r="A2148" t="str">
            <v>JEVGENI JURGENS</v>
          </cell>
          <cell r="B2148">
            <v>2472</v>
          </cell>
        </row>
        <row r="2149">
          <cell r="A2149" t="str">
            <v>KSENIA JURKEVITS</v>
          </cell>
          <cell r="B2149">
            <v>4254</v>
          </cell>
        </row>
        <row r="2150">
          <cell r="A2150" t="str">
            <v>KIRILL JURKOV</v>
          </cell>
          <cell r="B2150">
            <v>9738</v>
          </cell>
        </row>
        <row r="2151">
          <cell r="A2151" t="str">
            <v>NIKOLAI JURKOV</v>
          </cell>
          <cell r="B2151">
            <v>2940</v>
          </cell>
        </row>
        <row r="2152">
          <cell r="A2152" t="str">
            <v>ALEKSANDR JURKOVSKI</v>
          </cell>
          <cell r="B2152">
            <v>3773</v>
          </cell>
        </row>
        <row r="2153">
          <cell r="A2153" t="str">
            <v>EGIO JURMATSHENKO</v>
          </cell>
          <cell r="B2153">
            <v>2061</v>
          </cell>
        </row>
        <row r="2154">
          <cell r="A2154" t="str">
            <v>RUDOLF JURNA</v>
          </cell>
          <cell r="B2154">
            <v>5089</v>
          </cell>
        </row>
        <row r="2155">
          <cell r="A2155" t="str">
            <v>EGLE JURONEN</v>
          </cell>
          <cell r="B2155">
            <v>4255</v>
          </cell>
        </row>
        <row r="2156">
          <cell r="A2156" t="str">
            <v>KRISTJAN JURONEN</v>
          </cell>
          <cell r="B2156">
            <v>8335</v>
          </cell>
        </row>
        <row r="2157">
          <cell r="A2157" t="str">
            <v>CARDO JURS</v>
          </cell>
          <cell r="B2157">
            <v>2916</v>
          </cell>
        </row>
        <row r="2158">
          <cell r="A2158" t="str">
            <v>ARTURS JURSEVSKIS</v>
          </cell>
          <cell r="B2158">
            <v>2765</v>
          </cell>
        </row>
        <row r="2159">
          <cell r="A2159" t="str">
            <v>JAAK JUSKE</v>
          </cell>
          <cell r="B2159">
            <v>3366</v>
          </cell>
        </row>
        <row r="2160">
          <cell r="A2160" t="str">
            <v>MERILIS JUSSUPOV</v>
          </cell>
          <cell r="B2160">
            <v>8937</v>
          </cell>
        </row>
        <row r="2161">
          <cell r="A2161" t="str">
            <v>MERLIS JUSUPOV</v>
          </cell>
          <cell r="B2161">
            <v>2619</v>
          </cell>
        </row>
        <row r="2162">
          <cell r="A2162" t="str">
            <v>VLADIMIR JUSUPOV</v>
          </cell>
          <cell r="B2162">
            <v>9786</v>
          </cell>
        </row>
        <row r="2163">
          <cell r="A2163" t="str">
            <v>TAAVI JUUDAS</v>
          </cell>
          <cell r="B2163">
            <v>3643</v>
          </cell>
        </row>
        <row r="2164">
          <cell r="A2164" t="str">
            <v>TÕNIS JUULIK</v>
          </cell>
          <cell r="B2164">
            <v>2180</v>
          </cell>
        </row>
        <row r="2165">
          <cell r="A2165" t="str">
            <v>VOLDEMAR JUUR</v>
          </cell>
          <cell r="B2165">
            <v>8767</v>
          </cell>
        </row>
        <row r="2166">
          <cell r="A2166" t="str">
            <v>JORGEN JUURIK</v>
          </cell>
          <cell r="B2166">
            <v>5559</v>
          </cell>
        </row>
        <row r="2167">
          <cell r="A2167" t="str">
            <v>OSKAR JUURIK</v>
          </cell>
          <cell r="B2167">
            <v>10679</v>
          </cell>
        </row>
        <row r="2168">
          <cell r="A2168" t="str">
            <v>REET JUURIK</v>
          </cell>
          <cell r="B2168">
            <v>128</v>
          </cell>
        </row>
        <row r="2169">
          <cell r="A2169" t="str">
            <v>HANNES JUURMAA</v>
          </cell>
          <cell r="B2169">
            <v>5443</v>
          </cell>
        </row>
        <row r="2170">
          <cell r="A2170" t="str">
            <v>RETI JUUS</v>
          </cell>
          <cell r="B2170">
            <v>9194</v>
          </cell>
        </row>
        <row r="2171">
          <cell r="A2171" t="str">
            <v>SVEN JUUS</v>
          </cell>
          <cell r="B2171">
            <v>8886</v>
          </cell>
        </row>
        <row r="2172">
          <cell r="A2172" t="str">
            <v>ENNO JUUSE</v>
          </cell>
          <cell r="B2172">
            <v>4733</v>
          </cell>
        </row>
        <row r="2173">
          <cell r="A2173" t="str">
            <v>RAULI JUUTILA</v>
          </cell>
          <cell r="B2173">
            <v>5033</v>
          </cell>
        </row>
        <row r="2174">
          <cell r="A2174" t="str">
            <v>VIRGE JUUTILA</v>
          </cell>
          <cell r="B2174">
            <v>24</v>
          </cell>
        </row>
        <row r="2175">
          <cell r="A2175" t="str">
            <v>OPRI JYLHÄ</v>
          </cell>
          <cell r="B2175">
            <v>8910</v>
          </cell>
        </row>
        <row r="2176">
          <cell r="A2176" t="str">
            <v>SAVVA JYSMÄ</v>
          </cell>
          <cell r="B2176">
            <v>7813</v>
          </cell>
        </row>
        <row r="2177">
          <cell r="A2177" t="str">
            <v>ANNI KÖÖMNEMÄGI</v>
          </cell>
          <cell r="B2177">
            <v>4328</v>
          </cell>
        </row>
        <row r="2178">
          <cell r="A2178" t="str">
            <v>KASPAR KÖÖP</v>
          </cell>
          <cell r="B2178">
            <v>5279</v>
          </cell>
        </row>
        <row r="2179">
          <cell r="A2179" t="str">
            <v>KAUPO KÖÖP</v>
          </cell>
          <cell r="B2179">
            <v>7585</v>
          </cell>
        </row>
        <row r="2180">
          <cell r="A2180" t="str">
            <v>MARTIN KÖSTNER</v>
          </cell>
          <cell r="B2180">
            <v>2337</v>
          </cell>
        </row>
        <row r="2181">
          <cell r="A2181" t="str">
            <v>KAUR HANNES KÄÄMBRE</v>
          </cell>
          <cell r="B2181">
            <v>6196</v>
          </cell>
        </row>
        <row r="2182">
          <cell r="A2182" t="str">
            <v>JOOSEP KÄÄN</v>
          </cell>
          <cell r="B2182">
            <v>5041</v>
          </cell>
        </row>
        <row r="2183">
          <cell r="A2183" t="str">
            <v>STENNART KÄÄR</v>
          </cell>
          <cell r="B2183">
            <v>9702</v>
          </cell>
        </row>
        <row r="2184">
          <cell r="A2184" t="str">
            <v>ADEELE KÄÄRDE</v>
          </cell>
          <cell r="B2184">
            <v>9585</v>
          </cell>
        </row>
        <row r="2185">
          <cell r="A2185" t="str">
            <v>MARCUS KÄÄRIK</v>
          </cell>
          <cell r="B2185">
            <v>3457</v>
          </cell>
        </row>
        <row r="2186">
          <cell r="A2186" t="str">
            <v>TARMO KÄÄRIK</v>
          </cell>
          <cell r="B2186">
            <v>7219</v>
          </cell>
        </row>
        <row r="2187">
          <cell r="A2187" t="str">
            <v>KATI KÄBIN</v>
          </cell>
          <cell r="B2187">
            <v>4326</v>
          </cell>
        </row>
        <row r="2188">
          <cell r="A2188" t="str">
            <v>KERTU KÄBIN</v>
          </cell>
          <cell r="B2188">
            <v>4325</v>
          </cell>
        </row>
        <row r="2189">
          <cell r="A2189" t="str">
            <v>ANDRE KÄEN</v>
          </cell>
          <cell r="B2189">
            <v>1996</v>
          </cell>
        </row>
        <row r="2190">
          <cell r="A2190" t="str">
            <v>KERT KÄGU</v>
          </cell>
          <cell r="B2190">
            <v>2381</v>
          </cell>
        </row>
        <row r="2191">
          <cell r="A2191" t="str">
            <v>MARTIN ERKI KÄHR</v>
          </cell>
          <cell r="B2191">
            <v>9176</v>
          </cell>
        </row>
        <row r="2192">
          <cell r="A2192" t="str">
            <v>GREGOR KÄIT</v>
          </cell>
          <cell r="B2192">
            <v>9377</v>
          </cell>
        </row>
        <row r="2193">
          <cell r="A2193" t="str">
            <v>SIIM KÄLLO</v>
          </cell>
          <cell r="B2193">
            <v>1618</v>
          </cell>
        </row>
        <row r="2194">
          <cell r="A2194" t="str">
            <v>TOOMAS KÄND</v>
          </cell>
          <cell r="B2194">
            <v>2924</v>
          </cell>
        </row>
        <row r="2195">
          <cell r="A2195" t="str">
            <v>HENRI KÄO</v>
          </cell>
          <cell r="B2195">
            <v>10276</v>
          </cell>
        </row>
        <row r="2196">
          <cell r="A2196" t="str">
            <v>KRISTO KÄOS</v>
          </cell>
          <cell r="B2196">
            <v>5352</v>
          </cell>
        </row>
        <row r="2197">
          <cell r="A2197" t="str">
            <v>ERICH-JOHANNES KÄPA</v>
          </cell>
          <cell r="B2197">
            <v>10104</v>
          </cell>
        </row>
        <row r="2198">
          <cell r="A2198" t="str">
            <v>KERLI KÄPA</v>
          </cell>
          <cell r="B2198">
            <v>10091</v>
          </cell>
        </row>
        <row r="2199">
          <cell r="A2199" t="str">
            <v>SIIM KÄPA</v>
          </cell>
          <cell r="B2199">
            <v>9917</v>
          </cell>
        </row>
        <row r="2200">
          <cell r="A2200" t="str">
            <v>ARGO KÄRBERG</v>
          </cell>
          <cell r="B2200">
            <v>10727</v>
          </cell>
        </row>
        <row r="2201">
          <cell r="A2201" t="str">
            <v>KÄTRIIN KÄRME</v>
          </cell>
          <cell r="B2201">
            <v>8918</v>
          </cell>
        </row>
        <row r="2202">
          <cell r="A2202" t="str">
            <v>SANDRA KÄRMET</v>
          </cell>
          <cell r="B2202">
            <v>4327</v>
          </cell>
        </row>
        <row r="2203">
          <cell r="A2203" t="str">
            <v>MATI KÄRMIK</v>
          </cell>
          <cell r="B2203">
            <v>188</v>
          </cell>
        </row>
        <row r="2204">
          <cell r="A2204" t="str">
            <v>ARTUR KÄRNER</v>
          </cell>
          <cell r="B2204">
            <v>10768</v>
          </cell>
        </row>
        <row r="2205">
          <cell r="A2205" t="str">
            <v>EVE KÄRNER</v>
          </cell>
          <cell r="B2205">
            <v>6004</v>
          </cell>
        </row>
        <row r="2206">
          <cell r="A2206" t="str">
            <v>EVI KÄRNER</v>
          </cell>
          <cell r="B2206">
            <v>2879</v>
          </cell>
        </row>
        <row r="2207">
          <cell r="A2207" t="str">
            <v>JAN ERIK KÄRNER</v>
          </cell>
          <cell r="B2207">
            <v>10149</v>
          </cell>
        </row>
        <row r="2208">
          <cell r="A2208" t="str">
            <v>KAIDO KÄRNER</v>
          </cell>
          <cell r="B2208">
            <v>7396</v>
          </cell>
        </row>
        <row r="2209">
          <cell r="A2209" t="str">
            <v>KERT KÄRNER</v>
          </cell>
          <cell r="B2209">
            <v>3144</v>
          </cell>
        </row>
        <row r="2210">
          <cell r="A2210" t="str">
            <v>KERT KÄRNER</v>
          </cell>
          <cell r="B2210">
            <v>9714</v>
          </cell>
        </row>
        <row r="2211">
          <cell r="A2211" t="str">
            <v>KRISTJAN KÄRNER</v>
          </cell>
          <cell r="B2211">
            <v>7451</v>
          </cell>
        </row>
        <row r="2212">
          <cell r="A2212" t="str">
            <v>MEELIS KÄRNER</v>
          </cell>
          <cell r="B2212">
            <v>7331</v>
          </cell>
        </row>
        <row r="2213">
          <cell r="A2213" t="str">
            <v>RONNY KÄRNER</v>
          </cell>
          <cell r="B2213">
            <v>1100</v>
          </cell>
        </row>
        <row r="2214">
          <cell r="A2214" t="str">
            <v>SOFIJA KÄRSTEN</v>
          </cell>
          <cell r="B2214">
            <v>5119</v>
          </cell>
        </row>
        <row r="2215">
          <cell r="A2215" t="str">
            <v>REBECA KÄSPER</v>
          </cell>
          <cell r="B2215">
            <v>7470</v>
          </cell>
        </row>
        <row r="2216">
          <cell r="A2216" t="str">
            <v>RICHARD KÄSPER</v>
          </cell>
          <cell r="B2216">
            <v>9000</v>
          </cell>
        </row>
        <row r="2217">
          <cell r="A2217" t="str">
            <v>KRISTIN KÕKS</v>
          </cell>
          <cell r="B2217">
            <v>4322</v>
          </cell>
        </row>
        <row r="2218">
          <cell r="A2218" t="str">
            <v>JOONAS HENDRIK KÕLL</v>
          </cell>
          <cell r="B2218">
            <v>5408</v>
          </cell>
        </row>
        <row r="2219">
          <cell r="A2219" t="str">
            <v>MARIO ALVAR KÕLLER</v>
          </cell>
          <cell r="B2219">
            <v>6140</v>
          </cell>
        </row>
        <row r="2220">
          <cell r="A2220" t="str">
            <v>MARLON GLEN KÕLLER</v>
          </cell>
          <cell r="B2220">
            <v>8467</v>
          </cell>
        </row>
        <row r="2221">
          <cell r="A2221" t="str">
            <v>KRISTJAN KÕLLO</v>
          </cell>
          <cell r="B2221">
            <v>3143</v>
          </cell>
        </row>
        <row r="2222">
          <cell r="A2222" t="str">
            <v>RAIGO KÕRE</v>
          </cell>
          <cell r="B2222">
            <v>953</v>
          </cell>
        </row>
        <row r="2223">
          <cell r="A2223" t="str">
            <v>JÜRI KÕRESAAR</v>
          </cell>
          <cell r="B2223">
            <v>1084</v>
          </cell>
        </row>
        <row r="2224">
          <cell r="A2224" t="str">
            <v>KALMER KÕRESAAR</v>
          </cell>
          <cell r="B2224">
            <v>455</v>
          </cell>
        </row>
        <row r="2225">
          <cell r="A2225" t="str">
            <v>KEN-MARTIN KÕRESAAR</v>
          </cell>
          <cell r="B2225">
            <v>9402</v>
          </cell>
        </row>
        <row r="2226">
          <cell r="A2226" t="str">
            <v>RAIKO KÕRGEKIVI</v>
          </cell>
          <cell r="B2226">
            <v>9132</v>
          </cell>
        </row>
        <row r="2227">
          <cell r="A2227" t="str">
            <v>ARTI KÕRGESAAR</v>
          </cell>
          <cell r="B2227">
            <v>5928</v>
          </cell>
        </row>
        <row r="2228">
          <cell r="A2228" t="str">
            <v>LEELO KÕRGMAA</v>
          </cell>
          <cell r="B2228">
            <v>1073</v>
          </cell>
        </row>
        <row r="2229">
          <cell r="A2229" t="str">
            <v>KERSTIN KÕRRE</v>
          </cell>
          <cell r="B2229">
            <v>4324</v>
          </cell>
        </row>
        <row r="2230">
          <cell r="A2230" t="str">
            <v>KRISTIN KÕRRE</v>
          </cell>
          <cell r="B2230">
            <v>4323</v>
          </cell>
        </row>
        <row r="2231">
          <cell r="A2231" t="str">
            <v>KRISTOFER KÕRRE</v>
          </cell>
          <cell r="B2231">
            <v>5345</v>
          </cell>
        </row>
        <row r="2232">
          <cell r="A2232" t="str">
            <v>JARKO KÕRVEL</v>
          </cell>
          <cell r="B2232">
            <v>7455</v>
          </cell>
        </row>
        <row r="2233">
          <cell r="A2233" t="str">
            <v>MERILI KÕRVEL</v>
          </cell>
          <cell r="B2233">
            <v>7692</v>
          </cell>
        </row>
        <row r="2234">
          <cell r="A2234" t="str">
            <v>KRISTOFER KÕSS</v>
          </cell>
          <cell r="B2234">
            <v>4671</v>
          </cell>
        </row>
        <row r="2235">
          <cell r="A2235" t="str">
            <v>ELIISE KÕU</v>
          </cell>
          <cell r="B2235">
            <v>4820</v>
          </cell>
        </row>
        <row r="2236">
          <cell r="A2236" t="str">
            <v>JANNO KÕU</v>
          </cell>
          <cell r="B2236">
            <v>7998</v>
          </cell>
        </row>
        <row r="2237">
          <cell r="A2237" t="str">
            <v>TOOMAS KÕUE</v>
          </cell>
          <cell r="B2237">
            <v>4137</v>
          </cell>
        </row>
        <row r="2238">
          <cell r="A2238" t="str">
            <v>NIKITA KAŠENKOV</v>
          </cell>
          <cell r="B2238">
            <v>7315</v>
          </cell>
        </row>
        <row r="2239">
          <cell r="A2239" t="str">
            <v>POLINA KAŠIRINA</v>
          </cell>
          <cell r="B2239">
            <v>8482</v>
          </cell>
        </row>
        <row r="2240">
          <cell r="A2240" t="str">
            <v>HANNES KAALEP</v>
          </cell>
          <cell r="B2240">
            <v>7407</v>
          </cell>
        </row>
        <row r="2241">
          <cell r="A2241" t="str">
            <v>KEJO KAALESTE</v>
          </cell>
          <cell r="B2241">
            <v>2026</v>
          </cell>
        </row>
        <row r="2242">
          <cell r="A2242" t="str">
            <v>HEIMER KAAR</v>
          </cell>
          <cell r="B2242">
            <v>5903</v>
          </cell>
        </row>
        <row r="2243">
          <cell r="A2243" t="str">
            <v>KARDO REMI KAAR</v>
          </cell>
          <cell r="B2243">
            <v>7046</v>
          </cell>
        </row>
        <row r="2244">
          <cell r="A2244" t="str">
            <v>MARTIN KAAR</v>
          </cell>
          <cell r="B2244">
            <v>5904</v>
          </cell>
        </row>
        <row r="2245">
          <cell r="A2245" t="str">
            <v>KEVIN KAAREL</v>
          </cell>
          <cell r="B2245">
            <v>9079</v>
          </cell>
        </row>
        <row r="2246">
          <cell r="A2246" t="str">
            <v>KIRK ALEXANDER KAARELSON</v>
          </cell>
          <cell r="B2246">
            <v>7146</v>
          </cell>
        </row>
        <row r="2247">
          <cell r="A2247" t="str">
            <v>CRISLYN KAAREPERE</v>
          </cell>
          <cell r="B2247">
            <v>2869</v>
          </cell>
        </row>
        <row r="2248">
          <cell r="A2248" t="str">
            <v>KAIDO KAARES</v>
          </cell>
          <cell r="B2248">
            <v>3274</v>
          </cell>
        </row>
        <row r="2249">
          <cell r="A2249" t="str">
            <v>KERT KAARES</v>
          </cell>
          <cell r="B2249">
            <v>7028</v>
          </cell>
        </row>
        <row r="2250">
          <cell r="A2250" t="str">
            <v>OLAR KAARNA</v>
          </cell>
          <cell r="B2250">
            <v>8972</v>
          </cell>
        </row>
        <row r="2251">
          <cell r="A2251" t="str">
            <v>ARNO KERT KAAS</v>
          </cell>
          <cell r="B2251">
            <v>5951</v>
          </cell>
        </row>
        <row r="2252">
          <cell r="A2252" t="str">
            <v>HEDI KAAS</v>
          </cell>
          <cell r="B2252">
            <v>4257</v>
          </cell>
        </row>
        <row r="2253">
          <cell r="A2253" t="str">
            <v>ANNIKA KAASIK</v>
          </cell>
          <cell r="B2253">
            <v>2469</v>
          </cell>
        </row>
        <row r="2254">
          <cell r="A2254" t="str">
            <v>ANNIKI KAASIK</v>
          </cell>
          <cell r="B2254">
            <v>8801</v>
          </cell>
        </row>
        <row r="2255">
          <cell r="A2255" t="str">
            <v>KAROLIN KAASIK</v>
          </cell>
          <cell r="B2255">
            <v>6134</v>
          </cell>
        </row>
        <row r="2256">
          <cell r="A2256" t="str">
            <v>KERT-ROBERT KAASIK</v>
          </cell>
          <cell r="B2256">
            <v>4816</v>
          </cell>
        </row>
        <row r="2257">
          <cell r="A2257" t="str">
            <v>LAURA KAASIK</v>
          </cell>
          <cell r="B2257">
            <v>7259</v>
          </cell>
        </row>
        <row r="2258">
          <cell r="A2258" t="str">
            <v>LAURI KAASIK</v>
          </cell>
          <cell r="B2258">
            <v>1001</v>
          </cell>
        </row>
        <row r="2259">
          <cell r="A2259" t="str">
            <v>LEMBIT KAASIK</v>
          </cell>
          <cell r="B2259">
            <v>1272</v>
          </cell>
        </row>
        <row r="2260">
          <cell r="A2260" t="str">
            <v>RANDEL KAASIK</v>
          </cell>
          <cell r="B2260">
            <v>4993</v>
          </cell>
        </row>
        <row r="2261">
          <cell r="A2261" t="str">
            <v>RONALD KAASIK</v>
          </cell>
          <cell r="B2261">
            <v>2467</v>
          </cell>
        </row>
        <row r="2262">
          <cell r="A2262" t="str">
            <v>VEEVE KAASIK</v>
          </cell>
          <cell r="B2262">
            <v>2127</v>
          </cell>
        </row>
        <row r="2263">
          <cell r="A2263" t="str">
            <v>HENDRIK KAASMAA</v>
          </cell>
          <cell r="B2263">
            <v>989</v>
          </cell>
        </row>
        <row r="2264">
          <cell r="A2264" t="str">
            <v>TAAVI KAAVIK</v>
          </cell>
          <cell r="B2264">
            <v>4258</v>
          </cell>
        </row>
        <row r="2265">
          <cell r="A2265" t="str">
            <v>ERKI KABANEN</v>
          </cell>
          <cell r="B2265">
            <v>2141</v>
          </cell>
        </row>
        <row r="2266">
          <cell r="A2266" t="str">
            <v>TENER KABANEN</v>
          </cell>
          <cell r="B2266">
            <v>6099</v>
          </cell>
        </row>
        <row r="2267">
          <cell r="A2267" t="str">
            <v>KADRI KABANOV</v>
          </cell>
          <cell r="B2267">
            <v>4259</v>
          </cell>
        </row>
        <row r="2268">
          <cell r="A2268" t="str">
            <v>KSENIA KABANOVA</v>
          </cell>
          <cell r="B2268">
            <v>8788</v>
          </cell>
        </row>
        <row r="2269">
          <cell r="A2269" t="str">
            <v>EDUARD KABARTŠUK</v>
          </cell>
          <cell r="B2269">
            <v>6280</v>
          </cell>
        </row>
        <row r="2270">
          <cell r="A2270" t="str">
            <v>MARE KABRITS</v>
          </cell>
          <cell r="B2270">
            <v>53</v>
          </cell>
        </row>
        <row r="2271">
          <cell r="A2271" t="str">
            <v>SOFIA ALIKA SIVIA KABRITS</v>
          </cell>
          <cell r="B2271">
            <v>9972</v>
          </cell>
        </row>
        <row r="2272">
          <cell r="A2272" t="str">
            <v>AGNIUS KACERAUSKAS</v>
          </cell>
          <cell r="B2272">
            <v>3775</v>
          </cell>
        </row>
        <row r="2273">
          <cell r="A2273" t="str">
            <v>AUDRIUS KACERAUSKAS</v>
          </cell>
          <cell r="B2273">
            <v>1933</v>
          </cell>
        </row>
        <row r="2274">
          <cell r="A2274" t="str">
            <v>VILLEM KADAI</v>
          </cell>
          <cell r="B2274">
            <v>10132</v>
          </cell>
        </row>
        <row r="2275">
          <cell r="A2275" t="str">
            <v>ASSER KAHRO KADAJA</v>
          </cell>
          <cell r="B2275">
            <v>8359</v>
          </cell>
        </row>
        <row r="2276">
          <cell r="A2276" t="str">
            <v>KARL-MARTIN KADAJA</v>
          </cell>
          <cell r="B2276">
            <v>2475</v>
          </cell>
        </row>
        <row r="2277">
          <cell r="A2277" t="str">
            <v>CRHIS-STEN KADAKAS</v>
          </cell>
          <cell r="B2277">
            <v>9374</v>
          </cell>
        </row>
        <row r="2278">
          <cell r="A2278" t="str">
            <v>TOIVO KADAKAS</v>
          </cell>
          <cell r="B2278">
            <v>3776</v>
          </cell>
        </row>
        <row r="2279">
          <cell r="A2279" t="str">
            <v>LAURI KADALIPP</v>
          </cell>
          <cell r="B2279">
            <v>3578</v>
          </cell>
        </row>
        <row r="2280">
          <cell r="A2280" t="str">
            <v>KARMEN KADARIK</v>
          </cell>
          <cell r="B2280">
            <v>7203</v>
          </cell>
        </row>
        <row r="2281">
          <cell r="A2281" t="str">
            <v>KATSIARYNA KADOUBINA</v>
          </cell>
          <cell r="B2281">
            <v>7731</v>
          </cell>
        </row>
        <row r="2282">
          <cell r="A2282" t="str">
            <v>MARION KAELE</v>
          </cell>
          <cell r="B2282">
            <v>4260</v>
          </cell>
        </row>
        <row r="2283">
          <cell r="A2283" t="str">
            <v>INGMAR KAERAMAA</v>
          </cell>
          <cell r="B2283">
            <v>1726</v>
          </cell>
        </row>
        <row r="2284">
          <cell r="A2284" t="str">
            <v>REMI KAEVU</v>
          </cell>
          <cell r="B2284">
            <v>10832</v>
          </cell>
        </row>
        <row r="2285">
          <cell r="A2285" t="str">
            <v>MIHHAIL KAGAN</v>
          </cell>
          <cell r="B2285">
            <v>5132</v>
          </cell>
        </row>
        <row r="2286">
          <cell r="A2286" t="str">
            <v>KARDO KAHK</v>
          </cell>
          <cell r="B2286">
            <v>9887</v>
          </cell>
        </row>
        <row r="2287">
          <cell r="A2287" t="str">
            <v>JUHA KAHLOS</v>
          </cell>
          <cell r="B2287">
            <v>10258</v>
          </cell>
        </row>
        <row r="2288">
          <cell r="A2288" t="str">
            <v>HENRI KAHRO</v>
          </cell>
          <cell r="B2288">
            <v>10357</v>
          </cell>
        </row>
        <row r="2289">
          <cell r="A2289" t="str">
            <v>AGO KAHU</v>
          </cell>
          <cell r="B2289">
            <v>7719</v>
          </cell>
        </row>
        <row r="2290">
          <cell r="A2290" t="str">
            <v>STEN KAHU</v>
          </cell>
          <cell r="B2290">
            <v>7991</v>
          </cell>
        </row>
        <row r="2291">
          <cell r="A2291" t="str">
            <v>MARKKO KAIRINEN</v>
          </cell>
          <cell r="B2291">
            <v>3421</v>
          </cell>
        </row>
        <row r="2292">
          <cell r="A2292" t="str">
            <v>KRISTUPAS KAIRYS</v>
          </cell>
          <cell r="B2292">
            <v>10505</v>
          </cell>
        </row>
        <row r="2293">
          <cell r="A2293" t="str">
            <v>UKU KRISTEN KAIS</v>
          </cell>
          <cell r="B2293">
            <v>10689</v>
          </cell>
        </row>
        <row r="2294">
          <cell r="A2294" t="str">
            <v>KAAREL KAISEL</v>
          </cell>
          <cell r="B2294">
            <v>9962</v>
          </cell>
        </row>
        <row r="2295">
          <cell r="A2295" t="str">
            <v>JASPER KAIVA</v>
          </cell>
          <cell r="B2295">
            <v>10328</v>
          </cell>
        </row>
        <row r="2296">
          <cell r="A2296" t="str">
            <v>JOHANNES KAIVA</v>
          </cell>
          <cell r="B2296">
            <v>10070</v>
          </cell>
        </row>
        <row r="2297">
          <cell r="A2297" t="str">
            <v>EMMA-LEEN KAIVO</v>
          </cell>
          <cell r="B2297">
            <v>7726</v>
          </cell>
        </row>
        <row r="2298">
          <cell r="A2298" t="str">
            <v>JUHAN-VILLEM KAIVO</v>
          </cell>
          <cell r="B2298">
            <v>7819</v>
          </cell>
        </row>
        <row r="2299">
          <cell r="A2299" t="str">
            <v>KARL-MIHKEL KAIVO</v>
          </cell>
          <cell r="B2299">
            <v>5484</v>
          </cell>
        </row>
        <row r="2300">
          <cell r="A2300" t="str">
            <v>ALEKSANDR KAJALAINEN</v>
          </cell>
          <cell r="B2300">
            <v>4261</v>
          </cell>
        </row>
        <row r="2301">
          <cell r="A2301" t="str">
            <v>KARL FELIKS KAJAR</v>
          </cell>
          <cell r="B2301">
            <v>9303</v>
          </cell>
        </row>
        <row r="2302">
          <cell r="A2302" t="str">
            <v>THOR LEMBIT KAJAR</v>
          </cell>
          <cell r="B2302">
            <v>9302</v>
          </cell>
        </row>
        <row r="2303">
          <cell r="A2303" t="str">
            <v>ALAR KAJARI</v>
          </cell>
          <cell r="B2303">
            <v>3777</v>
          </cell>
        </row>
        <row r="2304">
          <cell r="A2304" t="str">
            <v>ARNO KAKK</v>
          </cell>
          <cell r="B2304">
            <v>8735</v>
          </cell>
        </row>
        <row r="2305">
          <cell r="A2305" t="str">
            <v>DAVID KAKKO</v>
          </cell>
          <cell r="B2305">
            <v>5148</v>
          </cell>
        </row>
        <row r="2306">
          <cell r="A2306" t="str">
            <v>RIHO KALA</v>
          </cell>
          <cell r="B2306">
            <v>10183</v>
          </cell>
        </row>
        <row r="2307">
          <cell r="A2307" t="str">
            <v>SEBASTIAN KALA</v>
          </cell>
          <cell r="B2307">
            <v>9992</v>
          </cell>
        </row>
        <row r="2308">
          <cell r="A2308" t="str">
            <v>IVAN KALAŠNIK</v>
          </cell>
          <cell r="B2308">
            <v>3778</v>
          </cell>
        </row>
        <row r="2309">
          <cell r="A2309" t="str">
            <v>KONSTANTIN KALAŠNIK</v>
          </cell>
          <cell r="B2309">
            <v>3779</v>
          </cell>
        </row>
        <row r="2310">
          <cell r="A2310" t="str">
            <v>MIKK EKE KALAMEES</v>
          </cell>
          <cell r="B2310">
            <v>8116</v>
          </cell>
        </row>
        <row r="2311">
          <cell r="A2311" t="str">
            <v>VILLEM KALAMEES</v>
          </cell>
          <cell r="B2311">
            <v>4061</v>
          </cell>
        </row>
        <row r="2312">
          <cell r="A2312" t="str">
            <v>YEHOR KALASHNIKOV</v>
          </cell>
          <cell r="B2312">
            <v>10637</v>
          </cell>
        </row>
        <row r="2313">
          <cell r="A2313" t="str">
            <v>ALEKSANDRA KALASHNIKOVA</v>
          </cell>
          <cell r="B2313">
            <v>4262</v>
          </cell>
        </row>
        <row r="2314">
          <cell r="A2314" t="str">
            <v>SOFIA KALATSHUK</v>
          </cell>
          <cell r="B2314">
            <v>2405</v>
          </cell>
        </row>
        <row r="2315">
          <cell r="A2315" t="str">
            <v>ARGO KALD</v>
          </cell>
          <cell r="B2315">
            <v>418</v>
          </cell>
        </row>
        <row r="2316">
          <cell r="A2316" t="str">
            <v>GREGOR KALD</v>
          </cell>
          <cell r="B2316">
            <v>10010</v>
          </cell>
        </row>
        <row r="2317">
          <cell r="A2317" t="str">
            <v>HENRI KALD</v>
          </cell>
          <cell r="B2317">
            <v>7063</v>
          </cell>
        </row>
        <row r="2318">
          <cell r="A2318" t="str">
            <v>JAAN KALDA</v>
          </cell>
          <cell r="B2318">
            <v>1452</v>
          </cell>
        </row>
        <row r="2319">
          <cell r="A2319" t="str">
            <v>JANNO KALDA</v>
          </cell>
          <cell r="B2319">
            <v>1738</v>
          </cell>
        </row>
        <row r="2320">
          <cell r="A2320" t="str">
            <v>JOOSEP KALDA</v>
          </cell>
          <cell r="B2320">
            <v>9997</v>
          </cell>
        </row>
        <row r="2321">
          <cell r="A2321" t="str">
            <v>KAAREL KALDA</v>
          </cell>
          <cell r="B2321">
            <v>9859</v>
          </cell>
        </row>
        <row r="2322">
          <cell r="A2322" t="str">
            <v>KALJU KALDA</v>
          </cell>
          <cell r="B2322">
            <v>346</v>
          </cell>
        </row>
        <row r="2323">
          <cell r="A2323" t="str">
            <v>KERT-KRISTOFER KALDA</v>
          </cell>
          <cell r="B2323">
            <v>7785</v>
          </cell>
        </row>
        <row r="2324">
          <cell r="A2324" t="str">
            <v>MARTIN KALDA</v>
          </cell>
          <cell r="B2324">
            <v>8253</v>
          </cell>
        </row>
        <row r="2325">
          <cell r="A2325" t="str">
            <v>MIHKEL KALDA</v>
          </cell>
          <cell r="B2325">
            <v>1901</v>
          </cell>
        </row>
        <row r="2326">
          <cell r="A2326" t="str">
            <v>NEEME KALDA</v>
          </cell>
          <cell r="B2326">
            <v>9641</v>
          </cell>
        </row>
        <row r="2327">
          <cell r="A2327" t="str">
            <v>PEETER KALDA</v>
          </cell>
          <cell r="B2327">
            <v>10856</v>
          </cell>
        </row>
        <row r="2328">
          <cell r="A2328" t="str">
            <v>KAIDO KALDAS</v>
          </cell>
          <cell r="B2328">
            <v>5930</v>
          </cell>
        </row>
        <row r="2329">
          <cell r="A2329" t="str">
            <v>OLARI KALDASAUN</v>
          </cell>
          <cell r="B2329">
            <v>6256</v>
          </cell>
        </row>
        <row r="2330">
          <cell r="A2330" t="str">
            <v>PRIIT KALDE</v>
          </cell>
          <cell r="B2330">
            <v>1768</v>
          </cell>
        </row>
        <row r="2331">
          <cell r="A2331" t="str">
            <v>RAUL KALDE</v>
          </cell>
          <cell r="B2331">
            <v>2115</v>
          </cell>
        </row>
        <row r="2332">
          <cell r="A2332" t="str">
            <v>ALAN KALDJÄRV</v>
          </cell>
          <cell r="B2332">
            <v>7173</v>
          </cell>
        </row>
        <row r="2333">
          <cell r="A2333" t="str">
            <v>JAAK KALDJÄRV</v>
          </cell>
          <cell r="B2333">
            <v>7172</v>
          </cell>
        </row>
        <row r="2334">
          <cell r="A2334" t="str">
            <v>MAREK KALDMÄE</v>
          </cell>
          <cell r="B2334">
            <v>5252</v>
          </cell>
        </row>
        <row r="2335">
          <cell r="A2335" t="str">
            <v>ARON KALDOJA</v>
          </cell>
          <cell r="B2335">
            <v>4734</v>
          </cell>
        </row>
        <row r="2336">
          <cell r="A2336" t="str">
            <v>LAUMA KALEJA</v>
          </cell>
          <cell r="B2336">
            <v>1711</v>
          </cell>
        </row>
        <row r="2337">
          <cell r="A2337" t="str">
            <v>KRISTJAN KALEKIN</v>
          </cell>
          <cell r="B2337">
            <v>7508</v>
          </cell>
        </row>
        <row r="2338">
          <cell r="A2338" t="str">
            <v>TAAVI KALEV</v>
          </cell>
          <cell r="B2338">
            <v>3209</v>
          </cell>
        </row>
        <row r="2339">
          <cell r="A2339" t="str">
            <v>ALEKSANDR KALININ</v>
          </cell>
          <cell r="B2339">
            <v>470</v>
          </cell>
        </row>
        <row r="2340">
          <cell r="A2340" t="str">
            <v>FEDOR KALININ</v>
          </cell>
          <cell r="B2340">
            <v>7008</v>
          </cell>
        </row>
        <row r="2341">
          <cell r="A2341" t="str">
            <v>DARJA KALININA</v>
          </cell>
          <cell r="B2341">
            <v>2360</v>
          </cell>
        </row>
        <row r="2342">
          <cell r="A2342" t="str">
            <v>KSENJA KALINITŠEVA</v>
          </cell>
          <cell r="B2342">
            <v>5090</v>
          </cell>
        </row>
        <row r="2343">
          <cell r="A2343" t="str">
            <v>KEVIN KALINOVSKI</v>
          </cell>
          <cell r="B2343">
            <v>5416</v>
          </cell>
        </row>
        <row r="2344">
          <cell r="A2344" t="str">
            <v>JAAK KALJA</v>
          </cell>
          <cell r="B2344">
            <v>8686</v>
          </cell>
        </row>
        <row r="2345">
          <cell r="A2345" t="str">
            <v>IGOR KALJAKIN</v>
          </cell>
          <cell r="B2345">
            <v>2502</v>
          </cell>
        </row>
        <row r="2346">
          <cell r="A2346" t="str">
            <v>KEINAR KALJAS</v>
          </cell>
          <cell r="B2346">
            <v>5282</v>
          </cell>
        </row>
        <row r="2347">
          <cell r="A2347" t="str">
            <v>KASPAR KALJULA</v>
          </cell>
          <cell r="B2347">
            <v>476</v>
          </cell>
        </row>
        <row r="2348">
          <cell r="A2348" t="str">
            <v>LISELL KALJULA</v>
          </cell>
          <cell r="B2348">
            <v>9557</v>
          </cell>
        </row>
        <row r="2349">
          <cell r="A2349" t="str">
            <v>GREGOR KALJULAID</v>
          </cell>
          <cell r="B2349">
            <v>5619</v>
          </cell>
        </row>
        <row r="2350">
          <cell r="A2350" t="str">
            <v>HENRY KALJULAID</v>
          </cell>
          <cell r="B2350">
            <v>5620</v>
          </cell>
        </row>
        <row r="2351">
          <cell r="A2351" t="str">
            <v>PAUL KALJULAID</v>
          </cell>
          <cell r="B2351">
            <v>2124</v>
          </cell>
        </row>
        <row r="2352">
          <cell r="A2352" t="str">
            <v>LENNO KALJURAND</v>
          </cell>
          <cell r="B2352">
            <v>4263</v>
          </cell>
        </row>
        <row r="2353">
          <cell r="A2353" t="str">
            <v>KEVIN KALJUSAAR</v>
          </cell>
          <cell r="B2353">
            <v>5935</v>
          </cell>
        </row>
        <row r="2354">
          <cell r="A2354" t="str">
            <v>KASPER KALJUSTE</v>
          </cell>
          <cell r="B2354">
            <v>8352</v>
          </cell>
        </row>
        <row r="2355">
          <cell r="A2355" t="str">
            <v>KERLI KALJUSTE</v>
          </cell>
          <cell r="B2355">
            <v>1340</v>
          </cell>
        </row>
        <row r="2356">
          <cell r="A2356" t="str">
            <v>MARTIN KALJUSTE</v>
          </cell>
          <cell r="B2356">
            <v>485</v>
          </cell>
        </row>
        <row r="2357">
          <cell r="A2357" t="str">
            <v>PRIIT KALJUSTE</v>
          </cell>
          <cell r="B2357">
            <v>10056</v>
          </cell>
        </row>
        <row r="2358">
          <cell r="A2358" t="str">
            <v>TAMAR KALJUSTE</v>
          </cell>
          <cell r="B2358">
            <v>3371</v>
          </cell>
        </row>
        <row r="2359">
          <cell r="A2359" t="str">
            <v>TANEL KALJUSTE</v>
          </cell>
          <cell r="B2359">
            <v>6248</v>
          </cell>
        </row>
        <row r="2360">
          <cell r="A2360" t="str">
            <v>TARVI KALJUSTE</v>
          </cell>
          <cell r="B2360">
            <v>1364</v>
          </cell>
        </row>
        <row r="2361">
          <cell r="A2361" t="str">
            <v>KÄRT KALJUVEE</v>
          </cell>
          <cell r="B2361">
            <v>3083</v>
          </cell>
        </row>
        <row r="2362">
          <cell r="A2362" t="str">
            <v>RENE KALJUVEE</v>
          </cell>
          <cell r="B2362">
            <v>5055</v>
          </cell>
        </row>
        <row r="2363">
          <cell r="A2363" t="str">
            <v>EMIL OLIVER KALK</v>
          </cell>
          <cell r="B2363">
            <v>7357</v>
          </cell>
        </row>
        <row r="2364">
          <cell r="A2364" t="str">
            <v>ATS KALLAIS</v>
          </cell>
          <cell r="B2364">
            <v>8051</v>
          </cell>
        </row>
        <row r="2365">
          <cell r="A2365" t="str">
            <v>HEIKO KALLAS</v>
          </cell>
          <cell r="B2365">
            <v>4016</v>
          </cell>
        </row>
        <row r="2366">
          <cell r="A2366" t="str">
            <v>KARIN KALLAS</v>
          </cell>
          <cell r="B2366">
            <v>2692</v>
          </cell>
        </row>
        <row r="2367">
          <cell r="A2367" t="str">
            <v>RAIKEN KALLAS</v>
          </cell>
          <cell r="B2367">
            <v>10883</v>
          </cell>
        </row>
        <row r="2368">
          <cell r="A2368" t="str">
            <v>ROMAN KALLAS</v>
          </cell>
          <cell r="B2368">
            <v>2815</v>
          </cell>
        </row>
        <row r="2369">
          <cell r="A2369" t="str">
            <v>VILLU KALLAS</v>
          </cell>
          <cell r="B2369">
            <v>2123</v>
          </cell>
        </row>
        <row r="2370">
          <cell r="A2370" t="str">
            <v>MARITE KALLASORG</v>
          </cell>
          <cell r="B2370">
            <v>894</v>
          </cell>
        </row>
        <row r="2371">
          <cell r="A2371" t="str">
            <v>KADI KALLAST</v>
          </cell>
          <cell r="B2371">
            <v>54</v>
          </cell>
        </row>
        <row r="2372">
          <cell r="A2372" t="str">
            <v>ANDREAS KALLASTE</v>
          </cell>
          <cell r="B2372">
            <v>5149</v>
          </cell>
        </row>
        <row r="2373">
          <cell r="A2373" t="str">
            <v>ANDRUS KALLASTE</v>
          </cell>
          <cell r="B2373">
            <v>5611</v>
          </cell>
        </row>
        <row r="2374">
          <cell r="A2374" t="str">
            <v>ANNABEL KALLASTE</v>
          </cell>
          <cell r="B2374">
            <v>7098</v>
          </cell>
        </row>
        <row r="2375">
          <cell r="A2375" t="str">
            <v>HANS-KRISTJAN KALLASTE</v>
          </cell>
          <cell r="B2375">
            <v>2666</v>
          </cell>
        </row>
        <row r="2376">
          <cell r="A2376" t="str">
            <v>KALVI KALLASTE</v>
          </cell>
          <cell r="B2376">
            <v>2150</v>
          </cell>
        </row>
        <row r="2377">
          <cell r="A2377" t="str">
            <v>KARL KALLASTE</v>
          </cell>
          <cell r="B2377">
            <v>6107</v>
          </cell>
        </row>
        <row r="2378">
          <cell r="A2378" t="str">
            <v>KRISTJAN KALLASTE</v>
          </cell>
          <cell r="B2378">
            <v>2149</v>
          </cell>
        </row>
        <row r="2379">
          <cell r="A2379" t="str">
            <v>MARGUS KALLASTE</v>
          </cell>
          <cell r="B2379">
            <v>2024</v>
          </cell>
        </row>
        <row r="2380">
          <cell r="A2380" t="str">
            <v>MARVIN KALLASTE</v>
          </cell>
          <cell r="B2380">
            <v>9605</v>
          </cell>
        </row>
        <row r="2381">
          <cell r="A2381" t="str">
            <v>MATHILDE KALLASTE</v>
          </cell>
          <cell r="B2381">
            <v>9604</v>
          </cell>
        </row>
        <row r="2382">
          <cell r="A2382" t="str">
            <v>TARMO KALLASTE</v>
          </cell>
          <cell r="B2382">
            <v>8993</v>
          </cell>
        </row>
        <row r="2383">
          <cell r="A2383" t="str">
            <v>VELLO KALLASTE</v>
          </cell>
          <cell r="B2383">
            <v>170</v>
          </cell>
        </row>
        <row r="2384">
          <cell r="A2384" t="str">
            <v>MARTEN KALLASTU</v>
          </cell>
          <cell r="B2384">
            <v>8109</v>
          </cell>
        </row>
        <row r="2385">
          <cell r="A2385" t="str">
            <v>AIN KALLAVUS</v>
          </cell>
          <cell r="B2385">
            <v>5905</v>
          </cell>
        </row>
        <row r="2386">
          <cell r="A2386" t="str">
            <v>RINGO KALM</v>
          </cell>
          <cell r="B2386">
            <v>3013</v>
          </cell>
        </row>
        <row r="2387">
          <cell r="A2387" t="str">
            <v>SIRLE KALMA</v>
          </cell>
          <cell r="B2387">
            <v>55</v>
          </cell>
        </row>
        <row r="2388">
          <cell r="A2388" t="str">
            <v>FREDERIK KALMBERG</v>
          </cell>
          <cell r="B2388">
            <v>2372</v>
          </cell>
        </row>
        <row r="2389">
          <cell r="A2389" t="str">
            <v>INDREK KALME</v>
          </cell>
          <cell r="B2389">
            <v>10848</v>
          </cell>
        </row>
        <row r="2390">
          <cell r="A2390" t="str">
            <v>JAN KALMET</v>
          </cell>
          <cell r="B2390">
            <v>8470</v>
          </cell>
        </row>
        <row r="2391">
          <cell r="A2391" t="str">
            <v>KRISTJAN-JOEL KALMUS</v>
          </cell>
          <cell r="B2391">
            <v>3598</v>
          </cell>
        </row>
        <row r="2392">
          <cell r="A2392" t="str">
            <v>JURIS KALNINŠ</v>
          </cell>
          <cell r="B2392">
            <v>168</v>
          </cell>
        </row>
        <row r="2393">
          <cell r="A2393" t="str">
            <v>REINIS TOMS KALNINSH</v>
          </cell>
          <cell r="B2393">
            <v>2611</v>
          </cell>
        </row>
        <row r="2394">
          <cell r="A2394" t="str">
            <v>JANA KALOSHKA</v>
          </cell>
          <cell r="B2394">
            <v>8323</v>
          </cell>
        </row>
        <row r="2395">
          <cell r="A2395" t="str">
            <v>LUDMILLA KALPOKIENE</v>
          </cell>
          <cell r="B2395">
            <v>3533</v>
          </cell>
        </row>
        <row r="2396">
          <cell r="A2396" t="str">
            <v>KADRI KALPUS</v>
          </cell>
          <cell r="B2396">
            <v>7411</v>
          </cell>
        </row>
        <row r="2397">
          <cell r="A2397" t="str">
            <v>ANNE SOPHIE KALVATN</v>
          </cell>
          <cell r="B2397">
            <v>7548</v>
          </cell>
        </row>
        <row r="2398">
          <cell r="A2398" t="str">
            <v>KASPAR KALVE</v>
          </cell>
          <cell r="B2398">
            <v>4017</v>
          </cell>
        </row>
        <row r="2399">
          <cell r="A2399" t="str">
            <v>LIISA KALVISTE</v>
          </cell>
          <cell r="B2399">
            <v>1676</v>
          </cell>
        </row>
        <row r="2400">
          <cell r="A2400" t="str">
            <v>MIHKEL KALVO</v>
          </cell>
          <cell r="B2400">
            <v>10483</v>
          </cell>
        </row>
        <row r="2401">
          <cell r="A2401" t="str">
            <v>DMITRII KALYAZIN</v>
          </cell>
          <cell r="B2401">
            <v>5657</v>
          </cell>
        </row>
        <row r="2402">
          <cell r="A2402" t="str">
            <v>KRISTAPS KAMBERGS</v>
          </cell>
          <cell r="B2402">
            <v>1820</v>
          </cell>
        </row>
        <row r="2403">
          <cell r="A2403" t="str">
            <v>MIHHAIL KAMENEV</v>
          </cell>
          <cell r="B2403">
            <v>8591</v>
          </cell>
        </row>
        <row r="2404">
          <cell r="A2404" t="str">
            <v>ALJONA KAMENNAJA</v>
          </cell>
          <cell r="B2404">
            <v>1751</v>
          </cell>
        </row>
        <row r="2405">
          <cell r="A2405" t="str">
            <v>DAMIR KAMINSKI</v>
          </cell>
          <cell r="B2405">
            <v>8008</v>
          </cell>
        </row>
        <row r="2406">
          <cell r="A2406" t="str">
            <v>KRISTER KAMLA</v>
          </cell>
          <cell r="B2406">
            <v>8049</v>
          </cell>
        </row>
        <row r="2407">
          <cell r="A2407" t="str">
            <v>AIVARS KAMOLS</v>
          </cell>
          <cell r="B2407">
            <v>3530</v>
          </cell>
        </row>
        <row r="2408">
          <cell r="A2408" t="str">
            <v>HARDI KAMPUS</v>
          </cell>
          <cell r="B2408">
            <v>3460</v>
          </cell>
        </row>
        <row r="2409">
          <cell r="A2409" t="str">
            <v>MARKUS KANANEN</v>
          </cell>
          <cell r="B2409">
            <v>939</v>
          </cell>
        </row>
        <row r="2410">
          <cell r="A2410" t="str">
            <v>RAIMOND KANARBIK</v>
          </cell>
          <cell r="B2410">
            <v>7649</v>
          </cell>
        </row>
        <row r="2411">
          <cell r="A2411" t="str">
            <v>IVAR KANARIK</v>
          </cell>
          <cell r="B2411">
            <v>9745</v>
          </cell>
        </row>
        <row r="2412">
          <cell r="A2412" t="str">
            <v>KRISTJAN KANDALA</v>
          </cell>
          <cell r="B2412">
            <v>4264</v>
          </cell>
        </row>
        <row r="2413">
          <cell r="A2413" t="str">
            <v>MEELIS KANEP</v>
          </cell>
          <cell r="B2413">
            <v>10693</v>
          </cell>
        </row>
        <row r="2414">
          <cell r="A2414" t="str">
            <v>TOIVO KANEP</v>
          </cell>
          <cell r="B2414">
            <v>3988</v>
          </cell>
        </row>
        <row r="2415">
          <cell r="A2415" t="str">
            <v>RANDO KANGARON</v>
          </cell>
          <cell r="B2415">
            <v>6170</v>
          </cell>
        </row>
        <row r="2416">
          <cell r="A2416" t="str">
            <v>ARGO KANGRO</v>
          </cell>
          <cell r="B2416">
            <v>2884</v>
          </cell>
        </row>
        <row r="2417">
          <cell r="A2417" t="str">
            <v>HENDRIK KANGRO</v>
          </cell>
          <cell r="B2417">
            <v>8023</v>
          </cell>
        </row>
        <row r="2418">
          <cell r="A2418" t="str">
            <v>JOOSEP KANGUR</v>
          </cell>
          <cell r="B2418">
            <v>6209</v>
          </cell>
        </row>
        <row r="2419">
          <cell r="A2419" t="str">
            <v>KARL KANGUR</v>
          </cell>
          <cell r="B2419">
            <v>4265</v>
          </cell>
        </row>
        <row r="2420">
          <cell r="A2420" t="str">
            <v>MIHKEL KANGUR</v>
          </cell>
          <cell r="B2420">
            <v>9573</v>
          </cell>
        </row>
        <row r="2421">
          <cell r="A2421" t="str">
            <v>SAIMA KANGUR</v>
          </cell>
          <cell r="B2421">
            <v>1103</v>
          </cell>
        </row>
        <row r="2422">
          <cell r="A2422" t="str">
            <v>VALVE KANGUR</v>
          </cell>
          <cell r="B2422">
            <v>5233</v>
          </cell>
        </row>
        <row r="2423">
          <cell r="A2423" t="str">
            <v>AIJAR KANGUS</v>
          </cell>
          <cell r="B2423">
            <v>8911</v>
          </cell>
        </row>
        <row r="2424">
          <cell r="A2424" t="str">
            <v>MARTIN KANGUS</v>
          </cell>
          <cell r="B2424">
            <v>5164</v>
          </cell>
        </row>
        <row r="2425">
          <cell r="A2425" t="str">
            <v>MAKSIM KANISCEVS</v>
          </cell>
          <cell r="B2425">
            <v>2243</v>
          </cell>
        </row>
        <row r="2426">
          <cell r="A2426" t="str">
            <v>MERILI KANN</v>
          </cell>
          <cell r="B2426">
            <v>7961</v>
          </cell>
        </row>
        <row r="2427">
          <cell r="A2427" t="str">
            <v>OLIVER KANN</v>
          </cell>
          <cell r="B2427">
            <v>10236</v>
          </cell>
        </row>
        <row r="2428">
          <cell r="A2428" t="str">
            <v>TÕNU KANNE</v>
          </cell>
          <cell r="B2428">
            <v>7391</v>
          </cell>
        </row>
        <row r="2429">
          <cell r="A2429" t="str">
            <v>KAREL MARTEN KANNEL</v>
          </cell>
          <cell r="B2429">
            <v>8706</v>
          </cell>
        </row>
        <row r="2430">
          <cell r="A2430" t="str">
            <v>JAAK KANNISTU</v>
          </cell>
          <cell r="B2430">
            <v>4266</v>
          </cell>
        </row>
        <row r="2431">
          <cell r="A2431" t="str">
            <v>JUKKA KANSONEN</v>
          </cell>
          <cell r="B2431">
            <v>4771</v>
          </cell>
        </row>
        <row r="2432">
          <cell r="A2432" t="str">
            <v>JOHANNES KANT</v>
          </cell>
          <cell r="B2432">
            <v>169</v>
          </cell>
        </row>
        <row r="2433">
          <cell r="A2433" t="str">
            <v>KRISTJAN KANT</v>
          </cell>
          <cell r="B2433">
            <v>1269</v>
          </cell>
        </row>
        <row r="2434">
          <cell r="A2434" t="str">
            <v>MIKKO KANTOLA</v>
          </cell>
          <cell r="B2434">
            <v>2057</v>
          </cell>
        </row>
        <row r="2435">
          <cell r="A2435" t="str">
            <v>RONI KANTOLA</v>
          </cell>
          <cell r="B2435">
            <v>3662</v>
          </cell>
        </row>
        <row r="2436">
          <cell r="A2436" t="str">
            <v>ROOPE KANTOLA</v>
          </cell>
          <cell r="B2436">
            <v>2056</v>
          </cell>
        </row>
        <row r="2437">
          <cell r="A2437" t="str">
            <v>MIHHAIL KANTONISTOV</v>
          </cell>
          <cell r="B2437">
            <v>3650</v>
          </cell>
        </row>
        <row r="2438">
          <cell r="A2438" t="str">
            <v>ALEKSANDR KANUNNIKOV</v>
          </cell>
          <cell r="B2438">
            <v>5091</v>
          </cell>
        </row>
        <row r="2439">
          <cell r="A2439" t="str">
            <v>OLGA KÜÜNAL</v>
          </cell>
          <cell r="B2439">
            <v>4329</v>
          </cell>
        </row>
        <row r="2440">
          <cell r="A2440" t="str">
            <v>TOM KÜÜSMA</v>
          </cell>
          <cell r="B2440">
            <v>2290</v>
          </cell>
        </row>
        <row r="2441">
          <cell r="A2441" t="str">
            <v>STEN KÜÜSMAA</v>
          </cell>
          <cell r="B2441">
            <v>2822</v>
          </cell>
        </row>
        <row r="2442">
          <cell r="A2442" t="str">
            <v>ANDRE KÜÜSVEK</v>
          </cell>
          <cell r="B2442">
            <v>9918</v>
          </cell>
        </row>
        <row r="2443">
          <cell r="A2443" t="str">
            <v>KAREL KÜBAR</v>
          </cell>
          <cell r="B2443">
            <v>3798</v>
          </cell>
        </row>
        <row r="2444">
          <cell r="A2444" t="str">
            <v>ROOSA-ANGELIKA KÜBAR</v>
          </cell>
          <cell r="B2444">
            <v>9545</v>
          </cell>
        </row>
        <row r="2445">
          <cell r="A2445" t="str">
            <v>ERKI KÜBARSEPP</v>
          </cell>
          <cell r="B2445">
            <v>5899</v>
          </cell>
        </row>
        <row r="2446">
          <cell r="A2446" t="str">
            <v>HANNES KÜBARSEPP</v>
          </cell>
          <cell r="B2446">
            <v>5901</v>
          </cell>
        </row>
        <row r="2447">
          <cell r="A2447" t="str">
            <v>KERSTI KÜBARSEPP</v>
          </cell>
          <cell r="B2447">
            <v>3466</v>
          </cell>
        </row>
        <row r="2448">
          <cell r="A2448" t="str">
            <v>AKSEL ERIK KÜLA</v>
          </cell>
          <cell r="B2448">
            <v>8996</v>
          </cell>
        </row>
        <row r="2449">
          <cell r="A2449" t="str">
            <v>TAURI KÜLA</v>
          </cell>
          <cell r="B2449">
            <v>2271</v>
          </cell>
        </row>
        <row r="2450">
          <cell r="A2450" t="str">
            <v>MADIS KÜLAOTS</v>
          </cell>
          <cell r="B2450">
            <v>7659</v>
          </cell>
        </row>
        <row r="2451">
          <cell r="A2451" t="str">
            <v>REET KÜLAOTS</v>
          </cell>
          <cell r="B2451">
            <v>8275</v>
          </cell>
        </row>
        <row r="2452">
          <cell r="A2452" t="str">
            <v>RISTO KÜLAVEE</v>
          </cell>
          <cell r="B2452">
            <v>426</v>
          </cell>
        </row>
        <row r="2453">
          <cell r="A2453" t="str">
            <v>MIHKEL KÜLM</v>
          </cell>
          <cell r="B2453">
            <v>5486</v>
          </cell>
        </row>
        <row r="2454">
          <cell r="A2454" t="str">
            <v>INGA KÜLMOJA</v>
          </cell>
          <cell r="B2454">
            <v>5602</v>
          </cell>
        </row>
        <row r="2455">
          <cell r="A2455" t="str">
            <v>REIJO KÜLVI</v>
          </cell>
          <cell r="B2455">
            <v>2485</v>
          </cell>
        </row>
        <row r="2456">
          <cell r="A2456" t="str">
            <v>MIHKEL KÜNNAPAS</v>
          </cell>
          <cell r="B2456">
            <v>8048</v>
          </cell>
        </row>
        <row r="2457">
          <cell r="A2457" t="str">
            <v>KIMBERLY KÜRSA</v>
          </cell>
          <cell r="B2457">
            <v>3540</v>
          </cell>
        </row>
        <row r="2458">
          <cell r="A2458" t="str">
            <v>MAREK KÜTSEN</v>
          </cell>
          <cell r="B2458">
            <v>8701</v>
          </cell>
        </row>
        <row r="2459">
          <cell r="A2459" t="str">
            <v>AILAN KÜTT</v>
          </cell>
          <cell r="B2459">
            <v>1468</v>
          </cell>
        </row>
        <row r="2460">
          <cell r="A2460" t="str">
            <v>MAREK KÜTT</v>
          </cell>
          <cell r="B2460">
            <v>3301</v>
          </cell>
        </row>
        <row r="2461">
          <cell r="A2461" t="str">
            <v>MARGO KÜTT</v>
          </cell>
          <cell r="B2461">
            <v>1576</v>
          </cell>
        </row>
        <row r="2462">
          <cell r="A2462" t="str">
            <v>MARKKO KÜTT</v>
          </cell>
          <cell r="B2462">
            <v>7990</v>
          </cell>
        </row>
        <row r="2463">
          <cell r="A2463" t="str">
            <v>MERJE KÜTT</v>
          </cell>
          <cell r="B2463">
            <v>9381</v>
          </cell>
        </row>
        <row r="2464">
          <cell r="A2464" t="str">
            <v>SILVER KÜTT</v>
          </cell>
          <cell r="B2464">
            <v>1480</v>
          </cell>
        </row>
        <row r="2465">
          <cell r="A2465" t="str">
            <v>MARKUS KÜTTIM</v>
          </cell>
          <cell r="B2465">
            <v>10282</v>
          </cell>
        </row>
        <row r="2466">
          <cell r="A2466" t="str">
            <v>RASMUS KÜTTIM</v>
          </cell>
          <cell r="B2466">
            <v>7129</v>
          </cell>
        </row>
        <row r="2467">
          <cell r="A2467" t="str">
            <v>HENRI KÜTTIMAA</v>
          </cell>
          <cell r="B2467">
            <v>7067</v>
          </cell>
        </row>
        <row r="2468">
          <cell r="A2468" t="str">
            <v>SANDER KÜTTIMAA</v>
          </cell>
          <cell r="B2468">
            <v>7068</v>
          </cell>
        </row>
        <row r="2469">
          <cell r="A2469" t="str">
            <v>HENRY TANELY KÜTTIS</v>
          </cell>
          <cell r="B2469">
            <v>9965</v>
          </cell>
        </row>
        <row r="2470">
          <cell r="A2470" t="str">
            <v>KEVIN ANDREAS KÜTTIS</v>
          </cell>
          <cell r="B2470">
            <v>9964</v>
          </cell>
        </row>
        <row r="2471">
          <cell r="A2471" t="str">
            <v>MARGUS KÜTTIS</v>
          </cell>
          <cell r="B2471">
            <v>9963</v>
          </cell>
        </row>
        <row r="2472">
          <cell r="A2472" t="str">
            <v>RADEK KÜTTIS</v>
          </cell>
          <cell r="B2472">
            <v>10036</v>
          </cell>
        </row>
        <row r="2473">
          <cell r="A2473" t="str">
            <v>RAINER KÜTTIS</v>
          </cell>
          <cell r="B2473">
            <v>2152</v>
          </cell>
        </row>
        <row r="2474">
          <cell r="A2474" t="str">
            <v>ROBERTA KÜTTIS</v>
          </cell>
          <cell r="B2474">
            <v>9196</v>
          </cell>
        </row>
        <row r="2475">
          <cell r="A2475" t="str">
            <v>TIINA KÜTTIS</v>
          </cell>
          <cell r="B2475">
            <v>3957</v>
          </cell>
        </row>
        <row r="2476">
          <cell r="A2476" t="str">
            <v>ELINA KAPACA</v>
          </cell>
          <cell r="B2476">
            <v>1698</v>
          </cell>
        </row>
        <row r="2477">
          <cell r="A2477" t="str">
            <v>GABRIELE KAPACINSKAITE</v>
          </cell>
          <cell r="B2477">
            <v>8193</v>
          </cell>
        </row>
        <row r="2478">
          <cell r="A2478" t="str">
            <v>KAROLIN KAPAK</v>
          </cell>
          <cell r="B2478">
            <v>5665</v>
          </cell>
        </row>
        <row r="2479">
          <cell r="A2479" t="str">
            <v>ALJENA KAPALJEVA</v>
          </cell>
          <cell r="B2479">
            <v>8786</v>
          </cell>
        </row>
        <row r="2480">
          <cell r="A2480" t="str">
            <v>ROMAN KAPALO</v>
          </cell>
          <cell r="B2480">
            <v>3989</v>
          </cell>
        </row>
        <row r="2481">
          <cell r="A2481" t="str">
            <v>ALIK KAPITONOV</v>
          </cell>
          <cell r="B2481">
            <v>3280</v>
          </cell>
        </row>
        <row r="2482">
          <cell r="A2482" t="str">
            <v>STEPAN KAPITONOV</v>
          </cell>
          <cell r="B2482">
            <v>3282</v>
          </cell>
        </row>
        <row r="2483">
          <cell r="A2483" t="str">
            <v>MARKO KAPP</v>
          </cell>
          <cell r="B2483">
            <v>5232</v>
          </cell>
        </row>
        <row r="2484">
          <cell r="A2484" t="str">
            <v>RIHO KAPP</v>
          </cell>
          <cell r="B2484">
            <v>5231</v>
          </cell>
        </row>
        <row r="2485">
          <cell r="A2485" t="str">
            <v>TÕNU KAPPER</v>
          </cell>
          <cell r="B2485">
            <v>171</v>
          </cell>
        </row>
        <row r="2486">
          <cell r="A2486" t="str">
            <v>EDUARD KAPRALOV</v>
          </cell>
          <cell r="B2486">
            <v>4663</v>
          </cell>
        </row>
        <row r="2487">
          <cell r="A2487" t="str">
            <v>BENJAMIN KAPTEIN</v>
          </cell>
          <cell r="B2487">
            <v>9977</v>
          </cell>
        </row>
        <row r="2488">
          <cell r="A2488" t="str">
            <v>ALISA KARÕMOVA</v>
          </cell>
          <cell r="B2488">
            <v>10455</v>
          </cell>
        </row>
        <row r="2489">
          <cell r="A2489" t="str">
            <v>YURII KARADZHOV</v>
          </cell>
          <cell r="B2489">
            <v>10200</v>
          </cell>
        </row>
        <row r="2490">
          <cell r="A2490" t="str">
            <v>AMANDA KARAKAI</v>
          </cell>
          <cell r="B2490">
            <v>5341</v>
          </cell>
        </row>
        <row r="2491">
          <cell r="A2491" t="str">
            <v>ULADZIMIR KARALIOU</v>
          </cell>
          <cell r="B2491">
            <v>10112</v>
          </cell>
        </row>
        <row r="2492">
          <cell r="A2492" t="str">
            <v>VLADIMIR KARALIOU</v>
          </cell>
          <cell r="B2492">
            <v>10123</v>
          </cell>
        </row>
        <row r="2493">
          <cell r="A2493" t="str">
            <v>VLADIMIR KARALIOV</v>
          </cell>
          <cell r="B2493">
            <v>10060</v>
          </cell>
        </row>
        <row r="2494">
          <cell r="A2494" t="str">
            <v>RENAT KARASJOV</v>
          </cell>
          <cell r="B2494">
            <v>7873</v>
          </cell>
        </row>
        <row r="2495">
          <cell r="A2495" t="str">
            <v>VLADISLAV KARASJOV</v>
          </cell>
          <cell r="B2495">
            <v>8863</v>
          </cell>
        </row>
        <row r="2496">
          <cell r="A2496" t="str">
            <v>NATALJA KARASJOVA</v>
          </cell>
          <cell r="B2496">
            <v>8967</v>
          </cell>
        </row>
        <row r="2497">
          <cell r="A2497" t="str">
            <v>ILMAR KARASK</v>
          </cell>
          <cell r="B2497">
            <v>443</v>
          </cell>
        </row>
        <row r="2498">
          <cell r="A2498" t="str">
            <v>JAAN KARAULOV</v>
          </cell>
          <cell r="B2498">
            <v>5406</v>
          </cell>
        </row>
        <row r="2499">
          <cell r="A2499" t="str">
            <v>INGA KARDAUSKAITE</v>
          </cell>
          <cell r="B2499">
            <v>1262</v>
          </cell>
        </row>
        <row r="2500">
          <cell r="A2500" t="str">
            <v>CRISTOPHER KARELAID</v>
          </cell>
          <cell r="B2500">
            <v>6210</v>
          </cell>
        </row>
        <row r="2501">
          <cell r="A2501" t="str">
            <v>TIIA KARELSON</v>
          </cell>
          <cell r="B2501">
            <v>8905</v>
          </cell>
        </row>
        <row r="2502">
          <cell r="A2502" t="str">
            <v>ULVIS KARELSONS</v>
          </cell>
          <cell r="B2502">
            <v>5639</v>
          </cell>
        </row>
        <row r="2503">
          <cell r="A2503" t="str">
            <v>MIHHAIL KARGAŠIN</v>
          </cell>
          <cell r="B2503">
            <v>7874</v>
          </cell>
        </row>
        <row r="2504">
          <cell r="A2504" t="str">
            <v>VIKTORIJA KARGAŠINA</v>
          </cell>
          <cell r="B2504">
            <v>7875</v>
          </cell>
        </row>
        <row r="2505">
          <cell r="A2505" t="str">
            <v>KAAREL KARGU</v>
          </cell>
          <cell r="B2505">
            <v>2825</v>
          </cell>
        </row>
        <row r="2506">
          <cell r="A2506" t="str">
            <v>MEELIS KARI</v>
          </cell>
          <cell r="B2506">
            <v>1860</v>
          </cell>
        </row>
        <row r="2507">
          <cell r="A2507" t="str">
            <v>SEMELE KARI</v>
          </cell>
          <cell r="B2507">
            <v>2559</v>
          </cell>
        </row>
        <row r="2508">
          <cell r="A2508" t="str">
            <v>BULAT KARIMOV</v>
          </cell>
          <cell r="B2508">
            <v>10385</v>
          </cell>
        </row>
        <row r="2509">
          <cell r="A2509" t="str">
            <v>TANEL KARINDI</v>
          </cell>
          <cell r="B2509">
            <v>8220</v>
          </cell>
        </row>
        <row r="2510">
          <cell r="A2510" t="str">
            <v>KREETE KARITS</v>
          </cell>
          <cell r="B2510">
            <v>7227</v>
          </cell>
        </row>
        <row r="2511">
          <cell r="A2511" t="str">
            <v>RASMUS KARITS</v>
          </cell>
          <cell r="B2511">
            <v>8714</v>
          </cell>
        </row>
        <row r="2512">
          <cell r="A2512" t="str">
            <v>JOONAS KARJA</v>
          </cell>
          <cell r="B2512">
            <v>10715</v>
          </cell>
        </row>
        <row r="2513">
          <cell r="A2513" t="str">
            <v>JOONATAN KARJA</v>
          </cell>
          <cell r="B2513">
            <v>10713</v>
          </cell>
        </row>
        <row r="2514">
          <cell r="A2514" t="str">
            <v>MANU KARJALAINEN</v>
          </cell>
          <cell r="B2514">
            <v>1321</v>
          </cell>
        </row>
        <row r="2515">
          <cell r="A2515" t="str">
            <v>MERIBEL BRIGITTA KARJAMA</v>
          </cell>
          <cell r="B2515">
            <v>9193</v>
          </cell>
        </row>
        <row r="2516">
          <cell r="A2516" t="str">
            <v>ILONA KARJANE</v>
          </cell>
          <cell r="B2516">
            <v>10726</v>
          </cell>
        </row>
        <row r="2517">
          <cell r="A2517" t="str">
            <v>RAIDO KARJANE</v>
          </cell>
          <cell r="B2517">
            <v>9332</v>
          </cell>
        </row>
        <row r="2518">
          <cell r="A2518" t="str">
            <v>ELIISE KARJUS</v>
          </cell>
          <cell r="B2518">
            <v>9325</v>
          </cell>
        </row>
        <row r="2519">
          <cell r="A2519" t="str">
            <v>KOIT KARJUS</v>
          </cell>
          <cell r="B2519">
            <v>8797</v>
          </cell>
        </row>
        <row r="2520">
          <cell r="A2520" t="str">
            <v>SILVER KARJUS</v>
          </cell>
          <cell r="B2520">
            <v>10743</v>
          </cell>
        </row>
        <row r="2521">
          <cell r="A2521" t="str">
            <v>TRISTAN KARJUS</v>
          </cell>
          <cell r="B2521">
            <v>8798</v>
          </cell>
        </row>
        <row r="2522">
          <cell r="A2522" t="str">
            <v>JANIS KARKLINŠ</v>
          </cell>
          <cell r="B2522">
            <v>4983</v>
          </cell>
        </row>
        <row r="2523">
          <cell r="A2523" t="str">
            <v>RITVARS KARKLINŠ</v>
          </cell>
          <cell r="B2523">
            <v>3193</v>
          </cell>
        </row>
        <row r="2524">
          <cell r="A2524" t="str">
            <v>TADAS KARLINSKAS</v>
          </cell>
          <cell r="B2524">
            <v>9106</v>
          </cell>
        </row>
        <row r="2525">
          <cell r="A2525" t="str">
            <v>CARL KARLSSON</v>
          </cell>
          <cell r="B2525">
            <v>1248</v>
          </cell>
        </row>
        <row r="2526">
          <cell r="A2526" t="str">
            <v>CLAUS KARLSSON</v>
          </cell>
          <cell r="B2526">
            <v>940</v>
          </cell>
        </row>
        <row r="2527">
          <cell r="A2527" t="str">
            <v>OWE KARLSSON</v>
          </cell>
          <cell r="B2527">
            <v>1696</v>
          </cell>
        </row>
        <row r="2528">
          <cell r="A2528" t="str">
            <v>SERGEI KAROL</v>
          </cell>
          <cell r="B2528">
            <v>4267</v>
          </cell>
        </row>
        <row r="2529">
          <cell r="A2529" t="str">
            <v>HELENA KARPIN</v>
          </cell>
          <cell r="B2529">
            <v>3583</v>
          </cell>
        </row>
        <row r="2530">
          <cell r="A2530" t="str">
            <v>ANDREI KARPOV</v>
          </cell>
          <cell r="B2530">
            <v>3162</v>
          </cell>
        </row>
        <row r="2531">
          <cell r="A2531" t="str">
            <v>TÕNU KARPOV</v>
          </cell>
          <cell r="B2531">
            <v>3235</v>
          </cell>
        </row>
        <row r="2532">
          <cell r="A2532" t="str">
            <v>NIKITA KARPOVITŠ</v>
          </cell>
          <cell r="B2532">
            <v>8372</v>
          </cell>
        </row>
        <row r="2533">
          <cell r="A2533" t="str">
            <v>YURI KARPUK</v>
          </cell>
          <cell r="B2533">
            <v>10197</v>
          </cell>
        </row>
        <row r="2534">
          <cell r="A2534" t="str">
            <v>GREETE KARRAS</v>
          </cell>
          <cell r="B2534">
            <v>56</v>
          </cell>
        </row>
        <row r="2535">
          <cell r="A2535" t="str">
            <v>POLINA KARRO</v>
          </cell>
          <cell r="B2535">
            <v>3469</v>
          </cell>
        </row>
        <row r="2536">
          <cell r="A2536" t="str">
            <v>VLADISLAV KARSIKA</v>
          </cell>
          <cell r="B2536">
            <v>2708</v>
          </cell>
        </row>
        <row r="2537">
          <cell r="A2537" t="str">
            <v>MIIA KARSIKAS</v>
          </cell>
          <cell r="B2537">
            <v>1263</v>
          </cell>
        </row>
        <row r="2538">
          <cell r="A2538" t="str">
            <v>SATU KARSIKAS</v>
          </cell>
          <cell r="B2538">
            <v>1264</v>
          </cell>
        </row>
        <row r="2539">
          <cell r="A2539" t="str">
            <v>AARE KARTAU</v>
          </cell>
          <cell r="B2539">
            <v>2374</v>
          </cell>
        </row>
        <row r="2540">
          <cell r="A2540" t="str">
            <v>AARNE KARTAU</v>
          </cell>
          <cell r="B2540">
            <v>2092</v>
          </cell>
        </row>
        <row r="2541">
          <cell r="A2541" t="str">
            <v>SIIM KARTAU</v>
          </cell>
          <cell r="B2541">
            <v>10522</v>
          </cell>
        </row>
        <row r="2542">
          <cell r="A2542" t="str">
            <v>SHARMA KARTIKEYA</v>
          </cell>
          <cell r="B2542">
            <v>10450</v>
          </cell>
        </row>
        <row r="2543">
          <cell r="A2543" t="str">
            <v>OLGA KARTUZOVA</v>
          </cell>
          <cell r="B2543">
            <v>57</v>
          </cell>
        </row>
        <row r="2544">
          <cell r="A2544" t="str">
            <v>OLEG KARTUZOVS</v>
          </cell>
          <cell r="B2544">
            <v>1254</v>
          </cell>
        </row>
        <row r="2545">
          <cell r="A2545" t="str">
            <v>ERKI-GLEN KARU</v>
          </cell>
          <cell r="B2545">
            <v>5057</v>
          </cell>
        </row>
        <row r="2546">
          <cell r="A2546" t="str">
            <v>JAAN KARU</v>
          </cell>
          <cell r="B2546">
            <v>5056</v>
          </cell>
        </row>
        <row r="2547">
          <cell r="A2547" t="str">
            <v>KARL-KRISTJAN KARU</v>
          </cell>
          <cell r="B2547">
            <v>9854</v>
          </cell>
        </row>
        <row r="2548">
          <cell r="A2548" t="str">
            <v>KATI-LIIS KARU</v>
          </cell>
          <cell r="B2548">
            <v>4269</v>
          </cell>
        </row>
        <row r="2549">
          <cell r="A2549" t="str">
            <v>KRISTJAN KARU</v>
          </cell>
          <cell r="B2549">
            <v>4268</v>
          </cell>
        </row>
        <row r="2550">
          <cell r="A2550" t="str">
            <v>MERLIS KARU</v>
          </cell>
          <cell r="B2550">
            <v>9855</v>
          </cell>
        </row>
        <row r="2551">
          <cell r="A2551" t="str">
            <v>RENEE KARU</v>
          </cell>
          <cell r="B2551">
            <v>1816</v>
          </cell>
        </row>
        <row r="2552">
          <cell r="A2552" t="str">
            <v>TEET KARU</v>
          </cell>
          <cell r="B2552">
            <v>3953</v>
          </cell>
        </row>
        <row r="2553">
          <cell r="A2553" t="str">
            <v>TRISTAN KARU</v>
          </cell>
          <cell r="B2553">
            <v>10274</v>
          </cell>
        </row>
        <row r="2554">
          <cell r="A2554" t="str">
            <v>KATRIN KARUAUK</v>
          </cell>
          <cell r="B2554">
            <v>5422</v>
          </cell>
        </row>
        <row r="2555">
          <cell r="A2555" t="str">
            <v>HELE-RIIN KARUS</v>
          </cell>
          <cell r="B2555">
            <v>10179</v>
          </cell>
        </row>
        <row r="2556">
          <cell r="A2556" t="str">
            <v>JAANIKA KARUS</v>
          </cell>
          <cell r="B2556">
            <v>5444</v>
          </cell>
        </row>
        <row r="2557">
          <cell r="A2557" t="str">
            <v>KASPAR KARUS</v>
          </cell>
          <cell r="B2557">
            <v>2835</v>
          </cell>
        </row>
        <row r="2558">
          <cell r="A2558" t="str">
            <v>MARIANNE KARUS</v>
          </cell>
          <cell r="B2558">
            <v>2576</v>
          </cell>
        </row>
        <row r="2559">
          <cell r="A2559" t="str">
            <v>MIHKEL KARUSE</v>
          </cell>
          <cell r="B2559">
            <v>2338</v>
          </cell>
        </row>
        <row r="2560">
          <cell r="A2560" t="str">
            <v>LEONHARD KASAK</v>
          </cell>
          <cell r="B2560">
            <v>172</v>
          </cell>
        </row>
        <row r="2561">
          <cell r="A2561" t="str">
            <v>MAIA KASAK</v>
          </cell>
          <cell r="B2561">
            <v>2986</v>
          </cell>
        </row>
        <row r="2562">
          <cell r="A2562" t="str">
            <v>PRIIDIK KASAK</v>
          </cell>
          <cell r="B2562">
            <v>2664</v>
          </cell>
        </row>
        <row r="2563">
          <cell r="A2563" t="str">
            <v>KAREL KASE</v>
          </cell>
          <cell r="B2563">
            <v>2142</v>
          </cell>
        </row>
        <row r="2564">
          <cell r="A2564" t="str">
            <v>LAURI KASE</v>
          </cell>
          <cell r="B2564">
            <v>10168</v>
          </cell>
        </row>
        <row r="2565">
          <cell r="A2565" t="str">
            <v>HEIGO KASELA</v>
          </cell>
          <cell r="B2565">
            <v>2373</v>
          </cell>
        </row>
        <row r="2566">
          <cell r="A2566" t="str">
            <v>STEN KASELA</v>
          </cell>
          <cell r="B2566">
            <v>4136</v>
          </cell>
        </row>
        <row r="2567">
          <cell r="A2567" t="str">
            <v>KASPAR KASEMAA</v>
          </cell>
          <cell r="B2567">
            <v>4995</v>
          </cell>
        </row>
        <row r="2568">
          <cell r="A2568" t="str">
            <v>KAUR KASEMAA</v>
          </cell>
          <cell r="B2568">
            <v>8657</v>
          </cell>
        </row>
        <row r="2569">
          <cell r="A2569" t="str">
            <v>RAGNAR KASEMAA</v>
          </cell>
          <cell r="B2569">
            <v>10651</v>
          </cell>
        </row>
        <row r="2570">
          <cell r="A2570" t="str">
            <v>VILJAR KASEMAA</v>
          </cell>
          <cell r="B2570">
            <v>3942</v>
          </cell>
        </row>
        <row r="2571">
          <cell r="A2571" t="str">
            <v>KAAREL KASEMETS</v>
          </cell>
          <cell r="B2571">
            <v>2503</v>
          </cell>
        </row>
        <row r="2572">
          <cell r="A2572" t="str">
            <v>KASPAR KASEMETS</v>
          </cell>
          <cell r="B2572">
            <v>1347</v>
          </cell>
        </row>
        <row r="2573">
          <cell r="A2573" t="str">
            <v>RIHO KASEMETS</v>
          </cell>
          <cell r="B2573">
            <v>2344</v>
          </cell>
        </row>
        <row r="2574">
          <cell r="A2574" t="str">
            <v>SIIM KASEMETS</v>
          </cell>
          <cell r="B2574">
            <v>1878</v>
          </cell>
        </row>
        <row r="2575">
          <cell r="A2575" t="str">
            <v>ARNO KASENIIT</v>
          </cell>
          <cell r="B2575">
            <v>2710</v>
          </cell>
        </row>
        <row r="2576">
          <cell r="A2576" t="str">
            <v>ALEKSANDR KASHARINSKI</v>
          </cell>
          <cell r="B2576">
            <v>4069</v>
          </cell>
        </row>
        <row r="2577">
          <cell r="A2577" t="str">
            <v>ALEKSANDER KASK</v>
          </cell>
          <cell r="B2577">
            <v>4937</v>
          </cell>
        </row>
        <row r="2578">
          <cell r="A2578" t="str">
            <v>ALLAN KASK</v>
          </cell>
          <cell r="B2578">
            <v>3664</v>
          </cell>
        </row>
        <row r="2579">
          <cell r="A2579" t="str">
            <v>ANNA-LIINA KASK</v>
          </cell>
          <cell r="B2579">
            <v>6077</v>
          </cell>
        </row>
        <row r="2580">
          <cell r="A2580" t="str">
            <v>GERT RANNO KASK</v>
          </cell>
          <cell r="B2580">
            <v>4271</v>
          </cell>
        </row>
        <row r="2581">
          <cell r="A2581" t="str">
            <v>JANET KASK</v>
          </cell>
          <cell r="B2581">
            <v>1604</v>
          </cell>
        </row>
        <row r="2582">
          <cell r="A2582" t="str">
            <v>JOHANNES KASK</v>
          </cell>
          <cell r="B2582">
            <v>9307</v>
          </cell>
        </row>
        <row r="2583">
          <cell r="A2583" t="str">
            <v>KAAREL KASK</v>
          </cell>
          <cell r="B2583">
            <v>1791</v>
          </cell>
        </row>
        <row r="2584">
          <cell r="A2584" t="str">
            <v>KALLE KASK</v>
          </cell>
          <cell r="B2584">
            <v>3669</v>
          </cell>
        </row>
        <row r="2585">
          <cell r="A2585" t="str">
            <v>KARL-JAAGUP KASK</v>
          </cell>
          <cell r="B2585">
            <v>2862</v>
          </cell>
        </row>
        <row r="2586">
          <cell r="A2586" t="str">
            <v>KRISTJAN KASK</v>
          </cell>
          <cell r="B2586">
            <v>8376</v>
          </cell>
        </row>
        <row r="2587">
          <cell r="A2587" t="str">
            <v>KRISTJAN MADIS KASK</v>
          </cell>
          <cell r="B2587">
            <v>4270</v>
          </cell>
        </row>
        <row r="2588">
          <cell r="A2588" t="str">
            <v>MARGUS KASK</v>
          </cell>
          <cell r="B2588">
            <v>173</v>
          </cell>
        </row>
        <row r="2589">
          <cell r="A2589" t="str">
            <v>MIKKO KASK</v>
          </cell>
          <cell r="B2589">
            <v>484</v>
          </cell>
        </row>
        <row r="2590">
          <cell r="A2590" t="str">
            <v>TANEL KASK</v>
          </cell>
          <cell r="B2590">
            <v>7177</v>
          </cell>
        </row>
        <row r="2591">
          <cell r="A2591" t="str">
            <v>VELJO KASK</v>
          </cell>
          <cell r="B2591">
            <v>7635</v>
          </cell>
        </row>
        <row r="2592">
          <cell r="A2592" t="str">
            <v>GUSTAV KASKEMA</v>
          </cell>
          <cell r="B2592">
            <v>8965</v>
          </cell>
        </row>
        <row r="2593">
          <cell r="A2593" t="str">
            <v>REINIS KASPARANS</v>
          </cell>
          <cell r="B2593">
            <v>2239</v>
          </cell>
        </row>
        <row r="2594">
          <cell r="A2594" t="str">
            <v>ALEKSANDR KASSATKIN</v>
          </cell>
          <cell r="B2594">
            <v>3338</v>
          </cell>
        </row>
        <row r="2595">
          <cell r="A2595" t="str">
            <v>MADIS MARTIN KASTERPALU</v>
          </cell>
          <cell r="B2595">
            <v>5186</v>
          </cell>
        </row>
        <row r="2596">
          <cell r="A2596" t="str">
            <v>ROBERT KASTSEJEV</v>
          </cell>
          <cell r="B2596">
            <v>8475</v>
          </cell>
        </row>
        <row r="2597">
          <cell r="A2597" t="str">
            <v>MARIA KASTUJEVA</v>
          </cell>
          <cell r="B2597">
            <v>7153</v>
          </cell>
        </row>
        <row r="2598">
          <cell r="A2598" t="str">
            <v>ELVIN KASUMOVIC</v>
          </cell>
          <cell r="B2598">
            <v>9284</v>
          </cell>
        </row>
        <row r="2599">
          <cell r="A2599" t="str">
            <v>ANDRES KASVANDIK</v>
          </cell>
          <cell r="B2599">
            <v>8969</v>
          </cell>
        </row>
        <row r="2600">
          <cell r="A2600" t="str">
            <v>SERGEI KAZAKEVITŠ</v>
          </cell>
          <cell r="B2600">
            <v>5058</v>
          </cell>
        </row>
        <row r="2601">
          <cell r="A2601" t="str">
            <v>KRISTIINA KAZLAUSKAITE</v>
          </cell>
          <cell r="B2601">
            <v>3499</v>
          </cell>
        </row>
        <row r="2602">
          <cell r="A2602" t="str">
            <v>DIANA KATŠAN</v>
          </cell>
          <cell r="B2602">
            <v>4272</v>
          </cell>
        </row>
        <row r="2603">
          <cell r="A2603" t="str">
            <v>ULJANA KATJUŠANSKAJA</v>
          </cell>
          <cell r="B2603">
            <v>5419</v>
          </cell>
        </row>
        <row r="2604">
          <cell r="A2604" t="str">
            <v>SIIM KATKOSILT</v>
          </cell>
          <cell r="B2604">
            <v>9333</v>
          </cell>
        </row>
        <row r="2605">
          <cell r="A2605" t="str">
            <v>ANDRE KAUK</v>
          </cell>
          <cell r="B2605">
            <v>5952</v>
          </cell>
        </row>
        <row r="2606">
          <cell r="A2606" t="str">
            <v>KRISTO KAUKÜLA</v>
          </cell>
          <cell r="B2606">
            <v>398</v>
          </cell>
        </row>
        <row r="2607">
          <cell r="A2607" t="str">
            <v>RUDOLFS KAUKIS</v>
          </cell>
          <cell r="B2607">
            <v>2252</v>
          </cell>
        </row>
        <row r="2608">
          <cell r="A2608" t="str">
            <v>KEITA KAULENE</v>
          </cell>
          <cell r="B2608">
            <v>10836</v>
          </cell>
        </row>
        <row r="2609">
          <cell r="A2609" t="str">
            <v>ILMARS KAULINŠ</v>
          </cell>
          <cell r="B2609">
            <v>3027</v>
          </cell>
        </row>
        <row r="2610">
          <cell r="A2610" t="str">
            <v>HANNA-LIISA KAUN</v>
          </cell>
          <cell r="B2610">
            <v>4273</v>
          </cell>
        </row>
        <row r="2611">
          <cell r="A2611" t="str">
            <v>JORENS KAUPE</v>
          </cell>
          <cell r="B2611">
            <v>2852</v>
          </cell>
        </row>
        <row r="2612">
          <cell r="A2612" t="str">
            <v>DANIEL KAUR</v>
          </cell>
          <cell r="B2612">
            <v>8290</v>
          </cell>
        </row>
        <row r="2613">
          <cell r="A2613" t="str">
            <v>ERKI KAUR</v>
          </cell>
          <cell r="B2613">
            <v>2731</v>
          </cell>
        </row>
        <row r="2614">
          <cell r="A2614" t="str">
            <v>HEILIKA KAUR</v>
          </cell>
          <cell r="B2614">
            <v>2752</v>
          </cell>
        </row>
        <row r="2615">
          <cell r="A2615" t="str">
            <v>KENNETH KAUR</v>
          </cell>
          <cell r="B2615">
            <v>4772</v>
          </cell>
        </row>
        <row r="2616">
          <cell r="A2616" t="str">
            <v>KRISTEL KAUR</v>
          </cell>
          <cell r="B2616">
            <v>7844</v>
          </cell>
        </row>
        <row r="2617">
          <cell r="A2617" t="str">
            <v>MADIS KAUR</v>
          </cell>
          <cell r="B2617">
            <v>1804</v>
          </cell>
        </row>
        <row r="2618">
          <cell r="A2618" t="str">
            <v>NEEME KAUROV</v>
          </cell>
          <cell r="B2618">
            <v>982</v>
          </cell>
        </row>
        <row r="2619">
          <cell r="A2619" t="str">
            <v>HELERIN KAUS</v>
          </cell>
          <cell r="B2619">
            <v>7275</v>
          </cell>
        </row>
        <row r="2620">
          <cell r="A2620" t="str">
            <v>AIDA KAVECKYTĖ</v>
          </cell>
          <cell r="B2620">
            <v>9668</v>
          </cell>
        </row>
        <row r="2621">
          <cell r="A2621" t="str">
            <v>KRISTINA KAVELITŠ</v>
          </cell>
          <cell r="B2621">
            <v>5582</v>
          </cell>
        </row>
        <row r="2622">
          <cell r="A2622" t="str">
            <v>JOKUBAS KAČERGINSKIS</v>
          </cell>
          <cell r="B2622">
            <v>10571</v>
          </cell>
        </row>
        <row r="2623">
          <cell r="A2623" t="str">
            <v>REIGO KEBJA</v>
          </cell>
          <cell r="B2623">
            <v>8042</v>
          </cell>
        </row>
        <row r="2624">
          <cell r="A2624" t="str">
            <v>VLADIMIR KECHKO</v>
          </cell>
          <cell r="B2624">
            <v>324</v>
          </cell>
        </row>
        <row r="2625">
          <cell r="A2625" t="str">
            <v>PRIIT KEEL</v>
          </cell>
          <cell r="B2625">
            <v>9866</v>
          </cell>
        </row>
        <row r="2626">
          <cell r="A2626" t="str">
            <v>STEN ERIK KEEM</v>
          </cell>
          <cell r="B2626">
            <v>9532</v>
          </cell>
        </row>
        <row r="2627">
          <cell r="A2627" t="str">
            <v>TENNO KEERIG</v>
          </cell>
          <cell r="B2627">
            <v>3050</v>
          </cell>
        </row>
        <row r="2628">
          <cell r="A2628" t="str">
            <v>HARRI KEERMA</v>
          </cell>
          <cell r="B2628">
            <v>7123</v>
          </cell>
        </row>
        <row r="2629">
          <cell r="A2629" t="str">
            <v>TAMARA KEERT</v>
          </cell>
          <cell r="B2629">
            <v>58</v>
          </cell>
        </row>
        <row r="2630">
          <cell r="A2630" t="str">
            <v>EVE KEERUS-JUSUPOV</v>
          </cell>
          <cell r="B2630">
            <v>4664</v>
          </cell>
        </row>
        <row r="2631">
          <cell r="A2631" t="str">
            <v>ASSER-AURIS KEES</v>
          </cell>
          <cell r="B2631">
            <v>3105</v>
          </cell>
        </row>
        <row r="2632">
          <cell r="A2632" t="str">
            <v>ILJA KEIKOV</v>
          </cell>
          <cell r="B2632">
            <v>7718</v>
          </cell>
        </row>
        <row r="2633">
          <cell r="A2633" t="str">
            <v>OSKAR KEINÄNEN</v>
          </cell>
          <cell r="B2633">
            <v>8318</v>
          </cell>
        </row>
        <row r="2634">
          <cell r="A2634" t="str">
            <v>ASKO KEINONEN</v>
          </cell>
          <cell r="B2634">
            <v>3780</v>
          </cell>
        </row>
        <row r="2635">
          <cell r="A2635" t="str">
            <v>TANELI KEINONEN</v>
          </cell>
          <cell r="B2635">
            <v>5538</v>
          </cell>
        </row>
        <row r="2636">
          <cell r="A2636" t="str">
            <v>PAULIUS KEINYS</v>
          </cell>
          <cell r="B2636">
            <v>3173</v>
          </cell>
        </row>
        <row r="2637">
          <cell r="A2637" t="str">
            <v>LEONID KEIS</v>
          </cell>
          <cell r="B2637">
            <v>10523</v>
          </cell>
        </row>
        <row r="2638">
          <cell r="A2638" t="str">
            <v>KARI KEKÄLÄINEN</v>
          </cell>
          <cell r="B2638">
            <v>10307</v>
          </cell>
        </row>
        <row r="2639">
          <cell r="A2639" t="str">
            <v>KLEMENTI KEKELIDZE</v>
          </cell>
          <cell r="B2639">
            <v>5040</v>
          </cell>
        </row>
        <row r="2640">
          <cell r="A2640" t="str">
            <v>VIKTOR KEKELIDZE</v>
          </cell>
          <cell r="B2640">
            <v>5165</v>
          </cell>
        </row>
        <row r="2641">
          <cell r="A2641" t="str">
            <v>EKKE KEKIŠEV</v>
          </cell>
          <cell r="B2641">
            <v>10268</v>
          </cell>
        </row>
        <row r="2642">
          <cell r="A2642" t="str">
            <v>OTT KEKIŠEV</v>
          </cell>
          <cell r="B2642">
            <v>9391</v>
          </cell>
        </row>
        <row r="2643">
          <cell r="A2643" t="str">
            <v>VADIM KEKKONEN</v>
          </cell>
          <cell r="B2643">
            <v>3781</v>
          </cell>
        </row>
        <row r="2644">
          <cell r="A2644" t="str">
            <v>RAUNO KEKORAINEN</v>
          </cell>
          <cell r="B2644">
            <v>3224</v>
          </cell>
        </row>
        <row r="2645">
          <cell r="A2645" t="str">
            <v>JAAK KELDER</v>
          </cell>
          <cell r="B2645">
            <v>1851</v>
          </cell>
        </row>
        <row r="2646">
          <cell r="A2646" t="str">
            <v>KEVIN KELDER</v>
          </cell>
          <cell r="B2646">
            <v>5195</v>
          </cell>
        </row>
        <row r="2647">
          <cell r="A2647" t="str">
            <v>MARTA KELDO</v>
          </cell>
          <cell r="B2647">
            <v>9996</v>
          </cell>
        </row>
        <row r="2648">
          <cell r="A2648" t="str">
            <v>INDREK KELEMENT</v>
          </cell>
          <cell r="B2648">
            <v>8881</v>
          </cell>
        </row>
        <row r="2649">
          <cell r="A2649" t="str">
            <v>MARTEN HENDRIK KELEMENT</v>
          </cell>
          <cell r="B2649">
            <v>8882</v>
          </cell>
        </row>
        <row r="2650">
          <cell r="A2650" t="str">
            <v>AIVARAS KELIOTIS</v>
          </cell>
          <cell r="B2650">
            <v>3782</v>
          </cell>
        </row>
        <row r="2651">
          <cell r="A2651" t="str">
            <v>JOSEF KELLER</v>
          </cell>
          <cell r="B2651">
            <v>10340</v>
          </cell>
        </row>
        <row r="2652">
          <cell r="A2652" t="str">
            <v>KARI KELLONIEMI</v>
          </cell>
          <cell r="B2652">
            <v>1229</v>
          </cell>
        </row>
        <row r="2653">
          <cell r="A2653" t="str">
            <v>MERGIM KELMENDI</v>
          </cell>
          <cell r="B2653">
            <v>8344</v>
          </cell>
        </row>
        <row r="2654">
          <cell r="A2654" t="str">
            <v>OLEG KEMENEV</v>
          </cell>
          <cell r="B2654">
            <v>2860</v>
          </cell>
        </row>
        <row r="2655">
          <cell r="A2655" t="str">
            <v>GERTIN KENDER</v>
          </cell>
          <cell r="B2655">
            <v>5407</v>
          </cell>
        </row>
        <row r="2656">
          <cell r="A2656" t="str">
            <v>STEN KENERT</v>
          </cell>
          <cell r="B2656">
            <v>5913</v>
          </cell>
        </row>
        <row r="2657">
          <cell r="A2657" t="str">
            <v>NIKOLAIJS KENINS</v>
          </cell>
          <cell r="B2657">
            <v>1230</v>
          </cell>
        </row>
        <row r="2658">
          <cell r="A2658" t="str">
            <v>SANDER KENTS</v>
          </cell>
          <cell r="B2658">
            <v>3471</v>
          </cell>
        </row>
        <row r="2659">
          <cell r="A2659" t="str">
            <v>KARL-MARKUS KEPART</v>
          </cell>
          <cell r="B2659">
            <v>10101</v>
          </cell>
        </row>
        <row r="2660">
          <cell r="A2660" t="str">
            <v>RIKO KEPART</v>
          </cell>
          <cell r="B2660">
            <v>8647</v>
          </cell>
        </row>
        <row r="2661">
          <cell r="A2661" t="str">
            <v>ANDREAS KEPP</v>
          </cell>
          <cell r="B2661">
            <v>7645</v>
          </cell>
        </row>
        <row r="2662">
          <cell r="A2662" t="str">
            <v>ARMINAS KERAS</v>
          </cell>
          <cell r="B2662">
            <v>10569</v>
          </cell>
        </row>
        <row r="2663">
          <cell r="A2663" t="str">
            <v>VLADIMIRS KEREBS</v>
          </cell>
          <cell r="B2663">
            <v>1727</v>
          </cell>
        </row>
        <row r="2664">
          <cell r="A2664" t="str">
            <v>ANDREI KEREKETKIN</v>
          </cell>
          <cell r="B2664">
            <v>3783</v>
          </cell>
        </row>
        <row r="2665">
          <cell r="A2665" t="str">
            <v>RIHHARD KEREM</v>
          </cell>
          <cell r="B2665">
            <v>10096</v>
          </cell>
        </row>
        <row r="2666">
          <cell r="A2666" t="str">
            <v>RAIDO KEREME</v>
          </cell>
          <cell r="B2666">
            <v>2956</v>
          </cell>
        </row>
        <row r="2667">
          <cell r="A2667" t="str">
            <v>KAIA KERGE</v>
          </cell>
          <cell r="B2667">
            <v>1106</v>
          </cell>
        </row>
        <row r="2668">
          <cell r="A2668" t="str">
            <v>KATARINA KERMON</v>
          </cell>
          <cell r="B2668">
            <v>10448</v>
          </cell>
        </row>
        <row r="2669">
          <cell r="A2669" t="str">
            <v>KARL JOOSEP KERN</v>
          </cell>
          <cell r="B2669">
            <v>7360</v>
          </cell>
        </row>
        <row r="2670">
          <cell r="A2670" t="str">
            <v>MARKUS KERNER</v>
          </cell>
          <cell r="B2670">
            <v>3559</v>
          </cell>
        </row>
        <row r="2671">
          <cell r="A2671" t="str">
            <v>AADI KERNO</v>
          </cell>
          <cell r="B2671">
            <v>9454</v>
          </cell>
        </row>
        <row r="2672">
          <cell r="A2672" t="str">
            <v>KRISTO KERNO</v>
          </cell>
          <cell r="B2672">
            <v>9455</v>
          </cell>
        </row>
        <row r="2673">
          <cell r="A2673" t="str">
            <v>DARJA KERRA</v>
          </cell>
          <cell r="B2673">
            <v>5397</v>
          </cell>
        </row>
        <row r="2674">
          <cell r="A2674" t="str">
            <v>ROLAND KERSEN</v>
          </cell>
          <cell r="B2674">
            <v>9242</v>
          </cell>
        </row>
        <row r="2675">
          <cell r="A2675" t="str">
            <v>ALLAN KERSTEN</v>
          </cell>
          <cell r="B2675">
            <v>4773</v>
          </cell>
        </row>
        <row r="2676">
          <cell r="A2676" t="str">
            <v>ANDRES KERT</v>
          </cell>
          <cell r="B2676">
            <v>3086</v>
          </cell>
        </row>
        <row r="2677">
          <cell r="A2677" t="str">
            <v>ROMET KERTNER</v>
          </cell>
          <cell r="B2677">
            <v>2921</v>
          </cell>
        </row>
        <row r="2678">
          <cell r="A2678" t="str">
            <v>ERIK KESA</v>
          </cell>
          <cell r="B2678">
            <v>3095</v>
          </cell>
        </row>
        <row r="2679">
          <cell r="A2679" t="str">
            <v>ERLEND KESA</v>
          </cell>
          <cell r="B2679">
            <v>3018</v>
          </cell>
        </row>
        <row r="2680">
          <cell r="A2680" t="str">
            <v>JULIA KESA</v>
          </cell>
          <cell r="B2680">
            <v>59</v>
          </cell>
        </row>
        <row r="2681">
          <cell r="A2681" t="str">
            <v>ASKO KESK</v>
          </cell>
          <cell r="B2681">
            <v>4736</v>
          </cell>
        </row>
        <row r="2682">
          <cell r="A2682" t="str">
            <v>ANET KESKÜLA</v>
          </cell>
          <cell r="B2682">
            <v>3784</v>
          </cell>
        </row>
        <row r="2683">
          <cell r="A2683" t="str">
            <v>KARINE KESKÜLA</v>
          </cell>
          <cell r="B2683">
            <v>9167</v>
          </cell>
        </row>
        <row r="2684">
          <cell r="A2684" t="str">
            <v>MADIS KESKÜLA</v>
          </cell>
          <cell r="B2684">
            <v>9970</v>
          </cell>
        </row>
        <row r="2685">
          <cell r="A2685" t="str">
            <v>JONI KESKI</v>
          </cell>
          <cell r="B2685">
            <v>1556</v>
          </cell>
        </row>
        <row r="2686">
          <cell r="A2686" t="str">
            <v>KAAREL KESKKÜLA</v>
          </cell>
          <cell r="B2686">
            <v>5510</v>
          </cell>
        </row>
        <row r="2687">
          <cell r="A2687" t="str">
            <v>KASPAR KESKKÜLA</v>
          </cell>
          <cell r="B2687">
            <v>8435</v>
          </cell>
        </row>
        <row r="2688">
          <cell r="A2688" t="str">
            <v>NIKOLAI KESTER</v>
          </cell>
          <cell r="B2688">
            <v>8843</v>
          </cell>
        </row>
        <row r="2689">
          <cell r="A2689" t="str">
            <v>OLESJA KETŠKO</v>
          </cell>
          <cell r="B2689">
            <v>2085</v>
          </cell>
        </row>
        <row r="2690">
          <cell r="A2690" t="str">
            <v>ISABEL KEVADE</v>
          </cell>
          <cell r="B2690">
            <v>5669</v>
          </cell>
        </row>
        <row r="2691">
          <cell r="A2691" t="str">
            <v>MAANAS KEVADE</v>
          </cell>
          <cell r="B2691">
            <v>10496</v>
          </cell>
        </row>
        <row r="2692">
          <cell r="A2692" t="str">
            <v>RAIDO KEVEND</v>
          </cell>
          <cell r="B2692">
            <v>7675</v>
          </cell>
        </row>
        <row r="2693">
          <cell r="A2693" t="str">
            <v>MURAD KHALILOV</v>
          </cell>
          <cell r="B2693">
            <v>10361</v>
          </cell>
        </row>
        <row r="2694">
          <cell r="A2694" t="str">
            <v>IBRAKHIM KHALIMA</v>
          </cell>
          <cell r="B2694">
            <v>10142</v>
          </cell>
        </row>
        <row r="2695">
          <cell r="A2695" t="str">
            <v>PHILIP KHARCHENKO</v>
          </cell>
          <cell r="B2695">
            <v>10421</v>
          </cell>
        </row>
        <row r="2696">
          <cell r="A2696" t="str">
            <v>IGOR KHARKHAN</v>
          </cell>
          <cell r="B2696">
            <v>9338</v>
          </cell>
        </row>
        <row r="2697">
          <cell r="A2697" t="str">
            <v>NIKOLAI KHARKHAN</v>
          </cell>
          <cell r="B2697">
            <v>9337</v>
          </cell>
        </row>
        <row r="2698">
          <cell r="A2698" t="str">
            <v>NOVA KHIDIR</v>
          </cell>
          <cell r="B2698">
            <v>1499</v>
          </cell>
        </row>
        <row r="2699">
          <cell r="A2699" t="str">
            <v>FEDOR KHIRUG</v>
          </cell>
          <cell r="B2699">
            <v>8487</v>
          </cell>
        </row>
        <row r="2700">
          <cell r="A2700" t="str">
            <v>ROMAN KHIRUG</v>
          </cell>
          <cell r="B2700">
            <v>8486</v>
          </cell>
        </row>
        <row r="2701">
          <cell r="A2701" t="str">
            <v>STANISLAVA KHIZHNYAKOVA</v>
          </cell>
          <cell r="B2701">
            <v>5644</v>
          </cell>
        </row>
        <row r="2702">
          <cell r="A2702" t="str">
            <v>JEVGENI KHOKLOV</v>
          </cell>
          <cell r="B2702">
            <v>9812</v>
          </cell>
        </row>
        <row r="2703">
          <cell r="A2703" t="str">
            <v>KYRYLO KHOLODKO</v>
          </cell>
          <cell r="B2703">
            <v>10682</v>
          </cell>
        </row>
        <row r="2704">
          <cell r="A2704" t="str">
            <v>SAM KHOSRAVI</v>
          </cell>
          <cell r="B2704">
            <v>8269</v>
          </cell>
        </row>
        <row r="2705">
          <cell r="A2705" t="str">
            <v>DARIUS KIAULAKIS</v>
          </cell>
          <cell r="B2705">
            <v>9107</v>
          </cell>
        </row>
        <row r="2706">
          <cell r="A2706" t="str">
            <v>HANS KIBENA</v>
          </cell>
          <cell r="B2706">
            <v>174</v>
          </cell>
        </row>
        <row r="2707">
          <cell r="A2707" t="str">
            <v>SILJA KIBENA</v>
          </cell>
          <cell r="B2707">
            <v>4010</v>
          </cell>
        </row>
        <row r="2708">
          <cell r="A2708" t="str">
            <v>VEIKO KIBENA</v>
          </cell>
          <cell r="B2708">
            <v>189</v>
          </cell>
        </row>
        <row r="2709">
          <cell r="A2709" t="str">
            <v>VELLO KIBENA</v>
          </cell>
          <cell r="B2709">
            <v>491</v>
          </cell>
        </row>
        <row r="2710">
          <cell r="A2710" t="str">
            <v>GRETE-CELIA KIBUVITS</v>
          </cell>
          <cell r="B2710">
            <v>4274</v>
          </cell>
        </row>
        <row r="2711">
          <cell r="A2711" t="str">
            <v>MARKUS KIIER</v>
          </cell>
          <cell r="B2711">
            <v>8464</v>
          </cell>
        </row>
        <row r="2712">
          <cell r="A2712" t="str">
            <v>MAIT KIIGEMÄGI</v>
          </cell>
          <cell r="B2712">
            <v>10426</v>
          </cell>
        </row>
        <row r="2713">
          <cell r="A2713" t="str">
            <v>OLIVER KIIGSKE</v>
          </cell>
          <cell r="B2713">
            <v>9693</v>
          </cell>
        </row>
        <row r="2714">
          <cell r="A2714" t="str">
            <v>IVAR KIIK</v>
          </cell>
          <cell r="B2714">
            <v>9632</v>
          </cell>
        </row>
        <row r="2715">
          <cell r="A2715" t="str">
            <v>TARMO KIIK</v>
          </cell>
          <cell r="B2715">
            <v>3378</v>
          </cell>
        </row>
        <row r="2716">
          <cell r="A2716" t="str">
            <v>IVAR KIIL</v>
          </cell>
          <cell r="B2716">
            <v>8295</v>
          </cell>
        </row>
        <row r="2717">
          <cell r="A2717" t="str">
            <v>INNO KIILASPEA</v>
          </cell>
          <cell r="B2717">
            <v>4880</v>
          </cell>
        </row>
        <row r="2718">
          <cell r="A2718" t="str">
            <v>RASMO KIIN</v>
          </cell>
          <cell r="B2718">
            <v>6202</v>
          </cell>
        </row>
        <row r="2719">
          <cell r="A2719" t="str">
            <v>RISTO KIIRKIVI</v>
          </cell>
          <cell r="B2719">
            <v>1917</v>
          </cell>
        </row>
        <row r="2720">
          <cell r="A2720" t="str">
            <v>KARIN KIIS</v>
          </cell>
          <cell r="B2720">
            <v>2232</v>
          </cell>
        </row>
        <row r="2721">
          <cell r="A2721" t="str">
            <v>KERSTI KIIS</v>
          </cell>
          <cell r="B2721">
            <v>4275</v>
          </cell>
        </row>
        <row r="2722">
          <cell r="A2722" t="str">
            <v>MAIKO KIIS</v>
          </cell>
          <cell r="B2722">
            <v>4817</v>
          </cell>
        </row>
        <row r="2723">
          <cell r="A2723" t="str">
            <v>PEETER-MATI KIIS</v>
          </cell>
          <cell r="B2723">
            <v>5059</v>
          </cell>
        </row>
        <row r="2724">
          <cell r="A2724" t="str">
            <v>ANDRUS KIISA</v>
          </cell>
          <cell r="B2724">
            <v>355</v>
          </cell>
        </row>
        <row r="2725">
          <cell r="A2725" t="str">
            <v>ANTS KIISA</v>
          </cell>
          <cell r="B2725">
            <v>350</v>
          </cell>
        </row>
        <row r="2726">
          <cell r="A2726" t="str">
            <v>REBEKA KIISA</v>
          </cell>
          <cell r="B2726">
            <v>4774</v>
          </cell>
        </row>
        <row r="2727">
          <cell r="A2727" t="str">
            <v>ALO KIISK</v>
          </cell>
          <cell r="B2727">
            <v>8432</v>
          </cell>
        </row>
        <row r="2728">
          <cell r="A2728" t="str">
            <v>RAIDO KIISK</v>
          </cell>
          <cell r="B2728">
            <v>1796</v>
          </cell>
        </row>
        <row r="2729">
          <cell r="A2729" t="str">
            <v>REIMO KIISK</v>
          </cell>
          <cell r="B2729">
            <v>1015</v>
          </cell>
        </row>
        <row r="2730">
          <cell r="A2730" t="str">
            <v>ENE KIISKÜLA</v>
          </cell>
          <cell r="B2730">
            <v>4115</v>
          </cell>
        </row>
        <row r="2731">
          <cell r="A2731" t="str">
            <v>HEIKKI KIISKINEN</v>
          </cell>
          <cell r="B2731">
            <v>10218</v>
          </cell>
        </row>
        <row r="2732">
          <cell r="A2732" t="str">
            <v>AINAR KIISON</v>
          </cell>
          <cell r="B2732">
            <v>4276</v>
          </cell>
        </row>
        <row r="2733">
          <cell r="A2733" t="str">
            <v>JAN KIIVIKAS</v>
          </cell>
          <cell r="B2733">
            <v>9218</v>
          </cell>
        </row>
        <row r="2734">
          <cell r="A2734" t="str">
            <v>MARKO KIIVIKAS</v>
          </cell>
          <cell r="B2734">
            <v>4984</v>
          </cell>
        </row>
        <row r="2735">
          <cell r="A2735" t="str">
            <v>ANNEGRET KIIVIT</v>
          </cell>
          <cell r="B2735">
            <v>1160</v>
          </cell>
        </row>
        <row r="2736">
          <cell r="A2736" t="str">
            <v>ANDRUS KIKAS</v>
          </cell>
          <cell r="B2736">
            <v>175</v>
          </cell>
        </row>
        <row r="2737">
          <cell r="A2737" t="str">
            <v>KARL KRISTJAN KIKAS</v>
          </cell>
          <cell r="B2737">
            <v>7235</v>
          </cell>
        </row>
        <row r="2738">
          <cell r="A2738" t="str">
            <v>KRISTOFER KIKAS</v>
          </cell>
          <cell r="B2738">
            <v>8018</v>
          </cell>
        </row>
        <row r="2739">
          <cell r="A2739" t="str">
            <v>REIN KIKAS</v>
          </cell>
          <cell r="B2739">
            <v>177</v>
          </cell>
        </row>
        <row r="2740">
          <cell r="A2740" t="str">
            <v>HUGO GREGOR KIKERPILL</v>
          </cell>
          <cell r="B2740">
            <v>5557</v>
          </cell>
        </row>
        <row r="2741">
          <cell r="A2741" t="str">
            <v>JOONAS KIKERPILL</v>
          </cell>
          <cell r="B2741">
            <v>7182</v>
          </cell>
        </row>
        <row r="2742">
          <cell r="A2742" t="str">
            <v>RAIVO KIKKAS</v>
          </cell>
          <cell r="B2742">
            <v>8694</v>
          </cell>
        </row>
        <row r="2743">
          <cell r="A2743" t="str">
            <v>TAAVI KIKKAS</v>
          </cell>
          <cell r="B2743">
            <v>3436</v>
          </cell>
        </row>
        <row r="2744">
          <cell r="A2744" t="str">
            <v>VADIM KILESSO</v>
          </cell>
          <cell r="B2744">
            <v>1899</v>
          </cell>
        </row>
        <row r="2745">
          <cell r="A2745" t="str">
            <v>KENAN RICO KILINC</v>
          </cell>
          <cell r="B2745">
            <v>10394</v>
          </cell>
        </row>
        <row r="2746">
          <cell r="A2746" t="str">
            <v>MARILIN KILK</v>
          </cell>
          <cell r="B2746">
            <v>4277</v>
          </cell>
        </row>
        <row r="2747">
          <cell r="A2747" t="str">
            <v>RAIN KILKSON</v>
          </cell>
          <cell r="B2747">
            <v>4278</v>
          </cell>
        </row>
        <row r="2748">
          <cell r="A2748" t="str">
            <v>VALDI KILLING</v>
          </cell>
          <cell r="B2748">
            <v>1089</v>
          </cell>
        </row>
        <row r="2749">
          <cell r="A2749" t="str">
            <v>JAKOB KILMI</v>
          </cell>
          <cell r="B2749">
            <v>10656</v>
          </cell>
        </row>
        <row r="2750">
          <cell r="A2750" t="str">
            <v>LEENA KILMI</v>
          </cell>
          <cell r="B2750">
            <v>7356</v>
          </cell>
        </row>
        <row r="2751">
          <cell r="A2751" t="str">
            <v>KALMER KILVITS</v>
          </cell>
          <cell r="B2751">
            <v>8278</v>
          </cell>
        </row>
        <row r="2752">
          <cell r="A2752" t="str">
            <v>NATALIA KINDJAKOVA</v>
          </cell>
          <cell r="B2752">
            <v>4279</v>
          </cell>
        </row>
        <row r="2753">
          <cell r="A2753" t="str">
            <v>IVARI KINDSIGO</v>
          </cell>
          <cell r="B2753">
            <v>176</v>
          </cell>
        </row>
        <row r="2754">
          <cell r="A2754" t="str">
            <v>URMAS KING</v>
          </cell>
          <cell r="B2754">
            <v>178</v>
          </cell>
        </row>
        <row r="2755">
          <cell r="A2755" t="str">
            <v>KERSTIN KINGO</v>
          </cell>
          <cell r="B2755">
            <v>7965</v>
          </cell>
        </row>
        <row r="2756">
          <cell r="A2756" t="str">
            <v>RAUL KINGSEPP</v>
          </cell>
          <cell r="B2756">
            <v>8838</v>
          </cell>
        </row>
        <row r="2757">
          <cell r="A2757" t="str">
            <v>VÄINO KINGSEPP</v>
          </cell>
          <cell r="B2757">
            <v>2192</v>
          </cell>
        </row>
        <row r="2758">
          <cell r="A2758" t="str">
            <v>KRISTA KINGUMETS</v>
          </cell>
          <cell r="B2758">
            <v>5918</v>
          </cell>
        </row>
        <row r="2759">
          <cell r="A2759" t="str">
            <v>GENNADI KINK</v>
          </cell>
          <cell r="B2759">
            <v>1926</v>
          </cell>
        </row>
        <row r="2760">
          <cell r="A2760" t="str">
            <v>HEIKI KINK</v>
          </cell>
          <cell r="B2760">
            <v>7946</v>
          </cell>
        </row>
        <row r="2761">
          <cell r="A2761" t="str">
            <v>HELENA KINK</v>
          </cell>
          <cell r="B2761">
            <v>7135</v>
          </cell>
        </row>
        <row r="2762">
          <cell r="A2762" t="str">
            <v>HOLGER KINK</v>
          </cell>
          <cell r="B2762">
            <v>6087</v>
          </cell>
        </row>
        <row r="2763">
          <cell r="A2763" t="str">
            <v>KARL KINK</v>
          </cell>
          <cell r="B2763">
            <v>7561</v>
          </cell>
        </row>
        <row r="2764">
          <cell r="A2764" t="str">
            <v>CARL-JOHANNES KINNUNEN</v>
          </cell>
          <cell r="B2764">
            <v>8480</v>
          </cell>
        </row>
        <row r="2765">
          <cell r="A2765" t="str">
            <v>LIILIA KINSIVEER</v>
          </cell>
          <cell r="B2765">
            <v>10176</v>
          </cell>
        </row>
        <row r="2766">
          <cell r="A2766" t="str">
            <v>RASMUS KIPP</v>
          </cell>
          <cell r="B2766">
            <v>8355</v>
          </cell>
        </row>
        <row r="2767">
          <cell r="A2767" t="str">
            <v>KUNO KIPPER</v>
          </cell>
          <cell r="B2767">
            <v>7306</v>
          </cell>
        </row>
        <row r="2768">
          <cell r="A2768" t="str">
            <v>RAUNI KIPPER</v>
          </cell>
          <cell r="B2768">
            <v>969</v>
          </cell>
        </row>
        <row r="2769">
          <cell r="A2769" t="str">
            <v>JULIJA KIREVICHEVA</v>
          </cell>
          <cell r="B2769">
            <v>7428</v>
          </cell>
        </row>
        <row r="2770">
          <cell r="A2770" t="str">
            <v>ADRIAN KIRIKAL</v>
          </cell>
          <cell r="B2770">
            <v>6211</v>
          </cell>
        </row>
        <row r="2771">
          <cell r="A2771" t="str">
            <v>DANIIL KIRILLOV</v>
          </cell>
          <cell r="B2771">
            <v>10119</v>
          </cell>
        </row>
        <row r="2772">
          <cell r="A2772" t="str">
            <v>ANASTASIA KIRILLOVA</v>
          </cell>
          <cell r="B2772">
            <v>10718</v>
          </cell>
        </row>
        <row r="2773">
          <cell r="A2773" t="str">
            <v>ANGELINA KIRILLOVA</v>
          </cell>
          <cell r="B2773">
            <v>10719</v>
          </cell>
        </row>
        <row r="2774">
          <cell r="A2774" t="str">
            <v>JEKATERINA KIRILLOVA</v>
          </cell>
          <cell r="B2774">
            <v>6999</v>
          </cell>
        </row>
        <row r="2775">
          <cell r="A2775" t="str">
            <v>ANNA KIRITŠENKO</v>
          </cell>
          <cell r="B2775">
            <v>3052</v>
          </cell>
        </row>
        <row r="2776">
          <cell r="A2776" t="str">
            <v>DARIA KIRITŠENKO</v>
          </cell>
          <cell r="B2776">
            <v>5626</v>
          </cell>
        </row>
        <row r="2777">
          <cell r="A2777" t="str">
            <v>ALEKSANDR KIRJUSKIN</v>
          </cell>
          <cell r="B2777">
            <v>8095</v>
          </cell>
        </row>
        <row r="2778">
          <cell r="A2778" t="str">
            <v>ALINA KIRKU</v>
          </cell>
          <cell r="B2778">
            <v>3990</v>
          </cell>
        </row>
        <row r="2779">
          <cell r="A2779" t="str">
            <v>SANDRA KIRMJÕE</v>
          </cell>
          <cell r="B2779">
            <v>8518</v>
          </cell>
        </row>
        <row r="2780">
          <cell r="A2780" t="str">
            <v>NKITA KIRPANJOV</v>
          </cell>
          <cell r="B2780">
            <v>9789</v>
          </cell>
        </row>
        <row r="2781">
          <cell r="A2781" t="str">
            <v>ALEKSANDR KIRPU</v>
          </cell>
          <cell r="B2781">
            <v>990</v>
          </cell>
        </row>
        <row r="2782">
          <cell r="A2782" t="str">
            <v>JULIA KIRPU</v>
          </cell>
          <cell r="B2782">
            <v>893</v>
          </cell>
        </row>
        <row r="2783">
          <cell r="A2783" t="str">
            <v>KÄTHLIN KIRPU</v>
          </cell>
          <cell r="B2783">
            <v>1911</v>
          </cell>
        </row>
        <row r="2784">
          <cell r="A2784" t="str">
            <v>KEVEN KIRPU</v>
          </cell>
          <cell r="B2784">
            <v>1788</v>
          </cell>
        </row>
        <row r="2785">
          <cell r="A2785" t="str">
            <v>VIKTORIA KIRPU</v>
          </cell>
          <cell r="B2785">
            <v>2087</v>
          </cell>
        </row>
        <row r="2786">
          <cell r="A2786" t="str">
            <v>VLADA KIRPU</v>
          </cell>
          <cell r="B2786">
            <v>4996</v>
          </cell>
        </row>
        <row r="2787">
          <cell r="A2787" t="str">
            <v>MAREK KIRS</v>
          </cell>
          <cell r="B2787">
            <v>1672</v>
          </cell>
        </row>
        <row r="2788">
          <cell r="A2788" t="str">
            <v>OSKAR KIRS</v>
          </cell>
          <cell r="B2788">
            <v>7633</v>
          </cell>
        </row>
        <row r="2789">
          <cell r="A2789" t="str">
            <v>LEINI KIRSIMÄE</v>
          </cell>
          <cell r="B2789">
            <v>3991</v>
          </cell>
        </row>
        <row r="2790">
          <cell r="A2790" t="str">
            <v>KAUPO KIRSIMAA</v>
          </cell>
          <cell r="B2790">
            <v>1630</v>
          </cell>
        </row>
        <row r="2791">
          <cell r="A2791" t="str">
            <v>KEVIN KIRSIMAA</v>
          </cell>
          <cell r="B2791">
            <v>2727</v>
          </cell>
        </row>
        <row r="2792">
          <cell r="A2792" t="str">
            <v>ANDRO KIRSIPUU</v>
          </cell>
          <cell r="B2792">
            <v>9957</v>
          </cell>
        </row>
        <row r="2793">
          <cell r="A2793" t="str">
            <v>MART KIRSIPUU</v>
          </cell>
          <cell r="B2793">
            <v>8408</v>
          </cell>
        </row>
        <row r="2794">
          <cell r="A2794" t="str">
            <v>ADELE KIRSPUU</v>
          </cell>
          <cell r="B2794">
            <v>2797</v>
          </cell>
        </row>
        <row r="2795">
          <cell r="A2795" t="str">
            <v>MARKUS KIRSS</v>
          </cell>
          <cell r="B2795">
            <v>6136</v>
          </cell>
        </row>
        <row r="2796">
          <cell r="A2796" t="str">
            <v>JANEK KIRST</v>
          </cell>
          <cell r="B2796">
            <v>2286</v>
          </cell>
        </row>
        <row r="2797">
          <cell r="A2797" t="str">
            <v>JANNO KIRST</v>
          </cell>
          <cell r="B2797">
            <v>2362</v>
          </cell>
        </row>
        <row r="2798">
          <cell r="A2798" t="str">
            <v>MAREK KIRST</v>
          </cell>
          <cell r="B2798">
            <v>2389</v>
          </cell>
        </row>
        <row r="2799">
          <cell r="A2799" t="str">
            <v>REIN KIRST</v>
          </cell>
          <cell r="B2799">
            <v>3785</v>
          </cell>
        </row>
        <row r="2800">
          <cell r="A2800" t="str">
            <v>KAURI KIRTSI</v>
          </cell>
          <cell r="B2800">
            <v>8211</v>
          </cell>
        </row>
        <row r="2801">
          <cell r="A2801" t="str">
            <v>MARTIN KIRTSING</v>
          </cell>
          <cell r="B2801">
            <v>8602</v>
          </cell>
        </row>
        <row r="2802">
          <cell r="A2802" t="str">
            <v>ALEKSANDR KIRUŠKIN</v>
          </cell>
          <cell r="B2802">
            <v>7482</v>
          </cell>
        </row>
        <row r="2803">
          <cell r="A2803" t="str">
            <v>ROMET KIRVES</v>
          </cell>
          <cell r="B2803">
            <v>9161</v>
          </cell>
        </row>
        <row r="2804">
          <cell r="A2804" t="str">
            <v>DARYA KISEL</v>
          </cell>
          <cell r="B2804">
            <v>8322</v>
          </cell>
        </row>
        <row r="2805">
          <cell r="A2805" t="str">
            <v>GREGOR GUSTAV KISEL</v>
          </cell>
          <cell r="B2805">
            <v>10824</v>
          </cell>
        </row>
        <row r="2806">
          <cell r="A2806" t="str">
            <v>HANNES HENDRIK KISEL</v>
          </cell>
          <cell r="B2806">
            <v>9205</v>
          </cell>
        </row>
        <row r="2807">
          <cell r="A2807" t="str">
            <v>KERLI KISLÕI</v>
          </cell>
          <cell r="B2807">
            <v>4665</v>
          </cell>
        </row>
        <row r="2808">
          <cell r="A2808" t="str">
            <v>SANDER KISLER</v>
          </cell>
          <cell r="B2808">
            <v>4737</v>
          </cell>
        </row>
        <row r="2809">
          <cell r="A2809" t="str">
            <v>VERONIKA KISSELJOVA</v>
          </cell>
          <cell r="B2809">
            <v>3080</v>
          </cell>
        </row>
        <row r="2810">
          <cell r="A2810" t="str">
            <v>ALEKSEI KIZILOV</v>
          </cell>
          <cell r="B2810">
            <v>5215</v>
          </cell>
        </row>
        <row r="2811">
          <cell r="A2811" t="str">
            <v>ANASTASIYA KIZILOVA</v>
          </cell>
          <cell r="B2811">
            <v>5597</v>
          </cell>
        </row>
        <row r="2812">
          <cell r="A2812" t="str">
            <v>MARKO KITSING</v>
          </cell>
          <cell r="B2812">
            <v>8715</v>
          </cell>
        </row>
        <row r="2813">
          <cell r="A2813" t="str">
            <v>OLEV KITVEL</v>
          </cell>
          <cell r="B2813">
            <v>10581</v>
          </cell>
        </row>
        <row r="2814">
          <cell r="A2814" t="str">
            <v>VÄINO KIURU</v>
          </cell>
          <cell r="B2814">
            <v>7822</v>
          </cell>
        </row>
        <row r="2815">
          <cell r="A2815" t="str">
            <v>ALGIS KIVASTE</v>
          </cell>
          <cell r="B2815">
            <v>4280</v>
          </cell>
        </row>
        <row r="2816">
          <cell r="A2816" t="str">
            <v>KEIT KIVASTE</v>
          </cell>
          <cell r="B2816">
            <v>2350</v>
          </cell>
        </row>
        <row r="2817">
          <cell r="A2817" t="str">
            <v>ARNE KIVASTIK</v>
          </cell>
          <cell r="B2817">
            <v>4011</v>
          </cell>
        </row>
        <row r="2818">
          <cell r="A2818" t="str">
            <v>KIMI KIVELÄ</v>
          </cell>
          <cell r="B2818">
            <v>3253</v>
          </cell>
        </row>
        <row r="2819">
          <cell r="A2819" t="str">
            <v>DMITRI KIVEST</v>
          </cell>
          <cell r="B2819">
            <v>3474</v>
          </cell>
        </row>
        <row r="2820">
          <cell r="A2820" t="str">
            <v>HENDRIK KIVI</v>
          </cell>
          <cell r="B2820">
            <v>2010</v>
          </cell>
        </row>
        <row r="2821">
          <cell r="A2821" t="str">
            <v>INDREK KIVI</v>
          </cell>
          <cell r="B2821">
            <v>2009</v>
          </cell>
        </row>
        <row r="2822">
          <cell r="A2822" t="str">
            <v>MARI-LIIS KIVI</v>
          </cell>
          <cell r="B2822">
            <v>1906</v>
          </cell>
        </row>
        <row r="2823">
          <cell r="A2823" t="str">
            <v>MATTI KIVI</v>
          </cell>
          <cell r="B2823">
            <v>8652</v>
          </cell>
        </row>
        <row r="2824">
          <cell r="A2824" t="str">
            <v>RAUNO KIVI</v>
          </cell>
          <cell r="B2824">
            <v>1424</v>
          </cell>
        </row>
        <row r="2825">
          <cell r="A2825" t="str">
            <v>SIIM KIVI</v>
          </cell>
          <cell r="B2825">
            <v>9717</v>
          </cell>
        </row>
        <row r="2826">
          <cell r="A2826" t="str">
            <v>SULEV KIVIBERG</v>
          </cell>
          <cell r="B2826">
            <v>1863</v>
          </cell>
        </row>
        <row r="2827">
          <cell r="A2827" t="str">
            <v>KARL KIVILA</v>
          </cell>
          <cell r="B2827">
            <v>8655</v>
          </cell>
        </row>
        <row r="2828">
          <cell r="A2828" t="str">
            <v>RAIN KIVILA</v>
          </cell>
          <cell r="B2828">
            <v>8971</v>
          </cell>
        </row>
        <row r="2829">
          <cell r="A2829" t="str">
            <v>RIHO KIVILA</v>
          </cell>
          <cell r="B2829">
            <v>4775</v>
          </cell>
        </row>
        <row r="2830">
          <cell r="A2830" t="str">
            <v>JOOSEP KIVILAAN</v>
          </cell>
          <cell r="B2830">
            <v>3576</v>
          </cell>
        </row>
        <row r="2831">
          <cell r="A2831" t="str">
            <v>MARION KIVILAAN</v>
          </cell>
          <cell r="B2831">
            <v>2782</v>
          </cell>
        </row>
        <row r="2832">
          <cell r="A2832" t="str">
            <v>TARVI KIVILO</v>
          </cell>
          <cell r="B2832">
            <v>10471</v>
          </cell>
        </row>
        <row r="2833">
          <cell r="A2833" t="str">
            <v>KEVIN KIVIMÄE</v>
          </cell>
          <cell r="B2833">
            <v>2364</v>
          </cell>
        </row>
        <row r="2834">
          <cell r="A2834" t="str">
            <v>JAKO KIVIMÄGI</v>
          </cell>
          <cell r="B2834">
            <v>3437</v>
          </cell>
        </row>
        <row r="2835">
          <cell r="A2835" t="str">
            <v>KEVIN KIVIMÄGI</v>
          </cell>
          <cell r="B2835">
            <v>3367</v>
          </cell>
        </row>
        <row r="2836">
          <cell r="A2836" t="str">
            <v>MARGIT KIVIMÄGI</v>
          </cell>
          <cell r="B2836">
            <v>107</v>
          </cell>
        </row>
        <row r="2837">
          <cell r="A2837" t="str">
            <v>KÄTLIN KIVIMAA</v>
          </cell>
          <cell r="B2837">
            <v>7775</v>
          </cell>
        </row>
        <row r="2838">
          <cell r="A2838" t="str">
            <v>JOOSEP KIVIMETS</v>
          </cell>
          <cell r="B2838">
            <v>7966</v>
          </cell>
        </row>
        <row r="2839">
          <cell r="A2839" t="str">
            <v>LIIS KIVIMURD</v>
          </cell>
          <cell r="B2839">
            <v>2447</v>
          </cell>
        </row>
        <row r="2840">
          <cell r="A2840" t="str">
            <v>CRISTOHFER KIVINURM</v>
          </cell>
          <cell r="B2840">
            <v>10034</v>
          </cell>
        </row>
        <row r="2841">
          <cell r="A2841" t="str">
            <v>KRISTEL KIVINURM-PRIISALM</v>
          </cell>
          <cell r="B2841">
            <v>10252</v>
          </cell>
        </row>
        <row r="2842">
          <cell r="A2842" t="str">
            <v>KARL KIVIRAND</v>
          </cell>
          <cell r="B2842">
            <v>4281</v>
          </cell>
        </row>
        <row r="2843">
          <cell r="A2843" t="str">
            <v>ROBIN KIVIRAND</v>
          </cell>
          <cell r="B2843">
            <v>7563</v>
          </cell>
        </row>
        <row r="2844">
          <cell r="A2844" t="str">
            <v>KALLE KIVISAAR</v>
          </cell>
          <cell r="B2844">
            <v>7498</v>
          </cell>
        </row>
        <row r="2845">
          <cell r="A2845" t="str">
            <v>ANDRUS KIVISALU</v>
          </cell>
          <cell r="B2845">
            <v>8760</v>
          </cell>
        </row>
        <row r="2846">
          <cell r="A2846" t="str">
            <v>HENRI KIVISALU</v>
          </cell>
          <cell r="B2846">
            <v>6267</v>
          </cell>
        </row>
        <row r="2847">
          <cell r="A2847" t="str">
            <v>ARNOLD KIVISELG</v>
          </cell>
          <cell r="B2847">
            <v>2065</v>
          </cell>
        </row>
        <row r="2848">
          <cell r="A2848" t="str">
            <v>EGERT KIVISELG</v>
          </cell>
          <cell r="B2848">
            <v>2066</v>
          </cell>
        </row>
        <row r="2849">
          <cell r="A2849" t="str">
            <v>ERIK KIVISELG</v>
          </cell>
          <cell r="B2849">
            <v>7302</v>
          </cell>
        </row>
        <row r="2850">
          <cell r="A2850" t="str">
            <v>SILVER KIVISELG</v>
          </cell>
          <cell r="B2850">
            <v>4282</v>
          </cell>
        </row>
        <row r="2851">
          <cell r="A2851" t="str">
            <v>VEIKKO KIVISELG</v>
          </cell>
          <cell r="B2851">
            <v>2081</v>
          </cell>
        </row>
        <row r="2852">
          <cell r="A2852" t="str">
            <v>EDGART KIVISILD</v>
          </cell>
          <cell r="B2852">
            <v>4666</v>
          </cell>
        </row>
        <row r="2853">
          <cell r="A2853" t="str">
            <v>EGERT KIVISILD</v>
          </cell>
          <cell r="B2853">
            <v>3786</v>
          </cell>
        </row>
        <row r="2854">
          <cell r="A2854" t="str">
            <v>KEIT KIVISILD</v>
          </cell>
          <cell r="B2854">
            <v>10742</v>
          </cell>
        </row>
        <row r="2855">
          <cell r="A2855" t="str">
            <v>ANETTE LOORE KIVISTIK</v>
          </cell>
          <cell r="B2855">
            <v>7358</v>
          </cell>
        </row>
        <row r="2856">
          <cell r="A2856" t="str">
            <v>KADRI KIVISTIK</v>
          </cell>
          <cell r="B2856">
            <v>9728</v>
          </cell>
        </row>
        <row r="2857">
          <cell r="A2857" t="str">
            <v>KERDO KIVIT</v>
          </cell>
          <cell r="B2857">
            <v>6150</v>
          </cell>
        </row>
        <row r="2858">
          <cell r="A2858" t="str">
            <v>LEO KIVITAR</v>
          </cell>
          <cell r="B2858">
            <v>6171</v>
          </cell>
        </row>
        <row r="2859">
          <cell r="A2859" t="str">
            <v>ELMO KIVITS</v>
          </cell>
          <cell r="B2859">
            <v>179</v>
          </cell>
        </row>
        <row r="2860">
          <cell r="A2860" t="str">
            <v>VIKTOR KJELLANDER</v>
          </cell>
          <cell r="B2860">
            <v>9408</v>
          </cell>
        </row>
        <row r="2861">
          <cell r="A2861" t="str">
            <v>ARGO KLAAN</v>
          </cell>
          <cell r="B2861">
            <v>9372</v>
          </cell>
        </row>
        <row r="2862">
          <cell r="A2862" t="str">
            <v>ARDO KLAOS</v>
          </cell>
          <cell r="B2862">
            <v>4738</v>
          </cell>
        </row>
        <row r="2863">
          <cell r="A2863" t="str">
            <v>ELIGIUS KLARENBEEK</v>
          </cell>
          <cell r="B2863">
            <v>7556</v>
          </cell>
        </row>
        <row r="2864">
          <cell r="A2864" t="str">
            <v>RAIDO KLAUS</v>
          </cell>
          <cell r="B2864">
            <v>5092</v>
          </cell>
        </row>
        <row r="2865">
          <cell r="A2865" t="str">
            <v>SANDER KLAUS</v>
          </cell>
          <cell r="B2865">
            <v>7565</v>
          </cell>
        </row>
        <row r="2866">
          <cell r="A2866" t="str">
            <v>CLAUDIA KLEESMANN</v>
          </cell>
          <cell r="B2866">
            <v>8855</v>
          </cell>
        </row>
        <row r="2867">
          <cell r="A2867" t="str">
            <v>TÕNU KLEESMANN</v>
          </cell>
          <cell r="B2867">
            <v>9275</v>
          </cell>
        </row>
        <row r="2868">
          <cell r="A2868" t="str">
            <v>JENS KLEIN</v>
          </cell>
          <cell r="B2868">
            <v>8139</v>
          </cell>
        </row>
        <row r="2869">
          <cell r="A2869" t="str">
            <v>VERONIKA KLEINE</v>
          </cell>
          <cell r="B2869">
            <v>4283</v>
          </cell>
        </row>
        <row r="2870">
          <cell r="A2870" t="str">
            <v>POLINA KLEINOVA</v>
          </cell>
          <cell r="B2870">
            <v>3787</v>
          </cell>
        </row>
        <row r="2871">
          <cell r="A2871" t="str">
            <v>HARRI KLEMM</v>
          </cell>
          <cell r="B2871">
            <v>191</v>
          </cell>
        </row>
        <row r="2872">
          <cell r="A2872" t="str">
            <v>SVEN KLEMM</v>
          </cell>
          <cell r="B2872">
            <v>192</v>
          </cell>
        </row>
        <row r="2873">
          <cell r="A2873" t="str">
            <v>VALERI KLENTŠIŠEV</v>
          </cell>
          <cell r="B2873">
            <v>3351</v>
          </cell>
        </row>
        <row r="2874">
          <cell r="A2874" t="str">
            <v>DOMINIK KLEZOVITŠ</v>
          </cell>
          <cell r="B2874">
            <v>6019</v>
          </cell>
        </row>
        <row r="2875">
          <cell r="A2875" t="str">
            <v>ADRIAN KLETTE</v>
          </cell>
          <cell r="B2875">
            <v>10239</v>
          </cell>
        </row>
        <row r="2876">
          <cell r="A2876" t="str">
            <v>GEORG KLETTENBERG</v>
          </cell>
          <cell r="B2876">
            <v>8195</v>
          </cell>
        </row>
        <row r="2877">
          <cell r="A2877" t="str">
            <v>LUNA-MAI KLETTENBERG</v>
          </cell>
          <cell r="B2877">
            <v>9297</v>
          </cell>
        </row>
        <row r="2878">
          <cell r="A2878" t="str">
            <v>HELIN KLIIMANN</v>
          </cell>
          <cell r="B2878">
            <v>8500</v>
          </cell>
        </row>
        <row r="2879">
          <cell r="A2879" t="str">
            <v>ELERI KLIIMASK</v>
          </cell>
          <cell r="B2879">
            <v>3386</v>
          </cell>
        </row>
        <row r="2880">
          <cell r="A2880" t="str">
            <v>NATALIJA KLIMANOVA</v>
          </cell>
          <cell r="B2880">
            <v>1695</v>
          </cell>
        </row>
        <row r="2881">
          <cell r="A2881" t="str">
            <v>DANIIL KLIMENKO</v>
          </cell>
          <cell r="B2881">
            <v>5953</v>
          </cell>
        </row>
        <row r="2882">
          <cell r="A2882" t="str">
            <v>MAKSIM KLIMENKO</v>
          </cell>
          <cell r="B2882">
            <v>10066</v>
          </cell>
        </row>
        <row r="2883">
          <cell r="A2883" t="str">
            <v>SERHII KLIMKIN</v>
          </cell>
          <cell r="B2883">
            <v>8093</v>
          </cell>
        </row>
        <row r="2884">
          <cell r="A2884" t="str">
            <v>DEEVID KLIMOV</v>
          </cell>
          <cell r="B2884">
            <v>6212</v>
          </cell>
        </row>
        <row r="2885">
          <cell r="A2885" t="str">
            <v>FILIPP KLIMOV</v>
          </cell>
          <cell r="B2885">
            <v>4284</v>
          </cell>
        </row>
        <row r="2886">
          <cell r="A2886" t="str">
            <v>JEVGENI KLIMOV</v>
          </cell>
          <cell r="B2886">
            <v>3701</v>
          </cell>
        </row>
        <row r="2887">
          <cell r="A2887" t="str">
            <v>ROMAN KLIMOV</v>
          </cell>
          <cell r="B2887">
            <v>10618</v>
          </cell>
        </row>
        <row r="2888">
          <cell r="A2888" t="str">
            <v>ALLAN KLIMSON</v>
          </cell>
          <cell r="B2888">
            <v>1966</v>
          </cell>
        </row>
        <row r="2889">
          <cell r="A2889" t="str">
            <v>ANASTASSIA KLINK</v>
          </cell>
          <cell r="B2889">
            <v>3091</v>
          </cell>
        </row>
        <row r="2890">
          <cell r="A2890" t="str">
            <v>OSKAR KLIPPBERG</v>
          </cell>
          <cell r="B2890">
            <v>5196</v>
          </cell>
        </row>
        <row r="2891">
          <cell r="A2891" t="str">
            <v>KEN-MARTI KLIPPERG</v>
          </cell>
          <cell r="B2891">
            <v>5924</v>
          </cell>
        </row>
        <row r="2892">
          <cell r="A2892" t="str">
            <v>MIHHAIL KLJUJEV</v>
          </cell>
          <cell r="B2892">
            <v>9808</v>
          </cell>
        </row>
        <row r="2893">
          <cell r="A2893" t="str">
            <v>VLADISLAV KLJUJEV</v>
          </cell>
          <cell r="B2893">
            <v>416</v>
          </cell>
        </row>
        <row r="2894">
          <cell r="A2894" t="str">
            <v>VIKTORIA KLJUKINA</v>
          </cell>
          <cell r="B2894">
            <v>3304</v>
          </cell>
        </row>
        <row r="2895">
          <cell r="A2895" t="str">
            <v>ALEKSEI KLJUTŠIVSKI</v>
          </cell>
          <cell r="B2895">
            <v>3198</v>
          </cell>
        </row>
        <row r="2896">
          <cell r="A2896" t="str">
            <v>ALEKSANDR KLJUTSENKOV</v>
          </cell>
          <cell r="B2896">
            <v>837</v>
          </cell>
        </row>
        <row r="2897">
          <cell r="A2897" t="str">
            <v>SERGEI KLJUTSENKOV</v>
          </cell>
          <cell r="B2897">
            <v>836</v>
          </cell>
        </row>
        <row r="2898">
          <cell r="A2898" t="str">
            <v>KÄTI KLJUTSIEVSKI</v>
          </cell>
          <cell r="B2898">
            <v>3426</v>
          </cell>
        </row>
        <row r="2899">
          <cell r="A2899" t="str">
            <v>ROBIN KLUGE</v>
          </cell>
          <cell r="B2899">
            <v>10657</v>
          </cell>
        </row>
        <row r="2900">
          <cell r="A2900" t="str">
            <v>KAIRO KLUUST</v>
          </cell>
          <cell r="B2900">
            <v>2171</v>
          </cell>
        </row>
        <row r="2901">
          <cell r="A2901" t="str">
            <v>KALVER KLUUST</v>
          </cell>
          <cell r="B2901">
            <v>2390</v>
          </cell>
        </row>
        <row r="2902">
          <cell r="A2902" t="str">
            <v>GYTIS KNEZIUS</v>
          </cell>
          <cell r="B2902">
            <v>8160</v>
          </cell>
        </row>
        <row r="2903">
          <cell r="A2903" t="str">
            <v>JONAS KNIURAS</v>
          </cell>
          <cell r="B2903">
            <v>3172</v>
          </cell>
        </row>
        <row r="2904">
          <cell r="A2904" t="str">
            <v>ARTUR KNYAZEV</v>
          </cell>
          <cell r="B2904">
            <v>7950</v>
          </cell>
        </row>
        <row r="2905">
          <cell r="A2905" t="str">
            <v>NORMAN KNYAZEV</v>
          </cell>
          <cell r="B2905">
            <v>4285</v>
          </cell>
        </row>
        <row r="2906">
          <cell r="A2906" t="str">
            <v>JORUNE KOŽEMIAKINAITĖ</v>
          </cell>
          <cell r="B2906">
            <v>8007</v>
          </cell>
        </row>
        <row r="2907">
          <cell r="A2907" t="str">
            <v>EDGAR KOŽUKOVSKI</v>
          </cell>
          <cell r="B2907">
            <v>5572</v>
          </cell>
        </row>
        <row r="2908">
          <cell r="A2908" t="str">
            <v>LUKA KOBALIA</v>
          </cell>
          <cell r="B2908">
            <v>7107</v>
          </cell>
        </row>
        <row r="2909">
          <cell r="A2909" t="str">
            <v>YUTO KOBAYASHI</v>
          </cell>
          <cell r="B2909">
            <v>10422</v>
          </cell>
        </row>
        <row r="2910">
          <cell r="A2910" t="str">
            <v>DARIA KOBERNIK</v>
          </cell>
          <cell r="B2910">
            <v>1212</v>
          </cell>
        </row>
        <row r="2911">
          <cell r="A2911" t="str">
            <v>STANISLAV KOBILETSKI</v>
          </cell>
          <cell r="B2911">
            <v>1641</v>
          </cell>
        </row>
        <row r="2912">
          <cell r="A2912" t="str">
            <v>VLADISLAVS KOBKA</v>
          </cell>
          <cell r="B2912">
            <v>7432</v>
          </cell>
        </row>
        <row r="2913">
          <cell r="A2913" t="str">
            <v>ESTON-GERMAN KOBRIN</v>
          </cell>
          <cell r="B2913">
            <v>7951</v>
          </cell>
        </row>
        <row r="2914">
          <cell r="A2914" t="str">
            <v>KRISTINA KOCH</v>
          </cell>
          <cell r="B2914">
            <v>5093</v>
          </cell>
        </row>
        <row r="2915">
          <cell r="A2915" t="str">
            <v>MERLE KODAR</v>
          </cell>
          <cell r="B2915">
            <v>3788</v>
          </cell>
        </row>
        <row r="2916">
          <cell r="A2916" t="str">
            <v>MARI-LIINA KODAS</v>
          </cell>
          <cell r="B2916">
            <v>3611</v>
          </cell>
        </row>
        <row r="2917">
          <cell r="A2917" t="str">
            <v>GERLI KODU</v>
          </cell>
          <cell r="B2917">
            <v>8368</v>
          </cell>
        </row>
        <row r="2918">
          <cell r="A2918" t="str">
            <v>JOHANNES KODUMÄE</v>
          </cell>
          <cell r="B2918">
            <v>5060</v>
          </cell>
        </row>
        <row r="2919">
          <cell r="A2919" t="str">
            <v>WOUTER KOELEMEIJER</v>
          </cell>
          <cell r="B2919">
            <v>5539</v>
          </cell>
        </row>
        <row r="2920">
          <cell r="A2920" t="str">
            <v>EMIL KOEMETS</v>
          </cell>
          <cell r="B2920">
            <v>5222</v>
          </cell>
        </row>
        <row r="2921">
          <cell r="A2921" t="str">
            <v>KAIMAR KOEMETS</v>
          </cell>
          <cell r="B2921">
            <v>5187</v>
          </cell>
        </row>
        <row r="2922">
          <cell r="A2922" t="str">
            <v>ELINA KOGANE</v>
          </cell>
          <cell r="B2922">
            <v>61</v>
          </cell>
        </row>
        <row r="2923">
          <cell r="A2923" t="str">
            <v>BORIS KOGANOV</v>
          </cell>
          <cell r="B2923">
            <v>9469</v>
          </cell>
        </row>
        <row r="2924">
          <cell r="A2924" t="str">
            <v>BORIS KOGANS</v>
          </cell>
          <cell r="B2924">
            <v>512</v>
          </cell>
        </row>
        <row r="2925">
          <cell r="A2925" t="str">
            <v>DANIELS KOGANS</v>
          </cell>
          <cell r="B2925">
            <v>4818</v>
          </cell>
        </row>
        <row r="2926">
          <cell r="A2926" t="str">
            <v>EDUARD KOGANS</v>
          </cell>
          <cell r="B2926">
            <v>511</v>
          </cell>
        </row>
        <row r="2927">
          <cell r="A2927" t="str">
            <v>IGORS KOGANS</v>
          </cell>
          <cell r="B2927">
            <v>8065</v>
          </cell>
        </row>
        <row r="2928">
          <cell r="A2928" t="str">
            <v>KASPAR KOGER</v>
          </cell>
          <cell r="B2928">
            <v>8852</v>
          </cell>
        </row>
        <row r="2929">
          <cell r="A2929" t="str">
            <v>TIINA KOGER</v>
          </cell>
          <cell r="B2929">
            <v>5061</v>
          </cell>
        </row>
        <row r="2930">
          <cell r="A2930" t="str">
            <v>NIKOL KOH</v>
          </cell>
          <cell r="B2930">
            <v>7783</v>
          </cell>
        </row>
        <row r="2931">
          <cell r="A2931" t="str">
            <v>EERIK KOHAL</v>
          </cell>
          <cell r="B2931">
            <v>2300</v>
          </cell>
        </row>
        <row r="2932">
          <cell r="A2932" t="str">
            <v>HEIKI KOHAL</v>
          </cell>
          <cell r="B2932">
            <v>1372</v>
          </cell>
        </row>
        <row r="2933">
          <cell r="A2933" t="str">
            <v>ARTUR KOHV</v>
          </cell>
          <cell r="B2933">
            <v>2931</v>
          </cell>
        </row>
        <row r="2934">
          <cell r="A2934" t="str">
            <v>CARL-CASPAR KOHV</v>
          </cell>
          <cell r="B2934">
            <v>4286</v>
          </cell>
        </row>
        <row r="2935">
          <cell r="A2935" t="str">
            <v>TIINA KOHVER</v>
          </cell>
          <cell r="B2935">
            <v>1068</v>
          </cell>
        </row>
        <row r="2936">
          <cell r="A2936" t="str">
            <v>AIVAR KOIDUSTE</v>
          </cell>
          <cell r="B2936">
            <v>2546</v>
          </cell>
        </row>
        <row r="2937">
          <cell r="A2937" t="str">
            <v>SEBASTIAN KOIK</v>
          </cell>
          <cell r="B2937">
            <v>9004</v>
          </cell>
        </row>
        <row r="2938">
          <cell r="A2938" t="str">
            <v>NIKITA KOIKOV</v>
          </cell>
          <cell r="B2938">
            <v>2676</v>
          </cell>
        </row>
        <row r="2939">
          <cell r="A2939" t="str">
            <v>ENRI KOIT</v>
          </cell>
          <cell r="B2939">
            <v>9725</v>
          </cell>
        </row>
        <row r="2940">
          <cell r="A2940" t="str">
            <v>MADIS KOIT</v>
          </cell>
          <cell r="B2940">
            <v>1398</v>
          </cell>
        </row>
        <row r="2941">
          <cell r="A2941" t="str">
            <v>PEETER KOIT</v>
          </cell>
          <cell r="B2941">
            <v>1691</v>
          </cell>
        </row>
        <row r="2942">
          <cell r="A2942" t="str">
            <v>RASMUS KOIT</v>
          </cell>
          <cell r="B2942">
            <v>7713</v>
          </cell>
        </row>
        <row r="2943">
          <cell r="A2943" t="str">
            <v>TÕNIS KOIT</v>
          </cell>
          <cell r="B2943">
            <v>1397</v>
          </cell>
        </row>
        <row r="2944">
          <cell r="A2944" t="str">
            <v>EILI KOITLA</v>
          </cell>
          <cell r="B2944">
            <v>4287</v>
          </cell>
        </row>
        <row r="2945">
          <cell r="A2945" t="str">
            <v>TAIVO KOITLA</v>
          </cell>
          <cell r="B2945">
            <v>8740</v>
          </cell>
        </row>
        <row r="2946">
          <cell r="A2946" t="str">
            <v>JANE KOITLEPP</v>
          </cell>
          <cell r="B2946">
            <v>1838</v>
          </cell>
        </row>
        <row r="2947">
          <cell r="A2947" t="str">
            <v>KRISTEL KOITMAA</v>
          </cell>
          <cell r="B2947">
            <v>2043</v>
          </cell>
        </row>
        <row r="2948">
          <cell r="A2948" t="str">
            <v>LAURA KOITSAAR</v>
          </cell>
          <cell r="B2948">
            <v>8134</v>
          </cell>
        </row>
        <row r="2949">
          <cell r="A2949" t="str">
            <v>RASMUS KOITSALU</v>
          </cell>
          <cell r="B2949">
            <v>4776</v>
          </cell>
        </row>
        <row r="2950">
          <cell r="A2950" t="str">
            <v>MARTIN KOKAMÄGI</v>
          </cell>
          <cell r="B2950">
            <v>6985</v>
          </cell>
        </row>
        <row r="2951">
          <cell r="A2951" t="str">
            <v>GEORG KOKK</v>
          </cell>
          <cell r="B2951">
            <v>3206</v>
          </cell>
        </row>
        <row r="2952">
          <cell r="A2952" t="str">
            <v>GRETELIIS KOKK</v>
          </cell>
          <cell r="B2952">
            <v>6111</v>
          </cell>
        </row>
        <row r="2953">
          <cell r="A2953" t="str">
            <v>HEINO KOKK</v>
          </cell>
          <cell r="B2953">
            <v>1142</v>
          </cell>
        </row>
        <row r="2954">
          <cell r="A2954" t="str">
            <v>HENRI KOKK</v>
          </cell>
          <cell r="B2954">
            <v>1187</v>
          </cell>
        </row>
        <row r="2955">
          <cell r="A2955" t="str">
            <v>KARL KOKK</v>
          </cell>
          <cell r="B2955">
            <v>4739</v>
          </cell>
        </row>
        <row r="2956">
          <cell r="A2956" t="str">
            <v>MARGUS KOKK</v>
          </cell>
          <cell r="B2956">
            <v>6130</v>
          </cell>
        </row>
        <row r="2957">
          <cell r="A2957" t="str">
            <v>DENISS KOKKONEN</v>
          </cell>
          <cell r="B2957">
            <v>4288</v>
          </cell>
        </row>
        <row r="2958">
          <cell r="A2958" t="str">
            <v>MARTIN KOKMANN</v>
          </cell>
          <cell r="B2958">
            <v>2930</v>
          </cell>
        </row>
        <row r="2959">
          <cell r="A2959" t="str">
            <v>TIIT KOLÕTSEV</v>
          </cell>
          <cell r="B2959">
            <v>2701</v>
          </cell>
        </row>
        <row r="2960">
          <cell r="A2960" t="str">
            <v>EVELINA KOLATSK</v>
          </cell>
          <cell r="B2960">
            <v>9225</v>
          </cell>
        </row>
        <row r="2961">
          <cell r="A2961" t="str">
            <v>KIRILL KOLESNIKOV</v>
          </cell>
          <cell r="B2961">
            <v>9261</v>
          </cell>
        </row>
        <row r="2962">
          <cell r="A2962" t="str">
            <v>PETR KOLESNIKOV</v>
          </cell>
          <cell r="B2962">
            <v>9473</v>
          </cell>
        </row>
        <row r="2963">
          <cell r="A2963" t="str">
            <v>MIKE KOLESOV</v>
          </cell>
          <cell r="B2963">
            <v>9067</v>
          </cell>
        </row>
        <row r="2964">
          <cell r="A2964" t="str">
            <v>MARKO KOLGA</v>
          </cell>
          <cell r="B2964">
            <v>6214</v>
          </cell>
        </row>
        <row r="2965">
          <cell r="A2965" t="str">
            <v>SIIM KOLGA</v>
          </cell>
          <cell r="B2965">
            <v>6213</v>
          </cell>
        </row>
        <row r="2966">
          <cell r="A2966" t="str">
            <v>ALEKSEI KOLIN</v>
          </cell>
          <cell r="B2966">
            <v>3789</v>
          </cell>
        </row>
        <row r="2967">
          <cell r="A2967" t="str">
            <v>DENISS KOLIPOV</v>
          </cell>
          <cell r="B2967">
            <v>4289</v>
          </cell>
        </row>
        <row r="2968">
          <cell r="A2968" t="str">
            <v>KIRILL KOLJAKOV</v>
          </cell>
          <cell r="B2968">
            <v>5133</v>
          </cell>
        </row>
        <row r="2969">
          <cell r="A2969" t="str">
            <v>KRISTO KOLJAT</v>
          </cell>
          <cell r="B2969">
            <v>2071</v>
          </cell>
        </row>
        <row r="2970">
          <cell r="A2970" t="str">
            <v>DANIIL KOLJUHHIN</v>
          </cell>
          <cell r="B2970">
            <v>10619</v>
          </cell>
        </row>
        <row r="2971">
          <cell r="A2971" t="str">
            <v>ANDERO KOLK</v>
          </cell>
          <cell r="B2971">
            <v>5556</v>
          </cell>
        </row>
        <row r="2972">
          <cell r="A2972" t="str">
            <v>KRISTJAN KOLK</v>
          </cell>
          <cell r="B2972">
            <v>8997</v>
          </cell>
        </row>
        <row r="2973">
          <cell r="A2973" t="str">
            <v>LAURI KOLK</v>
          </cell>
          <cell r="B2973">
            <v>5253</v>
          </cell>
        </row>
        <row r="2974">
          <cell r="A2974" t="str">
            <v>MARII MIRELL KOLK</v>
          </cell>
          <cell r="B2974">
            <v>9586</v>
          </cell>
        </row>
        <row r="2975">
          <cell r="A2975" t="str">
            <v>RAUL KOLK</v>
          </cell>
          <cell r="B2975">
            <v>3447</v>
          </cell>
        </row>
        <row r="2976">
          <cell r="A2976" t="str">
            <v>MARK KOLKOTIN</v>
          </cell>
          <cell r="B2976">
            <v>3044</v>
          </cell>
        </row>
        <row r="2977">
          <cell r="A2977" t="str">
            <v>PRIIT KOLLI</v>
          </cell>
          <cell r="B2977">
            <v>5094</v>
          </cell>
        </row>
        <row r="2978">
          <cell r="A2978" t="str">
            <v>AIRON KOLLO</v>
          </cell>
          <cell r="B2978">
            <v>8925</v>
          </cell>
        </row>
        <row r="2979">
          <cell r="A2979" t="str">
            <v>JOOSUS KOLLOM</v>
          </cell>
          <cell r="B2979">
            <v>2818</v>
          </cell>
        </row>
        <row r="2980">
          <cell r="A2980" t="str">
            <v>SANDER KOLLOM</v>
          </cell>
          <cell r="B2980">
            <v>7876</v>
          </cell>
        </row>
        <row r="2981">
          <cell r="A2981" t="str">
            <v>DENIS KOLMAKOV</v>
          </cell>
          <cell r="B2981">
            <v>4290</v>
          </cell>
        </row>
        <row r="2982">
          <cell r="A2982" t="str">
            <v>RENE KOLON</v>
          </cell>
          <cell r="B2982">
            <v>9080</v>
          </cell>
        </row>
        <row r="2983">
          <cell r="A2983" t="str">
            <v>DENIS KOLOSOV</v>
          </cell>
          <cell r="B2983">
            <v>9230</v>
          </cell>
        </row>
        <row r="2984">
          <cell r="A2984" t="str">
            <v>DAVIDS KOLOSOVS</v>
          </cell>
          <cell r="B2984">
            <v>8334</v>
          </cell>
        </row>
        <row r="2985">
          <cell r="A2985" t="str">
            <v>DENISS KOLOSSOV</v>
          </cell>
          <cell r="B2985">
            <v>9273</v>
          </cell>
        </row>
        <row r="2986">
          <cell r="A2986" t="str">
            <v>ANNA KOLOSSOVA</v>
          </cell>
          <cell r="B2986">
            <v>5143</v>
          </cell>
        </row>
        <row r="2987">
          <cell r="A2987" t="str">
            <v>VALERIA KOLOSSOVA</v>
          </cell>
          <cell r="B2987">
            <v>4070</v>
          </cell>
        </row>
        <row r="2988">
          <cell r="A2988" t="str">
            <v>SERGEI KOLZHANOV</v>
          </cell>
          <cell r="B2988">
            <v>8494</v>
          </cell>
        </row>
        <row r="2989">
          <cell r="A2989" t="str">
            <v>JEVGENI KOLTSHIN</v>
          </cell>
          <cell r="B2989">
            <v>451</v>
          </cell>
        </row>
        <row r="2990">
          <cell r="A2990" t="str">
            <v>KAIMO KOLTSIN</v>
          </cell>
          <cell r="B2990">
            <v>9022</v>
          </cell>
        </row>
        <row r="2991">
          <cell r="A2991" t="str">
            <v>RUSLAN KOLTSIN</v>
          </cell>
          <cell r="B2991">
            <v>8038</v>
          </cell>
        </row>
        <row r="2992">
          <cell r="A2992" t="str">
            <v>SERGEI KOLTSIN</v>
          </cell>
          <cell r="B2992">
            <v>8039</v>
          </cell>
        </row>
        <row r="2993">
          <cell r="A2993" t="str">
            <v>MAKSIM KOLTSOV</v>
          </cell>
          <cell r="B2993">
            <v>465</v>
          </cell>
        </row>
        <row r="2994">
          <cell r="A2994" t="str">
            <v>ANASTASSIA KOLTSOVA</v>
          </cell>
          <cell r="B2994">
            <v>9260</v>
          </cell>
        </row>
        <row r="2995">
          <cell r="A2995" t="str">
            <v>KRISTINA KOLTSOVA</v>
          </cell>
          <cell r="B2995">
            <v>10814</v>
          </cell>
        </row>
        <row r="2996">
          <cell r="A2996" t="str">
            <v>ALISA KOMAROVA</v>
          </cell>
          <cell r="B2996">
            <v>7927</v>
          </cell>
        </row>
        <row r="2997">
          <cell r="A2997" t="str">
            <v>VALERIJA KOMAROVA</v>
          </cell>
          <cell r="B2997">
            <v>3992</v>
          </cell>
        </row>
        <row r="2998">
          <cell r="A2998" t="str">
            <v>RANDO KOMI</v>
          </cell>
          <cell r="B2998">
            <v>6236</v>
          </cell>
        </row>
        <row r="2999">
          <cell r="A2999" t="str">
            <v>GLEB KOMISSAROV</v>
          </cell>
          <cell r="B2999">
            <v>5884</v>
          </cell>
        </row>
        <row r="3000">
          <cell r="A3000" t="str">
            <v>KASPAR KOMISSAROV</v>
          </cell>
          <cell r="B3000">
            <v>1433</v>
          </cell>
        </row>
        <row r="3001">
          <cell r="A3001" t="str">
            <v>MAILIS KOMISSAROV</v>
          </cell>
          <cell r="B3001">
            <v>1600</v>
          </cell>
        </row>
        <row r="3002">
          <cell r="A3002" t="str">
            <v>RANDO KOMISSAROV</v>
          </cell>
          <cell r="B3002">
            <v>1389</v>
          </cell>
        </row>
        <row r="3003">
          <cell r="A3003" t="str">
            <v>IRINA KOMKOVA</v>
          </cell>
          <cell r="B3003">
            <v>2878</v>
          </cell>
        </row>
        <row r="3004">
          <cell r="A3004" t="str">
            <v>EGERT KOMMESAAR</v>
          </cell>
          <cell r="B3004">
            <v>1642</v>
          </cell>
        </row>
        <row r="3005">
          <cell r="A3005" t="str">
            <v>LAURA KOMP</v>
          </cell>
          <cell r="B3005">
            <v>4740</v>
          </cell>
        </row>
        <row r="3006">
          <cell r="A3006" t="str">
            <v>KAIDO KOMPUS</v>
          </cell>
          <cell r="B3006">
            <v>3283</v>
          </cell>
        </row>
        <row r="3007">
          <cell r="A3007" t="str">
            <v>KARL ERIK KOMPUS</v>
          </cell>
          <cell r="B3007">
            <v>9566</v>
          </cell>
        </row>
        <row r="3008">
          <cell r="A3008" t="str">
            <v>JANNE-ELIISE KOND</v>
          </cell>
          <cell r="B3008">
            <v>1682</v>
          </cell>
        </row>
        <row r="3009">
          <cell r="A3009" t="str">
            <v>PAVEL KONDAKOV</v>
          </cell>
          <cell r="B3009">
            <v>877</v>
          </cell>
        </row>
        <row r="3010">
          <cell r="A3010" t="str">
            <v>LUDMILLA KONDANKINA</v>
          </cell>
          <cell r="B3010">
            <v>891</v>
          </cell>
        </row>
        <row r="3011">
          <cell r="A3011" t="str">
            <v>BIRGIT KONDEL</v>
          </cell>
          <cell r="B3011">
            <v>3541</v>
          </cell>
        </row>
        <row r="3012">
          <cell r="A3012" t="str">
            <v>RAGNAR KONDEL</v>
          </cell>
          <cell r="B3012">
            <v>3154</v>
          </cell>
        </row>
        <row r="3013">
          <cell r="A3013" t="str">
            <v>RIHARD KONDIMÄE</v>
          </cell>
          <cell r="B3013">
            <v>10312</v>
          </cell>
        </row>
        <row r="3014">
          <cell r="A3014" t="str">
            <v>VLADISLAV KONDRASHIN</v>
          </cell>
          <cell r="B3014">
            <v>3245</v>
          </cell>
        </row>
        <row r="3015">
          <cell r="A3015" t="str">
            <v>ARTUR KONDRATJEV</v>
          </cell>
          <cell r="B3015">
            <v>4291</v>
          </cell>
        </row>
        <row r="3016">
          <cell r="A3016" t="str">
            <v>IVAN KONDRATJEV</v>
          </cell>
          <cell r="B3016">
            <v>8520</v>
          </cell>
        </row>
        <row r="3017">
          <cell r="A3017" t="str">
            <v>TIMOFEI KONDRATJEV</v>
          </cell>
          <cell r="B3017">
            <v>8519</v>
          </cell>
        </row>
        <row r="3018">
          <cell r="A3018" t="str">
            <v>KRISTA KONDRATJEVA</v>
          </cell>
          <cell r="B3018">
            <v>62</v>
          </cell>
        </row>
        <row r="3019">
          <cell r="A3019" t="str">
            <v>DEANNE KONDRATJUK</v>
          </cell>
          <cell r="B3019">
            <v>5936</v>
          </cell>
        </row>
        <row r="3020">
          <cell r="A3020" t="str">
            <v>MARKO KONDRATJUK</v>
          </cell>
          <cell r="B3020">
            <v>2700</v>
          </cell>
        </row>
        <row r="3021">
          <cell r="A3021" t="str">
            <v>PETERS KONDRICH</v>
          </cell>
          <cell r="B3021">
            <v>3717</v>
          </cell>
        </row>
        <row r="3022">
          <cell r="A3022" t="str">
            <v>ANTONIUS KONDROTAS</v>
          </cell>
          <cell r="B3022">
            <v>3525</v>
          </cell>
        </row>
        <row r="3023">
          <cell r="A3023" t="str">
            <v>PEEP KONEST</v>
          </cell>
          <cell r="B3023">
            <v>9827</v>
          </cell>
        </row>
        <row r="3024">
          <cell r="A3024" t="str">
            <v>KEITY KONETSKI</v>
          </cell>
          <cell r="B3024">
            <v>2749</v>
          </cell>
        </row>
        <row r="3025">
          <cell r="A3025" t="str">
            <v>KUUNO KONETSKI</v>
          </cell>
          <cell r="B3025">
            <v>1091</v>
          </cell>
        </row>
        <row r="3026">
          <cell r="A3026" t="str">
            <v>ALEKSANDR KONEV</v>
          </cell>
          <cell r="B3026">
            <v>6263</v>
          </cell>
        </row>
        <row r="3027">
          <cell r="A3027" t="str">
            <v>KRISTJAN KONGAS</v>
          </cell>
          <cell r="B3027">
            <v>2813</v>
          </cell>
        </row>
        <row r="3028">
          <cell r="A3028" t="str">
            <v>RAINER KONGAS</v>
          </cell>
          <cell r="B3028">
            <v>4292</v>
          </cell>
        </row>
        <row r="3029">
          <cell r="A3029" t="str">
            <v>KAROLIN KONGO</v>
          </cell>
          <cell r="B3029">
            <v>4973</v>
          </cell>
        </row>
        <row r="3030">
          <cell r="A3030" t="str">
            <v>OTTO KONGO</v>
          </cell>
          <cell r="B3030">
            <v>8310</v>
          </cell>
        </row>
        <row r="3031">
          <cell r="A3031" t="str">
            <v>ALAR KONIST</v>
          </cell>
          <cell r="B3031">
            <v>414</v>
          </cell>
        </row>
        <row r="3032">
          <cell r="A3032" t="str">
            <v>ARTUR KONONTŠUK</v>
          </cell>
          <cell r="B3032">
            <v>5150</v>
          </cell>
        </row>
        <row r="3033">
          <cell r="A3033" t="str">
            <v>JURI KONONTŠUK</v>
          </cell>
          <cell r="B3033">
            <v>3728</v>
          </cell>
        </row>
        <row r="3034">
          <cell r="A3034" t="str">
            <v>VADIM KONOV</v>
          </cell>
          <cell r="B3034">
            <v>7171</v>
          </cell>
        </row>
        <row r="3035">
          <cell r="A3035" t="str">
            <v>PAVEL KONOVALOV</v>
          </cell>
          <cell r="B3035">
            <v>7412</v>
          </cell>
        </row>
        <row r="3036">
          <cell r="A3036" t="str">
            <v>STEVEN KONS</v>
          </cell>
          <cell r="B3036">
            <v>5221</v>
          </cell>
        </row>
        <row r="3037">
          <cell r="A3037" t="str">
            <v>DARINA KONSA</v>
          </cell>
          <cell r="B3037">
            <v>9890</v>
          </cell>
        </row>
        <row r="3038">
          <cell r="A3038" t="str">
            <v>ENNO KONSA</v>
          </cell>
          <cell r="B3038">
            <v>180</v>
          </cell>
        </row>
        <row r="3039">
          <cell r="A3039" t="str">
            <v>HELI KONSA</v>
          </cell>
          <cell r="B3039">
            <v>63</v>
          </cell>
        </row>
        <row r="3040">
          <cell r="A3040" t="str">
            <v>KSENJA KONSA</v>
          </cell>
          <cell r="B3040">
            <v>3398</v>
          </cell>
        </row>
        <row r="3041">
          <cell r="A3041" t="str">
            <v>NIKITA KONSA</v>
          </cell>
          <cell r="B3041">
            <v>3207</v>
          </cell>
        </row>
        <row r="3042">
          <cell r="A3042" t="str">
            <v>JAROSLAVA KONSTANTINOVA</v>
          </cell>
          <cell r="B3042">
            <v>10370</v>
          </cell>
        </row>
        <row r="3043">
          <cell r="A3043" t="str">
            <v>MANTAS KONTRIMAS</v>
          </cell>
          <cell r="B3043">
            <v>10503</v>
          </cell>
        </row>
        <row r="3044">
          <cell r="A3044" t="str">
            <v>VIKTORIA KONTROVSKAJA</v>
          </cell>
          <cell r="B3044">
            <v>4293</v>
          </cell>
        </row>
        <row r="3045">
          <cell r="A3045" t="str">
            <v>STEVEN KONTS</v>
          </cell>
          <cell r="B3045">
            <v>4667</v>
          </cell>
        </row>
        <row r="3046">
          <cell r="A3046" t="str">
            <v>REIN KONTUS</v>
          </cell>
          <cell r="B3046">
            <v>2393</v>
          </cell>
        </row>
        <row r="3047">
          <cell r="A3047" t="str">
            <v>MILANA KONYAKHINA</v>
          </cell>
          <cell r="B3047">
            <v>10595</v>
          </cell>
        </row>
        <row r="3048">
          <cell r="A3048" t="str">
            <v>LAAS KOOBAK</v>
          </cell>
          <cell r="B3048">
            <v>5970</v>
          </cell>
        </row>
        <row r="3049">
          <cell r="A3049" t="str">
            <v>SANDRA KOOBAK</v>
          </cell>
          <cell r="B3049">
            <v>10880</v>
          </cell>
        </row>
        <row r="3050">
          <cell r="A3050" t="str">
            <v>ERKO KOOKLA</v>
          </cell>
          <cell r="B3050">
            <v>865</v>
          </cell>
        </row>
        <row r="3051">
          <cell r="A3051" t="str">
            <v>GUNNAR GREGOR KOOL</v>
          </cell>
          <cell r="B3051">
            <v>10038</v>
          </cell>
        </row>
        <row r="3052">
          <cell r="A3052" t="str">
            <v>RENEE KOOLI</v>
          </cell>
          <cell r="B3052">
            <v>9173</v>
          </cell>
        </row>
        <row r="3053">
          <cell r="A3053" t="str">
            <v>KALLE KOOP</v>
          </cell>
          <cell r="B3053">
            <v>7388</v>
          </cell>
        </row>
        <row r="3054">
          <cell r="A3054" t="str">
            <v>KARDO KOOP</v>
          </cell>
          <cell r="B3054">
            <v>7178</v>
          </cell>
        </row>
        <row r="3055">
          <cell r="A3055" t="str">
            <v>MARGUS KOOR</v>
          </cell>
          <cell r="B3055">
            <v>9548</v>
          </cell>
        </row>
        <row r="3056">
          <cell r="A3056" t="str">
            <v>JAKKO KOORT</v>
          </cell>
          <cell r="B3056">
            <v>6988</v>
          </cell>
        </row>
        <row r="3057">
          <cell r="A3057" t="str">
            <v>KAUPO KOORT</v>
          </cell>
          <cell r="B3057">
            <v>5612</v>
          </cell>
        </row>
        <row r="3058">
          <cell r="A3058" t="str">
            <v>KRISTEL KOORT</v>
          </cell>
          <cell r="B3058">
            <v>5601</v>
          </cell>
        </row>
        <row r="3059">
          <cell r="A3059" t="str">
            <v>STEN-RASMUS KOORT</v>
          </cell>
          <cell r="B3059">
            <v>7551</v>
          </cell>
        </row>
        <row r="3060">
          <cell r="A3060" t="str">
            <v>VAINO KOORT</v>
          </cell>
          <cell r="B3060">
            <v>5600</v>
          </cell>
        </row>
        <row r="3061">
          <cell r="A3061" t="str">
            <v>ANDRE KOORTS</v>
          </cell>
          <cell r="B3061">
            <v>3228</v>
          </cell>
        </row>
        <row r="3062">
          <cell r="A3062" t="str">
            <v>GETERI KOOV</v>
          </cell>
          <cell r="B3062">
            <v>3790</v>
          </cell>
        </row>
        <row r="3063">
          <cell r="A3063" t="str">
            <v>JANNE KOOV</v>
          </cell>
          <cell r="B3063">
            <v>1199</v>
          </cell>
        </row>
        <row r="3064">
          <cell r="A3064" t="str">
            <v>MEELIS KOOVIT</v>
          </cell>
          <cell r="B3064">
            <v>295</v>
          </cell>
        </row>
        <row r="3065">
          <cell r="A3065" t="str">
            <v>REIN KOOVIT</v>
          </cell>
          <cell r="B3065">
            <v>183</v>
          </cell>
        </row>
        <row r="3066">
          <cell r="A3066" t="str">
            <v>SILLERIIN KOOVIT</v>
          </cell>
          <cell r="B3066">
            <v>1704</v>
          </cell>
        </row>
        <row r="3067">
          <cell r="A3067" t="str">
            <v>SILVI KOOVIT</v>
          </cell>
          <cell r="B3067">
            <v>5616</v>
          </cell>
        </row>
        <row r="3068">
          <cell r="A3068" t="str">
            <v>ARSENI KOPÕLOV</v>
          </cell>
          <cell r="B3068">
            <v>7925</v>
          </cell>
        </row>
        <row r="3069">
          <cell r="A3069" t="str">
            <v>ANTONI KOPALY</v>
          </cell>
          <cell r="B3069">
            <v>1990</v>
          </cell>
        </row>
        <row r="3070">
          <cell r="A3070" t="str">
            <v>ELIE KOPALY</v>
          </cell>
          <cell r="B3070">
            <v>1553</v>
          </cell>
        </row>
        <row r="3071">
          <cell r="A3071" t="str">
            <v>DENISS KOPANEV</v>
          </cell>
          <cell r="B3071">
            <v>5197</v>
          </cell>
        </row>
        <row r="3072">
          <cell r="A3072" t="str">
            <v>DANIELS KOPANTŠUK</v>
          </cell>
          <cell r="B3072">
            <v>9708</v>
          </cell>
        </row>
        <row r="3073">
          <cell r="A3073" t="str">
            <v>SERGEI KOPANTŠUK</v>
          </cell>
          <cell r="B3073">
            <v>10860</v>
          </cell>
        </row>
        <row r="3074">
          <cell r="A3074" t="str">
            <v>ARTIS KOPEIKA</v>
          </cell>
          <cell r="B3074">
            <v>522</v>
          </cell>
        </row>
        <row r="3075">
          <cell r="A3075" t="str">
            <v>DENIS KOPEIKIN</v>
          </cell>
          <cell r="B3075">
            <v>7601</v>
          </cell>
        </row>
        <row r="3076">
          <cell r="A3076" t="str">
            <v>DENIS KOPEIKIN</v>
          </cell>
          <cell r="B3076">
            <v>9060</v>
          </cell>
        </row>
        <row r="3077">
          <cell r="A3077" t="str">
            <v>MARIA KOPEIKINA</v>
          </cell>
          <cell r="B3077">
            <v>9092</v>
          </cell>
        </row>
        <row r="3078">
          <cell r="A3078" t="str">
            <v>ARTJOM KOPJUSOV</v>
          </cell>
          <cell r="B3078">
            <v>3791</v>
          </cell>
        </row>
        <row r="3079">
          <cell r="A3079" t="str">
            <v>NADEZDA KOPKINA</v>
          </cell>
          <cell r="B3079">
            <v>6015</v>
          </cell>
        </row>
        <row r="3080">
          <cell r="A3080" t="str">
            <v>FRANK-KARL KOPPEL</v>
          </cell>
          <cell r="B3080">
            <v>1770</v>
          </cell>
        </row>
        <row r="3081">
          <cell r="A3081" t="str">
            <v>HENDRIK KOPPEL</v>
          </cell>
          <cell r="B3081">
            <v>10003</v>
          </cell>
        </row>
        <row r="3082">
          <cell r="A3082" t="str">
            <v>KARDO KOPPEL</v>
          </cell>
          <cell r="B3082">
            <v>10124</v>
          </cell>
        </row>
        <row r="3083">
          <cell r="A3083" t="str">
            <v>MAARJA KOPPEL</v>
          </cell>
          <cell r="B3083">
            <v>2748</v>
          </cell>
        </row>
        <row r="3084">
          <cell r="A3084" t="str">
            <v>MIHKEL KOPPEL</v>
          </cell>
          <cell r="B3084">
            <v>10849</v>
          </cell>
        </row>
        <row r="3085">
          <cell r="A3085" t="str">
            <v>TIIA KOPPEL</v>
          </cell>
          <cell r="B3085">
            <v>2911</v>
          </cell>
        </row>
        <row r="3086">
          <cell r="A3086" t="str">
            <v>EDURD KOPPELMANN</v>
          </cell>
          <cell r="B3086">
            <v>1686</v>
          </cell>
        </row>
        <row r="3087">
          <cell r="A3087" t="str">
            <v>ARTUR KOPTELKOV</v>
          </cell>
          <cell r="B3087">
            <v>8821</v>
          </cell>
        </row>
        <row r="3088">
          <cell r="A3088" t="str">
            <v>ULJANA KOR</v>
          </cell>
          <cell r="B3088">
            <v>8514</v>
          </cell>
        </row>
        <row r="3089">
          <cell r="A3089" t="str">
            <v>EDVARD KORB</v>
          </cell>
          <cell r="B3089">
            <v>4741</v>
          </cell>
        </row>
        <row r="3090">
          <cell r="A3090" t="str">
            <v>RAYAN KORB</v>
          </cell>
          <cell r="B3090">
            <v>7255</v>
          </cell>
        </row>
        <row r="3091">
          <cell r="A3091" t="str">
            <v>MARLEEN KORBELAINEN</v>
          </cell>
          <cell r="B3091">
            <v>2951</v>
          </cell>
        </row>
        <row r="3092">
          <cell r="A3092" t="str">
            <v>EGERT-MARTIN KORBERG</v>
          </cell>
          <cell r="B3092">
            <v>4294</v>
          </cell>
        </row>
        <row r="3093">
          <cell r="A3093" t="str">
            <v>DOMINIKS KORBUTS</v>
          </cell>
          <cell r="B3093">
            <v>10371</v>
          </cell>
        </row>
        <row r="3094">
          <cell r="A3094" t="str">
            <v>JULIA KORCHEVSKA</v>
          </cell>
          <cell r="B3094">
            <v>8557</v>
          </cell>
        </row>
        <row r="3095">
          <cell r="A3095" t="str">
            <v>MIHHAIL KORDONTŠUK</v>
          </cell>
          <cell r="B3095">
            <v>10592</v>
          </cell>
        </row>
        <row r="3096">
          <cell r="A3096" t="str">
            <v>KARL-ERIK KORELL</v>
          </cell>
          <cell r="B3096">
            <v>3107</v>
          </cell>
        </row>
        <row r="3097">
          <cell r="A3097" t="str">
            <v>KRISTO KORELL</v>
          </cell>
          <cell r="B3097">
            <v>2458</v>
          </cell>
        </row>
        <row r="3098">
          <cell r="A3098" t="str">
            <v>OLAVI KORHONEN</v>
          </cell>
          <cell r="B3098">
            <v>2527</v>
          </cell>
        </row>
        <row r="3099">
          <cell r="A3099" t="str">
            <v>PATRIC KORKKA</v>
          </cell>
          <cell r="B3099">
            <v>9118</v>
          </cell>
        </row>
        <row r="3100">
          <cell r="A3100" t="str">
            <v>KOIT KORKMANN</v>
          </cell>
          <cell r="B3100">
            <v>4018</v>
          </cell>
        </row>
        <row r="3101">
          <cell r="A3101" t="str">
            <v>DMITRI KORNEJEV</v>
          </cell>
          <cell r="B3101">
            <v>9055</v>
          </cell>
        </row>
        <row r="3102">
          <cell r="A3102" t="str">
            <v>PAVEL KORNEJEV</v>
          </cell>
          <cell r="B3102">
            <v>7983</v>
          </cell>
        </row>
        <row r="3103">
          <cell r="A3103" t="str">
            <v>ELENA KORNEJEVA</v>
          </cell>
          <cell r="B3103">
            <v>8832</v>
          </cell>
        </row>
        <row r="3104">
          <cell r="A3104" t="str">
            <v>VALERIA KORNEVA</v>
          </cell>
          <cell r="B3104">
            <v>8860</v>
          </cell>
        </row>
        <row r="3105">
          <cell r="A3105" t="str">
            <v>DMYTRO KORNIIENKO</v>
          </cell>
          <cell r="B3105">
            <v>10859</v>
          </cell>
        </row>
        <row r="3106">
          <cell r="A3106" t="str">
            <v>VERONIKA KORNIJENKO</v>
          </cell>
          <cell r="B3106">
            <v>8836</v>
          </cell>
        </row>
        <row r="3107">
          <cell r="A3107" t="str">
            <v>ULJANA KORNILIEVA</v>
          </cell>
          <cell r="B3107">
            <v>8515</v>
          </cell>
        </row>
        <row r="3108">
          <cell r="A3108" t="str">
            <v>ANDREI KORNILOV</v>
          </cell>
          <cell r="B3108">
            <v>963</v>
          </cell>
        </row>
        <row r="3109">
          <cell r="A3109" t="str">
            <v>VLADIMIR KORNILOV</v>
          </cell>
          <cell r="B3109">
            <v>448</v>
          </cell>
        </row>
        <row r="3110">
          <cell r="A3110" t="str">
            <v>ARTEMII KOROCHENKO</v>
          </cell>
          <cell r="B3110">
            <v>7636</v>
          </cell>
        </row>
        <row r="3111">
          <cell r="A3111" t="str">
            <v>STEPAN KOROLEV</v>
          </cell>
          <cell r="B3111">
            <v>7114</v>
          </cell>
        </row>
        <row r="3112">
          <cell r="A3112" t="str">
            <v>ADREAN KOROLJOV</v>
          </cell>
          <cell r="B3112">
            <v>5580</v>
          </cell>
        </row>
        <row r="3113">
          <cell r="A3113" t="str">
            <v>OLIVER KOROLJOV</v>
          </cell>
          <cell r="B3113">
            <v>4295</v>
          </cell>
        </row>
        <row r="3114">
          <cell r="A3114" t="str">
            <v>TAISIJA KOROLKOVA</v>
          </cell>
          <cell r="B3114">
            <v>4974</v>
          </cell>
        </row>
        <row r="3115">
          <cell r="A3115" t="str">
            <v>JEVA KOROSTELJOVA</v>
          </cell>
          <cell r="B3115">
            <v>7475</v>
          </cell>
        </row>
        <row r="3116">
          <cell r="A3116" t="str">
            <v>ROMAN KOROTAJEV</v>
          </cell>
          <cell r="B3116">
            <v>5461</v>
          </cell>
        </row>
        <row r="3117">
          <cell r="A3117" t="str">
            <v>ARSENII KOROTCHENKO</v>
          </cell>
          <cell r="B3117">
            <v>5643</v>
          </cell>
        </row>
        <row r="3118">
          <cell r="A3118" t="str">
            <v>ARTEMI KOROVKIN</v>
          </cell>
          <cell r="B3118">
            <v>7454</v>
          </cell>
        </row>
        <row r="3119">
          <cell r="A3119" t="str">
            <v>LINDA KOROVLJOVA</v>
          </cell>
          <cell r="B3119">
            <v>4725</v>
          </cell>
        </row>
        <row r="3120">
          <cell r="A3120" t="str">
            <v>VASSILI KORSAK</v>
          </cell>
          <cell r="B3120">
            <v>1029</v>
          </cell>
        </row>
        <row r="3121">
          <cell r="A3121" t="str">
            <v>TAAVI KORSAR</v>
          </cell>
          <cell r="B3121">
            <v>845</v>
          </cell>
        </row>
        <row r="3122">
          <cell r="A3122" t="str">
            <v>TOOMAS KORSAR</v>
          </cell>
          <cell r="B3122">
            <v>1895</v>
          </cell>
        </row>
        <row r="3123">
          <cell r="A3123" t="str">
            <v>IMRE KORSEN</v>
          </cell>
          <cell r="B3123">
            <v>441</v>
          </cell>
        </row>
        <row r="3124">
          <cell r="A3124" t="str">
            <v>KASPER KORSEN</v>
          </cell>
          <cell r="B3124">
            <v>6215</v>
          </cell>
        </row>
        <row r="3125">
          <cell r="A3125" t="str">
            <v>ANATOLI KORSHAKOV</v>
          </cell>
          <cell r="B3125">
            <v>181</v>
          </cell>
        </row>
        <row r="3126">
          <cell r="A3126" t="str">
            <v>ALEKSEI KORZIN</v>
          </cell>
          <cell r="B3126">
            <v>1963</v>
          </cell>
        </row>
        <row r="3127">
          <cell r="A3127" t="str">
            <v>OLESJA KORTŠENOVA</v>
          </cell>
          <cell r="B3127">
            <v>5281</v>
          </cell>
        </row>
        <row r="3128">
          <cell r="A3128" t="str">
            <v>IRINA KORTSHAGINA</v>
          </cell>
          <cell r="B3128">
            <v>2569</v>
          </cell>
        </row>
        <row r="3129">
          <cell r="A3129" t="str">
            <v>NIKITA KOSARJEV</v>
          </cell>
          <cell r="B3129">
            <v>4296</v>
          </cell>
        </row>
        <row r="3130">
          <cell r="A3130" t="str">
            <v>KRISTJAN KOSEMÄE</v>
          </cell>
          <cell r="B3130">
            <v>3102</v>
          </cell>
        </row>
        <row r="3131">
          <cell r="A3131" t="str">
            <v>RAOUL KOSEMÄE</v>
          </cell>
          <cell r="B3131">
            <v>3103</v>
          </cell>
        </row>
        <row r="3132">
          <cell r="A3132" t="str">
            <v>KSENJA KOSENKO</v>
          </cell>
          <cell r="B3132">
            <v>9612</v>
          </cell>
        </row>
        <row r="3133">
          <cell r="A3133" t="str">
            <v>VALERIJA KOSENKO</v>
          </cell>
          <cell r="B3133">
            <v>9094</v>
          </cell>
        </row>
        <row r="3134">
          <cell r="A3134" t="str">
            <v>DANIEL KOSIBA</v>
          </cell>
          <cell r="B3134">
            <v>10335</v>
          </cell>
        </row>
        <row r="3135">
          <cell r="A3135" t="str">
            <v>KRISTJAN-JAAN KOSK</v>
          </cell>
          <cell r="B3135">
            <v>2922</v>
          </cell>
        </row>
        <row r="3136">
          <cell r="A3136" t="str">
            <v>ANSSI KOSKI</v>
          </cell>
          <cell r="B3136">
            <v>941</v>
          </cell>
        </row>
        <row r="3137">
          <cell r="A3137" t="str">
            <v>ARI-MATTI KOSKINEN</v>
          </cell>
          <cell r="B3137">
            <v>8511</v>
          </cell>
        </row>
        <row r="3138">
          <cell r="A3138" t="str">
            <v>GERTHRUD KOSMANENKO</v>
          </cell>
          <cell r="B3138">
            <v>8820</v>
          </cell>
        </row>
        <row r="3139">
          <cell r="A3139" t="str">
            <v>PAVELS KOSOPALOVS</v>
          </cell>
          <cell r="B3139">
            <v>3632</v>
          </cell>
        </row>
        <row r="3140">
          <cell r="A3140" t="str">
            <v>ANDRII KOSSE</v>
          </cell>
          <cell r="B3140">
            <v>10391</v>
          </cell>
        </row>
        <row r="3141">
          <cell r="A3141" t="str">
            <v>KSENIA KOSSENKO</v>
          </cell>
          <cell r="B3141">
            <v>10536</v>
          </cell>
        </row>
        <row r="3142">
          <cell r="A3142" t="str">
            <v>ANITA KOSTAP</v>
          </cell>
          <cell r="B3142">
            <v>7228</v>
          </cell>
        </row>
        <row r="3143">
          <cell r="A3143" t="str">
            <v>OLENA KOSTETSA</v>
          </cell>
          <cell r="B3143">
            <v>3993</v>
          </cell>
        </row>
        <row r="3144">
          <cell r="A3144" t="str">
            <v>MATVEI KOSTIN</v>
          </cell>
          <cell r="B3144">
            <v>10812</v>
          </cell>
        </row>
        <row r="3145">
          <cell r="A3145" t="str">
            <v>VLADIMIR KOSTIN</v>
          </cell>
          <cell r="B3145">
            <v>8982</v>
          </cell>
        </row>
        <row r="3146">
          <cell r="A3146" t="str">
            <v>IVAN KOSTRÕKIN</v>
          </cell>
          <cell r="B3146">
            <v>2685</v>
          </cell>
        </row>
        <row r="3147">
          <cell r="A3147" t="str">
            <v>MILĀNA KOSTROMINA</v>
          </cell>
          <cell r="B3147">
            <v>10661</v>
          </cell>
        </row>
        <row r="3148">
          <cell r="A3148" t="str">
            <v>ALBERT KOSTUSEV</v>
          </cell>
          <cell r="B3148">
            <v>5545</v>
          </cell>
        </row>
        <row r="3149">
          <cell r="A3149" t="str">
            <v>JULIA KOZEJEVA</v>
          </cell>
          <cell r="B3149">
            <v>4297</v>
          </cell>
        </row>
        <row r="3150">
          <cell r="A3150" t="str">
            <v>ENRICO KOZINTSEV</v>
          </cell>
          <cell r="B3150">
            <v>9926</v>
          </cell>
        </row>
        <row r="3151">
          <cell r="A3151" t="str">
            <v>OTT KOZLOV</v>
          </cell>
          <cell r="B3151">
            <v>3266</v>
          </cell>
        </row>
        <row r="3152">
          <cell r="A3152" t="str">
            <v>RAIMOND KOZLOV</v>
          </cell>
          <cell r="B3152">
            <v>8750</v>
          </cell>
        </row>
        <row r="3153">
          <cell r="A3153" t="str">
            <v>VADIM KOZLOV</v>
          </cell>
          <cell r="B3153">
            <v>1511</v>
          </cell>
        </row>
        <row r="3154">
          <cell r="A3154" t="str">
            <v>GESSIE KOZLOVSKI</v>
          </cell>
          <cell r="B3154">
            <v>487</v>
          </cell>
        </row>
        <row r="3155">
          <cell r="A3155" t="str">
            <v>JEVGENI KOZLOVSKI</v>
          </cell>
          <cell r="B3155">
            <v>2452</v>
          </cell>
        </row>
        <row r="3156">
          <cell r="A3156" t="str">
            <v>KSENIA KOZLOVTSEVA</v>
          </cell>
          <cell r="B3156">
            <v>9227</v>
          </cell>
        </row>
        <row r="3157">
          <cell r="A3157" t="str">
            <v>KARMEN KOZMA</v>
          </cell>
          <cell r="B3157">
            <v>1344</v>
          </cell>
        </row>
        <row r="3158">
          <cell r="A3158" t="str">
            <v>EVELINA KOZMIANAITĖ</v>
          </cell>
          <cell r="B3158">
            <v>8618</v>
          </cell>
        </row>
        <row r="3159">
          <cell r="A3159" t="str">
            <v>PETRI KOTAMÄGI</v>
          </cell>
          <cell r="B3159">
            <v>4777</v>
          </cell>
        </row>
        <row r="3160">
          <cell r="A3160" t="str">
            <v>MAKSIM KOTENJOV</v>
          </cell>
          <cell r="B3160">
            <v>10813</v>
          </cell>
        </row>
        <row r="3161">
          <cell r="A3161" t="str">
            <v>JULIA KOTENKO</v>
          </cell>
          <cell r="B3161">
            <v>909</v>
          </cell>
        </row>
        <row r="3162">
          <cell r="A3162" t="str">
            <v>MARIKA KOTKA</v>
          </cell>
          <cell r="B3162">
            <v>2101</v>
          </cell>
        </row>
        <row r="3163">
          <cell r="A3163" t="str">
            <v>KIRKE KOTKAS</v>
          </cell>
          <cell r="B3163">
            <v>1436</v>
          </cell>
        </row>
        <row r="3164">
          <cell r="A3164" t="str">
            <v>MAREK KOTKAS</v>
          </cell>
          <cell r="B3164">
            <v>6172</v>
          </cell>
        </row>
        <row r="3165">
          <cell r="A3165" t="str">
            <v>REIN KOTKAS</v>
          </cell>
          <cell r="B3165">
            <v>4668</v>
          </cell>
        </row>
        <row r="3166">
          <cell r="A3166" t="str">
            <v>SANDER KOTKAS</v>
          </cell>
          <cell r="B3166">
            <v>3792</v>
          </cell>
        </row>
        <row r="3167">
          <cell r="A3167" t="str">
            <v>TIINA KOTKE</v>
          </cell>
          <cell r="B3167">
            <v>3296</v>
          </cell>
        </row>
        <row r="3168">
          <cell r="A3168" t="str">
            <v>PAVEL KOTKIN</v>
          </cell>
          <cell r="B3168">
            <v>8209</v>
          </cell>
        </row>
        <row r="3169">
          <cell r="A3169" t="str">
            <v>KRISTINA KOTKOVSKAJA</v>
          </cell>
          <cell r="B3169">
            <v>9049</v>
          </cell>
        </row>
        <row r="3170">
          <cell r="A3170" t="str">
            <v>ALEKSEI KOTNEV</v>
          </cell>
          <cell r="B3170">
            <v>7953</v>
          </cell>
        </row>
        <row r="3171">
          <cell r="A3171" t="str">
            <v>SERGEI KOTOV</v>
          </cell>
          <cell r="B3171">
            <v>7587</v>
          </cell>
        </row>
        <row r="3172">
          <cell r="A3172" t="str">
            <v>BERT KOTSAR</v>
          </cell>
          <cell r="B3172">
            <v>10438</v>
          </cell>
        </row>
        <row r="3173">
          <cell r="A3173" t="str">
            <v>ARTEM KOTSYBA</v>
          </cell>
          <cell r="B3173">
            <v>7640</v>
          </cell>
        </row>
        <row r="3174">
          <cell r="A3174" t="str">
            <v>ULVAR KOTTER</v>
          </cell>
          <cell r="B3174">
            <v>4298</v>
          </cell>
        </row>
        <row r="3175">
          <cell r="A3175" t="str">
            <v>ALLAN KOTTISE</v>
          </cell>
          <cell r="B3175">
            <v>182</v>
          </cell>
        </row>
        <row r="3176">
          <cell r="A3176" t="str">
            <v>ENELYN KOTTISE</v>
          </cell>
          <cell r="B3176">
            <v>4299</v>
          </cell>
        </row>
        <row r="3177">
          <cell r="A3177" t="str">
            <v>LAAS KOTTISSE</v>
          </cell>
          <cell r="B3177">
            <v>8658</v>
          </cell>
        </row>
        <row r="3178">
          <cell r="A3178" t="str">
            <v>MATTIAS KOTTISSE</v>
          </cell>
          <cell r="B3178">
            <v>8659</v>
          </cell>
        </row>
        <row r="3179">
          <cell r="A3179" t="str">
            <v>JAKUB KOVAC</v>
          </cell>
          <cell r="B3179">
            <v>8983</v>
          </cell>
        </row>
        <row r="3180">
          <cell r="A3180" t="str">
            <v>ANASTASIJA KOVALENKO</v>
          </cell>
          <cell r="B3180">
            <v>8955</v>
          </cell>
        </row>
        <row r="3181">
          <cell r="A3181" t="str">
            <v>GEORGI KOVALENKO</v>
          </cell>
          <cell r="B3181">
            <v>7047</v>
          </cell>
        </row>
        <row r="3182">
          <cell r="A3182" t="str">
            <v>PAVEL KOVALENKO</v>
          </cell>
          <cell r="B3182">
            <v>1524</v>
          </cell>
        </row>
        <row r="3183">
          <cell r="A3183" t="str">
            <v>ARTJOM KOVALEV</v>
          </cell>
          <cell r="B3183">
            <v>9811</v>
          </cell>
        </row>
        <row r="3184">
          <cell r="A3184" t="str">
            <v>NIKOL KOVALEVA</v>
          </cell>
          <cell r="B3184">
            <v>10547</v>
          </cell>
        </row>
        <row r="3185">
          <cell r="A3185" t="str">
            <v>GEORGI KOVALJEV</v>
          </cell>
          <cell r="B3185">
            <v>8590</v>
          </cell>
        </row>
        <row r="3186">
          <cell r="A3186" t="str">
            <v>KONSTANTIN KOVALJONOK</v>
          </cell>
          <cell r="B3186">
            <v>2028</v>
          </cell>
        </row>
        <row r="3187">
          <cell r="A3187" t="str">
            <v>AAVO KOVALJOV</v>
          </cell>
          <cell r="B3187">
            <v>190</v>
          </cell>
        </row>
        <row r="3188">
          <cell r="A3188" t="str">
            <v>GENNADI KOVALJOV</v>
          </cell>
          <cell r="B3188">
            <v>8076</v>
          </cell>
        </row>
        <row r="3189">
          <cell r="A3189" t="str">
            <v>ILJA KOVALJOV</v>
          </cell>
          <cell r="B3189">
            <v>9768</v>
          </cell>
        </row>
        <row r="3190">
          <cell r="A3190" t="str">
            <v>NIKOL KOVALJOVA</v>
          </cell>
          <cell r="B3190">
            <v>10477</v>
          </cell>
        </row>
        <row r="3191">
          <cell r="A3191" t="str">
            <v>ILJA KOVALKOV</v>
          </cell>
          <cell r="B3191">
            <v>3793</v>
          </cell>
        </row>
        <row r="3192">
          <cell r="A3192" t="str">
            <v>MARINA KOVALOVA</v>
          </cell>
          <cell r="B3192">
            <v>2044</v>
          </cell>
        </row>
        <row r="3193">
          <cell r="A3193" t="str">
            <v>ERIK KOVALTŠUK</v>
          </cell>
          <cell r="B3193">
            <v>9776</v>
          </cell>
        </row>
        <row r="3194">
          <cell r="A3194" t="str">
            <v>TEEMU KOVANEN</v>
          </cell>
          <cell r="B3194">
            <v>2059</v>
          </cell>
        </row>
        <row r="3195">
          <cell r="A3195" t="str">
            <v>LIDIA KRÕLOVA</v>
          </cell>
          <cell r="B3195">
            <v>7016</v>
          </cell>
        </row>
        <row r="3196">
          <cell r="A3196" t="str">
            <v>TATJANA KRÕLOVA</v>
          </cell>
          <cell r="B3196">
            <v>3724</v>
          </cell>
        </row>
        <row r="3197">
          <cell r="A3197" t="str">
            <v>VALERIA KRÕLOVA</v>
          </cell>
          <cell r="B3197">
            <v>4305</v>
          </cell>
        </row>
        <row r="3198">
          <cell r="A3198" t="str">
            <v>ALEKSANDER KRAAG</v>
          </cell>
          <cell r="B3198">
            <v>10125</v>
          </cell>
        </row>
        <row r="3199">
          <cell r="A3199" t="str">
            <v>ALEKSANDER KRAAG</v>
          </cell>
          <cell r="B3199">
            <v>10172</v>
          </cell>
        </row>
        <row r="3200">
          <cell r="A3200" t="str">
            <v>MARIETTE KRAAG</v>
          </cell>
          <cell r="B3200">
            <v>10126</v>
          </cell>
        </row>
        <row r="3201">
          <cell r="A3201" t="str">
            <v>HEIKO KRAANER</v>
          </cell>
          <cell r="B3201">
            <v>1653</v>
          </cell>
        </row>
        <row r="3202">
          <cell r="A3202" t="str">
            <v>KRISTO KRAANER</v>
          </cell>
          <cell r="B3202">
            <v>1835</v>
          </cell>
        </row>
        <row r="3203">
          <cell r="A3203" t="str">
            <v>JÖRGEN KRABI</v>
          </cell>
          <cell r="B3203">
            <v>474</v>
          </cell>
        </row>
        <row r="3204">
          <cell r="A3204" t="str">
            <v>KEITIN KRABI</v>
          </cell>
          <cell r="B3204">
            <v>4300</v>
          </cell>
        </row>
        <row r="3205">
          <cell r="A3205" t="str">
            <v>KERLI KRABI</v>
          </cell>
          <cell r="B3205">
            <v>1406</v>
          </cell>
        </row>
        <row r="3206">
          <cell r="A3206" t="str">
            <v>ÜLLE KRAFT</v>
          </cell>
          <cell r="B3206">
            <v>5095</v>
          </cell>
        </row>
        <row r="3207">
          <cell r="A3207" t="str">
            <v>ALEKSANDR KRAHT</v>
          </cell>
          <cell r="B3207">
            <v>1805</v>
          </cell>
        </row>
        <row r="3208">
          <cell r="A3208" t="str">
            <v>ÜLLE KRAHT</v>
          </cell>
          <cell r="B3208">
            <v>1408</v>
          </cell>
        </row>
        <row r="3209">
          <cell r="A3209" t="str">
            <v>KARL KRAHT</v>
          </cell>
          <cell r="B3209">
            <v>4301</v>
          </cell>
        </row>
        <row r="3210">
          <cell r="A3210" t="str">
            <v>MARTIN KRAIKO</v>
          </cell>
          <cell r="B3210">
            <v>7285</v>
          </cell>
        </row>
        <row r="3211">
          <cell r="A3211" t="str">
            <v>ALEKSEI KRAINOV</v>
          </cell>
          <cell r="B3211">
            <v>5346</v>
          </cell>
        </row>
        <row r="3212">
          <cell r="A3212" t="str">
            <v>MARIA KRAJEVA</v>
          </cell>
          <cell r="B3212">
            <v>9807</v>
          </cell>
        </row>
        <row r="3213">
          <cell r="A3213" t="str">
            <v>ALLAN KRALL</v>
          </cell>
          <cell r="B3213">
            <v>184</v>
          </cell>
        </row>
        <row r="3214">
          <cell r="A3214" t="str">
            <v>TOOMAS KRÜGER</v>
          </cell>
          <cell r="B3214">
            <v>1185</v>
          </cell>
        </row>
        <row r="3215">
          <cell r="A3215" t="str">
            <v>TIIU KRÜNBERG</v>
          </cell>
          <cell r="B3215">
            <v>64</v>
          </cell>
        </row>
        <row r="3216">
          <cell r="A3216" t="str">
            <v>KASPAR KRAPIVIN</v>
          </cell>
          <cell r="B3216">
            <v>1420</v>
          </cell>
        </row>
        <row r="3217">
          <cell r="A3217" t="str">
            <v>ALEKSANDR KRASKOVSKI</v>
          </cell>
          <cell r="B3217">
            <v>7616</v>
          </cell>
        </row>
        <row r="3218">
          <cell r="A3218" t="str">
            <v>GEORG KRASNOPEVTSEV</v>
          </cell>
          <cell r="B3218">
            <v>1195</v>
          </cell>
        </row>
        <row r="3219">
          <cell r="A3219" t="str">
            <v>SERGEI KRASNOPEVTSEV</v>
          </cell>
          <cell r="B3219">
            <v>4302</v>
          </cell>
        </row>
        <row r="3220">
          <cell r="A3220" t="str">
            <v>ALEKSEI KRASNOPOLSKII</v>
          </cell>
          <cell r="B3220">
            <v>10732</v>
          </cell>
        </row>
        <row r="3221">
          <cell r="A3221" t="str">
            <v>ARSENI KRASNOV</v>
          </cell>
          <cell r="B3221">
            <v>9061</v>
          </cell>
        </row>
        <row r="3222">
          <cell r="A3222" t="str">
            <v>DMITRI KRASNOV</v>
          </cell>
          <cell r="B3222">
            <v>401</v>
          </cell>
        </row>
        <row r="3223">
          <cell r="A3223" t="str">
            <v>KONSTANTIN KRASNOV</v>
          </cell>
          <cell r="B3223">
            <v>6279</v>
          </cell>
        </row>
        <row r="3224">
          <cell r="A3224" t="str">
            <v>ALEKSANDR KRASNOVSKI</v>
          </cell>
          <cell r="B3224">
            <v>7594</v>
          </cell>
        </row>
        <row r="3225">
          <cell r="A3225" t="str">
            <v>EVELĪNA KRASOVSKA</v>
          </cell>
          <cell r="B3225">
            <v>8626</v>
          </cell>
        </row>
        <row r="3226">
          <cell r="A3226" t="str">
            <v>KARL KRAUS</v>
          </cell>
          <cell r="B3226">
            <v>7264</v>
          </cell>
        </row>
        <row r="3227">
          <cell r="A3227" t="str">
            <v>KAUPO KRAUS</v>
          </cell>
          <cell r="B3227">
            <v>8208</v>
          </cell>
        </row>
        <row r="3228">
          <cell r="A3228" t="str">
            <v>RENĀRS KRAUZE</v>
          </cell>
          <cell r="B3228">
            <v>10400</v>
          </cell>
        </row>
        <row r="3229">
          <cell r="A3229" t="str">
            <v>MART KRAUT</v>
          </cell>
          <cell r="B3229">
            <v>185</v>
          </cell>
        </row>
        <row r="3230">
          <cell r="A3230" t="str">
            <v>KASPARS KRAVCUNS</v>
          </cell>
          <cell r="B3230">
            <v>10148</v>
          </cell>
        </row>
        <row r="3231">
          <cell r="A3231" t="str">
            <v>KRISTERS KRAVINSKIS</v>
          </cell>
          <cell r="B3231">
            <v>2858</v>
          </cell>
        </row>
        <row r="3232">
          <cell r="A3232" t="str">
            <v>VIKTORIJA KRAVTSENKO</v>
          </cell>
          <cell r="B3232">
            <v>1931</v>
          </cell>
        </row>
        <row r="3233">
          <cell r="A3233" t="str">
            <v>ALEKS KRAVTSUK</v>
          </cell>
          <cell r="B3233">
            <v>3285</v>
          </cell>
        </row>
        <row r="3234">
          <cell r="A3234" t="str">
            <v>MEELIS KREEGI</v>
          </cell>
          <cell r="B3234">
            <v>9948</v>
          </cell>
        </row>
        <row r="3235">
          <cell r="A3235" t="str">
            <v>PEETER KREEK</v>
          </cell>
          <cell r="B3235">
            <v>8166</v>
          </cell>
        </row>
        <row r="3236">
          <cell r="A3236" t="str">
            <v>LEENI JANETE KREEN</v>
          </cell>
          <cell r="B3236">
            <v>5388</v>
          </cell>
        </row>
        <row r="3237">
          <cell r="A3237" t="str">
            <v>DALJUS KREGZDE</v>
          </cell>
          <cell r="B3237">
            <v>2095</v>
          </cell>
        </row>
        <row r="3238">
          <cell r="A3238" t="str">
            <v>JOOSEP KREININ</v>
          </cell>
          <cell r="B3238">
            <v>8828</v>
          </cell>
        </row>
        <row r="3239">
          <cell r="A3239" t="str">
            <v>ALBERT KREK</v>
          </cell>
          <cell r="B3239">
            <v>10539</v>
          </cell>
        </row>
        <row r="3240">
          <cell r="A3240" t="str">
            <v>ARGO KREMER</v>
          </cell>
          <cell r="B3240">
            <v>1101</v>
          </cell>
        </row>
        <row r="3241">
          <cell r="A3241" t="str">
            <v>KARMO KREUZ</v>
          </cell>
          <cell r="B3241">
            <v>358</v>
          </cell>
        </row>
        <row r="3242">
          <cell r="A3242" t="str">
            <v>HELEN KREUZ-KLEITSMAN</v>
          </cell>
          <cell r="B3242">
            <v>1904</v>
          </cell>
        </row>
        <row r="3243">
          <cell r="A3243" t="str">
            <v>LINA KRIAUCIONAITE</v>
          </cell>
          <cell r="B3243">
            <v>2510</v>
          </cell>
        </row>
        <row r="3244">
          <cell r="A3244" t="str">
            <v>LINA KRIAUCIUNAITE</v>
          </cell>
          <cell r="B3244">
            <v>2195</v>
          </cell>
        </row>
        <row r="3245">
          <cell r="A3245" t="str">
            <v>MARCUS KRIESENTHAL</v>
          </cell>
          <cell r="B3245">
            <v>2349</v>
          </cell>
        </row>
        <row r="3246">
          <cell r="A3246" t="str">
            <v>ALEG KRIGORJEV</v>
          </cell>
          <cell r="B3246">
            <v>7663</v>
          </cell>
        </row>
        <row r="3247">
          <cell r="A3247" t="str">
            <v>INDREK KRIISA</v>
          </cell>
          <cell r="B3247">
            <v>9114</v>
          </cell>
        </row>
        <row r="3248">
          <cell r="A3248" t="str">
            <v>PRIIT KRIISA</v>
          </cell>
          <cell r="B3248">
            <v>7784</v>
          </cell>
        </row>
        <row r="3249">
          <cell r="A3249" t="str">
            <v>RAUNO KRIISA</v>
          </cell>
          <cell r="B3249">
            <v>3691</v>
          </cell>
        </row>
        <row r="3250">
          <cell r="A3250" t="str">
            <v>EDGARS KRIKIS</v>
          </cell>
          <cell r="B3250">
            <v>2595</v>
          </cell>
        </row>
        <row r="3251">
          <cell r="A3251" t="str">
            <v>KEIRA KRIKK</v>
          </cell>
          <cell r="B3251">
            <v>10044</v>
          </cell>
        </row>
        <row r="3252">
          <cell r="A3252" t="str">
            <v>KRISTJAN KRIMBERG</v>
          </cell>
          <cell r="B3252">
            <v>3087</v>
          </cell>
        </row>
        <row r="3253">
          <cell r="A3253" t="str">
            <v>AIVAR KRIMM</v>
          </cell>
          <cell r="B3253">
            <v>4997</v>
          </cell>
        </row>
        <row r="3254">
          <cell r="A3254" t="str">
            <v>KARDI KRIMM</v>
          </cell>
          <cell r="B3254">
            <v>2812</v>
          </cell>
        </row>
        <row r="3255">
          <cell r="A3255" t="str">
            <v>MARIS KRIMM</v>
          </cell>
          <cell r="B3255">
            <v>5167</v>
          </cell>
        </row>
        <row r="3256">
          <cell r="A3256" t="str">
            <v>NEVIL KRIMM</v>
          </cell>
          <cell r="B3256">
            <v>5166</v>
          </cell>
        </row>
        <row r="3257">
          <cell r="A3257" t="str">
            <v>KAAREL KRIMSES</v>
          </cell>
          <cell r="B3257">
            <v>10462</v>
          </cell>
        </row>
        <row r="3258">
          <cell r="A3258" t="str">
            <v>RIHARD KRIMSES</v>
          </cell>
          <cell r="B3258">
            <v>10671</v>
          </cell>
        </row>
        <row r="3259">
          <cell r="A3259" t="str">
            <v>HELERIN KRISTAL</v>
          </cell>
          <cell r="B3259">
            <v>4303</v>
          </cell>
        </row>
        <row r="3260">
          <cell r="A3260" t="str">
            <v>RANDO KRISTAL</v>
          </cell>
          <cell r="B3260">
            <v>4031</v>
          </cell>
        </row>
        <row r="3261">
          <cell r="A3261" t="str">
            <v>RIVO KRISTAL</v>
          </cell>
          <cell r="B3261">
            <v>4030</v>
          </cell>
        </row>
        <row r="3262">
          <cell r="A3262" t="str">
            <v>RONIS KRISTAPS</v>
          </cell>
          <cell r="B3262">
            <v>3196</v>
          </cell>
        </row>
        <row r="3263">
          <cell r="A3263" t="str">
            <v>LII KRISTERSON</v>
          </cell>
          <cell r="B3263">
            <v>3977</v>
          </cell>
        </row>
        <row r="3264">
          <cell r="A3264" t="str">
            <v>KERT KRISTJANSON</v>
          </cell>
          <cell r="B3264">
            <v>3324</v>
          </cell>
        </row>
        <row r="3265">
          <cell r="A3265" t="str">
            <v>DARJA KRIVOŠERJEVA</v>
          </cell>
          <cell r="B3265">
            <v>5376</v>
          </cell>
        </row>
        <row r="3266">
          <cell r="A3266" t="str">
            <v>TATJANA KRIVOBOKOVA</v>
          </cell>
          <cell r="B3266">
            <v>2855</v>
          </cell>
        </row>
        <row r="3267">
          <cell r="A3267" t="str">
            <v>GUNTIS KRIVODS</v>
          </cell>
          <cell r="B3267">
            <v>3514</v>
          </cell>
        </row>
        <row r="3268">
          <cell r="A3268" t="str">
            <v>VITALI KRIVONOGOV</v>
          </cell>
          <cell r="B3268">
            <v>7615</v>
          </cell>
        </row>
        <row r="3269">
          <cell r="A3269" t="str">
            <v>ANTON KRIVORUTŠKO</v>
          </cell>
          <cell r="B3269">
            <v>7434</v>
          </cell>
        </row>
        <row r="3270">
          <cell r="A3270" t="str">
            <v>ILJA KRIVOV</v>
          </cell>
          <cell r="B3270">
            <v>8674</v>
          </cell>
        </row>
        <row r="3271">
          <cell r="A3271" t="str">
            <v>NORMUNDS KRJUKOVS</v>
          </cell>
          <cell r="B3271">
            <v>3023</v>
          </cell>
        </row>
        <row r="3272">
          <cell r="A3272" t="str">
            <v>KRISTERS GIRTS KRONIS</v>
          </cell>
          <cell r="B3272">
            <v>8068</v>
          </cell>
        </row>
        <row r="3273">
          <cell r="A3273" t="str">
            <v>KUSTAS KROONI</v>
          </cell>
          <cell r="B3273">
            <v>3397</v>
          </cell>
        </row>
        <row r="3274">
          <cell r="A3274" t="str">
            <v>PAULINA KRZYSIEK</v>
          </cell>
          <cell r="B3274">
            <v>10467</v>
          </cell>
        </row>
        <row r="3275">
          <cell r="A3275" t="str">
            <v>JOVYDAS KRUŠNAUSKAS</v>
          </cell>
          <cell r="B3275">
            <v>10767</v>
          </cell>
        </row>
        <row r="3276">
          <cell r="A3276" t="str">
            <v>EDUARD KRUBENG</v>
          </cell>
          <cell r="B3276">
            <v>9317</v>
          </cell>
        </row>
        <row r="3277">
          <cell r="A3277" t="str">
            <v>TATJANA KRUGLIK</v>
          </cell>
          <cell r="B3277">
            <v>4304</v>
          </cell>
        </row>
        <row r="3278">
          <cell r="A3278" t="str">
            <v>LAURA KRUMINA</v>
          </cell>
          <cell r="B3278">
            <v>1213</v>
          </cell>
        </row>
        <row r="3279">
          <cell r="A3279" t="str">
            <v>ANDRIS KRUMINS</v>
          </cell>
          <cell r="B3279">
            <v>3515</v>
          </cell>
        </row>
        <row r="3280">
          <cell r="A3280" t="str">
            <v>GINTS KRUMINS</v>
          </cell>
          <cell r="B3280">
            <v>2557</v>
          </cell>
        </row>
        <row r="3281">
          <cell r="A3281" t="str">
            <v>ANDRIS KRUMINSH</v>
          </cell>
          <cell r="B3281">
            <v>3261</v>
          </cell>
        </row>
        <row r="3282">
          <cell r="A3282" t="str">
            <v>EDGARS KRUMINSH</v>
          </cell>
          <cell r="B3282">
            <v>2652</v>
          </cell>
        </row>
        <row r="3283">
          <cell r="A3283" t="str">
            <v>EDUARDS KRUMOVIC</v>
          </cell>
          <cell r="B3283">
            <v>1724</v>
          </cell>
        </row>
        <row r="3284">
          <cell r="A3284" t="str">
            <v>TÕNIS KRUPP</v>
          </cell>
          <cell r="B3284">
            <v>3538</v>
          </cell>
        </row>
        <row r="3285">
          <cell r="A3285" t="str">
            <v>MATI KRUSEL</v>
          </cell>
          <cell r="B3285">
            <v>3353</v>
          </cell>
        </row>
        <row r="3286">
          <cell r="A3286" t="str">
            <v>STANISLAV KRUTI</v>
          </cell>
          <cell r="B3286">
            <v>8091</v>
          </cell>
        </row>
        <row r="3287">
          <cell r="A3287" t="str">
            <v>ROBERT KRUUDA</v>
          </cell>
          <cell r="B3287">
            <v>9658</v>
          </cell>
        </row>
        <row r="3288">
          <cell r="A3288" t="str">
            <v>AIRE KRUUS</v>
          </cell>
          <cell r="B3288">
            <v>5921</v>
          </cell>
        </row>
        <row r="3289">
          <cell r="A3289" t="str">
            <v>AIVO KRUUS</v>
          </cell>
          <cell r="B3289">
            <v>9310</v>
          </cell>
        </row>
        <row r="3290">
          <cell r="A3290" t="str">
            <v>ENAR KRUUS</v>
          </cell>
          <cell r="B3290">
            <v>7828</v>
          </cell>
        </row>
        <row r="3291">
          <cell r="A3291" t="str">
            <v>RICO KRUUS</v>
          </cell>
          <cell r="B3291">
            <v>7827</v>
          </cell>
        </row>
        <row r="3292">
          <cell r="A3292" t="str">
            <v>TOM KRUUS</v>
          </cell>
          <cell r="B3292">
            <v>8822</v>
          </cell>
        </row>
        <row r="3293">
          <cell r="A3293" t="str">
            <v>ERIK KRUUSA</v>
          </cell>
          <cell r="B3293">
            <v>8489</v>
          </cell>
        </row>
        <row r="3294">
          <cell r="A3294" t="str">
            <v>KASPAR KRUUSALU</v>
          </cell>
          <cell r="B3294">
            <v>2230</v>
          </cell>
        </row>
        <row r="3295">
          <cell r="A3295" t="str">
            <v>SILVER KRUUSALU</v>
          </cell>
          <cell r="B3295">
            <v>2280</v>
          </cell>
        </row>
        <row r="3296">
          <cell r="A3296" t="str">
            <v>ARNE KRUUSE</v>
          </cell>
          <cell r="B3296">
            <v>7471</v>
          </cell>
        </row>
        <row r="3297">
          <cell r="A3297" t="str">
            <v>HEINO KRUUSEMENT</v>
          </cell>
          <cell r="B3297">
            <v>186</v>
          </cell>
        </row>
        <row r="3298">
          <cell r="A3298" t="str">
            <v>KRISTIINA KRUUSEMENT</v>
          </cell>
          <cell r="B3298">
            <v>2041</v>
          </cell>
        </row>
        <row r="3299">
          <cell r="A3299" t="str">
            <v>MARTIN KRUUSENVALD</v>
          </cell>
          <cell r="B3299">
            <v>8762</v>
          </cell>
        </row>
        <row r="3300">
          <cell r="A3300" t="str">
            <v>OLEV KRUUSENVALD</v>
          </cell>
          <cell r="B3300">
            <v>8409</v>
          </cell>
        </row>
        <row r="3301">
          <cell r="A3301" t="str">
            <v>VEIKO KRUUSENVALD</v>
          </cell>
          <cell r="B3301">
            <v>8761</v>
          </cell>
        </row>
        <row r="3302">
          <cell r="A3302" t="str">
            <v>MAIRE KRUUSIMÄE</v>
          </cell>
          <cell r="B3302">
            <v>5202</v>
          </cell>
        </row>
        <row r="3303">
          <cell r="A3303" t="str">
            <v>ÜLO KRUUSIMÄGI</v>
          </cell>
          <cell r="B3303">
            <v>2643</v>
          </cell>
        </row>
        <row r="3304">
          <cell r="A3304" t="str">
            <v>LISETT KRUUSIMÄGI</v>
          </cell>
          <cell r="B3304">
            <v>2566</v>
          </cell>
        </row>
        <row r="3305">
          <cell r="A3305" t="str">
            <v>PIRET KRUUSIMÄGI</v>
          </cell>
          <cell r="B3305">
            <v>1061</v>
          </cell>
        </row>
        <row r="3306">
          <cell r="A3306" t="str">
            <v>MARII KRUUSIMAA</v>
          </cell>
          <cell r="B3306">
            <v>7779</v>
          </cell>
        </row>
        <row r="3307">
          <cell r="A3307" t="str">
            <v>GRETE KRUUSMA</v>
          </cell>
          <cell r="B3307">
            <v>8181</v>
          </cell>
        </row>
        <row r="3308">
          <cell r="A3308" t="str">
            <v>MARGO KRUUSMA</v>
          </cell>
          <cell r="B3308">
            <v>10323</v>
          </cell>
        </row>
        <row r="3309">
          <cell r="A3309" t="str">
            <v>AIRI KRUUSMAA</v>
          </cell>
          <cell r="B3309">
            <v>4743</v>
          </cell>
        </row>
        <row r="3310">
          <cell r="A3310" t="str">
            <v>ANDRES KRUUSMAA</v>
          </cell>
          <cell r="B3310">
            <v>407</v>
          </cell>
        </row>
        <row r="3311">
          <cell r="A3311" t="str">
            <v>EERO KRUUSMAA</v>
          </cell>
          <cell r="B3311">
            <v>2646</v>
          </cell>
        </row>
        <row r="3312">
          <cell r="A3312" t="str">
            <v>JOHANNES KRUUSMAA</v>
          </cell>
          <cell r="B3312">
            <v>3624</v>
          </cell>
        </row>
        <row r="3313">
          <cell r="A3313" t="str">
            <v>KRISTIINA KRUUSMAA</v>
          </cell>
          <cell r="B3313">
            <v>1060</v>
          </cell>
        </row>
        <row r="3314">
          <cell r="A3314" t="str">
            <v>JÜRI KRUUSMANN</v>
          </cell>
          <cell r="B3314">
            <v>1079</v>
          </cell>
        </row>
        <row r="3315">
          <cell r="A3315" t="str">
            <v>RASMUS KRUUSMANN</v>
          </cell>
          <cell r="B3315">
            <v>1330</v>
          </cell>
        </row>
        <row r="3316">
          <cell r="A3316" t="str">
            <v>TAIMO KRUUSPAN</v>
          </cell>
          <cell r="B3316">
            <v>1843</v>
          </cell>
        </row>
        <row r="3317">
          <cell r="A3317" t="str">
            <v>TARVI KRUUSPAN</v>
          </cell>
          <cell r="B3317">
            <v>1844</v>
          </cell>
        </row>
        <row r="3318">
          <cell r="A3318" t="str">
            <v>KARL KRUUTMAN</v>
          </cell>
          <cell r="B3318">
            <v>7853</v>
          </cell>
        </row>
        <row r="3319">
          <cell r="A3319" t="str">
            <v>VIKTORIIA KRYVEHA</v>
          </cell>
          <cell r="B3319">
            <v>10277</v>
          </cell>
        </row>
        <row r="3320">
          <cell r="A3320" t="str">
            <v>OLEG KUBATSHKOV</v>
          </cell>
          <cell r="B3320">
            <v>4306</v>
          </cell>
        </row>
        <row r="3321">
          <cell r="A3321" t="str">
            <v>MIIA MARGARITA KUBJA</v>
          </cell>
          <cell r="B3321">
            <v>8804</v>
          </cell>
        </row>
        <row r="3322">
          <cell r="A3322" t="str">
            <v>MARGO KUBJAS</v>
          </cell>
          <cell r="B3322">
            <v>2823</v>
          </cell>
        </row>
        <row r="3323">
          <cell r="A3323" t="str">
            <v>SERGEJS KUCEBA</v>
          </cell>
          <cell r="B3323">
            <v>4998</v>
          </cell>
        </row>
        <row r="3324">
          <cell r="A3324" t="str">
            <v>VITALJS KUCEBA</v>
          </cell>
          <cell r="B3324">
            <v>5077</v>
          </cell>
        </row>
        <row r="3325">
          <cell r="A3325" t="str">
            <v>YURY KUCHMEL</v>
          </cell>
          <cell r="B3325">
            <v>10739</v>
          </cell>
        </row>
        <row r="3326">
          <cell r="A3326" t="str">
            <v>MARIS KUDA</v>
          </cell>
          <cell r="B3326">
            <v>3016</v>
          </cell>
        </row>
        <row r="3327">
          <cell r="A3327" t="str">
            <v>PAVEL KUDELKO</v>
          </cell>
          <cell r="B3327">
            <v>9474</v>
          </cell>
        </row>
        <row r="3328">
          <cell r="A3328" t="str">
            <v>SERHII KUDIN</v>
          </cell>
          <cell r="B3328">
            <v>10708</v>
          </cell>
        </row>
        <row r="3329">
          <cell r="A3329" t="str">
            <v>ANDRES KUDISIIM</v>
          </cell>
          <cell r="B3329">
            <v>2106</v>
          </cell>
        </row>
        <row r="3330">
          <cell r="A3330" t="str">
            <v>JEKATERINA KUDJAKOVA</v>
          </cell>
          <cell r="B3330">
            <v>6996</v>
          </cell>
        </row>
        <row r="3331">
          <cell r="A3331" t="str">
            <v>ARTURS KUDNIKOVS</v>
          </cell>
          <cell r="B3331">
            <v>2531</v>
          </cell>
        </row>
        <row r="3332">
          <cell r="A3332" t="str">
            <v>BORIS KUDRJAVTSEV</v>
          </cell>
          <cell r="B3332">
            <v>4307</v>
          </cell>
        </row>
        <row r="3333">
          <cell r="A3333" t="str">
            <v>DMITRI KUDRJAVTSEV</v>
          </cell>
          <cell r="B3333">
            <v>2834</v>
          </cell>
        </row>
        <row r="3334">
          <cell r="A3334" t="str">
            <v>VASSILI KUDRJAVTSEV</v>
          </cell>
          <cell r="B3334">
            <v>950</v>
          </cell>
        </row>
        <row r="3335">
          <cell r="A3335" t="str">
            <v>VLADIMIR KUDRJAVTSEV</v>
          </cell>
          <cell r="B3335">
            <v>3475</v>
          </cell>
        </row>
        <row r="3336">
          <cell r="A3336" t="str">
            <v>LEV KUDRUMOV</v>
          </cell>
          <cell r="B3336">
            <v>7643</v>
          </cell>
        </row>
        <row r="3337">
          <cell r="A3337" t="str">
            <v>BORIS KUFTÕREV</v>
          </cell>
          <cell r="B3337">
            <v>1535</v>
          </cell>
        </row>
        <row r="3338">
          <cell r="A3338" t="str">
            <v>HENDRIK KUHI</v>
          </cell>
          <cell r="B3338">
            <v>5898</v>
          </cell>
        </row>
        <row r="3339">
          <cell r="A3339" t="str">
            <v>NATALIA KUHI</v>
          </cell>
          <cell r="B3339">
            <v>10045</v>
          </cell>
        </row>
        <row r="3340">
          <cell r="A3340" t="str">
            <v>CHRIS KUHLBERG</v>
          </cell>
          <cell r="B3340">
            <v>4669</v>
          </cell>
        </row>
        <row r="3341">
          <cell r="A3341" t="str">
            <v>UNO KUILL</v>
          </cell>
          <cell r="B3341">
            <v>1459</v>
          </cell>
        </row>
        <row r="3342">
          <cell r="A3342" t="str">
            <v>TAMBET KUIMET</v>
          </cell>
          <cell r="B3342">
            <v>5034</v>
          </cell>
        </row>
        <row r="3343">
          <cell r="A3343" t="str">
            <v>MARTEN KUIV</v>
          </cell>
          <cell r="B3343">
            <v>7151</v>
          </cell>
        </row>
        <row r="3344">
          <cell r="A3344" t="str">
            <v>OLIVER KUIV</v>
          </cell>
          <cell r="B3344">
            <v>9865</v>
          </cell>
        </row>
        <row r="3345">
          <cell r="A3345" t="str">
            <v>KADI KUIVITS</v>
          </cell>
          <cell r="B3345">
            <v>1980</v>
          </cell>
        </row>
        <row r="3346">
          <cell r="A3346" t="str">
            <v>JÜRI KUIVKAEV</v>
          </cell>
          <cell r="B3346">
            <v>1288</v>
          </cell>
        </row>
        <row r="3347">
          <cell r="A3347" t="str">
            <v>MILVI KUIVKAEV</v>
          </cell>
          <cell r="B3347">
            <v>65</v>
          </cell>
        </row>
        <row r="3348">
          <cell r="A3348" t="str">
            <v>TEET KUIVKAEV</v>
          </cell>
          <cell r="B3348">
            <v>338</v>
          </cell>
        </row>
        <row r="3349">
          <cell r="A3349" t="str">
            <v>LEMBIT KUKE</v>
          </cell>
          <cell r="B3349">
            <v>3674</v>
          </cell>
        </row>
        <row r="3350">
          <cell r="A3350" t="str">
            <v>ANTON KUKESTE</v>
          </cell>
          <cell r="B3350">
            <v>9648</v>
          </cell>
        </row>
        <row r="3351">
          <cell r="A3351" t="str">
            <v>STEN ANDRE KUKISPUU</v>
          </cell>
          <cell r="B3351">
            <v>9971</v>
          </cell>
        </row>
        <row r="3352">
          <cell r="A3352" t="str">
            <v>ANDERO KUKK</v>
          </cell>
          <cell r="B3352">
            <v>8987</v>
          </cell>
        </row>
        <row r="3353">
          <cell r="A3353" t="str">
            <v>CAROLINA KUKK</v>
          </cell>
          <cell r="B3353">
            <v>3678</v>
          </cell>
        </row>
        <row r="3354">
          <cell r="A3354" t="str">
            <v>CELLY KUKK</v>
          </cell>
          <cell r="B3354">
            <v>9350</v>
          </cell>
        </row>
        <row r="3355">
          <cell r="A3355" t="str">
            <v>CHRIS-ROBIN KUKK</v>
          </cell>
          <cell r="B3355">
            <v>7139</v>
          </cell>
        </row>
        <row r="3356">
          <cell r="A3356" t="str">
            <v>CHRISTOPHER KUKK</v>
          </cell>
          <cell r="B3356">
            <v>5971</v>
          </cell>
        </row>
        <row r="3357">
          <cell r="A3357" t="str">
            <v>HEIKI KUKK</v>
          </cell>
          <cell r="B3357">
            <v>5995</v>
          </cell>
        </row>
        <row r="3358">
          <cell r="A3358" t="str">
            <v>KALLE KUKK</v>
          </cell>
          <cell r="B3358">
            <v>2435</v>
          </cell>
        </row>
        <row r="3359">
          <cell r="A3359" t="str">
            <v>KARL KUKK</v>
          </cell>
          <cell r="B3359">
            <v>8929</v>
          </cell>
        </row>
        <row r="3360">
          <cell r="A3360" t="str">
            <v>KARL-MARTIN KUKK</v>
          </cell>
          <cell r="B3360">
            <v>1771</v>
          </cell>
        </row>
        <row r="3361">
          <cell r="A3361" t="str">
            <v>KASPAR KUKK</v>
          </cell>
          <cell r="B3361">
            <v>7370</v>
          </cell>
        </row>
        <row r="3362">
          <cell r="A3362" t="str">
            <v>KEVIN KUKK</v>
          </cell>
          <cell r="B3362">
            <v>8928</v>
          </cell>
        </row>
        <row r="3363">
          <cell r="A3363" t="str">
            <v>MARKO KUKK</v>
          </cell>
          <cell r="B3363">
            <v>5595</v>
          </cell>
        </row>
        <row r="3364">
          <cell r="A3364" t="str">
            <v>MARTIN KUKK</v>
          </cell>
          <cell r="B3364">
            <v>8695</v>
          </cell>
        </row>
        <row r="3365">
          <cell r="A3365" t="str">
            <v>NELE KUKK</v>
          </cell>
          <cell r="B3365">
            <v>4046</v>
          </cell>
        </row>
        <row r="3366">
          <cell r="A3366" t="str">
            <v>RAINER KUKK</v>
          </cell>
          <cell r="B3366">
            <v>2134</v>
          </cell>
        </row>
        <row r="3367">
          <cell r="A3367" t="str">
            <v>ROMET KUKK</v>
          </cell>
          <cell r="B3367">
            <v>9588</v>
          </cell>
        </row>
        <row r="3368">
          <cell r="A3368" t="str">
            <v>SIGRID KUKK</v>
          </cell>
          <cell r="B3368">
            <v>10181</v>
          </cell>
        </row>
        <row r="3369">
          <cell r="A3369" t="str">
            <v>SIIM KUKK</v>
          </cell>
          <cell r="B3369">
            <v>6264</v>
          </cell>
        </row>
        <row r="3370">
          <cell r="A3370" t="str">
            <v>SIIRI KUKK</v>
          </cell>
          <cell r="B3370">
            <v>5617</v>
          </cell>
        </row>
        <row r="3371">
          <cell r="A3371" t="str">
            <v>SIIRI KUKK</v>
          </cell>
          <cell r="B3371">
            <v>5911</v>
          </cell>
        </row>
        <row r="3372">
          <cell r="A3372" t="str">
            <v>SIRELIN KUKK</v>
          </cell>
          <cell r="B3372">
            <v>5258</v>
          </cell>
        </row>
        <row r="3373">
          <cell r="A3373" t="str">
            <v>TÕNU KUKK</v>
          </cell>
          <cell r="B3373">
            <v>9657</v>
          </cell>
        </row>
        <row r="3374">
          <cell r="A3374" t="str">
            <v>TAIRI KUKK</v>
          </cell>
          <cell r="B3374">
            <v>10207</v>
          </cell>
        </row>
        <row r="3375">
          <cell r="A3375" t="str">
            <v>VIKTOR KUKK</v>
          </cell>
          <cell r="B3375">
            <v>7390</v>
          </cell>
        </row>
        <row r="3376">
          <cell r="A3376" t="str">
            <v>LEMBIT KUKKE</v>
          </cell>
          <cell r="B3376">
            <v>2680</v>
          </cell>
        </row>
        <row r="3377">
          <cell r="A3377" t="str">
            <v>HELE-RIIN KUKKER</v>
          </cell>
          <cell r="B3377">
            <v>1756</v>
          </cell>
        </row>
        <row r="3378">
          <cell r="A3378" t="str">
            <v>MARTIN KUKKONEN</v>
          </cell>
          <cell r="B3378">
            <v>8081</v>
          </cell>
        </row>
        <row r="3379">
          <cell r="A3379" t="str">
            <v>KENNET-KOIT KUKKUR</v>
          </cell>
          <cell r="B3379">
            <v>9646</v>
          </cell>
        </row>
        <row r="3380">
          <cell r="A3380" t="str">
            <v>DANIIL KUKSENKOV</v>
          </cell>
          <cell r="B3380">
            <v>5885</v>
          </cell>
        </row>
        <row r="3381">
          <cell r="A3381" t="str">
            <v>BARBORA KUKTAITĖ</v>
          </cell>
          <cell r="B3381">
            <v>10570</v>
          </cell>
        </row>
        <row r="3382">
          <cell r="A3382" t="str">
            <v>ALEKSEI KUKUŠKIN</v>
          </cell>
          <cell r="B3382">
            <v>5988</v>
          </cell>
        </row>
        <row r="3383">
          <cell r="A3383" t="str">
            <v>GEORGI KUKUŠKIN</v>
          </cell>
          <cell r="B3383">
            <v>9066</v>
          </cell>
        </row>
        <row r="3384">
          <cell r="A3384" t="str">
            <v>DANIIL KULAJEV</v>
          </cell>
          <cell r="B3384">
            <v>1743</v>
          </cell>
        </row>
        <row r="3385">
          <cell r="A3385" t="str">
            <v>ILJA KULAK</v>
          </cell>
          <cell r="B3385">
            <v>8825</v>
          </cell>
        </row>
        <row r="3386">
          <cell r="A3386" t="str">
            <v>IVAN KULAK</v>
          </cell>
          <cell r="B3386">
            <v>8782</v>
          </cell>
        </row>
        <row r="3387">
          <cell r="A3387" t="str">
            <v>EDVINAS KULAKAUSKAS</v>
          </cell>
          <cell r="B3387">
            <v>3794</v>
          </cell>
        </row>
        <row r="3388">
          <cell r="A3388" t="str">
            <v>TIMUR KULAKOVSKI</v>
          </cell>
          <cell r="B3388">
            <v>10593</v>
          </cell>
        </row>
        <row r="3389">
          <cell r="A3389" t="str">
            <v>AARNE KULASEPP</v>
          </cell>
          <cell r="B3389">
            <v>5241</v>
          </cell>
        </row>
        <row r="3390">
          <cell r="A3390" t="str">
            <v>NIKOLAIS KULBINS</v>
          </cell>
          <cell r="B3390">
            <v>8062</v>
          </cell>
        </row>
        <row r="3391">
          <cell r="A3391" t="str">
            <v>STEN KULD</v>
          </cell>
          <cell r="B3391">
            <v>9864</v>
          </cell>
        </row>
        <row r="3392">
          <cell r="A3392" t="str">
            <v>VALTER KULD</v>
          </cell>
          <cell r="B3392">
            <v>7869</v>
          </cell>
        </row>
        <row r="3393">
          <cell r="A3393" t="str">
            <v>AILI KULDKEPP</v>
          </cell>
          <cell r="B3393">
            <v>1295</v>
          </cell>
        </row>
        <row r="3394">
          <cell r="A3394" t="str">
            <v>ALEKSANDR KULDKEPP</v>
          </cell>
          <cell r="B3394">
            <v>3994</v>
          </cell>
        </row>
        <row r="3395">
          <cell r="A3395" t="str">
            <v>ERIKA KULDLA</v>
          </cell>
          <cell r="B3395">
            <v>8395</v>
          </cell>
        </row>
        <row r="3396">
          <cell r="A3396" t="str">
            <v>RAUNE KULDMA</v>
          </cell>
          <cell r="B3396">
            <v>2427</v>
          </cell>
        </row>
        <row r="3397">
          <cell r="A3397" t="str">
            <v>KRISTJAN KULDMETS</v>
          </cell>
          <cell r="B3397">
            <v>3795</v>
          </cell>
        </row>
        <row r="3398">
          <cell r="A3398" t="str">
            <v>KAJAR KULDSEPP</v>
          </cell>
          <cell r="B3398">
            <v>10487</v>
          </cell>
        </row>
        <row r="3399">
          <cell r="A3399" t="str">
            <v>TANEL KULDSEPP</v>
          </cell>
          <cell r="B3399">
            <v>3201</v>
          </cell>
        </row>
        <row r="3400">
          <cell r="A3400" t="str">
            <v>SAMUIL KULEŠOV</v>
          </cell>
          <cell r="B3400">
            <v>10662</v>
          </cell>
        </row>
        <row r="3401">
          <cell r="A3401" t="str">
            <v>ANNA KULIJEVA</v>
          </cell>
          <cell r="B3401">
            <v>4308</v>
          </cell>
        </row>
        <row r="3402">
          <cell r="A3402" t="str">
            <v>IVAN KULIK</v>
          </cell>
          <cell r="B3402">
            <v>9083</v>
          </cell>
        </row>
        <row r="3403">
          <cell r="A3403" t="str">
            <v>BOGDAN KULIKOV</v>
          </cell>
          <cell r="B3403">
            <v>5377</v>
          </cell>
        </row>
        <row r="3404">
          <cell r="A3404" t="str">
            <v>OLEG KULIKOV</v>
          </cell>
          <cell r="B3404">
            <v>4309</v>
          </cell>
        </row>
        <row r="3405">
          <cell r="A3405" t="str">
            <v>KARL KALEV KULJUS</v>
          </cell>
          <cell r="B3405">
            <v>3434</v>
          </cell>
        </row>
        <row r="3406">
          <cell r="A3406" t="str">
            <v>ANDRES KULL</v>
          </cell>
          <cell r="B3406">
            <v>1540</v>
          </cell>
        </row>
        <row r="3407">
          <cell r="A3407" t="str">
            <v>GREGOR KULL</v>
          </cell>
          <cell r="B3407">
            <v>7773</v>
          </cell>
        </row>
        <row r="3408">
          <cell r="A3408" t="str">
            <v>KATRE KULL</v>
          </cell>
          <cell r="B3408">
            <v>3218</v>
          </cell>
        </row>
        <row r="3409">
          <cell r="A3409" t="str">
            <v>JOEL KULLAMÄE</v>
          </cell>
          <cell r="B3409">
            <v>5670</v>
          </cell>
        </row>
        <row r="3410">
          <cell r="A3410" t="str">
            <v>RAIN KULLAMAA</v>
          </cell>
          <cell r="B3410">
            <v>7408</v>
          </cell>
        </row>
        <row r="3411">
          <cell r="A3411" t="str">
            <v>RIHO KULLAT</v>
          </cell>
          <cell r="B3411">
            <v>9729</v>
          </cell>
        </row>
        <row r="3412">
          <cell r="A3412" t="str">
            <v>ALMA KULLERKUP</v>
          </cell>
          <cell r="B3412">
            <v>2030</v>
          </cell>
        </row>
        <row r="3413">
          <cell r="A3413" t="str">
            <v>HANNES KULLERKUPP</v>
          </cell>
          <cell r="B3413">
            <v>10795</v>
          </cell>
        </row>
        <row r="3414">
          <cell r="A3414" t="str">
            <v>REET KULLERKUPP</v>
          </cell>
          <cell r="B3414">
            <v>2821</v>
          </cell>
        </row>
        <row r="3415">
          <cell r="A3415" t="str">
            <v>TARVET KULLMAN</v>
          </cell>
          <cell r="B3415">
            <v>5251</v>
          </cell>
        </row>
        <row r="3416">
          <cell r="A3416" t="str">
            <v>MARK KULP</v>
          </cell>
          <cell r="B3416">
            <v>7801</v>
          </cell>
        </row>
        <row r="3417">
          <cell r="A3417" t="str">
            <v>PIRET KUMMEL</v>
          </cell>
          <cell r="B3417">
            <v>8087</v>
          </cell>
        </row>
        <row r="3418">
          <cell r="A3418" t="str">
            <v>TARMO KUMMER</v>
          </cell>
          <cell r="B3418">
            <v>187</v>
          </cell>
        </row>
        <row r="3419">
          <cell r="A3419" t="str">
            <v>GEIT KUNDLA</v>
          </cell>
          <cell r="B3419">
            <v>2882</v>
          </cell>
        </row>
        <row r="3420">
          <cell r="A3420" t="str">
            <v>RENE KUNDLA</v>
          </cell>
          <cell r="B3420">
            <v>4952</v>
          </cell>
        </row>
        <row r="3421">
          <cell r="A3421" t="str">
            <v>KASPAR KUNILA</v>
          </cell>
          <cell r="B3421">
            <v>10510</v>
          </cell>
        </row>
        <row r="3422">
          <cell r="A3422" t="str">
            <v>ERKKO KUNINGAS</v>
          </cell>
          <cell r="B3422">
            <v>8201</v>
          </cell>
        </row>
        <row r="3423">
          <cell r="A3423" t="str">
            <v>KAUR KUNINGAS</v>
          </cell>
          <cell r="B3423">
            <v>8271</v>
          </cell>
        </row>
        <row r="3424">
          <cell r="A3424" t="str">
            <v>KRISTIINA KUNINGAS</v>
          </cell>
          <cell r="B3424">
            <v>1754</v>
          </cell>
        </row>
        <row r="3425">
          <cell r="A3425" t="str">
            <v>TÕNIS KUNINGAS</v>
          </cell>
          <cell r="B3425">
            <v>2386</v>
          </cell>
        </row>
        <row r="3426">
          <cell r="A3426" t="str">
            <v>EVA KUNTTU</v>
          </cell>
          <cell r="B3426">
            <v>10803</v>
          </cell>
        </row>
        <row r="3427">
          <cell r="A3427" t="str">
            <v>KRISTJAN KUNTUS</v>
          </cell>
          <cell r="B3427">
            <v>1962</v>
          </cell>
        </row>
        <row r="3428">
          <cell r="A3428" t="str">
            <v>NATALIA KUPAVÕHH</v>
          </cell>
          <cell r="B3428">
            <v>2159</v>
          </cell>
        </row>
        <row r="3429">
          <cell r="A3429" t="str">
            <v>ARJOM KUPREITSJUK</v>
          </cell>
          <cell r="B3429">
            <v>3370</v>
          </cell>
        </row>
        <row r="3430">
          <cell r="A3430" t="str">
            <v>GALINA KUPRIANOVA</v>
          </cell>
          <cell r="B3430">
            <v>2045</v>
          </cell>
        </row>
        <row r="3431">
          <cell r="A3431" t="str">
            <v>ALEKSANDRA KUPRIKOVA</v>
          </cell>
          <cell r="B3431">
            <v>3453</v>
          </cell>
        </row>
        <row r="3432">
          <cell r="A3432" t="str">
            <v>ALEKSANDR KURBATOV</v>
          </cell>
          <cell r="B3432">
            <v>1525</v>
          </cell>
        </row>
        <row r="3433">
          <cell r="A3433" t="str">
            <v>FJODOR KURBATOV</v>
          </cell>
          <cell r="B3433">
            <v>1522</v>
          </cell>
        </row>
        <row r="3434">
          <cell r="A3434" t="str">
            <v>HENRI KURG</v>
          </cell>
          <cell r="B3434">
            <v>4048</v>
          </cell>
        </row>
        <row r="3435">
          <cell r="A3435" t="str">
            <v>KIRSIKA KURG</v>
          </cell>
          <cell r="B3435">
            <v>4310</v>
          </cell>
        </row>
        <row r="3436">
          <cell r="A3436" t="str">
            <v>JULIA KURGINA</v>
          </cell>
          <cell r="B3436">
            <v>2361</v>
          </cell>
        </row>
        <row r="3437">
          <cell r="A3437" t="str">
            <v>AIRE KURGPÕLD</v>
          </cell>
          <cell r="B3437">
            <v>8796</v>
          </cell>
        </row>
        <row r="3438">
          <cell r="A3438" t="str">
            <v>RAIDO KURGPÕLD</v>
          </cell>
          <cell r="B3438">
            <v>10830</v>
          </cell>
        </row>
        <row r="3439">
          <cell r="A3439" t="str">
            <v>HEIKI KURGU</v>
          </cell>
          <cell r="B3439">
            <v>3341</v>
          </cell>
        </row>
        <row r="3440">
          <cell r="A3440" t="str">
            <v>KEITY KURIK</v>
          </cell>
          <cell r="B3440">
            <v>10158</v>
          </cell>
        </row>
        <row r="3441">
          <cell r="A3441" t="str">
            <v>KEVIN KURIK</v>
          </cell>
          <cell r="B3441">
            <v>10159</v>
          </cell>
        </row>
        <row r="3442">
          <cell r="A3442" t="str">
            <v>KADRI KURIKS</v>
          </cell>
          <cell r="B3442">
            <v>2176</v>
          </cell>
        </row>
        <row r="3443">
          <cell r="A3443" t="str">
            <v>GEORGI KURILJONOK</v>
          </cell>
          <cell r="B3443">
            <v>3033</v>
          </cell>
        </row>
        <row r="3444">
          <cell r="A3444" t="str">
            <v>ILJA KURILTŠIK</v>
          </cell>
          <cell r="B3444">
            <v>9829</v>
          </cell>
        </row>
        <row r="3445">
          <cell r="A3445" t="str">
            <v>NIKITA KURILTŠIK</v>
          </cell>
          <cell r="B3445">
            <v>3796</v>
          </cell>
        </row>
        <row r="3446">
          <cell r="A3446" t="str">
            <v>SERGEI KURILTŠIK</v>
          </cell>
          <cell r="B3446">
            <v>2888</v>
          </cell>
        </row>
        <row r="3447">
          <cell r="A3447" t="str">
            <v>MIHKEL KURISMAN</v>
          </cell>
          <cell r="B3447">
            <v>8550</v>
          </cell>
        </row>
        <row r="3448">
          <cell r="A3448" t="str">
            <v>LAURIT KURM</v>
          </cell>
          <cell r="B3448">
            <v>9900</v>
          </cell>
        </row>
        <row r="3449">
          <cell r="A3449" t="str">
            <v>TARKO KURM</v>
          </cell>
          <cell r="B3449">
            <v>9912</v>
          </cell>
        </row>
        <row r="3450">
          <cell r="A3450" t="str">
            <v>OLGA KURMAN</v>
          </cell>
          <cell r="B3450">
            <v>7049</v>
          </cell>
        </row>
        <row r="3451">
          <cell r="A3451" t="str">
            <v>ANZELA KURMELOVA</v>
          </cell>
          <cell r="B3451">
            <v>2196</v>
          </cell>
        </row>
        <row r="3452">
          <cell r="A3452" t="str">
            <v>ANGELIKA KURMILJOVAS</v>
          </cell>
          <cell r="B3452">
            <v>1668</v>
          </cell>
        </row>
        <row r="3453">
          <cell r="A3453" t="str">
            <v>TARKO KURN</v>
          </cell>
          <cell r="B3453">
            <v>10099</v>
          </cell>
        </row>
        <row r="3454">
          <cell r="A3454" t="str">
            <v>RUTGER KURSSON</v>
          </cell>
          <cell r="B3454">
            <v>9715</v>
          </cell>
        </row>
        <row r="3455">
          <cell r="A3455" t="str">
            <v>SERGEY KURTIN</v>
          </cell>
          <cell r="B3455">
            <v>8303</v>
          </cell>
        </row>
        <row r="3456">
          <cell r="A3456" t="str">
            <v>MÄRT KURVET</v>
          </cell>
          <cell r="B3456">
            <v>2319</v>
          </cell>
        </row>
        <row r="3457">
          <cell r="A3457" t="str">
            <v>MADIS KURVET</v>
          </cell>
          <cell r="B3457">
            <v>7490</v>
          </cell>
        </row>
        <row r="3458">
          <cell r="A3458" t="str">
            <v>HANS KURVITS</v>
          </cell>
          <cell r="B3458">
            <v>4975</v>
          </cell>
        </row>
        <row r="3459">
          <cell r="A3459" t="str">
            <v>INDREK KURVITS</v>
          </cell>
          <cell r="B3459">
            <v>1898</v>
          </cell>
        </row>
        <row r="3460">
          <cell r="A3460" t="str">
            <v>KAAREL KURVITS</v>
          </cell>
          <cell r="B3460">
            <v>2070</v>
          </cell>
        </row>
        <row r="3461">
          <cell r="A3461" t="str">
            <v>MARTEN KURVITS</v>
          </cell>
          <cell r="B3461">
            <v>9906</v>
          </cell>
        </row>
        <row r="3462">
          <cell r="A3462" t="str">
            <v>OSKAR KURVITS</v>
          </cell>
          <cell r="B3462">
            <v>8347</v>
          </cell>
        </row>
        <row r="3463">
          <cell r="A3463" t="str">
            <v>ANASTASIYA KURYLCHYK</v>
          </cell>
          <cell r="B3463">
            <v>8324</v>
          </cell>
        </row>
        <row r="3464">
          <cell r="A3464" t="str">
            <v>JELENA KUSANNIKOVA</v>
          </cell>
          <cell r="B3464">
            <v>1497</v>
          </cell>
        </row>
        <row r="3465">
          <cell r="A3465" t="str">
            <v>DIANA KUSHNIR</v>
          </cell>
          <cell r="B3465">
            <v>66</v>
          </cell>
        </row>
        <row r="3466">
          <cell r="A3466" t="str">
            <v>TARAS KUSHNIR</v>
          </cell>
          <cell r="B3466">
            <v>8556</v>
          </cell>
        </row>
        <row r="3467">
          <cell r="A3467" t="str">
            <v>GEORG KUSMA</v>
          </cell>
          <cell r="B3467">
            <v>860</v>
          </cell>
        </row>
        <row r="3468">
          <cell r="A3468" t="str">
            <v>SANDER KUSMIN</v>
          </cell>
          <cell r="B3468">
            <v>4311</v>
          </cell>
        </row>
        <row r="3469">
          <cell r="A3469" t="str">
            <v>TARMO KUSTOLA</v>
          </cell>
          <cell r="B3469">
            <v>2735</v>
          </cell>
        </row>
        <row r="3470">
          <cell r="A3470" t="str">
            <v>OLEKSANDR KUZHUKIN</v>
          </cell>
          <cell r="B3470">
            <v>10133</v>
          </cell>
        </row>
        <row r="3471">
          <cell r="A3471" t="str">
            <v>ANATOLI KUZJOMIN</v>
          </cell>
          <cell r="B3471">
            <v>4312</v>
          </cell>
        </row>
        <row r="3472">
          <cell r="A3472" t="str">
            <v>GUNTA KUZMANE</v>
          </cell>
          <cell r="B3472">
            <v>4670</v>
          </cell>
        </row>
        <row r="3473">
          <cell r="A3473" t="str">
            <v>JURI KUZMENKO</v>
          </cell>
          <cell r="B3473">
            <v>4313</v>
          </cell>
        </row>
        <row r="3474">
          <cell r="A3474" t="str">
            <v>JURI KUZMIN</v>
          </cell>
          <cell r="B3474">
            <v>952</v>
          </cell>
        </row>
        <row r="3475">
          <cell r="A3475" t="str">
            <v>LUKA KUZMIN</v>
          </cell>
          <cell r="B3475">
            <v>7117</v>
          </cell>
        </row>
        <row r="3476">
          <cell r="A3476" t="str">
            <v>ALEKSANDR KUZMINOV</v>
          </cell>
          <cell r="B3476">
            <v>4778</v>
          </cell>
        </row>
        <row r="3477">
          <cell r="A3477" t="str">
            <v>VIKTOR KUZMINOV</v>
          </cell>
          <cell r="B3477">
            <v>2037</v>
          </cell>
        </row>
        <row r="3478">
          <cell r="A3478" t="str">
            <v>KAROLINA KUZNECOVA</v>
          </cell>
          <cell r="B3478">
            <v>7319</v>
          </cell>
        </row>
        <row r="3479">
          <cell r="A3479" t="str">
            <v>ARTJOM KUZNETŠIK</v>
          </cell>
          <cell r="B3479">
            <v>7982</v>
          </cell>
        </row>
        <row r="3480">
          <cell r="A3480" t="str">
            <v>DMITRI KUZNETS</v>
          </cell>
          <cell r="B3480">
            <v>2670</v>
          </cell>
        </row>
        <row r="3481">
          <cell r="A3481" t="str">
            <v>ALEKSANDR KUZNETSOV</v>
          </cell>
          <cell r="B3481">
            <v>881</v>
          </cell>
        </row>
        <row r="3482">
          <cell r="A3482" t="str">
            <v>ALEKSEI KUZNETSOV</v>
          </cell>
          <cell r="B3482">
            <v>7774</v>
          </cell>
        </row>
        <row r="3483">
          <cell r="A3483" t="str">
            <v>ALINA KUZNETSOV</v>
          </cell>
          <cell r="B3483">
            <v>9603</v>
          </cell>
        </row>
        <row r="3484">
          <cell r="A3484" t="str">
            <v>ANDREI KUZNETSOV</v>
          </cell>
          <cell r="B3484">
            <v>2543</v>
          </cell>
        </row>
        <row r="3485">
          <cell r="A3485" t="str">
            <v>ANDREI KUZNETSOV</v>
          </cell>
          <cell r="B3485">
            <v>5886</v>
          </cell>
        </row>
        <row r="3486">
          <cell r="A3486" t="str">
            <v>ARTJOM KUZNETSOV</v>
          </cell>
          <cell r="B3486">
            <v>4819</v>
          </cell>
        </row>
        <row r="3487">
          <cell r="A3487" t="str">
            <v>DANILA KUZNETSOV</v>
          </cell>
          <cell r="B3487">
            <v>3077</v>
          </cell>
        </row>
        <row r="3488">
          <cell r="A3488" t="str">
            <v>DMITRI KUZNETSOV</v>
          </cell>
          <cell r="B3488">
            <v>9459</v>
          </cell>
        </row>
        <row r="3489">
          <cell r="A3489" t="str">
            <v>GERMAN KUZNETSOV</v>
          </cell>
          <cell r="B3489">
            <v>9286</v>
          </cell>
        </row>
        <row r="3490">
          <cell r="A3490" t="str">
            <v>GERMO KUZNETSOV</v>
          </cell>
          <cell r="B3490">
            <v>9329</v>
          </cell>
        </row>
        <row r="3491">
          <cell r="A3491" t="str">
            <v>OLEG KUZNETSOV</v>
          </cell>
          <cell r="B3491">
            <v>366</v>
          </cell>
        </row>
        <row r="3492">
          <cell r="A3492" t="str">
            <v>OLEG KUZNETSOV</v>
          </cell>
          <cell r="B3492">
            <v>6058</v>
          </cell>
        </row>
        <row r="3493">
          <cell r="A3493" t="str">
            <v>SERGEI KUZNETSOV</v>
          </cell>
          <cell r="B3493">
            <v>4314</v>
          </cell>
        </row>
        <row r="3494">
          <cell r="A3494" t="str">
            <v>AGLAIA KUZNETSOVA</v>
          </cell>
          <cell r="B3494">
            <v>10752</v>
          </cell>
        </row>
        <row r="3495">
          <cell r="A3495" t="str">
            <v>AGLAIA KUZNETSOVA</v>
          </cell>
          <cell r="B3495">
            <v>10806</v>
          </cell>
        </row>
        <row r="3496">
          <cell r="A3496" t="str">
            <v>ALINA KUZNETSOVA</v>
          </cell>
          <cell r="B3496">
            <v>4315</v>
          </cell>
        </row>
        <row r="3497">
          <cell r="A3497" t="str">
            <v>ARINA KUZNETSOVA</v>
          </cell>
          <cell r="B3497">
            <v>5982</v>
          </cell>
        </row>
        <row r="3498">
          <cell r="A3498" t="str">
            <v>DIANA KUZNETSOVA</v>
          </cell>
          <cell r="B3498">
            <v>7312</v>
          </cell>
        </row>
        <row r="3499">
          <cell r="A3499" t="str">
            <v>KATARINA KUZNETSOVA</v>
          </cell>
          <cell r="B3499">
            <v>2943</v>
          </cell>
        </row>
        <row r="3500">
          <cell r="A3500" t="str">
            <v>KRISTINA KUZNETSOVA</v>
          </cell>
          <cell r="B3500">
            <v>4071</v>
          </cell>
        </row>
        <row r="3501">
          <cell r="A3501" t="str">
            <v>NIINA KUZNNETSOV</v>
          </cell>
          <cell r="B3501">
            <v>9602</v>
          </cell>
        </row>
        <row r="3502">
          <cell r="A3502" t="str">
            <v>IVO KUTŠARIN</v>
          </cell>
          <cell r="B3502">
            <v>1352</v>
          </cell>
        </row>
        <row r="3503">
          <cell r="A3503" t="str">
            <v>ARTJOM KUTJAVIN</v>
          </cell>
          <cell r="B3503">
            <v>10621</v>
          </cell>
        </row>
        <row r="3504">
          <cell r="A3504" t="str">
            <v>OLEG KUTLAJEV</v>
          </cell>
          <cell r="B3504">
            <v>9027</v>
          </cell>
        </row>
        <row r="3505">
          <cell r="A3505" t="str">
            <v>KAIRE KUTSAR</v>
          </cell>
          <cell r="B3505">
            <v>454</v>
          </cell>
        </row>
        <row r="3506">
          <cell r="A3506" t="str">
            <v>KAROLYN KUTSAR</v>
          </cell>
          <cell r="B3506">
            <v>10015</v>
          </cell>
        </row>
        <row r="3507">
          <cell r="A3507" t="str">
            <v>RIHO KUTSAR</v>
          </cell>
          <cell r="B3507">
            <v>5315</v>
          </cell>
        </row>
        <row r="3508">
          <cell r="A3508" t="str">
            <v>KNUT-ERIK KUTSER</v>
          </cell>
          <cell r="B3508">
            <v>2161</v>
          </cell>
        </row>
        <row r="3509">
          <cell r="A3509" t="str">
            <v>GORDEI KUTUZOV</v>
          </cell>
          <cell r="B3509">
            <v>10815</v>
          </cell>
        </row>
        <row r="3510">
          <cell r="A3510" t="str">
            <v>JEVGENIJA KUTUZOVA</v>
          </cell>
          <cell r="B3510">
            <v>8583</v>
          </cell>
        </row>
        <row r="3511">
          <cell r="A3511" t="str">
            <v>KEVIN KUUDEBERG</v>
          </cell>
          <cell r="B3511">
            <v>9536</v>
          </cell>
        </row>
        <row r="3512">
          <cell r="A3512" t="str">
            <v>ELLIS-MARIA KUUM</v>
          </cell>
          <cell r="B3512">
            <v>5415</v>
          </cell>
        </row>
        <row r="3513">
          <cell r="A3513" t="str">
            <v>HEIKI KUUS</v>
          </cell>
          <cell r="B3513">
            <v>10062</v>
          </cell>
        </row>
        <row r="3514">
          <cell r="A3514" t="str">
            <v>SIIRI KUUS</v>
          </cell>
          <cell r="B3514">
            <v>4012</v>
          </cell>
        </row>
        <row r="3515">
          <cell r="A3515" t="str">
            <v>TÕNU KUUS</v>
          </cell>
          <cell r="B3515">
            <v>7298</v>
          </cell>
        </row>
        <row r="3516">
          <cell r="A3516" t="str">
            <v>AINAR KUUSEMETS</v>
          </cell>
          <cell r="B3516">
            <v>5198</v>
          </cell>
        </row>
        <row r="3517">
          <cell r="A3517" t="str">
            <v>GEIT KUUSEMETS</v>
          </cell>
          <cell r="B3517">
            <v>4032</v>
          </cell>
        </row>
        <row r="3518">
          <cell r="A3518" t="str">
            <v>GETELIN KUUSEMETS</v>
          </cell>
          <cell r="B3518">
            <v>898</v>
          </cell>
        </row>
        <row r="3519">
          <cell r="A3519" t="str">
            <v>GISELA KUUSEMETS</v>
          </cell>
          <cell r="B3519">
            <v>2353</v>
          </cell>
        </row>
        <row r="3520">
          <cell r="A3520" t="str">
            <v>STEN KUUSEPUU</v>
          </cell>
          <cell r="B3520">
            <v>4316</v>
          </cell>
        </row>
        <row r="3521">
          <cell r="A3521" t="str">
            <v>AARON KUUSIK</v>
          </cell>
          <cell r="B3521">
            <v>1877</v>
          </cell>
        </row>
        <row r="3522">
          <cell r="A3522" t="str">
            <v>ITA KUUSIK</v>
          </cell>
          <cell r="B3522">
            <v>5154</v>
          </cell>
        </row>
        <row r="3523">
          <cell r="A3523" t="str">
            <v>REIJO KUUSIK</v>
          </cell>
          <cell r="B3523">
            <v>1773</v>
          </cell>
        </row>
        <row r="3524">
          <cell r="A3524" t="str">
            <v>CAMILLA KUUSJÄRVI</v>
          </cell>
          <cell r="B3524">
            <v>2562</v>
          </cell>
        </row>
        <row r="3525">
          <cell r="A3525" t="str">
            <v>HENRI KUUSJÄRVI</v>
          </cell>
          <cell r="B3525">
            <v>2612</v>
          </cell>
        </row>
        <row r="3526">
          <cell r="A3526" t="str">
            <v>ANDRES KUUSK</v>
          </cell>
          <cell r="B3526">
            <v>4826</v>
          </cell>
        </row>
        <row r="3527">
          <cell r="A3527" t="str">
            <v>JOOSEP KUUSK</v>
          </cell>
          <cell r="B3527">
            <v>3202</v>
          </cell>
        </row>
        <row r="3528">
          <cell r="A3528" t="str">
            <v>KÄTLIN KUUSK</v>
          </cell>
          <cell r="B3528">
            <v>3797</v>
          </cell>
        </row>
        <row r="3529">
          <cell r="A3529" t="str">
            <v>KARDO KUUSK</v>
          </cell>
          <cell r="B3529">
            <v>5368</v>
          </cell>
        </row>
        <row r="3530">
          <cell r="A3530" t="str">
            <v>KENU KUUSK</v>
          </cell>
          <cell r="B3530">
            <v>5999</v>
          </cell>
        </row>
        <row r="3531">
          <cell r="A3531" t="str">
            <v>MARI KUUSK</v>
          </cell>
          <cell r="B3531">
            <v>8646</v>
          </cell>
        </row>
        <row r="3532">
          <cell r="A3532" t="str">
            <v>MARTIN KUUSK</v>
          </cell>
          <cell r="B3532">
            <v>1449</v>
          </cell>
        </row>
        <row r="3533">
          <cell r="A3533" t="str">
            <v>PEETER KUUSK</v>
          </cell>
          <cell r="B3533">
            <v>2715</v>
          </cell>
        </row>
        <row r="3534">
          <cell r="A3534" t="str">
            <v>PRIIT KUUSK</v>
          </cell>
          <cell r="B3534">
            <v>2707</v>
          </cell>
        </row>
        <row r="3535">
          <cell r="A3535" t="str">
            <v>TERJE KUUSK</v>
          </cell>
          <cell r="B3535">
            <v>4116</v>
          </cell>
        </row>
        <row r="3536">
          <cell r="A3536" t="str">
            <v>TOIVO KUUSK</v>
          </cell>
          <cell r="B3536">
            <v>1952</v>
          </cell>
        </row>
        <row r="3537">
          <cell r="A3537" t="str">
            <v>VIRKO KUUSK</v>
          </cell>
          <cell r="B3537">
            <v>5062</v>
          </cell>
        </row>
        <row r="3538">
          <cell r="A3538" t="str">
            <v>KARIN KUUSKLA</v>
          </cell>
          <cell r="B3538">
            <v>1114</v>
          </cell>
        </row>
        <row r="3539">
          <cell r="A3539" t="str">
            <v>CAROLIN KUUSKMÄE</v>
          </cell>
          <cell r="B3539">
            <v>3255</v>
          </cell>
        </row>
        <row r="3540">
          <cell r="A3540" t="str">
            <v>KARL-MARKUS KUUSKMAA</v>
          </cell>
          <cell r="B3540">
            <v>8430</v>
          </cell>
        </row>
        <row r="3541">
          <cell r="A3541" t="str">
            <v>GETTER KUUSMAA</v>
          </cell>
          <cell r="B3541">
            <v>4320</v>
          </cell>
        </row>
        <row r="3542">
          <cell r="A3542" t="str">
            <v>MARI-EPP KUUSMAA</v>
          </cell>
          <cell r="B3542">
            <v>67</v>
          </cell>
        </row>
        <row r="3543">
          <cell r="A3543" t="str">
            <v>RAUL KUUSMAA</v>
          </cell>
          <cell r="B3543">
            <v>4319</v>
          </cell>
        </row>
        <row r="3544">
          <cell r="A3544" t="str">
            <v>SANDRA KUUSMAA</v>
          </cell>
          <cell r="B3544">
            <v>4318</v>
          </cell>
        </row>
        <row r="3545">
          <cell r="A3545" t="str">
            <v>JÜRI KUUSMANN</v>
          </cell>
          <cell r="B3545">
            <v>920</v>
          </cell>
        </row>
        <row r="3546">
          <cell r="A3546" t="str">
            <v>RASMUS KUUSMANN</v>
          </cell>
          <cell r="B3546">
            <v>922</v>
          </cell>
        </row>
        <row r="3547">
          <cell r="A3547" t="str">
            <v>KALLE KUUSPALU</v>
          </cell>
          <cell r="B3547">
            <v>7299</v>
          </cell>
        </row>
        <row r="3548">
          <cell r="A3548" t="str">
            <v>SIMO KUUTTI</v>
          </cell>
          <cell r="B3548">
            <v>854</v>
          </cell>
        </row>
        <row r="3549">
          <cell r="A3549" t="str">
            <v>JAKOB KVANVIG</v>
          </cell>
          <cell r="B3549">
            <v>7526</v>
          </cell>
        </row>
        <row r="3550">
          <cell r="A3550" t="str">
            <v>ANITA KVITENKO</v>
          </cell>
          <cell r="B3550">
            <v>4321</v>
          </cell>
        </row>
        <row r="3551">
          <cell r="A3551" t="str">
            <v>JONAS KYLLÖNEN</v>
          </cell>
          <cell r="B3551">
            <v>1551</v>
          </cell>
        </row>
        <row r="3552">
          <cell r="A3552" t="str">
            <v>RIHO LÖÖPER</v>
          </cell>
          <cell r="B3552">
            <v>3818</v>
          </cell>
        </row>
        <row r="3553">
          <cell r="A3553" t="str">
            <v>DANIEL LÖÖR</v>
          </cell>
          <cell r="B3553">
            <v>3355</v>
          </cell>
        </row>
        <row r="3554">
          <cell r="A3554" t="str">
            <v>IGNACIO LÓPEZ</v>
          </cell>
          <cell r="B3554">
            <v>10152</v>
          </cell>
        </row>
        <row r="3555">
          <cell r="A3555" t="str">
            <v>SARON LÄÄNMÄE</v>
          </cell>
          <cell r="B3555">
            <v>2539</v>
          </cell>
        </row>
        <row r="3556">
          <cell r="A3556" t="str">
            <v>STEN LÄÄTS</v>
          </cell>
          <cell r="B3556">
            <v>4824</v>
          </cell>
        </row>
        <row r="3557">
          <cell r="A3557" t="str">
            <v>ALLAN LÄHKER</v>
          </cell>
          <cell r="B3557">
            <v>5278</v>
          </cell>
        </row>
        <row r="3558">
          <cell r="A3558" t="str">
            <v>KARIN LÄHKER</v>
          </cell>
          <cell r="B3558">
            <v>6006</v>
          </cell>
        </row>
        <row r="3559">
          <cell r="A3559" t="str">
            <v>OLIVER LÄLL</v>
          </cell>
          <cell r="B3559">
            <v>323</v>
          </cell>
        </row>
        <row r="3560">
          <cell r="A3560" t="str">
            <v>REIN LÄLL</v>
          </cell>
          <cell r="B3560">
            <v>4105</v>
          </cell>
        </row>
        <row r="3561">
          <cell r="A3561" t="str">
            <v>VERNER LÄLL</v>
          </cell>
          <cell r="B3561">
            <v>9523</v>
          </cell>
        </row>
        <row r="3562">
          <cell r="A3562" t="str">
            <v>TRIINU LÄTE</v>
          </cell>
          <cell r="B3562">
            <v>2312</v>
          </cell>
        </row>
        <row r="3563">
          <cell r="A3563" t="str">
            <v>ANGELIKA LÕHEK</v>
          </cell>
          <cell r="B3563">
            <v>80</v>
          </cell>
        </row>
        <row r="3564">
          <cell r="A3564" t="str">
            <v>HANNA-MARIA LÕHMUS</v>
          </cell>
          <cell r="B3564">
            <v>9589</v>
          </cell>
        </row>
        <row r="3565">
          <cell r="A3565" t="str">
            <v>INDREK LÕHMUS</v>
          </cell>
          <cell r="B3565">
            <v>4367</v>
          </cell>
        </row>
        <row r="3566">
          <cell r="A3566" t="str">
            <v>JEFFERY LÕHMUS</v>
          </cell>
          <cell r="B3566">
            <v>3413</v>
          </cell>
        </row>
        <row r="3567">
          <cell r="A3567" t="str">
            <v>KARL LÕHMUS</v>
          </cell>
          <cell r="B3567">
            <v>3111</v>
          </cell>
        </row>
        <row r="3568">
          <cell r="A3568" t="str">
            <v>MÄRT LÕHMUS</v>
          </cell>
          <cell r="B3568">
            <v>1588</v>
          </cell>
        </row>
        <row r="3569">
          <cell r="A3569" t="str">
            <v>MARKUS LÕHMUS</v>
          </cell>
          <cell r="B3569">
            <v>9584</v>
          </cell>
        </row>
        <row r="3570">
          <cell r="A3570" t="str">
            <v>ROBIN LÕHMUS</v>
          </cell>
          <cell r="B3570">
            <v>8113</v>
          </cell>
        </row>
        <row r="3571">
          <cell r="A3571" t="str">
            <v>STEN LÕHMUS</v>
          </cell>
          <cell r="B3571">
            <v>2665</v>
          </cell>
        </row>
        <row r="3572">
          <cell r="A3572" t="str">
            <v>TIIT LÕHMUS</v>
          </cell>
          <cell r="B3572">
            <v>2022</v>
          </cell>
        </row>
        <row r="3573">
          <cell r="A3573" t="str">
            <v>MARTIN LÕIV</v>
          </cell>
          <cell r="B3573">
            <v>5169</v>
          </cell>
        </row>
        <row r="3574">
          <cell r="A3574" t="str">
            <v>KALJU LÕOKE</v>
          </cell>
          <cell r="B3574">
            <v>2679</v>
          </cell>
        </row>
        <row r="3575">
          <cell r="A3575" t="str">
            <v>KATRIN LÕOKE</v>
          </cell>
          <cell r="B3575">
            <v>1501</v>
          </cell>
        </row>
        <row r="3576">
          <cell r="A3576" t="str">
            <v>ANDRES LÕOKENE</v>
          </cell>
          <cell r="B3576">
            <v>981</v>
          </cell>
        </row>
        <row r="3577">
          <cell r="A3577" t="str">
            <v>RASMUS LÕSJUK</v>
          </cell>
          <cell r="B3577">
            <v>8981</v>
          </cell>
        </row>
        <row r="3578">
          <cell r="A3578" t="str">
            <v>POLINA LÕSSENKOVA</v>
          </cell>
          <cell r="B3578">
            <v>7930</v>
          </cell>
        </row>
        <row r="3579">
          <cell r="A3579" t="str">
            <v>AIVAR LAAGER</v>
          </cell>
          <cell r="B3579">
            <v>3711</v>
          </cell>
        </row>
        <row r="3580">
          <cell r="A3580" t="str">
            <v>ILMAR LAAGUS</v>
          </cell>
          <cell r="B3580">
            <v>193</v>
          </cell>
        </row>
        <row r="3581">
          <cell r="A3581" t="str">
            <v>URMAS LAAL</v>
          </cell>
          <cell r="B3581">
            <v>3269</v>
          </cell>
        </row>
        <row r="3582">
          <cell r="A3582" t="str">
            <v>ALIISA LAAN</v>
          </cell>
          <cell r="B3582">
            <v>8941</v>
          </cell>
        </row>
        <row r="3583">
          <cell r="A3583" t="str">
            <v>ANITA-LY LAAN</v>
          </cell>
          <cell r="B3583">
            <v>6105</v>
          </cell>
        </row>
        <row r="3584">
          <cell r="A3584" t="str">
            <v>MARTTI LAAN</v>
          </cell>
          <cell r="B3584">
            <v>4821</v>
          </cell>
        </row>
        <row r="3585">
          <cell r="A3585" t="str">
            <v>KEN LAANE</v>
          </cell>
          <cell r="B3585">
            <v>1783</v>
          </cell>
        </row>
        <row r="3586">
          <cell r="A3586" t="str">
            <v>LAURI LAANE</v>
          </cell>
          <cell r="B3586">
            <v>296</v>
          </cell>
        </row>
        <row r="3587">
          <cell r="A3587" t="str">
            <v>MALLE LAANE</v>
          </cell>
          <cell r="B3587">
            <v>1151</v>
          </cell>
        </row>
        <row r="3588">
          <cell r="A3588" t="str">
            <v>MAREK LAANE</v>
          </cell>
          <cell r="B3588">
            <v>10182</v>
          </cell>
        </row>
        <row r="3589">
          <cell r="A3589" t="str">
            <v>TARMO LAANELA</v>
          </cell>
          <cell r="B3589">
            <v>9394</v>
          </cell>
        </row>
        <row r="3590">
          <cell r="A3590" t="str">
            <v>SIIM LAANEMÄE</v>
          </cell>
          <cell r="B3590">
            <v>2975</v>
          </cell>
        </row>
        <row r="3591">
          <cell r="A3591" t="str">
            <v>TIIT LAANEMÄE</v>
          </cell>
          <cell r="B3591">
            <v>2974</v>
          </cell>
        </row>
        <row r="3592">
          <cell r="A3592" t="str">
            <v>ANDRES LAANEMAA</v>
          </cell>
          <cell r="B3592">
            <v>5989</v>
          </cell>
        </row>
        <row r="3593">
          <cell r="A3593" t="str">
            <v>JANAR LAANEMETS</v>
          </cell>
          <cell r="B3593">
            <v>3119</v>
          </cell>
        </row>
        <row r="3594">
          <cell r="A3594" t="str">
            <v>LISBETH LAANEMETS</v>
          </cell>
          <cell r="B3594">
            <v>3799</v>
          </cell>
        </row>
        <row r="3595">
          <cell r="A3595" t="str">
            <v>RAIN LAANEMETS</v>
          </cell>
          <cell r="B3595">
            <v>7550</v>
          </cell>
        </row>
        <row r="3596">
          <cell r="A3596" t="str">
            <v>RANEL LAANEMETS</v>
          </cell>
          <cell r="B3596">
            <v>5673</v>
          </cell>
        </row>
        <row r="3597">
          <cell r="A3597" t="str">
            <v>ARDO LAANEOTS</v>
          </cell>
          <cell r="B3597">
            <v>1775</v>
          </cell>
        </row>
        <row r="3598">
          <cell r="A3598" t="str">
            <v>TAAVI LAANEP</v>
          </cell>
          <cell r="B3598">
            <v>498</v>
          </cell>
        </row>
        <row r="3599">
          <cell r="A3599" t="str">
            <v>REIN LAANESAAR</v>
          </cell>
          <cell r="B3599">
            <v>458</v>
          </cell>
        </row>
        <row r="3600">
          <cell r="A3600" t="str">
            <v>MARK LAANET</v>
          </cell>
          <cell r="B3600">
            <v>10368</v>
          </cell>
        </row>
        <row r="3601">
          <cell r="A3601" t="str">
            <v>IVIKA LAANET-NUUT</v>
          </cell>
          <cell r="B3601">
            <v>9847</v>
          </cell>
        </row>
        <row r="3602">
          <cell r="A3602" t="str">
            <v>ELEN LAANEVÄLI</v>
          </cell>
          <cell r="B3602">
            <v>3214</v>
          </cell>
        </row>
        <row r="3603">
          <cell r="A3603" t="str">
            <v>KAIMAR LAANEVÄLI</v>
          </cell>
          <cell r="B3603">
            <v>10067</v>
          </cell>
        </row>
        <row r="3604">
          <cell r="A3604" t="str">
            <v>KASPAR LAANISTO</v>
          </cell>
          <cell r="B3604">
            <v>2461</v>
          </cell>
        </row>
        <row r="3605">
          <cell r="A3605" t="str">
            <v>ALKO LAANOJA</v>
          </cell>
          <cell r="B3605">
            <v>4672</v>
          </cell>
        </row>
        <row r="3606">
          <cell r="A3606" t="str">
            <v>ASKO LAANSALU</v>
          </cell>
          <cell r="B3606">
            <v>4727</v>
          </cell>
        </row>
        <row r="3607">
          <cell r="A3607" t="str">
            <v>KRISTI LAANSALU</v>
          </cell>
          <cell r="B3607">
            <v>10088</v>
          </cell>
        </row>
        <row r="3608">
          <cell r="A3608" t="str">
            <v>JANNO LAAR</v>
          </cell>
          <cell r="B3608">
            <v>8534</v>
          </cell>
        </row>
        <row r="3609">
          <cell r="A3609" t="str">
            <v>KATRIINA LAAS</v>
          </cell>
          <cell r="B3609">
            <v>10175</v>
          </cell>
        </row>
        <row r="3610">
          <cell r="A3610" t="str">
            <v>MARKUS LAAS</v>
          </cell>
          <cell r="B3610">
            <v>9288</v>
          </cell>
        </row>
        <row r="3611">
          <cell r="A3611" t="str">
            <v>MARTA LAAS</v>
          </cell>
          <cell r="B3611">
            <v>7701</v>
          </cell>
        </row>
        <row r="3612">
          <cell r="A3612" t="str">
            <v>MARTIN LAAS</v>
          </cell>
          <cell r="B3612">
            <v>9683</v>
          </cell>
        </row>
        <row r="3613">
          <cell r="A3613" t="str">
            <v>ROGER MATTHIAS LAAS</v>
          </cell>
          <cell r="B3613">
            <v>7361</v>
          </cell>
        </row>
        <row r="3614">
          <cell r="A3614" t="str">
            <v>TÕNU LAAS</v>
          </cell>
          <cell r="B3614">
            <v>9222</v>
          </cell>
        </row>
        <row r="3615">
          <cell r="A3615" t="str">
            <v>TÕNIS LAASFELD</v>
          </cell>
          <cell r="B3615">
            <v>3384</v>
          </cell>
        </row>
        <row r="3616">
          <cell r="A3616" t="str">
            <v>MARKOS LAASIK</v>
          </cell>
          <cell r="B3616">
            <v>7372</v>
          </cell>
        </row>
        <row r="3617">
          <cell r="A3617" t="str">
            <v>KALEV LAASMA</v>
          </cell>
          <cell r="B3617">
            <v>2164</v>
          </cell>
        </row>
        <row r="3618">
          <cell r="A3618" t="str">
            <v>JANNO LAASNER</v>
          </cell>
          <cell r="B3618">
            <v>7229</v>
          </cell>
        </row>
        <row r="3619">
          <cell r="A3619" t="str">
            <v>JOHANNA LAASNER</v>
          </cell>
          <cell r="B3619">
            <v>8757</v>
          </cell>
        </row>
        <row r="3620">
          <cell r="A3620" t="str">
            <v>MARTI LAAST</v>
          </cell>
          <cell r="B3620">
            <v>4331</v>
          </cell>
        </row>
        <row r="3621">
          <cell r="A3621" t="str">
            <v>TAAVI LAAST</v>
          </cell>
          <cell r="B3621">
            <v>4330</v>
          </cell>
        </row>
        <row r="3622">
          <cell r="A3622" t="str">
            <v>STEN LAATS</v>
          </cell>
          <cell r="B3622">
            <v>4822</v>
          </cell>
        </row>
        <row r="3623">
          <cell r="A3623" t="str">
            <v>TIM LAATS</v>
          </cell>
          <cell r="B3623">
            <v>9697</v>
          </cell>
        </row>
        <row r="3624">
          <cell r="A3624" t="str">
            <v>ARNOLD LAATSPERA</v>
          </cell>
          <cell r="B3624">
            <v>8548</v>
          </cell>
        </row>
        <row r="3625">
          <cell r="A3625" t="str">
            <v>ANDREI LABANAU</v>
          </cell>
          <cell r="B3625">
            <v>7738</v>
          </cell>
        </row>
        <row r="3626">
          <cell r="A3626" t="str">
            <v>ARTJOM LABAZIN</v>
          </cell>
          <cell r="B3626">
            <v>8461</v>
          </cell>
        </row>
        <row r="3627">
          <cell r="A3627" t="str">
            <v>IRINA LABKOVA</v>
          </cell>
          <cell r="B3627">
            <v>7022</v>
          </cell>
        </row>
        <row r="3628">
          <cell r="A3628" t="str">
            <v>LINDA LADUSE</v>
          </cell>
          <cell r="B3628">
            <v>9520</v>
          </cell>
        </row>
        <row r="3629">
          <cell r="A3629" t="str">
            <v>LEONARD LADVA</v>
          </cell>
          <cell r="B3629">
            <v>5307</v>
          </cell>
        </row>
        <row r="3630">
          <cell r="A3630" t="str">
            <v>MIMI LADVA</v>
          </cell>
          <cell r="B3630">
            <v>5097</v>
          </cell>
        </row>
        <row r="3631">
          <cell r="A3631" t="str">
            <v>REELIKA LAES</v>
          </cell>
          <cell r="B3631">
            <v>7573</v>
          </cell>
        </row>
        <row r="3632">
          <cell r="A3632" t="str">
            <v>JOOSEP LAEV</v>
          </cell>
          <cell r="B3632">
            <v>2785</v>
          </cell>
        </row>
        <row r="3633">
          <cell r="A3633" t="str">
            <v>OLEG LAGUTKO</v>
          </cell>
          <cell r="B3633">
            <v>4332</v>
          </cell>
        </row>
        <row r="3634">
          <cell r="A3634" t="str">
            <v>KALLE LAHE</v>
          </cell>
          <cell r="B3634">
            <v>194</v>
          </cell>
        </row>
        <row r="3635">
          <cell r="A3635" t="str">
            <v>RIINA LAHERAND</v>
          </cell>
          <cell r="B3635">
            <v>9141</v>
          </cell>
        </row>
        <row r="3636">
          <cell r="A3636" t="str">
            <v>VAMBOLA LAHESAAR</v>
          </cell>
          <cell r="B3636">
            <v>2889</v>
          </cell>
        </row>
        <row r="3637">
          <cell r="A3637" t="str">
            <v>MARET LAHEVEER</v>
          </cell>
          <cell r="B3637">
            <v>3800</v>
          </cell>
        </row>
        <row r="3638">
          <cell r="A3638" t="str">
            <v>ELINA-ERIKA LAHK</v>
          </cell>
          <cell r="B3638">
            <v>7477</v>
          </cell>
        </row>
        <row r="3639">
          <cell r="A3639" t="str">
            <v>DANIEL LAHT</v>
          </cell>
          <cell r="B3639">
            <v>7939</v>
          </cell>
        </row>
        <row r="3640">
          <cell r="A3640" t="str">
            <v>HEGERT LAHT</v>
          </cell>
          <cell r="B3640">
            <v>7301</v>
          </cell>
        </row>
        <row r="3641">
          <cell r="A3641" t="str">
            <v>MATHIAS LAHT</v>
          </cell>
          <cell r="B3641">
            <v>2895</v>
          </cell>
        </row>
        <row r="3642">
          <cell r="A3642" t="str">
            <v>STEN MARKUS LAHT</v>
          </cell>
          <cell r="B3642">
            <v>5445</v>
          </cell>
        </row>
        <row r="3643">
          <cell r="A3643" t="str">
            <v>UKU LAHT</v>
          </cell>
          <cell r="B3643">
            <v>3801</v>
          </cell>
        </row>
        <row r="3644">
          <cell r="A3644" t="str">
            <v>DANI LAHTINEN</v>
          </cell>
          <cell r="B3644">
            <v>2610</v>
          </cell>
        </row>
        <row r="3645">
          <cell r="A3645" t="str">
            <v>JORMA LAHTINEN</v>
          </cell>
          <cell r="B3645">
            <v>9878</v>
          </cell>
        </row>
        <row r="3646">
          <cell r="A3646" t="str">
            <v>JUOKKO LAHTINEN</v>
          </cell>
          <cell r="B3646">
            <v>3035</v>
          </cell>
        </row>
        <row r="3647">
          <cell r="A3647" t="str">
            <v>HELMERT LAI</v>
          </cell>
          <cell r="B3647">
            <v>2698</v>
          </cell>
        </row>
        <row r="3648">
          <cell r="A3648" t="str">
            <v>LAURA-LIISA LAI</v>
          </cell>
          <cell r="B3648">
            <v>10874</v>
          </cell>
        </row>
        <row r="3649">
          <cell r="A3649" t="str">
            <v>ANGELA LAIDINEN</v>
          </cell>
          <cell r="B3649">
            <v>7278</v>
          </cell>
        </row>
        <row r="3650">
          <cell r="A3650" t="str">
            <v>ANU LAIDINEN</v>
          </cell>
          <cell r="B3650">
            <v>7238</v>
          </cell>
        </row>
        <row r="3651">
          <cell r="A3651" t="str">
            <v>PEKKA LAIDINEN</v>
          </cell>
          <cell r="B3651">
            <v>207</v>
          </cell>
        </row>
        <row r="3652">
          <cell r="A3652" t="str">
            <v>AIMIR LAIDMA</v>
          </cell>
          <cell r="B3652">
            <v>2908</v>
          </cell>
        </row>
        <row r="3653">
          <cell r="A3653" t="str">
            <v>HEINO LAIDMAA</v>
          </cell>
          <cell r="B3653">
            <v>4673</v>
          </cell>
        </row>
        <row r="3654">
          <cell r="A3654" t="str">
            <v>ARTUR LAIDNA</v>
          </cell>
          <cell r="B3654">
            <v>2533</v>
          </cell>
        </row>
        <row r="3655">
          <cell r="A3655" t="str">
            <v>MIHKEL LAIDONER</v>
          </cell>
          <cell r="B3655">
            <v>2398</v>
          </cell>
        </row>
        <row r="3656">
          <cell r="A3656" t="str">
            <v>ANNALIIS LAIDRE</v>
          </cell>
          <cell r="B3656">
            <v>3802</v>
          </cell>
        </row>
        <row r="3657">
          <cell r="A3657" t="str">
            <v>HARALD LAIDRE</v>
          </cell>
          <cell r="B3657">
            <v>3342</v>
          </cell>
        </row>
        <row r="3658">
          <cell r="A3658" t="str">
            <v>KRISTI LAIDVEE</v>
          </cell>
          <cell r="B3658">
            <v>68</v>
          </cell>
        </row>
        <row r="3659">
          <cell r="A3659" t="str">
            <v>VILJAR LAIDVEE</v>
          </cell>
          <cell r="B3659">
            <v>9591</v>
          </cell>
        </row>
        <row r="3660">
          <cell r="A3660" t="str">
            <v>KARL LAIGU</v>
          </cell>
          <cell r="B3660">
            <v>2105</v>
          </cell>
        </row>
        <row r="3661">
          <cell r="A3661" t="str">
            <v>ANDRES LAIKRE</v>
          </cell>
          <cell r="B3661">
            <v>195</v>
          </cell>
        </row>
        <row r="3662">
          <cell r="A3662" t="str">
            <v>ARLI LAINE</v>
          </cell>
          <cell r="B3662">
            <v>5892</v>
          </cell>
        </row>
        <row r="3663">
          <cell r="A3663" t="str">
            <v>MATI LAINE</v>
          </cell>
          <cell r="B3663">
            <v>4744</v>
          </cell>
        </row>
        <row r="3664">
          <cell r="A3664" t="str">
            <v>KALMER LAINEMÄE</v>
          </cell>
          <cell r="B3664">
            <v>10416</v>
          </cell>
        </row>
        <row r="3665">
          <cell r="A3665" t="str">
            <v>AVO-KARLIS LAINESTE</v>
          </cell>
          <cell r="B3665">
            <v>3292</v>
          </cell>
        </row>
        <row r="3666">
          <cell r="A3666" t="str">
            <v>TIMO LAINEVOOL</v>
          </cell>
          <cell r="B3666">
            <v>4999</v>
          </cell>
        </row>
        <row r="3667">
          <cell r="A3667" t="str">
            <v>TARMO LAISAAR</v>
          </cell>
          <cell r="B3667">
            <v>4866</v>
          </cell>
        </row>
        <row r="3668">
          <cell r="A3668" t="str">
            <v>OLGA LAKEJEVA</v>
          </cell>
          <cell r="B3668">
            <v>3949</v>
          </cell>
        </row>
        <row r="3669">
          <cell r="A3669" t="str">
            <v>AKSEL LAKS</v>
          </cell>
          <cell r="B3669">
            <v>506</v>
          </cell>
        </row>
        <row r="3670">
          <cell r="A3670" t="str">
            <v>ÜLO LAKS</v>
          </cell>
          <cell r="B3670">
            <v>964</v>
          </cell>
        </row>
        <row r="3671">
          <cell r="A3671" t="str">
            <v>ARGO LAKS</v>
          </cell>
          <cell r="B3671">
            <v>2438</v>
          </cell>
        </row>
        <row r="3672">
          <cell r="A3672" t="str">
            <v>AVE LAKS</v>
          </cell>
          <cell r="B3672">
            <v>4040</v>
          </cell>
        </row>
        <row r="3673">
          <cell r="A3673" t="str">
            <v>EVA LAKS</v>
          </cell>
          <cell r="B3673">
            <v>4039</v>
          </cell>
        </row>
        <row r="3674">
          <cell r="A3674" t="str">
            <v>HELEN LAKS</v>
          </cell>
          <cell r="B3674">
            <v>7230</v>
          </cell>
        </row>
        <row r="3675">
          <cell r="A3675" t="str">
            <v>HERMO LAKS</v>
          </cell>
          <cell r="B3675">
            <v>4959</v>
          </cell>
        </row>
        <row r="3676">
          <cell r="A3676" t="str">
            <v>KASPAR LAKS</v>
          </cell>
          <cell r="B3676">
            <v>8922</v>
          </cell>
        </row>
        <row r="3677">
          <cell r="A3677" t="str">
            <v>LEMBIT LAKS</v>
          </cell>
          <cell r="B3677">
            <v>4674</v>
          </cell>
        </row>
        <row r="3678">
          <cell r="A3678" t="str">
            <v>LIINA LAKS</v>
          </cell>
          <cell r="B3678">
            <v>2428</v>
          </cell>
        </row>
        <row r="3679">
          <cell r="A3679" t="str">
            <v>MALLE LAKS</v>
          </cell>
          <cell r="B3679">
            <v>1110</v>
          </cell>
        </row>
        <row r="3680">
          <cell r="A3680" t="str">
            <v>TÕNIS LAKS</v>
          </cell>
          <cell r="B3680">
            <v>928</v>
          </cell>
        </row>
        <row r="3681">
          <cell r="A3681" t="str">
            <v>CRISTER LAKSON</v>
          </cell>
          <cell r="B3681">
            <v>9575</v>
          </cell>
        </row>
        <row r="3682">
          <cell r="A3682" t="str">
            <v>VITALII LAKUSTA</v>
          </cell>
          <cell r="B3682">
            <v>8402</v>
          </cell>
        </row>
        <row r="3683">
          <cell r="A3683" t="str">
            <v>ALEKSANDR LALAKOV</v>
          </cell>
          <cell r="B3683">
            <v>4333</v>
          </cell>
        </row>
        <row r="3684">
          <cell r="A3684" t="str">
            <v>JOOSEP LALL</v>
          </cell>
          <cell r="B3684">
            <v>1631</v>
          </cell>
        </row>
        <row r="3685">
          <cell r="A3685" t="str">
            <v>OLIVER LAMBOL</v>
          </cell>
          <cell r="B3685">
            <v>10425</v>
          </cell>
        </row>
        <row r="3686">
          <cell r="A3686" t="str">
            <v>ANNABEL LAMP</v>
          </cell>
          <cell r="B3686">
            <v>9011</v>
          </cell>
        </row>
        <row r="3687">
          <cell r="A3687" t="str">
            <v>ANDRES LAMPE</v>
          </cell>
          <cell r="B3687">
            <v>4823</v>
          </cell>
        </row>
        <row r="3688">
          <cell r="A3688" t="str">
            <v>JARMO LAMPE</v>
          </cell>
          <cell r="B3688">
            <v>8254</v>
          </cell>
        </row>
        <row r="3689">
          <cell r="A3689" t="str">
            <v>TANEL LAMPE</v>
          </cell>
          <cell r="B3689">
            <v>4779</v>
          </cell>
        </row>
        <row r="3690">
          <cell r="A3690" t="str">
            <v>OLIVER LAMVOL</v>
          </cell>
          <cell r="B3690">
            <v>10577</v>
          </cell>
        </row>
        <row r="3691">
          <cell r="A3691" t="str">
            <v>THEODORE HENDRIK LAMVOL</v>
          </cell>
          <cell r="B3691">
            <v>10358</v>
          </cell>
        </row>
        <row r="3692">
          <cell r="A3692" t="str">
            <v>GEITY LANDE</v>
          </cell>
          <cell r="B3692">
            <v>1666</v>
          </cell>
        </row>
        <row r="3693">
          <cell r="A3693" t="str">
            <v>MARCUS LANDING</v>
          </cell>
          <cell r="B3693">
            <v>7333</v>
          </cell>
        </row>
        <row r="3694">
          <cell r="A3694" t="str">
            <v>KATARINA LANG</v>
          </cell>
          <cell r="B3694">
            <v>7676</v>
          </cell>
        </row>
        <row r="3695">
          <cell r="A3695" t="str">
            <v>TORMI LANG</v>
          </cell>
          <cell r="B3695">
            <v>8180</v>
          </cell>
        </row>
        <row r="3696">
          <cell r="A3696" t="str">
            <v>ARMIN LANGEBRAUM</v>
          </cell>
          <cell r="B3696">
            <v>2861</v>
          </cell>
        </row>
        <row r="3697">
          <cell r="A3697" t="str">
            <v>ALEXANDER LANGELER</v>
          </cell>
          <cell r="B3697">
            <v>9993</v>
          </cell>
        </row>
        <row r="3698">
          <cell r="A3698" t="str">
            <v>KEYTO LANGINEN</v>
          </cell>
          <cell r="B3698">
            <v>3685</v>
          </cell>
        </row>
        <row r="3699">
          <cell r="A3699" t="str">
            <v>BENJAMIN LANGSHOLDT</v>
          </cell>
          <cell r="B3699">
            <v>7534</v>
          </cell>
        </row>
        <row r="3700">
          <cell r="A3700" t="str">
            <v>KARL ERIC LANI</v>
          </cell>
          <cell r="B3700">
            <v>8393</v>
          </cell>
        </row>
        <row r="3701">
          <cell r="A3701" t="str">
            <v>KARLA-ERIK LANI</v>
          </cell>
          <cell r="B3701">
            <v>9886</v>
          </cell>
        </row>
        <row r="3702">
          <cell r="A3702" t="str">
            <v>TREVOR LANK</v>
          </cell>
          <cell r="B3702">
            <v>10464</v>
          </cell>
        </row>
        <row r="3703">
          <cell r="A3703" t="str">
            <v>IVAR-ERIK LANNES</v>
          </cell>
          <cell r="B3703">
            <v>1876</v>
          </cell>
        </row>
        <row r="3704">
          <cell r="A3704" t="str">
            <v>ANATOLI LANS</v>
          </cell>
          <cell r="B3704">
            <v>331</v>
          </cell>
        </row>
        <row r="3705">
          <cell r="A3705" t="str">
            <v>KRISTEL LÜKK</v>
          </cell>
          <cell r="B3705">
            <v>7051</v>
          </cell>
        </row>
        <row r="3706">
          <cell r="A3706" t="str">
            <v>MERILY LÜLL</v>
          </cell>
          <cell r="B3706">
            <v>3966</v>
          </cell>
        </row>
        <row r="3707">
          <cell r="A3707" t="str">
            <v>KAISA LAOS</v>
          </cell>
          <cell r="B3707">
            <v>8263</v>
          </cell>
        </row>
        <row r="3708">
          <cell r="A3708" t="str">
            <v>MARTI LAOS</v>
          </cell>
          <cell r="B3708">
            <v>1455</v>
          </cell>
        </row>
        <row r="3709">
          <cell r="A3709" t="str">
            <v>MATTIAS LAOS</v>
          </cell>
          <cell r="B3709">
            <v>8261</v>
          </cell>
        </row>
        <row r="3710">
          <cell r="A3710" t="str">
            <v>RAINER LAPP</v>
          </cell>
          <cell r="B3710">
            <v>10264</v>
          </cell>
        </row>
        <row r="3711">
          <cell r="A3711" t="str">
            <v>EVELIN LAPPALAINEN</v>
          </cell>
          <cell r="B3711">
            <v>9844</v>
          </cell>
        </row>
        <row r="3712">
          <cell r="A3712" t="str">
            <v>VESA LAPPI</v>
          </cell>
          <cell r="B3712">
            <v>10151</v>
          </cell>
        </row>
        <row r="3713">
          <cell r="A3713" t="str">
            <v>EGNE LAPPMAA</v>
          </cell>
          <cell r="B3713">
            <v>9140</v>
          </cell>
        </row>
        <row r="3714">
          <cell r="A3714" t="str">
            <v>ILJA LAPSHIN</v>
          </cell>
          <cell r="B3714">
            <v>10553</v>
          </cell>
        </row>
        <row r="3715">
          <cell r="A3715" t="str">
            <v>MIHHAIL LAPSHIN</v>
          </cell>
          <cell r="B3715">
            <v>10116</v>
          </cell>
        </row>
        <row r="3716">
          <cell r="A3716" t="str">
            <v>ALEKSEI LARIN</v>
          </cell>
          <cell r="B3716">
            <v>9652</v>
          </cell>
        </row>
        <row r="3717">
          <cell r="A3717" t="str">
            <v>ALEKSEI LARKOV</v>
          </cell>
          <cell r="B3717">
            <v>10793</v>
          </cell>
        </row>
        <row r="3718">
          <cell r="A3718" t="str">
            <v>ANTON LAROSHEVICH</v>
          </cell>
          <cell r="B3718">
            <v>10482</v>
          </cell>
        </row>
        <row r="3719">
          <cell r="A3719" t="str">
            <v>DENNIS LARSSON</v>
          </cell>
          <cell r="B3719">
            <v>9008</v>
          </cell>
        </row>
        <row r="3720">
          <cell r="A3720" t="str">
            <v>KIM LARSSON</v>
          </cell>
          <cell r="B3720">
            <v>1627</v>
          </cell>
        </row>
        <row r="3721">
          <cell r="A3721" t="str">
            <v>JAANIKA LASEN</v>
          </cell>
          <cell r="B3721">
            <v>4334</v>
          </cell>
        </row>
        <row r="3722">
          <cell r="A3722" t="str">
            <v>RAIMONDS LASMANIS</v>
          </cell>
          <cell r="B3722">
            <v>521</v>
          </cell>
        </row>
        <row r="3723">
          <cell r="A3723" t="str">
            <v>MIHKEL LASN</v>
          </cell>
          <cell r="B3723">
            <v>2425</v>
          </cell>
        </row>
        <row r="3724">
          <cell r="A3724" t="str">
            <v>ALLAR LASS</v>
          </cell>
          <cell r="B3724">
            <v>1632</v>
          </cell>
        </row>
        <row r="3725">
          <cell r="A3725" t="str">
            <v>LIIS LASS</v>
          </cell>
          <cell r="B3725">
            <v>2459</v>
          </cell>
        </row>
        <row r="3726">
          <cell r="A3726" t="str">
            <v>BEATA LASTOVKO</v>
          </cell>
          <cell r="B3726">
            <v>7956</v>
          </cell>
        </row>
        <row r="3727">
          <cell r="A3727" t="str">
            <v>MAKSIM LASUKOV</v>
          </cell>
          <cell r="B3727">
            <v>8483</v>
          </cell>
        </row>
        <row r="3728">
          <cell r="A3728" t="str">
            <v>VLADISLAV LASUKOV</v>
          </cell>
          <cell r="B3728">
            <v>8498</v>
          </cell>
        </row>
        <row r="3729">
          <cell r="A3729" t="str">
            <v>MARTIN LASUTKIN</v>
          </cell>
          <cell r="B3729">
            <v>5676</v>
          </cell>
        </row>
        <row r="3730">
          <cell r="A3730" t="str">
            <v>ARTJOM LAZAREV</v>
          </cell>
          <cell r="B3730">
            <v>4335</v>
          </cell>
        </row>
        <row r="3731">
          <cell r="A3731" t="str">
            <v>JELENA LAZAREVA</v>
          </cell>
          <cell r="B3731">
            <v>1752</v>
          </cell>
        </row>
        <row r="3732">
          <cell r="A3732" t="str">
            <v>VOLHA LAZARKOVA</v>
          </cell>
          <cell r="B3732">
            <v>7730</v>
          </cell>
        </row>
        <row r="3733">
          <cell r="A3733" t="str">
            <v>VLAD LAZUKOV</v>
          </cell>
          <cell r="B3733">
            <v>8312</v>
          </cell>
        </row>
        <row r="3734">
          <cell r="A3734" t="str">
            <v>RALF LATIK</v>
          </cell>
          <cell r="B3734">
            <v>9835</v>
          </cell>
        </row>
        <row r="3735">
          <cell r="A3735" t="str">
            <v>VLADIMIR LATIN</v>
          </cell>
          <cell r="B3735">
            <v>404</v>
          </cell>
        </row>
        <row r="3736">
          <cell r="A3736" t="str">
            <v>MARI LATTIK</v>
          </cell>
          <cell r="B3736">
            <v>1753</v>
          </cell>
        </row>
        <row r="3737">
          <cell r="A3737" t="str">
            <v>LINDA LATVIETE</v>
          </cell>
          <cell r="B3737">
            <v>1708</v>
          </cell>
        </row>
        <row r="3738">
          <cell r="A3738" t="str">
            <v>AINAR LAUBE</v>
          </cell>
          <cell r="B3738">
            <v>3575</v>
          </cell>
        </row>
        <row r="3739">
          <cell r="A3739" t="str">
            <v>ARTA LAUBERGA</v>
          </cell>
          <cell r="B3739">
            <v>3513</v>
          </cell>
        </row>
        <row r="3740">
          <cell r="A3740" t="str">
            <v>UNDA-PAULA LAUBERGA</v>
          </cell>
          <cell r="B3740">
            <v>2773</v>
          </cell>
        </row>
        <row r="3741">
          <cell r="A3741" t="str">
            <v>MAREKS LAUCIŅŠ -VEINERS</v>
          </cell>
          <cell r="B3741">
            <v>9670</v>
          </cell>
        </row>
        <row r="3742">
          <cell r="A3742" t="str">
            <v>LINA LAUCINA</v>
          </cell>
          <cell r="B3742">
            <v>2273</v>
          </cell>
        </row>
        <row r="3743">
          <cell r="A3743" t="str">
            <v>INTA LAUDUPE</v>
          </cell>
          <cell r="B3743">
            <v>1937</v>
          </cell>
        </row>
        <row r="3744">
          <cell r="A3744" t="str">
            <v>IAN LAUK</v>
          </cell>
          <cell r="B3744">
            <v>3803</v>
          </cell>
        </row>
        <row r="3745">
          <cell r="A3745" t="str">
            <v>JOOSEP LAUK</v>
          </cell>
          <cell r="B3745">
            <v>5098</v>
          </cell>
        </row>
        <row r="3746">
          <cell r="A3746" t="str">
            <v>TAAVO LAUK</v>
          </cell>
          <cell r="B3746">
            <v>1592</v>
          </cell>
        </row>
        <row r="3747">
          <cell r="A3747" t="str">
            <v>ANDER LAUKSTEINS</v>
          </cell>
          <cell r="B3747">
            <v>1177</v>
          </cell>
        </row>
        <row r="3748">
          <cell r="A3748" t="str">
            <v>UKU LAUL</v>
          </cell>
          <cell r="B3748">
            <v>314</v>
          </cell>
        </row>
        <row r="3749">
          <cell r="A3749" t="str">
            <v>KARL LAUMETS</v>
          </cell>
          <cell r="B3749">
            <v>9335</v>
          </cell>
        </row>
        <row r="3750">
          <cell r="A3750" t="str">
            <v>LEMBIT LAUMETS</v>
          </cell>
          <cell r="B3750">
            <v>196</v>
          </cell>
        </row>
        <row r="3751">
          <cell r="A3751" t="str">
            <v>RIINA LAUMETS</v>
          </cell>
          <cell r="B3751">
            <v>2877</v>
          </cell>
        </row>
        <row r="3752">
          <cell r="A3752" t="str">
            <v>URVE LAUMETS</v>
          </cell>
          <cell r="B3752">
            <v>70</v>
          </cell>
        </row>
        <row r="3753">
          <cell r="A3753" t="str">
            <v>EVELYN LAUPA</v>
          </cell>
          <cell r="B3753">
            <v>4336</v>
          </cell>
        </row>
        <row r="3754">
          <cell r="A3754" t="str">
            <v>ÜLLE LAUR</v>
          </cell>
          <cell r="B3754">
            <v>1085</v>
          </cell>
        </row>
        <row r="3755">
          <cell r="A3755" t="str">
            <v>ENE LAUR</v>
          </cell>
          <cell r="B3755">
            <v>71</v>
          </cell>
        </row>
        <row r="3756">
          <cell r="A3756" t="str">
            <v>GREGOR LAUR</v>
          </cell>
          <cell r="B3756">
            <v>3392</v>
          </cell>
        </row>
        <row r="3757">
          <cell r="A3757" t="str">
            <v>REIJO LAUR</v>
          </cell>
          <cell r="B3757">
            <v>1902</v>
          </cell>
        </row>
        <row r="3758">
          <cell r="A3758" t="str">
            <v>TIIT LAUR</v>
          </cell>
          <cell r="B3758">
            <v>8177</v>
          </cell>
        </row>
        <row r="3759">
          <cell r="A3759" t="str">
            <v>VALDIS LAUR</v>
          </cell>
          <cell r="B3759">
            <v>5966</v>
          </cell>
        </row>
        <row r="3760">
          <cell r="A3760" t="str">
            <v>KALJURAND LAURA</v>
          </cell>
          <cell r="B3760">
            <v>6097</v>
          </cell>
        </row>
        <row r="3761">
          <cell r="A3761" t="str">
            <v>GEILI LAURIMÄE</v>
          </cell>
          <cell r="B3761">
            <v>1880</v>
          </cell>
        </row>
        <row r="3762">
          <cell r="A3762" t="str">
            <v>GERT LAURIMÄE</v>
          </cell>
          <cell r="B3762">
            <v>1886</v>
          </cell>
        </row>
        <row r="3763">
          <cell r="A3763" t="str">
            <v>RAIN ALAR LAURIMAA</v>
          </cell>
          <cell r="B3763">
            <v>7980</v>
          </cell>
        </row>
        <row r="3764">
          <cell r="A3764" t="str">
            <v>HEINO LAURITS</v>
          </cell>
          <cell r="B3764">
            <v>2830</v>
          </cell>
        </row>
        <row r="3765">
          <cell r="A3765" t="str">
            <v>JUULIUS MARTIN LAURITS</v>
          </cell>
          <cell r="B3765">
            <v>7439</v>
          </cell>
        </row>
        <row r="3766">
          <cell r="A3766" t="str">
            <v>MAAREK LAURITS</v>
          </cell>
          <cell r="B3766">
            <v>2699</v>
          </cell>
        </row>
        <row r="3767">
          <cell r="A3767" t="str">
            <v>EELI LAURITSALO</v>
          </cell>
          <cell r="B3767">
            <v>9681</v>
          </cell>
        </row>
        <row r="3768">
          <cell r="A3768" t="str">
            <v>OLAVI LAURSON</v>
          </cell>
          <cell r="B3768">
            <v>3978</v>
          </cell>
        </row>
        <row r="3769">
          <cell r="A3769" t="str">
            <v>KENNETH LAUS</v>
          </cell>
          <cell r="B3769">
            <v>10478</v>
          </cell>
        </row>
        <row r="3770">
          <cell r="A3770" t="str">
            <v>KARL LAUSING</v>
          </cell>
          <cell r="B3770">
            <v>5560</v>
          </cell>
        </row>
        <row r="3771">
          <cell r="A3771" t="str">
            <v>SERGEI LAVRENTJEV</v>
          </cell>
          <cell r="B3771">
            <v>2501</v>
          </cell>
        </row>
        <row r="3772">
          <cell r="A3772" t="str">
            <v>JAKOB LEAS</v>
          </cell>
          <cell r="B3772">
            <v>10108</v>
          </cell>
        </row>
        <row r="3773">
          <cell r="A3773" t="str">
            <v>KALEV LEAS</v>
          </cell>
          <cell r="B3773">
            <v>1458</v>
          </cell>
        </row>
        <row r="3774">
          <cell r="A3774" t="str">
            <v>KEVIN LEAS</v>
          </cell>
          <cell r="B3774">
            <v>8262</v>
          </cell>
        </row>
        <row r="3775">
          <cell r="A3775" t="str">
            <v>LAURI LEAS</v>
          </cell>
          <cell r="B3775">
            <v>7175</v>
          </cell>
        </row>
        <row r="3776">
          <cell r="A3776" t="str">
            <v>LENNA-LIISA LEAS</v>
          </cell>
          <cell r="B3776">
            <v>9504</v>
          </cell>
        </row>
        <row r="3777">
          <cell r="A3777" t="str">
            <v>NIKITA LEBED</v>
          </cell>
          <cell r="B3777">
            <v>2554</v>
          </cell>
        </row>
        <row r="3778">
          <cell r="A3778" t="str">
            <v>AGNIUS LEBEDAS</v>
          </cell>
          <cell r="B3778">
            <v>5450</v>
          </cell>
        </row>
        <row r="3779">
          <cell r="A3779" t="str">
            <v>ALEKSEI LEBEDEV</v>
          </cell>
          <cell r="B3779">
            <v>5134</v>
          </cell>
        </row>
        <row r="3780">
          <cell r="A3780" t="str">
            <v>ALLAR LEBEDEV</v>
          </cell>
          <cell r="B3780">
            <v>8338</v>
          </cell>
        </row>
        <row r="3781">
          <cell r="A3781" t="str">
            <v>GERMAN LEBEDEV</v>
          </cell>
          <cell r="B3781">
            <v>4933</v>
          </cell>
        </row>
        <row r="3782">
          <cell r="A3782" t="str">
            <v>MAKSIM LEBEDEV</v>
          </cell>
          <cell r="B3782">
            <v>2365</v>
          </cell>
        </row>
        <row r="3783">
          <cell r="A3783" t="str">
            <v>STEPHAN LEBEDEV</v>
          </cell>
          <cell r="B3783">
            <v>8337</v>
          </cell>
        </row>
        <row r="3784">
          <cell r="A3784" t="str">
            <v>VIKTOR LEBEDEV</v>
          </cell>
          <cell r="B3784">
            <v>1581</v>
          </cell>
        </row>
        <row r="3785">
          <cell r="A3785" t="str">
            <v>POLINA LEBEDEVA</v>
          </cell>
          <cell r="B3785">
            <v>8948</v>
          </cell>
        </row>
        <row r="3786">
          <cell r="A3786" t="str">
            <v>ARTJOMS LECHEBRIN</v>
          </cell>
          <cell r="B3786">
            <v>2258</v>
          </cell>
        </row>
        <row r="3787">
          <cell r="A3787" t="str">
            <v>TOOMAS LEDNEI</v>
          </cell>
          <cell r="B3787">
            <v>2810</v>
          </cell>
        </row>
        <row r="3788">
          <cell r="A3788" t="str">
            <v>TATJANA LEDOVSKAJA</v>
          </cell>
          <cell r="B3788">
            <v>7591</v>
          </cell>
        </row>
        <row r="3789">
          <cell r="A3789" t="str">
            <v>SASKIA MEERI LIIS LEE</v>
          </cell>
          <cell r="B3789">
            <v>3714</v>
          </cell>
        </row>
        <row r="3790">
          <cell r="A3790" t="str">
            <v>TAK LAM LEE</v>
          </cell>
          <cell r="B3790">
            <v>10293</v>
          </cell>
        </row>
        <row r="3791">
          <cell r="A3791" t="str">
            <v>URMET LEE</v>
          </cell>
          <cell r="B3791">
            <v>7456</v>
          </cell>
        </row>
        <row r="3792">
          <cell r="A3792" t="str">
            <v>RENE LEEMAN</v>
          </cell>
          <cell r="B3792">
            <v>10114</v>
          </cell>
        </row>
        <row r="3793">
          <cell r="A3793" t="str">
            <v>CHRISTOFER-ROBIN LEEMET</v>
          </cell>
          <cell r="B3793">
            <v>5386</v>
          </cell>
        </row>
        <row r="3794">
          <cell r="A3794" t="str">
            <v>KRISTO LEEMET</v>
          </cell>
          <cell r="B3794">
            <v>4675</v>
          </cell>
        </row>
        <row r="3795">
          <cell r="A3795" t="str">
            <v>MAREK LEEMET</v>
          </cell>
          <cell r="B3795">
            <v>7714</v>
          </cell>
        </row>
        <row r="3796">
          <cell r="A3796" t="str">
            <v>MEELIS LEESIK</v>
          </cell>
          <cell r="B3796">
            <v>2465</v>
          </cell>
        </row>
        <row r="3797">
          <cell r="A3797" t="str">
            <v>ARGO LEESMAN</v>
          </cell>
          <cell r="B3797">
            <v>8604</v>
          </cell>
        </row>
        <row r="3798">
          <cell r="A3798" t="str">
            <v>DAN-ANDRE LEESMENT</v>
          </cell>
          <cell r="B3798">
            <v>7648</v>
          </cell>
        </row>
        <row r="3799">
          <cell r="A3799" t="str">
            <v>MANUS LEESMENT</v>
          </cell>
          <cell r="B3799">
            <v>1801</v>
          </cell>
        </row>
        <row r="3800">
          <cell r="A3800" t="str">
            <v>ANDRES LEET</v>
          </cell>
          <cell r="B3800">
            <v>1494</v>
          </cell>
        </row>
        <row r="3801">
          <cell r="A3801" t="str">
            <v>EVI LEET</v>
          </cell>
          <cell r="B3801">
            <v>7866</v>
          </cell>
        </row>
        <row r="3802">
          <cell r="A3802" t="str">
            <v>MARGUS LEET</v>
          </cell>
          <cell r="B3802">
            <v>8414</v>
          </cell>
        </row>
        <row r="3803">
          <cell r="A3803" t="str">
            <v>ASTON LEETJÕE</v>
          </cell>
          <cell r="B3803">
            <v>5000</v>
          </cell>
        </row>
        <row r="3804">
          <cell r="A3804" t="str">
            <v>LEO LEETMA</v>
          </cell>
          <cell r="B3804">
            <v>197</v>
          </cell>
        </row>
        <row r="3805">
          <cell r="A3805" t="str">
            <v>HEGERT LEEVIT</v>
          </cell>
          <cell r="B3805">
            <v>6084</v>
          </cell>
        </row>
        <row r="3806">
          <cell r="A3806" t="str">
            <v>DIANA LEGUSHS</v>
          </cell>
          <cell r="B3806">
            <v>72</v>
          </cell>
        </row>
        <row r="3807">
          <cell r="A3807" t="str">
            <v>MIRJAM LEHARI</v>
          </cell>
          <cell r="B3807">
            <v>9500</v>
          </cell>
        </row>
        <row r="3808">
          <cell r="A3808" t="str">
            <v>RUTH LEHEMAA</v>
          </cell>
          <cell r="B3808">
            <v>3963</v>
          </cell>
        </row>
        <row r="3809">
          <cell r="A3809" t="str">
            <v>EIKI LEHEMETS</v>
          </cell>
          <cell r="B3809">
            <v>4337</v>
          </cell>
        </row>
        <row r="3810">
          <cell r="A3810" t="str">
            <v>ANDRES LEHESOO</v>
          </cell>
          <cell r="B3810">
            <v>1670</v>
          </cell>
        </row>
        <row r="3811">
          <cell r="A3811" t="str">
            <v>KALLE LEHISMETS</v>
          </cell>
          <cell r="B3811">
            <v>5099</v>
          </cell>
        </row>
        <row r="3812">
          <cell r="A3812" t="str">
            <v>KULNO LEHISMETS</v>
          </cell>
          <cell r="B3812">
            <v>5100</v>
          </cell>
        </row>
        <row r="3813">
          <cell r="A3813" t="str">
            <v>LAURI LEHISTE</v>
          </cell>
          <cell r="B3813">
            <v>8989</v>
          </cell>
        </row>
        <row r="3814">
          <cell r="A3814" t="str">
            <v>RICHARD LEHT</v>
          </cell>
          <cell r="B3814">
            <v>2603</v>
          </cell>
        </row>
        <row r="3815">
          <cell r="A3815" t="str">
            <v>HELANDER LEHTLA</v>
          </cell>
          <cell r="B3815">
            <v>7239</v>
          </cell>
        </row>
        <row r="3816">
          <cell r="A3816" t="str">
            <v>LIISA LEHTLA</v>
          </cell>
          <cell r="B3816">
            <v>8551</v>
          </cell>
        </row>
        <row r="3817">
          <cell r="A3817" t="str">
            <v>MARJE LEHTLA</v>
          </cell>
          <cell r="B3817">
            <v>1446</v>
          </cell>
        </row>
        <row r="3818">
          <cell r="A3818" t="str">
            <v>PERT MARTEN LEHTLAAN</v>
          </cell>
          <cell r="B3818">
            <v>7516</v>
          </cell>
        </row>
        <row r="3819">
          <cell r="A3819" t="str">
            <v>PRIIT LEHTLAAN</v>
          </cell>
          <cell r="B3819">
            <v>8944</v>
          </cell>
        </row>
        <row r="3820">
          <cell r="A3820" t="str">
            <v>ERIK-VILLEM LEHTMÄE</v>
          </cell>
          <cell r="B3820">
            <v>7871</v>
          </cell>
        </row>
        <row r="3821">
          <cell r="A3821" t="str">
            <v>RANDO LEHTMÄE</v>
          </cell>
          <cell r="B3821">
            <v>4338</v>
          </cell>
        </row>
        <row r="3822">
          <cell r="A3822" t="str">
            <v>MADIS LEHTMETS</v>
          </cell>
          <cell r="B3822">
            <v>2784</v>
          </cell>
        </row>
        <row r="3823">
          <cell r="A3823" t="str">
            <v>MART LEHTMETS</v>
          </cell>
          <cell r="B3823">
            <v>2326</v>
          </cell>
        </row>
        <row r="3824">
          <cell r="A3824" t="str">
            <v>RAINIS LEHTMETS</v>
          </cell>
          <cell r="B3824">
            <v>508</v>
          </cell>
        </row>
        <row r="3825">
          <cell r="A3825" t="str">
            <v>ANSI LEHTO</v>
          </cell>
          <cell r="B3825">
            <v>1235</v>
          </cell>
        </row>
        <row r="3826">
          <cell r="A3826" t="str">
            <v>MIKKO LEHTO</v>
          </cell>
          <cell r="B3826">
            <v>942</v>
          </cell>
        </row>
        <row r="3827">
          <cell r="A3827" t="str">
            <v>ARNO LEHTSAAR</v>
          </cell>
          <cell r="B3827">
            <v>4894</v>
          </cell>
        </row>
        <row r="3828">
          <cell r="A3828" t="str">
            <v>KASPAR LEHTSAAR</v>
          </cell>
          <cell r="B3828">
            <v>9802</v>
          </cell>
        </row>
        <row r="3829">
          <cell r="A3829" t="str">
            <v>LAURI LEHTSAAR</v>
          </cell>
          <cell r="B3829">
            <v>7501</v>
          </cell>
        </row>
        <row r="3830">
          <cell r="A3830" t="str">
            <v>OLIVER LEHTSAAR</v>
          </cell>
          <cell r="B3830">
            <v>9707</v>
          </cell>
        </row>
        <row r="3831">
          <cell r="A3831" t="str">
            <v>LEHAR-TAANIEL LEHTSALU</v>
          </cell>
          <cell r="B3831">
            <v>8943</v>
          </cell>
        </row>
        <row r="3832">
          <cell r="A3832" t="str">
            <v>RAUNO LEHTSALU</v>
          </cell>
          <cell r="B3832">
            <v>9124</v>
          </cell>
        </row>
        <row r="3833">
          <cell r="A3833" t="str">
            <v>AARE LEHTSI</v>
          </cell>
          <cell r="B3833">
            <v>1994</v>
          </cell>
        </row>
        <row r="3834">
          <cell r="A3834" t="str">
            <v>SIISIKE LEHTSI</v>
          </cell>
          <cell r="B3834">
            <v>2630</v>
          </cell>
        </row>
        <row r="3835">
          <cell r="A3835" t="str">
            <v>OVE LEIŠOVNIEKS</v>
          </cell>
          <cell r="B3835">
            <v>4676</v>
          </cell>
        </row>
        <row r="3836">
          <cell r="A3836" t="str">
            <v>REVO LEIŠOVNIEKS</v>
          </cell>
          <cell r="B3836">
            <v>7435</v>
          </cell>
        </row>
        <row r="3837">
          <cell r="A3837" t="str">
            <v>STEFAN LEIBUR</v>
          </cell>
          <cell r="B3837">
            <v>9837</v>
          </cell>
        </row>
        <row r="3838">
          <cell r="A3838" t="str">
            <v>LIISA LEIDRE</v>
          </cell>
          <cell r="B3838">
            <v>8839</v>
          </cell>
        </row>
        <row r="3839">
          <cell r="A3839" t="str">
            <v>LIISA-LOTTA LEIKEN</v>
          </cell>
          <cell r="B3839">
            <v>3804</v>
          </cell>
        </row>
        <row r="3840">
          <cell r="A3840" t="str">
            <v>MARGUS LEINBOCK</v>
          </cell>
          <cell r="B3840">
            <v>1836</v>
          </cell>
        </row>
        <row r="3841">
          <cell r="A3841" t="str">
            <v>RANDO LEINBOCK</v>
          </cell>
          <cell r="B3841">
            <v>9117</v>
          </cell>
        </row>
        <row r="3842">
          <cell r="A3842" t="str">
            <v>ROOMET LEINBOCK</v>
          </cell>
          <cell r="B3842">
            <v>7788</v>
          </cell>
        </row>
        <row r="3843">
          <cell r="A3843" t="str">
            <v>ILMARI LEINO</v>
          </cell>
          <cell r="B3843">
            <v>10436</v>
          </cell>
        </row>
        <row r="3844">
          <cell r="A3844" t="str">
            <v>HUGO LEINOLA</v>
          </cell>
          <cell r="B3844">
            <v>7889</v>
          </cell>
        </row>
        <row r="3845">
          <cell r="A3845" t="str">
            <v>JÜRI LEINVALD</v>
          </cell>
          <cell r="B3845">
            <v>3805</v>
          </cell>
        </row>
        <row r="3846">
          <cell r="A3846" t="str">
            <v>MARKO LEISNER</v>
          </cell>
          <cell r="B3846">
            <v>427</v>
          </cell>
        </row>
        <row r="3847">
          <cell r="A3847" t="str">
            <v>REVO LEISOVNIEKS</v>
          </cell>
          <cell r="B3847">
            <v>5042</v>
          </cell>
        </row>
        <row r="3848">
          <cell r="A3848" t="str">
            <v>KARL-MATHIAS LEIVATEGIJA</v>
          </cell>
          <cell r="B3848">
            <v>9988</v>
          </cell>
        </row>
        <row r="3849">
          <cell r="A3849" t="str">
            <v>TOMAS LEKAVICIUS</v>
          </cell>
          <cell r="B3849">
            <v>7211</v>
          </cell>
        </row>
        <row r="3850">
          <cell r="A3850" t="str">
            <v>KAIRI LEKK</v>
          </cell>
          <cell r="B3850">
            <v>5996</v>
          </cell>
        </row>
        <row r="3851">
          <cell r="A3851" t="str">
            <v>KRISTJAN LEKS</v>
          </cell>
          <cell r="B3851">
            <v>10565</v>
          </cell>
        </row>
        <row r="3852">
          <cell r="A3852" t="str">
            <v>ANNELE LELLO</v>
          </cell>
          <cell r="B3852">
            <v>4339</v>
          </cell>
        </row>
        <row r="3853">
          <cell r="A3853" t="str">
            <v>ERKI LEMBER</v>
          </cell>
          <cell r="B3853">
            <v>846</v>
          </cell>
        </row>
        <row r="3854">
          <cell r="A3854" t="str">
            <v>ERVIN LEMBER</v>
          </cell>
          <cell r="B3854">
            <v>4341</v>
          </cell>
        </row>
        <row r="3855">
          <cell r="A3855" t="str">
            <v>JULIUS LEMBER</v>
          </cell>
          <cell r="B3855">
            <v>10286</v>
          </cell>
        </row>
        <row r="3856">
          <cell r="A3856" t="str">
            <v>KAJAR LEMBER</v>
          </cell>
          <cell r="B3856">
            <v>3979</v>
          </cell>
        </row>
        <row r="3857">
          <cell r="A3857" t="str">
            <v>LAURI LEMBER</v>
          </cell>
          <cell r="B3857">
            <v>4340</v>
          </cell>
        </row>
        <row r="3858">
          <cell r="A3858" t="str">
            <v>MIHKEL LEMBER</v>
          </cell>
          <cell r="B3858">
            <v>9562</v>
          </cell>
        </row>
        <row r="3859">
          <cell r="A3859" t="str">
            <v>RENO LEMBER</v>
          </cell>
          <cell r="B3859">
            <v>10484</v>
          </cell>
        </row>
        <row r="3860">
          <cell r="A3860" t="str">
            <v>TAIVO LEMBER</v>
          </cell>
          <cell r="B3860">
            <v>402</v>
          </cell>
        </row>
        <row r="3861">
          <cell r="A3861" t="str">
            <v>HANNES LEMBERG</v>
          </cell>
          <cell r="B3861">
            <v>5235</v>
          </cell>
        </row>
        <row r="3862">
          <cell r="A3862" t="str">
            <v>LISO-LIZETE LEMBERG</v>
          </cell>
          <cell r="B3862">
            <v>7069</v>
          </cell>
        </row>
        <row r="3863">
          <cell r="A3863" t="str">
            <v>ANDRA LEMETS</v>
          </cell>
          <cell r="B3863">
            <v>5155</v>
          </cell>
        </row>
        <row r="3864">
          <cell r="A3864" t="str">
            <v>ERKI LEMETTI</v>
          </cell>
          <cell r="B3864">
            <v>2268</v>
          </cell>
        </row>
        <row r="3865">
          <cell r="A3865" t="str">
            <v>TIMO LEMETTI</v>
          </cell>
          <cell r="B3865">
            <v>2269</v>
          </cell>
        </row>
        <row r="3866">
          <cell r="A3866" t="str">
            <v>KRISTOFER LEMSALU</v>
          </cell>
          <cell r="B3866">
            <v>9825</v>
          </cell>
        </row>
        <row r="3867">
          <cell r="A3867" t="str">
            <v>JARNIS LEMVALD</v>
          </cell>
          <cell r="B3867">
            <v>4745</v>
          </cell>
        </row>
        <row r="3868">
          <cell r="A3868" t="str">
            <v>ALO LENGERT</v>
          </cell>
          <cell r="B3868">
            <v>10729</v>
          </cell>
        </row>
        <row r="3869">
          <cell r="A3869" t="str">
            <v>ILJA LENIN</v>
          </cell>
          <cell r="B3869">
            <v>10558</v>
          </cell>
        </row>
        <row r="3870">
          <cell r="A3870" t="str">
            <v>ANATOLI LENS</v>
          </cell>
          <cell r="B3870">
            <v>3806</v>
          </cell>
        </row>
        <row r="3871">
          <cell r="A3871" t="str">
            <v>KREETE LENSMANN</v>
          </cell>
          <cell r="B3871">
            <v>2402</v>
          </cell>
        </row>
        <row r="3872">
          <cell r="A3872" t="str">
            <v>VAHUR LENTS</v>
          </cell>
          <cell r="B3872">
            <v>10675</v>
          </cell>
        </row>
        <row r="3873">
          <cell r="A3873" t="str">
            <v>ANDRE LEO</v>
          </cell>
          <cell r="B3873">
            <v>5967</v>
          </cell>
        </row>
        <row r="3874">
          <cell r="A3874" t="str">
            <v>KARLO LEOK</v>
          </cell>
          <cell r="B3874">
            <v>7625</v>
          </cell>
        </row>
        <row r="3875">
          <cell r="A3875" t="str">
            <v>RAIKO LEOMAR</v>
          </cell>
          <cell r="B3875">
            <v>9448</v>
          </cell>
        </row>
        <row r="3876">
          <cell r="A3876" t="str">
            <v>ARTJOM LEONOV</v>
          </cell>
          <cell r="B3876">
            <v>2859</v>
          </cell>
        </row>
        <row r="3877">
          <cell r="A3877" t="str">
            <v>ROMAN LEONOV</v>
          </cell>
          <cell r="B3877">
            <v>3807</v>
          </cell>
        </row>
        <row r="3878">
          <cell r="A3878" t="str">
            <v>PAVEL LEONOVITS</v>
          </cell>
          <cell r="B3878">
            <v>1298</v>
          </cell>
        </row>
        <row r="3879">
          <cell r="A3879" t="str">
            <v>EDUARD LEONTJEV</v>
          </cell>
          <cell r="B3879">
            <v>3197</v>
          </cell>
        </row>
        <row r="3880">
          <cell r="A3880" t="str">
            <v>IVAR LEONTJEV</v>
          </cell>
          <cell r="B3880">
            <v>7709</v>
          </cell>
        </row>
        <row r="3881">
          <cell r="A3881" t="str">
            <v>OLEG LEONTJEV</v>
          </cell>
          <cell r="B3881">
            <v>464</v>
          </cell>
        </row>
        <row r="3882">
          <cell r="A3882" t="str">
            <v>RAINO LEOPARD</v>
          </cell>
          <cell r="B3882">
            <v>8297</v>
          </cell>
        </row>
        <row r="3883">
          <cell r="A3883" t="str">
            <v>IVAR LEPASAAR</v>
          </cell>
          <cell r="B3883">
            <v>2178</v>
          </cell>
        </row>
        <row r="3884">
          <cell r="A3884" t="str">
            <v>ANDRES LEPIK</v>
          </cell>
          <cell r="B3884">
            <v>10053</v>
          </cell>
        </row>
        <row r="3885">
          <cell r="A3885" t="str">
            <v>ANDRES LEPIK</v>
          </cell>
          <cell r="B3885">
            <v>10585</v>
          </cell>
        </row>
        <row r="3886">
          <cell r="A3886" t="str">
            <v>GERT LEPIK</v>
          </cell>
          <cell r="B3886">
            <v>2775</v>
          </cell>
        </row>
        <row r="3887">
          <cell r="A3887" t="str">
            <v>HANNES LEPIK</v>
          </cell>
          <cell r="B3887">
            <v>9400</v>
          </cell>
        </row>
        <row r="3888">
          <cell r="A3888" t="str">
            <v>KAIDO LEPIK</v>
          </cell>
          <cell r="B3888">
            <v>10649</v>
          </cell>
        </row>
        <row r="3889">
          <cell r="A3889" t="str">
            <v>KRISTJAN LEPIK</v>
          </cell>
          <cell r="B3889">
            <v>1883</v>
          </cell>
        </row>
        <row r="3890">
          <cell r="A3890" t="str">
            <v>VOLTER LEPIK</v>
          </cell>
          <cell r="B3890">
            <v>10287</v>
          </cell>
        </row>
        <row r="3891">
          <cell r="A3891" t="str">
            <v>ELIS LEPIKMÄE</v>
          </cell>
          <cell r="B3891">
            <v>1070</v>
          </cell>
        </row>
        <row r="3892">
          <cell r="A3892" t="str">
            <v>ELMO LEPIKU</v>
          </cell>
          <cell r="B3892">
            <v>3670</v>
          </cell>
        </row>
        <row r="3893">
          <cell r="A3893" t="str">
            <v>IVO LEPIKU</v>
          </cell>
          <cell r="B3893">
            <v>3808</v>
          </cell>
        </row>
        <row r="3894">
          <cell r="A3894" t="str">
            <v>KADRI LEPIKU</v>
          </cell>
          <cell r="B3894">
            <v>2794</v>
          </cell>
        </row>
        <row r="3895">
          <cell r="A3895" t="str">
            <v>RAIKO LEPIKU</v>
          </cell>
          <cell r="B3895">
            <v>5063</v>
          </cell>
        </row>
        <row r="3896">
          <cell r="A3896" t="str">
            <v>MEELIS LEPIKULT</v>
          </cell>
          <cell r="B3896">
            <v>8931</v>
          </cell>
        </row>
        <row r="3897">
          <cell r="A3897" t="str">
            <v>DAGNY LEPISTO</v>
          </cell>
          <cell r="B3897">
            <v>4343</v>
          </cell>
        </row>
        <row r="3898">
          <cell r="A3898" t="str">
            <v>JOONAS LEPISTO</v>
          </cell>
          <cell r="B3898">
            <v>8526</v>
          </cell>
        </row>
        <row r="3899">
          <cell r="A3899" t="str">
            <v>TÕNIS LEPISTO</v>
          </cell>
          <cell r="B3899">
            <v>4342</v>
          </cell>
        </row>
        <row r="3900">
          <cell r="A3900" t="str">
            <v>BRENT LEPISTU</v>
          </cell>
          <cell r="B3900">
            <v>2929</v>
          </cell>
        </row>
        <row r="3901">
          <cell r="A3901" t="str">
            <v>DORIS LEPMETS</v>
          </cell>
          <cell r="B3901">
            <v>5001</v>
          </cell>
        </row>
        <row r="3902">
          <cell r="A3902" t="str">
            <v>OSKAR LEPMETS</v>
          </cell>
          <cell r="B3902">
            <v>6073</v>
          </cell>
        </row>
        <row r="3903">
          <cell r="A3903" t="str">
            <v>INDREK LEPNER</v>
          </cell>
          <cell r="B3903">
            <v>2277</v>
          </cell>
        </row>
        <row r="3904">
          <cell r="A3904" t="str">
            <v>AHTI LEPP</v>
          </cell>
          <cell r="B3904">
            <v>504</v>
          </cell>
        </row>
        <row r="3905">
          <cell r="A3905" t="str">
            <v>ÜLO LEPP</v>
          </cell>
          <cell r="B3905">
            <v>10325</v>
          </cell>
        </row>
        <row r="3906">
          <cell r="A3906" t="str">
            <v>BRENDE LEPP</v>
          </cell>
          <cell r="B3906">
            <v>2693</v>
          </cell>
        </row>
        <row r="3907">
          <cell r="A3907" t="str">
            <v>JAAN LEPP</v>
          </cell>
          <cell r="B3907">
            <v>357</v>
          </cell>
        </row>
        <row r="3908">
          <cell r="A3908" t="str">
            <v>KRISTJAN LEPP</v>
          </cell>
          <cell r="B3908">
            <v>3690</v>
          </cell>
        </row>
        <row r="3909">
          <cell r="A3909" t="str">
            <v>MAIRE LEPP</v>
          </cell>
          <cell r="B3909">
            <v>2128</v>
          </cell>
        </row>
        <row r="3910">
          <cell r="A3910" t="str">
            <v>MARKO LEPP</v>
          </cell>
          <cell r="B3910">
            <v>9396</v>
          </cell>
        </row>
        <row r="3911">
          <cell r="A3911" t="str">
            <v>MATTIAS LEPP</v>
          </cell>
          <cell r="B3911">
            <v>7440</v>
          </cell>
        </row>
        <row r="3912">
          <cell r="A3912" t="str">
            <v>ARABELLA AMELIA LEPPIK</v>
          </cell>
          <cell r="B3912">
            <v>9095</v>
          </cell>
        </row>
        <row r="3913">
          <cell r="A3913" t="str">
            <v>ARTUR LEPPIK</v>
          </cell>
          <cell r="B3913">
            <v>7457</v>
          </cell>
        </row>
        <row r="3914">
          <cell r="A3914" t="str">
            <v>FREDERIK LEPPIK</v>
          </cell>
          <cell r="B3914">
            <v>7070</v>
          </cell>
        </row>
        <row r="3915">
          <cell r="A3915" t="str">
            <v>JANEC LEPPIK</v>
          </cell>
          <cell r="B3915">
            <v>9894</v>
          </cell>
        </row>
        <row r="3916">
          <cell r="A3916" t="str">
            <v>LAURI LEPPIK</v>
          </cell>
          <cell r="B3916">
            <v>5168</v>
          </cell>
        </row>
        <row r="3917">
          <cell r="A3917" t="str">
            <v>MARK LEPPIK</v>
          </cell>
          <cell r="B3917">
            <v>10215</v>
          </cell>
        </row>
        <row r="3918">
          <cell r="A3918" t="str">
            <v>RAINER LEPPIK</v>
          </cell>
          <cell r="B3918">
            <v>2923</v>
          </cell>
        </row>
        <row r="3919">
          <cell r="A3919" t="str">
            <v>RAIT LEPPIK</v>
          </cell>
          <cell r="B3919">
            <v>9308</v>
          </cell>
        </row>
        <row r="3920">
          <cell r="A3920" t="str">
            <v>TAAGO LEPPIK</v>
          </cell>
          <cell r="B3920">
            <v>8505</v>
          </cell>
        </row>
        <row r="3921">
          <cell r="A3921" t="str">
            <v>TAAVET LEPPIK</v>
          </cell>
          <cell r="B3921">
            <v>3688</v>
          </cell>
        </row>
        <row r="3922">
          <cell r="A3922" t="str">
            <v>MADIS LEPPIKO</v>
          </cell>
          <cell r="B3922">
            <v>9740</v>
          </cell>
        </row>
        <row r="3923">
          <cell r="A3923" t="str">
            <v>JANAR LEPPIKSON</v>
          </cell>
          <cell r="B3923">
            <v>6225</v>
          </cell>
        </row>
        <row r="3924">
          <cell r="A3924" t="str">
            <v>IEVA LEPSE</v>
          </cell>
          <cell r="B3924">
            <v>2836</v>
          </cell>
        </row>
        <row r="3925">
          <cell r="A3925" t="str">
            <v>ALESSANDRO LERARIO</v>
          </cell>
          <cell r="B3925">
            <v>8490</v>
          </cell>
        </row>
        <row r="3926">
          <cell r="A3926" t="str">
            <v>JAKOB ROBERT LERCH</v>
          </cell>
          <cell r="B3926">
            <v>10854</v>
          </cell>
        </row>
        <row r="3927">
          <cell r="A3927" t="str">
            <v>SERGEI LESHEV</v>
          </cell>
          <cell r="B3927">
            <v>515</v>
          </cell>
        </row>
        <row r="3928">
          <cell r="A3928" t="str">
            <v>JASSI JOHANNES LESI</v>
          </cell>
          <cell r="B3928">
            <v>7768</v>
          </cell>
        </row>
        <row r="3929">
          <cell r="A3929" t="str">
            <v>RIMAS LESIV</v>
          </cell>
          <cell r="B3929">
            <v>3809</v>
          </cell>
        </row>
        <row r="3930">
          <cell r="A3930" t="str">
            <v>TEET LESK</v>
          </cell>
          <cell r="B3930">
            <v>2411</v>
          </cell>
        </row>
        <row r="3931">
          <cell r="A3931" t="str">
            <v>JOUNI LESKINEN</v>
          </cell>
          <cell r="B3931">
            <v>516</v>
          </cell>
        </row>
        <row r="3932">
          <cell r="A3932" t="str">
            <v>JANIS LESNICENOKS</v>
          </cell>
          <cell r="B3932">
            <v>3698</v>
          </cell>
        </row>
        <row r="3933">
          <cell r="A3933" t="str">
            <v>GUNTIS LEZDINŠ</v>
          </cell>
          <cell r="B3933">
            <v>3636</v>
          </cell>
        </row>
        <row r="3934">
          <cell r="A3934" t="str">
            <v>VLADISLAV LEZNEV</v>
          </cell>
          <cell r="B3934">
            <v>868</v>
          </cell>
        </row>
        <row r="3935">
          <cell r="A3935" t="str">
            <v>DIANA LETJUTSHAJA</v>
          </cell>
          <cell r="B3935">
            <v>3222</v>
          </cell>
        </row>
        <row r="3936">
          <cell r="A3936" t="str">
            <v>DMITRI LETT</v>
          </cell>
          <cell r="B3936">
            <v>155</v>
          </cell>
        </row>
        <row r="3937">
          <cell r="A3937" t="str">
            <v>ALEKSANDRS LEVADIA</v>
          </cell>
          <cell r="B3937">
            <v>7234</v>
          </cell>
        </row>
        <row r="3938">
          <cell r="A3938" t="str">
            <v>IVAN LEVAKOV</v>
          </cell>
          <cell r="B3938">
            <v>5135</v>
          </cell>
        </row>
        <row r="3939">
          <cell r="A3939" t="str">
            <v>AINAR LEVANDI</v>
          </cell>
          <cell r="B3939">
            <v>7818</v>
          </cell>
        </row>
        <row r="3940">
          <cell r="A3940" t="str">
            <v>MAIT LEVANDI</v>
          </cell>
          <cell r="B3940">
            <v>1619</v>
          </cell>
        </row>
        <row r="3941">
          <cell r="A3941" t="str">
            <v>KIRILL LEVIN</v>
          </cell>
          <cell r="B3941">
            <v>2732</v>
          </cell>
        </row>
        <row r="3942">
          <cell r="A3942" t="str">
            <v>ANASTASIA LEVINA</v>
          </cell>
          <cell r="B3942">
            <v>8568</v>
          </cell>
        </row>
        <row r="3943">
          <cell r="A3943" t="str">
            <v>KASPARAS LEVISAUSKAS</v>
          </cell>
          <cell r="B3943">
            <v>6176</v>
          </cell>
        </row>
        <row r="3944">
          <cell r="A3944" t="str">
            <v>INES LEVITSKAJA</v>
          </cell>
          <cell r="B3944">
            <v>7050</v>
          </cell>
        </row>
        <row r="3945">
          <cell r="A3945" t="str">
            <v>KADI LEVO</v>
          </cell>
          <cell r="B3945">
            <v>4344</v>
          </cell>
        </row>
        <row r="3946">
          <cell r="A3946" t="str">
            <v>MARKO LEVTSHENKO</v>
          </cell>
          <cell r="B3946">
            <v>1643</v>
          </cell>
        </row>
        <row r="3947">
          <cell r="A3947" t="str">
            <v>TOMASZ LEWANDOWSKI</v>
          </cell>
          <cell r="B3947">
            <v>10094</v>
          </cell>
        </row>
        <row r="3948">
          <cell r="A3948" t="str">
            <v>SAM LI</v>
          </cell>
          <cell r="B3948">
            <v>8272</v>
          </cell>
        </row>
        <row r="3949">
          <cell r="A3949" t="str">
            <v>INGEBORG LIA</v>
          </cell>
          <cell r="B3949">
            <v>7549</v>
          </cell>
        </row>
        <row r="3950">
          <cell r="A3950" t="str">
            <v>ROOMET LIBE</v>
          </cell>
          <cell r="B3950">
            <v>7303</v>
          </cell>
        </row>
        <row r="3951">
          <cell r="A3951" t="str">
            <v>ELVIS LIBENE</v>
          </cell>
          <cell r="B3951">
            <v>3123</v>
          </cell>
        </row>
        <row r="3952">
          <cell r="A3952" t="str">
            <v>TOOMAS LIBENE</v>
          </cell>
          <cell r="B3952">
            <v>1871</v>
          </cell>
        </row>
        <row r="3953">
          <cell r="A3953" t="str">
            <v>ANDREI LIBER</v>
          </cell>
          <cell r="B3953">
            <v>4345</v>
          </cell>
        </row>
        <row r="3954">
          <cell r="A3954" t="str">
            <v>ÜLO LIBLIK</v>
          </cell>
          <cell r="B3954">
            <v>4346</v>
          </cell>
        </row>
        <row r="3955">
          <cell r="A3955" t="str">
            <v>LIISA LICHT</v>
          </cell>
          <cell r="B3955">
            <v>4019</v>
          </cell>
        </row>
        <row r="3956">
          <cell r="A3956" t="str">
            <v>WALTER LIEBRICH</v>
          </cell>
          <cell r="B3956">
            <v>5896</v>
          </cell>
        </row>
        <row r="3957">
          <cell r="A3957" t="str">
            <v>ALEKSANDER LIEPINŠ</v>
          </cell>
          <cell r="B3957">
            <v>8305</v>
          </cell>
        </row>
        <row r="3958">
          <cell r="A3958" t="str">
            <v>ANASTASSIA LIGAI</v>
          </cell>
          <cell r="B3958">
            <v>9796</v>
          </cell>
        </row>
        <row r="3959">
          <cell r="A3959" t="str">
            <v>OKSANA LIHHATŠEVA</v>
          </cell>
          <cell r="B3959">
            <v>6051</v>
          </cell>
        </row>
        <row r="3960">
          <cell r="A3960" t="str">
            <v>OKSANA LIHHATSEVA</v>
          </cell>
          <cell r="B3960">
            <v>5991</v>
          </cell>
        </row>
        <row r="3961">
          <cell r="A3961" t="str">
            <v>LEONID LIHHATSHOV</v>
          </cell>
          <cell r="B3961">
            <v>1958</v>
          </cell>
        </row>
        <row r="3962">
          <cell r="A3962" t="str">
            <v>ANNIKA LIHTNE</v>
          </cell>
          <cell r="B3962">
            <v>1105</v>
          </cell>
        </row>
        <row r="3963">
          <cell r="A3963" t="str">
            <v>KENETH LIHTNE</v>
          </cell>
          <cell r="B3963">
            <v>3345</v>
          </cell>
        </row>
        <row r="3964">
          <cell r="A3964" t="str">
            <v>ELIISA LIIAS</v>
          </cell>
          <cell r="B3964">
            <v>4347</v>
          </cell>
        </row>
        <row r="3965">
          <cell r="A3965" t="str">
            <v>GENNADI LIIDIG</v>
          </cell>
          <cell r="B3965">
            <v>2137</v>
          </cell>
        </row>
        <row r="3966">
          <cell r="A3966" t="str">
            <v>LIINA LIIDIG</v>
          </cell>
          <cell r="B3966">
            <v>2088</v>
          </cell>
        </row>
        <row r="3967">
          <cell r="A3967" t="str">
            <v>ANDREI LIIK</v>
          </cell>
          <cell r="B3967">
            <v>3431</v>
          </cell>
        </row>
        <row r="3968">
          <cell r="A3968" t="str">
            <v>TÕNIS LIIKMANN</v>
          </cell>
          <cell r="B3968">
            <v>905</v>
          </cell>
        </row>
        <row r="3969">
          <cell r="A3969" t="str">
            <v>AIMAR LIIMA</v>
          </cell>
          <cell r="B3969">
            <v>2340</v>
          </cell>
        </row>
        <row r="3970">
          <cell r="A3970" t="str">
            <v>ALO LIIMA</v>
          </cell>
          <cell r="B3970">
            <v>2343</v>
          </cell>
        </row>
        <row r="3971">
          <cell r="A3971" t="str">
            <v>MAGNUS LIIMA</v>
          </cell>
          <cell r="B3971">
            <v>1174</v>
          </cell>
        </row>
        <row r="3972">
          <cell r="A3972" t="str">
            <v>MARIO LIIMA</v>
          </cell>
          <cell r="B3972">
            <v>2341</v>
          </cell>
        </row>
        <row r="3973">
          <cell r="A3973" t="str">
            <v>MARION LIIMANN</v>
          </cell>
          <cell r="B3973">
            <v>4348</v>
          </cell>
        </row>
        <row r="3974">
          <cell r="A3974" t="str">
            <v>KEVIN LIIMASK</v>
          </cell>
          <cell r="B3974">
            <v>7452</v>
          </cell>
        </row>
        <row r="3975">
          <cell r="A3975" t="str">
            <v>ALAR LIIMER</v>
          </cell>
          <cell r="B3975">
            <v>9502</v>
          </cell>
        </row>
        <row r="3976">
          <cell r="A3976" t="str">
            <v>HELINA LIIMETS</v>
          </cell>
          <cell r="B3976">
            <v>6226</v>
          </cell>
        </row>
        <row r="3977">
          <cell r="A3977" t="str">
            <v>ANDRE LIIN</v>
          </cell>
          <cell r="B3977">
            <v>8710</v>
          </cell>
        </row>
        <row r="3978">
          <cell r="A3978" t="str">
            <v>RAGNAR LIINSOO</v>
          </cell>
          <cell r="B3978">
            <v>5066</v>
          </cell>
        </row>
        <row r="3979">
          <cell r="A3979" t="str">
            <v>ARNO LIISKMANN</v>
          </cell>
          <cell r="B3979">
            <v>4349</v>
          </cell>
        </row>
        <row r="3980">
          <cell r="A3980" t="str">
            <v>ANNIKA LIIV</v>
          </cell>
          <cell r="B3980">
            <v>2496</v>
          </cell>
        </row>
        <row r="3981">
          <cell r="A3981" t="str">
            <v>JANIKA LIIV</v>
          </cell>
          <cell r="B3981">
            <v>7690</v>
          </cell>
        </row>
        <row r="3982">
          <cell r="A3982" t="str">
            <v>KAAREL LIIV</v>
          </cell>
          <cell r="B3982">
            <v>998</v>
          </cell>
        </row>
        <row r="3983">
          <cell r="A3983" t="str">
            <v>MART LIIV</v>
          </cell>
          <cell r="B3983">
            <v>8723</v>
          </cell>
        </row>
        <row r="3984">
          <cell r="A3984" t="str">
            <v>MARTEN LIIV</v>
          </cell>
          <cell r="B3984">
            <v>9647</v>
          </cell>
        </row>
        <row r="3985">
          <cell r="A3985" t="str">
            <v>MARTIN LIIV</v>
          </cell>
          <cell r="B3985">
            <v>1621</v>
          </cell>
        </row>
        <row r="3986">
          <cell r="A3986" t="str">
            <v>RENE LIIV</v>
          </cell>
          <cell r="B3986">
            <v>3940</v>
          </cell>
        </row>
        <row r="3987">
          <cell r="A3987" t="str">
            <v>TIIT LIIV</v>
          </cell>
          <cell r="B3987">
            <v>4101</v>
          </cell>
        </row>
        <row r="3988">
          <cell r="A3988" t="str">
            <v>TOMMY LIIV</v>
          </cell>
          <cell r="B3988">
            <v>4350</v>
          </cell>
        </row>
        <row r="3989">
          <cell r="A3989" t="str">
            <v>ERLIS LIIVA</v>
          </cell>
          <cell r="B3989">
            <v>3041</v>
          </cell>
        </row>
        <row r="3990">
          <cell r="A3990" t="str">
            <v>JAN RICHARD LIIVA</v>
          </cell>
          <cell r="B3990">
            <v>3348</v>
          </cell>
        </row>
        <row r="3991">
          <cell r="A3991" t="str">
            <v>JARMO LIIVA</v>
          </cell>
          <cell r="B3991">
            <v>3973</v>
          </cell>
        </row>
        <row r="3992">
          <cell r="A3992" t="str">
            <v>KAIDAR LIIVA</v>
          </cell>
          <cell r="B3992">
            <v>3047</v>
          </cell>
        </row>
        <row r="3993">
          <cell r="A3993" t="str">
            <v>KERTI LIIVA</v>
          </cell>
          <cell r="B3993">
            <v>887</v>
          </cell>
        </row>
        <row r="3994">
          <cell r="A3994" t="str">
            <v>MARGOT LIIVA</v>
          </cell>
          <cell r="B3994">
            <v>5521</v>
          </cell>
        </row>
        <row r="3995">
          <cell r="A3995" t="str">
            <v>FRED LIIVAK</v>
          </cell>
          <cell r="B3995">
            <v>3040</v>
          </cell>
        </row>
        <row r="3996">
          <cell r="A3996" t="str">
            <v>JESSE LIIVAKANT</v>
          </cell>
          <cell r="B3996">
            <v>10485</v>
          </cell>
        </row>
        <row r="3997">
          <cell r="A3997" t="str">
            <v>KAAREL LIIVAMÄE</v>
          </cell>
          <cell r="B3997">
            <v>10449</v>
          </cell>
        </row>
        <row r="3998">
          <cell r="A3998" t="str">
            <v>TAMURI LIIVAMÄRGI</v>
          </cell>
          <cell r="B3998">
            <v>8731</v>
          </cell>
        </row>
        <row r="3999">
          <cell r="A3999" t="str">
            <v>TERJE LIIVAS</v>
          </cell>
          <cell r="B3999">
            <v>4746</v>
          </cell>
        </row>
        <row r="4000">
          <cell r="A4000" t="str">
            <v>HANNA LIIVAT</v>
          </cell>
          <cell r="B4000">
            <v>7902</v>
          </cell>
        </row>
        <row r="4001">
          <cell r="A4001" t="str">
            <v>JAANA LIIVING</v>
          </cell>
          <cell r="B4001">
            <v>10781</v>
          </cell>
        </row>
        <row r="4002">
          <cell r="A4002" t="str">
            <v>KEVIN LIIVLAID</v>
          </cell>
          <cell r="B4002">
            <v>9189</v>
          </cell>
        </row>
        <row r="4003">
          <cell r="A4003" t="str">
            <v>RAUL LIIVLAID</v>
          </cell>
          <cell r="B4003">
            <v>9209</v>
          </cell>
        </row>
        <row r="4004">
          <cell r="A4004" t="str">
            <v>URMAS LIIVO</v>
          </cell>
          <cell r="B4004">
            <v>9078</v>
          </cell>
        </row>
        <row r="4005">
          <cell r="A4005" t="str">
            <v>HENRI LIIVRAND</v>
          </cell>
          <cell r="B4005">
            <v>6194</v>
          </cell>
        </row>
        <row r="4006">
          <cell r="A4006" t="str">
            <v>KEN LIIVRAND</v>
          </cell>
          <cell r="B4006">
            <v>4351</v>
          </cell>
        </row>
        <row r="4007">
          <cell r="A4007" t="str">
            <v>ENN LILJENTHAL</v>
          </cell>
          <cell r="B4007">
            <v>4747</v>
          </cell>
        </row>
        <row r="4008">
          <cell r="A4008" t="str">
            <v>JAKO LILL</v>
          </cell>
          <cell r="B4008">
            <v>10412</v>
          </cell>
        </row>
        <row r="4009">
          <cell r="A4009" t="str">
            <v>JUSS LILL</v>
          </cell>
          <cell r="B4009">
            <v>7574</v>
          </cell>
        </row>
        <row r="4010">
          <cell r="A4010" t="str">
            <v>LARISSA LILL</v>
          </cell>
          <cell r="B4010">
            <v>10658</v>
          </cell>
        </row>
        <row r="4011">
          <cell r="A4011" t="str">
            <v>MATTIAS LILL</v>
          </cell>
          <cell r="B4011">
            <v>7802</v>
          </cell>
        </row>
        <row r="4012">
          <cell r="A4012" t="str">
            <v>RAIDO LILL</v>
          </cell>
          <cell r="B4012">
            <v>2382</v>
          </cell>
        </row>
        <row r="4013">
          <cell r="A4013" t="str">
            <v>URMAS LILL</v>
          </cell>
          <cell r="B4013">
            <v>3810</v>
          </cell>
        </row>
        <row r="4014">
          <cell r="A4014" t="str">
            <v>ARTUR LILLE</v>
          </cell>
          <cell r="B4014">
            <v>1884</v>
          </cell>
        </row>
        <row r="4015">
          <cell r="A4015" t="str">
            <v>MIHKEL LILLEBERG</v>
          </cell>
          <cell r="B4015">
            <v>9289</v>
          </cell>
        </row>
        <row r="4016">
          <cell r="A4016" t="str">
            <v>JOHANNA-ELISABETH LILLELAID</v>
          </cell>
          <cell r="B4016">
            <v>4089</v>
          </cell>
        </row>
        <row r="4017">
          <cell r="A4017" t="str">
            <v>GERDU LILLEMA</v>
          </cell>
          <cell r="B4017">
            <v>4352</v>
          </cell>
        </row>
        <row r="4018">
          <cell r="A4018" t="str">
            <v>MARY-HELEEN LILLEMÄE</v>
          </cell>
          <cell r="B4018">
            <v>4354</v>
          </cell>
        </row>
        <row r="4019">
          <cell r="A4019" t="str">
            <v>JAAN LILLEMÄGI</v>
          </cell>
          <cell r="B4019">
            <v>2437</v>
          </cell>
        </row>
        <row r="4020">
          <cell r="A4020" t="str">
            <v>MIHKEL LILLEMÄGI</v>
          </cell>
          <cell r="B4020">
            <v>7232</v>
          </cell>
        </row>
        <row r="4021">
          <cell r="A4021" t="str">
            <v>ARGO LILLEMAA</v>
          </cell>
          <cell r="B4021">
            <v>2927</v>
          </cell>
        </row>
        <row r="4022">
          <cell r="A4022" t="str">
            <v>KRISTJAN LILLEMETS</v>
          </cell>
          <cell r="B4022">
            <v>1748</v>
          </cell>
        </row>
        <row r="4023">
          <cell r="A4023" t="str">
            <v>MIHKEL LILLEMETS</v>
          </cell>
          <cell r="B4023">
            <v>4353</v>
          </cell>
        </row>
        <row r="4024">
          <cell r="A4024" t="str">
            <v>REIN LILLEMETS</v>
          </cell>
          <cell r="B4024">
            <v>1573</v>
          </cell>
        </row>
        <row r="4025">
          <cell r="A4025" t="str">
            <v>TAUNO LILLEMETS</v>
          </cell>
          <cell r="B4025">
            <v>2938</v>
          </cell>
        </row>
        <row r="4026">
          <cell r="A4026" t="str">
            <v>ENN LILLENTHAL</v>
          </cell>
          <cell r="B4026">
            <v>5101</v>
          </cell>
        </row>
        <row r="4027">
          <cell r="A4027" t="str">
            <v>SILVER LILLEOJA</v>
          </cell>
          <cell r="B4027">
            <v>8210</v>
          </cell>
        </row>
        <row r="4028">
          <cell r="A4028" t="str">
            <v>ENN LILLEORG</v>
          </cell>
          <cell r="B4028">
            <v>199</v>
          </cell>
        </row>
        <row r="4029">
          <cell r="A4029" t="str">
            <v>TÕNU LILLEORG</v>
          </cell>
          <cell r="B4029">
            <v>4748</v>
          </cell>
        </row>
        <row r="4030">
          <cell r="A4030" t="str">
            <v>JANEK LILLEPÕLD</v>
          </cell>
          <cell r="B4030">
            <v>7481</v>
          </cell>
        </row>
        <row r="4031">
          <cell r="A4031" t="str">
            <v>PAUL LILLEPRUUN</v>
          </cell>
          <cell r="B4031">
            <v>312</v>
          </cell>
        </row>
        <row r="4032">
          <cell r="A4032" t="str">
            <v>HENRY LILLEPUU</v>
          </cell>
          <cell r="B4032">
            <v>9989</v>
          </cell>
        </row>
        <row r="4033">
          <cell r="A4033" t="str">
            <v>MATTI LILLEPUU</v>
          </cell>
          <cell r="B4033">
            <v>6007</v>
          </cell>
        </row>
        <row r="4034">
          <cell r="A4034" t="str">
            <v>ALO LILLES</v>
          </cell>
          <cell r="B4034">
            <v>1099</v>
          </cell>
        </row>
        <row r="4035">
          <cell r="A4035" t="str">
            <v>TORMIS LILLEVÄLI</v>
          </cell>
          <cell r="B4035">
            <v>1961</v>
          </cell>
        </row>
        <row r="4036">
          <cell r="A4036" t="str">
            <v>UKU LILLEVÄLI</v>
          </cell>
          <cell r="B4036">
            <v>1960</v>
          </cell>
        </row>
        <row r="4037">
          <cell r="A4037" t="str">
            <v>TÕNU LILLIENBERG</v>
          </cell>
          <cell r="B4037">
            <v>2684</v>
          </cell>
        </row>
        <row r="4038">
          <cell r="A4038" t="str">
            <v>HENDRIK LILLIPUU</v>
          </cell>
          <cell r="B4038">
            <v>2354</v>
          </cell>
        </row>
        <row r="4039">
          <cell r="A4039" t="str">
            <v>ELIS LILLMETS</v>
          </cell>
          <cell r="B4039">
            <v>6116</v>
          </cell>
        </row>
        <row r="4040">
          <cell r="A4040" t="str">
            <v>ANDREAS LILLVIK</v>
          </cell>
          <cell r="B4040">
            <v>1639</v>
          </cell>
        </row>
        <row r="4041">
          <cell r="A4041" t="str">
            <v>ALOIZS ARIANS LIMANIS</v>
          </cell>
          <cell r="B4041">
            <v>10137</v>
          </cell>
        </row>
        <row r="4042">
          <cell r="A4042" t="str">
            <v>MAREN LIMBAK</v>
          </cell>
          <cell r="B4042">
            <v>9021</v>
          </cell>
        </row>
        <row r="4043">
          <cell r="A4043" t="str">
            <v>TAURAS LINARTAS</v>
          </cell>
          <cell r="B4043">
            <v>8233</v>
          </cell>
        </row>
        <row r="4044">
          <cell r="A4044" t="str">
            <v>HENRI LIND</v>
          </cell>
          <cell r="B4044">
            <v>2383</v>
          </cell>
        </row>
        <row r="4045">
          <cell r="A4045" t="str">
            <v>RAIMOND LIND</v>
          </cell>
          <cell r="B4045">
            <v>7661</v>
          </cell>
        </row>
        <row r="4046">
          <cell r="A4046" t="str">
            <v>JIMMY LINDBORG</v>
          </cell>
          <cell r="B4046">
            <v>9633</v>
          </cell>
        </row>
        <row r="4047">
          <cell r="A4047" t="str">
            <v>JOHANNES LINDER</v>
          </cell>
          <cell r="B4047">
            <v>3692</v>
          </cell>
        </row>
        <row r="4048">
          <cell r="A4048" t="str">
            <v>LONA LISA LINDER</v>
          </cell>
          <cell r="B4048">
            <v>3535</v>
          </cell>
        </row>
        <row r="4049">
          <cell r="A4049" t="str">
            <v>EGLE-MARI LINDERBURG</v>
          </cell>
          <cell r="B4049">
            <v>4090</v>
          </cell>
        </row>
        <row r="4050">
          <cell r="A4050" t="str">
            <v>OSKAR LINDH</v>
          </cell>
          <cell r="B4050">
            <v>9748</v>
          </cell>
        </row>
        <row r="4051">
          <cell r="A4051" t="str">
            <v>PAUL LINDHOLM</v>
          </cell>
          <cell r="B4051">
            <v>8908</v>
          </cell>
        </row>
        <row r="4052">
          <cell r="A4052" t="str">
            <v>ERIK LINDMÄE</v>
          </cell>
          <cell r="B4052">
            <v>1075</v>
          </cell>
        </row>
        <row r="4053">
          <cell r="A4053" t="str">
            <v>MARIS LINDMÄE</v>
          </cell>
          <cell r="B4053">
            <v>4145</v>
          </cell>
        </row>
        <row r="4054">
          <cell r="A4054" t="str">
            <v>REIN LINDMÄE</v>
          </cell>
          <cell r="B4054">
            <v>513</v>
          </cell>
        </row>
        <row r="4055">
          <cell r="A4055" t="str">
            <v>JÜRI LINDMETS</v>
          </cell>
          <cell r="B4055">
            <v>1074</v>
          </cell>
        </row>
        <row r="4056">
          <cell r="A4056" t="str">
            <v>MARJU LINDMETS</v>
          </cell>
          <cell r="B4056">
            <v>1194</v>
          </cell>
        </row>
        <row r="4057">
          <cell r="A4057" t="str">
            <v>MATTS-ERIK LINDQVIST</v>
          </cell>
          <cell r="B4057">
            <v>3026</v>
          </cell>
        </row>
        <row r="4058">
          <cell r="A4058" t="str">
            <v>HANNA LINDRE</v>
          </cell>
          <cell r="B4058">
            <v>3811</v>
          </cell>
        </row>
        <row r="4059">
          <cell r="A4059" t="str">
            <v>DANIEL LINDSÖ</v>
          </cell>
          <cell r="B4059">
            <v>9007</v>
          </cell>
        </row>
        <row r="4060">
          <cell r="A4060" t="str">
            <v>KRISTJAN MARIO LINDSTRÖM</v>
          </cell>
          <cell r="B4060">
            <v>9539</v>
          </cell>
        </row>
        <row r="4061">
          <cell r="A4061" t="str">
            <v>ELIIS-HELENA LINDT</v>
          </cell>
          <cell r="B4061">
            <v>2928</v>
          </cell>
        </row>
        <row r="4062">
          <cell r="A4062" t="str">
            <v>ERGO LINDT</v>
          </cell>
          <cell r="B4062">
            <v>4355</v>
          </cell>
        </row>
        <row r="4063">
          <cell r="A4063" t="str">
            <v>MALLE LINDT</v>
          </cell>
          <cell r="B4063">
            <v>74</v>
          </cell>
        </row>
        <row r="4064">
          <cell r="A4064" t="str">
            <v>RAIN LINDUS</v>
          </cell>
          <cell r="B4064">
            <v>1355</v>
          </cell>
        </row>
        <row r="4065">
          <cell r="A4065" t="str">
            <v>HELEN LINDVERE</v>
          </cell>
          <cell r="B4065">
            <v>4356</v>
          </cell>
        </row>
        <row r="4066">
          <cell r="A4066" t="str">
            <v>KATARIINA LING</v>
          </cell>
          <cell r="B4066">
            <v>6135</v>
          </cell>
        </row>
        <row r="4067">
          <cell r="A4067" t="str">
            <v>KRISTIN LINIKOJA</v>
          </cell>
          <cell r="B4067">
            <v>4357</v>
          </cell>
        </row>
        <row r="4068">
          <cell r="A4068" t="str">
            <v>DIANA LINJOVA</v>
          </cell>
          <cell r="B4068">
            <v>10494</v>
          </cell>
        </row>
        <row r="4069">
          <cell r="A4069" t="str">
            <v>IVAR LINK</v>
          </cell>
          <cell r="B4069">
            <v>201</v>
          </cell>
        </row>
        <row r="4070">
          <cell r="A4070" t="str">
            <v>MARIO LINK</v>
          </cell>
          <cell r="B4070">
            <v>1368</v>
          </cell>
        </row>
        <row r="4071">
          <cell r="A4071" t="str">
            <v>STEN ERIK LINK</v>
          </cell>
          <cell r="B4071">
            <v>3680</v>
          </cell>
        </row>
        <row r="4072">
          <cell r="A4072" t="str">
            <v>TÕNIS LINK</v>
          </cell>
          <cell r="B4072">
            <v>1014</v>
          </cell>
        </row>
        <row r="4073">
          <cell r="A4073" t="str">
            <v>URMAS LINK</v>
          </cell>
          <cell r="B4073">
            <v>200</v>
          </cell>
        </row>
        <row r="4074">
          <cell r="A4074" t="str">
            <v>MAGDALENA LINKE</v>
          </cell>
          <cell r="B4074">
            <v>4358</v>
          </cell>
        </row>
        <row r="4075">
          <cell r="A4075" t="str">
            <v>KERMO LINNA</v>
          </cell>
          <cell r="B4075">
            <v>4104</v>
          </cell>
        </row>
        <row r="4076">
          <cell r="A4076" t="str">
            <v>AEMILIA LINNAMÄE</v>
          </cell>
          <cell r="B4076">
            <v>9904</v>
          </cell>
        </row>
        <row r="4077">
          <cell r="A4077" t="str">
            <v>MARGRET LINNAMÄE</v>
          </cell>
          <cell r="B4077">
            <v>6062</v>
          </cell>
        </row>
        <row r="4078">
          <cell r="A4078" t="str">
            <v>HERMO LINNAS</v>
          </cell>
          <cell r="B4078">
            <v>2819</v>
          </cell>
        </row>
        <row r="4079">
          <cell r="A4079" t="str">
            <v>ROMET LINNAS</v>
          </cell>
          <cell r="B4079">
            <v>4359</v>
          </cell>
        </row>
        <row r="4080">
          <cell r="A4080" t="str">
            <v>AGRIS LINNASTE</v>
          </cell>
          <cell r="B4080">
            <v>9845</v>
          </cell>
        </row>
        <row r="4081">
          <cell r="A4081" t="str">
            <v>ÜLAR LINNASTE</v>
          </cell>
          <cell r="B4081">
            <v>9846</v>
          </cell>
        </row>
        <row r="4082">
          <cell r="A4082" t="str">
            <v>ANDRES LINNIK</v>
          </cell>
          <cell r="B4082">
            <v>2113</v>
          </cell>
        </row>
        <row r="4083">
          <cell r="A4083" t="str">
            <v>HANS JASPER LINNO</v>
          </cell>
          <cell r="B4083">
            <v>8977</v>
          </cell>
        </row>
        <row r="4084">
          <cell r="A4084" t="str">
            <v>VEIKO LINTS</v>
          </cell>
          <cell r="B4084">
            <v>399</v>
          </cell>
        </row>
        <row r="4085">
          <cell r="A4085" t="str">
            <v>MONTA LIPARTE</v>
          </cell>
          <cell r="B4085">
            <v>1709</v>
          </cell>
        </row>
        <row r="4086">
          <cell r="A4086" t="str">
            <v>KEVIN LIPITSKI</v>
          </cell>
          <cell r="B4086">
            <v>2241</v>
          </cell>
        </row>
        <row r="4087">
          <cell r="A4087" t="str">
            <v>PEETER LIPITSKI</v>
          </cell>
          <cell r="B4087">
            <v>2316</v>
          </cell>
        </row>
        <row r="4088">
          <cell r="A4088" t="str">
            <v>ANDO LIPP</v>
          </cell>
          <cell r="B4088">
            <v>8889</v>
          </cell>
        </row>
        <row r="4089">
          <cell r="A4089" t="str">
            <v>KADRI LIPP</v>
          </cell>
          <cell r="B4089">
            <v>4360</v>
          </cell>
        </row>
        <row r="4090">
          <cell r="A4090" t="str">
            <v>VALDO LIPP</v>
          </cell>
          <cell r="B4090">
            <v>2133</v>
          </cell>
        </row>
        <row r="4091">
          <cell r="A4091" t="str">
            <v>MAKSIMS LISOVS</v>
          </cell>
          <cell r="B4091">
            <v>8066</v>
          </cell>
        </row>
        <row r="4092">
          <cell r="A4092" t="str">
            <v>VEIKEN LISSA LOTTA</v>
          </cell>
          <cell r="B4092">
            <v>4805</v>
          </cell>
        </row>
        <row r="4093">
          <cell r="A4093" t="str">
            <v>ANITA LISSOVENKO</v>
          </cell>
          <cell r="B4093">
            <v>2756</v>
          </cell>
        </row>
        <row r="4094">
          <cell r="A4094" t="str">
            <v>TATJANA LISSOVENKO</v>
          </cell>
          <cell r="B4094">
            <v>3145</v>
          </cell>
        </row>
        <row r="4095">
          <cell r="A4095" t="str">
            <v>VESTA LISSOVENKO</v>
          </cell>
          <cell r="B4095">
            <v>2750</v>
          </cell>
        </row>
        <row r="4096">
          <cell r="A4096" t="str">
            <v>JOHANI LISTKI</v>
          </cell>
          <cell r="B4096">
            <v>1722</v>
          </cell>
        </row>
        <row r="4097">
          <cell r="A4097" t="str">
            <v>JELENA LITVINENKO</v>
          </cell>
          <cell r="B4097">
            <v>8640</v>
          </cell>
        </row>
        <row r="4098">
          <cell r="A4098" t="str">
            <v>VASSILI LITVINENKO</v>
          </cell>
          <cell r="B4098">
            <v>405</v>
          </cell>
        </row>
        <row r="4099">
          <cell r="A4099" t="str">
            <v>ANNA LITVINOVA</v>
          </cell>
          <cell r="B4099">
            <v>7464</v>
          </cell>
        </row>
        <row r="4100">
          <cell r="A4100" t="str">
            <v>ARINA LITVINOVA</v>
          </cell>
          <cell r="B4100">
            <v>6043</v>
          </cell>
        </row>
        <row r="4101">
          <cell r="A4101" t="str">
            <v>EDELINA LITVINOVA</v>
          </cell>
          <cell r="B4101">
            <v>5383</v>
          </cell>
        </row>
        <row r="4102">
          <cell r="A4102" t="str">
            <v>JIA LUN LIU</v>
          </cell>
          <cell r="B4102">
            <v>10465</v>
          </cell>
        </row>
        <row r="4103">
          <cell r="A4103" t="str">
            <v>LE LIU</v>
          </cell>
          <cell r="B4103">
            <v>8053</v>
          </cell>
        </row>
        <row r="4104">
          <cell r="A4104" t="str">
            <v>LILLY LIU</v>
          </cell>
          <cell r="B4104">
            <v>10456</v>
          </cell>
        </row>
        <row r="4105">
          <cell r="A4105" t="str">
            <v>YANG LIU</v>
          </cell>
          <cell r="B4105">
            <v>10366</v>
          </cell>
        </row>
        <row r="4106">
          <cell r="A4106" t="str">
            <v>ANASTASSIA LIUKONEN</v>
          </cell>
          <cell r="B4106">
            <v>9570</v>
          </cell>
        </row>
        <row r="4107">
          <cell r="A4107" t="str">
            <v>KOSTAS LIUTKUS</v>
          </cell>
          <cell r="B4107">
            <v>10572</v>
          </cell>
        </row>
        <row r="4108">
          <cell r="A4108" t="str">
            <v>JEVGENI LJAPIN</v>
          </cell>
          <cell r="B4108">
            <v>2769</v>
          </cell>
        </row>
        <row r="4109">
          <cell r="A4109" t="str">
            <v>MARIJA LJAPUNOVA</v>
          </cell>
          <cell r="B4109">
            <v>8785</v>
          </cell>
        </row>
        <row r="4110">
          <cell r="A4110" t="str">
            <v>TATJANA LJUBIMTSEVA</v>
          </cell>
          <cell r="B4110">
            <v>4361</v>
          </cell>
        </row>
        <row r="4111">
          <cell r="A4111" t="str">
            <v>JANA LJUDSKAJA</v>
          </cell>
          <cell r="B4111">
            <v>3303</v>
          </cell>
        </row>
        <row r="4112">
          <cell r="A4112" t="str">
            <v>RICHARD LJUNGGREN</v>
          </cell>
          <cell r="B4112">
            <v>9747</v>
          </cell>
        </row>
        <row r="4113">
          <cell r="A4113" t="str">
            <v>ROBERT LJUTOV</v>
          </cell>
          <cell r="B4113">
            <v>9150</v>
          </cell>
        </row>
        <row r="4114">
          <cell r="A4114" t="str">
            <v xml:space="preserve"> LJVOV</v>
          </cell>
          <cell r="B4114">
            <v>3812</v>
          </cell>
        </row>
        <row r="4115">
          <cell r="A4115" t="str">
            <v>IGOR LOŠKARJOV</v>
          </cell>
          <cell r="B4115">
            <v>8004</v>
          </cell>
        </row>
        <row r="4116">
          <cell r="A4116" t="str">
            <v>IGOR LOBANOV</v>
          </cell>
          <cell r="B4116">
            <v>10683</v>
          </cell>
        </row>
        <row r="4117">
          <cell r="A4117" t="str">
            <v>NIKITA LOBANOV</v>
          </cell>
          <cell r="B4117">
            <v>3589</v>
          </cell>
        </row>
        <row r="4118">
          <cell r="A4118" t="str">
            <v>MAREK LOBJAKAS</v>
          </cell>
          <cell r="B4118">
            <v>7491</v>
          </cell>
        </row>
        <row r="4119">
          <cell r="A4119" t="str">
            <v>NORMANN LOBJAKAS</v>
          </cell>
          <cell r="B4119">
            <v>9186</v>
          </cell>
        </row>
        <row r="4120">
          <cell r="A4120" t="str">
            <v>VLADIMIR LOBOK</v>
          </cell>
          <cell r="B4120">
            <v>3813</v>
          </cell>
        </row>
        <row r="4121">
          <cell r="A4121" t="str">
            <v>GEORGI LOBONOSOVS</v>
          </cell>
          <cell r="B4121">
            <v>3531</v>
          </cell>
        </row>
        <row r="4122">
          <cell r="A4122" t="str">
            <v>MARIA LOBUNITŠEVA</v>
          </cell>
          <cell r="B4122">
            <v>8380</v>
          </cell>
        </row>
        <row r="4123">
          <cell r="A4123" t="str">
            <v>TARMO ERIK LODI</v>
          </cell>
          <cell r="B4123">
            <v>6204</v>
          </cell>
        </row>
        <row r="4124">
          <cell r="A4124" t="str">
            <v>ANDRES LOFITSKI</v>
          </cell>
          <cell r="B4124">
            <v>2669</v>
          </cell>
        </row>
        <row r="4125">
          <cell r="A4125" t="str">
            <v>ALEKSANDR LOGINOV</v>
          </cell>
          <cell r="B4125">
            <v>2787</v>
          </cell>
        </row>
        <row r="4126">
          <cell r="A4126" t="str">
            <v>ARTEMI LOGINOV</v>
          </cell>
          <cell r="B4126">
            <v>10240</v>
          </cell>
        </row>
        <row r="4127">
          <cell r="A4127" t="str">
            <v>IAN LOGINOV</v>
          </cell>
          <cell r="B4127">
            <v>8227</v>
          </cell>
        </row>
        <row r="4128">
          <cell r="A4128" t="str">
            <v>OKSANA LOGINOVA</v>
          </cell>
          <cell r="B4128">
            <v>3117</v>
          </cell>
        </row>
        <row r="4129">
          <cell r="A4129" t="str">
            <v>KAROLINE LOHE</v>
          </cell>
          <cell r="B4129">
            <v>5391</v>
          </cell>
        </row>
        <row r="4130">
          <cell r="A4130" t="str">
            <v>VIKTORIA LOHK</v>
          </cell>
          <cell r="B4130">
            <v>5664</v>
          </cell>
        </row>
        <row r="4131">
          <cell r="A4131" t="str">
            <v>KÄTLIN LOHU</v>
          </cell>
          <cell r="B4131">
            <v>1434</v>
          </cell>
        </row>
        <row r="4132">
          <cell r="A4132" t="str">
            <v>MATI LOHU</v>
          </cell>
          <cell r="B4132">
            <v>7394</v>
          </cell>
        </row>
        <row r="4133">
          <cell r="A4133" t="str">
            <v>ARDI LOHVART</v>
          </cell>
          <cell r="B4133">
            <v>352</v>
          </cell>
        </row>
        <row r="4134">
          <cell r="A4134" t="str">
            <v>ARTSIOM LOHVINAU</v>
          </cell>
          <cell r="B4134">
            <v>7740</v>
          </cell>
        </row>
        <row r="4135">
          <cell r="A4135" t="str">
            <v>ALLAN LOID</v>
          </cell>
          <cell r="B4135">
            <v>5603</v>
          </cell>
        </row>
        <row r="4136">
          <cell r="A4136" t="str">
            <v>VALLI LOIDE</v>
          </cell>
          <cell r="B4136">
            <v>1905</v>
          </cell>
        </row>
        <row r="4137">
          <cell r="A4137" t="str">
            <v>ILLIMAR LOIGO</v>
          </cell>
          <cell r="B4137">
            <v>4677</v>
          </cell>
        </row>
        <row r="4138">
          <cell r="A4138" t="str">
            <v>SANDER LOIGO</v>
          </cell>
          <cell r="B4138">
            <v>4678</v>
          </cell>
        </row>
        <row r="4139">
          <cell r="A4139" t="str">
            <v>ALLAN LOKK</v>
          </cell>
          <cell r="B4139">
            <v>7569</v>
          </cell>
        </row>
        <row r="4140">
          <cell r="A4140" t="str">
            <v>LEEMET LOKK</v>
          </cell>
          <cell r="B4140">
            <v>9929</v>
          </cell>
        </row>
        <row r="4141">
          <cell r="A4141" t="str">
            <v>OLIVER LOKK</v>
          </cell>
          <cell r="B4141">
            <v>10712</v>
          </cell>
        </row>
        <row r="4142">
          <cell r="A4142" t="str">
            <v>MIKS LOKMANIS</v>
          </cell>
          <cell r="B4142">
            <v>3697</v>
          </cell>
        </row>
        <row r="4143">
          <cell r="A4143" t="str">
            <v>JAANUS LOKOTAR</v>
          </cell>
          <cell r="B4143">
            <v>4679</v>
          </cell>
        </row>
        <row r="4144">
          <cell r="A4144" t="str">
            <v>NIKOLAI LOMAKIN</v>
          </cell>
          <cell r="B4144">
            <v>8864</v>
          </cell>
        </row>
        <row r="4145">
          <cell r="A4145" t="str">
            <v>TIHON LOMAKIN</v>
          </cell>
          <cell r="B4145">
            <v>8845</v>
          </cell>
        </row>
        <row r="4146">
          <cell r="A4146" t="str">
            <v>SOFJA LOMANEN</v>
          </cell>
          <cell r="B4146">
            <v>10453</v>
          </cell>
        </row>
        <row r="4147">
          <cell r="A4147" t="str">
            <v>MARKO LOMKS</v>
          </cell>
          <cell r="B4147">
            <v>9849</v>
          </cell>
        </row>
        <row r="4148">
          <cell r="A4148" t="str">
            <v>ELIKA LONGMORE</v>
          </cell>
          <cell r="B4148">
            <v>8536</v>
          </cell>
        </row>
        <row r="4149">
          <cell r="A4149" t="str">
            <v>DMITRI LONKIN</v>
          </cell>
          <cell r="B4149">
            <v>8664</v>
          </cell>
        </row>
        <row r="4150">
          <cell r="A4150" t="str">
            <v>DARJA LONKINA</v>
          </cell>
          <cell r="B4150">
            <v>8877</v>
          </cell>
        </row>
        <row r="4151">
          <cell r="A4151" t="str">
            <v>GERLI LONSKAJA</v>
          </cell>
          <cell r="B4151">
            <v>75</v>
          </cell>
        </row>
        <row r="4152">
          <cell r="A4152" t="str">
            <v>ULJANA LONSKAJA</v>
          </cell>
          <cell r="B4152">
            <v>7780</v>
          </cell>
        </row>
        <row r="4153">
          <cell r="A4153" t="str">
            <v>VALERIE LONSKI</v>
          </cell>
          <cell r="B4153">
            <v>8857</v>
          </cell>
        </row>
        <row r="4154">
          <cell r="A4154" t="str">
            <v>MAARJA-LIIS LOO</v>
          </cell>
          <cell r="B4154">
            <v>2486</v>
          </cell>
        </row>
        <row r="4155">
          <cell r="A4155" t="str">
            <v>VICTORIA LOODSALU</v>
          </cell>
          <cell r="B4155">
            <v>5436</v>
          </cell>
        </row>
        <row r="4156">
          <cell r="A4156" t="str">
            <v>HENRI LOOG</v>
          </cell>
          <cell r="B4156">
            <v>10329</v>
          </cell>
        </row>
        <row r="4157">
          <cell r="A4157" t="str">
            <v>KASPER LOOGA</v>
          </cell>
          <cell r="B4157">
            <v>9385</v>
          </cell>
        </row>
        <row r="4158">
          <cell r="A4158" t="str">
            <v>EGON LOOMETS</v>
          </cell>
          <cell r="B4158">
            <v>8079</v>
          </cell>
        </row>
        <row r="4159">
          <cell r="A4159" t="str">
            <v>EVA MIA LOOMETS</v>
          </cell>
          <cell r="B4159">
            <v>10878</v>
          </cell>
        </row>
        <row r="4160">
          <cell r="A4160" t="str">
            <v>KRISTJAN LOOMETS</v>
          </cell>
          <cell r="B4160">
            <v>2104</v>
          </cell>
        </row>
        <row r="4161">
          <cell r="A4161" t="str">
            <v>MARK LOOMETS</v>
          </cell>
          <cell r="B4161">
            <v>10192</v>
          </cell>
        </row>
        <row r="4162">
          <cell r="A4162" t="str">
            <v>OLIVER LOOMETS</v>
          </cell>
          <cell r="B4162">
            <v>7458</v>
          </cell>
        </row>
        <row r="4163">
          <cell r="A4163" t="str">
            <v>RAUL LOOMETS</v>
          </cell>
          <cell r="B4163">
            <v>7955</v>
          </cell>
        </row>
        <row r="4164">
          <cell r="A4164" t="str">
            <v>SIMON LOOMETS</v>
          </cell>
          <cell r="B4164">
            <v>4871</v>
          </cell>
        </row>
        <row r="4165">
          <cell r="A4165" t="str">
            <v>AUGUST LOOPMAN</v>
          </cell>
          <cell r="B4165">
            <v>459</v>
          </cell>
        </row>
        <row r="4166">
          <cell r="A4166" t="str">
            <v>KALMUS LOORE LISETT</v>
          </cell>
          <cell r="B4166">
            <v>8998</v>
          </cell>
        </row>
        <row r="4167">
          <cell r="A4167" t="str">
            <v>ROMET LOORENS</v>
          </cell>
          <cell r="B4167">
            <v>8999</v>
          </cell>
        </row>
        <row r="4168">
          <cell r="A4168" t="str">
            <v>JANAR LOORENTS</v>
          </cell>
          <cell r="B4168">
            <v>8205</v>
          </cell>
        </row>
        <row r="4169">
          <cell r="A4169" t="str">
            <v>SILVER LOORENTS</v>
          </cell>
          <cell r="B4169">
            <v>8203</v>
          </cell>
        </row>
        <row r="4170">
          <cell r="A4170" t="str">
            <v>INGMAR LOOS</v>
          </cell>
          <cell r="B4170">
            <v>4362</v>
          </cell>
        </row>
        <row r="4171">
          <cell r="A4171" t="str">
            <v>LAURA LOOSAAR</v>
          </cell>
          <cell r="B4171">
            <v>7891</v>
          </cell>
        </row>
        <row r="4172">
          <cell r="A4172" t="str">
            <v>ERIK LOOTUS</v>
          </cell>
          <cell r="B4172">
            <v>8216</v>
          </cell>
        </row>
        <row r="4173">
          <cell r="A4173" t="str">
            <v>SOFIIA LOPATINA</v>
          </cell>
          <cell r="B4173">
            <v>8224</v>
          </cell>
        </row>
        <row r="4174">
          <cell r="A4174" t="str">
            <v>MADIS LORENTS</v>
          </cell>
          <cell r="B4174">
            <v>1636</v>
          </cell>
        </row>
        <row r="4175">
          <cell r="A4175" t="str">
            <v>IRINA LORTSENKO</v>
          </cell>
          <cell r="B4175">
            <v>2633</v>
          </cell>
        </row>
        <row r="4176">
          <cell r="A4176" t="str">
            <v>LANA LOS</v>
          </cell>
          <cell r="B4176">
            <v>7371</v>
          </cell>
        </row>
        <row r="4177">
          <cell r="A4177" t="str">
            <v>JEVGENI LOSEV</v>
          </cell>
          <cell r="B4177">
            <v>446</v>
          </cell>
        </row>
        <row r="4178">
          <cell r="A4178" t="str">
            <v>JURI LOSEV</v>
          </cell>
          <cell r="B4178">
            <v>869</v>
          </cell>
        </row>
        <row r="4179">
          <cell r="A4179" t="str">
            <v>LEONID LOSEV</v>
          </cell>
          <cell r="B4179">
            <v>9063</v>
          </cell>
        </row>
        <row r="4180">
          <cell r="A4180" t="str">
            <v>ALEKSANDRA LOSEVA</v>
          </cell>
          <cell r="B4180">
            <v>77</v>
          </cell>
        </row>
        <row r="4181">
          <cell r="A4181" t="str">
            <v>OTT LOSSMANN</v>
          </cell>
          <cell r="B4181">
            <v>1809</v>
          </cell>
        </row>
        <row r="4182">
          <cell r="A4182" t="str">
            <v>JANA LOZA</v>
          </cell>
          <cell r="B4182">
            <v>78</v>
          </cell>
        </row>
        <row r="4183">
          <cell r="A4183" t="str">
            <v>LAURILY LOTAMÕIS</v>
          </cell>
          <cell r="B4183">
            <v>3074</v>
          </cell>
        </row>
        <row r="4184">
          <cell r="A4184" t="str">
            <v>TOOMAS LOTT</v>
          </cell>
          <cell r="B4184">
            <v>7724</v>
          </cell>
        </row>
        <row r="4185">
          <cell r="A4185" t="str">
            <v>LAURA-LY LOTTAMÕIS</v>
          </cell>
          <cell r="B4185">
            <v>2971</v>
          </cell>
        </row>
        <row r="4186">
          <cell r="A4186" t="str">
            <v>ALEKSANDRA LOTTO</v>
          </cell>
          <cell r="B4186">
            <v>5002</v>
          </cell>
        </row>
        <row r="4187">
          <cell r="A4187" t="str">
            <v>MAX LOTTO</v>
          </cell>
          <cell r="B4187">
            <v>5003</v>
          </cell>
        </row>
        <row r="4188">
          <cell r="A4188" t="str">
            <v>ALEKSANDR LUŠIN</v>
          </cell>
          <cell r="B4188">
            <v>2724</v>
          </cell>
        </row>
        <row r="4189">
          <cell r="A4189" t="str">
            <v>KONSTANTIN LUŠNIKOV</v>
          </cell>
          <cell r="B4189">
            <v>10205</v>
          </cell>
        </row>
        <row r="4190">
          <cell r="A4190" t="str">
            <v>ANASTASSIA LUŠNIKOVA</v>
          </cell>
          <cell r="B4190">
            <v>3815</v>
          </cell>
        </row>
        <row r="4191">
          <cell r="A4191" t="str">
            <v>SIRJE LUBI</v>
          </cell>
          <cell r="B4191">
            <v>3943</v>
          </cell>
        </row>
        <row r="4192">
          <cell r="A4192" t="str">
            <v>REIMO LUHASTE</v>
          </cell>
          <cell r="B4192">
            <v>5677</v>
          </cell>
        </row>
        <row r="4193">
          <cell r="A4193" t="str">
            <v>KAIRI LUHAVÄLI</v>
          </cell>
          <cell r="B4193">
            <v>4364</v>
          </cell>
        </row>
        <row r="4194">
          <cell r="A4194" t="str">
            <v>KARINA LUHAVÄLI</v>
          </cell>
          <cell r="B4194">
            <v>4363</v>
          </cell>
        </row>
        <row r="4195">
          <cell r="A4195" t="str">
            <v>ROLAND LUHAVÄLI</v>
          </cell>
          <cell r="B4195">
            <v>5897</v>
          </cell>
        </row>
        <row r="4196">
          <cell r="A4196" t="str">
            <v>KRIS-KASPAR LUHT</v>
          </cell>
          <cell r="B4196">
            <v>9498</v>
          </cell>
        </row>
        <row r="4197">
          <cell r="A4197" t="str">
            <v>RENE LUHT</v>
          </cell>
          <cell r="B4197">
            <v>8603</v>
          </cell>
        </row>
        <row r="4198">
          <cell r="A4198" t="str">
            <v>STEN LUHTOJA</v>
          </cell>
          <cell r="B4198">
            <v>5102</v>
          </cell>
        </row>
        <row r="4199">
          <cell r="A4199" t="str">
            <v>RENEETA LUIGA</v>
          </cell>
          <cell r="B4199">
            <v>5255</v>
          </cell>
        </row>
        <row r="4200">
          <cell r="A4200" t="str">
            <v>ARVO LUIGE</v>
          </cell>
          <cell r="B4200">
            <v>203</v>
          </cell>
        </row>
        <row r="4201">
          <cell r="A4201" t="str">
            <v>ILMAR LUIGE</v>
          </cell>
          <cell r="B4201">
            <v>1692</v>
          </cell>
        </row>
        <row r="4202">
          <cell r="A4202" t="str">
            <v>RENEE LUIGE</v>
          </cell>
          <cell r="B4202">
            <v>206</v>
          </cell>
        </row>
        <row r="4203">
          <cell r="A4203" t="str">
            <v>TRISTAN LUIGE</v>
          </cell>
          <cell r="B4203">
            <v>3964</v>
          </cell>
        </row>
        <row r="4204">
          <cell r="A4204" t="str">
            <v>ANETT LUIGEMAA</v>
          </cell>
          <cell r="B4204">
            <v>3965</v>
          </cell>
        </row>
        <row r="4205">
          <cell r="A4205" t="str">
            <v>ANTTI LUIGEMAA</v>
          </cell>
          <cell r="B4205">
            <v>204</v>
          </cell>
        </row>
        <row r="4206">
          <cell r="A4206" t="str">
            <v>HANNA BRITTA LUIK</v>
          </cell>
          <cell r="B4206">
            <v>7778</v>
          </cell>
        </row>
        <row r="4207">
          <cell r="A4207" t="str">
            <v>JAN ERIK LUIK</v>
          </cell>
          <cell r="B4207">
            <v>7790</v>
          </cell>
        </row>
        <row r="4208">
          <cell r="A4208" t="str">
            <v>KAIDO LUIK</v>
          </cell>
          <cell r="B4208">
            <v>5914</v>
          </cell>
        </row>
        <row r="4209">
          <cell r="A4209" t="str">
            <v>LAURI LUIK</v>
          </cell>
          <cell r="B4209">
            <v>2824</v>
          </cell>
        </row>
        <row r="4210">
          <cell r="A4210" t="str">
            <v>LISETTE LUIK</v>
          </cell>
          <cell r="B4210">
            <v>7088</v>
          </cell>
        </row>
        <row r="4211">
          <cell r="A4211" t="str">
            <v>OLIVER LUIK</v>
          </cell>
          <cell r="B4211">
            <v>9765</v>
          </cell>
        </row>
        <row r="4212">
          <cell r="A4212" t="str">
            <v>PEETER LUIK</v>
          </cell>
          <cell r="B4212">
            <v>320</v>
          </cell>
        </row>
        <row r="4213">
          <cell r="A4213" t="str">
            <v>SIIM LUIK</v>
          </cell>
          <cell r="B4213">
            <v>2099</v>
          </cell>
        </row>
        <row r="4214">
          <cell r="A4214" t="str">
            <v>ELEEN LUISK</v>
          </cell>
          <cell r="B4214">
            <v>79</v>
          </cell>
        </row>
        <row r="4215">
          <cell r="A4215" t="str">
            <v>TAAVI LUISK</v>
          </cell>
          <cell r="B4215">
            <v>10609</v>
          </cell>
        </row>
        <row r="4216">
          <cell r="A4216" t="str">
            <v>ŠIMONAS LUKŠA</v>
          </cell>
          <cell r="B4216">
            <v>8013</v>
          </cell>
        </row>
        <row r="4217">
          <cell r="A4217" t="str">
            <v>ZAHHAR LUKAŠEVITŠ</v>
          </cell>
          <cell r="B4217">
            <v>9486</v>
          </cell>
        </row>
        <row r="4218">
          <cell r="A4218" t="str">
            <v>ALVYDAS LUKAITIS</v>
          </cell>
          <cell r="B4218">
            <v>3521</v>
          </cell>
        </row>
        <row r="4219">
          <cell r="A4219" t="str">
            <v>NEVERLY LUKAS</v>
          </cell>
          <cell r="B4219">
            <v>8887</v>
          </cell>
        </row>
        <row r="4220">
          <cell r="A4220" t="str">
            <v>MARIKA LUKASHEJEVA</v>
          </cell>
          <cell r="B4220">
            <v>1559</v>
          </cell>
        </row>
        <row r="4221">
          <cell r="A4221" t="str">
            <v>ANNA-MARIA LUKETSA</v>
          </cell>
          <cell r="B4221">
            <v>4365</v>
          </cell>
        </row>
        <row r="4222">
          <cell r="A4222" t="str">
            <v>VALLI LUKIN</v>
          </cell>
          <cell r="B4222">
            <v>7187</v>
          </cell>
        </row>
        <row r="4223">
          <cell r="A4223" t="str">
            <v>JULIANA LUKINA</v>
          </cell>
          <cell r="B4223">
            <v>9045</v>
          </cell>
        </row>
        <row r="4224">
          <cell r="A4224" t="str">
            <v>JEVGENI LUKJANENKO</v>
          </cell>
          <cell r="B4224">
            <v>1299</v>
          </cell>
        </row>
        <row r="4225">
          <cell r="A4225" t="str">
            <v>ANU LUKK</v>
          </cell>
          <cell r="B4225">
            <v>2177</v>
          </cell>
        </row>
        <row r="4226">
          <cell r="A4226" t="str">
            <v>DELIA LUKK</v>
          </cell>
          <cell r="B4226">
            <v>3814</v>
          </cell>
        </row>
        <row r="4227">
          <cell r="A4227" t="str">
            <v>KARL-KERT LUKNER</v>
          </cell>
          <cell r="B4227">
            <v>5004</v>
          </cell>
        </row>
        <row r="4228">
          <cell r="A4228" t="str">
            <v>LUKRECIJA LUKOŠIŪNAITĖ</v>
          </cell>
          <cell r="B4228">
            <v>9355</v>
          </cell>
        </row>
        <row r="4229">
          <cell r="A4229" t="str">
            <v>ARTURS LUKS</v>
          </cell>
          <cell r="B4229">
            <v>10047</v>
          </cell>
        </row>
        <row r="4230">
          <cell r="A4230" t="str">
            <v>SIMON LUKSA</v>
          </cell>
          <cell r="B4230">
            <v>7555</v>
          </cell>
        </row>
        <row r="4231">
          <cell r="A4231" t="str">
            <v>SHIMONAS LUKSHA</v>
          </cell>
          <cell r="B4231">
            <v>9418</v>
          </cell>
        </row>
        <row r="4232">
          <cell r="A4232" t="str">
            <v>KULDAR LULLA</v>
          </cell>
          <cell r="B4232">
            <v>2891</v>
          </cell>
        </row>
        <row r="4233">
          <cell r="A4233" t="str">
            <v>ANDRE LUMISTE</v>
          </cell>
          <cell r="B4233">
            <v>5974</v>
          </cell>
        </row>
        <row r="4234">
          <cell r="A4234" t="str">
            <v>MIRKKO LUMISTE</v>
          </cell>
          <cell r="B4234">
            <v>8089</v>
          </cell>
        </row>
        <row r="4235">
          <cell r="A4235" t="str">
            <v>OLIVER LUMISTE</v>
          </cell>
          <cell r="B4235">
            <v>7588</v>
          </cell>
        </row>
        <row r="4236">
          <cell r="A4236" t="str">
            <v>STEN LUMISTE</v>
          </cell>
          <cell r="B4236">
            <v>5973</v>
          </cell>
        </row>
        <row r="4237">
          <cell r="A4237" t="str">
            <v>JEPPE LUNDE</v>
          </cell>
          <cell r="B4237">
            <v>8141</v>
          </cell>
        </row>
        <row r="4238">
          <cell r="A4238" t="str">
            <v>MATHIAS LUNDQUIST</v>
          </cell>
          <cell r="B4238">
            <v>1637</v>
          </cell>
        </row>
        <row r="4239">
          <cell r="A4239" t="str">
            <v>ELIOT LUNDQVIST</v>
          </cell>
          <cell r="B4239">
            <v>9009</v>
          </cell>
        </row>
        <row r="4240">
          <cell r="A4240" t="str">
            <v>SIMON LUNDQVIST</v>
          </cell>
          <cell r="B4240">
            <v>8991</v>
          </cell>
        </row>
        <row r="4241">
          <cell r="A4241" t="str">
            <v>ANNIKA LUNDSTRÖM</v>
          </cell>
          <cell r="B4241">
            <v>7536</v>
          </cell>
        </row>
        <row r="4242">
          <cell r="A4242" t="str">
            <v>JOHAN LUNDSTRÖM</v>
          </cell>
          <cell r="B4242">
            <v>3297</v>
          </cell>
        </row>
        <row r="4243">
          <cell r="A4243" t="str">
            <v>THOMAS LUNDSTRÖM</v>
          </cell>
          <cell r="B4243">
            <v>2841</v>
          </cell>
        </row>
        <row r="4244">
          <cell r="A4244" t="str">
            <v>TOM LUNDSTRÖM</v>
          </cell>
          <cell r="B4244">
            <v>9877</v>
          </cell>
        </row>
        <row r="4245">
          <cell r="A4245" t="str">
            <v>MARKUS LUNDVER</v>
          </cell>
          <cell r="B4245">
            <v>6891</v>
          </cell>
        </row>
        <row r="4246">
          <cell r="A4246" t="str">
            <v>SVETLANA LUNOVA</v>
          </cell>
          <cell r="B4246">
            <v>8439</v>
          </cell>
        </row>
        <row r="4247">
          <cell r="A4247" t="str">
            <v>YUMO LUO</v>
          </cell>
          <cell r="B4247">
            <v>5536</v>
          </cell>
        </row>
        <row r="4248">
          <cell r="A4248" t="str">
            <v>JENNY LUOMA</v>
          </cell>
          <cell r="B4248">
            <v>1606</v>
          </cell>
        </row>
        <row r="4249">
          <cell r="A4249" t="str">
            <v>HARRY LUSBO</v>
          </cell>
          <cell r="B4249">
            <v>8251</v>
          </cell>
        </row>
        <row r="4250">
          <cell r="A4250" t="str">
            <v>MARCO LUSIK</v>
          </cell>
          <cell r="B4250">
            <v>8708</v>
          </cell>
        </row>
        <row r="4251">
          <cell r="A4251" t="str">
            <v>OTT-JOOSEP LUSIK</v>
          </cell>
          <cell r="B4251">
            <v>8713</v>
          </cell>
        </row>
        <row r="4252">
          <cell r="A4252" t="str">
            <v>ANDRES LUSMÄGI</v>
          </cell>
          <cell r="B4252">
            <v>7389</v>
          </cell>
        </row>
        <row r="4253">
          <cell r="A4253" t="str">
            <v>KAAREL LUSMÄGI</v>
          </cell>
          <cell r="B4253">
            <v>4976</v>
          </cell>
        </row>
        <row r="4254">
          <cell r="A4254" t="str">
            <v>POLINA LUTŠINSKAJA</v>
          </cell>
          <cell r="B4254">
            <v>10006</v>
          </cell>
        </row>
        <row r="4255">
          <cell r="A4255" t="str">
            <v>NIKITA LUTŠINSKI</v>
          </cell>
          <cell r="B4255">
            <v>8374</v>
          </cell>
        </row>
        <row r="4256">
          <cell r="A4256" t="str">
            <v>EMILS LUTINSKIS</v>
          </cell>
          <cell r="B4256">
            <v>2608</v>
          </cell>
        </row>
        <row r="4257">
          <cell r="A4257" t="str">
            <v>LAURI LUTS</v>
          </cell>
          <cell r="B4257">
            <v>2933</v>
          </cell>
        </row>
        <row r="4258">
          <cell r="A4258" t="str">
            <v>LAURI LUTSAR</v>
          </cell>
          <cell r="B4258">
            <v>4366</v>
          </cell>
        </row>
        <row r="4259">
          <cell r="A4259" t="str">
            <v>URMAS LUTSAR</v>
          </cell>
          <cell r="B4259">
            <v>2439</v>
          </cell>
        </row>
        <row r="4260">
          <cell r="A4260" t="str">
            <v>MILITINJA LUTT</v>
          </cell>
          <cell r="B4260">
            <v>5382</v>
          </cell>
        </row>
        <row r="4261">
          <cell r="A4261" t="str">
            <v>ROMET LUUG</v>
          </cell>
          <cell r="B4261">
            <v>10686</v>
          </cell>
        </row>
        <row r="4262">
          <cell r="A4262" t="str">
            <v>AADU LUUK</v>
          </cell>
          <cell r="B4262">
            <v>8424</v>
          </cell>
        </row>
        <row r="4263">
          <cell r="A4263" t="str">
            <v>MART LUUK</v>
          </cell>
          <cell r="B4263">
            <v>3816</v>
          </cell>
        </row>
        <row r="4264">
          <cell r="A4264" t="str">
            <v>KATRIN LUUKEN</v>
          </cell>
          <cell r="B4264">
            <v>1328</v>
          </cell>
        </row>
        <row r="4265">
          <cell r="A4265" t="str">
            <v>MADIS LUUKEN</v>
          </cell>
          <cell r="B4265">
            <v>10424</v>
          </cell>
        </row>
        <row r="4266">
          <cell r="A4266" t="str">
            <v>ARTO LUUKKAINEN</v>
          </cell>
          <cell r="B4266">
            <v>861</v>
          </cell>
        </row>
        <row r="4267">
          <cell r="A4267" t="str">
            <v>REIN LUUP</v>
          </cell>
          <cell r="B4267">
            <v>318</v>
          </cell>
        </row>
        <row r="4268">
          <cell r="A4268" t="str">
            <v>VILLU LUUP</v>
          </cell>
          <cell r="B4268">
            <v>9139</v>
          </cell>
        </row>
        <row r="4269">
          <cell r="A4269" t="str">
            <v>RISTO LUURI</v>
          </cell>
          <cell r="B4269">
            <v>7231</v>
          </cell>
        </row>
        <row r="4270">
          <cell r="A4270" t="str">
            <v>KADRI LUURMEES</v>
          </cell>
          <cell r="B4270">
            <v>5372</v>
          </cell>
        </row>
        <row r="4271">
          <cell r="A4271" t="str">
            <v>ARVO LUUS</v>
          </cell>
          <cell r="B4271">
            <v>4680</v>
          </cell>
        </row>
        <row r="4272">
          <cell r="A4272" t="str">
            <v>RIHO LUUSE</v>
          </cell>
          <cell r="B4272">
            <v>10705</v>
          </cell>
        </row>
        <row r="4273">
          <cell r="A4273" t="str">
            <v>TEET LUUSE</v>
          </cell>
          <cell r="B4273">
            <v>10434</v>
          </cell>
        </row>
        <row r="4274">
          <cell r="A4274" t="str">
            <v>DMITRI LVOV</v>
          </cell>
          <cell r="B4274">
            <v>2941</v>
          </cell>
        </row>
        <row r="4275">
          <cell r="A4275" t="str">
            <v>JUSS KASPAR LVOVS</v>
          </cell>
          <cell r="B4275">
            <v>8930</v>
          </cell>
        </row>
        <row r="4276">
          <cell r="A4276" t="str">
            <v>MARK MÖÖL</v>
          </cell>
          <cell r="B4276">
            <v>7486</v>
          </cell>
        </row>
        <row r="4277">
          <cell r="A4277" t="str">
            <v>FABIAN MÖLDER</v>
          </cell>
          <cell r="B4277">
            <v>10555</v>
          </cell>
        </row>
        <row r="4278">
          <cell r="A4278" t="str">
            <v>HELELIN MÖLDER</v>
          </cell>
          <cell r="B4278">
            <v>5214</v>
          </cell>
        </row>
        <row r="4279">
          <cell r="A4279" t="str">
            <v>HUGO MATTIAS MÖLDER</v>
          </cell>
          <cell r="B4279">
            <v>8126</v>
          </cell>
        </row>
        <row r="4280">
          <cell r="A4280" t="str">
            <v>JAANUS MÖLDER</v>
          </cell>
          <cell r="B4280">
            <v>3340</v>
          </cell>
        </row>
        <row r="4281">
          <cell r="A4281" t="str">
            <v>KAROLINA MÖLDER</v>
          </cell>
          <cell r="B4281">
            <v>10681</v>
          </cell>
        </row>
        <row r="4282">
          <cell r="A4282" t="str">
            <v>KEN RISTJAN MÖLDER</v>
          </cell>
          <cell r="B4282">
            <v>9014</v>
          </cell>
        </row>
        <row r="4283">
          <cell r="A4283" t="str">
            <v>EGERT MÖLL</v>
          </cell>
          <cell r="B4283">
            <v>5107</v>
          </cell>
        </row>
        <row r="4284">
          <cell r="A4284" t="str">
            <v>HENRI MÖLL</v>
          </cell>
          <cell r="B4284">
            <v>3320</v>
          </cell>
        </row>
        <row r="4285">
          <cell r="A4285" t="str">
            <v>MARJA MÖLLER</v>
          </cell>
          <cell r="B4285">
            <v>2174</v>
          </cell>
        </row>
        <row r="4286">
          <cell r="A4286" t="str">
            <v>MÄRT MÖLTER</v>
          </cell>
          <cell r="B4286">
            <v>2391</v>
          </cell>
        </row>
        <row r="4287">
          <cell r="A4287" t="str">
            <v>MARI-LIIS MÖLTER</v>
          </cell>
          <cell r="B4287">
            <v>2173</v>
          </cell>
        </row>
        <row r="4288">
          <cell r="A4288" t="str">
            <v>MARIO MÄÄRITS</v>
          </cell>
          <cell r="B4288">
            <v>4399</v>
          </cell>
        </row>
        <row r="4289">
          <cell r="A4289" t="str">
            <v>KARL MÄE</v>
          </cell>
          <cell r="B4289">
            <v>1802</v>
          </cell>
        </row>
        <row r="4290">
          <cell r="A4290" t="str">
            <v>MADIS MÄE</v>
          </cell>
          <cell r="B4290">
            <v>10190</v>
          </cell>
        </row>
        <row r="4291">
          <cell r="A4291" t="str">
            <v>MAIE MÄE</v>
          </cell>
          <cell r="B4291">
            <v>93</v>
          </cell>
        </row>
        <row r="4292">
          <cell r="A4292" t="str">
            <v>OLEV MÄE</v>
          </cell>
          <cell r="B4292">
            <v>2076</v>
          </cell>
        </row>
        <row r="4293">
          <cell r="A4293" t="str">
            <v>SILVER MÄE</v>
          </cell>
          <cell r="B4293">
            <v>9843</v>
          </cell>
        </row>
        <row r="4294">
          <cell r="A4294" t="str">
            <v>TOOMAS MÄE</v>
          </cell>
          <cell r="B4294">
            <v>2894</v>
          </cell>
        </row>
        <row r="4295">
          <cell r="A4295" t="str">
            <v>JANARI MÄEKIVI</v>
          </cell>
          <cell r="B4295">
            <v>6233</v>
          </cell>
        </row>
        <row r="4296">
          <cell r="A4296" t="str">
            <v>KRISTEL MÄEKIVI</v>
          </cell>
          <cell r="B4296">
            <v>1866</v>
          </cell>
        </row>
        <row r="4297">
          <cell r="A4297" t="str">
            <v>TÕNU MÄEKIVI</v>
          </cell>
          <cell r="B4297">
            <v>1162</v>
          </cell>
        </row>
        <row r="4298">
          <cell r="A4298" t="str">
            <v>ANDRES MÄEMETS</v>
          </cell>
          <cell r="B4298">
            <v>3200</v>
          </cell>
        </row>
        <row r="4299">
          <cell r="A4299" t="str">
            <v>ENN MÄEORG</v>
          </cell>
          <cell r="B4299">
            <v>2871</v>
          </cell>
        </row>
        <row r="4300">
          <cell r="A4300" t="str">
            <v>MARTIN MÄEORG</v>
          </cell>
          <cell r="B4300">
            <v>8793</v>
          </cell>
        </row>
        <row r="4301">
          <cell r="A4301" t="str">
            <v>EMIL MÄESAAR</v>
          </cell>
          <cell r="B4301">
            <v>10687</v>
          </cell>
        </row>
        <row r="4302">
          <cell r="A4302" t="str">
            <v>HARRI MÄESALU</v>
          </cell>
          <cell r="B4302">
            <v>8702</v>
          </cell>
        </row>
        <row r="4303">
          <cell r="A4303" t="str">
            <v>ANDRES MÄESEPP</v>
          </cell>
          <cell r="B4303">
            <v>4102</v>
          </cell>
        </row>
        <row r="4304">
          <cell r="A4304" t="str">
            <v>MAARJA MÄESEPP</v>
          </cell>
          <cell r="B4304">
            <v>4394</v>
          </cell>
        </row>
        <row r="4305">
          <cell r="A4305" t="str">
            <v>INDREK MÄESTU</v>
          </cell>
          <cell r="B4305">
            <v>10364</v>
          </cell>
        </row>
        <row r="4306">
          <cell r="A4306" t="str">
            <v>MÄRT MÄETAGA</v>
          </cell>
          <cell r="B4306">
            <v>1620</v>
          </cell>
        </row>
        <row r="4307">
          <cell r="A4307" t="str">
            <v>ARVI MÄGI</v>
          </cell>
          <cell r="B4307">
            <v>1312</v>
          </cell>
        </row>
        <row r="4308">
          <cell r="A4308" t="str">
            <v>AYRON MÄGI</v>
          </cell>
          <cell r="B4308">
            <v>7689</v>
          </cell>
        </row>
        <row r="4309">
          <cell r="A4309" t="str">
            <v>EVON MÄGI</v>
          </cell>
          <cell r="B4309">
            <v>3832</v>
          </cell>
        </row>
        <row r="4310">
          <cell r="A4310" t="str">
            <v>GEORG MATHIAS MÄGI</v>
          </cell>
          <cell r="B4310">
            <v>8105</v>
          </cell>
        </row>
        <row r="4311">
          <cell r="A4311" t="str">
            <v>HARALD MÄGI</v>
          </cell>
          <cell r="B4311">
            <v>9608</v>
          </cell>
        </row>
        <row r="4312">
          <cell r="A4312" t="str">
            <v>HEIKI MÄGI</v>
          </cell>
          <cell r="B4312">
            <v>8045</v>
          </cell>
        </row>
        <row r="4313">
          <cell r="A4313" t="str">
            <v>JAN EERIK MÄGI</v>
          </cell>
          <cell r="B4313">
            <v>7969</v>
          </cell>
        </row>
        <row r="4314">
          <cell r="A4314" t="str">
            <v>JANIKA MÄGI</v>
          </cell>
          <cell r="B4314">
            <v>7932</v>
          </cell>
        </row>
        <row r="4315">
          <cell r="A4315" t="str">
            <v>KEIRO MÄGI</v>
          </cell>
          <cell r="B4315">
            <v>5420</v>
          </cell>
        </row>
        <row r="4316">
          <cell r="A4316" t="str">
            <v>KERDO MÄGI</v>
          </cell>
          <cell r="B4316">
            <v>5633</v>
          </cell>
        </row>
        <row r="4317">
          <cell r="A4317" t="str">
            <v>LIISI MÄGI</v>
          </cell>
          <cell r="B4317">
            <v>4396</v>
          </cell>
        </row>
        <row r="4318">
          <cell r="A4318" t="str">
            <v>MAARIKA MÄGI</v>
          </cell>
          <cell r="B4318">
            <v>7931</v>
          </cell>
        </row>
        <row r="4319">
          <cell r="A4319" t="str">
            <v>MARGO MÄGI</v>
          </cell>
          <cell r="B4319">
            <v>5916</v>
          </cell>
        </row>
        <row r="4320">
          <cell r="A4320" t="str">
            <v>MARKO MÄGI</v>
          </cell>
          <cell r="B4320">
            <v>1323</v>
          </cell>
        </row>
        <row r="4321">
          <cell r="A4321" t="str">
            <v>MIKO MARTEN MÄGI</v>
          </cell>
          <cell r="B4321">
            <v>9722</v>
          </cell>
        </row>
        <row r="4322">
          <cell r="A4322" t="str">
            <v>OTT MÄGI</v>
          </cell>
          <cell r="B4322">
            <v>10474</v>
          </cell>
        </row>
        <row r="4323">
          <cell r="A4323" t="str">
            <v>RASMUS MÄGI</v>
          </cell>
          <cell r="B4323">
            <v>4395</v>
          </cell>
        </row>
        <row r="4324">
          <cell r="A4324" t="str">
            <v>RIHHARD MÄGI</v>
          </cell>
          <cell r="B4324">
            <v>9613</v>
          </cell>
        </row>
        <row r="4325">
          <cell r="A4325" t="str">
            <v>ROBERT MÄGI</v>
          </cell>
          <cell r="B4325">
            <v>2616</v>
          </cell>
        </row>
        <row r="4326">
          <cell r="A4326" t="str">
            <v>TAAVI MÄGI</v>
          </cell>
          <cell r="B4326">
            <v>9953</v>
          </cell>
        </row>
        <row r="4327">
          <cell r="A4327" t="str">
            <v>TIMO MÄGI</v>
          </cell>
          <cell r="B4327">
            <v>2302</v>
          </cell>
        </row>
        <row r="4328">
          <cell r="A4328" t="str">
            <v>KRISTIINA MÄGIMETS</v>
          </cell>
          <cell r="B4328">
            <v>3508</v>
          </cell>
        </row>
        <row r="4329">
          <cell r="A4329" t="str">
            <v>KASPAR MÄGIN</v>
          </cell>
          <cell r="B4329">
            <v>6085</v>
          </cell>
        </row>
        <row r="4330">
          <cell r="A4330" t="str">
            <v>GERMO MÄITSE</v>
          </cell>
          <cell r="B4330">
            <v>5524</v>
          </cell>
        </row>
        <row r="4331">
          <cell r="A4331" t="str">
            <v>JUSSI MÄKELÄ</v>
          </cell>
          <cell r="B4331">
            <v>3252</v>
          </cell>
        </row>
        <row r="4332">
          <cell r="A4332" t="str">
            <v>PERTTI MÄKINEN</v>
          </cell>
          <cell r="B4332">
            <v>4781</v>
          </cell>
        </row>
        <row r="4333">
          <cell r="A4333" t="str">
            <v>ANDRUS MÄLETJÄRV</v>
          </cell>
          <cell r="B4333">
            <v>214</v>
          </cell>
        </row>
        <row r="4334">
          <cell r="A4334" t="str">
            <v>AIVO MÄLK</v>
          </cell>
          <cell r="B4334">
            <v>10040</v>
          </cell>
        </row>
        <row r="4335">
          <cell r="A4335" t="str">
            <v>HANNA-LIISA MÄLK</v>
          </cell>
          <cell r="B4335">
            <v>3156</v>
          </cell>
        </row>
        <row r="4336">
          <cell r="A4336" t="str">
            <v>MARTEN MÄLK</v>
          </cell>
          <cell r="B4336">
            <v>1086</v>
          </cell>
        </row>
        <row r="4337">
          <cell r="A4337" t="str">
            <v>ANNELI MÄLKSOO</v>
          </cell>
          <cell r="B4337">
            <v>10265</v>
          </cell>
        </row>
        <row r="4338">
          <cell r="A4338" t="str">
            <v>SARA LIIS MÄLKSOO</v>
          </cell>
          <cell r="B4338">
            <v>4397</v>
          </cell>
        </row>
        <row r="4339">
          <cell r="A4339" t="str">
            <v>HELVIS MÄLL</v>
          </cell>
          <cell r="B4339">
            <v>2025</v>
          </cell>
        </row>
        <row r="4340">
          <cell r="A4340" t="str">
            <v>JÜRI MÄLLO</v>
          </cell>
          <cell r="B4340">
            <v>4014</v>
          </cell>
        </row>
        <row r="4341">
          <cell r="A4341" t="str">
            <v>ALEKSANDR MÄND</v>
          </cell>
          <cell r="B4341">
            <v>851</v>
          </cell>
        </row>
        <row r="4342">
          <cell r="A4342" t="str">
            <v>ANDRUS MÄND</v>
          </cell>
          <cell r="B4342">
            <v>9458</v>
          </cell>
        </row>
        <row r="4343">
          <cell r="A4343" t="str">
            <v>HELINA MÄND</v>
          </cell>
          <cell r="B4343">
            <v>7168</v>
          </cell>
        </row>
        <row r="4344">
          <cell r="A4344" t="str">
            <v>HILLAR MÄND</v>
          </cell>
          <cell r="B4344">
            <v>215</v>
          </cell>
        </row>
        <row r="4345">
          <cell r="A4345" t="str">
            <v>KRÕÕT GRETE MÄND</v>
          </cell>
          <cell r="B4345">
            <v>3601</v>
          </cell>
        </row>
        <row r="4346">
          <cell r="A4346" t="str">
            <v>RANEL MÄND</v>
          </cell>
          <cell r="B4346">
            <v>843</v>
          </cell>
        </row>
        <row r="4347">
          <cell r="A4347" t="str">
            <v>STEN MÄND</v>
          </cell>
          <cell r="B4347">
            <v>5031</v>
          </cell>
        </row>
        <row r="4348">
          <cell r="A4348" t="str">
            <v>ARGO MÄNDLA</v>
          </cell>
          <cell r="B4348">
            <v>2323</v>
          </cell>
        </row>
        <row r="4349">
          <cell r="A4349" t="str">
            <v>RAUL MÄNDLA</v>
          </cell>
          <cell r="B4349">
            <v>10435</v>
          </cell>
        </row>
        <row r="4350">
          <cell r="A4350" t="str">
            <v>AIGAR MÄNDMAA</v>
          </cell>
          <cell r="B4350">
            <v>4831</v>
          </cell>
        </row>
        <row r="4351">
          <cell r="A4351" t="str">
            <v>KEVIN MÄNDMETS</v>
          </cell>
          <cell r="B4351">
            <v>5210</v>
          </cell>
        </row>
        <row r="4352">
          <cell r="A4352" t="str">
            <v>TIINA MÄNGLI</v>
          </cell>
          <cell r="B4352">
            <v>2005</v>
          </cell>
        </row>
        <row r="4353">
          <cell r="A4353" t="str">
            <v>VAHUR MÄNNA</v>
          </cell>
          <cell r="B4353">
            <v>3721</v>
          </cell>
        </row>
        <row r="4354">
          <cell r="A4354" t="str">
            <v>MARTIN MÄNNASALU</v>
          </cell>
          <cell r="B4354">
            <v>8610</v>
          </cell>
        </row>
        <row r="4355">
          <cell r="A4355" t="str">
            <v>REIMO MÄNNASOO</v>
          </cell>
          <cell r="B4355">
            <v>3064</v>
          </cell>
        </row>
        <row r="4356">
          <cell r="A4356" t="str">
            <v>MARTIN MÄNNE</v>
          </cell>
          <cell r="B4356">
            <v>4398</v>
          </cell>
        </row>
        <row r="4357">
          <cell r="A4357" t="str">
            <v>MARTIN MÄNNE</v>
          </cell>
          <cell r="B4357">
            <v>9068</v>
          </cell>
        </row>
        <row r="4358">
          <cell r="A4358" t="str">
            <v>EMILIA MÄNNIK</v>
          </cell>
          <cell r="B4358">
            <v>94</v>
          </cell>
        </row>
        <row r="4359">
          <cell r="A4359" t="str">
            <v>KARL MÄNNIK</v>
          </cell>
          <cell r="B4359">
            <v>7143</v>
          </cell>
        </row>
        <row r="4360">
          <cell r="A4360" t="str">
            <v>KRISTJAN MÄNNIK</v>
          </cell>
          <cell r="B4360">
            <v>4953</v>
          </cell>
        </row>
        <row r="4361">
          <cell r="A4361" t="str">
            <v>MARKO MÄNNIK</v>
          </cell>
          <cell r="B4361">
            <v>3548</v>
          </cell>
        </row>
        <row r="4362">
          <cell r="A4362" t="str">
            <v>MARTEN MÄNNIK</v>
          </cell>
          <cell r="B4362">
            <v>4954</v>
          </cell>
        </row>
        <row r="4363">
          <cell r="A4363" t="str">
            <v>OSKAR MÄNNIK</v>
          </cell>
          <cell r="B4363">
            <v>9321</v>
          </cell>
        </row>
        <row r="4364">
          <cell r="A4364" t="str">
            <v>REIKO MÄNNIK</v>
          </cell>
          <cell r="B4364">
            <v>3833</v>
          </cell>
        </row>
        <row r="4365">
          <cell r="A4365" t="str">
            <v>KRISTI MÄNNISALU</v>
          </cell>
          <cell r="B4365">
            <v>9160</v>
          </cell>
        </row>
        <row r="4366">
          <cell r="A4366" t="str">
            <v>ROBERT MÄNNISTE</v>
          </cell>
          <cell r="B4366">
            <v>2166</v>
          </cell>
        </row>
        <row r="4367">
          <cell r="A4367" t="str">
            <v>HENNA MÄNTYNEN</v>
          </cell>
          <cell r="B4367">
            <v>2307</v>
          </cell>
        </row>
        <row r="4368">
          <cell r="A4368" t="str">
            <v>REIGO MÄRK</v>
          </cell>
          <cell r="B4368">
            <v>9162</v>
          </cell>
        </row>
        <row r="4369">
          <cell r="A4369" t="str">
            <v>ROBIN MÄRK</v>
          </cell>
          <cell r="B4369">
            <v>6257</v>
          </cell>
        </row>
        <row r="4370">
          <cell r="A4370" t="str">
            <v>MAARIEL MÄTAS</v>
          </cell>
          <cell r="B4370">
            <v>7180</v>
          </cell>
        </row>
        <row r="4371">
          <cell r="A4371" t="str">
            <v>MAIROLD MÄTAS</v>
          </cell>
          <cell r="B4371">
            <v>2863</v>
          </cell>
        </row>
        <row r="4372">
          <cell r="A4372" t="str">
            <v>MAIT MÄTAS</v>
          </cell>
          <cell r="B4372">
            <v>2864</v>
          </cell>
        </row>
        <row r="4373">
          <cell r="A4373" t="str">
            <v>MERIKE MÄTAS</v>
          </cell>
          <cell r="B4373">
            <v>7179</v>
          </cell>
        </row>
        <row r="4374">
          <cell r="A4374" t="str">
            <v>VELJO MÕEK</v>
          </cell>
          <cell r="B4374">
            <v>8945</v>
          </cell>
        </row>
        <row r="4375">
          <cell r="A4375" t="str">
            <v>TRIIN MÕISAÄÄR</v>
          </cell>
          <cell r="B4375">
            <v>10582</v>
          </cell>
        </row>
        <row r="4376">
          <cell r="A4376" t="str">
            <v>ILJA MÕSHETOPOV</v>
          </cell>
          <cell r="B4376">
            <v>1418</v>
          </cell>
        </row>
        <row r="4377">
          <cell r="A4377" t="str">
            <v>ARMIN MÕTTUS</v>
          </cell>
          <cell r="B4377">
            <v>9442</v>
          </cell>
        </row>
        <row r="4378">
          <cell r="A4378" t="str">
            <v>MAARE MÕTTUS</v>
          </cell>
          <cell r="B4378">
            <v>8736</v>
          </cell>
        </row>
        <row r="4379">
          <cell r="A4379" t="str">
            <v>VAHUR MÕTTUS</v>
          </cell>
          <cell r="B4379">
            <v>1846</v>
          </cell>
        </row>
        <row r="4380">
          <cell r="A4380" t="str">
            <v>VYTENIS MAŠČINSKAS</v>
          </cell>
          <cell r="B4380">
            <v>10223</v>
          </cell>
        </row>
        <row r="4381">
          <cell r="A4381" t="str">
            <v>VYTIS MAŠČINSKAS</v>
          </cell>
          <cell r="B4381">
            <v>10227</v>
          </cell>
        </row>
        <row r="4382">
          <cell r="A4382" t="str">
            <v>MEELIS MAALDER</v>
          </cell>
          <cell r="B4382">
            <v>4020</v>
          </cell>
        </row>
        <row r="4383">
          <cell r="A4383" t="str">
            <v>ROBIN MAALDER</v>
          </cell>
          <cell r="B4383">
            <v>10255</v>
          </cell>
        </row>
        <row r="4384">
          <cell r="A4384" t="str">
            <v>KEN-KRISTEN MAALINN</v>
          </cell>
          <cell r="B4384">
            <v>5912</v>
          </cell>
        </row>
        <row r="4385">
          <cell r="A4385" t="str">
            <v>STEN-KENERT MAALINN</v>
          </cell>
          <cell r="B4385">
            <v>6260</v>
          </cell>
        </row>
        <row r="4386">
          <cell r="A4386" t="str">
            <v>MARKO MAALT</v>
          </cell>
          <cell r="B4386">
            <v>7578</v>
          </cell>
        </row>
        <row r="4387">
          <cell r="A4387" t="str">
            <v>KASPAR MAANUS MAAMETS</v>
          </cell>
          <cell r="B4387">
            <v>7072</v>
          </cell>
        </row>
        <row r="4388">
          <cell r="A4388" t="str">
            <v>ANDI MAASALU</v>
          </cell>
          <cell r="B4388">
            <v>10248</v>
          </cell>
        </row>
        <row r="4389">
          <cell r="A4389" t="str">
            <v>SIIM KAAREL MAASALU</v>
          </cell>
          <cell r="B4389">
            <v>9036</v>
          </cell>
        </row>
        <row r="4390">
          <cell r="A4390" t="str">
            <v>MARTIN MAASIK</v>
          </cell>
          <cell r="B4390">
            <v>2397</v>
          </cell>
        </row>
        <row r="4391">
          <cell r="A4391" t="str">
            <v>VILLU MAASIK</v>
          </cell>
          <cell r="B4391">
            <v>4681</v>
          </cell>
        </row>
        <row r="4392">
          <cell r="A4392" t="str">
            <v>RAGNAR MAASIKAMÄE</v>
          </cell>
          <cell r="B4392">
            <v>10027</v>
          </cell>
        </row>
        <row r="4393">
          <cell r="A4393" t="str">
            <v>ALBERT MAASIKAS</v>
          </cell>
          <cell r="B4393">
            <v>10674</v>
          </cell>
        </row>
        <row r="4394">
          <cell r="A4394" t="str">
            <v>RAIO MAASIKAS</v>
          </cell>
          <cell r="B4394">
            <v>8301</v>
          </cell>
        </row>
        <row r="4395">
          <cell r="A4395" t="str">
            <v>RISTO MAASING</v>
          </cell>
          <cell r="B4395">
            <v>9527</v>
          </cell>
        </row>
        <row r="4396">
          <cell r="A4396" t="str">
            <v>HENRY MAASK</v>
          </cell>
          <cell r="B4396">
            <v>7137</v>
          </cell>
        </row>
        <row r="4397">
          <cell r="A4397" t="str">
            <v>LAURA MAASK</v>
          </cell>
          <cell r="B4397">
            <v>4091</v>
          </cell>
        </row>
        <row r="4398">
          <cell r="A4398" t="str">
            <v>STEN MAASK</v>
          </cell>
          <cell r="B4398">
            <v>7136</v>
          </cell>
        </row>
        <row r="4399">
          <cell r="A4399" t="str">
            <v>AISTA MACAITE</v>
          </cell>
          <cell r="B4399">
            <v>2211</v>
          </cell>
        </row>
        <row r="4400">
          <cell r="A4400" t="str">
            <v>MATAS MACIULAITIS</v>
          </cell>
          <cell r="B4400">
            <v>9120</v>
          </cell>
        </row>
        <row r="4401">
          <cell r="A4401" t="str">
            <v>MARIO MADAL</v>
          </cell>
          <cell r="B4401">
            <v>9572</v>
          </cell>
        </row>
        <row r="4402">
          <cell r="A4402" t="str">
            <v>ROBIN MADAR</v>
          </cell>
          <cell r="B4402">
            <v>4682</v>
          </cell>
        </row>
        <row r="4403">
          <cell r="A4403" t="str">
            <v>NORMAN MADIBERG</v>
          </cell>
          <cell r="B4403">
            <v>2917</v>
          </cell>
        </row>
        <row r="4404">
          <cell r="A4404" t="str">
            <v>ALEKSANDRA MADIS</v>
          </cell>
          <cell r="B4404">
            <v>912</v>
          </cell>
        </row>
        <row r="4405">
          <cell r="A4405" t="str">
            <v>GLEN MADIS</v>
          </cell>
          <cell r="B4405">
            <v>1200</v>
          </cell>
        </row>
        <row r="4406">
          <cell r="A4406" t="str">
            <v>MATTIAS MADIS</v>
          </cell>
          <cell r="B4406">
            <v>9537</v>
          </cell>
        </row>
        <row r="4407">
          <cell r="A4407" t="str">
            <v>KRISTO MADISON</v>
          </cell>
          <cell r="B4407">
            <v>8164</v>
          </cell>
        </row>
        <row r="4408">
          <cell r="A4408" t="str">
            <v>KAIDI MADISSON</v>
          </cell>
          <cell r="B4408">
            <v>2949</v>
          </cell>
        </row>
        <row r="4409">
          <cell r="A4409" t="str">
            <v>REMI RILOS MADISSON</v>
          </cell>
          <cell r="B4409">
            <v>9456</v>
          </cell>
        </row>
        <row r="4410">
          <cell r="A4410" t="str">
            <v>MELDRA MADZULE</v>
          </cell>
          <cell r="B4410">
            <v>2276</v>
          </cell>
        </row>
        <row r="4411">
          <cell r="A4411" t="str">
            <v>JAAN MAGNUS</v>
          </cell>
          <cell r="B4411">
            <v>4825</v>
          </cell>
        </row>
        <row r="4412">
          <cell r="A4412" t="str">
            <v>DENISS MAGRANOV</v>
          </cell>
          <cell r="B4412">
            <v>2330</v>
          </cell>
        </row>
        <row r="4413">
          <cell r="A4413" t="str">
            <v>EDUARD MAGRANOV</v>
          </cell>
          <cell r="B4413">
            <v>3819</v>
          </cell>
        </row>
        <row r="4414">
          <cell r="A4414" t="str">
            <v>SERAFIMA MAHHAŠVILI</v>
          </cell>
          <cell r="B4414">
            <v>1048</v>
          </cell>
        </row>
        <row r="4415">
          <cell r="A4415" t="str">
            <v>VEIKO MAHLAKAS</v>
          </cell>
          <cell r="B4415">
            <v>457</v>
          </cell>
        </row>
        <row r="4416">
          <cell r="A4416" t="str">
            <v>DINARA MAHMUTOVA</v>
          </cell>
          <cell r="B4416">
            <v>4072</v>
          </cell>
        </row>
        <row r="4417">
          <cell r="A4417" t="str">
            <v>HEIDI MAIBERG</v>
          </cell>
          <cell r="B4417">
            <v>2042</v>
          </cell>
        </row>
        <row r="4418">
          <cell r="A4418" t="str">
            <v>INGA MAIBORODA</v>
          </cell>
          <cell r="B4418">
            <v>81</v>
          </cell>
        </row>
        <row r="4419">
          <cell r="A4419" t="str">
            <v>JAAK MAIDE</v>
          </cell>
          <cell r="B4419">
            <v>1470</v>
          </cell>
        </row>
        <row r="4420">
          <cell r="A4420" t="str">
            <v>KRETTEL MAIDE</v>
          </cell>
          <cell r="B4420">
            <v>9213</v>
          </cell>
        </row>
        <row r="4421">
          <cell r="A4421" t="str">
            <v>MARTEN MAIDE</v>
          </cell>
          <cell r="B4421">
            <v>10870</v>
          </cell>
        </row>
        <row r="4422">
          <cell r="A4422" t="str">
            <v>MIKK EGERT MAIDE</v>
          </cell>
          <cell r="B4422">
            <v>9869</v>
          </cell>
        </row>
        <row r="4423">
          <cell r="A4423" t="str">
            <v>MARGUS MAIDLA</v>
          </cell>
          <cell r="B4423">
            <v>8885</v>
          </cell>
        </row>
        <row r="4424">
          <cell r="A4424" t="str">
            <v>TEET MAIDLA</v>
          </cell>
          <cell r="B4424">
            <v>4368</v>
          </cell>
        </row>
        <row r="4425">
          <cell r="A4425" t="str">
            <v>KARL MAIDLE</v>
          </cell>
          <cell r="B4425">
            <v>4138</v>
          </cell>
        </row>
        <row r="4426">
          <cell r="A4426" t="str">
            <v>MARIAN MAIDRA</v>
          </cell>
          <cell r="B4426">
            <v>3954</v>
          </cell>
        </row>
        <row r="4427">
          <cell r="A4427" t="str">
            <v>KIKE-ELISABETH MAIDU</v>
          </cell>
          <cell r="B4427">
            <v>7652</v>
          </cell>
        </row>
        <row r="4428">
          <cell r="A4428" t="str">
            <v>NATALIA MAIER</v>
          </cell>
          <cell r="B4428">
            <v>82</v>
          </cell>
        </row>
        <row r="4429">
          <cell r="A4429" t="str">
            <v>ERNEST MAIKOV</v>
          </cell>
          <cell r="B4429">
            <v>5378</v>
          </cell>
        </row>
        <row r="4430">
          <cell r="A4430" t="str">
            <v>ANDRUS MAILEHT</v>
          </cell>
          <cell r="B4430">
            <v>3820</v>
          </cell>
        </row>
        <row r="4431">
          <cell r="A4431" t="str">
            <v>ANDREI MAILIN</v>
          </cell>
          <cell r="B4431">
            <v>3309</v>
          </cell>
        </row>
        <row r="4432">
          <cell r="A4432" t="str">
            <v>MADIS MAISALU</v>
          </cell>
          <cell r="B4432">
            <v>2186</v>
          </cell>
        </row>
        <row r="4433">
          <cell r="A4433" t="str">
            <v>MARCEL MAISROOS-VÄLI</v>
          </cell>
          <cell r="B4433">
            <v>5064</v>
          </cell>
        </row>
        <row r="4434">
          <cell r="A4434" t="str">
            <v>MATHIAS MAISTE</v>
          </cell>
          <cell r="B4434">
            <v>8096</v>
          </cell>
        </row>
        <row r="4435">
          <cell r="A4435" t="str">
            <v>MIKK MAISTE</v>
          </cell>
          <cell r="B4435">
            <v>8025</v>
          </cell>
        </row>
        <row r="4436">
          <cell r="A4436" t="str">
            <v>TÕNU MAISTE</v>
          </cell>
          <cell r="B4436">
            <v>3974</v>
          </cell>
        </row>
        <row r="4437">
          <cell r="A4437" t="str">
            <v>NATALIA MAISURADZE</v>
          </cell>
          <cell r="B4437">
            <v>4369</v>
          </cell>
        </row>
        <row r="4438">
          <cell r="A4438" t="str">
            <v>LAURI MAISVEE</v>
          </cell>
          <cell r="B4438">
            <v>4683</v>
          </cell>
        </row>
        <row r="4439">
          <cell r="A4439" t="str">
            <v>LENNART MAISVEE</v>
          </cell>
          <cell r="B4439">
            <v>9830</v>
          </cell>
        </row>
        <row r="4440">
          <cell r="A4440" t="str">
            <v>TOM THEO LUCAS MAITRE</v>
          </cell>
          <cell r="B4440">
            <v>10855</v>
          </cell>
        </row>
        <row r="4441">
          <cell r="A4441" t="str">
            <v>VIKTORIA MAJOROVA</v>
          </cell>
          <cell r="B4441">
            <v>2774</v>
          </cell>
        </row>
        <row r="4442">
          <cell r="A4442" t="str">
            <v>ARTJOMS MAJOROVS</v>
          </cell>
          <cell r="B4442">
            <v>9098</v>
          </cell>
        </row>
        <row r="4443">
          <cell r="A4443" t="str">
            <v>TATJANA MAJORSKAJA</v>
          </cell>
          <cell r="B4443">
            <v>9040</v>
          </cell>
        </row>
        <row r="4444">
          <cell r="A4444" t="str">
            <v>NOJUS MAKACIUNAS</v>
          </cell>
          <cell r="B4444">
            <v>8056</v>
          </cell>
        </row>
        <row r="4445">
          <cell r="A4445" t="str">
            <v>SERGEI MAKARENKO</v>
          </cell>
          <cell r="B4445">
            <v>7660</v>
          </cell>
        </row>
        <row r="4446">
          <cell r="A4446" t="str">
            <v>SERGEI MAKARKIN</v>
          </cell>
          <cell r="B4446">
            <v>7511</v>
          </cell>
        </row>
        <row r="4447">
          <cell r="A4447" t="str">
            <v>ALEKSANDR MAKAROV</v>
          </cell>
          <cell r="B4447">
            <v>378</v>
          </cell>
        </row>
        <row r="4448">
          <cell r="A4448" t="str">
            <v>PETR MAKAROV</v>
          </cell>
          <cell r="B4448">
            <v>8221</v>
          </cell>
        </row>
        <row r="4449">
          <cell r="A4449" t="str">
            <v>DARJA MAKAROVA</v>
          </cell>
          <cell r="B4449">
            <v>10300</v>
          </cell>
        </row>
        <row r="4450">
          <cell r="A4450" t="str">
            <v>DANIIL MAKEKO</v>
          </cell>
          <cell r="B4450">
            <v>7015</v>
          </cell>
        </row>
        <row r="4451">
          <cell r="A4451" t="str">
            <v>AMARHS MAKHAURI</v>
          </cell>
          <cell r="B4451">
            <v>5170</v>
          </cell>
        </row>
        <row r="4452">
          <cell r="A4452" t="str">
            <v>INSANA MAKHAURI</v>
          </cell>
          <cell r="B4452">
            <v>3497</v>
          </cell>
        </row>
        <row r="4453">
          <cell r="A4453" t="str">
            <v>MATHIAS MAKKO</v>
          </cell>
          <cell r="B4453">
            <v>9627</v>
          </cell>
        </row>
        <row r="4454">
          <cell r="A4454" t="str">
            <v>HENRI MAKKONEN</v>
          </cell>
          <cell r="B4454">
            <v>943</v>
          </cell>
        </row>
        <row r="4455">
          <cell r="A4455" t="str">
            <v>DANIIL MAKLAKOV</v>
          </cell>
          <cell r="B4455">
            <v>4827</v>
          </cell>
        </row>
        <row r="4456">
          <cell r="A4456" t="str">
            <v>VLADIMIR MAKLAKOV</v>
          </cell>
          <cell r="B4456">
            <v>4370</v>
          </cell>
        </row>
        <row r="4457">
          <cell r="A4457" t="str">
            <v>INGRIDA MAKNEVIČIENĖ</v>
          </cell>
          <cell r="B4457">
            <v>10772</v>
          </cell>
        </row>
        <row r="4458">
          <cell r="A4458" t="str">
            <v>ARTJOM MAKSIMENKO</v>
          </cell>
          <cell r="B4458">
            <v>5585</v>
          </cell>
        </row>
        <row r="4459">
          <cell r="A4459" t="str">
            <v>JÜRI MAKSIMENKO</v>
          </cell>
          <cell r="B4459">
            <v>1543</v>
          </cell>
        </row>
        <row r="4460">
          <cell r="A4460" t="str">
            <v>JEKATERINA MAKSIMENKO</v>
          </cell>
          <cell r="B4460">
            <v>884</v>
          </cell>
        </row>
        <row r="4461">
          <cell r="A4461" t="str">
            <v>IVAN MAKSIMOVITŠ</v>
          </cell>
          <cell r="B4461">
            <v>7912</v>
          </cell>
        </row>
        <row r="4462">
          <cell r="A4462" t="str">
            <v>MARAT MAKSIMOVITŠ</v>
          </cell>
          <cell r="B4462">
            <v>10590</v>
          </cell>
        </row>
        <row r="4463">
          <cell r="A4463" t="str">
            <v>AIVARS MAKSIMS</v>
          </cell>
          <cell r="B4463">
            <v>8280</v>
          </cell>
        </row>
        <row r="4464">
          <cell r="A4464" t="str">
            <v>ANDREI MAKSIMTŠUK</v>
          </cell>
          <cell r="B4464">
            <v>4828</v>
          </cell>
        </row>
        <row r="4465">
          <cell r="A4465" t="str">
            <v>DMITRI MALÕŠEV</v>
          </cell>
          <cell r="B4465">
            <v>1268</v>
          </cell>
        </row>
        <row r="4466">
          <cell r="A4466" t="str">
            <v>MONIKA MALÕŠEVA</v>
          </cell>
          <cell r="B4466">
            <v>9234</v>
          </cell>
        </row>
        <row r="4467">
          <cell r="A4467" t="str">
            <v>DARJA MALÕŠKINA</v>
          </cell>
          <cell r="B4467">
            <v>8361</v>
          </cell>
        </row>
        <row r="4468">
          <cell r="A4468" t="str">
            <v>RENAT MALÕŠKO</v>
          </cell>
          <cell r="B4468">
            <v>10332</v>
          </cell>
        </row>
        <row r="4469">
          <cell r="A4469" t="str">
            <v>IVAN MALÕSHEV</v>
          </cell>
          <cell r="B4469">
            <v>1763</v>
          </cell>
        </row>
        <row r="4470">
          <cell r="A4470" t="str">
            <v>ANNA MALÕSHEVA</v>
          </cell>
          <cell r="B4470">
            <v>3995</v>
          </cell>
        </row>
        <row r="4471">
          <cell r="A4471" t="str">
            <v>MARIA MALÕSHEVA</v>
          </cell>
          <cell r="B4471">
            <v>3372</v>
          </cell>
        </row>
        <row r="4472">
          <cell r="A4472" t="str">
            <v>NATALIA MALÕSHEVA</v>
          </cell>
          <cell r="B4472">
            <v>4371</v>
          </cell>
        </row>
        <row r="4473">
          <cell r="A4473" t="str">
            <v>ANASTASIA MALAFEJEVA</v>
          </cell>
          <cell r="B4473">
            <v>8637</v>
          </cell>
        </row>
        <row r="4474">
          <cell r="A4474" t="str">
            <v>ALEKSANDR MALAHOV</v>
          </cell>
          <cell r="B4474">
            <v>9792</v>
          </cell>
        </row>
        <row r="4475">
          <cell r="A4475" t="str">
            <v>BOGDAN MALAHOV</v>
          </cell>
          <cell r="B4475">
            <v>8314</v>
          </cell>
        </row>
        <row r="4476">
          <cell r="A4476" t="str">
            <v>ELVIS MALANKA</v>
          </cell>
          <cell r="B4476">
            <v>6234</v>
          </cell>
        </row>
        <row r="4477">
          <cell r="A4477" t="str">
            <v>MIHHAIL MALANSKAS</v>
          </cell>
          <cell r="B4477">
            <v>4780</v>
          </cell>
        </row>
        <row r="4478">
          <cell r="A4478" t="str">
            <v>DINARA MALATSHILAJEVA</v>
          </cell>
          <cell r="B4478">
            <v>83</v>
          </cell>
        </row>
        <row r="4479">
          <cell r="A4479" t="str">
            <v>KATRIN MALDRE</v>
          </cell>
          <cell r="B4479">
            <v>84</v>
          </cell>
        </row>
        <row r="4480">
          <cell r="A4480" t="str">
            <v>DMITRY MALETSKIY</v>
          </cell>
          <cell r="B4480">
            <v>10728</v>
          </cell>
        </row>
        <row r="4481">
          <cell r="A4481" t="str">
            <v>MARTIN MALIK</v>
          </cell>
          <cell r="B4481">
            <v>7855</v>
          </cell>
        </row>
        <row r="4482">
          <cell r="A4482" t="str">
            <v>SAIF MALIK</v>
          </cell>
          <cell r="B4482">
            <v>9553</v>
          </cell>
        </row>
        <row r="4483">
          <cell r="A4483" t="str">
            <v>IGNAS MALINAUSKAS</v>
          </cell>
          <cell r="B4483">
            <v>5500</v>
          </cell>
        </row>
        <row r="4484">
          <cell r="A4484" t="str">
            <v>PETERIS MALINOVSKIS</v>
          </cell>
          <cell r="B4484">
            <v>2594</v>
          </cell>
        </row>
        <row r="4485">
          <cell r="A4485" t="str">
            <v>ALEKSANDR MALJUGIN</v>
          </cell>
          <cell r="B4485">
            <v>3606</v>
          </cell>
        </row>
        <row r="4486">
          <cell r="A4486" t="str">
            <v>HANNA MALK</v>
          </cell>
          <cell r="B4486">
            <v>7096</v>
          </cell>
        </row>
        <row r="4487">
          <cell r="A4487" t="str">
            <v>ALEKSANDR MALKOV</v>
          </cell>
          <cell r="B4487">
            <v>7832</v>
          </cell>
        </row>
        <row r="4488">
          <cell r="A4488" t="str">
            <v>KRISTO MALKUS</v>
          </cell>
          <cell r="B4488">
            <v>9506</v>
          </cell>
        </row>
        <row r="4489">
          <cell r="A4489" t="str">
            <v>OSKAR MALLEUS</v>
          </cell>
          <cell r="B4489">
            <v>1766</v>
          </cell>
        </row>
        <row r="4490">
          <cell r="A4490" t="str">
            <v>JANNO MALM</v>
          </cell>
          <cell r="B4490">
            <v>5216</v>
          </cell>
        </row>
        <row r="4491">
          <cell r="A4491" t="str">
            <v>MARKKU MALO</v>
          </cell>
          <cell r="B4491">
            <v>1123</v>
          </cell>
        </row>
        <row r="4492">
          <cell r="A4492" t="str">
            <v>TÕNU MALSUB</v>
          </cell>
          <cell r="B4492">
            <v>7419</v>
          </cell>
        </row>
        <row r="4493">
          <cell r="A4493" t="str">
            <v>ANDREI MALTIZOV</v>
          </cell>
          <cell r="B4493">
            <v>6162</v>
          </cell>
        </row>
        <row r="4494">
          <cell r="A4494" t="str">
            <v>GRIGORI MALTIZOV</v>
          </cell>
          <cell r="B4494">
            <v>6120</v>
          </cell>
        </row>
        <row r="4495">
          <cell r="A4495" t="str">
            <v>JANA MALTSEVA</v>
          </cell>
          <cell r="B4495">
            <v>6259</v>
          </cell>
        </row>
        <row r="4496">
          <cell r="A4496" t="str">
            <v>VLAD MALTSEVS</v>
          </cell>
          <cell r="B4496">
            <v>5993</v>
          </cell>
        </row>
        <row r="4497">
          <cell r="A4497" t="str">
            <v>MATVEI MALUHHIN</v>
          </cell>
          <cell r="B4497">
            <v>10599</v>
          </cell>
        </row>
        <row r="4498">
          <cell r="A4498" t="str">
            <v>KRISTINA MALUHHINA</v>
          </cell>
          <cell r="B4498">
            <v>9226</v>
          </cell>
        </row>
        <row r="4499">
          <cell r="A4499" t="str">
            <v>EGOR MALYGIN</v>
          </cell>
          <cell r="B4499">
            <v>7212</v>
          </cell>
        </row>
        <row r="4500">
          <cell r="A4500" t="str">
            <v>IGOR MALYHIN</v>
          </cell>
          <cell r="B4500">
            <v>7376</v>
          </cell>
        </row>
        <row r="4501">
          <cell r="A4501" t="str">
            <v>EVA MALYUGANOVA</v>
          </cell>
          <cell r="B4501">
            <v>5379</v>
          </cell>
        </row>
        <row r="4502">
          <cell r="A4502" t="str">
            <v>ALBERT MAMEDON</v>
          </cell>
          <cell r="B4502">
            <v>4372</v>
          </cell>
        </row>
        <row r="4503">
          <cell r="A4503" t="str">
            <v>ZIYA MAMMADOV</v>
          </cell>
          <cell r="B4503">
            <v>10694</v>
          </cell>
        </row>
        <row r="4504">
          <cell r="A4504" t="str">
            <v>STANISLAV MAMUTOV</v>
          </cell>
          <cell r="B4504">
            <v>2477</v>
          </cell>
        </row>
        <row r="4505">
          <cell r="A4505" t="str">
            <v>NASTJA MANAEVA</v>
          </cell>
          <cell r="B4505">
            <v>3996</v>
          </cell>
        </row>
        <row r="4506">
          <cell r="A4506" t="str">
            <v>ELĪZA MANAVICKA</v>
          </cell>
          <cell r="B4506">
            <v>10733</v>
          </cell>
        </row>
        <row r="4507">
          <cell r="A4507" t="str">
            <v>KARL-ERIK MANDER</v>
          </cell>
          <cell r="B4507">
            <v>3212</v>
          </cell>
        </row>
        <row r="4508">
          <cell r="A4508" t="str">
            <v>FRED MANDRE</v>
          </cell>
          <cell r="B4508">
            <v>9558</v>
          </cell>
        </row>
        <row r="4509">
          <cell r="A4509" t="str">
            <v>RALF MANDRE</v>
          </cell>
          <cell r="B4509">
            <v>9563</v>
          </cell>
        </row>
        <row r="4510">
          <cell r="A4510" t="str">
            <v>STEN MANDRE</v>
          </cell>
          <cell r="B4510">
            <v>9564</v>
          </cell>
        </row>
        <row r="4511">
          <cell r="A4511" t="str">
            <v>ROBIN ANDERO MANDRI</v>
          </cell>
          <cell r="B4511">
            <v>9518</v>
          </cell>
        </row>
        <row r="4512">
          <cell r="A4512" t="str">
            <v>DMITRI MANDRIKEVITŠ</v>
          </cell>
          <cell r="B4512">
            <v>6247</v>
          </cell>
        </row>
        <row r="4513">
          <cell r="A4513" t="str">
            <v>MARIS MANKIN</v>
          </cell>
          <cell r="B4513">
            <v>9309</v>
          </cell>
        </row>
        <row r="4514">
          <cell r="A4514" t="str">
            <v>JARNO MANNI</v>
          </cell>
          <cell r="B4514">
            <v>7334</v>
          </cell>
        </row>
        <row r="4515">
          <cell r="A4515" t="str">
            <v>JOUKO MANNI</v>
          </cell>
          <cell r="B4515">
            <v>3417</v>
          </cell>
        </row>
        <row r="4516">
          <cell r="A4516" t="str">
            <v>IVO MANNINE</v>
          </cell>
          <cell r="B4516">
            <v>4373</v>
          </cell>
        </row>
        <row r="4517">
          <cell r="A4517" t="str">
            <v>KAIRI MANNINEN</v>
          </cell>
          <cell r="B4517">
            <v>7247</v>
          </cell>
        </row>
        <row r="4518">
          <cell r="A4518" t="str">
            <v>HUGO MANSBERG</v>
          </cell>
          <cell r="B4518">
            <v>10186</v>
          </cell>
        </row>
        <row r="4519">
          <cell r="A4519" t="str">
            <v>SERGEI MANTUROV</v>
          </cell>
          <cell r="B4519">
            <v>1239</v>
          </cell>
        </row>
        <row r="4520">
          <cell r="A4520" t="str">
            <v>VITALI MANTUROV</v>
          </cell>
          <cell r="B4520">
            <v>1238</v>
          </cell>
        </row>
        <row r="4521">
          <cell r="A4521" t="str">
            <v>VALERI MANUKJAN</v>
          </cell>
          <cell r="B4521">
            <v>1266</v>
          </cell>
        </row>
        <row r="4522">
          <cell r="A4522" t="str">
            <v>ARNI MÜÜR</v>
          </cell>
          <cell r="B4522">
            <v>216</v>
          </cell>
        </row>
        <row r="4523">
          <cell r="A4523" t="str">
            <v>ERKI MÜÜR</v>
          </cell>
          <cell r="B4523">
            <v>2481</v>
          </cell>
        </row>
        <row r="4524">
          <cell r="A4524" t="str">
            <v>PIRET MÜÜR</v>
          </cell>
          <cell r="B4524">
            <v>2403</v>
          </cell>
        </row>
        <row r="4525">
          <cell r="A4525" t="str">
            <v>SIRET MÜÜR</v>
          </cell>
          <cell r="B4525">
            <v>2804</v>
          </cell>
        </row>
        <row r="4526">
          <cell r="A4526" t="str">
            <v>TARMO MÜÜR</v>
          </cell>
          <cell r="B4526">
            <v>3958</v>
          </cell>
        </row>
        <row r="4527">
          <cell r="A4527" t="str">
            <v>TIIA MÜÜRISEPP</v>
          </cell>
          <cell r="B4527">
            <v>2629</v>
          </cell>
        </row>
        <row r="4528">
          <cell r="A4528" t="str">
            <v>EGON MÜÜRSEPP</v>
          </cell>
          <cell r="B4528">
            <v>4400</v>
          </cell>
        </row>
        <row r="4529">
          <cell r="A4529" t="str">
            <v>JÜRI MÜÜRSEPP</v>
          </cell>
          <cell r="B4529">
            <v>4832</v>
          </cell>
        </row>
        <row r="4530">
          <cell r="A4530" t="str">
            <v>TOIVO MÜNDI</v>
          </cell>
          <cell r="B4530">
            <v>8733</v>
          </cell>
        </row>
        <row r="4531">
          <cell r="A4531" t="str">
            <v>KRISTO MÜRK</v>
          </cell>
          <cell r="B4531">
            <v>3432</v>
          </cell>
        </row>
        <row r="4532">
          <cell r="A4532" t="str">
            <v>MAKSIM MÜRK</v>
          </cell>
          <cell r="B4532">
            <v>8692</v>
          </cell>
        </row>
        <row r="4533">
          <cell r="A4533" t="str">
            <v>RAIN MÜRKHAIN</v>
          </cell>
          <cell r="B4533">
            <v>5540</v>
          </cell>
        </row>
        <row r="4534">
          <cell r="A4534" t="str">
            <v>MARGUS MARANDI</v>
          </cell>
          <cell r="B4534">
            <v>7821</v>
          </cell>
        </row>
        <row r="4535">
          <cell r="A4535" t="str">
            <v>KIRILL MARCHUK</v>
          </cell>
          <cell r="B4535">
            <v>9833</v>
          </cell>
        </row>
        <row r="4536">
          <cell r="A4536" t="str">
            <v>DARIUS MARCINAUSKAS</v>
          </cell>
          <cell r="B4536">
            <v>3165</v>
          </cell>
        </row>
        <row r="4537">
          <cell r="A4537" t="str">
            <v>EVELIN MARDLA</v>
          </cell>
          <cell r="B4537">
            <v>7796</v>
          </cell>
        </row>
        <row r="4538">
          <cell r="A4538" t="str">
            <v>AHTI MARDO</v>
          </cell>
          <cell r="B4538">
            <v>1057</v>
          </cell>
        </row>
        <row r="4539">
          <cell r="A4539" t="str">
            <v>MARKUS MAREMÄE</v>
          </cell>
          <cell r="B4539">
            <v>9445</v>
          </cell>
        </row>
        <row r="4540">
          <cell r="A4540" t="str">
            <v>MARI-LIIS MARGE</v>
          </cell>
          <cell r="B4540">
            <v>4092</v>
          </cell>
        </row>
        <row r="4541">
          <cell r="A4541" t="str">
            <v>IGOR MARGOV</v>
          </cell>
          <cell r="B4541">
            <v>3231</v>
          </cell>
        </row>
        <row r="4542">
          <cell r="A4542" t="str">
            <v>KAUPO MARGUSONOV</v>
          </cell>
          <cell r="B4542">
            <v>8293</v>
          </cell>
        </row>
        <row r="4543">
          <cell r="A4543" t="str">
            <v>MADIS MARGUSSON</v>
          </cell>
          <cell r="B4543">
            <v>2019</v>
          </cell>
        </row>
        <row r="4544">
          <cell r="A4544" t="str">
            <v>SALLY MARIBO</v>
          </cell>
          <cell r="B4544">
            <v>9432</v>
          </cell>
        </row>
        <row r="4545">
          <cell r="A4545" t="str">
            <v>SONALI MARIPU</v>
          </cell>
          <cell r="B4545">
            <v>9144</v>
          </cell>
        </row>
        <row r="4546">
          <cell r="A4546" t="str">
            <v>AHTI MARIPUU</v>
          </cell>
          <cell r="B4546">
            <v>3020</v>
          </cell>
        </row>
        <row r="4547">
          <cell r="A4547" t="str">
            <v>KRISTJAN MARIPUU</v>
          </cell>
          <cell r="B4547">
            <v>3821</v>
          </cell>
        </row>
        <row r="4548">
          <cell r="A4548" t="str">
            <v>RIHO MARIPUU</v>
          </cell>
          <cell r="B4548">
            <v>6251</v>
          </cell>
        </row>
        <row r="4549">
          <cell r="A4549" t="str">
            <v>SULEV MARJA</v>
          </cell>
          <cell r="B4549">
            <v>7300</v>
          </cell>
        </row>
        <row r="4550">
          <cell r="A4550" t="str">
            <v>MAGNUS MARJAPUU</v>
          </cell>
          <cell r="B4550">
            <v>3037</v>
          </cell>
        </row>
        <row r="4551">
          <cell r="A4551" t="str">
            <v>OLIVER MARK</v>
          </cell>
          <cell r="B4551">
            <v>7665</v>
          </cell>
        </row>
        <row r="4552">
          <cell r="A4552" t="str">
            <v>RISTO MARK</v>
          </cell>
          <cell r="B4552">
            <v>3822</v>
          </cell>
        </row>
        <row r="4553">
          <cell r="A4553" t="str">
            <v>ELENA MARKEVISH</v>
          </cell>
          <cell r="B4553">
            <v>3997</v>
          </cell>
        </row>
        <row r="4554">
          <cell r="A4554" t="str">
            <v>ELENA MARKEVITSH</v>
          </cell>
          <cell r="B4554">
            <v>3369</v>
          </cell>
        </row>
        <row r="4555">
          <cell r="A4555" t="str">
            <v>VADIM MARKOV</v>
          </cell>
          <cell r="B4555">
            <v>1280</v>
          </cell>
        </row>
        <row r="4556">
          <cell r="A4556" t="str">
            <v>ANNA MARKOVA</v>
          </cell>
          <cell r="B4556">
            <v>7560</v>
          </cell>
        </row>
        <row r="4557">
          <cell r="A4557" t="str">
            <v>ELĪZA MARKOVSKA</v>
          </cell>
          <cell r="B4557">
            <v>8434</v>
          </cell>
        </row>
        <row r="4558">
          <cell r="A4558" t="str">
            <v>MARI MARKS</v>
          </cell>
          <cell r="B4558">
            <v>86</v>
          </cell>
        </row>
        <row r="4559">
          <cell r="A4559" t="str">
            <v>MARI LIIS MARKUS</v>
          </cell>
          <cell r="B4559">
            <v>5412</v>
          </cell>
        </row>
        <row r="4560">
          <cell r="A4560" t="str">
            <v>ANDREI MARNAUSSOV</v>
          </cell>
          <cell r="B4560">
            <v>1574</v>
          </cell>
        </row>
        <row r="4561">
          <cell r="A4561" t="str">
            <v>JEKATERINA MAROVA</v>
          </cell>
          <cell r="B4561">
            <v>6041</v>
          </cell>
        </row>
        <row r="4562">
          <cell r="A4562" t="str">
            <v>AMAR MARRAN</v>
          </cell>
          <cell r="B4562">
            <v>208</v>
          </cell>
        </row>
        <row r="4563">
          <cell r="A4563" t="str">
            <v>SIIM-TOOMAS MARRAN</v>
          </cell>
          <cell r="B4563">
            <v>1157</v>
          </cell>
        </row>
        <row r="4564">
          <cell r="A4564" t="str">
            <v>TEET MARRAN</v>
          </cell>
          <cell r="B4564">
            <v>4013</v>
          </cell>
        </row>
        <row r="4565">
          <cell r="A4565" t="str">
            <v>TIMUR MARTŠENKO</v>
          </cell>
          <cell r="B4565">
            <v>7413</v>
          </cell>
        </row>
        <row r="4566">
          <cell r="A4566" t="str">
            <v>ARTJOM MARTŠIŠIN</v>
          </cell>
          <cell r="B4566">
            <v>8194</v>
          </cell>
        </row>
        <row r="4567">
          <cell r="A4567" t="str">
            <v>KIRILL MARTÕNENKO</v>
          </cell>
          <cell r="B4567">
            <v>5137</v>
          </cell>
        </row>
        <row r="4568">
          <cell r="A4568" t="str">
            <v>KRISTIINA MARTÕNOVA</v>
          </cell>
          <cell r="B4568">
            <v>88</v>
          </cell>
        </row>
        <row r="4569">
          <cell r="A4569" t="str">
            <v>ALISIA MARTALOVA</v>
          </cell>
          <cell r="B4569">
            <v>10354</v>
          </cell>
        </row>
        <row r="4570">
          <cell r="A4570" t="str">
            <v>DANIEL MARTANOV</v>
          </cell>
          <cell r="B4570">
            <v>7222</v>
          </cell>
        </row>
        <row r="4571">
          <cell r="A4571" t="str">
            <v>OTT-KAAREL MARTENS</v>
          </cell>
          <cell r="B4571">
            <v>4374</v>
          </cell>
        </row>
        <row r="4572">
          <cell r="A4572" t="str">
            <v>ALEKSEI MARTIN</v>
          </cell>
          <cell r="B4572">
            <v>209</v>
          </cell>
        </row>
        <row r="4573">
          <cell r="A4573" t="str">
            <v>ANNI MARTIN</v>
          </cell>
          <cell r="B4573">
            <v>9628</v>
          </cell>
        </row>
        <row r="4574">
          <cell r="A4574" t="str">
            <v>ARELI MARTIN</v>
          </cell>
          <cell r="B4574">
            <v>7169</v>
          </cell>
        </row>
        <row r="4575">
          <cell r="A4575" t="str">
            <v>EMILIA MARTIN</v>
          </cell>
          <cell r="B4575">
            <v>138</v>
          </cell>
        </row>
        <row r="4576">
          <cell r="A4576" t="str">
            <v>JÜRI MARTIN</v>
          </cell>
          <cell r="B4576">
            <v>219</v>
          </cell>
        </row>
        <row r="4577">
          <cell r="A4577" t="str">
            <v>MART MARTIN</v>
          </cell>
          <cell r="B4577">
            <v>353</v>
          </cell>
        </row>
        <row r="4578">
          <cell r="A4578" t="str">
            <v>DÄVIS JURIS MARTINI</v>
          </cell>
          <cell r="B4578">
            <v>2767</v>
          </cell>
        </row>
        <row r="4579">
          <cell r="A4579" t="str">
            <v>VALDAS MARTINKUS</v>
          </cell>
          <cell r="B4579">
            <v>2763</v>
          </cell>
        </row>
        <row r="4580">
          <cell r="A4580" t="str">
            <v>LINA MARTINKĖ</v>
          </cell>
          <cell r="B4580">
            <v>10229</v>
          </cell>
        </row>
        <row r="4581">
          <cell r="A4581" t="str">
            <v>AVO MARTINSON</v>
          </cell>
          <cell r="B4581">
            <v>8174</v>
          </cell>
        </row>
        <row r="4582">
          <cell r="A4582" t="str">
            <v>ROMET MARTJAN</v>
          </cell>
          <cell r="B4582">
            <v>8159</v>
          </cell>
        </row>
        <row r="4583">
          <cell r="A4583" t="str">
            <v>DMITRI MARTSENKO</v>
          </cell>
          <cell r="B4583">
            <v>2991</v>
          </cell>
        </row>
        <row r="4584">
          <cell r="A4584" t="str">
            <v>MARKUS MARTSEP</v>
          </cell>
          <cell r="B4584">
            <v>5578</v>
          </cell>
        </row>
        <row r="4585">
          <cell r="A4585" t="str">
            <v>NUNO MARTTINEN</v>
          </cell>
          <cell r="B4585">
            <v>8907</v>
          </cell>
        </row>
        <row r="4586">
          <cell r="A4586" t="str">
            <v>VIACHESLAV MARTYNENKO</v>
          </cell>
          <cell r="B4586">
            <v>9622</v>
          </cell>
        </row>
        <row r="4587">
          <cell r="A4587" t="str">
            <v>MATVEI MARTYNOV</v>
          </cell>
          <cell r="B4587">
            <v>8313</v>
          </cell>
        </row>
        <row r="4588">
          <cell r="A4588" t="str">
            <v>DARIA MARTYNOVA</v>
          </cell>
          <cell r="B4588">
            <v>5655</v>
          </cell>
        </row>
        <row r="4589">
          <cell r="A4589" t="str">
            <v>ARKADI MASHEGIROV</v>
          </cell>
          <cell r="B4589">
            <v>1265</v>
          </cell>
        </row>
        <row r="4590">
          <cell r="A4590" t="str">
            <v>ERNAT MASIK</v>
          </cell>
          <cell r="B4590">
            <v>210</v>
          </cell>
        </row>
        <row r="4591">
          <cell r="A4591" t="str">
            <v>ROBIN MARKUS MASING</v>
          </cell>
          <cell r="B4591">
            <v>9450</v>
          </cell>
        </row>
        <row r="4592">
          <cell r="A4592" t="str">
            <v>ALEKSANDRS MASKALONOKS</v>
          </cell>
          <cell r="B4592">
            <v>7466</v>
          </cell>
        </row>
        <row r="4593">
          <cell r="A4593" t="str">
            <v>ANDREI MASLAKOV</v>
          </cell>
          <cell r="B4593">
            <v>10559</v>
          </cell>
        </row>
        <row r="4594">
          <cell r="A4594" t="str">
            <v>SERGEI MASLENNIKOV</v>
          </cell>
          <cell r="B4594">
            <v>1363</v>
          </cell>
        </row>
        <row r="4595">
          <cell r="A4595" t="str">
            <v>JEVGENI MASLOV</v>
          </cell>
          <cell r="B4595">
            <v>5103</v>
          </cell>
        </row>
        <row r="4596">
          <cell r="A4596" t="str">
            <v>TATJANA MASLOVA</v>
          </cell>
          <cell r="B4596">
            <v>3403</v>
          </cell>
        </row>
        <row r="4597">
          <cell r="A4597" t="str">
            <v>LEONIDS MASLOVS</v>
          </cell>
          <cell r="B4597">
            <v>1657</v>
          </cell>
        </row>
        <row r="4598">
          <cell r="A4598" t="str">
            <v>JAKOB MASS</v>
          </cell>
          <cell r="B4598">
            <v>4021</v>
          </cell>
        </row>
        <row r="4599">
          <cell r="A4599" t="str">
            <v>ALEKSANDR MASTAKOV</v>
          </cell>
          <cell r="B4599">
            <v>4375</v>
          </cell>
        </row>
        <row r="4600">
          <cell r="A4600" t="str">
            <v>KENNY-ROBIN MASTAKOV</v>
          </cell>
          <cell r="B4600">
            <v>8255</v>
          </cell>
        </row>
        <row r="4601">
          <cell r="A4601" t="str">
            <v>KARINA MAZANOVA</v>
          </cell>
          <cell r="B4601">
            <v>9163</v>
          </cell>
        </row>
        <row r="4602">
          <cell r="A4602" t="str">
            <v>MATVEI MAZKOVY</v>
          </cell>
          <cell r="B4602">
            <v>10666</v>
          </cell>
        </row>
        <row r="4603">
          <cell r="A4603" t="str">
            <v>MARTINS MAZLAZDINS</v>
          </cell>
          <cell r="B4603">
            <v>2596</v>
          </cell>
        </row>
        <row r="4604">
          <cell r="A4604" t="str">
            <v>OLIVER MAZURTSAK</v>
          </cell>
          <cell r="B4604">
            <v>2606</v>
          </cell>
        </row>
        <row r="4605">
          <cell r="A4605" t="str">
            <v>VASILY MAZYLUK</v>
          </cell>
          <cell r="B4605">
            <v>9733</v>
          </cell>
        </row>
        <row r="4606">
          <cell r="A4606" t="str">
            <v>PLATON MATŠÕNSKI</v>
          </cell>
          <cell r="B4606">
            <v>7188</v>
          </cell>
        </row>
        <row r="4607">
          <cell r="A4607" t="str">
            <v>ARTJOM MATŠIŠIN</v>
          </cell>
          <cell r="B4607">
            <v>8362</v>
          </cell>
        </row>
        <row r="4608">
          <cell r="A4608" t="str">
            <v>KEN MATERO</v>
          </cell>
          <cell r="B4608">
            <v>4108</v>
          </cell>
        </row>
        <row r="4609">
          <cell r="A4609" t="str">
            <v>ECATERINA MATIISEN</v>
          </cell>
          <cell r="B4609">
            <v>5392</v>
          </cell>
        </row>
        <row r="4610">
          <cell r="A4610" t="str">
            <v>OLGA MATINA</v>
          </cell>
          <cell r="B4610">
            <v>1334</v>
          </cell>
        </row>
        <row r="4611">
          <cell r="A4611" t="str">
            <v>NILS MATISOVS</v>
          </cell>
          <cell r="B4611">
            <v>9361</v>
          </cell>
        </row>
        <row r="4612">
          <cell r="A4612" t="str">
            <v>ANNA MATJUSHKO</v>
          </cell>
          <cell r="B4612">
            <v>5635</v>
          </cell>
        </row>
        <row r="4613">
          <cell r="A4613" t="str">
            <v>KAUPO MATRIHHIN</v>
          </cell>
          <cell r="B4613">
            <v>7770</v>
          </cell>
        </row>
        <row r="4614">
          <cell r="A4614" t="str">
            <v>DMITRI MATROSSOV</v>
          </cell>
          <cell r="B4614">
            <v>10479</v>
          </cell>
        </row>
        <row r="4615">
          <cell r="A4615" t="str">
            <v>MAREK MATS</v>
          </cell>
          <cell r="B4615">
            <v>3137</v>
          </cell>
        </row>
        <row r="4616">
          <cell r="A4616" t="str">
            <v>SILVER MATT</v>
          </cell>
          <cell r="B4616">
            <v>1359</v>
          </cell>
        </row>
        <row r="4617">
          <cell r="A4617" t="str">
            <v>PEETER MATTI</v>
          </cell>
          <cell r="B4617">
            <v>7489</v>
          </cell>
        </row>
        <row r="4618">
          <cell r="A4618" t="str">
            <v>JAAK MATTO</v>
          </cell>
          <cell r="B4618">
            <v>4376</v>
          </cell>
        </row>
        <row r="4619">
          <cell r="A4619" t="str">
            <v>JOHAN MATTSSON</v>
          </cell>
          <cell r="B4619">
            <v>2313</v>
          </cell>
        </row>
        <row r="4620">
          <cell r="A4620" t="str">
            <v>VYGANTAS MATULEVICIUS</v>
          </cell>
          <cell r="B4620">
            <v>9986</v>
          </cell>
        </row>
        <row r="4621">
          <cell r="A4621" t="str">
            <v>DANIEL MATULJONIS</v>
          </cell>
          <cell r="B4621">
            <v>8050</v>
          </cell>
        </row>
        <row r="4622">
          <cell r="A4622" t="str">
            <v>ANDREI MATVEJEV</v>
          </cell>
          <cell r="B4622">
            <v>5138</v>
          </cell>
        </row>
        <row r="4623">
          <cell r="A4623" t="str">
            <v>JAN MATVEJEV</v>
          </cell>
          <cell r="B4623">
            <v>6033</v>
          </cell>
        </row>
        <row r="4624">
          <cell r="A4624" t="str">
            <v>NIKOLAI MATVEJEV</v>
          </cell>
          <cell r="B4624">
            <v>2601</v>
          </cell>
        </row>
        <row r="4625">
          <cell r="A4625" t="str">
            <v>JANA MATVEJEVA</v>
          </cell>
          <cell r="B4625">
            <v>8377</v>
          </cell>
        </row>
        <row r="4626">
          <cell r="A4626" t="str">
            <v>LIINA MAURER</v>
          </cell>
          <cell r="B4626">
            <v>3585</v>
          </cell>
        </row>
        <row r="4627">
          <cell r="A4627" t="str">
            <v>SAMANTA MAURINA</v>
          </cell>
          <cell r="B4627">
            <v>5495</v>
          </cell>
        </row>
        <row r="4628">
          <cell r="A4628" t="str">
            <v>IEVA MAČIULSKYTĖ</v>
          </cell>
          <cell r="B4628">
            <v>9354</v>
          </cell>
        </row>
        <row r="4629">
          <cell r="A4629" t="str">
            <v>VAKARIS MECIONIS</v>
          </cell>
          <cell r="B4629">
            <v>8146</v>
          </cell>
        </row>
        <row r="4630">
          <cell r="A4630" t="str">
            <v>SIRLI MEDAR</v>
          </cell>
          <cell r="B4630">
            <v>4377</v>
          </cell>
        </row>
        <row r="4631">
          <cell r="A4631" t="str">
            <v>DOIKANBAI MEDERBEKOV</v>
          </cell>
          <cell r="B4631">
            <v>8187</v>
          </cell>
        </row>
        <row r="4632">
          <cell r="A4632" t="str">
            <v>MEHLIS MEDERBEKOV</v>
          </cell>
          <cell r="B4632">
            <v>4022</v>
          </cell>
        </row>
        <row r="4633">
          <cell r="A4633" t="str">
            <v>MIRLAN MEDERBEKOV</v>
          </cell>
          <cell r="B4633">
            <v>1247</v>
          </cell>
        </row>
        <row r="4634">
          <cell r="A4634" t="str">
            <v>VIKTORIJA MEDKOVA</v>
          </cell>
          <cell r="B4634">
            <v>9165</v>
          </cell>
        </row>
        <row r="4635">
          <cell r="A4635" t="str">
            <v>SERGEI MEDVEDEV</v>
          </cell>
          <cell r="B4635">
            <v>10093</v>
          </cell>
        </row>
        <row r="4636">
          <cell r="A4636" t="str">
            <v>JURI MEDVEDJEV</v>
          </cell>
          <cell r="B4636">
            <v>4378</v>
          </cell>
        </row>
        <row r="4637">
          <cell r="A4637" t="str">
            <v>VLADIMIR MEDVEJDEV</v>
          </cell>
          <cell r="B4637">
            <v>382</v>
          </cell>
        </row>
        <row r="4638">
          <cell r="A4638" t="str">
            <v>VILJAR MEE</v>
          </cell>
          <cell r="B4638">
            <v>8326</v>
          </cell>
        </row>
        <row r="4639">
          <cell r="A4639" t="str">
            <v>KAIMAR MEEKLER</v>
          </cell>
          <cell r="B4639">
            <v>8356</v>
          </cell>
        </row>
        <row r="4640">
          <cell r="A4640" t="str">
            <v>KOLLIN MEELIS</v>
          </cell>
          <cell r="B4640">
            <v>5543</v>
          </cell>
        </row>
        <row r="4641">
          <cell r="A4641" t="str">
            <v>JOONAS MEER</v>
          </cell>
          <cell r="B4641">
            <v>4684</v>
          </cell>
        </row>
        <row r="4642">
          <cell r="A4642" t="str">
            <v>MIKK MEERAS</v>
          </cell>
          <cell r="B4642">
            <v>3339</v>
          </cell>
        </row>
        <row r="4643">
          <cell r="A4643" t="str">
            <v>PAAVO MEERU</v>
          </cell>
          <cell r="B4643">
            <v>217</v>
          </cell>
        </row>
        <row r="4644">
          <cell r="A4644" t="str">
            <v>TAISI MEETUA</v>
          </cell>
          <cell r="B4644">
            <v>4379</v>
          </cell>
        </row>
        <row r="4645">
          <cell r="A4645" t="str">
            <v>JEGOR MEH</v>
          </cell>
          <cell r="B4645">
            <v>9028</v>
          </cell>
        </row>
        <row r="4646">
          <cell r="A4646" t="str">
            <v>KATRIN MEHINE</v>
          </cell>
          <cell r="B4646">
            <v>1161</v>
          </cell>
        </row>
        <row r="4647">
          <cell r="A4647" t="str">
            <v>EDGAR MEIER</v>
          </cell>
          <cell r="B4647">
            <v>1593</v>
          </cell>
        </row>
        <row r="4648">
          <cell r="A4648" t="str">
            <v>INDREK MEIER</v>
          </cell>
          <cell r="B4648">
            <v>7865</v>
          </cell>
        </row>
        <row r="4649">
          <cell r="A4649" t="str">
            <v>MARION MEIER</v>
          </cell>
          <cell r="B4649">
            <v>4985</v>
          </cell>
        </row>
        <row r="4650">
          <cell r="A4650" t="str">
            <v>MERIKE MEIER</v>
          </cell>
          <cell r="B4650">
            <v>9143</v>
          </cell>
        </row>
        <row r="4651">
          <cell r="A4651" t="str">
            <v>DANIEL MEIJEL</v>
          </cell>
          <cell r="B4651">
            <v>211</v>
          </cell>
        </row>
        <row r="4652">
          <cell r="A4652" t="str">
            <v>LAUMA MEIMERE</v>
          </cell>
          <cell r="B4652">
            <v>3709</v>
          </cell>
        </row>
        <row r="4653">
          <cell r="A4653" t="str">
            <v>MADIS MEIMRE</v>
          </cell>
          <cell r="B4653">
            <v>387</v>
          </cell>
        </row>
        <row r="4654">
          <cell r="A4654" t="str">
            <v>OTT KAAREL MEINART</v>
          </cell>
          <cell r="B4654">
            <v>8529</v>
          </cell>
        </row>
        <row r="4655">
          <cell r="A4655" t="str">
            <v>LAILA MEINHARDA</v>
          </cell>
          <cell r="B4655">
            <v>3563</v>
          </cell>
        </row>
        <row r="4656">
          <cell r="A4656" t="str">
            <v>LAURA MEINHARDA</v>
          </cell>
          <cell r="B4656">
            <v>3564</v>
          </cell>
        </row>
        <row r="4657">
          <cell r="A4657" t="str">
            <v>MATS MEINSETH</v>
          </cell>
          <cell r="B4657">
            <v>5104</v>
          </cell>
        </row>
        <row r="4658">
          <cell r="A4658" t="str">
            <v>MADIS MEISTER</v>
          </cell>
          <cell r="B4658">
            <v>7877</v>
          </cell>
        </row>
        <row r="4659">
          <cell r="A4659" t="str">
            <v>INGUS MEISTERS</v>
          </cell>
          <cell r="B4659">
            <v>7161</v>
          </cell>
        </row>
        <row r="4660">
          <cell r="A4660" t="str">
            <v>AUGUSTE MELAIKAITE</v>
          </cell>
          <cell r="B4660">
            <v>8150</v>
          </cell>
        </row>
        <row r="4661">
          <cell r="A4661" t="str">
            <v>AUGUSTĖ MELAIKAITĖ</v>
          </cell>
          <cell r="B4661">
            <v>8627</v>
          </cell>
        </row>
        <row r="4662">
          <cell r="A4662" t="str">
            <v>MAGDALENA MELCHER</v>
          </cell>
          <cell r="B4662">
            <v>1267</v>
          </cell>
        </row>
        <row r="4663">
          <cell r="A4663" t="str">
            <v>AIVAR MELDRE</v>
          </cell>
          <cell r="B4663">
            <v>2937</v>
          </cell>
        </row>
        <row r="4664">
          <cell r="A4664" t="str">
            <v>LUKA MELDRE</v>
          </cell>
          <cell r="B4664">
            <v>8895</v>
          </cell>
        </row>
        <row r="4665">
          <cell r="A4665" t="str">
            <v>ANTON MELEŠKOV</v>
          </cell>
          <cell r="B4665">
            <v>7618</v>
          </cell>
        </row>
        <row r="4666">
          <cell r="A4666" t="str">
            <v>LEONID MELIKJAN</v>
          </cell>
          <cell r="B4666">
            <v>1348</v>
          </cell>
        </row>
        <row r="4667">
          <cell r="A4667" t="str">
            <v>REZIJA MELKE</v>
          </cell>
          <cell r="B4667">
            <v>5171</v>
          </cell>
        </row>
        <row r="4668">
          <cell r="A4668" t="str">
            <v>KERSTI MELLIK</v>
          </cell>
          <cell r="B4668">
            <v>5277</v>
          </cell>
        </row>
        <row r="4669">
          <cell r="A4669" t="str">
            <v>MIIKAEL MELLIKOV</v>
          </cell>
          <cell r="B4669">
            <v>7884</v>
          </cell>
        </row>
        <row r="4670">
          <cell r="A4670" t="str">
            <v>JÖRGEN MELLIS</v>
          </cell>
          <cell r="B4670">
            <v>1485</v>
          </cell>
        </row>
        <row r="4671">
          <cell r="A4671" t="str">
            <v>SANDER MELLISTE</v>
          </cell>
          <cell r="B4671">
            <v>8746</v>
          </cell>
        </row>
        <row r="4672">
          <cell r="A4672" t="str">
            <v>ALEKSANDR MELNIKOV</v>
          </cell>
          <cell r="B4672">
            <v>7018</v>
          </cell>
        </row>
        <row r="4673">
          <cell r="A4673" t="str">
            <v>STANISLAV MELNIKOV</v>
          </cell>
          <cell r="B4673">
            <v>7013</v>
          </cell>
        </row>
        <row r="4674">
          <cell r="A4674" t="str">
            <v>VLADISLAV MELNIKOV</v>
          </cell>
          <cell r="B4674">
            <v>2893</v>
          </cell>
        </row>
        <row r="4675">
          <cell r="A4675" t="str">
            <v>ANASTASSIA MELNIKOVA</v>
          </cell>
          <cell r="B4675">
            <v>5361</v>
          </cell>
        </row>
        <row r="4676">
          <cell r="A4676" t="str">
            <v>ARINA MELNIKOVA</v>
          </cell>
          <cell r="B4676">
            <v>2903</v>
          </cell>
        </row>
        <row r="4677">
          <cell r="A4677" t="str">
            <v>VIKTOR MELTIN</v>
          </cell>
          <cell r="B4677">
            <v>7102</v>
          </cell>
        </row>
        <row r="4678">
          <cell r="A4678" t="str">
            <v>DANIEL MENŠAKOV</v>
          </cell>
          <cell r="B4678">
            <v>10560</v>
          </cell>
        </row>
        <row r="4679">
          <cell r="A4679" t="str">
            <v>RICHARDS MENCIS</v>
          </cell>
          <cell r="B4679">
            <v>520</v>
          </cell>
        </row>
        <row r="4680">
          <cell r="A4680" t="str">
            <v>MADIS MEOS</v>
          </cell>
          <cell r="B4680">
            <v>7130</v>
          </cell>
        </row>
        <row r="4681">
          <cell r="A4681" t="str">
            <v>RAUL MEOS</v>
          </cell>
          <cell r="B4681">
            <v>5943</v>
          </cell>
        </row>
        <row r="4682">
          <cell r="A4682" t="str">
            <v>ROLANDS MERA</v>
          </cell>
          <cell r="B4682">
            <v>8084</v>
          </cell>
        </row>
        <row r="4683">
          <cell r="A4683" t="str">
            <v>ANDREAS MERE</v>
          </cell>
          <cell r="B4683">
            <v>8868</v>
          </cell>
        </row>
        <row r="4684">
          <cell r="A4684" t="str">
            <v>ARMIN MERE</v>
          </cell>
          <cell r="B4684">
            <v>7363</v>
          </cell>
        </row>
        <row r="4685">
          <cell r="A4685" t="str">
            <v>KRISTO MERE</v>
          </cell>
          <cell r="B4685">
            <v>9085</v>
          </cell>
        </row>
        <row r="4686">
          <cell r="A4686" t="str">
            <v>RAIVO MEREKIVI</v>
          </cell>
          <cell r="B4686">
            <v>9541</v>
          </cell>
        </row>
        <row r="4687">
          <cell r="A4687" t="str">
            <v>TAURI MEREMAA</v>
          </cell>
          <cell r="B4687">
            <v>3043</v>
          </cell>
        </row>
        <row r="4688">
          <cell r="A4688" t="str">
            <v>RAILIS MERENÄKK</v>
          </cell>
          <cell r="B4688">
            <v>10272</v>
          </cell>
        </row>
        <row r="4689">
          <cell r="A4689" t="str">
            <v>RENNO MERENÄKK</v>
          </cell>
          <cell r="B4689">
            <v>8755</v>
          </cell>
        </row>
        <row r="4690">
          <cell r="A4690" t="str">
            <v>ARNOLD MERENDI</v>
          </cell>
          <cell r="B4690">
            <v>4685</v>
          </cell>
        </row>
        <row r="4691">
          <cell r="A4691" t="str">
            <v>ELISABETA MERENDI</v>
          </cell>
          <cell r="B4691">
            <v>7262</v>
          </cell>
        </row>
        <row r="4692">
          <cell r="A4692" t="str">
            <v>MÄRT MERESMAA</v>
          </cell>
          <cell r="B4692">
            <v>2328</v>
          </cell>
        </row>
        <row r="4693">
          <cell r="A4693" t="str">
            <v>ARVI MERIGAN</v>
          </cell>
          <cell r="B4693">
            <v>8207</v>
          </cell>
        </row>
        <row r="4694">
          <cell r="A4694" t="str">
            <v>MARGO MERIGAN</v>
          </cell>
          <cell r="B4694">
            <v>8072</v>
          </cell>
        </row>
        <row r="4695">
          <cell r="A4695" t="str">
            <v>ÕUNMAA MERILI</v>
          </cell>
          <cell r="B4695">
            <v>7777</v>
          </cell>
        </row>
        <row r="4696">
          <cell r="A4696" t="str">
            <v>MIIA HELEN MERILO</v>
          </cell>
          <cell r="B4696">
            <v>5465</v>
          </cell>
        </row>
        <row r="4697">
          <cell r="A4697" t="str">
            <v>NELE-LIIS MERILO</v>
          </cell>
          <cell r="B4697">
            <v>5467</v>
          </cell>
        </row>
        <row r="4698">
          <cell r="A4698" t="str">
            <v>FREDRIK MERINGDAL</v>
          </cell>
          <cell r="B4698">
            <v>5105</v>
          </cell>
        </row>
        <row r="4699">
          <cell r="A4699" t="str">
            <v>RAUNO MERISAAR</v>
          </cell>
          <cell r="B4699">
            <v>5291</v>
          </cell>
        </row>
        <row r="4700">
          <cell r="A4700" t="str">
            <v>ÜLLE MERITEE</v>
          </cell>
          <cell r="B4700">
            <v>10646</v>
          </cell>
        </row>
        <row r="4701">
          <cell r="A4701" t="str">
            <v>EMILY-SOFIA MERIVÄLJA</v>
          </cell>
          <cell r="B4701">
            <v>7073</v>
          </cell>
        </row>
        <row r="4702">
          <cell r="A4702" t="str">
            <v>MARTI MERIVEE</v>
          </cell>
          <cell r="B4702">
            <v>1097</v>
          </cell>
        </row>
        <row r="4703">
          <cell r="A4703" t="str">
            <v>ANASTASSIA MERKULOVA</v>
          </cell>
          <cell r="B4703">
            <v>3326</v>
          </cell>
        </row>
        <row r="4704">
          <cell r="A4704" t="str">
            <v>DIANA MERKULOVA</v>
          </cell>
          <cell r="B4704">
            <v>5478</v>
          </cell>
        </row>
        <row r="4705">
          <cell r="A4705" t="str">
            <v>BRUNO MERZEJEVSKI</v>
          </cell>
          <cell r="B4705">
            <v>3241</v>
          </cell>
        </row>
        <row r="4706">
          <cell r="A4706" t="str">
            <v>JEKATERINA MESHCHANINOVA NOVIKOVA</v>
          </cell>
          <cell r="B4706">
            <v>1571</v>
          </cell>
        </row>
        <row r="4707">
          <cell r="A4707" t="str">
            <v>KALEV MESILA</v>
          </cell>
          <cell r="B4707">
            <v>907</v>
          </cell>
        </row>
        <row r="4708">
          <cell r="A4708" t="str">
            <v>KASPAR MESILA</v>
          </cell>
          <cell r="B4708">
            <v>7480</v>
          </cell>
        </row>
        <row r="4709">
          <cell r="A4709" t="str">
            <v>MAREK MESILA</v>
          </cell>
          <cell r="B4709">
            <v>7479</v>
          </cell>
        </row>
        <row r="4710">
          <cell r="A4710" t="str">
            <v>VILHO MESIPUU</v>
          </cell>
          <cell r="B4710">
            <v>8327</v>
          </cell>
        </row>
        <row r="4711">
          <cell r="A4711" t="str">
            <v>LASMA MEZAKA</v>
          </cell>
          <cell r="B4711">
            <v>2851</v>
          </cell>
        </row>
        <row r="4712">
          <cell r="A4712" t="str">
            <v>NIKITA MEZHANOV</v>
          </cell>
          <cell r="B4712">
            <v>466</v>
          </cell>
        </row>
        <row r="4713">
          <cell r="A4713" t="str">
            <v>ANNE METELSKAJA</v>
          </cell>
          <cell r="B4713">
            <v>9440</v>
          </cell>
        </row>
        <row r="4714">
          <cell r="A4714" t="str">
            <v>HANNO METS</v>
          </cell>
          <cell r="B4714">
            <v>3438</v>
          </cell>
        </row>
        <row r="4715">
          <cell r="A4715" t="str">
            <v>HARDI METS</v>
          </cell>
          <cell r="B4715">
            <v>1144</v>
          </cell>
        </row>
        <row r="4716">
          <cell r="A4716" t="str">
            <v>HUGO METS</v>
          </cell>
          <cell r="B4716">
            <v>8471</v>
          </cell>
        </row>
        <row r="4717">
          <cell r="A4717" t="str">
            <v>INDREK METS</v>
          </cell>
          <cell r="B4717">
            <v>4380</v>
          </cell>
        </row>
        <row r="4718">
          <cell r="A4718" t="str">
            <v>JOHANNES METS</v>
          </cell>
          <cell r="B4718">
            <v>2029</v>
          </cell>
        </row>
        <row r="4719">
          <cell r="A4719" t="str">
            <v>KRISTJAN METS</v>
          </cell>
          <cell r="B4719">
            <v>5228</v>
          </cell>
        </row>
        <row r="4720">
          <cell r="A4720" t="str">
            <v>LAURI METS</v>
          </cell>
          <cell r="B4720">
            <v>3045</v>
          </cell>
        </row>
        <row r="4721">
          <cell r="A4721" t="str">
            <v>MAIRO METS</v>
          </cell>
          <cell r="B4721">
            <v>3265</v>
          </cell>
        </row>
        <row r="4722">
          <cell r="A4722" t="str">
            <v>MAIRO METS</v>
          </cell>
          <cell r="B4722">
            <v>7797</v>
          </cell>
        </row>
        <row r="4723">
          <cell r="A4723" t="str">
            <v>RAUNO METS</v>
          </cell>
          <cell r="B4723">
            <v>3063</v>
          </cell>
        </row>
        <row r="4724">
          <cell r="A4724" t="str">
            <v>RIHO METS</v>
          </cell>
          <cell r="B4724">
            <v>10165</v>
          </cell>
        </row>
        <row r="4725">
          <cell r="A4725" t="str">
            <v>RIIVO METS</v>
          </cell>
          <cell r="B4725">
            <v>3067</v>
          </cell>
        </row>
        <row r="4726">
          <cell r="A4726" t="str">
            <v>TOOMAS METS</v>
          </cell>
          <cell r="B4726">
            <v>10039</v>
          </cell>
        </row>
        <row r="4727">
          <cell r="A4727" t="str">
            <v>UDO METS</v>
          </cell>
          <cell r="B4727">
            <v>1857</v>
          </cell>
        </row>
        <row r="4728">
          <cell r="A4728" t="str">
            <v>NOEL ELIAS METSÄTIE</v>
          </cell>
          <cell r="B4728">
            <v>10741</v>
          </cell>
        </row>
        <row r="4729">
          <cell r="A4729" t="str">
            <v>STEN METSAÄÄR</v>
          </cell>
          <cell r="B4729">
            <v>2394</v>
          </cell>
        </row>
        <row r="4730">
          <cell r="A4730" t="str">
            <v>VEIKO METSAÄÄR</v>
          </cell>
          <cell r="B4730">
            <v>1881</v>
          </cell>
        </row>
        <row r="4731">
          <cell r="A4731" t="str">
            <v>HELENA-LIIS METSALA</v>
          </cell>
          <cell r="B4731">
            <v>9238</v>
          </cell>
        </row>
        <row r="4732">
          <cell r="A4732" t="str">
            <v>ANDRES METSAOTS</v>
          </cell>
          <cell r="B4732">
            <v>1583</v>
          </cell>
        </row>
        <row r="4733">
          <cell r="A4733" t="str">
            <v>MAARJA METSAOTS</v>
          </cell>
          <cell r="B4733">
            <v>1873</v>
          </cell>
        </row>
        <row r="4734">
          <cell r="A4734" t="str">
            <v>MARKUS ERIK METSIS</v>
          </cell>
          <cell r="B4734">
            <v>3823</v>
          </cell>
        </row>
        <row r="4735">
          <cell r="A4735" t="str">
            <v>MARTIN METSIS</v>
          </cell>
          <cell r="B4735">
            <v>4381</v>
          </cell>
        </row>
        <row r="4736">
          <cell r="A4736" t="str">
            <v>UNO METSMAA</v>
          </cell>
          <cell r="B4736">
            <v>5106</v>
          </cell>
        </row>
        <row r="4737">
          <cell r="A4737" t="str">
            <v>GAURI METSOJA</v>
          </cell>
          <cell r="B4737">
            <v>391</v>
          </cell>
        </row>
        <row r="4738">
          <cell r="A4738" t="str">
            <v>MARGUS METSOJA</v>
          </cell>
          <cell r="B4738">
            <v>4829</v>
          </cell>
        </row>
        <row r="4739">
          <cell r="A4739" t="str">
            <v>ANDRES METSSALU</v>
          </cell>
          <cell r="B4739">
            <v>218</v>
          </cell>
        </row>
        <row r="4740">
          <cell r="A4740" t="str">
            <v>SUSANNA METT</v>
          </cell>
          <cell r="B4740">
            <v>5276</v>
          </cell>
        </row>
        <row r="4741">
          <cell r="A4741" t="str">
            <v>LEONTI MIŠIN</v>
          </cell>
          <cell r="B4741">
            <v>7325</v>
          </cell>
        </row>
        <row r="4742">
          <cell r="A4742" t="str">
            <v>IGOR MICHAILOV</v>
          </cell>
          <cell r="B4742">
            <v>7112</v>
          </cell>
        </row>
        <row r="4743">
          <cell r="A4743" t="str">
            <v>MAGNUS MICHAL</v>
          </cell>
          <cell r="B4743">
            <v>5375</v>
          </cell>
        </row>
        <row r="4744">
          <cell r="A4744" t="str">
            <v>AKSEL MICHELSON</v>
          </cell>
          <cell r="B4744">
            <v>8614</v>
          </cell>
        </row>
        <row r="4745">
          <cell r="A4745" t="str">
            <v>RAINER MICHELSON</v>
          </cell>
          <cell r="B4745">
            <v>3824</v>
          </cell>
        </row>
        <row r="4746">
          <cell r="A4746" t="str">
            <v>STEN MICHELSON</v>
          </cell>
          <cell r="B4746">
            <v>4687</v>
          </cell>
        </row>
        <row r="4747">
          <cell r="A4747" t="str">
            <v>GEDIMINAS MICKUS</v>
          </cell>
          <cell r="B4747">
            <v>9105</v>
          </cell>
        </row>
        <row r="4748">
          <cell r="A4748" t="str">
            <v>LAURI SAKARI MIETTINEN</v>
          </cell>
          <cell r="B4748">
            <v>944</v>
          </cell>
        </row>
        <row r="4749">
          <cell r="A4749" t="str">
            <v>EKIORKE-YERIN MIEYEFA</v>
          </cell>
          <cell r="B4749">
            <v>6245</v>
          </cell>
        </row>
        <row r="4750">
          <cell r="A4750" t="str">
            <v>SAVELI MIGAI</v>
          </cell>
          <cell r="B4750">
            <v>3168</v>
          </cell>
        </row>
        <row r="4751">
          <cell r="A4751" t="str">
            <v>KADRI MIGGUR</v>
          </cell>
          <cell r="B4751">
            <v>5203</v>
          </cell>
        </row>
        <row r="4752">
          <cell r="A4752" t="str">
            <v>MIKK MIGGUR</v>
          </cell>
          <cell r="B4752">
            <v>1167</v>
          </cell>
        </row>
        <row r="4753">
          <cell r="A4753" t="str">
            <v>NEEME MIGOL</v>
          </cell>
          <cell r="B4753">
            <v>4382</v>
          </cell>
        </row>
        <row r="4754">
          <cell r="A4754" t="str">
            <v>OLEG MIGUNOV</v>
          </cell>
          <cell r="B4754">
            <v>3312</v>
          </cell>
        </row>
        <row r="4755">
          <cell r="A4755" t="str">
            <v>SERGEI MIHAILOV</v>
          </cell>
          <cell r="B4755">
            <v>9352</v>
          </cell>
        </row>
        <row r="4756">
          <cell r="A4756" t="str">
            <v>ALEKSANDR MIHHAILOV</v>
          </cell>
          <cell r="B4756">
            <v>10540</v>
          </cell>
        </row>
        <row r="4757">
          <cell r="A4757" t="str">
            <v>ANTON MIHHAILOV</v>
          </cell>
          <cell r="B4757">
            <v>1421</v>
          </cell>
        </row>
        <row r="4758">
          <cell r="A4758" t="str">
            <v>DANIL MIHHAILOV</v>
          </cell>
          <cell r="B4758">
            <v>2490</v>
          </cell>
        </row>
        <row r="4759">
          <cell r="A4759" t="str">
            <v>IGOR MIHHAILOV</v>
          </cell>
          <cell r="B4759">
            <v>7595</v>
          </cell>
        </row>
        <row r="4760">
          <cell r="A4760" t="str">
            <v>LEV MIHHAILOV</v>
          </cell>
          <cell r="B4760">
            <v>2491</v>
          </cell>
        </row>
        <row r="4761">
          <cell r="A4761" t="str">
            <v>MIHHAIL MIHHAILOV</v>
          </cell>
          <cell r="B4761">
            <v>4383</v>
          </cell>
        </row>
        <row r="4762">
          <cell r="A4762" t="str">
            <v>ELVIRA MIHHAILOVA</v>
          </cell>
          <cell r="B4762">
            <v>4384</v>
          </cell>
        </row>
        <row r="4763">
          <cell r="A4763" t="str">
            <v>KATERINA MIHHAILOVA</v>
          </cell>
          <cell r="B4763">
            <v>89</v>
          </cell>
        </row>
        <row r="4764">
          <cell r="A4764" t="str">
            <v>VALERIJA MIHHAILOVA</v>
          </cell>
          <cell r="B4764">
            <v>3825</v>
          </cell>
        </row>
        <row r="4765">
          <cell r="A4765" t="str">
            <v>VERA MIHHAILOVA</v>
          </cell>
          <cell r="B4765">
            <v>1562</v>
          </cell>
        </row>
        <row r="4766">
          <cell r="A4766" t="str">
            <v>VERONIKA MIHHAILOVA</v>
          </cell>
          <cell r="B4766">
            <v>1438</v>
          </cell>
        </row>
        <row r="4767">
          <cell r="A4767" t="str">
            <v>VIKTORIA MIHHAILOVA</v>
          </cell>
          <cell r="B4767">
            <v>90</v>
          </cell>
        </row>
        <row r="4768">
          <cell r="A4768" t="str">
            <v>ALEKSANDER MIHHEJEV</v>
          </cell>
          <cell r="B4768">
            <v>3375</v>
          </cell>
        </row>
        <row r="4769">
          <cell r="A4769" t="str">
            <v>DANIIL MIHHEJEV</v>
          </cell>
          <cell r="B4769">
            <v>8196</v>
          </cell>
        </row>
        <row r="4770">
          <cell r="A4770" t="str">
            <v>DMITRI MIHHEJEV</v>
          </cell>
          <cell r="B4770">
            <v>327</v>
          </cell>
        </row>
        <row r="4771">
          <cell r="A4771" t="str">
            <v>VITALI MIHHEJEV</v>
          </cell>
          <cell r="B4771">
            <v>1030</v>
          </cell>
        </row>
        <row r="4772">
          <cell r="A4772" t="str">
            <v>ARINA MIHHEJEVA</v>
          </cell>
          <cell r="B4772">
            <v>6060</v>
          </cell>
        </row>
        <row r="4773">
          <cell r="A4773" t="str">
            <v>MARIA MIHHEJEVA</v>
          </cell>
          <cell r="B4773">
            <v>3327</v>
          </cell>
        </row>
        <row r="4774">
          <cell r="A4774" t="str">
            <v>VIRGO MIHKELSOO</v>
          </cell>
          <cell r="B4774">
            <v>3233</v>
          </cell>
        </row>
        <row r="4775">
          <cell r="A4775" t="str">
            <v>MALLE MIILMANN</v>
          </cell>
          <cell r="B4775">
            <v>3667</v>
          </cell>
        </row>
        <row r="4776">
          <cell r="A4776" t="str">
            <v>MARKUS MIITER</v>
          </cell>
          <cell r="B4776">
            <v>7052</v>
          </cell>
        </row>
        <row r="4777">
          <cell r="A4777" t="str">
            <v>TAAVI MIKAADU</v>
          </cell>
          <cell r="B4777">
            <v>1475</v>
          </cell>
        </row>
        <row r="4778">
          <cell r="A4778" t="str">
            <v>TAURI MIKAADU</v>
          </cell>
          <cell r="B4778">
            <v>1469</v>
          </cell>
        </row>
        <row r="4779">
          <cell r="A4779" t="str">
            <v>MARKUS MIKALAI</v>
          </cell>
          <cell r="B4779">
            <v>10389</v>
          </cell>
        </row>
        <row r="4780">
          <cell r="A4780" t="str">
            <v>MARIJA MIKALAUSKYTE</v>
          </cell>
          <cell r="B4780">
            <v>10095</v>
          </cell>
        </row>
        <row r="4781">
          <cell r="A4781" t="str">
            <v>GRIGORI MIKHAILOV</v>
          </cell>
          <cell r="B4781">
            <v>8231</v>
          </cell>
        </row>
        <row r="4782">
          <cell r="A4782" t="str">
            <v>FJODOR MIKITJUK</v>
          </cell>
          <cell r="B4782">
            <v>2597</v>
          </cell>
        </row>
        <row r="4783">
          <cell r="A4783" t="str">
            <v>AURIS MIKK</v>
          </cell>
          <cell r="B4783">
            <v>3229</v>
          </cell>
        </row>
        <row r="4784">
          <cell r="A4784" t="str">
            <v>JENS MARTIN MIKK</v>
          </cell>
          <cell r="B4784">
            <v>8462</v>
          </cell>
        </row>
        <row r="4785">
          <cell r="A4785" t="str">
            <v>RAIVO MIKK</v>
          </cell>
          <cell r="B4785">
            <v>2460</v>
          </cell>
        </row>
        <row r="4786">
          <cell r="A4786" t="str">
            <v>REIN MIKK</v>
          </cell>
          <cell r="B4786">
            <v>3230</v>
          </cell>
        </row>
        <row r="4787">
          <cell r="A4787" t="str">
            <v>KRISTO MIKKOR</v>
          </cell>
          <cell r="B4787">
            <v>4688</v>
          </cell>
        </row>
        <row r="4788">
          <cell r="A4788" t="str">
            <v>MIKK MIKKOR</v>
          </cell>
          <cell r="B4788">
            <v>6070</v>
          </cell>
        </row>
        <row r="4789">
          <cell r="A4789" t="str">
            <v>MARITTE MIKKUS</v>
          </cell>
          <cell r="B4789">
            <v>7575</v>
          </cell>
        </row>
        <row r="4790">
          <cell r="A4790" t="str">
            <v>TAAVI MIKU</v>
          </cell>
          <cell r="B4790">
            <v>8281</v>
          </cell>
        </row>
        <row r="4791">
          <cell r="A4791" t="str">
            <v>VIKTORIA MIKULENAITE</v>
          </cell>
          <cell r="B4791">
            <v>3826</v>
          </cell>
        </row>
        <row r="4792">
          <cell r="A4792" t="str">
            <v>TOMAS MIKUTIS</v>
          </cell>
          <cell r="B4792">
            <v>3177</v>
          </cell>
        </row>
        <row r="4793">
          <cell r="A4793" t="str">
            <v>MARIO MIKVERE</v>
          </cell>
          <cell r="B4793">
            <v>452</v>
          </cell>
        </row>
        <row r="4794">
          <cell r="A4794" t="str">
            <v>TÕNU MIKVERE</v>
          </cell>
          <cell r="B4794">
            <v>212</v>
          </cell>
        </row>
        <row r="4795">
          <cell r="A4795" t="str">
            <v>ART MILATŠKOV</v>
          </cell>
          <cell r="B4795">
            <v>9609</v>
          </cell>
        </row>
        <row r="4796">
          <cell r="A4796" t="str">
            <v>MIKK MILATŠKOV</v>
          </cell>
          <cell r="B4796">
            <v>10118</v>
          </cell>
        </row>
        <row r="4797">
          <cell r="A4797" t="str">
            <v>KEITO MILBER</v>
          </cell>
          <cell r="B4797">
            <v>7786</v>
          </cell>
        </row>
        <row r="4798">
          <cell r="A4798" t="str">
            <v>NORA MILBER</v>
          </cell>
          <cell r="B4798">
            <v>10650</v>
          </cell>
        </row>
        <row r="4799">
          <cell r="A4799" t="str">
            <v>MORTEN ENDRIK MILDER</v>
          </cell>
          <cell r="B4799">
            <v>3599</v>
          </cell>
        </row>
        <row r="4800">
          <cell r="A4800" t="str">
            <v>DANIIL MILEVSKI</v>
          </cell>
          <cell r="B4800">
            <v>10065</v>
          </cell>
        </row>
        <row r="4801">
          <cell r="A4801" t="str">
            <v>MIKK MARTEN MILJAN</v>
          </cell>
          <cell r="B4801">
            <v>5563</v>
          </cell>
        </row>
        <row r="4802">
          <cell r="A4802" t="str">
            <v>BETO MILJAND</v>
          </cell>
          <cell r="B4802">
            <v>8286</v>
          </cell>
        </row>
        <row r="4803">
          <cell r="A4803" t="str">
            <v>ERIKS MILKA</v>
          </cell>
          <cell r="B4803">
            <v>3493</v>
          </cell>
        </row>
        <row r="4804">
          <cell r="A4804" t="str">
            <v>JÜRI MILL</v>
          </cell>
          <cell r="B4804">
            <v>1867</v>
          </cell>
        </row>
        <row r="4805">
          <cell r="A4805" t="str">
            <v>MAUNO MILL</v>
          </cell>
          <cell r="B4805">
            <v>2336</v>
          </cell>
        </row>
        <row r="4806">
          <cell r="A4806" t="str">
            <v>IVO MILLER</v>
          </cell>
          <cell r="B4806">
            <v>7698</v>
          </cell>
        </row>
        <row r="4807">
          <cell r="A4807" t="str">
            <v>JÜRI MILLER</v>
          </cell>
          <cell r="B4807">
            <v>1246</v>
          </cell>
        </row>
        <row r="4808">
          <cell r="A4808" t="str">
            <v>EERO MILLERT</v>
          </cell>
          <cell r="B4808">
            <v>436</v>
          </cell>
        </row>
        <row r="4809">
          <cell r="A4809" t="str">
            <v>HILLE MILLERT</v>
          </cell>
          <cell r="B4809">
            <v>3158</v>
          </cell>
        </row>
        <row r="4810">
          <cell r="A4810" t="str">
            <v>IMRE MILLERT</v>
          </cell>
          <cell r="B4810">
            <v>438</v>
          </cell>
        </row>
        <row r="4811">
          <cell r="A4811" t="str">
            <v>INDREK MILLERT</v>
          </cell>
          <cell r="B4811">
            <v>437</v>
          </cell>
        </row>
        <row r="4812">
          <cell r="A4812" t="str">
            <v>MAIT MILLERT</v>
          </cell>
          <cell r="B4812">
            <v>5172</v>
          </cell>
        </row>
        <row r="4813">
          <cell r="A4813" t="str">
            <v>MONTA MILZERE</v>
          </cell>
          <cell r="B4813">
            <v>9090</v>
          </cell>
        </row>
        <row r="4814">
          <cell r="A4814" t="str">
            <v>VILIUS MILVYDAS</v>
          </cell>
          <cell r="B4814">
            <v>3186</v>
          </cell>
        </row>
        <row r="4815">
          <cell r="A4815" t="str">
            <v>PAVEL MINAJEV</v>
          </cell>
          <cell r="B4815">
            <v>2582</v>
          </cell>
        </row>
        <row r="4816">
          <cell r="A4816" t="str">
            <v>JONAS MINIAUSKAS</v>
          </cell>
          <cell r="B4816">
            <v>10233</v>
          </cell>
        </row>
        <row r="4817">
          <cell r="A4817" t="str">
            <v>IVAN MININ</v>
          </cell>
          <cell r="B4817">
            <v>9788</v>
          </cell>
        </row>
        <row r="4818">
          <cell r="A4818" t="str">
            <v>VALENTIN MININ</v>
          </cell>
          <cell r="B4818">
            <v>1777</v>
          </cell>
        </row>
        <row r="4819">
          <cell r="A4819" t="str">
            <v>ALEKSANDRA MININA</v>
          </cell>
          <cell r="B4819">
            <v>8455</v>
          </cell>
        </row>
        <row r="4820">
          <cell r="A4820" t="str">
            <v>KRISTO MINN</v>
          </cell>
          <cell r="B4820">
            <v>1447</v>
          </cell>
        </row>
        <row r="4821">
          <cell r="A4821" t="str">
            <v>SERGIO MIRANDA</v>
          </cell>
          <cell r="B4821">
            <v>9732</v>
          </cell>
        </row>
        <row r="4822">
          <cell r="A4822" t="str">
            <v>ANTS MIRKA</v>
          </cell>
          <cell r="B4822">
            <v>294</v>
          </cell>
        </row>
        <row r="4823">
          <cell r="A4823" t="str">
            <v>KALJU MIRKA</v>
          </cell>
          <cell r="B4823">
            <v>8802</v>
          </cell>
        </row>
        <row r="4824">
          <cell r="A4824" t="str">
            <v>RAITEN MIRKA</v>
          </cell>
          <cell r="B4824">
            <v>9994</v>
          </cell>
        </row>
        <row r="4825">
          <cell r="A4825" t="str">
            <v>RASMUS MIRKA</v>
          </cell>
          <cell r="B4825">
            <v>9841</v>
          </cell>
        </row>
        <row r="4826">
          <cell r="A4826" t="str">
            <v>MAHYAR MIRMAJLESSI</v>
          </cell>
          <cell r="B4826">
            <v>7297</v>
          </cell>
        </row>
        <row r="4827">
          <cell r="A4827" t="str">
            <v>DENIS MIRONOV</v>
          </cell>
          <cell r="B4827">
            <v>447</v>
          </cell>
        </row>
        <row r="4828">
          <cell r="A4828" t="str">
            <v>JEVGENI MIRONOV</v>
          </cell>
          <cell r="B4828">
            <v>2583</v>
          </cell>
        </row>
        <row r="4829">
          <cell r="A4829" t="str">
            <v>VLADISLAV MIROSHNICHENKO</v>
          </cell>
          <cell r="B4829">
            <v>5656</v>
          </cell>
        </row>
        <row r="4830">
          <cell r="A4830" t="str">
            <v>ILJAZ MIRZAGAJEV</v>
          </cell>
          <cell r="B4830">
            <v>213</v>
          </cell>
        </row>
        <row r="4831">
          <cell r="A4831" t="str">
            <v>DZENNI MIRZAGAJEVA</v>
          </cell>
          <cell r="B4831">
            <v>1345</v>
          </cell>
        </row>
        <row r="4832">
          <cell r="A4832" t="str">
            <v>ROBERTS MIRZOJANTS</v>
          </cell>
          <cell r="B4832">
            <v>2647</v>
          </cell>
        </row>
        <row r="4833">
          <cell r="A4833" t="str">
            <v>ELIJA MISCIUSKAITE</v>
          </cell>
          <cell r="B4833">
            <v>3827</v>
          </cell>
        </row>
        <row r="4834">
          <cell r="A4834" t="str">
            <v>AAYUSH MISHRA</v>
          </cell>
          <cell r="B4834">
            <v>10490</v>
          </cell>
        </row>
        <row r="4835">
          <cell r="A4835" t="str">
            <v>LINA MISIKONYTE</v>
          </cell>
          <cell r="B4835">
            <v>1930</v>
          </cell>
        </row>
        <row r="4836">
          <cell r="A4836" t="str">
            <v>HEINAR FELIX MIT</v>
          </cell>
          <cell r="B4836">
            <v>9909</v>
          </cell>
        </row>
        <row r="4837">
          <cell r="A4837" t="str">
            <v>DZOANNA MITENIECE</v>
          </cell>
          <cell r="B4837">
            <v>2558</v>
          </cell>
        </row>
        <row r="4838">
          <cell r="A4838" t="str">
            <v>DMITRI MITIKOV</v>
          </cell>
          <cell r="B4838">
            <v>4385</v>
          </cell>
        </row>
        <row r="4839">
          <cell r="A4839" t="str">
            <v>JURI MITIN</v>
          </cell>
          <cell r="B4839">
            <v>10256</v>
          </cell>
        </row>
        <row r="4840">
          <cell r="A4840" t="str">
            <v>ROMAN MITIN</v>
          </cell>
          <cell r="B4840">
            <v>10257</v>
          </cell>
        </row>
        <row r="4841">
          <cell r="A4841" t="str">
            <v>MARKKUS MITRI</v>
          </cell>
          <cell r="B4841">
            <v>3828</v>
          </cell>
        </row>
        <row r="4842">
          <cell r="A4842" t="str">
            <v>ANDREI MITROFANOV</v>
          </cell>
          <cell r="B4842">
            <v>1887</v>
          </cell>
        </row>
        <row r="4843">
          <cell r="A4843" t="str">
            <v>LEONID MITROFANOV</v>
          </cell>
          <cell r="B4843">
            <v>3121</v>
          </cell>
        </row>
        <row r="4844">
          <cell r="A4844" t="str">
            <v>NIKITA MITROFANOV</v>
          </cell>
          <cell r="B4844">
            <v>3081</v>
          </cell>
        </row>
        <row r="4845">
          <cell r="A4845" t="str">
            <v>STEPAN MITROFANOV</v>
          </cell>
          <cell r="B4845">
            <v>3679</v>
          </cell>
        </row>
        <row r="4846">
          <cell r="A4846" t="str">
            <v>ILONA MITSURINA</v>
          </cell>
          <cell r="B4846">
            <v>4386</v>
          </cell>
        </row>
        <row r="4847">
          <cell r="A4847" t="str">
            <v>CHRISTJAN MITT</v>
          </cell>
          <cell r="B4847">
            <v>5469</v>
          </cell>
        </row>
        <row r="4848">
          <cell r="A4848" t="str">
            <v>HANS OLIVER MITT</v>
          </cell>
          <cell r="B4848">
            <v>8493</v>
          </cell>
        </row>
        <row r="4849">
          <cell r="A4849" t="str">
            <v>HEINAR MITT</v>
          </cell>
          <cell r="B4849">
            <v>8644</v>
          </cell>
        </row>
        <row r="4850">
          <cell r="A4850" t="str">
            <v>INDREK MITT</v>
          </cell>
          <cell r="B4850">
            <v>7414</v>
          </cell>
        </row>
        <row r="4851">
          <cell r="A4851" t="str">
            <v>IVO MITT</v>
          </cell>
          <cell r="B4851">
            <v>8097</v>
          </cell>
        </row>
        <row r="4852">
          <cell r="A4852" t="str">
            <v>KAIDO MITT</v>
          </cell>
          <cell r="B4852">
            <v>5224</v>
          </cell>
        </row>
        <row r="4853">
          <cell r="A4853" t="str">
            <v>KASPAR MITT</v>
          </cell>
          <cell r="B4853">
            <v>10241</v>
          </cell>
        </row>
        <row r="4854">
          <cell r="A4854" t="str">
            <v>MAIA-LIISA MITT</v>
          </cell>
          <cell r="B4854">
            <v>8485</v>
          </cell>
        </row>
        <row r="4855">
          <cell r="A4855" t="str">
            <v>MARIO MITT</v>
          </cell>
          <cell r="B4855">
            <v>5330</v>
          </cell>
        </row>
        <row r="4856">
          <cell r="A4856" t="str">
            <v>ROMAN MITT</v>
          </cell>
          <cell r="B4856">
            <v>3980</v>
          </cell>
        </row>
        <row r="4857">
          <cell r="A4857" t="str">
            <v>TIMO MITT</v>
          </cell>
          <cell r="B4857">
            <v>1448</v>
          </cell>
        </row>
        <row r="4858">
          <cell r="A4858" t="str">
            <v>MARKUS MITTAL</v>
          </cell>
          <cell r="B4858">
            <v>7767</v>
          </cell>
        </row>
        <row r="4859">
          <cell r="A4859" t="str">
            <v>JAANUS MITTER</v>
          </cell>
          <cell r="B4859">
            <v>4830</v>
          </cell>
        </row>
        <row r="4860">
          <cell r="A4860" t="str">
            <v>ALBERT MJAKIŠEV</v>
          </cell>
          <cell r="B4860">
            <v>5242</v>
          </cell>
        </row>
        <row r="4861">
          <cell r="A4861" t="str">
            <v>ALEKSANDR MJASOJEDOV</v>
          </cell>
          <cell r="B4861">
            <v>9062</v>
          </cell>
        </row>
        <row r="4862">
          <cell r="A4862" t="str">
            <v>JURI MJATLIN</v>
          </cell>
          <cell r="B4862">
            <v>480</v>
          </cell>
        </row>
        <row r="4863">
          <cell r="A4863" t="str">
            <v>ALEKSEI MLINARZ</v>
          </cell>
          <cell r="B4863">
            <v>4387</v>
          </cell>
        </row>
        <row r="4864">
          <cell r="A4864" t="str">
            <v>SERGEI MLINARZ</v>
          </cell>
          <cell r="B4864">
            <v>1242</v>
          </cell>
        </row>
        <row r="4865">
          <cell r="A4865" t="str">
            <v>JEGOR MOŠNIKOV</v>
          </cell>
          <cell r="B4865">
            <v>3830</v>
          </cell>
        </row>
        <row r="4866">
          <cell r="A4866" t="str">
            <v>MARTIN MODE</v>
          </cell>
          <cell r="B4866">
            <v>10023</v>
          </cell>
        </row>
        <row r="4867">
          <cell r="A4867" t="str">
            <v>ALEKSANDR MODZARO</v>
          </cell>
          <cell r="B4867">
            <v>1916</v>
          </cell>
        </row>
        <row r="4868">
          <cell r="A4868" t="str">
            <v>DMITRII MOKHOVIKOV</v>
          </cell>
          <cell r="B4868">
            <v>10143</v>
          </cell>
        </row>
        <row r="4869">
          <cell r="A4869" t="str">
            <v>SERGEI MOKROPOLOV</v>
          </cell>
          <cell r="B4869">
            <v>9012</v>
          </cell>
        </row>
        <row r="4870">
          <cell r="A4870" t="str">
            <v>MAREK MOLDAU</v>
          </cell>
          <cell r="B4870">
            <v>10847</v>
          </cell>
        </row>
        <row r="4871">
          <cell r="A4871" t="str">
            <v>KRISTIINA MOLODOVA</v>
          </cell>
          <cell r="B4871">
            <v>1392</v>
          </cell>
        </row>
        <row r="4872">
          <cell r="A4872" t="str">
            <v>DENNIS MONAJENKOVS</v>
          </cell>
          <cell r="B4872">
            <v>2523</v>
          </cell>
        </row>
        <row r="4873">
          <cell r="A4873" t="str">
            <v>MARK MONAK</v>
          </cell>
          <cell r="B4873">
            <v>3967</v>
          </cell>
        </row>
        <row r="4874">
          <cell r="A4874" t="str">
            <v>SABINE MONDE</v>
          </cell>
          <cell r="B4874">
            <v>1830</v>
          </cell>
        </row>
        <row r="4875">
          <cell r="A4875" t="str">
            <v>KAROLIINE MOONES</v>
          </cell>
          <cell r="B4875">
            <v>4388</v>
          </cell>
        </row>
        <row r="4876">
          <cell r="A4876" t="str">
            <v>MADIS MOOR</v>
          </cell>
          <cell r="B4876">
            <v>1948</v>
          </cell>
        </row>
        <row r="4877">
          <cell r="A4877" t="str">
            <v>MARIA MOOR</v>
          </cell>
          <cell r="B4877">
            <v>5627</v>
          </cell>
        </row>
        <row r="4878">
          <cell r="A4878" t="str">
            <v>KLAIVERT-ERIK MOORES</v>
          </cell>
          <cell r="B4878">
            <v>7579</v>
          </cell>
        </row>
        <row r="4879">
          <cell r="A4879" t="str">
            <v>JAN TRISTAN MOORLAT</v>
          </cell>
          <cell r="B4879">
            <v>8110</v>
          </cell>
        </row>
        <row r="4880">
          <cell r="A4880" t="str">
            <v>MADIS MOOS</v>
          </cell>
          <cell r="B4880">
            <v>5954</v>
          </cell>
        </row>
        <row r="4881">
          <cell r="A4881" t="str">
            <v>GERT MOOSES</v>
          </cell>
          <cell r="B4881">
            <v>1758</v>
          </cell>
        </row>
        <row r="4882">
          <cell r="A4882" t="str">
            <v>PEDRAM MATTIAS MORADABBASI FOULADI</v>
          </cell>
          <cell r="B4882">
            <v>7528</v>
          </cell>
        </row>
        <row r="4883">
          <cell r="A4883" t="str">
            <v>ELMAR MOREL</v>
          </cell>
          <cell r="B4883">
            <v>7787</v>
          </cell>
        </row>
        <row r="4884">
          <cell r="A4884" t="str">
            <v>ARTJOM MORGATŠEV</v>
          </cell>
          <cell r="B4884">
            <v>5487</v>
          </cell>
        </row>
        <row r="4885">
          <cell r="A4885" t="str">
            <v>ARTUR MORITSKI</v>
          </cell>
          <cell r="B4885">
            <v>9624</v>
          </cell>
        </row>
        <row r="4886">
          <cell r="A4886" t="str">
            <v>SMILTE MORKUNAITE</v>
          </cell>
          <cell r="B4886">
            <v>9123</v>
          </cell>
        </row>
        <row r="4887">
          <cell r="A4887" t="str">
            <v>SOFIA MOROZ</v>
          </cell>
          <cell r="B4887">
            <v>9656</v>
          </cell>
        </row>
        <row r="4888">
          <cell r="A4888" t="str">
            <v>IGOR MOROZOV</v>
          </cell>
          <cell r="B4888">
            <v>9832</v>
          </cell>
        </row>
        <row r="4889">
          <cell r="A4889" t="str">
            <v>MATHIAS MOROZOV</v>
          </cell>
          <cell r="B4889">
            <v>9003</v>
          </cell>
        </row>
        <row r="4890">
          <cell r="A4890" t="str">
            <v>NIKOLAI MOROZOV</v>
          </cell>
          <cell r="B4890">
            <v>9203</v>
          </cell>
        </row>
        <row r="4891">
          <cell r="A4891" t="str">
            <v>ROMAN MOROZOV</v>
          </cell>
          <cell r="B4891">
            <v>2453</v>
          </cell>
        </row>
        <row r="4892">
          <cell r="A4892" t="str">
            <v>VLADIMIR MOROZOV</v>
          </cell>
          <cell r="B4892">
            <v>9467</v>
          </cell>
        </row>
        <row r="4893">
          <cell r="A4893" t="str">
            <v>ANNA MOROZOVA</v>
          </cell>
          <cell r="B4893">
            <v>5978</v>
          </cell>
        </row>
        <row r="4894">
          <cell r="A4894" t="str">
            <v>INNA MOROZOVA</v>
          </cell>
          <cell r="B4894">
            <v>8197</v>
          </cell>
        </row>
        <row r="4895">
          <cell r="A4895" t="str">
            <v>STANISLAV MOROV</v>
          </cell>
          <cell r="B4895">
            <v>9030</v>
          </cell>
        </row>
        <row r="4896">
          <cell r="A4896" t="str">
            <v>VALERI MOROV</v>
          </cell>
          <cell r="B4896">
            <v>8577</v>
          </cell>
        </row>
        <row r="4897">
          <cell r="A4897" t="str">
            <v>ANASTASSIA MORZUHHINA</v>
          </cell>
          <cell r="B4897">
            <v>3829</v>
          </cell>
        </row>
        <row r="4898">
          <cell r="A4898" t="str">
            <v>GREET MOSEL</v>
          </cell>
          <cell r="B4898">
            <v>4389</v>
          </cell>
        </row>
        <row r="4899">
          <cell r="A4899" t="str">
            <v>ALEKSANDR MOSHNIKOV</v>
          </cell>
          <cell r="B4899">
            <v>4749</v>
          </cell>
        </row>
        <row r="4900">
          <cell r="A4900" t="str">
            <v>SERGEI MOSHNIKOV</v>
          </cell>
          <cell r="B4900">
            <v>1463</v>
          </cell>
        </row>
        <row r="4901">
          <cell r="A4901" t="str">
            <v>ROMAN MOSKALETS</v>
          </cell>
          <cell r="B4901">
            <v>1582</v>
          </cell>
        </row>
        <row r="4902">
          <cell r="A4902" t="str">
            <v>DENIS MOSKOVKINS</v>
          </cell>
          <cell r="B4902">
            <v>1645</v>
          </cell>
        </row>
        <row r="4903">
          <cell r="A4903" t="str">
            <v>ILJA MOSOLOV</v>
          </cell>
          <cell r="B4903">
            <v>5425</v>
          </cell>
        </row>
        <row r="4904">
          <cell r="A4904" t="str">
            <v>ARNAUD MOUNIER</v>
          </cell>
          <cell r="B4904">
            <v>9949</v>
          </cell>
        </row>
        <row r="4905">
          <cell r="A4905" t="str">
            <v>KAREN MOVSISYAN</v>
          </cell>
          <cell r="B4905">
            <v>8938</v>
          </cell>
        </row>
        <row r="4906">
          <cell r="A4906" t="str">
            <v>ANGELINA MOVTSHAN</v>
          </cell>
          <cell r="B4906">
            <v>4390</v>
          </cell>
        </row>
        <row r="4907">
          <cell r="A4907" t="str">
            <v>JUSSOF MUHAMEDŽANOV</v>
          </cell>
          <cell r="B4907">
            <v>1953</v>
          </cell>
        </row>
        <row r="4908">
          <cell r="A4908" t="str">
            <v>IVAN MUHHORTOV</v>
          </cell>
          <cell r="B4908">
            <v>5043</v>
          </cell>
        </row>
        <row r="4909">
          <cell r="A4909" t="str">
            <v>ANDRA MUHU</v>
          </cell>
          <cell r="B4909">
            <v>6265</v>
          </cell>
        </row>
        <row r="4910">
          <cell r="A4910" t="str">
            <v>REMO MUHU</v>
          </cell>
          <cell r="B4910">
            <v>1095</v>
          </cell>
        </row>
        <row r="4911">
          <cell r="A4911" t="str">
            <v>MARKUS EDVIN MULGI</v>
          </cell>
          <cell r="B4911">
            <v>3831</v>
          </cell>
        </row>
        <row r="4912">
          <cell r="A4912" t="str">
            <v>SABINE MUNDE</v>
          </cell>
          <cell r="B4912">
            <v>1699</v>
          </cell>
        </row>
        <row r="4913">
          <cell r="A4913" t="str">
            <v>GRETE MUNI</v>
          </cell>
          <cell r="B4913">
            <v>7993</v>
          </cell>
        </row>
        <row r="4914">
          <cell r="A4914" t="str">
            <v>SERHII MURASHKO</v>
          </cell>
          <cell r="B4914">
            <v>10829</v>
          </cell>
        </row>
        <row r="4915">
          <cell r="A4915" t="str">
            <v>KRISTIINA MURAVJOVA</v>
          </cell>
          <cell r="B4915">
            <v>4391</v>
          </cell>
        </row>
        <row r="4916">
          <cell r="A4916" t="str">
            <v>RAIMONDS MURINEKS</v>
          </cell>
          <cell r="B4916">
            <v>8619</v>
          </cell>
        </row>
        <row r="4917">
          <cell r="A4917" t="str">
            <v>MATTIS MURS</v>
          </cell>
          <cell r="B4917">
            <v>9933</v>
          </cell>
        </row>
        <row r="4918">
          <cell r="A4918" t="str">
            <v>MARKUS MURSAL</v>
          </cell>
          <cell r="B4918">
            <v>5525</v>
          </cell>
        </row>
        <row r="4919">
          <cell r="A4919" t="str">
            <v>HUGO BERT MURU</v>
          </cell>
          <cell r="B4919">
            <v>9006</v>
          </cell>
        </row>
        <row r="4920">
          <cell r="A4920" t="str">
            <v>MATI MURU</v>
          </cell>
          <cell r="B4920">
            <v>2980</v>
          </cell>
        </row>
        <row r="4921">
          <cell r="A4921" t="str">
            <v>PAAP MURU</v>
          </cell>
          <cell r="B4921">
            <v>9290</v>
          </cell>
        </row>
        <row r="4922">
          <cell r="A4922" t="str">
            <v>RAIVO MURU</v>
          </cell>
          <cell r="B4922">
            <v>5618</v>
          </cell>
        </row>
        <row r="4923">
          <cell r="A4923" t="str">
            <v>RAIKO MURULAUK</v>
          </cell>
          <cell r="B4923">
            <v>4392</v>
          </cell>
        </row>
        <row r="4924">
          <cell r="A4924" t="str">
            <v>RAUNO MURUMAA</v>
          </cell>
          <cell r="B4924">
            <v>1245</v>
          </cell>
        </row>
        <row r="4925">
          <cell r="A4925" t="str">
            <v>SABINA MUSAJEVA</v>
          </cell>
          <cell r="B4925">
            <v>7152</v>
          </cell>
        </row>
        <row r="4926">
          <cell r="A4926" t="str">
            <v>KARL SILVER MUST</v>
          </cell>
          <cell r="B4926">
            <v>2639</v>
          </cell>
        </row>
        <row r="4927">
          <cell r="A4927" t="str">
            <v>KRISTJAN MUST</v>
          </cell>
          <cell r="B4927">
            <v>2640</v>
          </cell>
        </row>
        <row r="4928">
          <cell r="A4928" t="str">
            <v>MADIS MUST</v>
          </cell>
          <cell r="B4928">
            <v>1797</v>
          </cell>
        </row>
        <row r="4929">
          <cell r="A4929" t="str">
            <v>MARIO MUSTASAAR</v>
          </cell>
          <cell r="B4929">
            <v>1457</v>
          </cell>
        </row>
        <row r="4930">
          <cell r="A4930" t="str">
            <v>RENE MUSTASAAR</v>
          </cell>
          <cell r="B4930">
            <v>7405</v>
          </cell>
        </row>
        <row r="4931">
          <cell r="A4931" t="str">
            <v>MARIS MUSTIMETS</v>
          </cell>
          <cell r="B4931">
            <v>1435</v>
          </cell>
        </row>
        <row r="4932">
          <cell r="A4932" t="str">
            <v>ALEKSI MUSTONEN</v>
          </cell>
          <cell r="B4932">
            <v>3251</v>
          </cell>
        </row>
        <row r="4933">
          <cell r="A4933" t="str">
            <v>KEVIN MUSTONEN</v>
          </cell>
          <cell r="B4933">
            <v>3454</v>
          </cell>
        </row>
        <row r="4934">
          <cell r="A4934" t="str">
            <v>GREGORY MUTTEL</v>
          </cell>
          <cell r="B4934">
            <v>2014</v>
          </cell>
        </row>
        <row r="4935">
          <cell r="A4935" t="str">
            <v>RUUBEN MUTTEL</v>
          </cell>
          <cell r="B4935">
            <v>10440</v>
          </cell>
        </row>
        <row r="4936">
          <cell r="A4936" t="str">
            <v>PEETER ALDO MUTTIK</v>
          </cell>
          <cell r="B4936">
            <v>7789</v>
          </cell>
        </row>
        <row r="4937">
          <cell r="A4937" t="str">
            <v>MAIRO MUUGA</v>
          </cell>
          <cell r="B4937">
            <v>8727</v>
          </cell>
        </row>
        <row r="4938">
          <cell r="A4938" t="str">
            <v>ALEKSANDER MUUGAMÄE</v>
          </cell>
          <cell r="B4938">
            <v>7897</v>
          </cell>
        </row>
        <row r="4939">
          <cell r="A4939" t="str">
            <v>JÜRI MUULI</v>
          </cell>
          <cell r="B4939">
            <v>2779</v>
          </cell>
        </row>
        <row r="4940">
          <cell r="A4940" t="str">
            <v>KASPAR MUULI</v>
          </cell>
          <cell r="B4940">
            <v>2919</v>
          </cell>
        </row>
        <row r="4941">
          <cell r="A4941" t="str">
            <v>KAUPO MUULI</v>
          </cell>
          <cell r="B4941">
            <v>4638</v>
          </cell>
        </row>
        <row r="4942">
          <cell r="A4942" t="str">
            <v>KAISA MUUTRA</v>
          </cell>
          <cell r="B4942">
            <v>4393</v>
          </cell>
        </row>
        <row r="4943">
          <cell r="A4943" t="str">
            <v>MARKUS MYLLÄRINEN</v>
          </cell>
          <cell r="B4943">
            <v>3034</v>
          </cell>
        </row>
        <row r="4944">
          <cell r="A4944" t="str">
            <v>TOBIAS MYRZÄLL</v>
          </cell>
          <cell r="B4944">
            <v>9411</v>
          </cell>
        </row>
        <row r="4945">
          <cell r="A4945" t="str">
            <v>ANDREAS NÖÖP</v>
          </cell>
          <cell r="B4945">
            <v>5955</v>
          </cell>
        </row>
        <row r="4946">
          <cell r="A4946" t="str">
            <v>ANDERO NÄKK</v>
          </cell>
          <cell r="B4946">
            <v>4058</v>
          </cell>
        </row>
        <row r="4947">
          <cell r="A4947" t="str">
            <v>ARVO NÄKK</v>
          </cell>
          <cell r="B4947">
            <v>3298</v>
          </cell>
        </row>
        <row r="4948">
          <cell r="A4948" t="str">
            <v>HENNA NÄRHI</v>
          </cell>
          <cell r="B4948">
            <v>2202</v>
          </cell>
        </row>
        <row r="4949">
          <cell r="A4949" t="str">
            <v>TONI NÄTTILÄ</v>
          </cell>
          <cell r="B4949">
            <v>4783</v>
          </cell>
        </row>
        <row r="4950">
          <cell r="A4950" t="str">
            <v>MARGOT NÕGISTO</v>
          </cell>
          <cell r="B4950">
            <v>2791</v>
          </cell>
        </row>
        <row r="4951">
          <cell r="A4951" t="str">
            <v>TÕNIS NÕGISTO</v>
          </cell>
          <cell r="B4951">
            <v>1624</v>
          </cell>
        </row>
        <row r="4952">
          <cell r="A4952" t="str">
            <v>ANDRI NÕGOLS</v>
          </cell>
          <cell r="B4952">
            <v>2970</v>
          </cell>
        </row>
        <row r="4953">
          <cell r="A4953" t="str">
            <v>ÜLAR EERO NÕLV</v>
          </cell>
          <cell r="B4953">
            <v>3295</v>
          </cell>
        </row>
        <row r="4954">
          <cell r="A4954" t="str">
            <v>AIN NÕLVAK</v>
          </cell>
          <cell r="B4954">
            <v>9696</v>
          </cell>
        </row>
        <row r="4955">
          <cell r="A4955" t="str">
            <v>LEMBIT NÕLVAK</v>
          </cell>
          <cell r="B4955">
            <v>8665</v>
          </cell>
        </row>
        <row r="4956">
          <cell r="A4956" t="str">
            <v>LII NÕLVAK</v>
          </cell>
          <cell r="B4956">
            <v>4408</v>
          </cell>
        </row>
        <row r="4957">
          <cell r="A4957" t="str">
            <v>MAILE-TRIIN NÕLVAK</v>
          </cell>
          <cell r="B4957">
            <v>1681</v>
          </cell>
        </row>
        <row r="4958">
          <cell r="A4958" t="str">
            <v>MARI-LIIS NÕLVAK</v>
          </cell>
          <cell r="B4958">
            <v>1680</v>
          </cell>
        </row>
        <row r="4959">
          <cell r="A4959" t="str">
            <v>OLIWER NÕLVAK</v>
          </cell>
          <cell r="B4959">
            <v>1419</v>
          </cell>
        </row>
        <row r="4960">
          <cell r="A4960" t="str">
            <v>PATRIK NÕLVAK</v>
          </cell>
          <cell r="B4960">
            <v>2096</v>
          </cell>
        </row>
        <row r="4961">
          <cell r="A4961" t="str">
            <v>MERILYN NÕMM</v>
          </cell>
          <cell r="B4961">
            <v>3217</v>
          </cell>
        </row>
        <row r="4962">
          <cell r="A4962" t="str">
            <v>OTTO NÕMM</v>
          </cell>
          <cell r="B4962">
            <v>6199</v>
          </cell>
        </row>
        <row r="4963">
          <cell r="A4963" t="str">
            <v>TAAVI NÕMM</v>
          </cell>
          <cell r="B4963">
            <v>10379</v>
          </cell>
        </row>
        <row r="4964">
          <cell r="A4964" t="str">
            <v>JANNO NÕMME</v>
          </cell>
          <cell r="B4964">
            <v>373</v>
          </cell>
        </row>
        <row r="4965">
          <cell r="A4965" t="str">
            <v>MATI NÕMME</v>
          </cell>
          <cell r="B4965">
            <v>461</v>
          </cell>
        </row>
        <row r="4966">
          <cell r="A4966" t="str">
            <v>RAIDO NÕMME</v>
          </cell>
          <cell r="B4966">
            <v>2675</v>
          </cell>
        </row>
        <row r="4967">
          <cell r="A4967" t="str">
            <v>TAAVI NÕMME</v>
          </cell>
          <cell r="B4967">
            <v>500</v>
          </cell>
        </row>
        <row r="4968">
          <cell r="A4968" t="str">
            <v>RALF NÕMMIK</v>
          </cell>
          <cell r="B4968">
            <v>5211</v>
          </cell>
        </row>
        <row r="4969">
          <cell r="A4969" t="str">
            <v>LAURI NÕMTAK</v>
          </cell>
          <cell r="B4969">
            <v>1379</v>
          </cell>
        </row>
        <row r="4970">
          <cell r="A4970" t="str">
            <v>TONY NÕU</v>
          </cell>
          <cell r="B4970">
            <v>4691</v>
          </cell>
        </row>
        <row r="4971">
          <cell r="A4971" t="str">
            <v>AARE NAARIS</v>
          </cell>
          <cell r="B4971">
            <v>220</v>
          </cell>
        </row>
        <row r="4972">
          <cell r="A4972" t="str">
            <v>AIVAR NAARIS</v>
          </cell>
          <cell r="B4972">
            <v>359</v>
          </cell>
        </row>
        <row r="4973">
          <cell r="A4973" t="str">
            <v>TRIINU NAASTRE</v>
          </cell>
          <cell r="B4973">
            <v>908</v>
          </cell>
        </row>
        <row r="4974">
          <cell r="A4974" t="str">
            <v>ZOLTAN NADHAZI</v>
          </cell>
          <cell r="B4974">
            <v>5535</v>
          </cell>
        </row>
        <row r="4975">
          <cell r="A4975" t="str">
            <v>AAVO NAEL</v>
          </cell>
          <cell r="B4975">
            <v>4689</v>
          </cell>
        </row>
        <row r="4976">
          <cell r="A4976" t="str">
            <v>GLAFIRA NAGEL</v>
          </cell>
          <cell r="B4976">
            <v>76</v>
          </cell>
        </row>
        <row r="4977">
          <cell r="A4977" t="str">
            <v>KÄRT KATRIIN NAGEL</v>
          </cell>
          <cell r="B4977">
            <v>8276</v>
          </cell>
        </row>
        <row r="4978">
          <cell r="A4978" t="str">
            <v>RANDY NAGEL</v>
          </cell>
          <cell r="B4978">
            <v>5316</v>
          </cell>
        </row>
        <row r="4979">
          <cell r="A4979" t="str">
            <v>TYSON NAGEL</v>
          </cell>
          <cell r="B4979">
            <v>5317</v>
          </cell>
        </row>
        <row r="4980">
          <cell r="A4980" t="str">
            <v>BOGDAN NAGIRNIAK</v>
          </cell>
          <cell r="B4980">
            <v>8720</v>
          </cell>
        </row>
        <row r="4981">
          <cell r="A4981" t="str">
            <v>DANIIL NAHADENKO</v>
          </cell>
          <cell r="B4981">
            <v>9882</v>
          </cell>
        </row>
        <row r="4982">
          <cell r="A4982" t="str">
            <v>SERHII NAHIRNYI</v>
          </cell>
          <cell r="B4982">
            <v>10684</v>
          </cell>
        </row>
        <row r="4983">
          <cell r="A4983" t="str">
            <v>AARE NAHK</v>
          </cell>
          <cell r="B4983">
            <v>9334</v>
          </cell>
        </row>
        <row r="4984">
          <cell r="A4984" t="str">
            <v>MIRJAM NAHKUR</v>
          </cell>
          <cell r="B4984">
            <v>2747</v>
          </cell>
        </row>
        <row r="4985">
          <cell r="A4985" t="str">
            <v>ARTJOM NAIDIS</v>
          </cell>
          <cell r="B4985">
            <v>1586</v>
          </cell>
        </row>
        <row r="4986">
          <cell r="A4986" t="str">
            <v>GREGOR NAISSOO</v>
          </cell>
          <cell r="B4986">
            <v>9499</v>
          </cell>
        </row>
        <row r="4987">
          <cell r="A4987" t="str">
            <v>DOMINYKA NAJULYTĖ</v>
          </cell>
          <cell r="B4987">
            <v>10231</v>
          </cell>
        </row>
        <row r="4988">
          <cell r="A4988" t="str">
            <v>ERIK NÜÜD</v>
          </cell>
          <cell r="B4988">
            <v>8754</v>
          </cell>
        </row>
        <row r="4989">
          <cell r="A4989" t="str">
            <v>LEMBIT NÜÜD</v>
          </cell>
          <cell r="B4989">
            <v>8880</v>
          </cell>
        </row>
        <row r="4990">
          <cell r="A4990" t="str">
            <v>VÄINO NÜÜD</v>
          </cell>
          <cell r="B4990">
            <v>2660</v>
          </cell>
        </row>
        <row r="4991">
          <cell r="A4991" t="str">
            <v>INDREK NAPP</v>
          </cell>
          <cell r="B4991">
            <v>1369</v>
          </cell>
        </row>
        <row r="4992">
          <cell r="A4992" t="str">
            <v>KATI NAPP</v>
          </cell>
          <cell r="B4992">
            <v>4402</v>
          </cell>
        </row>
        <row r="4993">
          <cell r="A4993" t="str">
            <v>MARGUS NAPP</v>
          </cell>
          <cell r="B4993">
            <v>1244</v>
          </cell>
        </row>
        <row r="4994">
          <cell r="A4994" t="str">
            <v>ANDREI NARTOV</v>
          </cell>
          <cell r="B4994">
            <v>4403</v>
          </cell>
        </row>
        <row r="4995">
          <cell r="A4995" t="str">
            <v>PRIIT NARUSKBERG</v>
          </cell>
          <cell r="B4995">
            <v>3463</v>
          </cell>
        </row>
        <row r="4996">
          <cell r="A4996" t="str">
            <v>IEVA NARUVICIUTE</v>
          </cell>
          <cell r="B4996">
            <v>3834</v>
          </cell>
        </row>
        <row r="4997">
          <cell r="A4997" t="str">
            <v>MAI NARVA</v>
          </cell>
          <cell r="B4997">
            <v>7886</v>
          </cell>
        </row>
        <row r="4998">
          <cell r="A4998" t="str">
            <v>MART NARVA</v>
          </cell>
          <cell r="B4998">
            <v>7885</v>
          </cell>
        </row>
        <row r="4999">
          <cell r="A4999" t="str">
            <v>KAIRO NASIR</v>
          </cell>
          <cell r="B4999">
            <v>10430</v>
          </cell>
        </row>
        <row r="5000">
          <cell r="A5000" t="str">
            <v>KALJU NASIR</v>
          </cell>
          <cell r="B5000">
            <v>347</v>
          </cell>
        </row>
        <row r="5001">
          <cell r="A5001" t="str">
            <v>KALMER NASIR</v>
          </cell>
          <cell r="B5001">
            <v>2292</v>
          </cell>
        </row>
        <row r="5002">
          <cell r="A5002" t="str">
            <v>LIISU NASIR</v>
          </cell>
          <cell r="B5002">
            <v>2234</v>
          </cell>
        </row>
        <row r="5003">
          <cell r="A5003" t="str">
            <v>VLADMIR NAZARALIJEV</v>
          </cell>
          <cell r="B5003">
            <v>3060</v>
          </cell>
        </row>
        <row r="5004">
          <cell r="A5004" t="str">
            <v>NIKOLAI NAZAROV</v>
          </cell>
          <cell r="B5004">
            <v>3423</v>
          </cell>
        </row>
        <row r="5005">
          <cell r="A5005" t="str">
            <v>NIKOLAI NAZAROV</v>
          </cell>
          <cell r="B5005">
            <v>4143</v>
          </cell>
        </row>
        <row r="5006">
          <cell r="A5006" t="str">
            <v>VADIM NAZAROV</v>
          </cell>
          <cell r="B5006">
            <v>2094</v>
          </cell>
        </row>
        <row r="5007">
          <cell r="A5007" t="str">
            <v>PAVEL NAZAROVICH</v>
          </cell>
          <cell r="B5007">
            <v>7739</v>
          </cell>
        </row>
        <row r="5008">
          <cell r="A5008" t="str">
            <v>ALEKSANDRA NAUMENKOVA</v>
          </cell>
          <cell r="B5008">
            <v>3835</v>
          </cell>
        </row>
        <row r="5009">
          <cell r="A5009" t="str">
            <v>ALEX NAUMI</v>
          </cell>
          <cell r="B5009">
            <v>4977</v>
          </cell>
        </row>
        <row r="5010">
          <cell r="A5010" t="str">
            <v>NIKITA NAUMOV</v>
          </cell>
          <cell r="B5010">
            <v>2547</v>
          </cell>
        </row>
        <row r="5011">
          <cell r="A5011" t="str">
            <v>KRISTIINA NAVASARTOVA</v>
          </cell>
          <cell r="B5011">
            <v>3836</v>
          </cell>
        </row>
        <row r="5012">
          <cell r="A5012" t="str">
            <v>IGNAS NAVICKAS</v>
          </cell>
          <cell r="B5012">
            <v>2509</v>
          </cell>
        </row>
        <row r="5013">
          <cell r="A5013" t="str">
            <v>OLARI NEBOKAT</v>
          </cell>
          <cell r="B5013">
            <v>2969</v>
          </cell>
        </row>
        <row r="5014">
          <cell r="A5014" t="str">
            <v>RODION NEDBALSKI</v>
          </cell>
          <cell r="B5014">
            <v>2736</v>
          </cell>
        </row>
        <row r="5015">
          <cell r="A5015" t="str">
            <v>JÜRI NEDELIN</v>
          </cell>
          <cell r="B5015">
            <v>2872</v>
          </cell>
        </row>
        <row r="5016">
          <cell r="A5016" t="str">
            <v>ALEKSEI NEDOSTOJEV</v>
          </cell>
          <cell r="B5016">
            <v>7759</v>
          </cell>
        </row>
        <row r="5017">
          <cell r="A5017" t="str">
            <v>MARGARET NEERING</v>
          </cell>
          <cell r="B5017">
            <v>3837</v>
          </cell>
        </row>
        <row r="5018">
          <cell r="A5018" t="str">
            <v>JURIJS NEFJODOV</v>
          </cell>
          <cell r="B5018">
            <v>3275</v>
          </cell>
        </row>
        <row r="5019">
          <cell r="A5019" t="str">
            <v>TATJANA NEFJODOVA</v>
          </cell>
          <cell r="B5019">
            <v>924</v>
          </cell>
        </row>
        <row r="5020">
          <cell r="A5020" t="str">
            <v>MARTTI NEIDLA</v>
          </cell>
          <cell r="B5020">
            <v>7313</v>
          </cell>
        </row>
        <row r="5021">
          <cell r="A5021" t="str">
            <v>HILLAR NEILAND</v>
          </cell>
          <cell r="B5021">
            <v>4951</v>
          </cell>
        </row>
        <row r="5022">
          <cell r="A5022" t="str">
            <v>ANDRIS NEILANDS</v>
          </cell>
          <cell r="B5022">
            <v>8244</v>
          </cell>
        </row>
        <row r="5023">
          <cell r="A5023" t="str">
            <v>ARDO NELIS</v>
          </cell>
          <cell r="B5023">
            <v>7341</v>
          </cell>
        </row>
        <row r="5024">
          <cell r="A5024" t="str">
            <v>ANTI NELTSAS</v>
          </cell>
          <cell r="B5024">
            <v>4049</v>
          </cell>
        </row>
        <row r="5025">
          <cell r="A5025" t="str">
            <v>MIROSLAV NEMTŠENKO</v>
          </cell>
          <cell r="B5025">
            <v>10552</v>
          </cell>
        </row>
        <row r="5026">
          <cell r="A5026" t="str">
            <v>AUDRUNAS NENIŠKIS</v>
          </cell>
          <cell r="B5026">
            <v>10072</v>
          </cell>
        </row>
        <row r="5027">
          <cell r="A5027" t="str">
            <v>ELIISE NEPS</v>
          </cell>
          <cell r="B5027">
            <v>8611</v>
          </cell>
        </row>
        <row r="5028">
          <cell r="A5028" t="str">
            <v>KSENIA NERMAN</v>
          </cell>
          <cell r="B5028">
            <v>5518</v>
          </cell>
        </row>
        <row r="5029">
          <cell r="A5029" t="str">
            <v>MARGIT NERMAN</v>
          </cell>
          <cell r="B5029">
            <v>9219</v>
          </cell>
        </row>
        <row r="5030">
          <cell r="A5030" t="str">
            <v>HELDUR NERMANN</v>
          </cell>
          <cell r="B5030">
            <v>4782</v>
          </cell>
        </row>
        <row r="5031">
          <cell r="A5031" t="str">
            <v>JAN-ERIK NERMANN</v>
          </cell>
          <cell r="B5031">
            <v>5173</v>
          </cell>
        </row>
        <row r="5032">
          <cell r="A5032" t="str">
            <v>FELIKS NERSESJAN</v>
          </cell>
          <cell r="B5032">
            <v>8002</v>
          </cell>
        </row>
        <row r="5033">
          <cell r="A5033" t="str">
            <v>MARIA NESTECKYTE</v>
          </cell>
          <cell r="B5033">
            <v>9054</v>
          </cell>
        </row>
        <row r="5034">
          <cell r="A5034" t="str">
            <v>ANDRES NESTER</v>
          </cell>
          <cell r="B5034">
            <v>2036</v>
          </cell>
        </row>
        <row r="5035">
          <cell r="A5035" t="str">
            <v>MAKSIM NESTER</v>
          </cell>
          <cell r="B5035">
            <v>8433</v>
          </cell>
        </row>
        <row r="5036">
          <cell r="A5036" t="str">
            <v>ROMAN NESTER</v>
          </cell>
          <cell r="B5036">
            <v>2346</v>
          </cell>
        </row>
        <row r="5037">
          <cell r="A5037" t="str">
            <v>VITALI NESTER</v>
          </cell>
          <cell r="B5037">
            <v>7459</v>
          </cell>
        </row>
        <row r="5038">
          <cell r="A5038" t="str">
            <v>KSENIA NESTERENKO</v>
          </cell>
          <cell r="B5038">
            <v>5274</v>
          </cell>
        </row>
        <row r="5039">
          <cell r="A5039" t="str">
            <v>DIANA NESTERONKOVA</v>
          </cell>
          <cell r="B5039">
            <v>1608</v>
          </cell>
        </row>
        <row r="5040">
          <cell r="A5040" t="str">
            <v>SIIM NESTSADIM</v>
          </cell>
          <cell r="B5040">
            <v>7837</v>
          </cell>
        </row>
        <row r="5041">
          <cell r="A5041" t="str">
            <v>ANDREI NETŠAJEV</v>
          </cell>
          <cell r="B5041">
            <v>8422</v>
          </cell>
        </row>
        <row r="5042">
          <cell r="A5042" t="str">
            <v>KEN-MARTEN NEUDORF</v>
          </cell>
          <cell r="B5042">
            <v>9640</v>
          </cell>
        </row>
        <row r="5043">
          <cell r="A5043" t="str">
            <v>KASPAR NEUMANN</v>
          </cell>
          <cell r="B5043">
            <v>2517</v>
          </cell>
        </row>
        <row r="5044">
          <cell r="A5044" t="str">
            <v>KRISTJAN NEUMANN</v>
          </cell>
          <cell r="B5044">
            <v>2518</v>
          </cell>
        </row>
        <row r="5045">
          <cell r="A5045" t="str">
            <v>VLADA NEUSTROEVA</v>
          </cell>
          <cell r="B5045">
            <v>7122</v>
          </cell>
        </row>
        <row r="5046">
          <cell r="A5046" t="str">
            <v>AMELIJA NICYTEI</v>
          </cell>
          <cell r="B5046">
            <v>9367</v>
          </cell>
        </row>
        <row r="5047">
          <cell r="A5047" t="str">
            <v>THEA NIELSEN</v>
          </cell>
          <cell r="B5047">
            <v>8151</v>
          </cell>
        </row>
        <row r="5048">
          <cell r="A5048" t="str">
            <v>NOORA NIEMINEN</v>
          </cell>
          <cell r="B5048">
            <v>934</v>
          </cell>
        </row>
        <row r="5049">
          <cell r="A5049" t="str">
            <v>PETRA NIEMINEN</v>
          </cell>
          <cell r="B5049">
            <v>933</v>
          </cell>
        </row>
        <row r="5050">
          <cell r="A5050" t="str">
            <v>ALVAR NIGLAS</v>
          </cell>
          <cell r="B5050">
            <v>7193</v>
          </cell>
        </row>
        <row r="5051">
          <cell r="A5051" t="str">
            <v>KAIDEN NIGRO</v>
          </cell>
          <cell r="B5051">
            <v>10518</v>
          </cell>
        </row>
        <row r="5052">
          <cell r="A5052" t="str">
            <v>KENDAR NIGRO</v>
          </cell>
          <cell r="B5052">
            <v>7693</v>
          </cell>
        </row>
        <row r="5053">
          <cell r="A5053" t="str">
            <v>SIMMO NIGUL</v>
          </cell>
          <cell r="B5053">
            <v>9934</v>
          </cell>
        </row>
        <row r="5054">
          <cell r="A5054" t="str">
            <v>MATTIAS JOOSEP NIIDU</v>
          </cell>
          <cell r="B5054">
            <v>7970</v>
          </cell>
        </row>
        <row r="5055">
          <cell r="A5055" t="str">
            <v>LAURI NIILISK</v>
          </cell>
          <cell r="B5055">
            <v>10078</v>
          </cell>
        </row>
        <row r="5056">
          <cell r="A5056" t="str">
            <v>ROGER NIINELAID</v>
          </cell>
          <cell r="B5056">
            <v>3289</v>
          </cell>
        </row>
        <row r="5057">
          <cell r="A5057" t="str">
            <v>KARL ERIK NIINELO</v>
          </cell>
          <cell r="B5057">
            <v>3838</v>
          </cell>
        </row>
        <row r="5058">
          <cell r="A5058" t="str">
            <v>HELJU NIINEMÄE</v>
          </cell>
          <cell r="B5058">
            <v>2910</v>
          </cell>
        </row>
        <row r="5059">
          <cell r="A5059" t="str">
            <v>MIHKEL NIINEMETS</v>
          </cell>
          <cell r="B5059">
            <v>396</v>
          </cell>
        </row>
        <row r="5060">
          <cell r="A5060" t="str">
            <v>TÕNIS NIINEMETS</v>
          </cell>
          <cell r="B5060">
            <v>434</v>
          </cell>
        </row>
        <row r="5061">
          <cell r="A5061" t="str">
            <v>LARISSA NIINEMETS-VAGANOVA</v>
          </cell>
          <cell r="B5061">
            <v>1786</v>
          </cell>
        </row>
        <row r="5062">
          <cell r="A5062" t="str">
            <v>ELMAR NIINEPUU</v>
          </cell>
          <cell r="B5062">
            <v>4833</v>
          </cell>
        </row>
        <row r="5063">
          <cell r="A5063" t="str">
            <v>KRISTJAN NIITAV</v>
          </cell>
          <cell r="B5063">
            <v>7803</v>
          </cell>
        </row>
        <row r="5064">
          <cell r="A5064" t="str">
            <v>MARET NIITLA</v>
          </cell>
          <cell r="B5064">
            <v>5109</v>
          </cell>
        </row>
        <row r="5065">
          <cell r="A5065" t="str">
            <v>ANGELINA NIKIFOROVA</v>
          </cell>
          <cell r="B5065">
            <v>5036</v>
          </cell>
        </row>
        <row r="5066">
          <cell r="A5066" t="str">
            <v>ANZELIKA-IZABELLA NIKIFOROVA</v>
          </cell>
          <cell r="B5066">
            <v>7972</v>
          </cell>
        </row>
        <row r="5067">
          <cell r="A5067" t="str">
            <v>ALEKS NIKITIN</v>
          </cell>
          <cell r="B5067">
            <v>7834</v>
          </cell>
        </row>
        <row r="5068">
          <cell r="A5068" t="str">
            <v>ARTJOM NIKITIN</v>
          </cell>
          <cell r="B5068">
            <v>4073</v>
          </cell>
        </row>
        <row r="5069">
          <cell r="A5069" t="str">
            <v>DMITRI NIKITIN</v>
          </cell>
          <cell r="B5069">
            <v>5174</v>
          </cell>
        </row>
        <row r="5070">
          <cell r="A5070" t="str">
            <v>MIHHAIL NIKITIN</v>
          </cell>
          <cell r="B5070">
            <v>8052</v>
          </cell>
        </row>
        <row r="5071">
          <cell r="A5071" t="str">
            <v>STEPAN NIKITIN</v>
          </cell>
          <cell r="B5071">
            <v>10600</v>
          </cell>
        </row>
        <row r="5072">
          <cell r="A5072" t="str">
            <v>ALISA NIKITINA</v>
          </cell>
          <cell r="B5072">
            <v>10777</v>
          </cell>
        </row>
        <row r="5073">
          <cell r="A5073" t="str">
            <v>JEVGENIA NIKITINA</v>
          </cell>
          <cell r="B5073">
            <v>4834</v>
          </cell>
        </row>
        <row r="5074">
          <cell r="A5074" t="str">
            <v>ALESIA NIKKARINEN</v>
          </cell>
          <cell r="B5074">
            <v>8496</v>
          </cell>
        </row>
        <row r="5075">
          <cell r="A5075" t="str">
            <v>ŽAKINA NIKOLAIČENKO</v>
          </cell>
          <cell r="B5075">
            <v>10251</v>
          </cell>
        </row>
        <row r="5076">
          <cell r="A5076" t="str">
            <v>DMITRI NIKOLAJEV</v>
          </cell>
          <cell r="B5076">
            <v>10180</v>
          </cell>
        </row>
        <row r="5077">
          <cell r="A5077" t="str">
            <v>DMITRII NIKOLAJEV</v>
          </cell>
          <cell r="B5077">
            <v>10185</v>
          </cell>
        </row>
        <row r="5078">
          <cell r="A5078" t="str">
            <v>JEVGENI NIKOLAJEV</v>
          </cell>
          <cell r="B5078">
            <v>5986</v>
          </cell>
        </row>
        <row r="5079">
          <cell r="A5079" t="str">
            <v>RUSLAN NIKOLAJEV</v>
          </cell>
          <cell r="B5079">
            <v>9731</v>
          </cell>
        </row>
        <row r="5080">
          <cell r="A5080" t="str">
            <v>ALJONA NIKOLAJEVA</v>
          </cell>
          <cell r="B5080">
            <v>1508</v>
          </cell>
        </row>
        <row r="5081">
          <cell r="A5081" t="str">
            <v>TATJANA NIKOLAJEVA</v>
          </cell>
          <cell r="B5081">
            <v>3444</v>
          </cell>
        </row>
        <row r="5082">
          <cell r="A5082" t="str">
            <v>ALEKSANDR NIKOLAS</v>
          </cell>
          <cell r="B5082">
            <v>4978</v>
          </cell>
        </row>
        <row r="5083">
          <cell r="A5083" t="str">
            <v>ALEKSEI NIKONOROV</v>
          </cell>
          <cell r="B5083">
            <v>224</v>
          </cell>
        </row>
        <row r="5084">
          <cell r="A5084" t="str">
            <v>NIKOLAI NIKONOV</v>
          </cell>
          <cell r="B5084">
            <v>3603</v>
          </cell>
        </row>
        <row r="5085">
          <cell r="A5085" t="str">
            <v>DMITRI NIKULIN</v>
          </cell>
          <cell r="B5085">
            <v>900</v>
          </cell>
        </row>
        <row r="5086">
          <cell r="A5086" t="str">
            <v>KALVI NIKULIN</v>
          </cell>
          <cell r="B5086">
            <v>2114</v>
          </cell>
        </row>
        <row r="5087">
          <cell r="A5087" t="str">
            <v>LEONID NIKULIN</v>
          </cell>
          <cell r="B5087">
            <v>309</v>
          </cell>
        </row>
        <row r="5088">
          <cell r="A5088" t="str">
            <v>HELIIS NILISK</v>
          </cell>
          <cell r="B5088">
            <v>8456</v>
          </cell>
        </row>
        <row r="5089">
          <cell r="A5089" t="str">
            <v>CRIS MARTIN NILP</v>
          </cell>
          <cell r="B5089">
            <v>3319</v>
          </cell>
        </row>
        <row r="5090">
          <cell r="A5090" t="str">
            <v>KARL MARCUS NILP</v>
          </cell>
          <cell r="B5090">
            <v>3204</v>
          </cell>
        </row>
        <row r="5091">
          <cell r="A5091" t="str">
            <v>MARTHA NILSEN</v>
          </cell>
          <cell r="B5091">
            <v>2210</v>
          </cell>
        </row>
        <row r="5092">
          <cell r="A5092" t="str">
            <v>JONAS NILSENG</v>
          </cell>
          <cell r="B5092">
            <v>2214</v>
          </cell>
        </row>
        <row r="5093">
          <cell r="A5093" t="str">
            <v>JAN NILSON</v>
          </cell>
          <cell r="B5093">
            <v>3941</v>
          </cell>
        </row>
        <row r="5094">
          <cell r="A5094" t="str">
            <v>HEIKKI NIPPOLAINEN</v>
          </cell>
          <cell r="B5094">
            <v>9016</v>
          </cell>
        </row>
        <row r="5095">
          <cell r="A5095" t="str">
            <v>MARILI NIRGI</v>
          </cell>
          <cell r="B5095">
            <v>8819</v>
          </cell>
        </row>
        <row r="5096">
          <cell r="A5096" t="str">
            <v>SIIM NIRGI</v>
          </cell>
          <cell r="B5096">
            <v>1382</v>
          </cell>
        </row>
        <row r="5097">
          <cell r="A5097" t="str">
            <v>KARL NISU</v>
          </cell>
          <cell r="B5097">
            <v>2181</v>
          </cell>
        </row>
        <row r="5098">
          <cell r="A5098" t="str">
            <v>OLIVER NISUMAA</v>
          </cell>
          <cell r="B5098">
            <v>10376</v>
          </cell>
        </row>
        <row r="5099">
          <cell r="A5099" t="str">
            <v>AIDAR NIZAMOV</v>
          </cell>
          <cell r="B5099">
            <v>2925</v>
          </cell>
        </row>
        <row r="5100">
          <cell r="A5100" t="str">
            <v>DMITRI NIZOVTSEV</v>
          </cell>
          <cell r="B5100">
            <v>8331</v>
          </cell>
        </row>
        <row r="5101">
          <cell r="A5101" t="str">
            <v>MICHAEL NOCKA</v>
          </cell>
          <cell r="B5101">
            <v>3321</v>
          </cell>
        </row>
        <row r="5102">
          <cell r="A5102" t="str">
            <v>ANASTASSIA NOGINOVA</v>
          </cell>
          <cell r="B5102">
            <v>7825</v>
          </cell>
        </row>
        <row r="5103">
          <cell r="A5103" t="str">
            <v>AIVO NOOGEN</v>
          </cell>
          <cell r="B5103">
            <v>3449</v>
          </cell>
        </row>
        <row r="5104">
          <cell r="A5104" t="str">
            <v>ANETE NOOL</v>
          </cell>
          <cell r="B5104">
            <v>6157</v>
          </cell>
        </row>
        <row r="5105">
          <cell r="A5105" t="str">
            <v>KERON NOOR</v>
          </cell>
          <cell r="B5105">
            <v>7087</v>
          </cell>
        </row>
        <row r="5106">
          <cell r="A5106" t="str">
            <v>ALVER NOORMÄGI</v>
          </cell>
          <cell r="B5106">
            <v>3409</v>
          </cell>
        </row>
        <row r="5107">
          <cell r="A5107" t="str">
            <v>MADIS NOORMÄGI</v>
          </cell>
          <cell r="B5107">
            <v>2814</v>
          </cell>
        </row>
        <row r="5108">
          <cell r="A5108" t="str">
            <v>MARGUS NOORMÄGI</v>
          </cell>
          <cell r="B5108">
            <v>1973</v>
          </cell>
        </row>
        <row r="5109">
          <cell r="A5109" t="str">
            <v>KRISTIN NORDHELLE</v>
          </cell>
          <cell r="B5109">
            <v>7541</v>
          </cell>
        </row>
        <row r="5110">
          <cell r="A5110" t="str">
            <v>EERO NORDLING</v>
          </cell>
          <cell r="B5110">
            <v>855</v>
          </cell>
        </row>
        <row r="5111">
          <cell r="A5111" t="str">
            <v>NORA NORDLING</v>
          </cell>
          <cell r="B5111">
            <v>1563</v>
          </cell>
        </row>
        <row r="5112">
          <cell r="A5112" t="str">
            <v>SERGEI NORIN</v>
          </cell>
          <cell r="B5112">
            <v>221</v>
          </cell>
        </row>
        <row r="5113">
          <cell r="A5113" t="str">
            <v>MARK NORKIN</v>
          </cell>
          <cell r="B5113">
            <v>8589</v>
          </cell>
        </row>
        <row r="5114">
          <cell r="A5114" t="str">
            <v>JONAS NORKUS</v>
          </cell>
          <cell r="B5114">
            <v>3017</v>
          </cell>
        </row>
        <row r="5115">
          <cell r="A5115" t="str">
            <v>SILVER NORMAK</v>
          </cell>
          <cell r="B5115">
            <v>9885</v>
          </cell>
        </row>
        <row r="5116">
          <cell r="A5116" t="str">
            <v>NIKITA NORMAN</v>
          </cell>
          <cell r="B5116">
            <v>7318</v>
          </cell>
        </row>
        <row r="5117">
          <cell r="A5117" t="str">
            <v>VIKTOR NORMAN</v>
          </cell>
          <cell r="B5117">
            <v>4404</v>
          </cell>
        </row>
        <row r="5118">
          <cell r="A5118" t="str">
            <v>ARTJOM NORMANOV</v>
          </cell>
          <cell r="B5118">
            <v>10343</v>
          </cell>
        </row>
        <row r="5119">
          <cell r="A5119" t="str">
            <v>PAULA NORTS</v>
          </cell>
          <cell r="B5119">
            <v>1677</v>
          </cell>
        </row>
        <row r="5120">
          <cell r="A5120" t="str">
            <v>SMILTĖ NORVAIŠAITĖ</v>
          </cell>
          <cell r="B5120">
            <v>10778</v>
          </cell>
        </row>
        <row r="5121">
          <cell r="A5121" t="str">
            <v>VALERI NOSOV</v>
          </cell>
          <cell r="B5121">
            <v>8378</v>
          </cell>
        </row>
        <row r="5122">
          <cell r="A5122" t="str">
            <v>VIKTOR NOZDRJUK</v>
          </cell>
          <cell r="B5122">
            <v>2380</v>
          </cell>
        </row>
        <row r="5123">
          <cell r="A5123" t="str">
            <v>ANDREY NOZHKIN</v>
          </cell>
          <cell r="B5123">
            <v>10041</v>
          </cell>
        </row>
        <row r="5124">
          <cell r="A5124" t="str">
            <v>ARTUR NOVAKOV</v>
          </cell>
          <cell r="B5124">
            <v>7474</v>
          </cell>
        </row>
        <row r="5125">
          <cell r="A5125" t="str">
            <v>ALEKSEI NOVGORODSEV</v>
          </cell>
          <cell r="B5125">
            <v>7493</v>
          </cell>
        </row>
        <row r="5126">
          <cell r="A5126" t="str">
            <v>ALEKSANDR NOVIKOV</v>
          </cell>
          <cell r="B5126">
            <v>5417</v>
          </cell>
        </row>
        <row r="5127">
          <cell r="A5127" t="str">
            <v>ALEKSEI NOVIKOV</v>
          </cell>
          <cell r="B5127">
            <v>1031</v>
          </cell>
        </row>
        <row r="5128">
          <cell r="A5128" t="str">
            <v>JAANUS NOVIKOV</v>
          </cell>
          <cell r="B5128">
            <v>3138</v>
          </cell>
        </row>
        <row r="5129">
          <cell r="A5129" t="str">
            <v>SAVVA NOVIKOV</v>
          </cell>
          <cell r="B5129">
            <v>10169</v>
          </cell>
        </row>
        <row r="5130">
          <cell r="A5130" t="str">
            <v>VASILI NOVIKOV</v>
          </cell>
          <cell r="B5130">
            <v>8667</v>
          </cell>
        </row>
        <row r="5131">
          <cell r="A5131" t="str">
            <v>VITALI NOVIKOV</v>
          </cell>
          <cell r="B5131">
            <v>223</v>
          </cell>
        </row>
        <row r="5132">
          <cell r="A5132" t="str">
            <v>EVA NOVIKOVA</v>
          </cell>
          <cell r="B5132">
            <v>8521</v>
          </cell>
        </row>
        <row r="5133">
          <cell r="A5133" t="str">
            <v>RUSLAN NOVOTNÕI</v>
          </cell>
          <cell r="B5133">
            <v>1033</v>
          </cell>
        </row>
        <row r="5134">
          <cell r="A5134" t="str">
            <v>TUNAY NOVRUZOV</v>
          </cell>
          <cell r="B5134">
            <v>10746</v>
          </cell>
        </row>
        <row r="5135">
          <cell r="A5135" t="str">
            <v>DMITRI NOVTSENKO</v>
          </cell>
          <cell r="B5135">
            <v>4405</v>
          </cell>
        </row>
        <row r="5136">
          <cell r="A5136" t="str">
            <v>ERIC NUGIS</v>
          </cell>
          <cell r="B5136">
            <v>6274</v>
          </cell>
        </row>
        <row r="5137">
          <cell r="A5137" t="str">
            <v>MARKO NUGIS</v>
          </cell>
          <cell r="B5137">
            <v>4406</v>
          </cell>
        </row>
        <row r="5138">
          <cell r="A5138" t="str">
            <v>TARMO NUIA</v>
          </cell>
          <cell r="B5138">
            <v>1861</v>
          </cell>
        </row>
        <row r="5139">
          <cell r="A5139" t="str">
            <v>MAIRON NUKK</v>
          </cell>
          <cell r="B5139">
            <v>6232</v>
          </cell>
        </row>
        <row r="5140">
          <cell r="A5140" t="str">
            <v>OLIVER NUKK</v>
          </cell>
          <cell r="B5140">
            <v>9639</v>
          </cell>
        </row>
        <row r="5141">
          <cell r="A5141" t="str">
            <v>GRETE NUMMERT</v>
          </cell>
          <cell r="B5141">
            <v>96</v>
          </cell>
        </row>
        <row r="5142">
          <cell r="A5142" t="str">
            <v>EIGO NURGA</v>
          </cell>
          <cell r="B5142">
            <v>2228</v>
          </cell>
        </row>
        <row r="5143">
          <cell r="A5143" t="str">
            <v>LAURA-LIIS NURGA</v>
          </cell>
          <cell r="B5143">
            <v>1675</v>
          </cell>
        </row>
        <row r="5144">
          <cell r="A5144" t="str">
            <v>MIKK NURGA</v>
          </cell>
          <cell r="B5144">
            <v>1414</v>
          </cell>
        </row>
        <row r="5145">
          <cell r="A5145" t="str">
            <v>RAILI NURGA</v>
          </cell>
          <cell r="B5145">
            <v>6110</v>
          </cell>
        </row>
        <row r="5146">
          <cell r="A5146" t="str">
            <v>ÜLO NURJA</v>
          </cell>
          <cell r="B5146">
            <v>222</v>
          </cell>
        </row>
        <row r="5147">
          <cell r="A5147" t="str">
            <v>AHTO NURK</v>
          </cell>
          <cell r="B5147">
            <v>4690</v>
          </cell>
        </row>
        <row r="5148">
          <cell r="A5148" t="str">
            <v>MARIETE NURK</v>
          </cell>
          <cell r="B5148">
            <v>10171</v>
          </cell>
        </row>
        <row r="5149">
          <cell r="A5149" t="str">
            <v>PEEP NURK</v>
          </cell>
          <cell r="B5149">
            <v>1119</v>
          </cell>
        </row>
        <row r="5150">
          <cell r="A5150" t="str">
            <v>MICHELLE NURM</v>
          </cell>
          <cell r="B5150">
            <v>8927</v>
          </cell>
        </row>
        <row r="5151">
          <cell r="A5151" t="str">
            <v>RIKI-TAAVI NURM</v>
          </cell>
          <cell r="B5151">
            <v>10306</v>
          </cell>
        </row>
        <row r="5152">
          <cell r="A5152" t="str">
            <v>AIVAR NURME</v>
          </cell>
          <cell r="B5152">
            <v>7496</v>
          </cell>
        </row>
        <row r="5153">
          <cell r="A5153" t="str">
            <v>NEEME NURMING</v>
          </cell>
          <cell r="B5153">
            <v>9399</v>
          </cell>
        </row>
        <row r="5154">
          <cell r="A5154" t="str">
            <v>KRISTEL NURMIST</v>
          </cell>
          <cell r="B5154">
            <v>2046</v>
          </cell>
        </row>
        <row r="5155">
          <cell r="A5155" t="str">
            <v>ÜLAR NURMITS</v>
          </cell>
          <cell r="B5155">
            <v>1827</v>
          </cell>
        </row>
        <row r="5156">
          <cell r="A5156" t="str">
            <v>HELDUR NURMITS</v>
          </cell>
          <cell r="B5156">
            <v>2355</v>
          </cell>
        </row>
        <row r="5157">
          <cell r="A5157" t="str">
            <v>INDREK NURMITS</v>
          </cell>
          <cell r="B5157">
            <v>1853</v>
          </cell>
        </row>
        <row r="5158">
          <cell r="A5158" t="str">
            <v>STEN NURMLA</v>
          </cell>
          <cell r="B5158">
            <v>2967</v>
          </cell>
        </row>
        <row r="5159">
          <cell r="A5159" t="str">
            <v>KAIE NURMSALU</v>
          </cell>
          <cell r="B5159">
            <v>97</v>
          </cell>
        </row>
        <row r="5160">
          <cell r="A5160" t="str">
            <v>MARGUS NURMSALU</v>
          </cell>
          <cell r="B5160">
            <v>334</v>
          </cell>
        </row>
        <row r="5161">
          <cell r="A5161" t="str">
            <v>MARKO NURMSALU</v>
          </cell>
          <cell r="B5161">
            <v>467</v>
          </cell>
        </row>
        <row r="5162">
          <cell r="A5162" t="str">
            <v>GREGOR JOHANN NUUMA</v>
          </cell>
          <cell r="B5162">
            <v>9937</v>
          </cell>
        </row>
        <row r="5163">
          <cell r="A5163" t="str">
            <v>MARTIN HANNES NUUMA</v>
          </cell>
          <cell r="B5163">
            <v>8806</v>
          </cell>
        </row>
        <row r="5164">
          <cell r="A5164" t="str">
            <v>OLIVER NUUT</v>
          </cell>
          <cell r="B5164">
            <v>8390</v>
          </cell>
        </row>
        <row r="5165">
          <cell r="A5165" t="str">
            <v>HANNA NYBERG</v>
          </cell>
          <cell r="B5165">
            <v>1558</v>
          </cell>
        </row>
        <row r="5166">
          <cell r="A5166" t="str">
            <v>JÜRI NYBERG</v>
          </cell>
          <cell r="B5166">
            <v>856</v>
          </cell>
        </row>
        <row r="5167">
          <cell r="A5167" t="str">
            <v>PANU NYBERG</v>
          </cell>
          <cell r="B5167">
            <v>857</v>
          </cell>
        </row>
        <row r="5168">
          <cell r="A5168" t="str">
            <v>SIMON NYSTRÖM</v>
          </cell>
          <cell r="B5168">
            <v>9754</v>
          </cell>
        </row>
        <row r="5169">
          <cell r="A5169" t="str">
            <v>MATTI NYYSSÖNEN</v>
          </cell>
          <cell r="B5169">
            <v>5273</v>
          </cell>
        </row>
        <row r="5170">
          <cell r="A5170" t="str">
            <v>MIIKA O'CONNOR</v>
          </cell>
          <cell r="B5170">
            <v>2856</v>
          </cell>
        </row>
        <row r="5171">
          <cell r="A5171" t="str">
            <v>EIDI OAGO</v>
          </cell>
          <cell r="B5171">
            <v>2536</v>
          </cell>
        </row>
        <row r="5172">
          <cell r="A5172" t="str">
            <v>KAIDI OAGO</v>
          </cell>
          <cell r="B5172">
            <v>2537</v>
          </cell>
        </row>
        <row r="5173">
          <cell r="A5173" t="str">
            <v>AGNES OBERLE</v>
          </cell>
          <cell r="B5173">
            <v>10005</v>
          </cell>
        </row>
        <row r="5174">
          <cell r="A5174" t="str">
            <v>HENRI OBERLE</v>
          </cell>
          <cell r="B5174">
            <v>9956</v>
          </cell>
        </row>
        <row r="5175">
          <cell r="A5175" t="str">
            <v>VINCENT OBERLE</v>
          </cell>
          <cell r="B5175">
            <v>7632</v>
          </cell>
        </row>
        <row r="5176">
          <cell r="A5176" t="str">
            <v>ANELI OBLIKAS</v>
          </cell>
          <cell r="B5176">
            <v>8831</v>
          </cell>
        </row>
        <row r="5177">
          <cell r="A5177" t="str">
            <v>GUNNAR OBOLENSKI</v>
          </cell>
          <cell r="B5177">
            <v>3839</v>
          </cell>
        </row>
        <row r="5178">
          <cell r="A5178" t="str">
            <v>MARTEN ODAMUS</v>
          </cell>
          <cell r="B5178">
            <v>7201</v>
          </cell>
        </row>
        <row r="5179">
          <cell r="A5179" t="str">
            <v>MAIBRIT ODAR</v>
          </cell>
          <cell r="B5179">
            <v>9304</v>
          </cell>
        </row>
        <row r="5180">
          <cell r="A5180" t="str">
            <v>ARTUR EDMOND ODAV</v>
          </cell>
          <cell r="B5180">
            <v>7974</v>
          </cell>
        </row>
        <row r="5181">
          <cell r="A5181" t="str">
            <v>SERGEI ODINTSOV</v>
          </cell>
          <cell r="B5181">
            <v>8759</v>
          </cell>
        </row>
        <row r="5182">
          <cell r="A5182" t="str">
            <v>KLAUS ODRAS</v>
          </cell>
          <cell r="B5182">
            <v>1430</v>
          </cell>
        </row>
        <row r="5183">
          <cell r="A5183" t="str">
            <v>AAP ODRES</v>
          </cell>
          <cell r="B5183">
            <v>2314</v>
          </cell>
        </row>
        <row r="5184">
          <cell r="A5184" t="str">
            <v>LIDIA OGANESJAN</v>
          </cell>
          <cell r="B5184">
            <v>10531</v>
          </cell>
        </row>
        <row r="5185">
          <cell r="A5185" t="str">
            <v>LIIDIA OGANESJAN</v>
          </cell>
          <cell r="B5185">
            <v>10392</v>
          </cell>
        </row>
        <row r="5186">
          <cell r="A5186" t="str">
            <v>LIIDIA OGANESNAJA</v>
          </cell>
          <cell r="B5186">
            <v>10173</v>
          </cell>
        </row>
        <row r="5187">
          <cell r="A5187" t="str">
            <v>PAVEL OGARYSHEV</v>
          </cell>
          <cell r="B5187">
            <v>10811</v>
          </cell>
        </row>
        <row r="5188">
          <cell r="A5188" t="str">
            <v>STEFANIA OGARYSHEVA</v>
          </cell>
          <cell r="B5188">
            <v>10816</v>
          </cell>
        </row>
        <row r="5189">
          <cell r="A5189" t="str">
            <v>ANNA OGNEVA</v>
          </cell>
          <cell r="B5189">
            <v>9428</v>
          </cell>
        </row>
        <row r="5190">
          <cell r="A5190" t="str">
            <v>ALEKSEI OGURTSOV</v>
          </cell>
          <cell r="B5190">
            <v>10139</v>
          </cell>
        </row>
        <row r="5191">
          <cell r="A5191" t="str">
            <v>ALINA OGURTSOVA</v>
          </cell>
          <cell r="B5191">
            <v>7609</v>
          </cell>
        </row>
        <row r="5192">
          <cell r="A5192" t="str">
            <v>SANDER OHAKA</v>
          </cell>
          <cell r="B5192">
            <v>1688</v>
          </cell>
        </row>
        <row r="5193">
          <cell r="A5193" t="str">
            <v>RAMON OHAKAS</v>
          </cell>
          <cell r="B5193">
            <v>10441</v>
          </cell>
        </row>
        <row r="5194">
          <cell r="A5194" t="str">
            <v>ERLEND OHNO</v>
          </cell>
          <cell r="B5194">
            <v>3567</v>
          </cell>
        </row>
        <row r="5195">
          <cell r="A5195" t="str">
            <v>HELINA OHTLA</v>
          </cell>
          <cell r="B5195">
            <v>3468</v>
          </cell>
        </row>
        <row r="5196">
          <cell r="A5196" t="str">
            <v>NIKITA OIDINGU</v>
          </cell>
          <cell r="B5196">
            <v>8133</v>
          </cell>
        </row>
        <row r="5197">
          <cell r="A5197" t="str">
            <v>AARE OJA</v>
          </cell>
          <cell r="B5197">
            <v>3459</v>
          </cell>
        </row>
        <row r="5198">
          <cell r="A5198" t="str">
            <v>ALBERT OJA</v>
          </cell>
          <cell r="B5198">
            <v>1149</v>
          </cell>
        </row>
        <row r="5199">
          <cell r="A5199" t="str">
            <v>ANETT-KRISTIIN OJA</v>
          </cell>
          <cell r="B5199">
            <v>7859</v>
          </cell>
        </row>
        <row r="5200">
          <cell r="A5200" t="str">
            <v>AUGUST-ERVIN OJA</v>
          </cell>
          <cell r="B5200">
            <v>4784</v>
          </cell>
        </row>
        <row r="5201">
          <cell r="A5201" t="str">
            <v>BRUNOLD OJA</v>
          </cell>
          <cell r="B5201">
            <v>8535</v>
          </cell>
        </row>
        <row r="5202">
          <cell r="A5202" t="str">
            <v>GUNNAR OJA</v>
          </cell>
          <cell r="B5202">
            <v>2768</v>
          </cell>
        </row>
        <row r="5203">
          <cell r="A5203" t="str">
            <v>HANNA JANET OJA</v>
          </cell>
          <cell r="B5203">
            <v>4409</v>
          </cell>
        </row>
        <row r="5204">
          <cell r="A5204" t="str">
            <v>KERT OJA</v>
          </cell>
          <cell r="B5204">
            <v>2668</v>
          </cell>
        </row>
        <row r="5205">
          <cell r="A5205" t="str">
            <v>MAARION OJA</v>
          </cell>
          <cell r="B5205">
            <v>3440</v>
          </cell>
        </row>
        <row r="5206">
          <cell r="A5206" t="str">
            <v>MARTIN OJA</v>
          </cell>
          <cell r="B5206">
            <v>9551</v>
          </cell>
        </row>
        <row r="5207">
          <cell r="A5207" t="str">
            <v>ROBERT OJA</v>
          </cell>
          <cell r="B5207">
            <v>10442</v>
          </cell>
        </row>
        <row r="5208">
          <cell r="A5208" t="str">
            <v>RUUBEN OJA</v>
          </cell>
          <cell r="B5208">
            <v>9597</v>
          </cell>
        </row>
        <row r="5209">
          <cell r="A5209" t="str">
            <v>TIIT OJA</v>
          </cell>
          <cell r="B5209">
            <v>9625</v>
          </cell>
        </row>
        <row r="5210">
          <cell r="A5210" t="str">
            <v>MATIAS OJALA</v>
          </cell>
          <cell r="B5210">
            <v>9111</v>
          </cell>
        </row>
        <row r="5211">
          <cell r="A5211" t="str">
            <v>ASTRID OJALILL</v>
          </cell>
          <cell r="B5211">
            <v>1612</v>
          </cell>
        </row>
        <row r="5212">
          <cell r="A5212" t="str">
            <v>MAARJA OJALILL</v>
          </cell>
          <cell r="B5212">
            <v>1611</v>
          </cell>
        </row>
        <row r="5213">
          <cell r="A5213" t="str">
            <v>RIVO OJALILL</v>
          </cell>
          <cell r="B5213">
            <v>3379</v>
          </cell>
        </row>
        <row r="5214">
          <cell r="A5214" t="str">
            <v>KERTU OJALO</v>
          </cell>
          <cell r="B5214">
            <v>4867</v>
          </cell>
        </row>
        <row r="5215">
          <cell r="A5215" t="str">
            <v>HENDRIK OJAMAA</v>
          </cell>
          <cell r="B5215">
            <v>7453</v>
          </cell>
        </row>
        <row r="5216">
          <cell r="A5216" t="str">
            <v>IMRE OJAMAA</v>
          </cell>
          <cell r="B5216">
            <v>10519</v>
          </cell>
        </row>
        <row r="5217">
          <cell r="A5217" t="str">
            <v>MÄRT OJAMAA</v>
          </cell>
          <cell r="B5217">
            <v>225</v>
          </cell>
        </row>
        <row r="5218">
          <cell r="A5218" t="str">
            <v>EMMA OJAMETS</v>
          </cell>
          <cell r="B5218">
            <v>7893</v>
          </cell>
        </row>
        <row r="5219">
          <cell r="A5219" t="str">
            <v>MARKO OJAMETS</v>
          </cell>
          <cell r="B5219">
            <v>5199</v>
          </cell>
        </row>
        <row r="5220">
          <cell r="A5220" t="str">
            <v>TEELE OJAMETS</v>
          </cell>
          <cell r="B5220">
            <v>8074</v>
          </cell>
        </row>
        <row r="5221">
          <cell r="A5221" t="str">
            <v>SEBASTIAN MATTIAS OJAP</v>
          </cell>
          <cell r="B5221">
            <v>7798</v>
          </cell>
        </row>
        <row r="5222">
          <cell r="A5222" t="str">
            <v>PEETER OJAPERV</v>
          </cell>
          <cell r="B5222">
            <v>10057</v>
          </cell>
        </row>
        <row r="5223">
          <cell r="A5223" t="str">
            <v>GREG OJASALU</v>
          </cell>
          <cell r="B5223">
            <v>8960</v>
          </cell>
        </row>
        <row r="5224">
          <cell r="A5224" t="str">
            <v>MEELIS OJASILD</v>
          </cell>
          <cell r="B5224">
            <v>8892</v>
          </cell>
        </row>
        <row r="5225">
          <cell r="A5225" t="str">
            <v>MARTIN OJASOO</v>
          </cell>
          <cell r="B5225">
            <v>7509</v>
          </cell>
        </row>
        <row r="5226">
          <cell r="A5226" t="str">
            <v>REIJO OJASOO</v>
          </cell>
          <cell r="B5226">
            <v>8212</v>
          </cell>
        </row>
        <row r="5227">
          <cell r="A5227" t="str">
            <v>RANDO OJASSOO</v>
          </cell>
          <cell r="B5227">
            <v>9739</v>
          </cell>
        </row>
        <row r="5228">
          <cell r="A5228" t="str">
            <v>JANARI OJASTE</v>
          </cell>
          <cell r="B5228">
            <v>3011</v>
          </cell>
        </row>
        <row r="5229">
          <cell r="A5229" t="str">
            <v>OLIVER OJASTE</v>
          </cell>
          <cell r="B5229">
            <v>4023</v>
          </cell>
        </row>
        <row r="5230">
          <cell r="A5230" t="str">
            <v>STEMO OJAVEE</v>
          </cell>
          <cell r="B5230">
            <v>8508</v>
          </cell>
        </row>
        <row r="5231">
          <cell r="A5231" t="str">
            <v>TOOMAS OJAVERE</v>
          </cell>
          <cell r="B5231">
            <v>5956</v>
          </cell>
        </row>
        <row r="5232">
          <cell r="A5232" t="str">
            <v>HARTI OKAS</v>
          </cell>
          <cell r="B5232">
            <v>10858</v>
          </cell>
        </row>
        <row r="5233">
          <cell r="A5233" t="str">
            <v>PETRA OKAS</v>
          </cell>
          <cell r="B5233">
            <v>8919</v>
          </cell>
        </row>
        <row r="5234">
          <cell r="A5234" t="str">
            <v>ROMET OKAS</v>
          </cell>
          <cell r="B5234">
            <v>4979</v>
          </cell>
        </row>
        <row r="5235">
          <cell r="A5235" t="str">
            <v>ANDRES OKS</v>
          </cell>
          <cell r="B5235">
            <v>10665</v>
          </cell>
        </row>
        <row r="5236">
          <cell r="A5236" t="str">
            <v>JANAR OKS</v>
          </cell>
          <cell r="B5236">
            <v>4410</v>
          </cell>
        </row>
        <row r="5237">
          <cell r="A5237" t="str">
            <v>KEILI OKS</v>
          </cell>
          <cell r="B5237">
            <v>6253</v>
          </cell>
        </row>
        <row r="5238">
          <cell r="A5238" t="str">
            <v>JAANIKA OKSANEN</v>
          </cell>
          <cell r="B5238">
            <v>1831</v>
          </cell>
        </row>
        <row r="5239">
          <cell r="A5239" t="str">
            <v>JORMA OKSANEN</v>
          </cell>
          <cell r="B5239">
            <v>1564</v>
          </cell>
        </row>
        <row r="5240">
          <cell r="A5240" t="str">
            <v>VILI OKSANEN</v>
          </cell>
          <cell r="B5240">
            <v>1550</v>
          </cell>
        </row>
        <row r="5241">
          <cell r="A5241" t="str">
            <v>JULIA OKUN</v>
          </cell>
          <cell r="B5241">
            <v>2570</v>
          </cell>
        </row>
        <row r="5242">
          <cell r="A5242" t="str">
            <v>VALERI OKUNEV</v>
          </cell>
          <cell r="B5242">
            <v>226</v>
          </cell>
        </row>
        <row r="5243">
          <cell r="A5243" t="str">
            <v>BENEDEK OLAH</v>
          </cell>
          <cell r="B5243">
            <v>1527</v>
          </cell>
        </row>
        <row r="5244">
          <cell r="A5244" t="str">
            <v>LAIOS OLAH</v>
          </cell>
          <cell r="B5244">
            <v>1537</v>
          </cell>
        </row>
        <row r="5245">
          <cell r="A5245" t="str">
            <v>SOFIA OLAH</v>
          </cell>
          <cell r="B5245">
            <v>1504</v>
          </cell>
        </row>
        <row r="5246">
          <cell r="A5246" t="str">
            <v>ROMAN OLEINIK</v>
          </cell>
          <cell r="B5246">
            <v>3492</v>
          </cell>
        </row>
        <row r="5247">
          <cell r="A5247" t="str">
            <v>KSENJA OLEINIKOVA</v>
          </cell>
          <cell r="B5247">
            <v>2560</v>
          </cell>
        </row>
        <row r="5248">
          <cell r="A5248" t="str">
            <v>MARTIN OLESK</v>
          </cell>
          <cell r="B5248">
            <v>2301</v>
          </cell>
        </row>
        <row r="5249">
          <cell r="A5249" t="str">
            <v>RAINER OLESK</v>
          </cell>
          <cell r="B5249">
            <v>8092</v>
          </cell>
        </row>
        <row r="5250">
          <cell r="A5250" t="str">
            <v>TAAVI OLESK</v>
          </cell>
          <cell r="B5250">
            <v>7276</v>
          </cell>
        </row>
        <row r="5251">
          <cell r="A5251" t="str">
            <v>JAAN OLEV</v>
          </cell>
          <cell r="B5251">
            <v>2915</v>
          </cell>
        </row>
        <row r="5252">
          <cell r="A5252" t="str">
            <v>ANASTASSIA OLEWICZ</v>
          </cell>
          <cell r="B5252">
            <v>6023</v>
          </cell>
        </row>
        <row r="5253">
          <cell r="A5253" t="str">
            <v>CAKABEY OLGUN</v>
          </cell>
          <cell r="B5253">
            <v>4811</v>
          </cell>
        </row>
        <row r="5254">
          <cell r="A5254" t="str">
            <v>SAMULI OLKKONEN</v>
          </cell>
          <cell r="B5254">
            <v>1528</v>
          </cell>
        </row>
        <row r="5255">
          <cell r="A5255" t="str">
            <v>RAUNO OLLEMA</v>
          </cell>
          <cell r="B5255">
            <v>2829</v>
          </cell>
        </row>
        <row r="5256">
          <cell r="A5256" t="str">
            <v>SANDER OLLEMA</v>
          </cell>
          <cell r="B5256">
            <v>2833</v>
          </cell>
        </row>
        <row r="5257">
          <cell r="A5257" t="str">
            <v>KEVIN OLLI</v>
          </cell>
          <cell r="B5257">
            <v>8466</v>
          </cell>
        </row>
        <row r="5258">
          <cell r="A5258" t="str">
            <v>KRISTIIN OLLI</v>
          </cell>
          <cell r="B5258">
            <v>8465</v>
          </cell>
        </row>
        <row r="5259">
          <cell r="A5259" t="str">
            <v>KAI OLLIKAINEN</v>
          </cell>
          <cell r="B5259">
            <v>1125</v>
          </cell>
        </row>
        <row r="5260">
          <cell r="A5260" t="str">
            <v>MAILIIS OLLINO</v>
          </cell>
          <cell r="B5260">
            <v>4411</v>
          </cell>
        </row>
        <row r="5261">
          <cell r="A5261" t="str">
            <v>HANS OLLMANN</v>
          </cell>
          <cell r="B5261">
            <v>10652</v>
          </cell>
        </row>
        <row r="5262">
          <cell r="A5262" t="str">
            <v>JOHANN OLLMANN</v>
          </cell>
          <cell r="B5262">
            <v>9943</v>
          </cell>
        </row>
        <row r="5263">
          <cell r="A5263" t="str">
            <v>OLIVER OLLMANN</v>
          </cell>
          <cell r="B5263">
            <v>6277</v>
          </cell>
        </row>
        <row r="5264">
          <cell r="A5264" t="str">
            <v>KEVIN OLLO</v>
          </cell>
          <cell r="B5264">
            <v>10654</v>
          </cell>
        </row>
        <row r="5265">
          <cell r="A5265" t="str">
            <v>RASMUS OLLO</v>
          </cell>
          <cell r="B5265">
            <v>10865</v>
          </cell>
        </row>
        <row r="5266">
          <cell r="A5266" t="str">
            <v>JOHAN OLOFSSON</v>
          </cell>
          <cell r="B5266">
            <v>2224</v>
          </cell>
        </row>
        <row r="5267">
          <cell r="A5267" t="str">
            <v>KIRILL OLONEN</v>
          </cell>
          <cell r="B5267">
            <v>984</v>
          </cell>
        </row>
        <row r="5268">
          <cell r="A5268" t="str">
            <v>JAN-MARTTI OLOP</v>
          </cell>
          <cell r="B5268">
            <v>9903</v>
          </cell>
        </row>
        <row r="5269">
          <cell r="A5269" t="str">
            <v>TIM OLSBO</v>
          </cell>
          <cell r="B5269">
            <v>1555</v>
          </cell>
        </row>
        <row r="5270">
          <cell r="A5270" t="str">
            <v>AILAR OMLER</v>
          </cell>
          <cell r="B5270">
            <v>1249</v>
          </cell>
        </row>
        <row r="5271">
          <cell r="A5271" t="str">
            <v>HANNES ONNO</v>
          </cell>
          <cell r="B5271">
            <v>397</v>
          </cell>
        </row>
        <row r="5272">
          <cell r="A5272" t="str">
            <v>MAIRO ONNO</v>
          </cell>
          <cell r="B5272">
            <v>9073</v>
          </cell>
        </row>
        <row r="5273">
          <cell r="A5273" t="str">
            <v>SVEA ONNO</v>
          </cell>
          <cell r="B5273">
            <v>132</v>
          </cell>
        </row>
        <row r="5274">
          <cell r="A5274" t="str">
            <v>AUGUST ONTON</v>
          </cell>
          <cell r="B5274">
            <v>10784</v>
          </cell>
        </row>
        <row r="5275">
          <cell r="A5275" t="str">
            <v>GUSTAV ONTON</v>
          </cell>
          <cell r="B5275">
            <v>10783</v>
          </cell>
        </row>
        <row r="5276">
          <cell r="A5276" t="str">
            <v>VARMO ONTON</v>
          </cell>
          <cell r="B5276">
            <v>2287</v>
          </cell>
        </row>
        <row r="5277">
          <cell r="A5277" t="str">
            <v>HANNABELL OOL</v>
          </cell>
          <cell r="B5277">
            <v>7257</v>
          </cell>
        </row>
        <row r="5278">
          <cell r="A5278" t="str">
            <v>REVO OOL</v>
          </cell>
          <cell r="B5278">
            <v>7256</v>
          </cell>
        </row>
        <row r="5279">
          <cell r="A5279" t="str">
            <v>RANDO OOLMA</v>
          </cell>
          <cell r="B5279">
            <v>2063</v>
          </cell>
        </row>
        <row r="5280">
          <cell r="A5280" t="str">
            <v>RAUDO OOLMA</v>
          </cell>
          <cell r="B5280">
            <v>5338</v>
          </cell>
        </row>
        <row r="5281">
          <cell r="A5281" t="str">
            <v>RIIN OOLMA</v>
          </cell>
          <cell r="B5281">
            <v>10243</v>
          </cell>
        </row>
        <row r="5282">
          <cell r="A5282" t="str">
            <v>KRISTI OOLO</v>
          </cell>
          <cell r="B5282">
            <v>1193</v>
          </cell>
        </row>
        <row r="5283">
          <cell r="A5283" t="str">
            <v>ILJA OPALKO</v>
          </cell>
          <cell r="B5283">
            <v>3998</v>
          </cell>
        </row>
        <row r="5284">
          <cell r="A5284" t="str">
            <v>KELLY OPER</v>
          </cell>
          <cell r="B5284">
            <v>4412</v>
          </cell>
        </row>
        <row r="5285">
          <cell r="A5285" t="str">
            <v>RASMUS OPER</v>
          </cell>
          <cell r="B5285">
            <v>9580</v>
          </cell>
        </row>
        <row r="5286">
          <cell r="A5286" t="str">
            <v>TOOMAS OPPO</v>
          </cell>
          <cell r="B5286">
            <v>1338</v>
          </cell>
        </row>
        <row r="5287">
          <cell r="A5287" t="str">
            <v>ANASTASSIA OPRÕSK</v>
          </cell>
          <cell r="B5287">
            <v>3507</v>
          </cell>
        </row>
        <row r="5288">
          <cell r="A5288" t="str">
            <v>JEVGENI OPRÕSK</v>
          </cell>
          <cell r="B5288">
            <v>3495</v>
          </cell>
        </row>
        <row r="5289">
          <cell r="A5289" t="str">
            <v>DIEGO ORANTES</v>
          </cell>
          <cell r="B5289">
            <v>9415</v>
          </cell>
        </row>
        <row r="5290">
          <cell r="A5290" t="str">
            <v>ANNABEL ORAS</v>
          </cell>
          <cell r="B5290">
            <v>8385</v>
          </cell>
        </row>
        <row r="5291">
          <cell r="A5291" t="str">
            <v>HENDRIK ORAS</v>
          </cell>
          <cell r="B5291">
            <v>7964</v>
          </cell>
        </row>
        <row r="5292">
          <cell r="A5292" t="str">
            <v>OLEV ORAS</v>
          </cell>
          <cell r="B5292">
            <v>2687</v>
          </cell>
        </row>
        <row r="5293">
          <cell r="A5293" t="str">
            <v>OLIVER ORAS</v>
          </cell>
          <cell r="B5293">
            <v>9216</v>
          </cell>
        </row>
        <row r="5294">
          <cell r="A5294" t="str">
            <v>SIIMO ORAS</v>
          </cell>
          <cell r="B5294">
            <v>4413</v>
          </cell>
        </row>
        <row r="5295">
          <cell r="A5295" t="str">
            <v>KEITH ORASMÄE</v>
          </cell>
          <cell r="B5295">
            <v>2653</v>
          </cell>
        </row>
        <row r="5296">
          <cell r="A5296" t="str">
            <v>KERSTI ORAV</v>
          </cell>
          <cell r="B5296">
            <v>8807</v>
          </cell>
        </row>
        <row r="5297">
          <cell r="A5297" t="str">
            <v>KADRI ORG</v>
          </cell>
          <cell r="B5297">
            <v>4414</v>
          </cell>
        </row>
        <row r="5298">
          <cell r="A5298" t="str">
            <v>RAGNAR-MARTIN ORGJÕE</v>
          </cell>
          <cell r="B5298">
            <v>6268</v>
          </cell>
        </row>
        <row r="5299">
          <cell r="A5299" t="str">
            <v>KALEV ORGSE</v>
          </cell>
          <cell r="B5299">
            <v>8460</v>
          </cell>
        </row>
        <row r="5300">
          <cell r="A5300" t="str">
            <v>MIHKEL ORGSE</v>
          </cell>
          <cell r="B5300">
            <v>9713</v>
          </cell>
        </row>
        <row r="5301">
          <cell r="A5301" t="str">
            <v>AMOR ORGUSAAR</v>
          </cell>
          <cell r="B5301">
            <v>10645</v>
          </cell>
        </row>
        <row r="5302">
          <cell r="A5302" t="str">
            <v>MARTIN ORGUSAAR</v>
          </cell>
          <cell r="B5302">
            <v>8904</v>
          </cell>
        </row>
        <row r="5303">
          <cell r="A5303" t="str">
            <v>JOSSIF ORLOV</v>
          </cell>
          <cell r="B5303">
            <v>4415</v>
          </cell>
        </row>
        <row r="5304">
          <cell r="A5304" t="str">
            <v>VALERI ORLOV</v>
          </cell>
          <cell r="B5304">
            <v>227</v>
          </cell>
        </row>
        <row r="5305">
          <cell r="A5305" t="str">
            <v>ANASTASSIA ORLOVA</v>
          </cell>
          <cell r="B5305">
            <v>10538</v>
          </cell>
        </row>
        <row r="5306">
          <cell r="A5306" t="str">
            <v>EGLE ORLOVAITE</v>
          </cell>
          <cell r="B5306">
            <v>5494</v>
          </cell>
        </row>
        <row r="5307">
          <cell r="A5307" t="str">
            <v>ARTURAS ORLOVAS</v>
          </cell>
          <cell r="B5307">
            <v>5496</v>
          </cell>
        </row>
        <row r="5308">
          <cell r="A5308" t="str">
            <v>LEV ORLOVSKIY</v>
          </cell>
          <cell r="B5308">
            <v>8853</v>
          </cell>
        </row>
        <row r="5309">
          <cell r="A5309" t="str">
            <v>RASMA ORMANE</v>
          </cell>
          <cell r="B5309">
            <v>3840</v>
          </cell>
        </row>
        <row r="5310">
          <cell r="A5310" t="str">
            <v>ARTUR ORMISSON</v>
          </cell>
          <cell r="B5310">
            <v>5667</v>
          </cell>
        </row>
        <row r="5311">
          <cell r="A5311" t="str">
            <v>KERT ORUJÄRV</v>
          </cell>
          <cell r="B5311">
            <v>9995</v>
          </cell>
        </row>
        <row r="5312">
          <cell r="A5312" t="str">
            <v>RAIKO ORUMAA</v>
          </cell>
          <cell r="B5312">
            <v>2348</v>
          </cell>
        </row>
        <row r="5313">
          <cell r="A5313" t="str">
            <v>MARIA ORUTAR</v>
          </cell>
          <cell r="B5313">
            <v>4934</v>
          </cell>
        </row>
        <row r="5314">
          <cell r="A5314" t="str">
            <v>JANNO OSA</v>
          </cell>
          <cell r="B5314">
            <v>4117</v>
          </cell>
        </row>
        <row r="5315">
          <cell r="A5315" t="str">
            <v>TOMOMI OSANAI</v>
          </cell>
          <cell r="B5315">
            <v>10316</v>
          </cell>
        </row>
        <row r="5316">
          <cell r="A5316" t="str">
            <v>FREDERIK OSMAN</v>
          </cell>
          <cell r="B5316">
            <v>7521</v>
          </cell>
        </row>
        <row r="5317">
          <cell r="A5317" t="str">
            <v>VITALI OSMUŠKIN</v>
          </cell>
          <cell r="B5317">
            <v>3646</v>
          </cell>
        </row>
        <row r="5318">
          <cell r="A5318" t="str">
            <v>TAIVI OSOLIN</v>
          </cell>
          <cell r="B5318">
            <v>4416</v>
          </cell>
        </row>
        <row r="5319">
          <cell r="A5319" t="str">
            <v>LARS SANDER OSSEP</v>
          </cell>
          <cell r="B5319">
            <v>9719</v>
          </cell>
        </row>
        <row r="5320">
          <cell r="A5320" t="str">
            <v>RENE OSSI</v>
          </cell>
          <cell r="B5320">
            <v>1915</v>
          </cell>
        </row>
        <row r="5321">
          <cell r="A5321" t="str">
            <v>ANDREI OSSIPOV</v>
          </cell>
          <cell r="B5321">
            <v>2744</v>
          </cell>
        </row>
        <row r="5322">
          <cell r="A5322" t="str">
            <v>RUSLAN OSSIPOV</v>
          </cell>
          <cell r="B5322">
            <v>1090</v>
          </cell>
        </row>
        <row r="5323">
          <cell r="A5323" t="str">
            <v>IVO OSSIS</v>
          </cell>
          <cell r="B5323">
            <v>5349</v>
          </cell>
        </row>
        <row r="5324">
          <cell r="A5324" t="str">
            <v>JEKATERINA OSTRJAKOVA</v>
          </cell>
          <cell r="B5324">
            <v>6153</v>
          </cell>
        </row>
        <row r="5325">
          <cell r="A5325" t="str">
            <v>MIKK-ARTUR OSTROV</v>
          </cell>
          <cell r="B5325">
            <v>1776</v>
          </cell>
        </row>
        <row r="5326">
          <cell r="A5326" t="str">
            <v>MERILI OSULA</v>
          </cell>
          <cell r="B5326">
            <v>8737</v>
          </cell>
        </row>
        <row r="5327">
          <cell r="A5327" t="str">
            <v>MIHKEL OSULA</v>
          </cell>
          <cell r="B5327">
            <v>4417</v>
          </cell>
        </row>
        <row r="5328">
          <cell r="A5328" t="str">
            <v>TÕNIS OSVET</v>
          </cell>
          <cell r="B5328">
            <v>7418</v>
          </cell>
        </row>
        <row r="5329">
          <cell r="A5329" t="str">
            <v>DARTA OZOLINA</v>
          </cell>
          <cell r="B5329">
            <v>1702</v>
          </cell>
        </row>
        <row r="5330">
          <cell r="A5330" t="str">
            <v>JANIS OZOLS</v>
          </cell>
          <cell r="B5330">
            <v>3524</v>
          </cell>
        </row>
        <row r="5331">
          <cell r="A5331" t="str">
            <v>JULIJA OTLAGOVA</v>
          </cell>
          <cell r="B5331">
            <v>8914</v>
          </cell>
        </row>
        <row r="5332">
          <cell r="A5332" t="str">
            <v>ANTI OTS</v>
          </cell>
          <cell r="B5332">
            <v>8336</v>
          </cell>
        </row>
        <row r="5333">
          <cell r="A5333" t="str">
            <v>JOOSEP OTSA</v>
          </cell>
          <cell r="B5333">
            <v>4895</v>
          </cell>
        </row>
        <row r="5334">
          <cell r="A5334" t="str">
            <v>PEETER OTSMAN</v>
          </cell>
          <cell r="B5334">
            <v>5599</v>
          </cell>
        </row>
        <row r="5335">
          <cell r="A5335" t="str">
            <v>SIIM OTSUS</v>
          </cell>
          <cell r="B5335">
            <v>7864</v>
          </cell>
        </row>
        <row r="5336">
          <cell r="A5336" t="str">
            <v>TIIVI OTSUS</v>
          </cell>
          <cell r="B5336">
            <v>8732</v>
          </cell>
        </row>
        <row r="5337">
          <cell r="A5337" t="str">
            <v>JANNO OTT</v>
          </cell>
          <cell r="B5337">
            <v>3841</v>
          </cell>
        </row>
        <row r="5338">
          <cell r="A5338" t="str">
            <v>JOONAS OTT</v>
          </cell>
          <cell r="B5338">
            <v>7205</v>
          </cell>
        </row>
        <row r="5339">
          <cell r="A5339" t="str">
            <v>MAGNUS OTT</v>
          </cell>
          <cell r="B5339">
            <v>5112</v>
          </cell>
        </row>
        <row r="5340">
          <cell r="A5340" t="str">
            <v>OLIVER OTT</v>
          </cell>
          <cell r="B5340">
            <v>9127</v>
          </cell>
        </row>
        <row r="5341">
          <cell r="A5341" t="str">
            <v>SILVER OTTER</v>
          </cell>
          <cell r="B5341">
            <v>4835</v>
          </cell>
        </row>
        <row r="5342">
          <cell r="A5342" t="str">
            <v>KAIUS OTTI</v>
          </cell>
          <cell r="B5342">
            <v>10020</v>
          </cell>
        </row>
        <row r="5343">
          <cell r="A5343" t="str">
            <v>ALLAR OVIIR</v>
          </cell>
          <cell r="B5343">
            <v>228</v>
          </cell>
        </row>
        <row r="5344">
          <cell r="A5344" t="str">
            <v>ALVAR OVIIR</v>
          </cell>
          <cell r="B5344">
            <v>394</v>
          </cell>
        </row>
        <row r="5345">
          <cell r="A5345" t="str">
            <v>OLEV OVIIR</v>
          </cell>
          <cell r="B5345">
            <v>229</v>
          </cell>
        </row>
        <row r="5346">
          <cell r="A5346" t="str">
            <v>RIIN OVIIR</v>
          </cell>
          <cell r="B5346">
            <v>526</v>
          </cell>
        </row>
        <row r="5347">
          <cell r="A5347" t="str">
            <v>ARAM OVSEPJAN</v>
          </cell>
          <cell r="B5347">
            <v>10862</v>
          </cell>
        </row>
        <row r="5348">
          <cell r="A5348" t="str">
            <v>SEMJON OVSJANNIKOV</v>
          </cell>
          <cell r="B5348">
            <v>2990</v>
          </cell>
        </row>
        <row r="5349">
          <cell r="A5349" t="str">
            <v>RIMMA OVSJANNIKOVA</v>
          </cell>
          <cell r="B5349">
            <v>9318</v>
          </cell>
        </row>
        <row r="5350">
          <cell r="A5350" t="str">
            <v>ZOJA OVSJANNIKOVA</v>
          </cell>
          <cell r="B5350">
            <v>7218</v>
          </cell>
        </row>
        <row r="5351">
          <cell r="A5351" t="str">
            <v>ROSTISLAVS OVČINNIKOVS</v>
          </cell>
          <cell r="B5351">
            <v>10396</v>
          </cell>
        </row>
        <row r="5352">
          <cell r="A5352" t="str">
            <v>EMILIA PŠČOLOVSKA</v>
          </cell>
          <cell r="B5352">
            <v>10302</v>
          </cell>
        </row>
        <row r="5353">
          <cell r="A5353" t="str">
            <v>EINO PÄÄRO</v>
          </cell>
          <cell r="B5353">
            <v>239</v>
          </cell>
        </row>
        <row r="5354">
          <cell r="A5354" t="str">
            <v>PRIIT PÄÄRO</v>
          </cell>
          <cell r="B5354">
            <v>6063</v>
          </cell>
        </row>
        <row r="5355">
          <cell r="A5355" t="str">
            <v>JAAK PÄHLAPUU</v>
          </cell>
          <cell r="B5355">
            <v>1290</v>
          </cell>
        </row>
        <row r="5356">
          <cell r="A5356" t="str">
            <v>ANDRIS PÄHN</v>
          </cell>
          <cell r="B5356">
            <v>10512</v>
          </cell>
        </row>
        <row r="5357">
          <cell r="A5357" t="str">
            <v>JANAR PÄHN</v>
          </cell>
          <cell r="B5357">
            <v>10511</v>
          </cell>
        </row>
        <row r="5358">
          <cell r="A5358" t="str">
            <v>JOAN OSKAR PÄKK</v>
          </cell>
          <cell r="B5358">
            <v>8427</v>
          </cell>
        </row>
        <row r="5359">
          <cell r="A5359" t="str">
            <v>TAURIS PÄLL</v>
          </cell>
          <cell r="B5359">
            <v>5115</v>
          </cell>
        </row>
        <row r="5360">
          <cell r="A5360" t="str">
            <v>JÜRI PÄLSING</v>
          </cell>
          <cell r="B5360">
            <v>1313</v>
          </cell>
        </row>
        <row r="5361">
          <cell r="A5361" t="str">
            <v>OLAV PÄRGMA</v>
          </cell>
          <cell r="B5361">
            <v>1817</v>
          </cell>
        </row>
        <row r="5362">
          <cell r="A5362" t="str">
            <v>OMAR PÄRGMA</v>
          </cell>
          <cell r="B5362">
            <v>1462</v>
          </cell>
        </row>
        <row r="5363">
          <cell r="A5363" t="str">
            <v>KAISA PÄRILA</v>
          </cell>
          <cell r="B5363">
            <v>8495</v>
          </cell>
        </row>
        <row r="5364">
          <cell r="A5364" t="str">
            <v>ANDRES PÄRN</v>
          </cell>
          <cell r="B5364">
            <v>8185</v>
          </cell>
        </row>
        <row r="5365">
          <cell r="A5365" t="str">
            <v>ARGO PÄRN</v>
          </cell>
          <cell r="B5365">
            <v>8964</v>
          </cell>
        </row>
        <row r="5366">
          <cell r="A5366" t="str">
            <v>ESTELLA PÄRN</v>
          </cell>
          <cell r="B5366">
            <v>10779</v>
          </cell>
        </row>
        <row r="5367">
          <cell r="A5367" t="str">
            <v>ILLIMAR PÄRN</v>
          </cell>
          <cell r="B5367">
            <v>10521</v>
          </cell>
        </row>
        <row r="5368">
          <cell r="A5368" t="str">
            <v>INDREK PÄRN</v>
          </cell>
          <cell r="B5368">
            <v>2532</v>
          </cell>
        </row>
        <row r="5369">
          <cell r="A5369" t="str">
            <v>MARTIN PÄRN</v>
          </cell>
          <cell r="B5369">
            <v>7402</v>
          </cell>
        </row>
        <row r="5370">
          <cell r="A5370" t="str">
            <v>MIHKEL PÄRN</v>
          </cell>
          <cell r="B5370">
            <v>7717</v>
          </cell>
        </row>
        <row r="5371">
          <cell r="A5371" t="str">
            <v>RAIVO PÄRN</v>
          </cell>
          <cell r="B5371">
            <v>5552</v>
          </cell>
        </row>
        <row r="5372">
          <cell r="A5372" t="str">
            <v>RAUNO PÄRN</v>
          </cell>
          <cell r="B5372">
            <v>1854</v>
          </cell>
        </row>
        <row r="5373">
          <cell r="A5373" t="str">
            <v>SULEV PÄRN</v>
          </cell>
          <cell r="B5373">
            <v>2023</v>
          </cell>
        </row>
        <row r="5374">
          <cell r="A5374" t="str">
            <v>TAUNO PÄRN</v>
          </cell>
          <cell r="B5374">
            <v>1870</v>
          </cell>
        </row>
        <row r="5375">
          <cell r="A5375" t="str">
            <v>TOMI PÄRN</v>
          </cell>
          <cell r="B5375">
            <v>3866</v>
          </cell>
        </row>
        <row r="5376">
          <cell r="A5376" t="str">
            <v>TOOMAS PÄRN</v>
          </cell>
          <cell r="B5376">
            <v>8499</v>
          </cell>
        </row>
        <row r="5377">
          <cell r="A5377" t="str">
            <v>VALTER PÄRN</v>
          </cell>
          <cell r="B5377">
            <v>10840</v>
          </cell>
        </row>
        <row r="5378">
          <cell r="A5378" t="str">
            <v>ANDRUS PÄRNA</v>
          </cell>
          <cell r="B5378">
            <v>9888</v>
          </cell>
        </row>
        <row r="5379">
          <cell r="A5379" t="str">
            <v>MIKK PÄRNA</v>
          </cell>
          <cell r="B5379">
            <v>2254</v>
          </cell>
        </row>
        <row r="5380">
          <cell r="A5380" t="str">
            <v>VEIKO PÄRNA</v>
          </cell>
          <cell r="B5380">
            <v>4700</v>
          </cell>
        </row>
        <row r="5381">
          <cell r="A5381" t="str">
            <v>JANNO PÄRNAKIVI</v>
          </cell>
          <cell r="B5381">
            <v>1301</v>
          </cell>
        </row>
        <row r="5382">
          <cell r="A5382" t="str">
            <v>LISETTE PÄRNAMETS</v>
          </cell>
          <cell r="B5382">
            <v>7997</v>
          </cell>
        </row>
        <row r="5383">
          <cell r="A5383" t="str">
            <v>MARIA-ELIISA PÄRNAPUU</v>
          </cell>
          <cell r="B5383">
            <v>9210</v>
          </cell>
        </row>
        <row r="5384">
          <cell r="A5384" t="str">
            <v>STEN PÄRNITS</v>
          </cell>
          <cell r="B5384">
            <v>2999</v>
          </cell>
        </row>
        <row r="5385">
          <cell r="A5385" t="str">
            <v>ANNELI PÄRNOJA</v>
          </cell>
          <cell r="B5385">
            <v>6032</v>
          </cell>
        </row>
        <row r="5386">
          <cell r="A5386" t="str">
            <v>DANIEL PÄRNPUU</v>
          </cell>
          <cell r="B5386">
            <v>6117</v>
          </cell>
        </row>
        <row r="5387">
          <cell r="A5387" t="str">
            <v>KAIMAR PÄRNPUU</v>
          </cell>
          <cell r="B5387">
            <v>6269</v>
          </cell>
        </row>
        <row r="5388">
          <cell r="A5388" t="str">
            <v>LIISA PÄRNPUU</v>
          </cell>
          <cell r="B5388">
            <v>1329</v>
          </cell>
        </row>
        <row r="5389">
          <cell r="A5389" t="str">
            <v>ELMAR PÄRNSALU</v>
          </cell>
          <cell r="B5389">
            <v>328</v>
          </cell>
        </row>
        <row r="5390">
          <cell r="A5390" t="str">
            <v>MARKEL PÄRNSALU</v>
          </cell>
          <cell r="B5390">
            <v>8046</v>
          </cell>
        </row>
        <row r="5391">
          <cell r="A5391" t="str">
            <v>ÜLO PÄRT</v>
          </cell>
          <cell r="B5391">
            <v>1291</v>
          </cell>
        </row>
        <row r="5392">
          <cell r="A5392" t="str">
            <v>MARGUS PÄRT</v>
          </cell>
          <cell r="B5392">
            <v>2327</v>
          </cell>
        </row>
        <row r="5393">
          <cell r="A5393" t="str">
            <v>KERT PÄRTEL</v>
          </cell>
          <cell r="B5393">
            <v>2873</v>
          </cell>
        </row>
        <row r="5394">
          <cell r="A5394" t="str">
            <v>LEONID PÄRTEL</v>
          </cell>
          <cell r="B5394">
            <v>8022</v>
          </cell>
        </row>
        <row r="5395">
          <cell r="A5395" t="str">
            <v>TAAVI PÄRTEL</v>
          </cell>
          <cell r="B5395">
            <v>3579</v>
          </cell>
        </row>
        <row r="5396">
          <cell r="A5396" t="str">
            <v>TIINA PÄRTEL</v>
          </cell>
          <cell r="B5396">
            <v>2746</v>
          </cell>
        </row>
        <row r="5397">
          <cell r="A5397" t="str">
            <v>URMAS PÄRTEL</v>
          </cell>
          <cell r="B5397">
            <v>8476</v>
          </cell>
        </row>
        <row r="5398">
          <cell r="A5398" t="str">
            <v>AAPO PÕDER</v>
          </cell>
          <cell r="B5398">
            <v>8346</v>
          </cell>
        </row>
        <row r="5399">
          <cell r="A5399" t="str">
            <v>AARNE PÕDER</v>
          </cell>
          <cell r="B5399">
            <v>5433</v>
          </cell>
        </row>
        <row r="5400">
          <cell r="A5400" t="str">
            <v>AARO PÕDER</v>
          </cell>
          <cell r="B5400">
            <v>7515</v>
          </cell>
        </row>
        <row r="5401">
          <cell r="A5401" t="str">
            <v>ERIK PÕDER</v>
          </cell>
          <cell r="B5401">
            <v>2109</v>
          </cell>
        </row>
        <row r="5402">
          <cell r="A5402" t="str">
            <v>HELI PÕDER</v>
          </cell>
          <cell r="B5402">
            <v>7185</v>
          </cell>
        </row>
        <row r="5403">
          <cell r="A5403" t="str">
            <v>HUGO PÕDER</v>
          </cell>
          <cell r="B5403">
            <v>2658</v>
          </cell>
        </row>
        <row r="5404">
          <cell r="A5404" t="str">
            <v>KARL PÕDER</v>
          </cell>
          <cell r="B5404">
            <v>7164</v>
          </cell>
        </row>
        <row r="5405">
          <cell r="A5405" t="str">
            <v>KUIDO PÕDER</v>
          </cell>
          <cell r="B5405">
            <v>1175</v>
          </cell>
        </row>
        <row r="5406">
          <cell r="A5406" t="str">
            <v>LISANNA PÕDER</v>
          </cell>
          <cell r="B5406">
            <v>9093</v>
          </cell>
        </row>
        <row r="5407">
          <cell r="A5407" t="str">
            <v>MARJE PÕDER</v>
          </cell>
          <cell r="B5407">
            <v>5934</v>
          </cell>
        </row>
        <row r="5408">
          <cell r="A5408" t="str">
            <v>MART PÕDER</v>
          </cell>
          <cell r="B5408">
            <v>7447</v>
          </cell>
        </row>
        <row r="5409">
          <cell r="A5409" t="str">
            <v>RIIN PÕDER</v>
          </cell>
          <cell r="B5409">
            <v>9851</v>
          </cell>
        </row>
        <row r="5410">
          <cell r="A5410" t="str">
            <v>SASA PÕDER</v>
          </cell>
          <cell r="B5410">
            <v>6203</v>
          </cell>
        </row>
        <row r="5411">
          <cell r="A5411" t="str">
            <v>KATI PÕDRA</v>
          </cell>
          <cell r="B5411">
            <v>104</v>
          </cell>
        </row>
        <row r="5412">
          <cell r="A5412" t="str">
            <v>PEETER PÕDRA</v>
          </cell>
          <cell r="B5412">
            <v>10001</v>
          </cell>
        </row>
        <row r="5413">
          <cell r="A5413" t="str">
            <v>ASTRID PÕHAKO</v>
          </cell>
          <cell r="B5413">
            <v>7091</v>
          </cell>
        </row>
        <row r="5414">
          <cell r="A5414" t="str">
            <v>EHA PÕHAKO</v>
          </cell>
          <cell r="B5414">
            <v>4123</v>
          </cell>
        </row>
        <row r="5415">
          <cell r="A5415" t="str">
            <v>MARLEEN PÕHAKO</v>
          </cell>
          <cell r="B5415">
            <v>7092</v>
          </cell>
        </row>
        <row r="5416">
          <cell r="A5416" t="str">
            <v>AADAM PÕHJALA</v>
          </cell>
          <cell r="B5416">
            <v>6011</v>
          </cell>
        </row>
        <row r="5417">
          <cell r="A5417" t="str">
            <v>AIN PÕIME</v>
          </cell>
          <cell r="B5417">
            <v>7654</v>
          </cell>
        </row>
        <row r="5418">
          <cell r="A5418" t="str">
            <v>LIIS PÕLD</v>
          </cell>
          <cell r="B5418">
            <v>2952</v>
          </cell>
        </row>
        <row r="5419">
          <cell r="A5419" t="str">
            <v>MARGUS PÕLD</v>
          </cell>
          <cell r="B5419">
            <v>8670</v>
          </cell>
        </row>
        <row r="5420">
          <cell r="A5420" t="str">
            <v>RANDAR PÕLD</v>
          </cell>
          <cell r="B5420">
            <v>1137</v>
          </cell>
        </row>
        <row r="5421">
          <cell r="A5421" t="str">
            <v>VÄINO PÕLD</v>
          </cell>
          <cell r="B5421">
            <v>3073</v>
          </cell>
        </row>
        <row r="5422">
          <cell r="A5422" t="str">
            <v>VIHUR PÕLD</v>
          </cell>
          <cell r="B5422">
            <v>9088</v>
          </cell>
        </row>
        <row r="5423">
          <cell r="A5423" t="str">
            <v>ANU PÕLDARU</v>
          </cell>
          <cell r="B5423">
            <v>105</v>
          </cell>
        </row>
        <row r="5424">
          <cell r="A5424" t="str">
            <v>BRAIN PÕLDARU</v>
          </cell>
          <cell r="B5424">
            <v>1002</v>
          </cell>
        </row>
        <row r="5425">
          <cell r="A5425" t="str">
            <v>JOOSEP PÕLDARU</v>
          </cell>
          <cell r="B5425">
            <v>9559</v>
          </cell>
        </row>
        <row r="5426">
          <cell r="A5426" t="str">
            <v>KALJO PÕLDARU</v>
          </cell>
          <cell r="B5426">
            <v>240</v>
          </cell>
        </row>
        <row r="5427">
          <cell r="A5427" t="str">
            <v>PRIIT PÕLDARU</v>
          </cell>
          <cell r="B5427">
            <v>393</v>
          </cell>
        </row>
        <row r="5428">
          <cell r="A5428" t="str">
            <v>ANTON PÕLDMA</v>
          </cell>
          <cell r="B5428">
            <v>5398</v>
          </cell>
        </row>
        <row r="5429">
          <cell r="A5429" t="str">
            <v>JOOSEP PÕLDMA</v>
          </cell>
          <cell r="B5429">
            <v>7769</v>
          </cell>
        </row>
        <row r="5430">
          <cell r="A5430" t="str">
            <v>TÕNU PÕLDMA</v>
          </cell>
          <cell r="B5430">
            <v>3273</v>
          </cell>
        </row>
        <row r="5431">
          <cell r="A5431" t="str">
            <v>LAURA PÕLDMAA</v>
          </cell>
          <cell r="B5431">
            <v>3628</v>
          </cell>
        </row>
        <row r="5432">
          <cell r="A5432" t="str">
            <v>MÄRT PÕLDMAA</v>
          </cell>
          <cell r="B5432">
            <v>315</v>
          </cell>
        </row>
        <row r="5433">
          <cell r="A5433" t="str">
            <v>AIGO PÕLDOJA</v>
          </cell>
          <cell r="B5433">
            <v>2246</v>
          </cell>
        </row>
        <row r="5434">
          <cell r="A5434" t="str">
            <v>LIISBETH PÕLDRE</v>
          </cell>
          <cell r="B5434">
            <v>4462</v>
          </cell>
        </row>
        <row r="5435">
          <cell r="A5435" t="str">
            <v>KÄTLIN PÕLDVEER</v>
          </cell>
          <cell r="B5435">
            <v>69</v>
          </cell>
        </row>
        <row r="5436">
          <cell r="A5436" t="str">
            <v>RICO PÕLDVEER</v>
          </cell>
          <cell r="B5436">
            <v>10162</v>
          </cell>
        </row>
        <row r="5437">
          <cell r="A5437" t="str">
            <v>INDREK PÕLDVER</v>
          </cell>
          <cell r="B5437">
            <v>5008</v>
          </cell>
        </row>
        <row r="5438">
          <cell r="A5438" t="str">
            <v>RAIT PÕLLENDIK</v>
          </cell>
          <cell r="B5438">
            <v>3464</v>
          </cell>
        </row>
        <row r="5439">
          <cell r="A5439" t="str">
            <v>STEFAN PÕLLO</v>
          </cell>
          <cell r="B5439">
            <v>3221</v>
          </cell>
        </row>
        <row r="5440">
          <cell r="A5440" t="str">
            <v>GETTER PÕRU</v>
          </cell>
          <cell r="B5440">
            <v>2233</v>
          </cell>
        </row>
        <row r="5441">
          <cell r="A5441" t="str">
            <v>MARKUS PÕRU</v>
          </cell>
          <cell r="B5441">
            <v>6064</v>
          </cell>
        </row>
        <row r="5442">
          <cell r="A5442" t="str">
            <v>RAUNO PÕRU</v>
          </cell>
          <cell r="B5442">
            <v>1651</v>
          </cell>
        </row>
        <row r="5443">
          <cell r="A5443" t="str">
            <v>ALEKSEI PAŠIN</v>
          </cell>
          <cell r="B5443">
            <v>9961</v>
          </cell>
        </row>
        <row r="5444">
          <cell r="A5444" t="str">
            <v>DARIA PAŠINTSEVA</v>
          </cell>
          <cell r="B5444">
            <v>9046</v>
          </cell>
        </row>
        <row r="5445">
          <cell r="A5445" t="str">
            <v>ANDREAS PAABOR</v>
          </cell>
          <cell r="B5445">
            <v>9360</v>
          </cell>
        </row>
        <row r="5446">
          <cell r="A5446" t="str">
            <v>ANDRUS PAABOR</v>
          </cell>
          <cell r="B5446">
            <v>3543</v>
          </cell>
        </row>
        <row r="5447">
          <cell r="A5447" t="str">
            <v>JOHANNA PAADE</v>
          </cell>
          <cell r="B5447">
            <v>5480</v>
          </cell>
        </row>
        <row r="5448">
          <cell r="A5448" t="str">
            <v>EGON PAALA</v>
          </cell>
          <cell r="B5448">
            <v>8389</v>
          </cell>
        </row>
        <row r="5449">
          <cell r="A5449" t="str">
            <v>KEVIN PAAP</v>
          </cell>
          <cell r="B5449">
            <v>5005</v>
          </cell>
        </row>
        <row r="5450">
          <cell r="A5450" t="str">
            <v>ALAR PAAS</v>
          </cell>
          <cell r="B5450">
            <v>8044</v>
          </cell>
        </row>
        <row r="5451">
          <cell r="A5451" t="str">
            <v>HEIKKI PAAS</v>
          </cell>
          <cell r="B5451">
            <v>9524</v>
          </cell>
        </row>
        <row r="5452">
          <cell r="A5452" t="str">
            <v>JOONAS PAASIOKSA</v>
          </cell>
          <cell r="B5452">
            <v>5272</v>
          </cell>
        </row>
        <row r="5453">
          <cell r="A5453" t="str">
            <v>MATI PAAT</v>
          </cell>
          <cell r="B5453">
            <v>2777</v>
          </cell>
        </row>
        <row r="5454">
          <cell r="A5454" t="str">
            <v>ROBIN PAAT</v>
          </cell>
          <cell r="B5454">
            <v>10834</v>
          </cell>
        </row>
        <row r="5455">
          <cell r="A5455" t="str">
            <v>ENNO PAATSI</v>
          </cell>
          <cell r="B5455">
            <v>2875</v>
          </cell>
        </row>
        <row r="5456">
          <cell r="A5456" t="str">
            <v>RAIVO PAAVO</v>
          </cell>
          <cell r="B5456">
            <v>1858</v>
          </cell>
        </row>
        <row r="5457">
          <cell r="A5457" t="str">
            <v>STEFAN PAAVOLA</v>
          </cell>
          <cell r="B5457">
            <v>4964</v>
          </cell>
        </row>
        <row r="5458">
          <cell r="A5458" t="str">
            <v>LINDA PŪĶE</v>
          </cell>
          <cell r="B5458">
            <v>9674</v>
          </cell>
        </row>
        <row r="5459">
          <cell r="A5459" t="str">
            <v>ROBIN PABERIT</v>
          </cell>
          <cell r="B5459">
            <v>9598</v>
          </cell>
        </row>
        <row r="5460">
          <cell r="A5460" t="str">
            <v>ROBIN PABUNEN</v>
          </cell>
          <cell r="B5460">
            <v>10217</v>
          </cell>
        </row>
        <row r="5461">
          <cell r="A5461" t="str">
            <v>ELIIS LOREE PADAR</v>
          </cell>
          <cell r="B5461">
            <v>9630</v>
          </cell>
        </row>
        <row r="5462">
          <cell r="A5462" t="str">
            <v>KALEV PADAR</v>
          </cell>
          <cell r="B5462">
            <v>4418</v>
          </cell>
        </row>
        <row r="5463">
          <cell r="A5463" t="str">
            <v>MANTAS PADARAUSKAS</v>
          </cell>
          <cell r="B5463">
            <v>10073</v>
          </cell>
        </row>
        <row r="5464">
          <cell r="A5464" t="str">
            <v>SERGEI PADERSEN</v>
          </cell>
          <cell r="B5464">
            <v>8041</v>
          </cell>
        </row>
        <row r="5465">
          <cell r="A5465" t="str">
            <v>ANZHALIKA PADHARODNIKOVA</v>
          </cell>
          <cell r="B5465">
            <v>7736</v>
          </cell>
        </row>
        <row r="5466">
          <cell r="A5466" t="str">
            <v>GUNNAR PAE</v>
          </cell>
          <cell r="B5466">
            <v>3237</v>
          </cell>
        </row>
        <row r="5467">
          <cell r="A5467" t="str">
            <v>KRISTO PAE</v>
          </cell>
          <cell r="B5467">
            <v>4692</v>
          </cell>
        </row>
        <row r="5468">
          <cell r="A5468" t="str">
            <v>MART PAE</v>
          </cell>
          <cell r="B5468">
            <v>3002</v>
          </cell>
        </row>
        <row r="5469">
          <cell r="A5469" t="str">
            <v>MARTIN PAE</v>
          </cell>
          <cell r="B5469">
            <v>7840</v>
          </cell>
        </row>
        <row r="5470">
          <cell r="A5470" t="str">
            <v>MEELIS PAE</v>
          </cell>
          <cell r="B5470">
            <v>3001</v>
          </cell>
        </row>
        <row r="5471">
          <cell r="A5471" t="str">
            <v>MIHKEL PAE</v>
          </cell>
          <cell r="B5471">
            <v>3003</v>
          </cell>
        </row>
        <row r="5472">
          <cell r="A5472" t="str">
            <v>GEORG PAEMURD</v>
          </cell>
          <cell r="B5472">
            <v>9351</v>
          </cell>
        </row>
        <row r="5473">
          <cell r="A5473" t="str">
            <v>KARL PAEMURD</v>
          </cell>
          <cell r="B5473">
            <v>8608</v>
          </cell>
        </row>
        <row r="5474">
          <cell r="A5474" t="str">
            <v>HENRI PAHKEL</v>
          </cell>
          <cell r="B5474">
            <v>9798</v>
          </cell>
        </row>
        <row r="5475">
          <cell r="A5475" t="str">
            <v>KEN-ANDERS PAHKMA</v>
          </cell>
          <cell r="B5475">
            <v>4785</v>
          </cell>
        </row>
        <row r="5476">
          <cell r="A5476" t="str">
            <v>OLEG PAHOMOV</v>
          </cell>
          <cell r="B5476">
            <v>7024</v>
          </cell>
        </row>
        <row r="5477">
          <cell r="A5477" t="str">
            <v>ALEKSANDRS PAHOMOVS</v>
          </cell>
          <cell r="B5477">
            <v>8628</v>
          </cell>
        </row>
        <row r="5478">
          <cell r="A5478" t="str">
            <v>ÜLARI PAI</v>
          </cell>
          <cell r="B5478">
            <v>1444</v>
          </cell>
        </row>
        <row r="5479">
          <cell r="A5479" t="str">
            <v>MARTIN PAI</v>
          </cell>
          <cell r="B5479">
            <v>9974</v>
          </cell>
        </row>
        <row r="5480">
          <cell r="A5480" t="str">
            <v>PATRIC PAIDLA</v>
          </cell>
          <cell r="B5480">
            <v>10823</v>
          </cell>
        </row>
        <row r="5481">
          <cell r="A5481" t="str">
            <v>URMAS PAIDRE</v>
          </cell>
          <cell r="B5481">
            <v>1184</v>
          </cell>
        </row>
        <row r="5482">
          <cell r="A5482" t="str">
            <v>ANATOLI PAIKIN</v>
          </cell>
          <cell r="B5482">
            <v>1375</v>
          </cell>
        </row>
        <row r="5483">
          <cell r="A5483" t="str">
            <v>MARE PAIM</v>
          </cell>
          <cell r="B5483">
            <v>4106</v>
          </cell>
        </row>
        <row r="5484">
          <cell r="A5484" t="str">
            <v>SANDRA PAIS</v>
          </cell>
          <cell r="B5484">
            <v>1787</v>
          </cell>
        </row>
        <row r="5485">
          <cell r="A5485" t="str">
            <v>AIVAR PAJO</v>
          </cell>
          <cell r="B5485">
            <v>1896</v>
          </cell>
        </row>
        <row r="5486">
          <cell r="A5486" t="str">
            <v>JANNO PAJO</v>
          </cell>
          <cell r="B5486">
            <v>8419</v>
          </cell>
        </row>
        <row r="5487">
          <cell r="A5487" t="str">
            <v>MADIS PAJO</v>
          </cell>
          <cell r="B5487">
            <v>1784</v>
          </cell>
        </row>
        <row r="5488">
          <cell r="A5488" t="str">
            <v>MIHKEL PAJO</v>
          </cell>
          <cell r="B5488">
            <v>10433</v>
          </cell>
        </row>
        <row r="5489">
          <cell r="A5489" t="str">
            <v>CEITHY PAJU</v>
          </cell>
          <cell r="B5489">
            <v>3512</v>
          </cell>
        </row>
        <row r="5490">
          <cell r="A5490" t="str">
            <v>HELENA PAJU</v>
          </cell>
          <cell r="B5490">
            <v>4421</v>
          </cell>
        </row>
        <row r="5491">
          <cell r="A5491" t="str">
            <v>KÜLLI PAJU</v>
          </cell>
          <cell r="B5491">
            <v>4419</v>
          </cell>
        </row>
        <row r="5492">
          <cell r="A5492" t="str">
            <v>KRIS PAJU</v>
          </cell>
          <cell r="B5492">
            <v>9561</v>
          </cell>
        </row>
        <row r="5493">
          <cell r="A5493" t="str">
            <v>KULDAR PAJU</v>
          </cell>
          <cell r="B5493">
            <v>4420</v>
          </cell>
        </row>
        <row r="5494">
          <cell r="A5494" t="str">
            <v>HARRI PAJULA</v>
          </cell>
          <cell r="B5494">
            <v>230</v>
          </cell>
        </row>
        <row r="5495">
          <cell r="A5495" t="str">
            <v>KAAREL PAJULA</v>
          </cell>
          <cell r="B5495">
            <v>1451</v>
          </cell>
        </row>
        <row r="5496">
          <cell r="A5496" t="str">
            <v>JAAGUP PAJUMETS</v>
          </cell>
          <cell r="B5496">
            <v>9766</v>
          </cell>
        </row>
        <row r="5497">
          <cell r="A5497" t="str">
            <v>BIRGIT PAJURI</v>
          </cell>
          <cell r="B5497">
            <v>1222</v>
          </cell>
        </row>
        <row r="5498">
          <cell r="A5498" t="str">
            <v>PEEP PAJURI</v>
          </cell>
          <cell r="B5498">
            <v>3566</v>
          </cell>
        </row>
        <row r="5499">
          <cell r="A5499" t="str">
            <v>MAIDO PAJUSAAR</v>
          </cell>
          <cell r="B5499">
            <v>231</v>
          </cell>
        </row>
        <row r="5500">
          <cell r="A5500" t="str">
            <v>ÜLLAR PAJUSTE</v>
          </cell>
          <cell r="B5500">
            <v>2015</v>
          </cell>
        </row>
        <row r="5501">
          <cell r="A5501" t="str">
            <v>KARL-FERDINAND PAJUSTE</v>
          </cell>
          <cell r="B5501">
            <v>6086</v>
          </cell>
        </row>
        <row r="5502">
          <cell r="A5502" t="str">
            <v>MARGUS PAJUSTE</v>
          </cell>
          <cell r="B5502">
            <v>1484</v>
          </cell>
        </row>
        <row r="5503">
          <cell r="A5503" t="str">
            <v>TOOMAS PAKANE</v>
          </cell>
          <cell r="B5503">
            <v>1243</v>
          </cell>
        </row>
        <row r="5504">
          <cell r="A5504" t="str">
            <v>TARGO PAKASSAAR</v>
          </cell>
          <cell r="B5504">
            <v>3243</v>
          </cell>
        </row>
        <row r="5505">
          <cell r="A5505" t="str">
            <v>ERLEND PAKK</v>
          </cell>
          <cell r="B5505">
            <v>10749</v>
          </cell>
        </row>
        <row r="5506">
          <cell r="A5506" t="str">
            <v>ILMAR PAKK</v>
          </cell>
          <cell r="B5506">
            <v>232</v>
          </cell>
        </row>
        <row r="5507">
          <cell r="A5507" t="str">
            <v>MARTIN PAKK</v>
          </cell>
          <cell r="B5507">
            <v>233</v>
          </cell>
        </row>
        <row r="5508">
          <cell r="A5508" t="str">
            <v>VALTER PAKK</v>
          </cell>
          <cell r="B5508">
            <v>5565</v>
          </cell>
        </row>
        <row r="5509">
          <cell r="A5509" t="str">
            <v>TARMO PAKUNURM</v>
          </cell>
          <cell r="B5509">
            <v>6276</v>
          </cell>
        </row>
        <row r="5510">
          <cell r="A5510" t="str">
            <v>DIANA PAL</v>
          </cell>
          <cell r="B5510">
            <v>2089</v>
          </cell>
        </row>
        <row r="5511">
          <cell r="A5511" t="str">
            <v>VLADISLAV PALAMARCHUK</v>
          </cell>
          <cell r="B5511">
            <v>3844</v>
          </cell>
        </row>
        <row r="5512">
          <cell r="A5512" t="str">
            <v>RANDO PALANEN</v>
          </cell>
          <cell r="B5512">
            <v>9799</v>
          </cell>
        </row>
        <row r="5513">
          <cell r="A5513" t="str">
            <v>JUHA PALDANIUS</v>
          </cell>
          <cell r="B5513">
            <v>945</v>
          </cell>
        </row>
        <row r="5514">
          <cell r="A5514" t="str">
            <v>MAIKER PALDIS</v>
          </cell>
          <cell r="B5514">
            <v>8654</v>
          </cell>
        </row>
        <row r="5515">
          <cell r="A5515" t="str">
            <v>KAUR PALDRE</v>
          </cell>
          <cell r="B5515">
            <v>2474</v>
          </cell>
        </row>
        <row r="5516">
          <cell r="A5516" t="str">
            <v>NIKITA PALGI</v>
          </cell>
          <cell r="B5516">
            <v>1377</v>
          </cell>
        </row>
        <row r="5517">
          <cell r="A5517" t="str">
            <v>LIISA PALIALE</v>
          </cell>
          <cell r="B5517">
            <v>8764</v>
          </cell>
        </row>
        <row r="5518">
          <cell r="A5518" t="str">
            <v>ANNELA PALITS</v>
          </cell>
          <cell r="B5518">
            <v>1715</v>
          </cell>
        </row>
        <row r="5519">
          <cell r="A5519" t="str">
            <v>BIRGIT PALK</v>
          </cell>
          <cell r="B5519">
            <v>2236</v>
          </cell>
        </row>
        <row r="5520">
          <cell r="A5520" t="str">
            <v>KILLU-MILLA PALK</v>
          </cell>
          <cell r="B5520">
            <v>3845</v>
          </cell>
        </row>
        <row r="5521">
          <cell r="A5521" t="str">
            <v>MADLI PALK</v>
          </cell>
          <cell r="B5521">
            <v>7082</v>
          </cell>
        </row>
        <row r="5522">
          <cell r="A5522" t="str">
            <v>MARIA PALK</v>
          </cell>
          <cell r="B5522">
            <v>7083</v>
          </cell>
        </row>
        <row r="5523">
          <cell r="A5523" t="str">
            <v>MARTIN PALK</v>
          </cell>
          <cell r="B5523">
            <v>9443</v>
          </cell>
        </row>
        <row r="5524">
          <cell r="A5524" t="str">
            <v>JÜRI PALL</v>
          </cell>
          <cell r="B5524">
            <v>1289</v>
          </cell>
        </row>
        <row r="5525">
          <cell r="A5525" t="str">
            <v>MADIS PALLAS</v>
          </cell>
          <cell r="B5525">
            <v>3025</v>
          </cell>
        </row>
        <row r="5526">
          <cell r="A5526" t="str">
            <v>BIRGIT PALM</v>
          </cell>
          <cell r="B5526">
            <v>98</v>
          </cell>
        </row>
        <row r="5527">
          <cell r="A5527" t="str">
            <v>HENRIK PALM</v>
          </cell>
          <cell r="B5527">
            <v>2783</v>
          </cell>
        </row>
        <row r="5528">
          <cell r="A5528" t="str">
            <v>JOOSEP PALM</v>
          </cell>
          <cell r="B5528">
            <v>7960</v>
          </cell>
        </row>
        <row r="5529">
          <cell r="A5529" t="str">
            <v>KERLI PALM</v>
          </cell>
          <cell r="B5529">
            <v>99</v>
          </cell>
        </row>
        <row r="5530">
          <cell r="A5530" t="str">
            <v>LAUR PALM</v>
          </cell>
          <cell r="B5530">
            <v>2776</v>
          </cell>
        </row>
        <row r="5531">
          <cell r="A5531" t="str">
            <v>MEL PALM</v>
          </cell>
          <cell r="B5531">
            <v>7954</v>
          </cell>
        </row>
        <row r="5532">
          <cell r="A5532" t="str">
            <v>MIKK PALM</v>
          </cell>
          <cell r="B5532">
            <v>2778</v>
          </cell>
        </row>
        <row r="5533">
          <cell r="A5533" t="str">
            <v>VAHUR PALM</v>
          </cell>
          <cell r="B5533">
            <v>440</v>
          </cell>
        </row>
        <row r="5534">
          <cell r="A5534" t="str">
            <v>VARMO PALM</v>
          </cell>
          <cell r="B5534">
            <v>2279</v>
          </cell>
        </row>
        <row r="5535">
          <cell r="A5535" t="str">
            <v>ALAR PALMAR</v>
          </cell>
          <cell r="B5535">
            <v>4750</v>
          </cell>
        </row>
        <row r="5536">
          <cell r="A5536" t="str">
            <v>VIKTOR PALMET</v>
          </cell>
          <cell r="B5536">
            <v>1145</v>
          </cell>
        </row>
        <row r="5537">
          <cell r="A5537" t="str">
            <v>JOHANNES PALMIK</v>
          </cell>
          <cell r="B5537">
            <v>3607</v>
          </cell>
        </row>
        <row r="5538">
          <cell r="A5538" t="str">
            <v>HELARI PALMISTE</v>
          </cell>
          <cell r="B5538">
            <v>8135</v>
          </cell>
        </row>
        <row r="5539">
          <cell r="A5539" t="str">
            <v>MATTIAS PALMISTE</v>
          </cell>
          <cell r="B5539">
            <v>9998</v>
          </cell>
        </row>
        <row r="5540">
          <cell r="A5540" t="str">
            <v>KALLE PALMRE</v>
          </cell>
          <cell r="B5540">
            <v>10107</v>
          </cell>
        </row>
        <row r="5541">
          <cell r="A5541" t="str">
            <v>KASPAR PALOOTS</v>
          </cell>
          <cell r="B5541">
            <v>9560</v>
          </cell>
        </row>
        <row r="5542">
          <cell r="A5542" t="str">
            <v>KRISTJAN PALOVER</v>
          </cell>
          <cell r="B5542">
            <v>2392</v>
          </cell>
        </row>
        <row r="5543">
          <cell r="A5543" t="str">
            <v>SILVER PALTSER</v>
          </cell>
          <cell r="B5543">
            <v>1649</v>
          </cell>
        </row>
        <row r="5544">
          <cell r="A5544" t="str">
            <v>ARTHUR PALU</v>
          </cell>
          <cell r="B5544">
            <v>5184</v>
          </cell>
        </row>
        <row r="5545">
          <cell r="A5545" t="str">
            <v>PEETER PALU</v>
          </cell>
          <cell r="B5545">
            <v>5225</v>
          </cell>
        </row>
        <row r="5546">
          <cell r="A5546" t="str">
            <v>AGUR PALUOJA</v>
          </cell>
          <cell r="B5546">
            <v>10388</v>
          </cell>
        </row>
        <row r="5547">
          <cell r="A5547" t="str">
            <v>MATVEI PALUSAAR</v>
          </cell>
          <cell r="B5547">
            <v>10127</v>
          </cell>
        </row>
        <row r="5548">
          <cell r="A5548" t="str">
            <v>RONALD PAMPALS</v>
          </cell>
          <cell r="B5548">
            <v>2062</v>
          </cell>
        </row>
        <row r="5549">
          <cell r="A5549" t="str">
            <v>IVAN PANASJUK</v>
          </cell>
          <cell r="B5549">
            <v>424</v>
          </cell>
        </row>
        <row r="5550">
          <cell r="A5550" t="str">
            <v>DIANA PANFILOVA</v>
          </cell>
          <cell r="B5550">
            <v>3846</v>
          </cell>
        </row>
        <row r="5551">
          <cell r="A5551" t="str">
            <v>TATJANA PANFILOVA</v>
          </cell>
          <cell r="B5551">
            <v>4118</v>
          </cell>
        </row>
        <row r="5552">
          <cell r="A5552" t="str">
            <v>KERMO PANI</v>
          </cell>
          <cell r="B5552">
            <v>4422</v>
          </cell>
        </row>
        <row r="5553">
          <cell r="A5553" t="str">
            <v>ANTON PANKOV</v>
          </cell>
          <cell r="B5553">
            <v>9959</v>
          </cell>
        </row>
        <row r="5554">
          <cell r="A5554" t="str">
            <v>ROBERT PANKOV</v>
          </cell>
          <cell r="B5554">
            <v>8876</v>
          </cell>
        </row>
        <row r="5555">
          <cell r="A5555" t="str">
            <v>ROMAN PANKOV</v>
          </cell>
          <cell r="B5555">
            <v>983</v>
          </cell>
        </row>
        <row r="5556">
          <cell r="A5556" t="str">
            <v>ANASTASIJA PANKRATJEVA</v>
          </cell>
          <cell r="B5556">
            <v>9244</v>
          </cell>
        </row>
        <row r="5557">
          <cell r="A5557" t="str">
            <v>STEN-MARJUS PANNIK</v>
          </cell>
          <cell r="B5557">
            <v>7870</v>
          </cell>
        </row>
        <row r="5558">
          <cell r="A5558" t="str">
            <v>NIKITA PANOV</v>
          </cell>
          <cell r="B5558">
            <v>4423</v>
          </cell>
        </row>
        <row r="5559">
          <cell r="A5559" t="str">
            <v>ULIANA PANOVA</v>
          </cell>
          <cell r="B5559">
            <v>10136</v>
          </cell>
        </row>
        <row r="5560">
          <cell r="A5560" t="str">
            <v>MIHHAIL PANTELEJEV</v>
          </cell>
          <cell r="B5560">
            <v>7614</v>
          </cell>
        </row>
        <row r="5561">
          <cell r="A5561" t="str">
            <v>ANTS PÜSS</v>
          </cell>
          <cell r="B5561">
            <v>2130</v>
          </cell>
        </row>
        <row r="5562">
          <cell r="A5562" t="str">
            <v>REIO PÜSS</v>
          </cell>
          <cell r="B5562">
            <v>1789</v>
          </cell>
        </row>
        <row r="5563">
          <cell r="A5563" t="str">
            <v>RAUL PÜSSA</v>
          </cell>
          <cell r="B5563">
            <v>2117</v>
          </cell>
        </row>
        <row r="5564">
          <cell r="A5564" t="str">
            <v>GERT-ROBERT PÜTSEP</v>
          </cell>
          <cell r="B5564">
            <v>5621</v>
          </cell>
        </row>
        <row r="5565">
          <cell r="A5565" t="str">
            <v>ARVO PÜVI</v>
          </cell>
          <cell r="B5565">
            <v>7181</v>
          </cell>
        </row>
        <row r="5566">
          <cell r="A5566" t="str">
            <v>EVA PÜVI</v>
          </cell>
          <cell r="B5566">
            <v>975</v>
          </cell>
        </row>
        <row r="5567">
          <cell r="A5567" t="str">
            <v>LAURA PÜVI</v>
          </cell>
          <cell r="B5567">
            <v>910</v>
          </cell>
        </row>
        <row r="5568">
          <cell r="A5568" t="str">
            <v>LILIAN PÜVI</v>
          </cell>
          <cell r="B5568">
            <v>10724</v>
          </cell>
        </row>
        <row r="5569">
          <cell r="A5569" t="str">
            <v>PILLERIN PÜVI</v>
          </cell>
          <cell r="B5569">
            <v>10805</v>
          </cell>
        </row>
        <row r="5570">
          <cell r="A5570" t="str">
            <v>TAAVI PAOMETS</v>
          </cell>
          <cell r="B5570">
            <v>4425</v>
          </cell>
        </row>
        <row r="5571">
          <cell r="A5571" t="str">
            <v>TRIINU PAOMETS</v>
          </cell>
          <cell r="B5571">
            <v>4424</v>
          </cell>
        </row>
        <row r="5572">
          <cell r="A5572" t="str">
            <v>NIKITA PAPANOV</v>
          </cell>
          <cell r="B5572">
            <v>9884</v>
          </cell>
        </row>
        <row r="5573">
          <cell r="A5573" t="str">
            <v>MARTIN PAPLI</v>
          </cell>
          <cell r="B5573">
            <v>2356</v>
          </cell>
        </row>
        <row r="5574">
          <cell r="A5574" t="str">
            <v>RAUNO PAPPO</v>
          </cell>
          <cell r="B5574">
            <v>4426</v>
          </cell>
        </row>
        <row r="5575">
          <cell r="A5575" t="str">
            <v>ALEKSANDR PAPSEJEV</v>
          </cell>
          <cell r="B5575">
            <v>5271</v>
          </cell>
        </row>
        <row r="5576">
          <cell r="A5576" t="str">
            <v>TANEL PARBO</v>
          </cell>
          <cell r="B5576">
            <v>5663</v>
          </cell>
        </row>
        <row r="5577">
          <cell r="A5577" t="str">
            <v>AIN PARBUS</v>
          </cell>
          <cell r="B5577">
            <v>960</v>
          </cell>
        </row>
        <row r="5578">
          <cell r="A5578" t="str">
            <v>MARIO PARDEL</v>
          </cell>
          <cell r="B5578">
            <v>3550</v>
          </cell>
        </row>
        <row r="5579">
          <cell r="A5579" t="str">
            <v>VELLO PAREK</v>
          </cell>
          <cell r="B5579">
            <v>9744</v>
          </cell>
        </row>
        <row r="5580">
          <cell r="A5580" t="str">
            <v>NADEŽDA PARFENOVA</v>
          </cell>
          <cell r="B5580">
            <v>8384</v>
          </cell>
        </row>
        <row r="5581">
          <cell r="A5581" t="str">
            <v>VÄLEK VITALI PARHOMIK</v>
          </cell>
          <cell r="B5581">
            <v>3577</v>
          </cell>
        </row>
        <row r="5582">
          <cell r="A5582" t="str">
            <v>MARLEEN PARI</v>
          </cell>
          <cell r="B5582">
            <v>4427</v>
          </cell>
        </row>
        <row r="5583">
          <cell r="A5583" t="str">
            <v>SAMO PARI</v>
          </cell>
          <cell r="B5583">
            <v>2020</v>
          </cell>
        </row>
        <row r="5584">
          <cell r="A5584" t="str">
            <v>TAURI PARIK</v>
          </cell>
          <cell r="B5584">
            <v>6068</v>
          </cell>
        </row>
        <row r="5585">
          <cell r="A5585" t="str">
            <v>PAUL PARIS</v>
          </cell>
          <cell r="B5585">
            <v>5385</v>
          </cell>
        </row>
        <row r="5586">
          <cell r="A5586" t="str">
            <v>ANDRI PARKER</v>
          </cell>
          <cell r="B5586">
            <v>9700</v>
          </cell>
        </row>
        <row r="5587">
          <cell r="A5587" t="str">
            <v>KARL PAUL PARMAKSON</v>
          </cell>
          <cell r="B5587">
            <v>3208</v>
          </cell>
        </row>
        <row r="5588">
          <cell r="A5588" t="str">
            <v>PAUL PARMAKSON</v>
          </cell>
          <cell r="B5588">
            <v>3847</v>
          </cell>
        </row>
        <row r="5589">
          <cell r="A5589" t="str">
            <v>PEEP PARMAKSON</v>
          </cell>
          <cell r="B5589">
            <v>3441</v>
          </cell>
        </row>
        <row r="5590">
          <cell r="A5590" t="str">
            <v>KARL-RICHARD PARMAN</v>
          </cell>
          <cell r="B5590">
            <v>3849</v>
          </cell>
        </row>
        <row r="5591">
          <cell r="A5591" t="str">
            <v>KARL-ROBERT PARMAN</v>
          </cell>
          <cell r="B5591">
            <v>3848</v>
          </cell>
        </row>
        <row r="5592">
          <cell r="A5592" t="str">
            <v>TIHHON PARSIKOV</v>
          </cell>
          <cell r="B5592">
            <v>3311</v>
          </cell>
        </row>
        <row r="5593">
          <cell r="A5593" t="str">
            <v>KARL-LEO PART</v>
          </cell>
          <cell r="B5593">
            <v>3124</v>
          </cell>
        </row>
        <row r="5594">
          <cell r="A5594" t="str">
            <v>VILLEM PART</v>
          </cell>
          <cell r="B5594">
            <v>9583</v>
          </cell>
        </row>
        <row r="5595">
          <cell r="A5595" t="str">
            <v>ANDREI PARTANEN</v>
          </cell>
          <cell r="B5595">
            <v>8687</v>
          </cell>
        </row>
        <row r="5596">
          <cell r="A5596" t="str">
            <v>DANIEL PARTANEN</v>
          </cell>
          <cell r="B5596">
            <v>8579</v>
          </cell>
        </row>
        <row r="5597">
          <cell r="A5597" t="str">
            <v>KARI PARTANEN</v>
          </cell>
          <cell r="B5597">
            <v>523</v>
          </cell>
        </row>
        <row r="5598">
          <cell r="A5598" t="str">
            <v>ANDRUS PARTS</v>
          </cell>
          <cell r="B5598">
            <v>9899</v>
          </cell>
        </row>
        <row r="5599">
          <cell r="A5599" t="str">
            <v>KAIRO PARTS</v>
          </cell>
          <cell r="B5599">
            <v>3699</v>
          </cell>
        </row>
        <row r="5600">
          <cell r="A5600" t="str">
            <v>KATRIN PARTS</v>
          </cell>
          <cell r="B5600">
            <v>5357</v>
          </cell>
        </row>
        <row r="5601">
          <cell r="A5601" t="str">
            <v>ROBIN-ERIK PARTS</v>
          </cell>
          <cell r="B5601">
            <v>8382</v>
          </cell>
        </row>
        <row r="5602">
          <cell r="A5602" t="str">
            <v>SILVER PARTS</v>
          </cell>
          <cell r="B5602">
            <v>4050</v>
          </cell>
        </row>
        <row r="5603">
          <cell r="A5603" t="str">
            <v>TIIT PARTS</v>
          </cell>
          <cell r="B5603">
            <v>5188</v>
          </cell>
        </row>
        <row r="5604">
          <cell r="A5604" t="str">
            <v>SANDRA PARV</v>
          </cell>
          <cell r="B5604">
            <v>4093</v>
          </cell>
        </row>
        <row r="5605">
          <cell r="A5605" t="str">
            <v>MARGUS PARVE</v>
          </cell>
          <cell r="B5605">
            <v>419</v>
          </cell>
        </row>
        <row r="5606">
          <cell r="A5606" t="str">
            <v>RASKO PARVE</v>
          </cell>
          <cell r="B5606">
            <v>4428</v>
          </cell>
        </row>
        <row r="5607">
          <cell r="A5607" t="str">
            <v>KARL MARTIN PARVEI</v>
          </cell>
          <cell r="B5607">
            <v>6159</v>
          </cell>
        </row>
        <row r="5608">
          <cell r="A5608" t="str">
            <v>ARVIDAS PASAVODSKIS</v>
          </cell>
          <cell r="B5608">
            <v>2506</v>
          </cell>
        </row>
        <row r="5609">
          <cell r="A5609" t="str">
            <v>DEIVIDAS PASAVODSKIS</v>
          </cell>
          <cell r="B5609">
            <v>2507</v>
          </cell>
        </row>
        <row r="5610">
          <cell r="A5610" t="str">
            <v>DMITRY PASHKOV</v>
          </cell>
          <cell r="B5610">
            <v>9736</v>
          </cell>
        </row>
        <row r="5611">
          <cell r="A5611" t="str">
            <v>IRINA PASHTSENKO</v>
          </cell>
          <cell r="B5611">
            <v>4693</v>
          </cell>
        </row>
        <row r="5612">
          <cell r="A5612" t="str">
            <v>LINAS PASKAUSKAS</v>
          </cell>
          <cell r="B5612">
            <v>8057</v>
          </cell>
        </row>
        <row r="5613">
          <cell r="A5613" t="str">
            <v>RENALDAS PASKEVICIUS</v>
          </cell>
          <cell r="B5613">
            <v>7746</v>
          </cell>
        </row>
        <row r="5614">
          <cell r="A5614" t="str">
            <v>MAKSIM PASKOTSI</v>
          </cell>
          <cell r="B5614">
            <v>8213</v>
          </cell>
        </row>
        <row r="5615">
          <cell r="A5615" t="str">
            <v>VIRGO PASTAK</v>
          </cell>
          <cell r="B5615">
            <v>3140</v>
          </cell>
        </row>
        <row r="5616">
          <cell r="A5616" t="str">
            <v>ALEKSANDRA PASUMANSKAJA</v>
          </cell>
          <cell r="B5616">
            <v>2902</v>
          </cell>
        </row>
        <row r="5617">
          <cell r="A5617" t="str">
            <v>LIISA PATA</v>
          </cell>
          <cell r="B5617">
            <v>5520</v>
          </cell>
        </row>
        <row r="5618">
          <cell r="A5618" t="str">
            <v>PILLE PATA</v>
          </cell>
          <cell r="B5618">
            <v>5551</v>
          </cell>
        </row>
        <row r="5619">
          <cell r="A5619" t="str">
            <v>ARTJOM PATOKA</v>
          </cell>
          <cell r="B5619">
            <v>7317</v>
          </cell>
        </row>
        <row r="5620">
          <cell r="A5620" t="str">
            <v>VALERI PATREKOV</v>
          </cell>
          <cell r="B5620">
            <v>1168</v>
          </cell>
        </row>
        <row r="5621">
          <cell r="A5621" t="str">
            <v>GUNTIS PAUDERS</v>
          </cell>
          <cell r="B5621">
            <v>7686</v>
          </cell>
        </row>
        <row r="5622">
          <cell r="A5622" t="str">
            <v>JUHAN PAUKLIN</v>
          </cell>
          <cell r="B5622">
            <v>8348</v>
          </cell>
        </row>
        <row r="5623">
          <cell r="A5623" t="str">
            <v>MIHKEL PAUKLIN</v>
          </cell>
          <cell r="B5623">
            <v>8349</v>
          </cell>
        </row>
        <row r="5624">
          <cell r="A5624" t="str">
            <v>RENE RASMUS PAUL</v>
          </cell>
          <cell r="B5624">
            <v>2376</v>
          </cell>
        </row>
        <row r="5625">
          <cell r="A5625" t="str">
            <v>EDVARDAS PAULAUSKAS</v>
          </cell>
          <cell r="B5625">
            <v>10310</v>
          </cell>
        </row>
        <row r="5626">
          <cell r="A5626" t="str">
            <v>ENRI PAUMETS</v>
          </cell>
          <cell r="B5626">
            <v>10055</v>
          </cell>
        </row>
        <row r="5627">
          <cell r="A5627" t="str">
            <v>LAURA PAVARE</v>
          </cell>
          <cell r="B5627">
            <v>8063</v>
          </cell>
        </row>
        <row r="5628">
          <cell r="A5628" t="str">
            <v>ANASTASSIA PAVLENKO</v>
          </cell>
          <cell r="B5628">
            <v>5108</v>
          </cell>
        </row>
        <row r="5629">
          <cell r="A5629" t="str">
            <v>ALEKSANDR PAVLIHHIN</v>
          </cell>
          <cell r="B5629">
            <v>1538</v>
          </cell>
        </row>
        <row r="5630">
          <cell r="A5630" t="str">
            <v>DENIS PAVLOV</v>
          </cell>
          <cell r="B5630">
            <v>8252</v>
          </cell>
        </row>
        <row r="5631">
          <cell r="A5631" t="str">
            <v>DMITRI PAVLOV</v>
          </cell>
          <cell r="B5631">
            <v>3850</v>
          </cell>
        </row>
        <row r="5632">
          <cell r="A5632" t="str">
            <v>PAVEL PAVLOV</v>
          </cell>
          <cell r="B5632">
            <v>4429</v>
          </cell>
        </row>
        <row r="5633">
          <cell r="A5633" t="str">
            <v>PAVEL PAVLOV</v>
          </cell>
          <cell r="B5633">
            <v>4430</v>
          </cell>
        </row>
        <row r="5634">
          <cell r="A5634" t="str">
            <v>MARGARITA PAVLOVA</v>
          </cell>
          <cell r="B5634">
            <v>1503</v>
          </cell>
        </row>
        <row r="5635">
          <cell r="A5635" t="str">
            <v>MARIA PAVLOVA</v>
          </cell>
          <cell r="B5635">
            <v>4836</v>
          </cell>
        </row>
        <row r="5636">
          <cell r="A5636" t="str">
            <v>XENIA PAVLOVA</v>
          </cell>
          <cell r="B5636">
            <v>6028</v>
          </cell>
        </row>
        <row r="5637">
          <cell r="A5637" t="str">
            <v>JEVGENI PAVLUŠOV</v>
          </cell>
          <cell r="B5637">
            <v>9778</v>
          </cell>
        </row>
        <row r="5638">
          <cell r="A5638" t="str">
            <v>GUNTARS PAVĀRS</v>
          </cell>
          <cell r="B5638">
            <v>8912</v>
          </cell>
        </row>
        <row r="5639">
          <cell r="A5639" t="str">
            <v>KASPAR PEDAJA</v>
          </cell>
          <cell r="B5639">
            <v>7989</v>
          </cell>
        </row>
        <row r="5640">
          <cell r="A5640" t="str">
            <v>RIKO PEDAJA</v>
          </cell>
          <cell r="B5640">
            <v>5384</v>
          </cell>
        </row>
        <row r="5641">
          <cell r="A5641" t="str">
            <v>MIRKO PEDAJAS</v>
          </cell>
          <cell r="B5641">
            <v>5151</v>
          </cell>
        </row>
        <row r="5642">
          <cell r="A5642" t="str">
            <v>JORMA PEDAK</v>
          </cell>
          <cell r="B5642">
            <v>10790</v>
          </cell>
        </row>
        <row r="5643">
          <cell r="A5643" t="str">
            <v>MARIANNE PEDAK</v>
          </cell>
          <cell r="B5643">
            <v>6180</v>
          </cell>
        </row>
        <row r="5644">
          <cell r="A5644" t="str">
            <v>NELLI PEDAK</v>
          </cell>
          <cell r="B5644">
            <v>895</v>
          </cell>
        </row>
        <row r="5645">
          <cell r="A5645" t="str">
            <v>VALTER PEDAK</v>
          </cell>
          <cell r="B5645">
            <v>4837</v>
          </cell>
        </row>
        <row r="5646">
          <cell r="A5646" t="str">
            <v>MARTIN PEDAKSAAR</v>
          </cell>
          <cell r="B5646">
            <v>2742</v>
          </cell>
        </row>
        <row r="5647">
          <cell r="A5647" t="str">
            <v>KAREL PEDASK</v>
          </cell>
          <cell r="B5647">
            <v>5446</v>
          </cell>
        </row>
        <row r="5648">
          <cell r="A5648" t="str">
            <v>JAROSLAV PEDER</v>
          </cell>
          <cell r="B5648">
            <v>9946</v>
          </cell>
        </row>
        <row r="5649">
          <cell r="A5649" t="str">
            <v>SERGEI PEDERSEN</v>
          </cell>
          <cell r="B5649">
            <v>7378</v>
          </cell>
        </row>
        <row r="5650">
          <cell r="A5650" t="str">
            <v>SUNE CHRISTIAN PEDERSEN</v>
          </cell>
          <cell r="B5650">
            <v>7531</v>
          </cell>
        </row>
        <row r="5651">
          <cell r="A5651" t="str">
            <v>TAIVO PEDOR</v>
          </cell>
          <cell r="B5651">
            <v>1378</v>
          </cell>
        </row>
        <row r="5652">
          <cell r="A5652" t="str">
            <v>MARK HENRI PEDOSON</v>
          </cell>
          <cell r="B5652">
            <v>2454</v>
          </cell>
        </row>
        <row r="5653">
          <cell r="A5653" t="str">
            <v>MERIT PEDOSON</v>
          </cell>
          <cell r="B5653">
            <v>101</v>
          </cell>
        </row>
        <row r="5654">
          <cell r="A5654" t="str">
            <v>SIGRIT PEDOSON</v>
          </cell>
          <cell r="B5654">
            <v>955</v>
          </cell>
        </row>
        <row r="5655">
          <cell r="A5655" t="str">
            <v>STEVEN PEEBU</v>
          </cell>
          <cell r="B5655">
            <v>3634</v>
          </cell>
        </row>
        <row r="5656">
          <cell r="A5656" t="str">
            <v>ALO PEEGEL</v>
          </cell>
          <cell r="B5656">
            <v>2322</v>
          </cell>
        </row>
        <row r="5657">
          <cell r="A5657" t="str">
            <v>ERIKA PEEGEL</v>
          </cell>
          <cell r="B5657">
            <v>5526</v>
          </cell>
        </row>
        <row r="5658">
          <cell r="A5658" t="str">
            <v>HENRIK PEEGEL</v>
          </cell>
          <cell r="B5658">
            <v>8103</v>
          </cell>
        </row>
        <row r="5659">
          <cell r="A5659" t="str">
            <v>HENDRIK PEEK</v>
          </cell>
          <cell r="B5659">
            <v>3290</v>
          </cell>
        </row>
        <row r="5660">
          <cell r="A5660" t="str">
            <v>MARIANNE PEEK</v>
          </cell>
          <cell r="B5660">
            <v>4431</v>
          </cell>
        </row>
        <row r="5661">
          <cell r="A5661" t="str">
            <v>BIRGIT PEENSALU</v>
          </cell>
          <cell r="B5661">
            <v>3695</v>
          </cell>
        </row>
        <row r="5662">
          <cell r="A5662" t="str">
            <v>JANNO PEENSALU</v>
          </cell>
          <cell r="B5662">
            <v>3635</v>
          </cell>
        </row>
        <row r="5663">
          <cell r="A5663" t="str">
            <v>KRISTOFER PEET</v>
          </cell>
          <cell r="B5663">
            <v>9868</v>
          </cell>
        </row>
        <row r="5664">
          <cell r="A5664" t="str">
            <v>RAUNO PEET</v>
          </cell>
          <cell r="B5664">
            <v>2455</v>
          </cell>
        </row>
        <row r="5665">
          <cell r="A5665" t="str">
            <v>KUSTI PEETRIS</v>
          </cell>
          <cell r="B5665">
            <v>2704</v>
          </cell>
        </row>
        <row r="5666">
          <cell r="A5666" t="str">
            <v>KÄROLIN PEETSALU</v>
          </cell>
          <cell r="B5666">
            <v>4432</v>
          </cell>
        </row>
        <row r="5667">
          <cell r="A5667" t="str">
            <v>KEITRIN PEETSO</v>
          </cell>
          <cell r="B5667">
            <v>9889</v>
          </cell>
        </row>
        <row r="5668">
          <cell r="A5668" t="str">
            <v>REIMO PEETSO</v>
          </cell>
          <cell r="B5668">
            <v>8370</v>
          </cell>
        </row>
        <row r="5669">
          <cell r="A5669" t="str">
            <v>MATI PEHLAK</v>
          </cell>
          <cell r="B5669">
            <v>9508</v>
          </cell>
        </row>
        <row r="5670">
          <cell r="A5670" t="str">
            <v>ELLEN PEIK</v>
          </cell>
          <cell r="B5670">
            <v>8447</v>
          </cell>
        </row>
        <row r="5671">
          <cell r="A5671" t="str">
            <v>KATERYNA PEIKOVA</v>
          </cell>
          <cell r="B5671">
            <v>10648</v>
          </cell>
        </row>
        <row r="5672">
          <cell r="A5672" t="str">
            <v>IGORS PEIPINS</v>
          </cell>
          <cell r="B5672">
            <v>7386</v>
          </cell>
        </row>
        <row r="5673">
          <cell r="A5673" t="str">
            <v>IRIS INGEL PEIPS</v>
          </cell>
          <cell r="B5673">
            <v>5409</v>
          </cell>
        </row>
        <row r="5674">
          <cell r="A5674" t="str">
            <v>RAGNAR PEIT</v>
          </cell>
          <cell r="B5674">
            <v>3621</v>
          </cell>
        </row>
        <row r="5675">
          <cell r="A5675" t="str">
            <v>TAUNO PEKK</v>
          </cell>
          <cell r="B5675">
            <v>3359</v>
          </cell>
        </row>
        <row r="5676">
          <cell r="A5676" t="str">
            <v>LJUBOV PEKKONEN</v>
          </cell>
          <cell r="B5676">
            <v>8790</v>
          </cell>
        </row>
        <row r="5677">
          <cell r="A5677" t="str">
            <v>ANTON PELEŠEV</v>
          </cell>
          <cell r="B5677">
            <v>7570</v>
          </cell>
        </row>
        <row r="5678">
          <cell r="A5678" t="str">
            <v>LEONID PELESHEV</v>
          </cell>
          <cell r="B5678">
            <v>234</v>
          </cell>
        </row>
        <row r="5679">
          <cell r="A5679" t="str">
            <v>ELISABETH PELLI</v>
          </cell>
          <cell r="B5679">
            <v>7755</v>
          </cell>
        </row>
        <row r="5680">
          <cell r="A5680" t="str">
            <v>KATRIN PELLI</v>
          </cell>
          <cell r="B5680">
            <v>7757</v>
          </cell>
        </row>
        <row r="5681">
          <cell r="A5681" t="str">
            <v>SATU PELLI</v>
          </cell>
          <cell r="B5681">
            <v>1215</v>
          </cell>
        </row>
        <row r="5682">
          <cell r="A5682" t="str">
            <v>JAAN PELMAS</v>
          </cell>
          <cell r="B5682">
            <v>10410</v>
          </cell>
        </row>
        <row r="5683">
          <cell r="A5683" t="str">
            <v>ARVIS PENCIS</v>
          </cell>
          <cell r="B5683">
            <v>3517</v>
          </cell>
        </row>
        <row r="5684">
          <cell r="A5684" t="str">
            <v>MARTIN PENEK</v>
          </cell>
          <cell r="B5684">
            <v>3851</v>
          </cell>
        </row>
        <row r="5685">
          <cell r="A5685" t="str">
            <v>INDREK PENK</v>
          </cell>
          <cell r="B5685">
            <v>3852</v>
          </cell>
        </row>
        <row r="5686">
          <cell r="A5686" t="str">
            <v>GATIS PENKA</v>
          </cell>
          <cell r="B5686">
            <v>2332</v>
          </cell>
        </row>
        <row r="5687">
          <cell r="A5687" t="str">
            <v>GUNARS PENKA</v>
          </cell>
          <cell r="B5687">
            <v>2331</v>
          </cell>
        </row>
        <row r="5688">
          <cell r="A5688" t="str">
            <v>ARVID PENT</v>
          </cell>
          <cell r="B5688">
            <v>501</v>
          </cell>
        </row>
        <row r="5689">
          <cell r="A5689" t="str">
            <v>IVAR PENT</v>
          </cell>
          <cell r="B5689">
            <v>979</v>
          </cell>
        </row>
        <row r="5690">
          <cell r="A5690" t="str">
            <v>TOOMAS PENT</v>
          </cell>
          <cell r="B5690">
            <v>1882</v>
          </cell>
        </row>
        <row r="5691">
          <cell r="A5691" t="str">
            <v>MÄRT PENTSON</v>
          </cell>
          <cell r="B5691">
            <v>2270</v>
          </cell>
        </row>
        <row r="5692">
          <cell r="A5692" t="str">
            <v>TAISTO PENTTINEN</v>
          </cell>
          <cell r="B5692">
            <v>9682</v>
          </cell>
        </row>
        <row r="5693">
          <cell r="A5693" t="str">
            <v>GAIK PEPOJAN</v>
          </cell>
          <cell r="B5693">
            <v>883</v>
          </cell>
        </row>
        <row r="5694">
          <cell r="A5694" t="str">
            <v>ANDREI PEREKRESTENKO</v>
          </cell>
          <cell r="B5694">
            <v>7596</v>
          </cell>
        </row>
        <row r="5695">
          <cell r="A5695" t="str">
            <v>MARKO PERENDI</v>
          </cell>
          <cell r="B5695">
            <v>1080</v>
          </cell>
        </row>
        <row r="5696">
          <cell r="A5696" t="str">
            <v>PEEP PERENDI</v>
          </cell>
          <cell r="B5696">
            <v>1460</v>
          </cell>
        </row>
        <row r="5697">
          <cell r="A5697" t="str">
            <v>MARI PERENS</v>
          </cell>
          <cell r="B5697">
            <v>8106</v>
          </cell>
        </row>
        <row r="5698">
          <cell r="A5698" t="str">
            <v>SOFIA PERESKOKA</v>
          </cell>
          <cell r="B5698">
            <v>4433</v>
          </cell>
        </row>
        <row r="5699">
          <cell r="A5699" t="str">
            <v>KERT PERKMANN</v>
          </cell>
          <cell r="B5699">
            <v>1461</v>
          </cell>
        </row>
        <row r="5700">
          <cell r="A5700" t="str">
            <v>KRISTO PERLI</v>
          </cell>
          <cell r="B5700">
            <v>5915</v>
          </cell>
        </row>
        <row r="5701">
          <cell r="A5701" t="str">
            <v>TIINA PERLI</v>
          </cell>
          <cell r="B5701">
            <v>5920</v>
          </cell>
        </row>
        <row r="5702">
          <cell r="A5702" t="str">
            <v>EIKE PERMAN</v>
          </cell>
          <cell r="B5702">
            <v>4033</v>
          </cell>
        </row>
        <row r="5703">
          <cell r="A5703" t="str">
            <v>NIKITA PERMAN</v>
          </cell>
          <cell r="B5703">
            <v>8593</v>
          </cell>
        </row>
        <row r="5704">
          <cell r="A5704" t="str">
            <v>ANNE PERN</v>
          </cell>
          <cell r="B5704">
            <v>1975</v>
          </cell>
        </row>
        <row r="5705">
          <cell r="A5705" t="str">
            <v>MARIS PERNIK</v>
          </cell>
          <cell r="B5705">
            <v>2803</v>
          </cell>
        </row>
        <row r="5706">
          <cell r="A5706" t="str">
            <v>PIRGIT PERNIK</v>
          </cell>
          <cell r="B5706">
            <v>4434</v>
          </cell>
        </row>
        <row r="5707">
          <cell r="A5707" t="str">
            <v>KARL LUUKAS PEROLAINEN</v>
          </cell>
          <cell r="B5707">
            <v>10884</v>
          </cell>
        </row>
        <row r="5708">
          <cell r="A5708" t="str">
            <v>TIINA PERTELSON</v>
          </cell>
          <cell r="B5708">
            <v>133</v>
          </cell>
        </row>
        <row r="5709">
          <cell r="A5709" t="str">
            <v>JANEK PERU</v>
          </cell>
          <cell r="B5709">
            <v>5248</v>
          </cell>
        </row>
        <row r="5710">
          <cell r="A5710" t="str">
            <v>INDREK PERV</v>
          </cell>
          <cell r="B5710">
            <v>8026</v>
          </cell>
        </row>
        <row r="5711">
          <cell r="A5711" t="str">
            <v>MARIS PERVIK</v>
          </cell>
          <cell r="B5711">
            <v>2948</v>
          </cell>
        </row>
        <row r="5712">
          <cell r="A5712" t="str">
            <v>ALAR PESOR</v>
          </cell>
          <cell r="B5712">
            <v>1240</v>
          </cell>
        </row>
        <row r="5713">
          <cell r="A5713" t="str">
            <v>MATI PESOR</v>
          </cell>
          <cell r="B5713">
            <v>235</v>
          </cell>
        </row>
        <row r="5714">
          <cell r="A5714" t="str">
            <v>RAIN-MATI PESOR</v>
          </cell>
          <cell r="B5714">
            <v>1237</v>
          </cell>
        </row>
        <row r="5715">
          <cell r="A5715" t="str">
            <v>HILLAR PESTI</v>
          </cell>
          <cell r="B5715">
            <v>5532</v>
          </cell>
        </row>
        <row r="5716">
          <cell r="A5716" t="str">
            <v>FRANCESCO PEZZELLA</v>
          </cell>
          <cell r="B5716">
            <v>8273</v>
          </cell>
        </row>
        <row r="5717">
          <cell r="A5717" t="str">
            <v>GIANRICO PEZZELLA</v>
          </cell>
          <cell r="B5717">
            <v>8239</v>
          </cell>
        </row>
        <row r="5718">
          <cell r="A5718" t="str">
            <v>MARTIN PETERMANN</v>
          </cell>
          <cell r="B5718">
            <v>9501</v>
          </cell>
        </row>
        <row r="5719">
          <cell r="A5719" t="str">
            <v>ALEXANDER PETERS</v>
          </cell>
          <cell r="B5719">
            <v>6059</v>
          </cell>
        </row>
        <row r="5720">
          <cell r="A5720" t="str">
            <v>TAAVI PETERS</v>
          </cell>
          <cell r="B5720">
            <v>1725</v>
          </cell>
        </row>
        <row r="5721">
          <cell r="A5721" t="str">
            <v>MARGUS PETERSELL</v>
          </cell>
          <cell r="B5721">
            <v>4786</v>
          </cell>
        </row>
        <row r="5722">
          <cell r="A5722" t="str">
            <v>ANTS PETERSON</v>
          </cell>
          <cell r="B5722">
            <v>6238</v>
          </cell>
        </row>
        <row r="5723">
          <cell r="A5723" t="str">
            <v>BIRGIT PETERSON</v>
          </cell>
          <cell r="B5723">
            <v>1140</v>
          </cell>
        </row>
        <row r="5724">
          <cell r="A5724" t="str">
            <v>ERIC PETERSON</v>
          </cell>
          <cell r="B5724">
            <v>7075</v>
          </cell>
        </row>
        <row r="5725">
          <cell r="A5725" t="str">
            <v>KIRSIKA PETERSON</v>
          </cell>
          <cell r="B5725">
            <v>102</v>
          </cell>
        </row>
        <row r="5726">
          <cell r="A5726" t="str">
            <v>KRISTJAN SANDER PETERSON</v>
          </cell>
          <cell r="B5726">
            <v>5553</v>
          </cell>
        </row>
        <row r="5727">
          <cell r="A5727" t="str">
            <v>KRISTO PETERSON</v>
          </cell>
          <cell r="B5727">
            <v>2544</v>
          </cell>
        </row>
        <row r="5728">
          <cell r="A5728" t="str">
            <v>LAURI PETERSON</v>
          </cell>
          <cell r="B5728">
            <v>3702</v>
          </cell>
        </row>
        <row r="5729">
          <cell r="A5729" t="str">
            <v>PAUL MARTIN PETERSON</v>
          </cell>
          <cell r="B5729">
            <v>6200</v>
          </cell>
        </row>
        <row r="5730">
          <cell r="A5730" t="str">
            <v>VALERI PETERSON</v>
          </cell>
          <cell r="B5730">
            <v>5424</v>
          </cell>
        </row>
        <row r="5731">
          <cell r="A5731" t="str">
            <v>VIKTOR PETERSON</v>
          </cell>
          <cell r="B5731">
            <v>1183</v>
          </cell>
        </row>
        <row r="5732">
          <cell r="A5732" t="str">
            <v>MIHHAIL PETIN</v>
          </cell>
          <cell r="B5732">
            <v>9773</v>
          </cell>
        </row>
        <row r="5733">
          <cell r="A5733" t="str">
            <v>GUODA PETKEVICIUTE</v>
          </cell>
          <cell r="B5733">
            <v>3175</v>
          </cell>
        </row>
        <row r="5734">
          <cell r="A5734" t="str">
            <v>STANISLAV PETKUNAS</v>
          </cell>
          <cell r="B5734">
            <v>970</v>
          </cell>
        </row>
        <row r="5735">
          <cell r="A5735" t="str">
            <v>GRETA PETRAITYTE</v>
          </cell>
          <cell r="B5735">
            <v>3853</v>
          </cell>
        </row>
        <row r="5736">
          <cell r="A5736" t="str">
            <v>AINA PETRAUSKAITE</v>
          </cell>
          <cell r="B5736">
            <v>3504</v>
          </cell>
        </row>
        <row r="5737">
          <cell r="A5737" t="str">
            <v>DONATAS PETRAUSKAS</v>
          </cell>
          <cell r="B5737">
            <v>10221</v>
          </cell>
        </row>
        <row r="5738">
          <cell r="A5738" t="str">
            <v>RAPOLAS PETRAUSKAS</v>
          </cell>
          <cell r="B5738">
            <v>10228</v>
          </cell>
        </row>
        <row r="5739">
          <cell r="A5739" t="str">
            <v>PETERIS PETREVICS</v>
          </cell>
          <cell r="B5739">
            <v>8144</v>
          </cell>
        </row>
        <row r="5740">
          <cell r="A5740" t="str">
            <v>EVELINA PETRIKAITE</v>
          </cell>
          <cell r="B5740">
            <v>3503</v>
          </cell>
        </row>
        <row r="5741">
          <cell r="A5741" t="str">
            <v>JULIA PETROSIUTE</v>
          </cell>
          <cell r="B5741">
            <v>3182</v>
          </cell>
        </row>
        <row r="5742">
          <cell r="A5742" t="str">
            <v>ALEXANDR PETROV</v>
          </cell>
          <cell r="B5742">
            <v>5421</v>
          </cell>
        </row>
        <row r="5743">
          <cell r="A5743" t="str">
            <v>ANTON PETROV</v>
          </cell>
          <cell r="B5743">
            <v>2762</v>
          </cell>
        </row>
        <row r="5744">
          <cell r="A5744" t="str">
            <v>DANIIL PETROV</v>
          </cell>
          <cell r="B5744">
            <v>2605</v>
          </cell>
        </row>
        <row r="5745">
          <cell r="A5745" t="str">
            <v>ILJA PETROV</v>
          </cell>
          <cell r="B5745">
            <v>7010</v>
          </cell>
        </row>
        <row r="5746">
          <cell r="A5746" t="str">
            <v>JURI PETROV</v>
          </cell>
          <cell r="B5746">
            <v>2994</v>
          </cell>
        </row>
        <row r="5747">
          <cell r="A5747" t="str">
            <v>MAKSIM PETROV</v>
          </cell>
          <cell r="B5747">
            <v>1395</v>
          </cell>
        </row>
        <row r="5748">
          <cell r="A5748" t="str">
            <v>MIHAIL PETROV</v>
          </cell>
          <cell r="B5748">
            <v>4075</v>
          </cell>
        </row>
        <row r="5749">
          <cell r="A5749" t="str">
            <v>OLEG PETROV</v>
          </cell>
          <cell r="B5749">
            <v>2677</v>
          </cell>
        </row>
        <row r="5750">
          <cell r="A5750" t="str">
            <v>SERGEI PETROV</v>
          </cell>
          <cell r="B5750">
            <v>370</v>
          </cell>
        </row>
        <row r="5751">
          <cell r="A5751" t="str">
            <v>SERGEI PETROV</v>
          </cell>
          <cell r="B5751">
            <v>882</v>
          </cell>
        </row>
        <row r="5752">
          <cell r="A5752" t="str">
            <v>SERGEI PETROV</v>
          </cell>
          <cell r="B5752">
            <v>5362</v>
          </cell>
        </row>
        <row r="5753">
          <cell r="A5753" t="str">
            <v>SVEN PETROV</v>
          </cell>
          <cell r="B5753">
            <v>10608</v>
          </cell>
        </row>
        <row r="5754">
          <cell r="A5754" t="str">
            <v>VLADIMIR PETROV</v>
          </cell>
          <cell r="B5754">
            <v>301</v>
          </cell>
        </row>
        <row r="5755">
          <cell r="A5755" t="str">
            <v>ANGELINA PETROVA</v>
          </cell>
          <cell r="B5755">
            <v>7155</v>
          </cell>
        </row>
        <row r="5756">
          <cell r="A5756" t="str">
            <v>KATRIN PETROVA</v>
          </cell>
          <cell r="B5756">
            <v>5204</v>
          </cell>
        </row>
        <row r="5757">
          <cell r="A5757" t="str">
            <v>POLINA PETROVA</v>
          </cell>
          <cell r="B5757">
            <v>4076</v>
          </cell>
        </row>
        <row r="5758">
          <cell r="A5758" t="str">
            <v>SOFIJA PETROVA</v>
          </cell>
          <cell r="B5758">
            <v>8363</v>
          </cell>
        </row>
        <row r="5759">
          <cell r="A5759" t="str">
            <v>LEONID PETROVITŠ</v>
          </cell>
          <cell r="B5759">
            <v>7977</v>
          </cell>
        </row>
        <row r="5760">
          <cell r="A5760" t="str">
            <v>ÜLLAR PETROVITS</v>
          </cell>
          <cell r="B5760">
            <v>4119</v>
          </cell>
        </row>
        <row r="5761">
          <cell r="A5761" t="str">
            <v>VELLO PETROVITS</v>
          </cell>
          <cell r="B5761">
            <v>2466</v>
          </cell>
        </row>
        <row r="5762">
          <cell r="A5762" t="str">
            <v>ANTONS PETROVS</v>
          </cell>
          <cell r="B5762">
            <v>1663</v>
          </cell>
        </row>
        <row r="5763">
          <cell r="A5763" t="str">
            <v>INTERS PETROVS</v>
          </cell>
          <cell r="B5763">
            <v>3718</v>
          </cell>
        </row>
        <row r="5764">
          <cell r="A5764" t="str">
            <v>SERGEIJS PETROVS</v>
          </cell>
          <cell r="B5764">
            <v>1818</v>
          </cell>
        </row>
        <row r="5765">
          <cell r="A5765" t="str">
            <v>RUSLAN PETSENKOV</v>
          </cell>
          <cell r="B5765">
            <v>3281</v>
          </cell>
        </row>
        <row r="5766">
          <cell r="A5766" t="str">
            <v>VEERA PETSHKUROVA</v>
          </cell>
          <cell r="B5766">
            <v>2905</v>
          </cell>
        </row>
        <row r="5767">
          <cell r="A5767" t="str">
            <v>DANIIL PETSILIN</v>
          </cell>
          <cell r="B5767">
            <v>7214</v>
          </cell>
        </row>
        <row r="5768">
          <cell r="A5768" t="str">
            <v>BERT PETTAI</v>
          </cell>
          <cell r="B5768">
            <v>3412</v>
          </cell>
        </row>
        <row r="5769">
          <cell r="A5769" t="str">
            <v>RAILI PETTAI</v>
          </cell>
          <cell r="B5769">
            <v>2802</v>
          </cell>
        </row>
        <row r="5770">
          <cell r="A5770" t="str">
            <v>MAGNUS PETTERSON</v>
          </cell>
          <cell r="B5770">
            <v>1626</v>
          </cell>
        </row>
        <row r="5771">
          <cell r="A5771" t="str">
            <v>KONSTANTIN PETUHOV</v>
          </cell>
          <cell r="B5771">
            <v>4435</v>
          </cell>
        </row>
        <row r="5772">
          <cell r="A5772" t="str">
            <v>ARNO PEVER</v>
          </cell>
          <cell r="B5772">
            <v>2962</v>
          </cell>
        </row>
        <row r="5773">
          <cell r="A5773" t="str">
            <v>JAN-JOONAS PEVKUR</v>
          </cell>
          <cell r="B5773">
            <v>5516</v>
          </cell>
        </row>
        <row r="5774">
          <cell r="A5774" t="str">
            <v>LIA PEVZNER</v>
          </cell>
          <cell r="B5774">
            <v>7984</v>
          </cell>
        </row>
        <row r="5775">
          <cell r="A5775" t="str">
            <v>PAT PHIRASUKPRASERT</v>
          </cell>
          <cell r="B5775">
            <v>9756</v>
          </cell>
        </row>
        <row r="5776">
          <cell r="A5776" t="str">
            <v>RENARS PICKA</v>
          </cell>
          <cell r="B5776">
            <v>9721</v>
          </cell>
        </row>
        <row r="5777">
          <cell r="A5777" t="str">
            <v>TYMOFII PIELIKHOV</v>
          </cell>
          <cell r="B5777">
            <v>10760</v>
          </cell>
        </row>
        <row r="5778">
          <cell r="A5778" t="str">
            <v>DANILA PIGULEVSKI</v>
          </cell>
          <cell r="B5778">
            <v>7637</v>
          </cell>
        </row>
        <row r="5779">
          <cell r="A5779" t="str">
            <v>LINDA PIHELGAS</v>
          </cell>
          <cell r="B5779">
            <v>5175</v>
          </cell>
        </row>
        <row r="5780">
          <cell r="A5780" t="str">
            <v>PEEP PIHELGAS</v>
          </cell>
          <cell r="B5780">
            <v>3268</v>
          </cell>
        </row>
        <row r="5781">
          <cell r="A5781" t="str">
            <v>HEINO PIHELPUU</v>
          </cell>
          <cell r="B5781">
            <v>2082</v>
          </cell>
        </row>
        <row r="5782">
          <cell r="A5782" t="str">
            <v>ARTTU ANTERO PIHKALA</v>
          </cell>
          <cell r="B5782">
            <v>5957</v>
          </cell>
        </row>
        <row r="5783">
          <cell r="A5783" t="str">
            <v>KIMMO PIHKALA</v>
          </cell>
          <cell r="B5783">
            <v>5958</v>
          </cell>
        </row>
        <row r="5784">
          <cell r="A5784" t="str">
            <v>NORDEN PIHL</v>
          </cell>
          <cell r="B5784">
            <v>9803</v>
          </cell>
        </row>
        <row r="5785">
          <cell r="A5785" t="str">
            <v>RICO PIHL</v>
          </cell>
          <cell r="B5785">
            <v>9797</v>
          </cell>
        </row>
        <row r="5786">
          <cell r="A5786" t="str">
            <v>SIIM PIHLA</v>
          </cell>
          <cell r="B5786">
            <v>4436</v>
          </cell>
        </row>
        <row r="5787">
          <cell r="A5787" t="str">
            <v>ALEKS PIHLAK</v>
          </cell>
          <cell r="B5787">
            <v>5511</v>
          </cell>
        </row>
        <row r="5788">
          <cell r="A5788" t="str">
            <v>MARIO PIHLAK</v>
          </cell>
          <cell r="B5788">
            <v>1970</v>
          </cell>
        </row>
        <row r="5789">
          <cell r="A5789" t="str">
            <v>MARIUS PIHLAK</v>
          </cell>
          <cell r="B5789">
            <v>5428</v>
          </cell>
        </row>
        <row r="5790">
          <cell r="A5790" t="str">
            <v>PIRJO PIHLAK</v>
          </cell>
          <cell r="B5790">
            <v>8010</v>
          </cell>
        </row>
        <row r="5791">
          <cell r="A5791" t="str">
            <v>ARINA PIHLAKAS</v>
          </cell>
          <cell r="B5791">
            <v>5941</v>
          </cell>
        </row>
        <row r="5792">
          <cell r="A5792" t="str">
            <v>GERMAN PIHLAKAS</v>
          </cell>
          <cell r="B5792">
            <v>1429</v>
          </cell>
        </row>
        <row r="5793">
          <cell r="A5793" t="str">
            <v>HARRI PIHLAKAS</v>
          </cell>
          <cell r="B5793">
            <v>2033</v>
          </cell>
        </row>
        <row r="5794">
          <cell r="A5794" t="str">
            <v>KARL-MARKUS PIHLAKAS</v>
          </cell>
          <cell r="B5794">
            <v>8217</v>
          </cell>
        </row>
        <row r="5795">
          <cell r="A5795" t="str">
            <v>KALJO PIHLAMETS</v>
          </cell>
          <cell r="B5795">
            <v>1927</v>
          </cell>
        </row>
        <row r="5796">
          <cell r="A5796" t="str">
            <v>RICHARD PIHLAS</v>
          </cell>
          <cell r="B5796">
            <v>10605</v>
          </cell>
        </row>
        <row r="5797">
          <cell r="A5797" t="str">
            <v>HANS PIHLIK</v>
          </cell>
          <cell r="B5797">
            <v>4034</v>
          </cell>
        </row>
        <row r="5798">
          <cell r="A5798" t="str">
            <v>LIIS PIHLIK</v>
          </cell>
          <cell r="B5798">
            <v>4437</v>
          </cell>
        </row>
        <row r="5799">
          <cell r="A5799" t="str">
            <v>ANDER PIHO</v>
          </cell>
          <cell r="B5799">
            <v>1689</v>
          </cell>
        </row>
        <row r="5800">
          <cell r="A5800" t="str">
            <v>IGOR PIHO</v>
          </cell>
          <cell r="B5800">
            <v>10601</v>
          </cell>
        </row>
        <row r="5801">
          <cell r="A5801" t="str">
            <v>TAUNO PIHO</v>
          </cell>
          <cell r="B5801">
            <v>2832</v>
          </cell>
        </row>
        <row r="5802">
          <cell r="A5802" t="str">
            <v>MAIRON PIHOR</v>
          </cell>
          <cell r="B5802">
            <v>1416</v>
          </cell>
        </row>
        <row r="5803">
          <cell r="A5803" t="str">
            <v>LIINA PIHT</v>
          </cell>
          <cell r="B5803">
            <v>4438</v>
          </cell>
        </row>
        <row r="5804">
          <cell r="A5804" t="str">
            <v>MEELIS PIHT</v>
          </cell>
          <cell r="B5804">
            <v>413</v>
          </cell>
        </row>
        <row r="5805">
          <cell r="A5805" t="str">
            <v>VAHUR PIHT</v>
          </cell>
          <cell r="B5805">
            <v>2714</v>
          </cell>
        </row>
        <row r="5806">
          <cell r="A5806" t="str">
            <v>HANNA PIHU</v>
          </cell>
          <cell r="B5806">
            <v>8345</v>
          </cell>
        </row>
        <row r="5807">
          <cell r="A5807" t="str">
            <v>MATTIAS PIHU</v>
          </cell>
          <cell r="B5807">
            <v>8431</v>
          </cell>
        </row>
        <row r="5808">
          <cell r="A5808" t="str">
            <v>RANNO PIIGERT</v>
          </cell>
          <cell r="B5808">
            <v>5065</v>
          </cell>
        </row>
        <row r="5809">
          <cell r="A5809" t="str">
            <v>KERSTI PIIGLI</v>
          </cell>
          <cell r="B5809">
            <v>10437</v>
          </cell>
        </row>
        <row r="5810">
          <cell r="A5810" t="str">
            <v>OSKAR PIIK</v>
          </cell>
          <cell r="B5810">
            <v>5564</v>
          </cell>
        </row>
        <row r="5811">
          <cell r="A5811" t="str">
            <v>PRIIT PIILMA</v>
          </cell>
          <cell r="B5811">
            <v>10607</v>
          </cell>
        </row>
        <row r="5812">
          <cell r="A5812" t="str">
            <v>BRIGYTA-RENATA PIIR</v>
          </cell>
          <cell r="B5812">
            <v>3968</v>
          </cell>
        </row>
        <row r="5813">
          <cell r="A5813" t="str">
            <v>KARL PIIR</v>
          </cell>
          <cell r="B5813">
            <v>6173</v>
          </cell>
        </row>
        <row r="5814">
          <cell r="A5814" t="str">
            <v>LIAM PIIR</v>
          </cell>
          <cell r="B5814">
            <v>10284</v>
          </cell>
        </row>
        <row r="5815">
          <cell r="A5815" t="str">
            <v>MARKO PIIR</v>
          </cell>
          <cell r="B5815">
            <v>7512</v>
          </cell>
        </row>
        <row r="5816">
          <cell r="A5816" t="str">
            <v>SAIROS PIIR</v>
          </cell>
          <cell r="B5816">
            <v>5189</v>
          </cell>
        </row>
        <row r="5817">
          <cell r="A5817" t="str">
            <v>SANDER PIIR</v>
          </cell>
          <cell r="B5817">
            <v>5350</v>
          </cell>
        </row>
        <row r="5818">
          <cell r="A5818" t="str">
            <v>KRISTINA PIIRAK</v>
          </cell>
          <cell r="B5818">
            <v>7328</v>
          </cell>
        </row>
        <row r="5819">
          <cell r="A5819" t="str">
            <v>RICHARD PIIRIMÄE</v>
          </cell>
          <cell r="B5819">
            <v>7683</v>
          </cell>
        </row>
        <row r="5820">
          <cell r="A5820" t="str">
            <v>TANEL PIIRIMÄE</v>
          </cell>
          <cell r="B5820">
            <v>3258</v>
          </cell>
        </row>
        <row r="5821">
          <cell r="A5821" t="str">
            <v>HEINO PIIRISILD</v>
          </cell>
          <cell r="B5821">
            <v>3133</v>
          </cell>
        </row>
        <row r="5822">
          <cell r="A5822" t="str">
            <v>OTT PIIRISILD</v>
          </cell>
          <cell r="B5822">
            <v>8250</v>
          </cell>
        </row>
        <row r="5823">
          <cell r="A5823" t="str">
            <v>PEETER PIIRISILD</v>
          </cell>
          <cell r="B5823">
            <v>2080</v>
          </cell>
        </row>
        <row r="5824">
          <cell r="A5824" t="str">
            <v>MARGUS PIIRISTE</v>
          </cell>
          <cell r="B5824">
            <v>5926</v>
          </cell>
        </row>
        <row r="5825">
          <cell r="A5825" t="str">
            <v>JOONAS PIIRITALO</v>
          </cell>
          <cell r="B5825">
            <v>10352</v>
          </cell>
        </row>
        <row r="5826">
          <cell r="A5826" t="str">
            <v>TANEL PIIRMÄE</v>
          </cell>
          <cell r="B5826">
            <v>3537</v>
          </cell>
        </row>
        <row r="5827">
          <cell r="A5827" t="str">
            <v>MARIA PIIRSALU</v>
          </cell>
          <cell r="B5827">
            <v>4440</v>
          </cell>
        </row>
        <row r="5828">
          <cell r="A5828" t="str">
            <v>RAIGO PIIRSALU</v>
          </cell>
          <cell r="B5828">
            <v>4439</v>
          </cell>
        </row>
        <row r="5829">
          <cell r="A5829" t="str">
            <v>RANDO PIIRSALU</v>
          </cell>
          <cell r="B5829">
            <v>3854</v>
          </cell>
        </row>
        <row r="5830">
          <cell r="A5830" t="str">
            <v>REIN PIIRSOO</v>
          </cell>
          <cell r="B5830">
            <v>1300</v>
          </cell>
        </row>
        <row r="5831">
          <cell r="A5831" t="str">
            <v>EVE PIISANG</v>
          </cell>
          <cell r="B5831">
            <v>959</v>
          </cell>
        </row>
        <row r="5832">
          <cell r="A5832" t="str">
            <v>MEELIS PIISKOP</v>
          </cell>
          <cell r="B5832">
            <v>4694</v>
          </cell>
        </row>
        <row r="5833">
          <cell r="A5833" t="str">
            <v>MEELIS PIISKOP</v>
          </cell>
          <cell r="B5833">
            <v>5632</v>
          </cell>
        </row>
        <row r="5834">
          <cell r="A5834" t="str">
            <v>ROMAN PIKALO</v>
          </cell>
          <cell r="B5834">
            <v>7658</v>
          </cell>
        </row>
        <row r="5835">
          <cell r="A5835" t="str">
            <v>KALDI PIKAS</v>
          </cell>
          <cell r="B5835">
            <v>9662</v>
          </cell>
        </row>
        <row r="5836">
          <cell r="A5836" t="str">
            <v>ANGELINA PIKAT</v>
          </cell>
          <cell r="B5836">
            <v>1072</v>
          </cell>
        </row>
        <row r="5837">
          <cell r="A5837" t="str">
            <v>PAVEL PIKAT</v>
          </cell>
          <cell r="B5837">
            <v>1236</v>
          </cell>
        </row>
        <row r="5838">
          <cell r="A5838" t="str">
            <v>KARL MARTJAN PIKK</v>
          </cell>
          <cell r="B5838">
            <v>9634</v>
          </cell>
        </row>
        <row r="5839">
          <cell r="A5839" t="str">
            <v>RASMUS PIKK</v>
          </cell>
          <cell r="B5839">
            <v>9985</v>
          </cell>
        </row>
        <row r="5840">
          <cell r="A5840" t="str">
            <v>JUSSI PIKKARAINEN</v>
          </cell>
          <cell r="B5840">
            <v>1999</v>
          </cell>
        </row>
        <row r="5841">
          <cell r="A5841" t="str">
            <v>JAANIS PIKKOF</v>
          </cell>
          <cell r="B5841">
            <v>8182</v>
          </cell>
        </row>
        <row r="5842">
          <cell r="A5842" t="str">
            <v>HEIKO PIKKOR</v>
          </cell>
          <cell r="B5842">
            <v>8992</v>
          </cell>
        </row>
        <row r="5843">
          <cell r="A5843" t="str">
            <v>LISANNE PIKLA</v>
          </cell>
          <cell r="B5843">
            <v>7095</v>
          </cell>
        </row>
        <row r="5844">
          <cell r="A5844" t="str">
            <v>GUIDO PIKSAR</v>
          </cell>
          <cell r="B5844">
            <v>3277</v>
          </cell>
        </row>
        <row r="5845">
          <cell r="A5845" t="str">
            <v>SERGEI PILAGS</v>
          </cell>
          <cell r="B5845">
            <v>9774</v>
          </cell>
        </row>
        <row r="5846">
          <cell r="A5846" t="str">
            <v>ORESTAS PILAITIS</v>
          </cell>
          <cell r="B5846">
            <v>10081</v>
          </cell>
        </row>
        <row r="5847">
          <cell r="A5847" t="str">
            <v>MAKSIM PILAT</v>
          </cell>
          <cell r="B5847">
            <v>5113</v>
          </cell>
        </row>
        <row r="5848">
          <cell r="A5848" t="str">
            <v>JOOSEP MARKUS PILD</v>
          </cell>
          <cell r="B5848">
            <v>5558</v>
          </cell>
        </row>
        <row r="5849">
          <cell r="A5849" t="str">
            <v>ORINTA PILECKAITĖ</v>
          </cell>
          <cell r="B5849">
            <v>8559</v>
          </cell>
        </row>
        <row r="5850">
          <cell r="A5850" t="str">
            <v>DACE PILIKSERE</v>
          </cell>
          <cell r="B5850">
            <v>6183</v>
          </cell>
        </row>
        <row r="5851">
          <cell r="A5851" t="str">
            <v>JULIA PILIPTSUK</v>
          </cell>
          <cell r="B5851">
            <v>1258</v>
          </cell>
        </row>
        <row r="5852">
          <cell r="A5852" t="str">
            <v>KRISTINA PILIPTSUK</v>
          </cell>
          <cell r="B5852">
            <v>4441</v>
          </cell>
        </row>
        <row r="5853">
          <cell r="A5853" t="str">
            <v>AIVO PILISNER</v>
          </cell>
          <cell r="B5853">
            <v>5493</v>
          </cell>
        </row>
        <row r="5854">
          <cell r="A5854" t="str">
            <v>ELIISE PILISTE</v>
          </cell>
          <cell r="B5854">
            <v>886</v>
          </cell>
        </row>
        <row r="5855">
          <cell r="A5855" t="str">
            <v>PILLE-RIIN PILISTE</v>
          </cell>
          <cell r="B5855">
            <v>896</v>
          </cell>
        </row>
        <row r="5856">
          <cell r="A5856" t="str">
            <v>HEINO PILK</v>
          </cell>
          <cell r="B5856">
            <v>236</v>
          </cell>
        </row>
        <row r="5857">
          <cell r="A5857" t="str">
            <v>PEETER PILL</v>
          </cell>
          <cell r="B5857">
            <v>8417</v>
          </cell>
        </row>
        <row r="5858">
          <cell r="A5858" t="str">
            <v>KAAREL PILLART</v>
          </cell>
          <cell r="B5858">
            <v>7973</v>
          </cell>
        </row>
        <row r="5859">
          <cell r="A5859" t="str">
            <v>KAISI PILLART</v>
          </cell>
          <cell r="B5859">
            <v>7971</v>
          </cell>
        </row>
        <row r="5860">
          <cell r="A5860" t="str">
            <v>KRISTJAN PILLE</v>
          </cell>
          <cell r="B5860">
            <v>4442</v>
          </cell>
        </row>
        <row r="5861">
          <cell r="A5861" t="str">
            <v>SIIM PILLE</v>
          </cell>
          <cell r="B5861">
            <v>3066</v>
          </cell>
        </row>
        <row r="5862">
          <cell r="A5862" t="str">
            <v>ELLI PILLER</v>
          </cell>
          <cell r="B5862">
            <v>3089</v>
          </cell>
        </row>
        <row r="5863">
          <cell r="A5863" t="str">
            <v>AIRI PILLESAAR</v>
          </cell>
          <cell r="B5863">
            <v>2039</v>
          </cell>
        </row>
        <row r="5864">
          <cell r="A5864" t="str">
            <v>DIANDRA-MARIA PILLI</v>
          </cell>
          <cell r="B5864">
            <v>6993</v>
          </cell>
        </row>
        <row r="5865">
          <cell r="A5865" t="str">
            <v>KALLE PILLI</v>
          </cell>
          <cell r="B5865">
            <v>2289</v>
          </cell>
        </row>
        <row r="5866">
          <cell r="A5866" t="str">
            <v>LISANDRA PILLI</v>
          </cell>
          <cell r="B5866">
            <v>6106</v>
          </cell>
        </row>
        <row r="5867">
          <cell r="A5867" t="str">
            <v>BIRGIT PILT</v>
          </cell>
          <cell r="B5867">
            <v>8570</v>
          </cell>
        </row>
        <row r="5868">
          <cell r="A5868" t="str">
            <v>MAREK PILV</v>
          </cell>
          <cell r="B5868">
            <v>2367</v>
          </cell>
        </row>
        <row r="5869">
          <cell r="A5869" t="str">
            <v>KSENIJA PIMAHHOVA</v>
          </cell>
          <cell r="B5869">
            <v>9711</v>
          </cell>
        </row>
        <row r="5870">
          <cell r="A5870" t="str">
            <v>SAVELY PIMENOV</v>
          </cell>
          <cell r="B5870">
            <v>8844</v>
          </cell>
        </row>
        <row r="5871">
          <cell r="A5871" t="str">
            <v>MARIA PIMENOVA</v>
          </cell>
          <cell r="B5871">
            <v>10298</v>
          </cell>
        </row>
        <row r="5872">
          <cell r="A5872" t="str">
            <v>MADIS PINDSOO</v>
          </cell>
          <cell r="B5872">
            <v>2120</v>
          </cell>
        </row>
        <row r="5873">
          <cell r="A5873" t="str">
            <v>CARLOS PINHO</v>
          </cell>
          <cell r="B5873">
            <v>8418</v>
          </cell>
        </row>
        <row r="5874">
          <cell r="A5874" t="str">
            <v>KARL PINTMANN</v>
          </cell>
          <cell r="B5874">
            <v>7782</v>
          </cell>
        </row>
        <row r="5875">
          <cell r="A5875" t="str">
            <v>TOOMAS PINTSAAR</v>
          </cell>
          <cell r="B5875">
            <v>4444</v>
          </cell>
        </row>
        <row r="5876">
          <cell r="A5876" t="str">
            <v>HENDRIK PINTSON</v>
          </cell>
          <cell r="B5876">
            <v>8468</v>
          </cell>
        </row>
        <row r="5877">
          <cell r="A5877" t="str">
            <v>RAUNO PIRITA</v>
          </cell>
          <cell r="B5877">
            <v>3118</v>
          </cell>
        </row>
        <row r="5878">
          <cell r="A5878" t="str">
            <v>AGNAR PIRNPUU</v>
          </cell>
          <cell r="B5878">
            <v>3665</v>
          </cell>
        </row>
        <row r="5879">
          <cell r="A5879" t="str">
            <v>RAUL PIRSON</v>
          </cell>
          <cell r="B5879">
            <v>9649</v>
          </cell>
        </row>
        <row r="5880">
          <cell r="A5880" t="str">
            <v>RAUNO PISA</v>
          </cell>
          <cell r="B5880">
            <v>7849</v>
          </cell>
        </row>
        <row r="5881">
          <cell r="A5881" t="str">
            <v>VERONIKA PISKUN</v>
          </cell>
          <cell r="B5881">
            <v>10405</v>
          </cell>
        </row>
        <row r="5882">
          <cell r="A5882" t="str">
            <v>ILJA PISKUNOV</v>
          </cell>
          <cell r="B5882">
            <v>870</v>
          </cell>
        </row>
        <row r="5883">
          <cell r="A5883" t="str">
            <v>MIRON PISKUNOV</v>
          </cell>
          <cell r="B5883">
            <v>10753</v>
          </cell>
        </row>
        <row r="5884">
          <cell r="A5884" t="str">
            <v>JEVGENI PISKUROV</v>
          </cell>
          <cell r="B5884">
            <v>2553</v>
          </cell>
        </row>
        <row r="5885">
          <cell r="A5885" t="str">
            <v>TATU PITKÄNEN</v>
          </cell>
          <cell r="B5885">
            <v>3856</v>
          </cell>
        </row>
        <row r="5886">
          <cell r="A5886" t="str">
            <v>TERHO PITKÄNEN</v>
          </cell>
          <cell r="B5886">
            <v>5537</v>
          </cell>
        </row>
        <row r="5887">
          <cell r="A5887" t="str">
            <v>TONI PITKÄNEN</v>
          </cell>
          <cell r="B5887">
            <v>3855</v>
          </cell>
        </row>
        <row r="5888">
          <cell r="A5888" t="str">
            <v>MARKS PITKEVICS</v>
          </cell>
          <cell r="B5888">
            <v>2609</v>
          </cell>
        </row>
        <row r="5889">
          <cell r="A5889" t="str">
            <v>MARTEN PITSNER</v>
          </cell>
          <cell r="B5889">
            <v>9629</v>
          </cell>
        </row>
        <row r="5890">
          <cell r="A5890" t="str">
            <v>ALEKSANDER PIVEN</v>
          </cell>
          <cell r="B5890">
            <v>1993</v>
          </cell>
        </row>
        <row r="5891">
          <cell r="A5891" t="str">
            <v>JURI PLAHOV</v>
          </cell>
          <cell r="B5891">
            <v>375</v>
          </cell>
        </row>
        <row r="5892">
          <cell r="A5892" t="str">
            <v>MARI PLAKK</v>
          </cell>
          <cell r="B5892">
            <v>7387</v>
          </cell>
        </row>
        <row r="5893">
          <cell r="A5893" t="str">
            <v>MADIS PLAKS</v>
          </cell>
          <cell r="B5893">
            <v>9568</v>
          </cell>
        </row>
        <row r="5894">
          <cell r="A5894" t="str">
            <v>STANISLAU PLAKSIN</v>
          </cell>
          <cell r="B5894">
            <v>8452</v>
          </cell>
        </row>
        <row r="5895">
          <cell r="A5895" t="str">
            <v>ANDRUS PLAMUS</v>
          </cell>
          <cell r="B5895">
            <v>7667</v>
          </cell>
        </row>
        <row r="5896">
          <cell r="A5896" t="str">
            <v>SANDER PLÜMBERG</v>
          </cell>
          <cell r="B5896">
            <v>3249</v>
          </cell>
        </row>
        <row r="5897">
          <cell r="A5897" t="str">
            <v>MARIA PLÜT</v>
          </cell>
          <cell r="B5897">
            <v>4447</v>
          </cell>
        </row>
        <row r="5898">
          <cell r="A5898" t="str">
            <v>JASON PLATAIS</v>
          </cell>
          <cell r="B5898">
            <v>4445</v>
          </cell>
        </row>
        <row r="5899">
          <cell r="A5899" t="str">
            <v>ROBERT PLATAIS</v>
          </cell>
          <cell r="B5899">
            <v>8682</v>
          </cell>
        </row>
        <row r="5900">
          <cell r="A5900" t="str">
            <v>DZMITRYI PLATONAU</v>
          </cell>
          <cell r="B5900">
            <v>8451</v>
          </cell>
        </row>
        <row r="5901">
          <cell r="A5901" t="str">
            <v>JANA PLATONOVA</v>
          </cell>
          <cell r="B5901">
            <v>4446</v>
          </cell>
        </row>
        <row r="5902">
          <cell r="A5902" t="str">
            <v>ALEKSEI PLIŠENKO</v>
          </cell>
          <cell r="B5902">
            <v>5176</v>
          </cell>
        </row>
        <row r="5903">
          <cell r="A5903" t="str">
            <v>UGIS PLIKGALVIS</v>
          </cell>
          <cell r="B5903">
            <v>1026</v>
          </cell>
        </row>
        <row r="5904">
          <cell r="A5904" t="str">
            <v>MARYA PLIUSKEVICH</v>
          </cell>
          <cell r="B5904">
            <v>7733</v>
          </cell>
        </row>
        <row r="5905">
          <cell r="A5905" t="str">
            <v>IGOR PLJUHHIN</v>
          </cell>
          <cell r="B5905">
            <v>9057</v>
          </cell>
        </row>
        <row r="5906">
          <cell r="A5906" t="str">
            <v>MYKHAILO PLOKHOTNIUK</v>
          </cell>
          <cell r="B5906">
            <v>10738</v>
          </cell>
        </row>
        <row r="5907">
          <cell r="A5907" t="str">
            <v>NATALIIA PLOKHOTNIUK</v>
          </cell>
          <cell r="B5907">
            <v>10725</v>
          </cell>
        </row>
        <row r="5908">
          <cell r="A5908" t="str">
            <v>ARGO PLOOM</v>
          </cell>
          <cell r="B5908">
            <v>3857</v>
          </cell>
        </row>
        <row r="5909">
          <cell r="A5909" t="str">
            <v>LEO PLOOM</v>
          </cell>
          <cell r="B5909">
            <v>1913</v>
          </cell>
        </row>
        <row r="5910">
          <cell r="A5910" t="str">
            <v>TÕNU PLOOM</v>
          </cell>
          <cell r="B5910">
            <v>972</v>
          </cell>
        </row>
        <row r="5911">
          <cell r="A5911" t="str">
            <v>TIIT PLOOMPUU</v>
          </cell>
          <cell r="B5911">
            <v>4695</v>
          </cell>
        </row>
        <row r="5912">
          <cell r="A5912" t="str">
            <v>ALISE PLUCE</v>
          </cell>
          <cell r="B5912">
            <v>3500</v>
          </cell>
        </row>
        <row r="5913">
          <cell r="A5913" t="str">
            <v>OLEGS PLUSCS</v>
          </cell>
          <cell r="B5913">
            <v>3516</v>
          </cell>
        </row>
        <row r="5914">
          <cell r="A5914" t="str">
            <v>ANNA POŽARNIKOVA</v>
          </cell>
          <cell r="B5914">
            <v>5985</v>
          </cell>
        </row>
        <row r="5915">
          <cell r="A5915" t="str">
            <v>JEVGENIA POBELOVA</v>
          </cell>
          <cell r="B5915">
            <v>8413</v>
          </cell>
        </row>
        <row r="5916">
          <cell r="A5916" t="str">
            <v>VIACHESLAV PODCHERNIN</v>
          </cell>
          <cell r="B5916">
            <v>8635</v>
          </cell>
        </row>
        <row r="5917">
          <cell r="A5917" t="str">
            <v>JÄRT PODEKRAT</v>
          </cell>
          <cell r="B5917">
            <v>2886</v>
          </cell>
        </row>
        <row r="5918">
          <cell r="A5918" t="str">
            <v>JOOST PODEKRAT</v>
          </cell>
          <cell r="B5918">
            <v>2885</v>
          </cell>
        </row>
        <row r="5919">
          <cell r="A5919" t="str">
            <v>REGNĀRS PODKALNS</v>
          </cell>
          <cell r="B5919">
            <v>8429</v>
          </cell>
        </row>
        <row r="5920">
          <cell r="A5920" t="str">
            <v>ANTON PODKORÕTOV</v>
          </cell>
          <cell r="B5920">
            <v>8071</v>
          </cell>
        </row>
        <row r="5921">
          <cell r="A5921" t="str">
            <v>DARIA PODORSKAJA</v>
          </cell>
          <cell r="B5921">
            <v>2957</v>
          </cell>
        </row>
        <row r="5922">
          <cell r="A5922" t="str">
            <v>KARYNA PODRAZHANETS</v>
          </cell>
          <cell r="B5922">
            <v>9204</v>
          </cell>
        </row>
        <row r="5923">
          <cell r="A5923" t="str">
            <v>JAKOV PODVOLOTSKI</v>
          </cell>
          <cell r="B5923">
            <v>6045</v>
          </cell>
        </row>
        <row r="5924">
          <cell r="A5924" t="str">
            <v>SERGEI POGORELSKI</v>
          </cell>
          <cell r="B5924">
            <v>1034</v>
          </cell>
        </row>
        <row r="5925">
          <cell r="A5925" t="str">
            <v>KIMMO POHJONEN</v>
          </cell>
          <cell r="B5925">
            <v>10154</v>
          </cell>
        </row>
        <row r="5926">
          <cell r="A5926" t="str">
            <v>HARALD UKU POHLA</v>
          </cell>
          <cell r="B5926">
            <v>10626</v>
          </cell>
        </row>
        <row r="5927">
          <cell r="A5927" t="str">
            <v>RISTO POHVILAINEN</v>
          </cell>
          <cell r="B5927">
            <v>2671</v>
          </cell>
        </row>
        <row r="5928">
          <cell r="A5928" t="str">
            <v>ILJA POJEV</v>
          </cell>
          <cell r="B5928">
            <v>9856</v>
          </cell>
        </row>
        <row r="5929">
          <cell r="A5929" t="str">
            <v>SERGEI POJEV</v>
          </cell>
          <cell r="B5929">
            <v>9857</v>
          </cell>
        </row>
        <row r="5930">
          <cell r="A5930" t="str">
            <v>SIIM POKS</v>
          </cell>
          <cell r="B5930">
            <v>1426</v>
          </cell>
        </row>
        <row r="5931">
          <cell r="A5931" t="str">
            <v>VJATŠESLAV POLÕVAJEV</v>
          </cell>
          <cell r="B5931">
            <v>5270</v>
          </cell>
        </row>
        <row r="5932">
          <cell r="A5932" t="str">
            <v>ALEKSANDR POLIŠTŠUK</v>
          </cell>
          <cell r="B5932">
            <v>3485</v>
          </cell>
        </row>
        <row r="5933">
          <cell r="A5933" t="str">
            <v>ALEKSANDR POLIKARPOV</v>
          </cell>
          <cell r="B5933">
            <v>2190</v>
          </cell>
        </row>
        <row r="5934">
          <cell r="A5934" t="str">
            <v>MAKSIM POLIN</v>
          </cell>
          <cell r="B5934">
            <v>8679</v>
          </cell>
        </row>
        <row r="5935">
          <cell r="A5935" t="str">
            <v>TIMOFEI POLISHCHUK</v>
          </cell>
          <cell r="B5935">
            <v>5645</v>
          </cell>
        </row>
        <row r="5936">
          <cell r="A5936" t="str">
            <v>VJATŠESLAV POLIVAJEV</v>
          </cell>
          <cell r="B5936">
            <v>5933</v>
          </cell>
        </row>
        <row r="5937">
          <cell r="A5937" t="str">
            <v>DMITRI POLJAKOV</v>
          </cell>
          <cell r="B5937">
            <v>926</v>
          </cell>
        </row>
        <row r="5938">
          <cell r="A5938" t="str">
            <v>SERGEI POLJAKOV</v>
          </cell>
          <cell r="B5938">
            <v>4448</v>
          </cell>
        </row>
        <row r="5939">
          <cell r="A5939" t="str">
            <v>VJATSESLAV POLJAKOV</v>
          </cell>
          <cell r="B5939">
            <v>835</v>
          </cell>
        </row>
        <row r="5940">
          <cell r="A5940" t="str">
            <v>JELENA POLJAKOVA</v>
          </cell>
          <cell r="B5940">
            <v>2415</v>
          </cell>
        </row>
        <row r="5941">
          <cell r="A5941" t="str">
            <v>KSENIJA POLJAKOVA</v>
          </cell>
          <cell r="B5941">
            <v>5586</v>
          </cell>
        </row>
        <row r="5942">
          <cell r="A5942" t="str">
            <v>KSENJA POLJAKOVA</v>
          </cell>
          <cell r="B5942">
            <v>1259</v>
          </cell>
        </row>
        <row r="5943">
          <cell r="A5943" t="str">
            <v>ANDRE POLL</v>
          </cell>
          <cell r="B5943">
            <v>8899</v>
          </cell>
        </row>
        <row r="5944">
          <cell r="A5944" t="str">
            <v>AADU POLLI</v>
          </cell>
          <cell r="B5944">
            <v>3134</v>
          </cell>
        </row>
        <row r="5945">
          <cell r="A5945" t="str">
            <v>MATI POLLI</v>
          </cell>
          <cell r="B5945">
            <v>9174</v>
          </cell>
        </row>
        <row r="5946">
          <cell r="A5946" t="str">
            <v>HARALD POLLMAN</v>
          </cell>
          <cell r="B5946">
            <v>9822</v>
          </cell>
        </row>
        <row r="5947">
          <cell r="A5947" t="str">
            <v>ILJA POLOZOV</v>
          </cell>
          <cell r="B5947">
            <v>390</v>
          </cell>
        </row>
        <row r="5948">
          <cell r="A5948" t="str">
            <v>NIKOLAI POLOZOV</v>
          </cell>
          <cell r="B5948">
            <v>3657</v>
          </cell>
        </row>
        <row r="5949">
          <cell r="A5949" t="str">
            <v>SERGEI POLOZOV</v>
          </cell>
          <cell r="B5949">
            <v>1894</v>
          </cell>
        </row>
        <row r="5950">
          <cell r="A5950" t="str">
            <v>VALERI POLOZOV</v>
          </cell>
          <cell r="B5950">
            <v>3700</v>
          </cell>
        </row>
        <row r="5951">
          <cell r="A5951" t="str">
            <v>ELENA POLOZOVA</v>
          </cell>
          <cell r="B5951">
            <v>10594</v>
          </cell>
        </row>
        <row r="5952">
          <cell r="A5952" t="str">
            <v>MILANA POLOZOVA</v>
          </cell>
          <cell r="B5952">
            <v>10481</v>
          </cell>
        </row>
        <row r="5953">
          <cell r="A5953" t="str">
            <v>MAKSIM POLTORADNEV</v>
          </cell>
          <cell r="B5953">
            <v>9069</v>
          </cell>
        </row>
        <row r="5954">
          <cell r="A5954" t="str">
            <v>IGOR POLUPAN</v>
          </cell>
          <cell r="B5954">
            <v>4449</v>
          </cell>
        </row>
        <row r="5955">
          <cell r="A5955" t="str">
            <v>ANNA POMAZAN</v>
          </cell>
          <cell r="B5955">
            <v>3858</v>
          </cell>
        </row>
        <row r="5956">
          <cell r="A5956" t="str">
            <v>ARSENI POMELOV</v>
          </cell>
          <cell r="B5956">
            <v>10347</v>
          </cell>
        </row>
        <row r="5957">
          <cell r="A5957" t="str">
            <v>MAREK POMMER</v>
          </cell>
          <cell r="B5957">
            <v>8404</v>
          </cell>
        </row>
        <row r="5958">
          <cell r="A5958" t="str">
            <v>JÜRI PONOMARENKO</v>
          </cell>
          <cell r="B5958">
            <v>5236</v>
          </cell>
        </row>
        <row r="5959">
          <cell r="A5959" t="str">
            <v>DMITRY PONOMAREV</v>
          </cell>
          <cell r="B5959">
            <v>9319</v>
          </cell>
        </row>
        <row r="5960">
          <cell r="A5960" t="str">
            <v>DMITRI PONOMARJOV</v>
          </cell>
          <cell r="B5960">
            <v>9064</v>
          </cell>
        </row>
        <row r="5961">
          <cell r="A5961" t="str">
            <v>SERGEI PONOMARJOV</v>
          </cell>
          <cell r="B5961">
            <v>9065</v>
          </cell>
        </row>
        <row r="5962">
          <cell r="A5962" t="str">
            <v>KAAREL POOBUS</v>
          </cell>
          <cell r="B5962">
            <v>10254</v>
          </cell>
        </row>
        <row r="5963">
          <cell r="A5963" t="str">
            <v>FRANCO POOLA</v>
          </cell>
          <cell r="B5963">
            <v>4696</v>
          </cell>
        </row>
        <row r="5964">
          <cell r="A5964" t="str">
            <v>GUSTAV POOLA</v>
          </cell>
          <cell r="B5964">
            <v>3568</v>
          </cell>
        </row>
        <row r="5965">
          <cell r="A5965" t="str">
            <v>ANDI POOLAK</v>
          </cell>
          <cell r="B5965">
            <v>4051</v>
          </cell>
        </row>
        <row r="5966">
          <cell r="A5966" t="str">
            <v>LILIAN POOLAK</v>
          </cell>
          <cell r="B5966">
            <v>1605</v>
          </cell>
        </row>
        <row r="5967">
          <cell r="A5967" t="str">
            <v>TAIVO POOLMAA</v>
          </cell>
          <cell r="B5967">
            <v>8100</v>
          </cell>
        </row>
        <row r="5968">
          <cell r="A5968" t="str">
            <v>MARKUS POOMANN</v>
          </cell>
          <cell r="B5968">
            <v>9037</v>
          </cell>
        </row>
        <row r="5969">
          <cell r="A5969" t="str">
            <v>VAHUR POOMPUU</v>
          </cell>
          <cell r="B5969">
            <v>2412</v>
          </cell>
        </row>
        <row r="5970">
          <cell r="A5970" t="str">
            <v>MERLE POOPUU</v>
          </cell>
          <cell r="B5970">
            <v>5114</v>
          </cell>
        </row>
        <row r="5971">
          <cell r="A5971" t="str">
            <v>ALEKSANDR POP</v>
          </cell>
          <cell r="B5971">
            <v>3999</v>
          </cell>
        </row>
        <row r="5972">
          <cell r="A5972" t="str">
            <v>ARSENI POPKOV</v>
          </cell>
          <cell r="B5972">
            <v>8585</v>
          </cell>
        </row>
        <row r="5973">
          <cell r="A5973" t="str">
            <v>ELVIRA POPKOVA</v>
          </cell>
          <cell r="B5973">
            <v>1954</v>
          </cell>
        </row>
        <row r="5974">
          <cell r="A5974" t="str">
            <v>HEDY POPLOVSKI</v>
          </cell>
          <cell r="B5974">
            <v>525</v>
          </cell>
        </row>
        <row r="5975">
          <cell r="A5975" t="str">
            <v>ALEKSANDER POPOV</v>
          </cell>
          <cell r="B5975">
            <v>1186</v>
          </cell>
        </row>
        <row r="5976">
          <cell r="A5976" t="str">
            <v>KIRILL POPOV</v>
          </cell>
          <cell r="B5976">
            <v>3167</v>
          </cell>
        </row>
        <row r="5977">
          <cell r="A5977" t="str">
            <v>SERGEI POPOV</v>
          </cell>
          <cell r="B5977">
            <v>5136</v>
          </cell>
        </row>
        <row r="5978">
          <cell r="A5978" t="str">
            <v>SERGEY POPOV</v>
          </cell>
          <cell r="B5978">
            <v>7011</v>
          </cell>
        </row>
        <row r="5979">
          <cell r="A5979" t="str">
            <v>KSENJA POPOVA</v>
          </cell>
          <cell r="B5979">
            <v>8339</v>
          </cell>
        </row>
        <row r="5980">
          <cell r="A5980" t="str">
            <v>VIKTORIA POPOVA</v>
          </cell>
          <cell r="B5980">
            <v>9437</v>
          </cell>
        </row>
        <row r="5981">
          <cell r="A5981" t="str">
            <v>VLADIMIRS POPOVS</v>
          </cell>
          <cell r="B5981">
            <v>7332</v>
          </cell>
        </row>
        <row r="5982">
          <cell r="A5982" t="str">
            <v>AILI POPP</v>
          </cell>
          <cell r="B5982">
            <v>9146</v>
          </cell>
        </row>
        <row r="5983">
          <cell r="A5983" t="str">
            <v>DOMINIC POPS</v>
          </cell>
          <cell r="B5983">
            <v>9452</v>
          </cell>
        </row>
        <row r="5984">
          <cell r="A5984" t="str">
            <v>ALEKSANDR POPSEJEV</v>
          </cell>
          <cell r="B5984">
            <v>3671</v>
          </cell>
        </row>
        <row r="5985">
          <cell r="A5985" t="str">
            <v>ERIKS PORIETIS</v>
          </cell>
          <cell r="B5985">
            <v>6167</v>
          </cell>
        </row>
        <row r="5986">
          <cell r="A5986" t="str">
            <v>ANDRI PORILA</v>
          </cell>
          <cell r="B5986">
            <v>9860</v>
          </cell>
        </row>
        <row r="5987">
          <cell r="A5987" t="str">
            <v>VALERI PORMANN</v>
          </cell>
          <cell r="B5987">
            <v>4697</v>
          </cell>
        </row>
        <row r="5988">
          <cell r="A5988" t="str">
            <v>REELI POROHHOV</v>
          </cell>
          <cell r="B5988">
            <v>4450</v>
          </cell>
        </row>
        <row r="5989">
          <cell r="A5989" t="str">
            <v>MAKSIM POROTIKOV</v>
          </cell>
          <cell r="B5989">
            <v>9158</v>
          </cell>
        </row>
        <row r="5990">
          <cell r="A5990" t="str">
            <v>MIRKO PORSIN</v>
          </cell>
          <cell r="B5990">
            <v>3166</v>
          </cell>
        </row>
        <row r="5991">
          <cell r="A5991" t="str">
            <v>MATTHEW PORTER</v>
          </cell>
          <cell r="B5991">
            <v>3631</v>
          </cell>
        </row>
        <row r="5992">
          <cell r="A5992" t="str">
            <v>EGOR PORTJANKIN</v>
          </cell>
          <cell r="B5992">
            <v>5570</v>
          </cell>
        </row>
        <row r="5993">
          <cell r="A5993" t="str">
            <v>ANDREY PORTYANKIN</v>
          </cell>
          <cell r="B5993">
            <v>8724</v>
          </cell>
        </row>
        <row r="5994">
          <cell r="A5994" t="str">
            <v>ERIK MARKOS POSKA</v>
          </cell>
          <cell r="B5994">
            <v>6195</v>
          </cell>
        </row>
        <row r="5995">
          <cell r="A5995" t="str">
            <v>MARIS POSKA</v>
          </cell>
          <cell r="B5995">
            <v>3586</v>
          </cell>
        </row>
        <row r="5996">
          <cell r="A5996" t="str">
            <v>BORIS POSPEKHOV</v>
          </cell>
          <cell r="B5996">
            <v>9809</v>
          </cell>
        </row>
        <row r="5997">
          <cell r="A5997" t="str">
            <v>OSKAR POST</v>
          </cell>
          <cell r="B5997">
            <v>6174</v>
          </cell>
        </row>
        <row r="5998">
          <cell r="A5998" t="str">
            <v>JANA POSTÕLJAKOVA</v>
          </cell>
          <cell r="B5998">
            <v>3860</v>
          </cell>
        </row>
        <row r="5999">
          <cell r="A5999" t="str">
            <v>TAISIA POSTÕLJAKOVA</v>
          </cell>
          <cell r="B5999">
            <v>3859</v>
          </cell>
        </row>
        <row r="6000">
          <cell r="A6000" t="str">
            <v>ALEKSI POSTI</v>
          </cell>
          <cell r="B6000">
            <v>3593</v>
          </cell>
        </row>
        <row r="6001">
          <cell r="A6001" t="str">
            <v>KÕU POSTI</v>
          </cell>
          <cell r="B6001">
            <v>10690</v>
          </cell>
        </row>
        <row r="6002">
          <cell r="A6002" t="str">
            <v>KATI POSTI</v>
          </cell>
          <cell r="B6002">
            <v>4451</v>
          </cell>
        </row>
        <row r="6003">
          <cell r="A6003" t="str">
            <v>JOOSEP POSTOV</v>
          </cell>
          <cell r="B6003">
            <v>8171</v>
          </cell>
        </row>
        <row r="6004">
          <cell r="A6004" t="str">
            <v>ANNA POZARNIKOVA</v>
          </cell>
          <cell r="B6004">
            <v>6027</v>
          </cell>
        </row>
        <row r="6005">
          <cell r="A6005" t="str">
            <v>DARJA POZDEJEVA</v>
          </cell>
          <cell r="B6005">
            <v>4452</v>
          </cell>
        </row>
        <row r="6006">
          <cell r="A6006" t="str">
            <v>ROBERT POZNER</v>
          </cell>
          <cell r="B6006">
            <v>4928</v>
          </cell>
        </row>
        <row r="6007">
          <cell r="A6007" t="str">
            <v>ALINA POTAPOVA</v>
          </cell>
          <cell r="B6007">
            <v>10208</v>
          </cell>
        </row>
        <row r="6008">
          <cell r="A6008" t="str">
            <v>DARJA POTAPOVA</v>
          </cell>
          <cell r="B6008">
            <v>5360</v>
          </cell>
        </row>
        <row r="6009">
          <cell r="A6009" t="str">
            <v>ANDREI POTASHEV</v>
          </cell>
          <cell r="B6009">
            <v>1872</v>
          </cell>
        </row>
        <row r="6010">
          <cell r="A6010" t="str">
            <v>JELENA POTASHEVA</v>
          </cell>
          <cell r="B6010">
            <v>1050</v>
          </cell>
        </row>
        <row r="6011">
          <cell r="A6011" t="str">
            <v>LIVIO POTISSEP</v>
          </cell>
          <cell r="B6011">
            <v>2448</v>
          </cell>
        </row>
        <row r="6012">
          <cell r="A6012" t="str">
            <v>ANASTASSIA POTSHIJENKOVA</v>
          </cell>
          <cell r="B6012">
            <v>4077</v>
          </cell>
        </row>
        <row r="6013">
          <cell r="A6013" t="str">
            <v>MIRJAM POTTER</v>
          </cell>
          <cell r="B6013">
            <v>4146</v>
          </cell>
        </row>
        <row r="6014">
          <cell r="A6014" t="str">
            <v>RAUL POTTER</v>
          </cell>
          <cell r="B6014">
            <v>3861</v>
          </cell>
        </row>
        <row r="6015">
          <cell r="A6015" t="str">
            <v>JUHA POUTANEN</v>
          </cell>
          <cell r="B6015">
            <v>1544</v>
          </cell>
        </row>
        <row r="6016">
          <cell r="A6016" t="str">
            <v>CHRISTOPHER POVH</v>
          </cell>
          <cell r="B6016">
            <v>5437</v>
          </cell>
        </row>
        <row r="6017">
          <cell r="A6017" t="str">
            <v>EGERT PRÖÖM</v>
          </cell>
          <cell r="B6017">
            <v>3455</v>
          </cell>
        </row>
        <row r="6018">
          <cell r="A6018" t="str">
            <v>MAREK PRAGI</v>
          </cell>
          <cell r="B6018">
            <v>8256</v>
          </cell>
        </row>
        <row r="6019">
          <cell r="A6019" t="str">
            <v>HANNES PRAKS</v>
          </cell>
          <cell r="B6019">
            <v>10195</v>
          </cell>
        </row>
        <row r="6020">
          <cell r="A6020" t="str">
            <v>ALLAR PRANK</v>
          </cell>
          <cell r="B6020">
            <v>2144</v>
          </cell>
        </row>
        <row r="6021">
          <cell r="A6021" t="str">
            <v>DARIA PRANK</v>
          </cell>
          <cell r="B6021">
            <v>4453</v>
          </cell>
        </row>
        <row r="6022">
          <cell r="A6022" t="str">
            <v>ENDRIK PRANK</v>
          </cell>
          <cell r="B6022">
            <v>9451</v>
          </cell>
        </row>
        <row r="6023">
          <cell r="A6023" t="str">
            <v>ALEX PRANTSEN</v>
          </cell>
          <cell r="B6023">
            <v>3478</v>
          </cell>
        </row>
        <row r="6024">
          <cell r="A6024" t="str">
            <v>ELISABETH PRANTSUS</v>
          </cell>
          <cell r="B6024">
            <v>1188</v>
          </cell>
        </row>
        <row r="6025">
          <cell r="A6025" t="str">
            <v>NIINA PRÜMMEL</v>
          </cell>
          <cell r="B6025">
            <v>4120</v>
          </cell>
        </row>
        <row r="6026">
          <cell r="A6026" t="str">
            <v>KEVIN-KAAREL PRAZARES</v>
          </cell>
          <cell r="B6026">
            <v>8547</v>
          </cell>
        </row>
        <row r="6027">
          <cell r="A6027" t="str">
            <v>RAINER PREEMET</v>
          </cell>
          <cell r="B6027">
            <v>5925</v>
          </cell>
        </row>
        <row r="6028">
          <cell r="A6028" t="str">
            <v>ANDREE PREES</v>
          </cell>
          <cell r="B6028">
            <v>7582</v>
          </cell>
        </row>
        <row r="6029">
          <cell r="A6029" t="str">
            <v>ANTTI PREES</v>
          </cell>
          <cell r="B6029">
            <v>4454</v>
          </cell>
        </row>
        <row r="6030">
          <cell r="A6030" t="str">
            <v>RENATE PREES</v>
          </cell>
          <cell r="B6030">
            <v>3021</v>
          </cell>
        </row>
        <row r="6031">
          <cell r="A6031" t="str">
            <v>ANDRIUS PREIDZIUS</v>
          </cell>
          <cell r="B6031">
            <v>2505</v>
          </cell>
        </row>
        <row r="6032">
          <cell r="A6032" t="str">
            <v>INGRIDA PREIDZIUTE</v>
          </cell>
          <cell r="B6032">
            <v>3862</v>
          </cell>
        </row>
        <row r="6033">
          <cell r="A6033" t="str">
            <v>STINA PREIMANN</v>
          </cell>
          <cell r="B6033">
            <v>4094</v>
          </cell>
        </row>
        <row r="6034">
          <cell r="A6034" t="str">
            <v>ANDREAS PREISFREUND</v>
          </cell>
          <cell r="B6034">
            <v>3536</v>
          </cell>
        </row>
        <row r="6035">
          <cell r="A6035" t="str">
            <v>EERIK PREISFREUND</v>
          </cell>
          <cell r="B6035">
            <v>4787</v>
          </cell>
        </row>
        <row r="6036">
          <cell r="A6036" t="str">
            <v>RAINER PREMET</v>
          </cell>
          <cell r="B6036">
            <v>5078</v>
          </cell>
        </row>
        <row r="6037">
          <cell r="A6037" t="str">
            <v>DARIJA PREOBRAZENSKAJA</v>
          </cell>
          <cell r="B6037">
            <v>10632</v>
          </cell>
        </row>
        <row r="6038">
          <cell r="A6038" t="str">
            <v>AIVAR PRESS</v>
          </cell>
          <cell r="B6038">
            <v>8781</v>
          </cell>
        </row>
        <row r="6039">
          <cell r="A6039" t="str">
            <v>ALEKSANDRS PRIHODKOS</v>
          </cell>
          <cell r="B6039">
            <v>1731</v>
          </cell>
        </row>
        <row r="6040">
          <cell r="A6040" t="str">
            <v>TAAVI PRII</v>
          </cell>
          <cell r="B6040">
            <v>1036</v>
          </cell>
        </row>
        <row r="6041">
          <cell r="A6041" t="str">
            <v>TANEL PRII</v>
          </cell>
          <cell r="B6041">
            <v>1035</v>
          </cell>
        </row>
        <row r="6042">
          <cell r="A6042" t="str">
            <v>KERDO PRIILINN</v>
          </cell>
          <cell r="B6042">
            <v>4455</v>
          </cell>
        </row>
        <row r="6043">
          <cell r="A6043" t="str">
            <v>ANGELIKA PRIIMÄGI</v>
          </cell>
          <cell r="B6043">
            <v>1596</v>
          </cell>
        </row>
        <row r="6044">
          <cell r="A6044" t="str">
            <v>JAANIKA PRIIMÄGI</v>
          </cell>
          <cell r="B6044">
            <v>2720</v>
          </cell>
        </row>
        <row r="6045">
          <cell r="A6045" t="str">
            <v>RASMUS PRIIMÄGI</v>
          </cell>
          <cell r="B6045">
            <v>9651</v>
          </cell>
        </row>
        <row r="6046">
          <cell r="A6046" t="str">
            <v>REELIKA PRIIMÄGI</v>
          </cell>
          <cell r="B6046">
            <v>1597</v>
          </cell>
        </row>
        <row r="6047">
          <cell r="A6047" t="str">
            <v>KÄTLYN PRIIMATS</v>
          </cell>
          <cell r="B6047">
            <v>1979</v>
          </cell>
        </row>
        <row r="6048">
          <cell r="A6048" t="str">
            <v>NORMAN PRIISALM</v>
          </cell>
          <cell r="B6048">
            <v>9908</v>
          </cell>
        </row>
        <row r="6049">
          <cell r="A6049" t="str">
            <v>PETER PRIISALM</v>
          </cell>
          <cell r="B6049">
            <v>10253</v>
          </cell>
        </row>
        <row r="6050">
          <cell r="A6050" t="str">
            <v>TRISTAN PRIISALM</v>
          </cell>
          <cell r="B6050">
            <v>9907</v>
          </cell>
        </row>
        <row r="6051">
          <cell r="A6051" t="str">
            <v>RAGNAR PRIIVITS</v>
          </cell>
          <cell r="B6051">
            <v>999</v>
          </cell>
        </row>
        <row r="6052">
          <cell r="A6052" t="str">
            <v>SANDRA PRIKK</v>
          </cell>
          <cell r="B6052">
            <v>8544</v>
          </cell>
        </row>
        <row r="6053">
          <cell r="A6053" t="str">
            <v>KATERIN PRILLOP</v>
          </cell>
          <cell r="B6053">
            <v>4456</v>
          </cell>
        </row>
        <row r="6054">
          <cell r="A6054" t="str">
            <v>VALDIS PRILUZNIJS</v>
          </cell>
          <cell r="B6054">
            <v>7133</v>
          </cell>
        </row>
        <row r="6055">
          <cell r="A6055" t="str">
            <v>MARTIN PRINTSMANN</v>
          </cell>
          <cell r="B6055">
            <v>7272</v>
          </cell>
        </row>
        <row r="6056">
          <cell r="A6056" t="str">
            <v>ALEKSANDER PRISTAVKA</v>
          </cell>
          <cell r="B6056">
            <v>351</v>
          </cell>
        </row>
        <row r="6057">
          <cell r="A6057" t="str">
            <v>ANATOLI PRISTUPA</v>
          </cell>
          <cell r="B6057">
            <v>1234</v>
          </cell>
        </row>
        <row r="6058">
          <cell r="A6058" t="str">
            <v>AHTI PRITS</v>
          </cell>
          <cell r="B6058">
            <v>5006</v>
          </cell>
        </row>
        <row r="6059">
          <cell r="A6059" t="str">
            <v>HENRY PRITS</v>
          </cell>
          <cell r="B6059">
            <v>7460</v>
          </cell>
        </row>
        <row r="6060">
          <cell r="A6060" t="str">
            <v>MARGOT PRIVOI</v>
          </cell>
          <cell r="B6060">
            <v>4457</v>
          </cell>
        </row>
        <row r="6061">
          <cell r="A6061" t="str">
            <v>ANDREI PRJAHIN</v>
          </cell>
          <cell r="B6061">
            <v>7019</v>
          </cell>
        </row>
        <row r="6062">
          <cell r="A6062" t="str">
            <v>EDVARD PROŠUTINSKI</v>
          </cell>
          <cell r="B6062">
            <v>4699</v>
          </cell>
        </row>
        <row r="6063">
          <cell r="A6063" t="str">
            <v>ANNABEL PRODEL</v>
          </cell>
          <cell r="B6063">
            <v>5269</v>
          </cell>
        </row>
        <row r="6064">
          <cell r="A6064" t="str">
            <v>VIKTORIJA PROHOROVA</v>
          </cell>
          <cell r="B6064">
            <v>8069</v>
          </cell>
        </row>
        <row r="6065">
          <cell r="A6065" t="str">
            <v>EVELINA PROKATŠOVA</v>
          </cell>
          <cell r="B6065">
            <v>3863</v>
          </cell>
        </row>
        <row r="6066">
          <cell r="A6066" t="str">
            <v>IVAN PROKOFJEV</v>
          </cell>
          <cell r="B6066">
            <v>5462</v>
          </cell>
        </row>
        <row r="6067">
          <cell r="A6067" t="str">
            <v>ALEKSANDR PROKOPTSUK</v>
          </cell>
          <cell r="B6067">
            <v>4458</v>
          </cell>
        </row>
        <row r="6068">
          <cell r="A6068" t="str">
            <v>MARGUS PROKUDA</v>
          </cell>
          <cell r="B6068">
            <v>3864</v>
          </cell>
        </row>
        <row r="6069">
          <cell r="A6069" t="str">
            <v>MARKUS PROKUDA</v>
          </cell>
          <cell r="B6069">
            <v>4940</v>
          </cell>
        </row>
        <row r="6070">
          <cell r="A6070" t="str">
            <v>MARTEN PROKUDA</v>
          </cell>
          <cell r="B6070">
            <v>4698</v>
          </cell>
        </row>
        <row r="6071">
          <cell r="A6071" t="str">
            <v>SAIT PROKUROROV</v>
          </cell>
          <cell r="B6071">
            <v>4459</v>
          </cell>
        </row>
        <row r="6072">
          <cell r="A6072" t="str">
            <v>CARLOS ADRIAN PROMM</v>
          </cell>
          <cell r="B6072">
            <v>10444</v>
          </cell>
        </row>
        <row r="6073">
          <cell r="A6073" t="str">
            <v>POLINA PRONIAHA</v>
          </cell>
          <cell r="B6073">
            <v>10375</v>
          </cell>
        </row>
        <row r="6074">
          <cell r="A6074" t="str">
            <v>JANA PRONINA</v>
          </cell>
          <cell r="B6074">
            <v>1594</v>
          </cell>
        </row>
        <row r="6075">
          <cell r="A6075" t="str">
            <v>POLINA PRONJAGA</v>
          </cell>
          <cell r="B6075">
            <v>10606</v>
          </cell>
        </row>
        <row r="6076">
          <cell r="A6076" t="str">
            <v>ANNO PROOSVELT</v>
          </cell>
          <cell r="B6076">
            <v>8028</v>
          </cell>
        </row>
        <row r="6077">
          <cell r="A6077" t="str">
            <v>POLINA PROTASSOVA</v>
          </cell>
          <cell r="B6077">
            <v>5144</v>
          </cell>
        </row>
        <row r="6078">
          <cell r="A6078" t="str">
            <v>SERGEI PROVODIN</v>
          </cell>
          <cell r="B6078">
            <v>243</v>
          </cell>
        </row>
        <row r="6079">
          <cell r="A6079" t="str">
            <v>ELISABETH PRUSSAKOV</v>
          </cell>
          <cell r="B6079">
            <v>9195</v>
          </cell>
        </row>
        <row r="6080">
          <cell r="A6080" t="str">
            <v>TIMUR PRUSSOV</v>
          </cell>
          <cell r="B6080">
            <v>8835</v>
          </cell>
        </row>
        <row r="6081">
          <cell r="A6081" t="str">
            <v>EGERT PRUUL</v>
          </cell>
          <cell r="B6081">
            <v>8114</v>
          </cell>
        </row>
        <row r="6082">
          <cell r="A6082" t="str">
            <v>ENN PRUUL</v>
          </cell>
          <cell r="B6082">
            <v>3120</v>
          </cell>
        </row>
        <row r="6083">
          <cell r="A6083" t="str">
            <v>HEIDY PRUULSEN</v>
          </cell>
          <cell r="B6083">
            <v>7894</v>
          </cell>
        </row>
        <row r="6084">
          <cell r="A6084" t="str">
            <v>MAKAR PUŠKIN</v>
          </cell>
          <cell r="B6084">
            <v>10546</v>
          </cell>
        </row>
        <row r="6085">
          <cell r="A6085" t="str">
            <v>ALEKSANDR PUŠTOV</v>
          </cell>
          <cell r="B6085">
            <v>8501</v>
          </cell>
        </row>
        <row r="6086">
          <cell r="A6086" t="str">
            <v>ELVI PUDA</v>
          </cell>
          <cell r="B6086">
            <v>4122</v>
          </cell>
        </row>
        <row r="6087">
          <cell r="A6087" t="str">
            <v>VALTER PUDA</v>
          </cell>
          <cell r="B6087">
            <v>4121</v>
          </cell>
        </row>
        <row r="6088">
          <cell r="A6088" t="str">
            <v>TRISTAN PUGI</v>
          </cell>
          <cell r="B6088">
            <v>8075</v>
          </cell>
        </row>
        <row r="6089">
          <cell r="A6089" t="str">
            <v>VLADIMIR PUGOVKIN</v>
          </cell>
          <cell r="B6089">
            <v>9056</v>
          </cell>
        </row>
        <row r="6090">
          <cell r="A6090" t="str">
            <v>SANDER PUHASORG</v>
          </cell>
          <cell r="B6090">
            <v>5177</v>
          </cell>
        </row>
        <row r="6091">
          <cell r="A6091" t="str">
            <v>RONALD PUHK</v>
          </cell>
          <cell r="B6091">
            <v>8810</v>
          </cell>
        </row>
        <row r="6092">
          <cell r="A6092" t="str">
            <v>MIHKEL PUHM</v>
          </cell>
          <cell r="B6092">
            <v>3580</v>
          </cell>
        </row>
        <row r="6093">
          <cell r="A6093" t="str">
            <v>AARE PUHT</v>
          </cell>
          <cell r="B6093">
            <v>1635</v>
          </cell>
        </row>
        <row r="6094">
          <cell r="A6094" t="str">
            <v>ARVI PUHT</v>
          </cell>
          <cell r="B6094">
            <v>1656</v>
          </cell>
        </row>
        <row r="6095">
          <cell r="A6095" t="str">
            <v>MARTIN PUHT</v>
          </cell>
          <cell r="B6095">
            <v>5517</v>
          </cell>
        </row>
        <row r="6096">
          <cell r="A6096" t="str">
            <v>MIHKEL PUIDAK</v>
          </cell>
          <cell r="B6096">
            <v>4052</v>
          </cell>
        </row>
        <row r="6097">
          <cell r="A6097" t="str">
            <v>HENRIK PUIJA</v>
          </cell>
          <cell r="B6097">
            <v>7274</v>
          </cell>
        </row>
        <row r="6098">
          <cell r="A6098" t="str">
            <v>ZIGMAR PUIKEVICS</v>
          </cell>
          <cell r="B6098">
            <v>2387</v>
          </cell>
        </row>
        <row r="6099">
          <cell r="A6099" t="str">
            <v>DARIJA PUITO</v>
          </cell>
          <cell r="B6099">
            <v>9793</v>
          </cell>
        </row>
        <row r="6100">
          <cell r="A6100" t="str">
            <v>KALEV PUK</v>
          </cell>
          <cell r="B6100">
            <v>8306</v>
          </cell>
        </row>
        <row r="6101">
          <cell r="A6101" t="str">
            <v>ANDRUS PUKK</v>
          </cell>
          <cell r="B6101">
            <v>5604</v>
          </cell>
        </row>
        <row r="6102">
          <cell r="A6102" t="str">
            <v>AULI PUKK</v>
          </cell>
          <cell r="B6102">
            <v>7353</v>
          </cell>
        </row>
        <row r="6103">
          <cell r="A6103" t="str">
            <v>EDWALD PUKK</v>
          </cell>
          <cell r="B6103">
            <v>8986</v>
          </cell>
        </row>
        <row r="6104">
          <cell r="A6104" t="str">
            <v>HENDRIK PUKK</v>
          </cell>
          <cell r="B6104">
            <v>2697</v>
          </cell>
        </row>
        <row r="6105">
          <cell r="A6105" t="str">
            <v>HENRI PUKK</v>
          </cell>
          <cell r="B6105">
            <v>2914</v>
          </cell>
        </row>
        <row r="6106">
          <cell r="A6106" t="str">
            <v>HENRI PUKK</v>
          </cell>
          <cell r="B6106">
            <v>10018</v>
          </cell>
        </row>
        <row r="6107">
          <cell r="A6107" t="str">
            <v>KALEV PUKK</v>
          </cell>
          <cell r="B6107">
            <v>8741</v>
          </cell>
        </row>
        <row r="6108">
          <cell r="A6108" t="str">
            <v>KARL PUKK</v>
          </cell>
          <cell r="B6108">
            <v>1833</v>
          </cell>
        </row>
        <row r="6109">
          <cell r="A6109" t="str">
            <v>MARJE PUKK</v>
          </cell>
          <cell r="B6109">
            <v>103</v>
          </cell>
        </row>
        <row r="6110">
          <cell r="A6110" t="str">
            <v>MARKKOS PUKK</v>
          </cell>
          <cell r="B6110">
            <v>5470</v>
          </cell>
        </row>
        <row r="6111">
          <cell r="A6111" t="str">
            <v>MARKO PUKK</v>
          </cell>
          <cell r="B6111">
            <v>1173</v>
          </cell>
        </row>
        <row r="6112">
          <cell r="A6112" t="str">
            <v>MATI PUKK</v>
          </cell>
          <cell r="B6112">
            <v>363</v>
          </cell>
        </row>
        <row r="6113">
          <cell r="A6113" t="str">
            <v>OSQAR PUKK</v>
          </cell>
          <cell r="B6113">
            <v>5474</v>
          </cell>
        </row>
        <row r="6114">
          <cell r="A6114" t="str">
            <v>PEEP PUKK</v>
          </cell>
          <cell r="B6114">
            <v>6003</v>
          </cell>
        </row>
        <row r="6115">
          <cell r="A6115" t="str">
            <v>ROBY PUKK</v>
          </cell>
          <cell r="B6115">
            <v>7805</v>
          </cell>
        </row>
        <row r="6116">
          <cell r="A6116" t="str">
            <v>TARGO PUKK</v>
          </cell>
          <cell r="B6116">
            <v>9134</v>
          </cell>
        </row>
        <row r="6117">
          <cell r="A6117" t="str">
            <v>MIIA PUKKI</v>
          </cell>
          <cell r="B6117">
            <v>5007</v>
          </cell>
        </row>
        <row r="6118">
          <cell r="A6118" t="str">
            <v>EDUARD PUKKONEN</v>
          </cell>
          <cell r="B6118">
            <v>7843</v>
          </cell>
        </row>
        <row r="6119">
          <cell r="A6119" t="str">
            <v>ELDAR PULATOV</v>
          </cell>
          <cell r="B6119">
            <v>1869</v>
          </cell>
        </row>
        <row r="6120">
          <cell r="A6120" t="str">
            <v>RASHID PULATOV</v>
          </cell>
          <cell r="B6120">
            <v>2696</v>
          </cell>
        </row>
        <row r="6121">
          <cell r="A6121" t="str">
            <v>TERESA PULK</v>
          </cell>
          <cell r="B6121">
            <v>7076</v>
          </cell>
        </row>
        <row r="6122">
          <cell r="A6122" t="str">
            <v>ALEKSEI PULLINEN</v>
          </cell>
          <cell r="B6122">
            <v>9461</v>
          </cell>
        </row>
        <row r="6123">
          <cell r="A6123" t="str">
            <v>LEONID PULLINEN</v>
          </cell>
          <cell r="B6123">
            <v>8311</v>
          </cell>
        </row>
        <row r="6124">
          <cell r="A6124" t="str">
            <v>KALEV PULLONEN</v>
          </cell>
          <cell r="B6124">
            <v>7677</v>
          </cell>
        </row>
        <row r="6125">
          <cell r="A6125" t="str">
            <v>MIHKEL PULST</v>
          </cell>
          <cell r="B6125">
            <v>1848</v>
          </cell>
        </row>
        <row r="6126">
          <cell r="A6126" t="str">
            <v>MIHKEL PUMP</v>
          </cell>
          <cell r="B6126">
            <v>5178</v>
          </cell>
        </row>
        <row r="6127">
          <cell r="A6127" t="str">
            <v>BENJAMIN PUMPINŠ</v>
          </cell>
          <cell r="B6127">
            <v>10048</v>
          </cell>
        </row>
        <row r="6128">
          <cell r="A6128" t="str">
            <v>BRANDON PUND</v>
          </cell>
          <cell r="B6128">
            <v>10491</v>
          </cell>
        </row>
        <row r="6129">
          <cell r="A6129" t="str">
            <v>DANIIL PUNG</v>
          </cell>
          <cell r="B6129">
            <v>4460</v>
          </cell>
        </row>
        <row r="6130">
          <cell r="A6130" t="str">
            <v>SANDER PUNGA</v>
          </cell>
          <cell r="B6130">
            <v>7369</v>
          </cell>
        </row>
        <row r="6131">
          <cell r="A6131" t="str">
            <v>KÄRT PUNGAR</v>
          </cell>
          <cell r="B6131">
            <v>8481</v>
          </cell>
        </row>
        <row r="6132">
          <cell r="A6132" t="str">
            <v>KRISTJAN PUNGAS</v>
          </cell>
          <cell r="B6132">
            <v>8410</v>
          </cell>
        </row>
        <row r="6133">
          <cell r="A6133" t="str">
            <v>MARKO PUNNAR</v>
          </cell>
          <cell r="B6133">
            <v>10843</v>
          </cell>
        </row>
        <row r="6134">
          <cell r="A6134" t="str">
            <v>KRISTEL PUNNIS</v>
          </cell>
          <cell r="B6134">
            <v>1908</v>
          </cell>
        </row>
        <row r="6135">
          <cell r="A6135" t="str">
            <v>HENRIIKKA PUNNONEN</v>
          </cell>
          <cell r="B6135">
            <v>2309</v>
          </cell>
        </row>
        <row r="6136">
          <cell r="A6136" t="str">
            <v>MARTIN PUNTSO</v>
          </cell>
          <cell r="B6136">
            <v>9397</v>
          </cell>
        </row>
        <row r="6137">
          <cell r="A6137" t="str">
            <v>TAAGO PUNTSO</v>
          </cell>
          <cell r="B6137">
            <v>237</v>
          </cell>
        </row>
        <row r="6138">
          <cell r="A6138" t="str">
            <v>ROMET PURGAS</v>
          </cell>
          <cell r="B6138">
            <v>7346</v>
          </cell>
        </row>
        <row r="6139">
          <cell r="A6139" t="str">
            <v>KARLA PURGATS</v>
          </cell>
          <cell r="B6139">
            <v>3959</v>
          </cell>
        </row>
        <row r="6140">
          <cell r="A6140" t="str">
            <v>BIRGIT PURGE</v>
          </cell>
          <cell r="B6140">
            <v>1978</v>
          </cell>
        </row>
        <row r="6141">
          <cell r="A6141" t="str">
            <v>ROBERT PURGE</v>
          </cell>
          <cell r="B6141">
            <v>9569</v>
          </cell>
        </row>
        <row r="6142">
          <cell r="A6142" t="str">
            <v>EERIK PURGEL</v>
          </cell>
          <cell r="B6142">
            <v>2423</v>
          </cell>
        </row>
        <row r="6143">
          <cell r="A6143" t="str">
            <v>JANIKA PURILE</v>
          </cell>
          <cell r="B6143">
            <v>4461</v>
          </cell>
        </row>
        <row r="6144">
          <cell r="A6144" t="str">
            <v>ROBERTS PURINS</v>
          </cell>
          <cell r="B6144">
            <v>3703</v>
          </cell>
        </row>
        <row r="6145">
          <cell r="A6145" t="str">
            <v>ERVIN PURO</v>
          </cell>
          <cell r="B6145">
            <v>5400</v>
          </cell>
        </row>
        <row r="6146">
          <cell r="A6146" t="str">
            <v>ALEKSANDR PURVIN</v>
          </cell>
          <cell r="B6146">
            <v>8636</v>
          </cell>
        </row>
        <row r="6147">
          <cell r="A6147" t="str">
            <v>MAKSIM PUSHKIN</v>
          </cell>
          <cell r="B6147">
            <v>10147</v>
          </cell>
        </row>
        <row r="6148">
          <cell r="A6148" t="str">
            <v>NIKOLAI PUSKOV</v>
          </cell>
          <cell r="B6148">
            <v>7949</v>
          </cell>
        </row>
        <row r="6149">
          <cell r="A6149" t="str">
            <v>ARTJOM PUSTOBOJAROV</v>
          </cell>
          <cell r="B6149">
            <v>3865</v>
          </cell>
        </row>
        <row r="6150">
          <cell r="A6150" t="str">
            <v>ARTJOM PUTŠKOV</v>
          </cell>
          <cell r="B6150">
            <v>244</v>
          </cell>
        </row>
        <row r="6151">
          <cell r="A6151" t="str">
            <v>ARMANDS PUTINS</v>
          </cell>
          <cell r="B6151">
            <v>9623</v>
          </cell>
        </row>
        <row r="6152">
          <cell r="A6152" t="str">
            <v>VILORA PUTINTSEVA</v>
          </cell>
          <cell r="B6152">
            <v>2031</v>
          </cell>
        </row>
        <row r="6153">
          <cell r="A6153" t="str">
            <v>EVALD PUTKAS</v>
          </cell>
          <cell r="B6153">
            <v>238</v>
          </cell>
        </row>
        <row r="6154">
          <cell r="A6154" t="str">
            <v>VALDEK PUTKEMAA</v>
          </cell>
          <cell r="B6154">
            <v>1058</v>
          </cell>
        </row>
        <row r="6155">
          <cell r="A6155" t="str">
            <v>AARNE PUU</v>
          </cell>
          <cell r="B6155">
            <v>2122</v>
          </cell>
        </row>
        <row r="6156">
          <cell r="A6156" t="str">
            <v>HENNO PUU</v>
          </cell>
          <cell r="B6156">
            <v>8935</v>
          </cell>
        </row>
        <row r="6157">
          <cell r="A6157" t="str">
            <v>JONNA PUUKKO</v>
          </cell>
          <cell r="B6157">
            <v>1548</v>
          </cell>
        </row>
        <row r="6158">
          <cell r="A6158" t="str">
            <v>KEN PUULEHT</v>
          </cell>
          <cell r="B6158">
            <v>2998</v>
          </cell>
        </row>
        <row r="6159">
          <cell r="A6159" t="str">
            <v>LUKA PUUMETS</v>
          </cell>
          <cell r="B6159">
            <v>9348</v>
          </cell>
        </row>
        <row r="6160">
          <cell r="A6160" t="str">
            <v>ARTUR PUUSALU</v>
          </cell>
          <cell r="B6160">
            <v>2788</v>
          </cell>
        </row>
        <row r="6161">
          <cell r="A6161" t="str">
            <v>ANDRES PUUSEP</v>
          </cell>
          <cell r="B6161">
            <v>242</v>
          </cell>
        </row>
        <row r="6162">
          <cell r="A6162" t="str">
            <v>HENRI PUUSEP</v>
          </cell>
          <cell r="B6162">
            <v>6145</v>
          </cell>
        </row>
        <row r="6163">
          <cell r="A6163" t="str">
            <v>OLIVER PUUSEP</v>
          </cell>
          <cell r="B6163">
            <v>6144</v>
          </cell>
        </row>
        <row r="6164">
          <cell r="A6164" t="str">
            <v>AIVO PUUSEPP</v>
          </cell>
          <cell r="B6164">
            <v>3238</v>
          </cell>
        </row>
        <row r="6165">
          <cell r="A6165" t="str">
            <v>KRIS PUUSEPP</v>
          </cell>
          <cell r="B6165">
            <v>9863</v>
          </cell>
        </row>
        <row r="6166">
          <cell r="A6166" t="str">
            <v>RIHO PUUSEPP</v>
          </cell>
          <cell r="B6166">
            <v>241</v>
          </cell>
        </row>
        <row r="6167">
          <cell r="A6167" t="str">
            <v>SANDRA PUUSEPP</v>
          </cell>
          <cell r="B6167">
            <v>3584</v>
          </cell>
        </row>
        <row r="6168">
          <cell r="A6168" t="str">
            <v>ALLAN PUUSILD</v>
          </cell>
          <cell r="B6168">
            <v>5268</v>
          </cell>
        </row>
        <row r="6169">
          <cell r="A6169" t="str">
            <v>AURIKA PUČKOVSKA</v>
          </cell>
          <cell r="B6169">
            <v>7295</v>
          </cell>
        </row>
        <row r="6170">
          <cell r="A6170" t="str">
            <v>ILLIA PYRKIN</v>
          </cell>
          <cell r="B6170">
            <v>7743</v>
          </cell>
        </row>
        <row r="6171">
          <cell r="A6171" t="str">
            <v>ILJA PYSHKIN</v>
          </cell>
          <cell r="B6171">
            <v>9816</v>
          </cell>
        </row>
        <row r="6172">
          <cell r="A6172" t="str">
            <v>SAMI PYYKKÖ</v>
          </cell>
          <cell r="B6172">
            <v>7442</v>
          </cell>
        </row>
        <row r="6173">
          <cell r="A6173" t="str">
            <v>TONI PYYKKÖ</v>
          </cell>
          <cell r="B6173">
            <v>1646</v>
          </cell>
        </row>
        <row r="6174">
          <cell r="A6174" t="str">
            <v>ALEXANDRA RÖÖSE</v>
          </cell>
          <cell r="B6174">
            <v>8155</v>
          </cell>
        </row>
        <row r="6175">
          <cell r="A6175" t="str">
            <v>REIO RÄHN</v>
          </cell>
          <cell r="B6175">
            <v>10517</v>
          </cell>
        </row>
        <row r="6176">
          <cell r="A6176" t="str">
            <v>KALEV RÄIS</v>
          </cell>
          <cell r="B6176">
            <v>1920</v>
          </cell>
        </row>
        <row r="6177">
          <cell r="A6177" t="str">
            <v>KERT RÄIS</v>
          </cell>
          <cell r="B6177">
            <v>1349</v>
          </cell>
        </row>
        <row r="6178">
          <cell r="A6178" t="str">
            <v>KATRINA RÄMMELD</v>
          </cell>
          <cell r="B6178">
            <v>7244</v>
          </cell>
        </row>
        <row r="6179">
          <cell r="A6179" t="str">
            <v>JANA RÄMSON</v>
          </cell>
          <cell r="B6179">
            <v>977</v>
          </cell>
        </row>
        <row r="6180">
          <cell r="A6180" t="str">
            <v>SILJA RÄMSON</v>
          </cell>
          <cell r="B6180">
            <v>1197</v>
          </cell>
        </row>
        <row r="6181">
          <cell r="A6181" t="str">
            <v>NIKOLETTA RÄNK</v>
          </cell>
          <cell r="B6181">
            <v>5506</v>
          </cell>
        </row>
        <row r="6182">
          <cell r="A6182" t="str">
            <v>MAGNUS RÄPP</v>
          </cell>
          <cell r="B6182">
            <v>502</v>
          </cell>
        </row>
        <row r="6183">
          <cell r="A6183" t="str">
            <v>MARIA RÄPP</v>
          </cell>
          <cell r="B6183">
            <v>1294</v>
          </cell>
        </row>
        <row r="6184">
          <cell r="A6184" t="str">
            <v>ALEKSI RÄSÄNEN</v>
          </cell>
          <cell r="B6184">
            <v>8270</v>
          </cell>
        </row>
        <row r="6185">
          <cell r="A6185" t="str">
            <v>ELMO ANTERO RÄSÄNEN</v>
          </cell>
          <cell r="B6185">
            <v>10564</v>
          </cell>
        </row>
        <row r="6186">
          <cell r="A6186" t="str">
            <v>MIKA RÄSANEN</v>
          </cell>
          <cell r="B6186">
            <v>9828</v>
          </cell>
        </row>
        <row r="6187">
          <cell r="A6187" t="str">
            <v>SÄDE-LEE RÄST</v>
          </cell>
          <cell r="B6187">
            <v>8975</v>
          </cell>
        </row>
        <row r="6188">
          <cell r="A6188" t="str">
            <v>HANNA RÄSTA</v>
          </cell>
          <cell r="B6188">
            <v>8571</v>
          </cell>
        </row>
        <row r="6189">
          <cell r="A6189" t="str">
            <v>RICO RÄSTA</v>
          </cell>
          <cell r="B6189">
            <v>8572</v>
          </cell>
        </row>
        <row r="6190">
          <cell r="A6190" t="str">
            <v>ANDRES RÄSTAS</v>
          </cell>
          <cell r="B6190">
            <v>1492</v>
          </cell>
        </row>
        <row r="6191">
          <cell r="A6191" t="str">
            <v>RAGNAR RÄTSEPP</v>
          </cell>
          <cell r="B6191">
            <v>7892</v>
          </cell>
        </row>
        <row r="6192">
          <cell r="A6192" t="str">
            <v>OLEG RÄTTEL</v>
          </cell>
          <cell r="B6192">
            <v>8411</v>
          </cell>
        </row>
        <row r="6193">
          <cell r="A6193" t="str">
            <v>ROMET RÄTTEL</v>
          </cell>
          <cell r="B6193">
            <v>8412</v>
          </cell>
        </row>
        <row r="6194">
          <cell r="A6194" t="str">
            <v>ANDRE RÕÕM</v>
          </cell>
          <cell r="B6194">
            <v>5369</v>
          </cell>
        </row>
        <row r="6195">
          <cell r="A6195" t="str">
            <v>MARKUS RÕÕM</v>
          </cell>
          <cell r="B6195">
            <v>5671</v>
          </cell>
        </row>
        <row r="6196">
          <cell r="A6196" t="str">
            <v>RAINER RÕÕM</v>
          </cell>
          <cell r="B6196">
            <v>1150</v>
          </cell>
        </row>
        <row r="6197">
          <cell r="A6197" t="str">
            <v>RIKA HELENA RÕÕMUS</v>
          </cell>
          <cell r="B6197">
            <v>10873</v>
          </cell>
        </row>
        <row r="6198">
          <cell r="A6198" t="str">
            <v>PAVEL RÕŽENKOV</v>
          </cell>
          <cell r="B6198">
            <v>9029</v>
          </cell>
        </row>
        <row r="6199">
          <cell r="A6199" t="str">
            <v>MAKSIM RÕŽIKOV</v>
          </cell>
          <cell r="B6199">
            <v>7606</v>
          </cell>
        </row>
        <row r="6200">
          <cell r="A6200" t="str">
            <v>OLEG RÕŽKOV</v>
          </cell>
          <cell r="B6200">
            <v>8296</v>
          </cell>
        </row>
        <row r="6201">
          <cell r="A6201" t="str">
            <v>ALEKSANDR RÕBAKOV</v>
          </cell>
          <cell r="B6201">
            <v>5887</v>
          </cell>
        </row>
        <row r="6202">
          <cell r="A6202" t="str">
            <v>ARTJOM RÕBAKOV</v>
          </cell>
          <cell r="B6202">
            <v>3638</v>
          </cell>
        </row>
        <row r="6203">
          <cell r="A6203" t="str">
            <v>VIKTORIA RÕBAKOVA</v>
          </cell>
          <cell r="B6203">
            <v>3627</v>
          </cell>
        </row>
        <row r="6204">
          <cell r="A6204" t="str">
            <v>ANASTASSIA RÕBKO</v>
          </cell>
          <cell r="B6204">
            <v>2942</v>
          </cell>
        </row>
        <row r="6205">
          <cell r="A6205" t="str">
            <v>JEKATERINA RÕLSKAJA</v>
          </cell>
          <cell r="B6205">
            <v>3071</v>
          </cell>
        </row>
        <row r="6206">
          <cell r="A6206" t="str">
            <v>JELENA RÕZENKOVA</v>
          </cell>
          <cell r="B6206">
            <v>9034</v>
          </cell>
        </row>
        <row r="6207">
          <cell r="A6207" t="str">
            <v>ANTON RÕTŠAGOV</v>
          </cell>
          <cell r="B6207">
            <v>9316</v>
          </cell>
        </row>
        <row r="6208">
          <cell r="A6208" t="str">
            <v>ALBERT RÕTKIN</v>
          </cell>
          <cell r="B6208">
            <v>3470</v>
          </cell>
        </row>
        <row r="6209">
          <cell r="A6209" t="str">
            <v>ARTUR RÕTKIN</v>
          </cell>
          <cell r="B6209">
            <v>3259</v>
          </cell>
        </row>
        <row r="6210">
          <cell r="A6210" t="str">
            <v>SERGEI RÕTSEV</v>
          </cell>
          <cell r="B6210">
            <v>5659</v>
          </cell>
        </row>
        <row r="6211">
          <cell r="A6211" t="str">
            <v>MATI RAADIK</v>
          </cell>
          <cell r="B6211">
            <v>6076</v>
          </cell>
        </row>
        <row r="6212">
          <cell r="A6212" t="str">
            <v>ALEKS RAAG</v>
          </cell>
          <cell r="B6212">
            <v>9938</v>
          </cell>
        </row>
        <row r="6213">
          <cell r="A6213" t="str">
            <v>NATALI RAAG</v>
          </cell>
          <cell r="B6213">
            <v>7517</v>
          </cell>
        </row>
        <row r="6214">
          <cell r="A6214" t="str">
            <v>PRIIT RAAG</v>
          </cell>
          <cell r="B6214">
            <v>5907</v>
          </cell>
        </row>
        <row r="6215">
          <cell r="A6215" t="str">
            <v>KARL RAAGA</v>
          </cell>
          <cell r="B6215">
            <v>3390</v>
          </cell>
        </row>
        <row r="6216">
          <cell r="A6216" t="str">
            <v>RALF RAAGA</v>
          </cell>
          <cell r="B6216">
            <v>3391</v>
          </cell>
        </row>
        <row r="6217">
          <cell r="A6217" t="str">
            <v>MEHIS RAAM</v>
          </cell>
          <cell r="B6217">
            <v>4463</v>
          </cell>
        </row>
        <row r="6218">
          <cell r="A6218" t="str">
            <v>MEELIS RAAMAN</v>
          </cell>
          <cell r="B6218">
            <v>1233</v>
          </cell>
        </row>
        <row r="6219">
          <cell r="A6219" t="str">
            <v>MERI RAAMAT</v>
          </cell>
          <cell r="B6219">
            <v>7695</v>
          </cell>
        </row>
        <row r="6220">
          <cell r="A6220" t="str">
            <v>TOOMAS RAAT</v>
          </cell>
          <cell r="B6220">
            <v>505</v>
          </cell>
        </row>
        <row r="6221">
          <cell r="A6221" t="str">
            <v>RODNI RAAVIK</v>
          </cell>
          <cell r="B6221">
            <v>10636</v>
          </cell>
        </row>
        <row r="6222">
          <cell r="A6222" t="str">
            <v>NIKITA RABA</v>
          </cell>
          <cell r="B6222">
            <v>10489</v>
          </cell>
        </row>
        <row r="6223">
          <cell r="A6223" t="str">
            <v>MATI RABI</v>
          </cell>
          <cell r="B6223">
            <v>503</v>
          </cell>
        </row>
        <row r="6224">
          <cell r="A6224" t="str">
            <v>MAIJA RABINOVICA</v>
          </cell>
          <cell r="B6224">
            <v>6181</v>
          </cell>
        </row>
        <row r="6225">
          <cell r="A6225" t="str">
            <v>RAIVO RADALA</v>
          </cell>
          <cell r="B6225">
            <v>5009</v>
          </cell>
        </row>
        <row r="6226">
          <cell r="A6226" t="str">
            <v>AUSTEJA RADINAITE</v>
          </cell>
          <cell r="B6226">
            <v>3867</v>
          </cell>
        </row>
        <row r="6227">
          <cell r="A6227" t="str">
            <v>SOFIA RADIONOVA</v>
          </cell>
          <cell r="B6227">
            <v>10330</v>
          </cell>
        </row>
        <row r="6228">
          <cell r="A6228" t="str">
            <v>EKATERINA RAEVSKAYA</v>
          </cell>
          <cell r="B6228">
            <v>7986</v>
          </cell>
        </row>
        <row r="6229">
          <cell r="A6229" t="str">
            <v>MAXIM RAEVSKI</v>
          </cell>
          <cell r="B6229">
            <v>8765</v>
          </cell>
        </row>
        <row r="6230">
          <cell r="A6230" t="str">
            <v>POVILAS RAGAUSKAS</v>
          </cell>
          <cell r="B6230">
            <v>8228</v>
          </cell>
        </row>
        <row r="6231">
          <cell r="A6231" t="str">
            <v>RAPOLAS RAGAUSKAS</v>
          </cell>
          <cell r="B6231">
            <v>8229</v>
          </cell>
        </row>
        <row r="6232">
          <cell r="A6232" t="str">
            <v>MIHHAIL RAGILO</v>
          </cell>
          <cell r="B6232">
            <v>1539</v>
          </cell>
        </row>
        <row r="6233">
          <cell r="A6233" t="str">
            <v>RAMŪNAS RAGULIS</v>
          </cell>
          <cell r="B6233">
            <v>10763</v>
          </cell>
        </row>
        <row r="6234">
          <cell r="A6234" t="str">
            <v>ARLET RAHA</v>
          </cell>
          <cell r="B6234">
            <v>7163</v>
          </cell>
        </row>
        <row r="6235">
          <cell r="A6235" t="str">
            <v>ARGO RAHU</v>
          </cell>
          <cell r="B6235">
            <v>7404</v>
          </cell>
        </row>
        <row r="6236">
          <cell r="A6236" t="str">
            <v>ROLAND RAHUKÜLA</v>
          </cell>
          <cell r="B6236">
            <v>3868</v>
          </cell>
        </row>
        <row r="6237">
          <cell r="A6237" t="str">
            <v>ALEX RAHUOJA</v>
          </cell>
          <cell r="B6237">
            <v>9464</v>
          </cell>
        </row>
        <row r="6238">
          <cell r="A6238" t="str">
            <v>ALMAR RAHUOJA</v>
          </cell>
          <cell r="B6238">
            <v>493</v>
          </cell>
        </row>
        <row r="6239">
          <cell r="A6239" t="str">
            <v>MARKUS RAHUORG</v>
          </cell>
          <cell r="B6239">
            <v>1826</v>
          </cell>
        </row>
        <row r="6240">
          <cell r="A6240" t="str">
            <v>ELINA RAICHERT</v>
          </cell>
          <cell r="B6240">
            <v>4464</v>
          </cell>
        </row>
        <row r="6241">
          <cell r="A6241" t="str">
            <v>AIN RAID</v>
          </cell>
          <cell r="B6241">
            <v>7472</v>
          </cell>
        </row>
        <row r="6242">
          <cell r="A6242" t="str">
            <v>DANIL RAID</v>
          </cell>
          <cell r="B6242">
            <v>4465</v>
          </cell>
        </row>
        <row r="6243">
          <cell r="A6243" t="str">
            <v>HENDRIK RAID</v>
          </cell>
          <cell r="B6243">
            <v>5917</v>
          </cell>
        </row>
        <row r="6244">
          <cell r="A6244" t="str">
            <v>MIRJAM RAID</v>
          </cell>
          <cell r="B6244">
            <v>3428</v>
          </cell>
        </row>
        <row r="6245">
          <cell r="A6245" t="str">
            <v>RASMUS RAIDMA</v>
          </cell>
          <cell r="B6245">
            <v>7364</v>
          </cell>
        </row>
        <row r="6246">
          <cell r="A6246" t="str">
            <v>RANDEL RAIDMETS</v>
          </cell>
          <cell r="B6246">
            <v>4466</v>
          </cell>
        </row>
        <row r="6247">
          <cell r="A6247" t="str">
            <v>TAAVI RAIDMETS</v>
          </cell>
          <cell r="B6247">
            <v>254</v>
          </cell>
        </row>
        <row r="6248">
          <cell r="A6248" t="str">
            <v>ANDA RAIE</v>
          </cell>
          <cell r="B6248">
            <v>4467</v>
          </cell>
        </row>
        <row r="6249">
          <cell r="A6249" t="str">
            <v>MARK RAINOV</v>
          </cell>
          <cell r="B6249">
            <v>10333</v>
          </cell>
        </row>
        <row r="6250">
          <cell r="A6250" t="str">
            <v>MARIS RAISKUMS</v>
          </cell>
          <cell r="B6250">
            <v>3448</v>
          </cell>
        </row>
        <row r="6251">
          <cell r="A6251" t="str">
            <v>ROMET RAISMA</v>
          </cell>
          <cell r="B6251">
            <v>5546</v>
          </cell>
        </row>
        <row r="6252">
          <cell r="A6252" t="str">
            <v>ANTERO RAISMAA</v>
          </cell>
          <cell r="B6252">
            <v>5549</v>
          </cell>
        </row>
        <row r="6253">
          <cell r="A6253" t="str">
            <v>ELIS RAJANDU</v>
          </cell>
          <cell r="B6253">
            <v>10709</v>
          </cell>
        </row>
        <row r="6254">
          <cell r="A6254" t="str">
            <v>PIRET RAJASAAR</v>
          </cell>
          <cell r="B6254">
            <v>10853</v>
          </cell>
        </row>
        <row r="6255">
          <cell r="A6255" t="str">
            <v>IRIS RAJASAARE</v>
          </cell>
          <cell r="B6255">
            <v>1903</v>
          </cell>
        </row>
        <row r="6256">
          <cell r="A6256" t="str">
            <v>VÄINO RAJASAARE</v>
          </cell>
          <cell r="B6256">
            <v>1064</v>
          </cell>
        </row>
        <row r="6257">
          <cell r="A6257" t="str">
            <v>KÄDI RAJU</v>
          </cell>
          <cell r="B6257">
            <v>3675</v>
          </cell>
        </row>
        <row r="6258">
          <cell r="A6258" t="str">
            <v>RAIT RAJU</v>
          </cell>
          <cell r="B6258">
            <v>3318</v>
          </cell>
        </row>
        <row r="6259">
          <cell r="A6259" t="str">
            <v>ROOSI RAJUR</v>
          </cell>
          <cell r="B6259">
            <v>10820</v>
          </cell>
        </row>
        <row r="6260">
          <cell r="A6260" t="str">
            <v>DMITRI RAKEL</v>
          </cell>
          <cell r="B6260">
            <v>5527</v>
          </cell>
        </row>
        <row r="6261">
          <cell r="A6261" t="str">
            <v>JEGOR RAKITIN</v>
          </cell>
          <cell r="B6261">
            <v>7268</v>
          </cell>
        </row>
        <row r="6262">
          <cell r="A6262" t="str">
            <v>VALERI RAKOV</v>
          </cell>
          <cell r="B6262">
            <v>5960</v>
          </cell>
        </row>
        <row r="6263">
          <cell r="A6263" t="str">
            <v>RISTO RALLMANN</v>
          </cell>
          <cell r="B6263">
            <v>9883</v>
          </cell>
        </row>
        <row r="6264">
          <cell r="A6264" t="str">
            <v>KRISTIN RAMMI</v>
          </cell>
          <cell r="B6264">
            <v>5116</v>
          </cell>
        </row>
        <row r="6265">
          <cell r="A6265" t="str">
            <v>ERIK RAMMO</v>
          </cell>
          <cell r="B6265">
            <v>8285</v>
          </cell>
        </row>
        <row r="6266">
          <cell r="A6266" t="str">
            <v>EMMA RAMMUL</v>
          </cell>
          <cell r="B6266">
            <v>9048</v>
          </cell>
        </row>
        <row r="6267">
          <cell r="A6267" t="str">
            <v>MAIRI RAMMUL</v>
          </cell>
          <cell r="B6267">
            <v>87</v>
          </cell>
        </row>
        <row r="6268">
          <cell r="A6268" t="str">
            <v>ORINTA RAMONAITĖ</v>
          </cell>
          <cell r="B6268">
            <v>10578</v>
          </cell>
        </row>
        <row r="6269">
          <cell r="A6269" t="str">
            <v>URTE RAMONAITĖ</v>
          </cell>
          <cell r="B6269">
            <v>10579</v>
          </cell>
        </row>
        <row r="6270">
          <cell r="A6270" t="str">
            <v>ANTI RAMST</v>
          </cell>
          <cell r="B6270">
            <v>385</v>
          </cell>
        </row>
        <row r="6271">
          <cell r="A6271" t="str">
            <v>MARGUS RAMST</v>
          </cell>
          <cell r="B6271">
            <v>374</v>
          </cell>
        </row>
        <row r="6272">
          <cell r="A6272" t="str">
            <v>REIN RAMST</v>
          </cell>
          <cell r="B6272">
            <v>246</v>
          </cell>
        </row>
        <row r="6273">
          <cell r="A6273" t="str">
            <v>TATJANA RANCEVA</v>
          </cell>
          <cell r="B6273">
            <v>3569</v>
          </cell>
        </row>
        <row r="6274">
          <cell r="A6274" t="str">
            <v>MART-EERIK RAND</v>
          </cell>
          <cell r="B6274">
            <v>7271</v>
          </cell>
        </row>
        <row r="6275">
          <cell r="A6275" t="str">
            <v>TEELE RAND</v>
          </cell>
          <cell r="B6275">
            <v>9343</v>
          </cell>
        </row>
        <row r="6276">
          <cell r="A6276" t="str">
            <v>TORMI RAND</v>
          </cell>
          <cell r="B6276">
            <v>8510</v>
          </cell>
        </row>
        <row r="6277">
          <cell r="A6277" t="str">
            <v>ÜLO RANDARU</v>
          </cell>
          <cell r="B6277">
            <v>7195</v>
          </cell>
        </row>
        <row r="6278">
          <cell r="A6278" t="str">
            <v>PAUL LUI RANDARU</v>
          </cell>
          <cell r="B6278">
            <v>6192</v>
          </cell>
        </row>
        <row r="6279">
          <cell r="A6279" t="str">
            <v>TOMM JAN RANDARU</v>
          </cell>
          <cell r="B6279">
            <v>6191</v>
          </cell>
        </row>
        <row r="6280">
          <cell r="A6280" t="str">
            <v>VALTER RANDE</v>
          </cell>
          <cell r="B6280">
            <v>4468</v>
          </cell>
        </row>
        <row r="6281">
          <cell r="A6281" t="str">
            <v>LEILI RANDJÄRV</v>
          </cell>
          <cell r="B6281">
            <v>3869</v>
          </cell>
        </row>
        <row r="6282">
          <cell r="A6282" t="str">
            <v>ROSÉ-MARII RANDLAHT</v>
          </cell>
          <cell r="B6282">
            <v>4838</v>
          </cell>
        </row>
        <row r="6283">
          <cell r="A6283" t="str">
            <v>ALAR RANDMA</v>
          </cell>
          <cell r="B6283">
            <v>3267</v>
          </cell>
        </row>
        <row r="6284">
          <cell r="A6284" t="str">
            <v>OLEV RANDMA</v>
          </cell>
          <cell r="B6284">
            <v>3385</v>
          </cell>
        </row>
        <row r="6285">
          <cell r="A6285" t="str">
            <v>JARMO RANDMÄE</v>
          </cell>
          <cell r="B6285">
            <v>6100</v>
          </cell>
        </row>
        <row r="6286">
          <cell r="A6286" t="str">
            <v>KRISTO RANDMÄE</v>
          </cell>
          <cell r="B6286">
            <v>4788</v>
          </cell>
        </row>
        <row r="6287">
          <cell r="A6287" t="str">
            <v>MART RANDMÄE</v>
          </cell>
          <cell r="B6287">
            <v>5908</v>
          </cell>
        </row>
        <row r="6288">
          <cell r="A6288" t="str">
            <v>RANNAR RANDMÄE</v>
          </cell>
          <cell r="B6288">
            <v>3542</v>
          </cell>
        </row>
        <row r="6289">
          <cell r="A6289" t="str">
            <v>RENNO RANDMÄE</v>
          </cell>
          <cell r="B6289">
            <v>4789</v>
          </cell>
        </row>
        <row r="6290">
          <cell r="A6290" t="str">
            <v>REIN RANDMAA</v>
          </cell>
          <cell r="B6290">
            <v>961</v>
          </cell>
        </row>
        <row r="6291">
          <cell r="A6291" t="str">
            <v>HANNES RANDMER</v>
          </cell>
          <cell r="B6291">
            <v>3414</v>
          </cell>
        </row>
        <row r="6292">
          <cell r="A6292" t="str">
            <v>HANNO RANDMER</v>
          </cell>
          <cell r="B6292">
            <v>3411</v>
          </cell>
        </row>
        <row r="6293">
          <cell r="A6293" t="str">
            <v>MART RANDOJA</v>
          </cell>
          <cell r="B6293">
            <v>2140</v>
          </cell>
        </row>
        <row r="6294">
          <cell r="A6294" t="str">
            <v>PEETER RANDOJA</v>
          </cell>
          <cell r="B6294">
            <v>5498</v>
          </cell>
        </row>
        <row r="6295">
          <cell r="A6295" t="str">
            <v>RETI RANDOJA</v>
          </cell>
          <cell r="B6295">
            <v>9211</v>
          </cell>
        </row>
        <row r="6296">
          <cell r="A6296" t="str">
            <v>RIANA RANDOJA</v>
          </cell>
          <cell r="B6296">
            <v>3093</v>
          </cell>
        </row>
        <row r="6297">
          <cell r="A6297" t="str">
            <v>HENDRIK MADIS RANDRÜÜT</v>
          </cell>
          <cell r="B6297">
            <v>10237</v>
          </cell>
        </row>
        <row r="6298">
          <cell r="A6298" t="str">
            <v>JANNO RANNALA</v>
          </cell>
          <cell r="B6298">
            <v>2462</v>
          </cell>
        </row>
        <row r="6299">
          <cell r="A6299" t="str">
            <v>KARMO RANNAMÄE</v>
          </cell>
          <cell r="B6299">
            <v>2050</v>
          </cell>
        </row>
        <row r="6300">
          <cell r="A6300" t="str">
            <v>RANNO RANNAMÄE</v>
          </cell>
          <cell r="B6300">
            <v>3870</v>
          </cell>
        </row>
        <row r="6301">
          <cell r="A6301" t="str">
            <v>KARL RANNAMAA</v>
          </cell>
          <cell r="B6301">
            <v>5523</v>
          </cell>
        </row>
        <row r="6302">
          <cell r="A6302" t="str">
            <v>TÕNIS RANNAP</v>
          </cell>
          <cell r="B6302">
            <v>10584</v>
          </cell>
        </row>
        <row r="6303">
          <cell r="A6303" t="str">
            <v>ROBIN RANNAVETE</v>
          </cell>
          <cell r="B6303">
            <v>4938</v>
          </cell>
        </row>
        <row r="6304">
          <cell r="A6304" t="str">
            <v>REIN RANNE</v>
          </cell>
          <cell r="B6304">
            <v>2681</v>
          </cell>
        </row>
        <row r="6305">
          <cell r="A6305" t="str">
            <v>JÜRGEN RANNIK</v>
          </cell>
          <cell r="B6305">
            <v>7647</v>
          </cell>
        </row>
        <row r="6306">
          <cell r="A6306" t="str">
            <v>ANTTI RANNIKU</v>
          </cell>
          <cell r="B6306">
            <v>9017</v>
          </cell>
        </row>
        <row r="6307">
          <cell r="A6307" t="str">
            <v>RASMUS RANNU</v>
          </cell>
          <cell r="B6307">
            <v>10714</v>
          </cell>
        </row>
        <row r="6308">
          <cell r="A6308" t="str">
            <v>TIMM RANNU</v>
          </cell>
          <cell r="B6308">
            <v>7399</v>
          </cell>
        </row>
        <row r="6309">
          <cell r="A6309" t="str">
            <v>ALEXANDER RANTANEN</v>
          </cell>
          <cell r="B6309">
            <v>9999</v>
          </cell>
        </row>
        <row r="6310">
          <cell r="A6310" t="str">
            <v>EMIL RANTATULKKIA</v>
          </cell>
          <cell r="B6310">
            <v>2844</v>
          </cell>
        </row>
        <row r="6311">
          <cell r="A6311" t="str">
            <v>RIHO RÜÜSON</v>
          </cell>
          <cell r="B6311">
            <v>8283</v>
          </cell>
        </row>
        <row r="6312">
          <cell r="A6312" t="str">
            <v>EGON RÜÜTEL</v>
          </cell>
          <cell r="B6312">
            <v>2318</v>
          </cell>
        </row>
        <row r="6313">
          <cell r="A6313" t="str">
            <v>OSKAR RÜÜTEL</v>
          </cell>
          <cell r="B6313">
            <v>10009</v>
          </cell>
        </row>
        <row r="6314">
          <cell r="A6314" t="str">
            <v>RAAHEL RÜÜTEL</v>
          </cell>
          <cell r="B6314">
            <v>4707</v>
          </cell>
        </row>
        <row r="6315">
          <cell r="A6315" t="str">
            <v>REIN RÜÜTEL</v>
          </cell>
          <cell r="B6315">
            <v>364</v>
          </cell>
        </row>
        <row r="6316">
          <cell r="A6316" t="str">
            <v>ROBERT RÜÜTEL</v>
          </cell>
          <cell r="B6316">
            <v>10011</v>
          </cell>
        </row>
        <row r="6317">
          <cell r="A6317" t="str">
            <v>HENRI RÜÜTMAA</v>
          </cell>
          <cell r="B6317">
            <v>4490</v>
          </cell>
        </row>
        <row r="6318">
          <cell r="A6318" t="str">
            <v>JOONAS RÜNK</v>
          </cell>
          <cell r="B6318">
            <v>2342</v>
          </cell>
        </row>
        <row r="6319">
          <cell r="A6319" t="str">
            <v>NIKOLAI RÜTKINEN</v>
          </cell>
          <cell r="B6319">
            <v>7704</v>
          </cell>
        </row>
        <row r="6320">
          <cell r="A6320" t="str">
            <v>STEFAN-NIKOLAI RÜTKINEN</v>
          </cell>
          <cell r="B6320">
            <v>7478</v>
          </cell>
        </row>
        <row r="6321">
          <cell r="A6321" t="str">
            <v>ANDRIAS RAPPU</v>
          </cell>
          <cell r="B6321">
            <v>3623</v>
          </cell>
        </row>
        <row r="6322">
          <cell r="A6322" t="str">
            <v>OSKAR RASK</v>
          </cell>
          <cell r="B6322">
            <v>946</v>
          </cell>
        </row>
        <row r="6323">
          <cell r="A6323" t="str">
            <v>ARTUR RASS</v>
          </cell>
          <cell r="B6323">
            <v>10187</v>
          </cell>
        </row>
        <row r="6324">
          <cell r="A6324" t="str">
            <v>OLIVER RASS</v>
          </cell>
          <cell r="B6324">
            <v>3488</v>
          </cell>
        </row>
        <row r="6325">
          <cell r="A6325" t="str">
            <v>REET RASS</v>
          </cell>
          <cell r="B6325">
            <v>106</v>
          </cell>
        </row>
        <row r="6326">
          <cell r="A6326" t="str">
            <v>REINO RASS</v>
          </cell>
          <cell r="B6326">
            <v>340</v>
          </cell>
        </row>
        <row r="6327">
          <cell r="A6327" t="str">
            <v>ALEKSANDER RASTRÕGIN</v>
          </cell>
          <cell r="B6327">
            <v>308</v>
          </cell>
        </row>
        <row r="6328">
          <cell r="A6328" t="str">
            <v>SERGEI RAZGULJAJEV</v>
          </cell>
          <cell r="B6328">
            <v>8606</v>
          </cell>
        </row>
        <row r="6329">
          <cell r="A6329" t="str">
            <v>VANESA RAZINSKYTE</v>
          </cell>
          <cell r="B6329">
            <v>8156</v>
          </cell>
        </row>
        <row r="6330">
          <cell r="A6330" t="str">
            <v>MARGARITA RAZORJONOVA</v>
          </cell>
          <cell r="B6330">
            <v>1402</v>
          </cell>
        </row>
        <row r="6331">
          <cell r="A6331" t="str">
            <v>VLADLEN RATŠUGIN</v>
          </cell>
          <cell r="B6331">
            <v>1890</v>
          </cell>
        </row>
        <row r="6332">
          <cell r="A6332" t="str">
            <v>ANASTASIJA RATAS</v>
          </cell>
          <cell r="B6332">
            <v>9654</v>
          </cell>
        </row>
        <row r="6333">
          <cell r="A6333" t="str">
            <v>OLEG RATIJEV</v>
          </cell>
          <cell r="B6333">
            <v>2635</v>
          </cell>
        </row>
        <row r="6334">
          <cell r="A6334" t="str">
            <v>EDUARD RATNIKOV</v>
          </cell>
          <cell r="B6334">
            <v>1092</v>
          </cell>
        </row>
        <row r="6335">
          <cell r="A6335" t="str">
            <v>ROBERT RATNIKOV</v>
          </cell>
          <cell r="B6335">
            <v>7055</v>
          </cell>
        </row>
        <row r="6336">
          <cell r="A6336" t="str">
            <v>MAKSIM RATSHUGIN</v>
          </cell>
          <cell r="B6336">
            <v>3057</v>
          </cell>
        </row>
        <row r="6337">
          <cell r="A6337" t="str">
            <v>RASMUS RATTAS</v>
          </cell>
          <cell r="B6337">
            <v>425</v>
          </cell>
        </row>
        <row r="6338">
          <cell r="A6338" t="str">
            <v>GERD RATTASEPP</v>
          </cell>
          <cell r="B6338">
            <v>8015</v>
          </cell>
        </row>
        <row r="6339">
          <cell r="A6339" t="str">
            <v>GERT ARNE RATTASEPP</v>
          </cell>
          <cell r="B6339">
            <v>7962</v>
          </cell>
        </row>
        <row r="6340">
          <cell r="A6340" t="str">
            <v>PRIIT RATTUR</v>
          </cell>
          <cell r="B6340">
            <v>10707</v>
          </cell>
        </row>
        <row r="6341">
          <cell r="A6341" t="str">
            <v>HEILI MERIBETH RAU</v>
          </cell>
          <cell r="B6341">
            <v>10701</v>
          </cell>
        </row>
        <row r="6342">
          <cell r="A6342" t="str">
            <v>IVO RAU</v>
          </cell>
          <cell r="B6342">
            <v>5969</v>
          </cell>
        </row>
        <row r="6343">
          <cell r="A6343" t="str">
            <v>ANNA LEENA RAUD</v>
          </cell>
          <cell r="B6343">
            <v>2163</v>
          </cell>
        </row>
        <row r="6344">
          <cell r="A6344" t="str">
            <v>MEHIS RAUD</v>
          </cell>
          <cell r="B6344">
            <v>4469</v>
          </cell>
        </row>
        <row r="6345">
          <cell r="A6345" t="str">
            <v>PRIIT RAUD</v>
          </cell>
          <cell r="B6345">
            <v>253</v>
          </cell>
        </row>
        <row r="6346">
          <cell r="A6346" t="str">
            <v>SILVER RAUD</v>
          </cell>
          <cell r="B6346">
            <v>2920</v>
          </cell>
        </row>
        <row r="6347">
          <cell r="A6347" t="str">
            <v>SUSANNA RAUD</v>
          </cell>
          <cell r="B6347">
            <v>9109</v>
          </cell>
        </row>
        <row r="6348">
          <cell r="A6348" t="str">
            <v>VADIM RAUD</v>
          </cell>
          <cell r="B6348">
            <v>8021</v>
          </cell>
        </row>
        <row r="6349">
          <cell r="A6349" t="str">
            <v>ANDRES RAUDJALG</v>
          </cell>
          <cell r="B6349">
            <v>8532</v>
          </cell>
        </row>
        <row r="6350">
          <cell r="A6350" t="str">
            <v>ALLAR RAUDLA</v>
          </cell>
          <cell r="B6350">
            <v>7401</v>
          </cell>
        </row>
        <row r="6351">
          <cell r="A6351" t="str">
            <v>MARTTI RAUDLEHT</v>
          </cell>
          <cell r="B6351">
            <v>10089</v>
          </cell>
        </row>
        <row r="6352">
          <cell r="A6352" t="str">
            <v>VALTER RAUDMETS</v>
          </cell>
          <cell r="B6352">
            <v>245</v>
          </cell>
        </row>
        <row r="6353">
          <cell r="A6353" t="str">
            <v>MART RAUDOJA</v>
          </cell>
          <cell r="B6353">
            <v>1578</v>
          </cell>
        </row>
        <row r="6354">
          <cell r="A6354" t="str">
            <v>KARIN RAUDSALU</v>
          </cell>
          <cell r="B6354">
            <v>2694</v>
          </cell>
        </row>
        <row r="6355">
          <cell r="A6355" t="str">
            <v>KULDAR RAUDSEP</v>
          </cell>
          <cell r="B6355">
            <v>10414</v>
          </cell>
        </row>
        <row r="6356">
          <cell r="A6356" t="str">
            <v>ANDO RAUDSEPP</v>
          </cell>
          <cell r="B6356">
            <v>2682</v>
          </cell>
        </row>
        <row r="6357">
          <cell r="A6357" t="str">
            <v>EVALD RAUDSEPP</v>
          </cell>
          <cell r="B6357">
            <v>4024</v>
          </cell>
        </row>
        <row r="6358">
          <cell r="A6358" t="str">
            <v>GERD RAUDSEPP</v>
          </cell>
          <cell r="B6358">
            <v>2623</v>
          </cell>
        </row>
        <row r="6359">
          <cell r="A6359" t="str">
            <v>IMRE RAUDSEPP</v>
          </cell>
          <cell r="B6359">
            <v>6175</v>
          </cell>
        </row>
        <row r="6360">
          <cell r="A6360" t="str">
            <v>JANE RAUDSEPP</v>
          </cell>
          <cell r="B6360">
            <v>9152</v>
          </cell>
        </row>
        <row r="6361">
          <cell r="A6361" t="str">
            <v>JANEK RAUDSEPP</v>
          </cell>
          <cell r="B6361">
            <v>7495</v>
          </cell>
        </row>
        <row r="6362">
          <cell r="A6362" t="str">
            <v>KARL-KEVIN RAUDSEPP</v>
          </cell>
          <cell r="B6362">
            <v>5367</v>
          </cell>
        </row>
        <row r="6363">
          <cell r="A6363" t="str">
            <v>KERMO RAUDSEPP</v>
          </cell>
          <cell r="B6363">
            <v>4701</v>
          </cell>
        </row>
        <row r="6364">
          <cell r="A6364" t="str">
            <v>OTTO RAUDSEPP</v>
          </cell>
          <cell r="B6364">
            <v>3871</v>
          </cell>
        </row>
        <row r="6365">
          <cell r="A6365" t="str">
            <v>RANDO RAUDSEPP</v>
          </cell>
          <cell r="B6365">
            <v>4470</v>
          </cell>
        </row>
        <row r="6366">
          <cell r="A6366" t="str">
            <v>AGUR RAUDVA</v>
          </cell>
          <cell r="B6366">
            <v>5243</v>
          </cell>
        </row>
        <row r="6367">
          <cell r="A6367" t="str">
            <v>ÜLLE RAUK</v>
          </cell>
          <cell r="B6367">
            <v>7134</v>
          </cell>
        </row>
        <row r="6368">
          <cell r="A6368" t="str">
            <v>JUTA RAUN</v>
          </cell>
          <cell r="B6368">
            <v>7305</v>
          </cell>
        </row>
        <row r="6369">
          <cell r="A6369" t="str">
            <v>LEOPOLD RAUTS</v>
          </cell>
          <cell r="B6369">
            <v>2126</v>
          </cell>
        </row>
        <row r="6370">
          <cell r="A6370" t="str">
            <v>MIKA RAUVOLA</v>
          </cell>
          <cell r="B6370">
            <v>10638</v>
          </cell>
        </row>
        <row r="6371">
          <cell r="A6371" t="str">
            <v>MAANUS REA</v>
          </cell>
          <cell r="B6371">
            <v>1685</v>
          </cell>
        </row>
        <row r="6372">
          <cell r="A6372" t="str">
            <v>DEIVIS DANIEL REBANE</v>
          </cell>
          <cell r="B6372">
            <v>9955</v>
          </cell>
        </row>
        <row r="6373">
          <cell r="A6373" t="str">
            <v>ELIS REBANE</v>
          </cell>
          <cell r="B6373">
            <v>2564</v>
          </cell>
        </row>
        <row r="6374">
          <cell r="A6374" t="str">
            <v>ELISABET REBANE</v>
          </cell>
          <cell r="B6374">
            <v>6216</v>
          </cell>
        </row>
        <row r="6375">
          <cell r="A6375" t="str">
            <v>GEA REBANE</v>
          </cell>
          <cell r="B6375">
            <v>1056</v>
          </cell>
        </row>
        <row r="6376">
          <cell r="A6376" t="str">
            <v>JANNO REBANE</v>
          </cell>
          <cell r="B6376">
            <v>3272</v>
          </cell>
        </row>
        <row r="6377">
          <cell r="A6377" t="str">
            <v>KAILI REBANE</v>
          </cell>
          <cell r="B6377">
            <v>2935</v>
          </cell>
        </row>
        <row r="6378">
          <cell r="A6378" t="str">
            <v>KRISTJAN-ROBERT REBANE</v>
          </cell>
          <cell r="B6378">
            <v>2848</v>
          </cell>
        </row>
        <row r="6379">
          <cell r="A6379" t="str">
            <v>MAIT REBANE</v>
          </cell>
          <cell r="B6379">
            <v>3872</v>
          </cell>
        </row>
        <row r="6380">
          <cell r="A6380" t="str">
            <v>NORA REBANE</v>
          </cell>
          <cell r="B6380">
            <v>7258</v>
          </cell>
        </row>
        <row r="6381">
          <cell r="A6381" t="str">
            <v>RAIDO REBANE</v>
          </cell>
          <cell r="B6381">
            <v>5923</v>
          </cell>
        </row>
        <row r="6382">
          <cell r="A6382" t="str">
            <v>RANDAR REBANE</v>
          </cell>
          <cell r="B6382">
            <v>383</v>
          </cell>
        </row>
        <row r="6383">
          <cell r="A6383" t="str">
            <v>RÜNNO REBANE</v>
          </cell>
          <cell r="B6383">
            <v>7804</v>
          </cell>
        </row>
        <row r="6384">
          <cell r="A6384" t="str">
            <v>RENNO REBANE</v>
          </cell>
          <cell r="B6384">
            <v>3139</v>
          </cell>
        </row>
        <row r="6385">
          <cell r="A6385" t="str">
            <v>TIIT REBANE</v>
          </cell>
          <cell r="B6385">
            <v>5542</v>
          </cell>
        </row>
        <row r="6386">
          <cell r="A6386" t="str">
            <v>VIIU REBANE</v>
          </cell>
          <cell r="B6386">
            <v>1152</v>
          </cell>
        </row>
        <row r="6387">
          <cell r="A6387" t="str">
            <v>ROLF REBAS</v>
          </cell>
          <cell r="B6387">
            <v>10463</v>
          </cell>
        </row>
        <row r="6388">
          <cell r="A6388" t="str">
            <v>POLINA REBONEN</v>
          </cell>
          <cell r="B6388">
            <v>8842</v>
          </cell>
        </row>
        <row r="6389">
          <cell r="A6389" t="str">
            <v>DANIL REDKO</v>
          </cell>
          <cell r="B6389">
            <v>4471</v>
          </cell>
        </row>
        <row r="6390">
          <cell r="A6390" t="str">
            <v>MEELIS REEDE</v>
          </cell>
          <cell r="B6390">
            <v>8739</v>
          </cell>
        </row>
        <row r="6391">
          <cell r="A6391" t="str">
            <v>GERDA REEDER</v>
          </cell>
          <cell r="B6391">
            <v>7339</v>
          </cell>
        </row>
        <row r="6392">
          <cell r="A6392" t="str">
            <v>MARII REEDER</v>
          </cell>
          <cell r="B6392">
            <v>2004</v>
          </cell>
        </row>
        <row r="6393">
          <cell r="A6393" t="str">
            <v>ELISE-JOHANNA REEDI</v>
          </cell>
          <cell r="B6393">
            <v>3558</v>
          </cell>
        </row>
        <row r="6394">
          <cell r="A6394" t="str">
            <v>EVA-SUSANNA REEDI</v>
          </cell>
          <cell r="B6394">
            <v>3561</v>
          </cell>
        </row>
        <row r="6395">
          <cell r="A6395" t="str">
            <v>MARKKO REENTALU</v>
          </cell>
          <cell r="B6395">
            <v>1383</v>
          </cell>
        </row>
        <row r="6396">
          <cell r="A6396" t="str">
            <v>KALEV REEST</v>
          </cell>
          <cell r="B6396">
            <v>9535</v>
          </cell>
        </row>
        <row r="6397">
          <cell r="A6397" t="str">
            <v>ROMET REEST</v>
          </cell>
          <cell r="B6397">
            <v>9509</v>
          </cell>
        </row>
        <row r="6398">
          <cell r="A6398" t="str">
            <v>RR REFHAGEN</v>
          </cell>
          <cell r="B6398">
            <v>1281</v>
          </cell>
        </row>
        <row r="6399">
          <cell r="A6399" t="str">
            <v>MARIO REGO</v>
          </cell>
          <cell r="B6399">
            <v>429</v>
          </cell>
        </row>
        <row r="6400">
          <cell r="A6400" t="str">
            <v>ARVI REHAND</v>
          </cell>
          <cell r="B6400">
            <v>247</v>
          </cell>
        </row>
        <row r="6401">
          <cell r="A6401" t="str">
            <v>HARDI REHE</v>
          </cell>
          <cell r="B6401">
            <v>1456</v>
          </cell>
        </row>
        <row r="6402">
          <cell r="A6402" t="str">
            <v>RENNO REHTLA</v>
          </cell>
          <cell r="B6402">
            <v>1491</v>
          </cell>
        </row>
        <row r="6403">
          <cell r="A6403" t="str">
            <v>DIANA REI</v>
          </cell>
          <cell r="B6403">
            <v>9867</v>
          </cell>
        </row>
        <row r="6404">
          <cell r="A6404" t="str">
            <v>ROLAND REIBERG</v>
          </cell>
          <cell r="B6404">
            <v>9326</v>
          </cell>
        </row>
        <row r="6405">
          <cell r="A6405" t="str">
            <v>GRANTY REIDLA</v>
          </cell>
          <cell r="B6405">
            <v>3108</v>
          </cell>
        </row>
        <row r="6406">
          <cell r="A6406" t="str">
            <v>CAROLINA REIDMA</v>
          </cell>
          <cell r="B6406">
            <v>3004</v>
          </cell>
        </row>
        <row r="6407">
          <cell r="A6407" t="str">
            <v>MATI REIER</v>
          </cell>
          <cell r="B6407">
            <v>248</v>
          </cell>
        </row>
        <row r="6408">
          <cell r="A6408" t="str">
            <v>FREDY REILA</v>
          </cell>
          <cell r="B6408">
            <v>9895</v>
          </cell>
        </row>
        <row r="6409">
          <cell r="A6409" t="str">
            <v>SANDER REILA</v>
          </cell>
          <cell r="B6409">
            <v>9896</v>
          </cell>
        </row>
        <row r="6410">
          <cell r="A6410" t="str">
            <v>MIHKEL REILI</v>
          </cell>
          <cell r="B6410">
            <v>2703</v>
          </cell>
        </row>
        <row r="6411">
          <cell r="A6411" t="str">
            <v>ALAR REILJEN</v>
          </cell>
          <cell r="B6411">
            <v>5468</v>
          </cell>
        </row>
        <row r="6412">
          <cell r="A6412" t="str">
            <v>RISTO REIMA</v>
          </cell>
          <cell r="B6412">
            <v>10699</v>
          </cell>
        </row>
        <row r="6413">
          <cell r="A6413" t="str">
            <v>ERIK REIMAN</v>
          </cell>
          <cell r="B6413">
            <v>4473</v>
          </cell>
        </row>
        <row r="6414">
          <cell r="A6414" t="str">
            <v>MARTIN REIMAN</v>
          </cell>
          <cell r="B6414">
            <v>4472</v>
          </cell>
        </row>
        <row r="6415">
          <cell r="A6415" t="str">
            <v>EMMA-LOORE REIMANN</v>
          </cell>
          <cell r="B6415">
            <v>7895</v>
          </cell>
        </row>
        <row r="6416">
          <cell r="A6416" t="str">
            <v>VAHUR REIMANN</v>
          </cell>
          <cell r="B6416">
            <v>249</v>
          </cell>
        </row>
        <row r="6417">
          <cell r="A6417" t="str">
            <v>VALDEKO REIMETS</v>
          </cell>
          <cell r="B6417">
            <v>2357</v>
          </cell>
        </row>
        <row r="6418">
          <cell r="A6418" t="str">
            <v>RUUL REIMO</v>
          </cell>
          <cell r="B6418">
            <v>4960</v>
          </cell>
        </row>
        <row r="6419">
          <cell r="A6419" t="str">
            <v>KASPAR REIMOND</v>
          </cell>
          <cell r="B6419">
            <v>7968</v>
          </cell>
        </row>
        <row r="6420">
          <cell r="A6420" t="str">
            <v>OLIVER REINAAS</v>
          </cell>
          <cell r="B6420">
            <v>4751</v>
          </cell>
        </row>
        <row r="6421">
          <cell r="A6421" t="str">
            <v>ALLAN REINAPAE</v>
          </cell>
          <cell r="B6421">
            <v>5945</v>
          </cell>
        </row>
        <row r="6422">
          <cell r="A6422" t="str">
            <v>JANEK REINARU</v>
          </cell>
          <cell r="B6422">
            <v>962</v>
          </cell>
        </row>
        <row r="6423">
          <cell r="A6423" t="str">
            <v>RASMUS REINARU</v>
          </cell>
          <cell r="B6423">
            <v>6101</v>
          </cell>
        </row>
        <row r="6424">
          <cell r="A6424" t="str">
            <v>SOFIA REINAS</v>
          </cell>
          <cell r="B6424">
            <v>10751</v>
          </cell>
        </row>
        <row r="6425">
          <cell r="A6425" t="str">
            <v>VILJAM REINASTE</v>
          </cell>
          <cell r="B6425">
            <v>1466</v>
          </cell>
        </row>
        <row r="6426">
          <cell r="A6426" t="str">
            <v>PAAVO REINET</v>
          </cell>
          <cell r="B6426">
            <v>7158</v>
          </cell>
        </row>
        <row r="6427">
          <cell r="A6427" t="str">
            <v>GVIDO-TOMS REINFELDS</v>
          </cell>
          <cell r="B6427">
            <v>9070</v>
          </cell>
        </row>
        <row r="6428">
          <cell r="A6428" t="str">
            <v>MEHIS REINFELDT</v>
          </cell>
          <cell r="B6428">
            <v>475</v>
          </cell>
        </row>
        <row r="6429">
          <cell r="A6429" t="str">
            <v>ANTON REINGOLDT</v>
          </cell>
          <cell r="B6429">
            <v>1589</v>
          </cell>
        </row>
        <row r="6430">
          <cell r="A6430" t="str">
            <v>SASKIA RACHEL REINHOLD</v>
          </cell>
          <cell r="B6430">
            <v>6143</v>
          </cell>
        </row>
        <row r="6431">
          <cell r="A6431" t="str">
            <v>ARTURS REINHOLDS</v>
          </cell>
          <cell r="B6431">
            <v>1664</v>
          </cell>
        </row>
        <row r="6432">
          <cell r="A6432" t="str">
            <v>DAINIS REINHOLDS</v>
          </cell>
          <cell r="B6432">
            <v>1658</v>
          </cell>
        </row>
        <row r="6433">
          <cell r="A6433" t="str">
            <v>RAIMONDS REINHOLDS</v>
          </cell>
          <cell r="B6433">
            <v>4000</v>
          </cell>
        </row>
        <row r="6434">
          <cell r="A6434" t="str">
            <v>INDREK REINIK</v>
          </cell>
          <cell r="B6434">
            <v>2296</v>
          </cell>
        </row>
        <row r="6435">
          <cell r="A6435" t="str">
            <v>RENO REINIK</v>
          </cell>
          <cell r="B6435">
            <v>5414</v>
          </cell>
        </row>
        <row r="6436">
          <cell r="A6436" t="str">
            <v>VELLO REINIK</v>
          </cell>
          <cell r="B6436">
            <v>2295</v>
          </cell>
        </row>
        <row r="6437">
          <cell r="A6437" t="str">
            <v>TAURI REINIKE</v>
          </cell>
          <cell r="B6437">
            <v>3410</v>
          </cell>
        </row>
        <row r="6438">
          <cell r="A6438" t="str">
            <v>KERSTI REINKORT</v>
          </cell>
          <cell r="B6438">
            <v>108</v>
          </cell>
        </row>
        <row r="6439">
          <cell r="A6439" t="str">
            <v>CARITA REINKUBJAS</v>
          </cell>
          <cell r="B6439">
            <v>4474</v>
          </cell>
        </row>
        <row r="6440">
          <cell r="A6440" t="str">
            <v>KOIT REINKUBJAS</v>
          </cell>
          <cell r="B6440">
            <v>3132</v>
          </cell>
        </row>
        <row r="6441">
          <cell r="A6441" t="str">
            <v>UKU REINKUBJAS</v>
          </cell>
          <cell r="B6441">
            <v>3873</v>
          </cell>
        </row>
        <row r="6442">
          <cell r="A6442" t="str">
            <v>KARL REINMAA</v>
          </cell>
          <cell r="B6442">
            <v>10866</v>
          </cell>
        </row>
        <row r="6443">
          <cell r="A6443" t="str">
            <v>UNO REINMAA</v>
          </cell>
          <cell r="B6443">
            <v>469</v>
          </cell>
        </row>
        <row r="6444">
          <cell r="A6444" t="str">
            <v>VALLI REINMAA</v>
          </cell>
          <cell r="B6444">
            <v>7448</v>
          </cell>
        </row>
        <row r="6445">
          <cell r="A6445" t="str">
            <v>JAAN REINOK</v>
          </cell>
          <cell r="B6445">
            <v>2906</v>
          </cell>
        </row>
        <row r="6446">
          <cell r="A6446" t="str">
            <v>VIKTOR REINOK</v>
          </cell>
          <cell r="B6446">
            <v>2907</v>
          </cell>
        </row>
        <row r="6447">
          <cell r="A6447" t="str">
            <v>JELISEI REINOL</v>
          </cell>
          <cell r="B6447">
            <v>7933</v>
          </cell>
        </row>
        <row r="6448">
          <cell r="A6448" t="str">
            <v>OLIVIA REINOL</v>
          </cell>
          <cell r="B6448">
            <v>9665</v>
          </cell>
        </row>
        <row r="6449">
          <cell r="A6449" t="str">
            <v>VITALIA REINOL</v>
          </cell>
          <cell r="B6449">
            <v>3874</v>
          </cell>
        </row>
        <row r="6450">
          <cell r="A6450" t="str">
            <v>ZIGMANTAS REINOLDSAS</v>
          </cell>
          <cell r="B6450">
            <v>3673</v>
          </cell>
        </row>
        <row r="6451">
          <cell r="A6451" t="str">
            <v>KEIT REINSALU</v>
          </cell>
          <cell r="B6451">
            <v>3446</v>
          </cell>
        </row>
        <row r="6452">
          <cell r="A6452" t="str">
            <v>KELLI REINSALU</v>
          </cell>
          <cell r="B6452">
            <v>3875</v>
          </cell>
        </row>
        <row r="6453">
          <cell r="A6453" t="str">
            <v>KRISTIINA REINSALU</v>
          </cell>
          <cell r="B6453">
            <v>4475</v>
          </cell>
        </row>
        <row r="6454">
          <cell r="A6454" t="str">
            <v>RAIVO REINSOO</v>
          </cell>
          <cell r="B6454">
            <v>1231</v>
          </cell>
        </row>
        <row r="6455">
          <cell r="A6455" t="str">
            <v>ALDUR REINTAMM</v>
          </cell>
          <cell r="B6455">
            <v>2135</v>
          </cell>
        </row>
        <row r="6456">
          <cell r="A6456" t="str">
            <v>PIRET REINUMÄGI</v>
          </cell>
          <cell r="B6456">
            <v>9897</v>
          </cell>
        </row>
        <row r="6457">
          <cell r="A6457" t="str">
            <v>HANNES REINVALD</v>
          </cell>
          <cell r="B6457">
            <v>8170</v>
          </cell>
        </row>
        <row r="6458">
          <cell r="A6458" t="str">
            <v>KÄTRIIN REINVALD</v>
          </cell>
          <cell r="B6458">
            <v>8073</v>
          </cell>
        </row>
        <row r="6459">
          <cell r="A6459" t="str">
            <v>KASPAR REINVEE</v>
          </cell>
          <cell r="B6459">
            <v>839</v>
          </cell>
        </row>
        <row r="6460">
          <cell r="A6460" t="str">
            <v>TANEL REISI</v>
          </cell>
          <cell r="B6460">
            <v>339</v>
          </cell>
        </row>
        <row r="6461">
          <cell r="A6461" t="str">
            <v>TAMBET REISSER</v>
          </cell>
          <cell r="B6461">
            <v>488</v>
          </cell>
        </row>
        <row r="6462">
          <cell r="A6462" t="str">
            <v>TRIIN REISSER</v>
          </cell>
          <cell r="B6462">
            <v>2430</v>
          </cell>
        </row>
        <row r="6463">
          <cell r="A6463" t="str">
            <v>JANNE RELANDER</v>
          </cell>
          <cell r="B6463">
            <v>3594</v>
          </cell>
        </row>
        <row r="6464">
          <cell r="A6464" t="str">
            <v>REET RELVIK</v>
          </cell>
          <cell r="B6464">
            <v>2656</v>
          </cell>
        </row>
        <row r="6465">
          <cell r="A6465" t="str">
            <v>GRIGORI REMENTOV</v>
          </cell>
          <cell r="B6465">
            <v>8083</v>
          </cell>
        </row>
        <row r="6466">
          <cell r="A6466" t="str">
            <v>KSENIA REMENTOVA</v>
          </cell>
          <cell r="B6466">
            <v>5624</v>
          </cell>
        </row>
        <row r="6467">
          <cell r="A6467" t="str">
            <v>RASMUS REMIKÜLL</v>
          </cell>
          <cell r="B6467">
            <v>5010</v>
          </cell>
        </row>
        <row r="6468">
          <cell r="A6468" t="str">
            <v>GERMO REMMEL</v>
          </cell>
          <cell r="B6468">
            <v>902</v>
          </cell>
        </row>
        <row r="6469">
          <cell r="A6469" t="str">
            <v>GERT REMMEL</v>
          </cell>
          <cell r="B6469">
            <v>890</v>
          </cell>
        </row>
        <row r="6470">
          <cell r="A6470" t="str">
            <v>MERIL REMMEL</v>
          </cell>
          <cell r="B6470">
            <v>4036</v>
          </cell>
        </row>
        <row r="6471">
          <cell r="A6471" t="str">
            <v>RAINO REMMEL</v>
          </cell>
          <cell r="B6471">
            <v>4476</v>
          </cell>
        </row>
        <row r="6472">
          <cell r="A6472" t="str">
            <v>RAUNO REMMEL</v>
          </cell>
          <cell r="B6472">
            <v>4035</v>
          </cell>
        </row>
        <row r="6473">
          <cell r="A6473" t="str">
            <v>TIIT REMMEL</v>
          </cell>
          <cell r="B6473">
            <v>927</v>
          </cell>
        </row>
        <row r="6474">
          <cell r="A6474" t="str">
            <v>KASPAR REMMELG</v>
          </cell>
          <cell r="B6474">
            <v>6067</v>
          </cell>
        </row>
        <row r="6475">
          <cell r="A6475" t="str">
            <v>KIMBERLY REMMELG</v>
          </cell>
          <cell r="B6475">
            <v>2162</v>
          </cell>
        </row>
        <row r="6476">
          <cell r="A6476" t="str">
            <v>RANNAR REMMELGAS</v>
          </cell>
          <cell r="B6476">
            <v>2231</v>
          </cell>
        </row>
        <row r="6477">
          <cell r="A6477" t="str">
            <v>RIHARD REMMELGAS</v>
          </cell>
          <cell r="B6477">
            <v>3126</v>
          </cell>
        </row>
        <row r="6478">
          <cell r="A6478" t="str">
            <v>JANNE REMMER</v>
          </cell>
          <cell r="B6478">
            <v>976</v>
          </cell>
        </row>
        <row r="6479">
          <cell r="A6479" t="str">
            <v>KAI REMMI</v>
          </cell>
          <cell r="B6479">
            <v>2441</v>
          </cell>
        </row>
        <row r="6480">
          <cell r="A6480" t="str">
            <v>LY REMUS</v>
          </cell>
          <cell r="B6480">
            <v>4477</v>
          </cell>
        </row>
        <row r="6481">
          <cell r="A6481" t="str">
            <v>TAURI RENNIKE</v>
          </cell>
          <cell r="B6481">
            <v>10263</v>
          </cell>
        </row>
        <row r="6482">
          <cell r="A6482" t="str">
            <v>KARL RENNO</v>
          </cell>
          <cell r="B6482">
            <v>4752</v>
          </cell>
        </row>
        <row r="6483">
          <cell r="A6483" t="str">
            <v>ALLAN RENNU</v>
          </cell>
          <cell r="B6483">
            <v>1354</v>
          </cell>
        </row>
        <row r="6484">
          <cell r="A6484" t="str">
            <v>OSKAR RENNU</v>
          </cell>
          <cell r="B6484">
            <v>9930</v>
          </cell>
        </row>
        <row r="6485">
          <cell r="A6485" t="str">
            <v>MARTYNA REPŠYTĖ</v>
          </cell>
          <cell r="B6485">
            <v>10568</v>
          </cell>
        </row>
        <row r="6486">
          <cell r="A6486" t="str">
            <v>ALEKSEI REPIN</v>
          </cell>
          <cell r="B6486">
            <v>1037</v>
          </cell>
        </row>
        <row r="6487">
          <cell r="A6487" t="str">
            <v>ANDREI REPIN</v>
          </cell>
          <cell r="B6487">
            <v>9475</v>
          </cell>
        </row>
        <row r="6488">
          <cell r="A6488" t="str">
            <v>KSENIA REPP</v>
          </cell>
          <cell r="B6488">
            <v>3329</v>
          </cell>
        </row>
        <row r="6489">
          <cell r="A6489" t="str">
            <v>SVETLANA REPP</v>
          </cell>
          <cell r="B6489">
            <v>1082</v>
          </cell>
        </row>
        <row r="6490">
          <cell r="A6490" t="str">
            <v>SANDER RESEV</v>
          </cell>
          <cell r="B6490">
            <v>4478</v>
          </cell>
        </row>
        <row r="6491">
          <cell r="A6491" t="str">
            <v>YANA RESHETILOVA</v>
          </cell>
          <cell r="B6491">
            <v>3054</v>
          </cell>
        </row>
        <row r="6492">
          <cell r="A6492" t="str">
            <v>HENRI RESSAR</v>
          </cell>
          <cell r="B6492">
            <v>9966</v>
          </cell>
        </row>
        <row r="6493">
          <cell r="A6493" t="str">
            <v>LAURA LIIS RESSAR</v>
          </cell>
          <cell r="B6493">
            <v>10135</v>
          </cell>
        </row>
        <row r="6494">
          <cell r="A6494" t="str">
            <v>CHRISTINA RESTRUP</v>
          </cell>
          <cell r="B6494">
            <v>2208</v>
          </cell>
        </row>
        <row r="6495">
          <cell r="A6495" t="str">
            <v>IVAN REZNIKOV</v>
          </cell>
          <cell r="B6495">
            <v>8428</v>
          </cell>
        </row>
        <row r="6496">
          <cell r="A6496" t="str">
            <v>NICOLAS REUSS</v>
          </cell>
          <cell r="B6496">
            <v>3876</v>
          </cell>
        </row>
        <row r="6497">
          <cell r="A6497" t="str">
            <v>PAVEL RIBENKOV</v>
          </cell>
          <cell r="B6497">
            <v>7020</v>
          </cell>
        </row>
        <row r="6498">
          <cell r="A6498" t="str">
            <v>MIHAIL RIBZAMEN</v>
          </cell>
          <cell r="B6498">
            <v>2766</v>
          </cell>
        </row>
        <row r="6499">
          <cell r="A6499" t="str">
            <v>PÄRNI RICARD</v>
          </cell>
          <cell r="B6499">
            <v>8165</v>
          </cell>
        </row>
        <row r="6500">
          <cell r="A6500" t="str">
            <v>GEORG RICHARDSON</v>
          </cell>
          <cell r="B6500">
            <v>1126</v>
          </cell>
        </row>
        <row r="6501">
          <cell r="A6501" t="str">
            <v>UNO RIDAL</v>
          </cell>
          <cell r="B6501">
            <v>9607</v>
          </cell>
        </row>
        <row r="6502">
          <cell r="A6502" t="str">
            <v>RICO RIDALA</v>
          </cell>
          <cell r="B6502">
            <v>3148</v>
          </cell>
        </row>
        <row r="6503">
          <cell r="A6503" t="str">
            <v>MARTHA LOTTA RIET</v>
          </cell>
          <cell r="B6503">
            <v>9220</v>
          </cell>
        </row>
        <row r="6504">
          <cell r="A6504" t="str">
            <v>KARLI RIHMA</v>
          </cell>
          <cell r="B6504">
            <v>2519</v>
          </cell>
        </row>
        <row r="6505">
          <cell r="A6505" t="str">
            <v>URMAS RIHMA</v>
          </cell>
          <cell r="B6505">
            <v>1949</v>
          </cell>
        </row>
        <row r="6506">
          <cell r="A6506" t="str">
            <v>KRISTIN RIIBERK</v>
          </cell>
          <cell r="B6506">
            <v>4479</v>
          </cell>
        </row>
        <row r="6507">
          <cell r="A6507" t="str">
            <v>MARTIN RIIK</v>
          </cell>
          <cell r="B6507">
            <v>2400</v>
          </cell>
        </row>
        <row r="6508">
          <cell r="A6508" t="str">
            <v>ANATOLI RIIPINEN</v>
          </cell>
          <cell r="B6508">
            <v>1940</v>
          </cell>
        </row>
        <row r="6509">
          <cell r="A6509" t="str">
            <v>KARLA RIIS</v>
          </cell>
          <cell r="B6509">
            <v>1486</v>
          </cell>
        </row>
        <row r="6510">
          <cell r="A6510" t="str">
            <v>HENRY RIISMA</v>
          </cell>
          <cell r="B6510">
            <v>1769</v>
          </cell>
        </row>
        <row r="6511">
          <cell r="A6511" t="str">
            <v>FRANZ ROBERT RIISMAA</v>
          </cell>
          <cell r="B6511">
            <v>9349</v>
          </cell>
        </row>
        <row r="6512">
          <cell r="A6512" t="str">
            <v>KRISTJAN RIITSAAR</v>
          </cell>
          <cell r="B6512">
            <v>8923</v>
          </cell>
        </row>
        <row r="6513">
          <cell r="A6513" t="str">
            <v>CARMEN RIIV</v>
          </cell>
          <cell r="B6513">
            <v>3877</v>
          </cell>
        </row>
        <row r="6514">
          <cell r="A6514" t="str">
            <v>CHISTOPHER RIIV</v>
          </cell>
          <cell r="B6514">
            <v>3127</v>
          </cell>
        </row>
        <row r="6515">
          <cell r="A6515" t="str">
            <v>MIKK RIIVE</v>
          </cell>
          <cell r="B6515">
            <v>10294</v>
          </cell>
        </row>
        <row r="6516">
          <cell r="A6516" t="str">
            <v>TOOMAS RIIVE</v>
          </cell>
          <cell r="B6516">
            <v>5227</v>
          </cell>
        </row>
        <row r="6517">
          <cell r="A6517" t="str">
            <v>RIIVO RIIVMETS</v>
          </cell>
          <cell r="B6517">
            <v>6984</v>
          </cell>
        </row>
        <row r="6518">
          <cell r="A6518" t="str">
            <v>JEVGENI RIMER</v>
          </cell>
          <cell r="B6518">
            <v>2112</v>
          </cell>
        </row>
        <row r="6519">
          <cell r="A6519" t="str">
            <v>MANTAS RIMGAILA</v>
          </cell>
          <cell r="B6519">
            <v>9675</v>
          </cell>
        </row>
        <row r="6520">
          <cell r="A6520" t="str">
            <v>TITAS RIMKEVICIUS</v>
          </cell>
          <cell r="B6520">
            <v>9121</v>
          </cell>
        </row>
        <row r="6521">
          <cell r="A6521" t="str">
            <v>SIMONA RIMKEVIČIŪTÉ</v>
          </cell>
          <cell r="B6521">
            <v>7308</v>
          </cell>
        </row>
        <row r="6522">
          <cell r="A6522" t="str">
            <v>LUKAS RIMKUS</v>
          </cell>
          <cell r="B6522">
            <v>9423</v>
          </cell>
        </row>
        <row r="6523">
          <cell r="A6523" t="str">
            <v>VALETNAS RIMKUS</v>
          </cell>
          <cell r="B6523">
            <v>8561</v>
          </cell>
        </row>
        <row r="6524">
          <cell r="A6524" t="str">
            <v>HELDUR RIMM</v>
          </cell>
          <cell r="B6524">
            <v>4839</v>
          </cell>
        </row>
        <row r="6525">
          <cell r="A6525" t="str">
            <v>EGON-ERET RINALDO</v>
          </cell>
          <cell r="B6525">
            <v>3435</v>
          </cell>
        </row>
        <row r="6526">
          <cell r="A6526" t="str">
            <v>MERIKE RING</v>
          </cell>
          <cell r="B6526">
            <v>2470</v>
          </cell>
        </row>
        <row r="6527">
          <cell r="A6527" t="str">
            <v>OTTO RINGO</v>
          </cell>
          <cell r="B6527">
            <v>5353</v>
          </cell>
        </row>
        <row r="6528">
          <cell r="A6528" t="str">
            <v>AARE RINGVEE</v>
          </cell>
          <cell r="B6528">
            <v>9039</v>
          </cell>
        </row>
        <row r="6529">
          <cell r="A6529" t="str">
            <v>MOA MELLANIE NOELLE RINNE</v>
          </cell>
          <cell r="B6529">
            <v>10331</v>
          </cell>
        </row>
        <row r="6530">
          <cell r="A6530" t="str">
            <v>REBECCA RIOMAR</v>
          </cell>
          <cell r="B6530">
            <v>8387</v>
          </cell>
        </row>
        <row r="6531">
          <cell r="A6531" t="str">
            <v>RENE RIOMAR</v>
          </cell>
          <cell r="B6531">
            <v>8179</v>
          </cell>
        </row>
        <row r="6532">
          <cell r="A6532" t="str">
            <v>MARILIIS RIPATS</v>
          </cell>
          <cell r="B6532">
            <v>2404</v>
          </cell>
        </row>
        <row r="6533">
          <cell r="A6533" t="str">
            <v>MARTIS RISBERGS</v>
          </cell>
          <cell r="B6533">
            <v>6262</v>
          </cell>
        </row>
        <row r="6534">
          <cell r="A6534" t="str">
            <v>DAVID RISINGER</v>
          </cell>
          <cell r="B6534">
            <v>9279</v>
          </cell>
        </row>
        <row r="6535">
          <cell r="A6535" t="str">
            <v>KĀRLIS RISTERS</v>
          </cell>
          <cell r="B6535">
            <v>10398</v>
          </cell>
        </row>
        <row r="6536">
          <cell r="A6536" t="str">
            <v>KEIRO RISTIKIVI</v>
          </cell>
          <cell r="B6536">
            <v>7878</v>
          </cell>
        </row>
        <row r="6537">
          <cell r="A6537" t="str">
            <v>KERIO RISTIKIVI</v>
          </cell>
          <cell r="B6537">
            <v>7829</v>
          </cell>
        </row>
        <row r="6538">
          <cell r="A6538" t="str">
            <v>KERLI RISTIKIVI</v>
          </cell>
          <cell r="B6538">
            <v>5528</v>
          </cell>
        </row>
        <row r="6539">
          <cell r="A6539" t="str">
            <v>MERILIN RISTISAAR</v>
          </cell>
          <cell r="B6539">
            <v>3394</v>
          </cell>
        </row>
        <row r="6540">
          <cell r="A6540" t="str">
            <v>REINO RISTISSAAR</v>
          </cell>
          <cell r="B6540">
            <v>1228</v>
          </cell>
        </row>
        <row r="6541">
          <cell r="A6541" t="str">
            <v>VEIKO RISTISSAAR</v>
          </cell>
          <cell r="B6541">
            <v>1227</v>
          </cell>
        </row>
        <row r="6542">
          <cell r="A6542" t="str">
            <v>RUDOLF RISTKOK</v>
          </cell>
          <cell r="B6542">
            <v>4480</v>
          </cell>
        </row>
        <row r="6543">
          <cell r="A6543" t="str">
            <v>AARE RISTMÄGI</v>
          </cell>
          <cell r="B6543">
            <v>10508</v>
          </cell>
        </row>
        <row r="6544">
          <cell r="A6544" t="str">
            <v>MATTIAS RISTMÄGI</v>
          </cell>
          <cell r="B6544">
            <v>4840</v>
          </cell>
        </row>
        <row r="6545">
          <cell r="A6545" t="str">
            <v>KATREEN RISTMETS</v>
          </cell>
          <cell r="B6545">
            <v>2535</v>
          </cell>
        </row>
        <row r="6546">
          <cell r="A6546" t="str">
            <v>KRIS-STEN RISTMETS</v>
          </cell>
          <cell r="B6546">
            <v>2463</v>
          </cell>
        </row>
        <row r="6547">
          <cell r="A6547" t="str">
            <v>INDREK RISTOJA</v>
          </cell>
          <cell r="B6547">
            <v>3878</v>
          </cell>
        </row>
        <row r="6548">
          <cell r="A6548" t="str">
            <v>PENTTI RITALAHTI</v>
          </cell>
          <cell r="B6548">
            <v>4966</v>
          </cell>
        </row>
        <row r="6549">
          <cell r="A6549" t="str">
            <v>JAANUS RITSON</v>
          </cell>
          <cell r="B6549">
            <v>8719</v>
          </cell>
        </row>
        <row r="6550">
          <cell r="A6550" t="str">
            <v>LAURA RITSON</v>
          </cell>
          <cell r="B6550">
            <v>4482</v>
          </cell>
        </row>
        <row r="6551">
          <cell r="A6551" t="str">
            <v>LIIS RITSON</v>
          </cell>
          <cell r="B6551">
            <v>4481</v>
          </cell>
        </row>
        <row r="6552">
          <cell r="A6552" t="str">
            <v>MARTEN RITSON</v>
          </cell>
          <cell r="B6552">
            <v>3286</v>
          </cell>
        </row>
        <row r="6553">
          <cell r="A6553" t="str">
            <v>PEETER RITSON</v>
          </cell>
          <cell r="B6553">
            <v>5594</v>
          </cell>
        </row>
        <row r="6554">
          <cell r="A6554" t="str">
            <v>REIMAR RITSON</v>
          </cell>
          <cell r="B6554">
            <v>3142</v>
          </cell>
        </row>
        <row r="6555">
          <cell r="A6555" t="str">
            <v>RIIVO RIVIMETS</v>
          </cell>
          <cell r="B6555">
            <v>7140</v>
          </cell>
        </row>
        <row r="6556">
          <cell r="A6556" t="str">
            <v>ANASTASSiA RJABININA</v>
          </cell>
          <cell r="B6556">
            <v>3879</v>
          </cell>
        </row>
        <row r="6557">
          <cell r="A6557" t="str">
            <v>ADRIANS NIKS RJABINOVS</v>
          </cell>
          <cell r="B6557">
            <v>9135</v>
          </cell>
        </row>
        <row r="6558">
          <cell r="A6558" t="str">
            <v>DARJA RJABOVA</v>
          </cell>
          <cell r="B6558">
            <v>2494</v>
          </cell>
        </row>
        <row r="6559">
          <cell r="A6559" t="str">
            <v>ALEX RJABTSOV</v>
          </cell>
          <cell r="B6559">
            <v>2111</v>
          </cell>
        </row>
        <row r="6560">
          <cell r="A6560" t="str">
            <v>INDREK ROASTO</v>
          </cell>
          <cell r="B6560">
            <v>1868</v>
          </cell>
        </row>
        <row r="6561">
          <cell r="A6561" t="str">
            <v>ROALD MATTIAS ROBAM</v>
          </cell>
          <cell r="B6561">
            <v>8834</v>
          </cell>
        </row>
        <row r="6562">
          <cell r="A6562" t="str">
            <v>SOFIA ROBBE</v>
          </cell>
          <cell r="B6562">
            <v>5505</v>
          </cell>
        </row>
        <row r="6563">
          <cell r="A6563" t="str">
            <v>JAMES DANIEL ROCK</v>
          </cell>
          <cell r="B6563">
            <v>6193</v>
          </cell>
        </row>
        <row r="6564">
          <cell r="A6564" t="str">
            <v>DANIELS RODEKOVS</v>
          </cell>
          <cell r="B6564">
            <v>2591</v>
          </cell>
        </row>
        <row r="6565">
          <cell r="A6565" t="str">
            <v>SOFIA RODIONOVA</v>
          </cell>
          <cell r="B6565">
            <v>10353</v>
          </cell>
        </row>
        <row r="6566">
          <cell r="A6566" t="str">
            <v>ANDRE RODRIQUEZ</v>
          </cell>
          <cell r="B6566">
            <v>3031</v>
          </cell>
        </row>
        <row r="6567">
          <cell r="A6567" t="str">
            <v>JANCARLO RODRIQUEZ</v>
          </cell>
          <cell r="B6567">
            <v>3030</v>
          </cell>
        </row>
        <row r="6568">
          <cell r="A6568" t="str">
            <v>FILIPP RODTSENKOV</v>
          </cell>
          <cell r="B6568">
            <v>9916</v>
          </cell>
        </row>
        <row r="6569">
          <cell r="A6569" t="str">
            <v>DIANA ROGUSHINA</v>
          </cell>
          <cell r="B6569">
            <v>1051</v>
          </cell>
        </row>
        <row r="6570">
          <cell r="A6570" t="str">
            <v>REMI ROHEMAA</v>
          </cell>
          <cell r="B6570">
            <v>6283</v>
          </cell>
        </row>
        <row r="6571">
          <cell r="A6571" t="str">
            <v>HELERIN ROHI</v>
          </cell>
          <cell r="B6571">
            <v>2007</v>
          </cell>
        </row>
        <row r="6572">
          <cell r="A6572" t="str">
            <v>HOLGER GLAF ROHI</v>
          </cell>
          <cell r="B6572">
            <v>3256</v>
          </cell>
        </row>
        <row r="6573">
          <cell r="A6573" t="str">
            <v>KERSTI ROHT</v>
          </cell>
          <cell r="B6573">
            <v>9154</v>
          </cell>
        </row>
        <row r="6574">
          <cell r="A6574" t="str">
            <v>GETLIN ROHTLA</v>
          </cell>
          <cell r="B6574">
            <v>2426</v>
          </cell>
        </row>
        <row r="6575">
          <cell r="A6575" t="str">
            <v>JAANUS ROHTLA</v>
          </cell>
          <cell r="B6575">
            <v>4841</v>
          </cell>
        </row>
        <row r="6576">
          <cell r="A6576" t="str">
            <v>MAIROLD ROHTLA</v>
          </cell>
          <cell r="B6576">
            <v>9299</v>
          </cell>
        </row>
        <row r="6577">
          <cell r="A6577" t="str">
            <v>MARTIN ROHTLA</v>
          </cell>
          <cell r="B6577">
            <v>8815</v>
          </cell>
        </row>
        <row r="6578">
          <cell r="A6578" t="str">
            <v>MATI ROHTLA</v>
          </cell>
          <cell r="B6578">
            <v>250</v>
          </cell>
        </row>
        <row r="6579">
          <cell r="A6579" t="str">
            <v>MIKK ROHTLA</v>
          </cell>
          <cell r="B6579">
            <v>9691</v>
          </cell>
        </row>
        <row r="6580">
          <cell r="A6580" t="str">
            <v>RICHARD ROHTLA</v>
          </cell>
          <cell r="B6580">
            <v>7963</v>
          </cell>
        </row>
        <row r="6581">
          <cell r="A6581" t="str">
            <v>SANDER ROHTLA</v>
          </cell>
          <cell r="B6581">
            <v>2740</v>
          </cell>
        </row>
        <row r="6582">
          <cell r="A6582" t="str">
            <v>ENELI ROHTOJA</v>
          </cell>
          <cell r="B6582">
            <v>1047</v>
          </cell>
        </row>
        <row r="6583">
          <cell r="A6583" t="str">
            <v>ERNO ROHTOJA</v>
          </cell>
          <cell r="B6583">
            <v>1180</v>
          </cell>
        </row>
        <row r="6584">
          <cell r="A6584" t="str">
            <v>HANNES ROHTSALU</v>
          </cell>
          <cell r="B6584">
            <v>1019</v>
          </cell>
        </row>
        <row r="6585">
          <cell r="A6585" t="str">
            <v>MARTIN ROHTSALU</v>
          </cell>
          <cell r="B6585">
            <v>951</v>
          </cell>
        </row>
        <row r="6586">
          <cell r="A6586" t="str">
            <v>ROLAND ROHUKÜLA</v>
          </cell>
          <cell r="B6586">
            <v>9376</v>
          </cell>
        </row>
        <row r="6587">
          <cell r="A6587" t="str">
            <v>MILVI ROHUMAA</v>
          </cell>
          <cell r="B6587">
            <v>1182</v>
          </cell>
        </row>
        <row r="6588">
          <cell r="A6588" t="str">
            <v>LEV ROJAK</v>
          </cell>
          <cell r="B6588">
            <v>7605</v>
          </cell>
        </row>
        <row r="6589">
          <cell r="A6589" t="str">
            <v>VLADIMIR ROJAK</v>
          </cell>
          <cell r="B6589">
            <v>345</v>
          </cell>
        </row>
        <row r="6590">
          <cell r="A6590" t="str">
            <v>VLADIMIR ROJAK</v>
          </cell>
          <cell r="B6590">
            <v>412</v>
          </cell>
        </row>
        <row r="6591">
          <cell r="A6591" t="str">
            <v>VEIKO ROLETSKY</v>
          </cell>
          <cell r="B6591">
            <v>5968</v>
          </cell>
        </row>
        <row r="6592">
          <cell r="A6592" t="str">
            <v>EMMA ROLIG</v>
          </cell>
          <cell r="B6592">
            <v>2047</v>
          </cell>
        </row>
        <row r="6593">
          <cell r="A6593" t="str">
            <v>RISTO ROMAN</v>
          </cell>
          <cell r="B6593">
            <v>293</v>
          </cell>
        </row>
        <row r="6594">
          <cell r="A6594" t="str">
            <v>ALEKSANDR ROMANENKO</v>
          </cell>
          <cell r="B6594">
            <v>7638</v>
          </cell>
        </row>
        <row r="6595">
          <cell r="A6595" t="str">
            <v>ANNA ROMANENKO</v>
          </cell>
          <cell r="B6595">
            <v>140</v>
          </cell>
        </row>
        <row r="6596">
          <cell r="A6596" t="str">
            <v>EDVARD ROMANENKO</v>
          </cell>
          <cell r="B6596">
            <v>7004</v>
          </cell>
        </row>
        <row r="6597">
          <cell r="A6597" t="str">
            <v>EVGENII ROMANENKO</v>
          </cell>
          <cell r="B6597">
            <v>9517</v>
          </cell>
        </row>
        <row r="6598">
          <cell r="A6598" t="str">
            <v>IVAN ROMANENKO</v>
          </cell>
          <cell r="B6598">
            <v>9815</v>
          </cell>
        </row>
        <row r="6599">
          <cell r="A6599" t="str">
            <v>OLIVIA-ALEKSANDRA ROMANENKO</v>
          </cell>
          <cell r="B6599">
            <v>9880</v>
          </cell>
        </row>
        <row r="6600">
          <cell r="A6600" t="str">
            <v>NINA ROMANJUTA</v>
          </cell>
          <cell r="B6600">
            <v>5488</v>
          </cell>
        </row>
        <row r="6601">
          <cell r="A6601" t="str">
            <v>ANDREI ROMANOV</v>
          </cell>
          <cell r="B6601">
            <v>10267</v>
          </cell>
        </row>
        <row r="6602">
          <cell r="A6602" t="str">
            <v>BOGDAN ROMANOV</v>
          </cell>
          <cell r="B6602">
            <v>10809</v>
          </cell>
        </row>
        <row r="6603">
          <cell r="A6603" t="str">
            <v>DMYTRO ROMANOV</v>
          </cell>
          <cell r="B6603">
            <v>9313</v>
          </cell>
        </row>
        <row r="6604">
          <cell r="A6604" t="str">
            <v>LARISSA ROMANOVA</v>
          </cell>
          <cell r="B6604">
            <v>110</v>
          </cell>
        </row>
        <row r="6605">
          <cell r="A6605" t="str">
            <v>MADARA ROMANOVSKA</v>
          </cell>
          <cell r="B6605">
            <v>1713</v>
          </cell>
        </row>
        <row r="6606">
          <cell r="A6606" t="str">
            <v>SERGEI ROMANSKI</v>
          </cell>
          <cell r="B6606">
            <v>9470</v>
          </cell>
        </row>
        <row r="6607">
          <cell r="A6607" t="str">
            <v>ANDRIAN ROMANTŠUK</v>
          </cell>
          <cell r="B6607">
            <v>10575</v>
          </cell>
        </row>
        <row r="6608">
          <cell r="A6608" t="str">
            <v>INNA ROMANTSOVA</v>
          </cell>
          <cell r="B6608">
            <v>1083</v>
          </cell>
        </row>
        <row r="6609">
          <cell r="A6609" t="str">
            <v>RUSTAM ROMANTSUK</v>
          </cell>
          <cell r="B6609">
            <v>1133</v>
          </cell>
        </row>
        <row r="6610">
          <cell r="A6610" t="str">
            <v>JANIS ROMERS</v>
          </cell>
          <cell r="B6610">
            <v>7166</v>
          </cell>
        </row>
        <row r="6611">
          <cell r="A6611" t="str">
            <v>RAIGO ROMMOT</v>
          </cell>
          <cell r="B6611">
            <v>7194</v>
          </cell>
        </row>
        <row r="6612">
          <cell r="A6612" t="str">
            <v>MIKKO RONDO</v>
          </cell>
          <cell r="B6612">
            <v>8405</v>
          </cell>
        </row>
        <row r="6613">
          <cell r="A6613" t="str">
            <v>HENRY RONIMOIS</v>
          </cell>
          <cell r="B6613">
            <v>2011</v>
          </cell>
        </row>
        <row r="6614">
          <cell r="A6614" t="str">
            <v>KRISTAPS RONIS</v>
          </cell>
          <cell r="B6614">
            <v>3242</v>
          </cell>
        </row>
        <row r="6615">
          <cell r="A6615" t="str">
            <v>ESPEN RONNEBERG</v>
          </cell>
          <cell r="B6615">
            <v>2216</v>
          </cell>
        </row>
        <row r="6616">
          <cell r="A6616" t="str">
            <v>PHILIP ROOBA</v>
          </cell>
          <cell r="B6616">
            <v>9005</v>
          </cell>
        </row>
        <row r="6617">
          <cell r="A6617" t="str">
            <v>ANDRES ROOGSOO</v>
          </cell>
          <cell r="B6617">
            <v>5491</v>
          </cell>
        </row>
        <row r="6618">
          <cell r="A6618" t="str">
            <v>MARTA ROOKS</v>
          </cell>
          <cell r="B6618">
            <v>4483</v>
          </cell>
        </row>
        <row r="6619">
          <cell r="A6619" t="str">
            <v>KARL-MARKUS ROOL</v>
          </cell>
          <cell r="B6619">
            <v>10509</v>
          </cell>
        </row>
        <row r="6620">
          <cell r="A6620" t="str">
            <v>RAIN-MAIT ROOMET</v>
          </cell>
          <cell r="B6620">
            <v>251</v>
          </cell>
        </row>
        <row r="6621">
          <cell r="A6621" t="str">
            <v>KRISTEL ROOP</v>
          </cell>
          <cell r="B6621">
            <v>2718</v>
          </cell>
        </row>
        <row r="6622">
          <cell r="A6622" t="str">
            <v>LIIVI ROOP</v>
          </cell>
          <cell r="B6622">
            <v>4484</v>
          </cell>
        </row>
        <row r="6623">
          <cell r="A6623" t="str">
            <v>AARE ROOS</v>
          </cell>
          <cell r="B6623">
            <v>2179</v>
          </cell>
        </row>
        <row r="6624">
          <cell r="A6624" t="str">
            <v>ALVAR ROOS</v>
          </cell>
          <cell r="B6624">
            <v>2074</v>
          </cell>
        </row>
        <row r="6625">
          <cell r="A6625" t="str">
            <v>ALVAR senior ROOS</v>
          </cell>
          <cell r="B6625">
            <v>4702</v>
          </cell>
        </row>
        <row r="6626">
          <cell r="A6626" t="str">
            <v>GENNADI ROOS</v>
          </cell>
          <cell r="B6626">
            <v>5590</v>
          </cell>
        </row>
        <row r="6627">
          <cell r="A6627" t="str">
            <v>HENRI ROOS</v>
          </cell>
          <cell r="B6627">
            <v>5067</v>
          </cell>
        </row>
        <row r="6628">
          <cell r="A6628" t="str">
            <v>LAURI ROOS</v>
          </cell>
          <cell r="B6628">
            <v>4790</v>
          </cell>
        </row>
        <row r="6629">
          <cell r="A6629" t="str">
            <v>RICHARD ROOS</v>
          </cell>
          <cell r="B6629">
            <v>7752</v>
          </cell>
        </row>
        <row r="6630">
          <cell r="A6630" t="str">
            <v>TÕNU ROOS</v>
          </cell>
          <cell r="B6630">
            <v>252</v>
          </cell>
        </row>
        <row r="6631">
          <cell r="A6631" t="str">
            <v>URMAS ROOS</v>
          </cell>
          <cell r="B6631">
            <v>9685</v>
          </cell>
        </row>
        <row r="6632">
          <cell r="A6632" t="str">
            <v>ENO ROOSI</v>
          </cell>
          <cell r="B6632">
            <v>7772</v>
          </cell>
        </row>
        <row r="6633">
          <cell r="A6633" t="str">
            <v>TIMO ROOSI</v>
          </cell>
          <cell r="B6633">
            <v>3626</v>
          </cell>
        </row>
        <row r="6634">
          <cell r="A6634" t="str">
            <v>JOHANNA ROOSIMÄGI</v>
          </cell>
          <cell r="B6634">
            <v>2723</v>
          </cell>
        </row>
        <row r="6635">
          <cell r="A6635" t="str">
            <v>REIGO ROOSIMETS</v>
          </cell>
          <cell r="B6635">
            <v>3113</v>
          </cell>
        </row>
        <row r="6636">
          <cell r="A6636" t="str">
            <v>RON ERIK ROOSINURM</v>
          </cell>
          <cell r="B6636">
            <v>8528</v>
          </cell>
        </row>
        <row r="6637">
          <cell r="A6637" t="str">
            <v>ILMAR ROOSMAA</v>
          </cell>
          <cell r="B6637">
            <v>5257</v>
          </cell>
        </row>
        <row r="6638">
          <cell r="A6638" t="str">
            <v>HANS ROBIN ROOSMANN</v>
          </cell>
          <cell r="B6638">
            <v>6142</v>
          </cell>
        </row>
        <row r="6639">
          <cell r="A6639" t="str">
            <v>ERKI ROOSME</v>
          </cell>
          <cell r="B6639">
            <v>10164</v>
          </cell>
        </row>
        <row r="6640">
          <cell r="A6640" t="str">
            <v>GETTER ROOSNA</v>
          </cell>
          <cell r="B6640">
            <v>3596</v>
          </cell>
        </row>
        <row r="6641">
          <cell r="A6641" t="str">
            <v>JORMA ROOSNA</v>
          </cell>
          <cell r="B6641">
            <v>1135</v>
          </cell>
        </row>
        <row r="6642">
          <cell r="A6642" t="str">
            <v>KAAREL ROOSNA</v>
          </cell>
          <cell r="B6642">
            <v>1136</v>
          </cell>
        </row>
        <row r="6643">
          <cell r="A6643" t="str">
            <v>MERIT ROOSNA</v>
          </cell>
          <cell r="B6643">
            <v>1437</v>
          </cell>
        </row>
        <row r="6644">
          <cell r="A6644" t="str">
            <v>RAUNO ROOSNA</v>
          </cell>
          <cell r="B6644">
            <v>9182</v>
          </cell>
        </row>
        <row r="6645">
          <cell r="A6645" t="str">
            <v>ROBIN ROOSNA</v>
          </cell>
          <cell r="B6645">
            <v>10418</v>
          </cell>
        </row>
        <row r="6646">
          <cell r="A6646" t="str">
            <v>ROBERT ROOST</v>
          </cell>
          <cell r="B6646">
            <v>7502</v>
          </cell>
        </row>
        <row r="6647">
          <cell r="A6647" t="str">
            <v>KARL ERIK ROOSTFELDT</v>
          </cell>
          <cell r="B6647">
            <v>8399</v>
          </cell>
        </row>
        <row r="6648">
          <cell r="A6648" t="str">
            <v>RAILI ROOSVE</v>
          </cell>
          <cell r="B6648">
            <v>9441</v>
          </cell>
        </row>
        <row r="6649">
          <cell r="A6649" t="str">
            <v>SANDER ROOSVE</v>
          </cell>
          <cell r="B6649">
            <v>4791</v>
          </cell>
        </row>
        <row r="6650">
          <cell r="A6650" t="str">
            <v>SIRLI ROOSVE</v>
          </cell>
          <cell r="B6650">
            <v>3676</v>
          </cell>
        </row>
        <row r="6651">
          <cell r="A6651" t="str">
            <v>ANTI ROOTS</v>
          </cell>
          <cell r="B6651">
            <v>10822</v>
          </cell>
        </row>
        <row r="6652">
          <cell r="A6652" t="str">
            <v>ANTS ROOTS</v>
          </cell>
          <cell r="B6652">
            <v>386</v>
          </cell>
        </row>
        <row r="6653">
          <cell r="A6653" t="str">
            <v>JANNO ROOTS</v>
          </cell>
          <cell r="B6653">
            <v>4942</v>
          </cell>
        </row>
        <row r="6654">
          <cell r="A6654" t="str">
            <v>KAR ERIK ROOTS</v>
          </cell>
          <cell r="B6654">
            <v>8117</v>
          </cell>
        </row>
        <row r="6655">
          <cell r="A6655" t="str">
            <v>LEM-LEONHARD ROOTS</v>
          </cell>
          <cell r="B6655">
            <v>10845</v>
          </cell>
        </row>
        <row r="6656">
          <cell r="A6656" t="str">
            <v>RAGNAR ROOTS</v>
          </cell>
          <cell r="B6656">
            <v>8436</v>
          </cell>
        </row>
        <row r="6657">
          <cell r="A6657" t="str">
            <v>RAIGO ROOTS</v>
          </cell>
          <cell r="B6657">
            <v>4485</v>
          </cell>
        </row>
        <row r="6658">
          <cell r="A6658" t="str">
            <v>RAIVO ROOTS</v>
          </cell>
          <cell r="B6658">
            <v>3451</v>
          </cell>
        </row>
        <row r="6659">
          <cell r="A6659" t="str">
            <v>THEO ROSEMEYER</v>
          </cell>
          <cell r="B6659">
            <v>10153</v>
          </cell>
        </row>
        <row r="6660">
          <cell r="A6660" t="str">
            <v>JOHAN ROSENBERG</v>
          </cell>
          <cell r="B6660">
            <v>2226</v>
          </cell>
        </row>
        <row r="6661">
          <cell r="A6661" t="str">
            <v>NETTI ROSENBERG</v>
          </cell>
          <cell r="B6661">
            <v>4486</v>
          </cell>
        </row>
        <row r="6662">
          <cell r="A6662" t="str">
            <v>REIKO ROSENBERG</v>
          </cell>
          <cell r="B6662">
            <v>3625</v>
          </cell>
        </row>
        <row r="6663">
          <cell r="A6663" t="str">
            <v>ALEKSANDR ROSENBLAT</v>
          </cell>
          <cell r="B6663">
            <v>3135</v>
          </cell>
        </row>
        <row r="6664">
          <cell r="A6664" t="str">
            <v>JONAS ROSENTHAL</v>
          </cell>
          <cell r="B6664">
            <v>858</v>
          </cell>
        </row>
        <row r="6665">
          <cell r="A6665" t="str">
            <v>MIA ROSENTHAL</v>
          </cell>
          <cell r="B6665">
            <v>10532</v>
          </cell>
        </row>
        <row r="6666">
          <cell r="A6666" t="str">
            <v>KAREL ROSIN</v>
          </cell>
          <cell r="B6666">
            <v>8897</v>
          </cell>
        </row>
        <row r="6667">
          <cell r="A6667" t="str">
            <v>LAURA-LOTTE ROSIN</v>
          </cell>
          <cell r="B6667">
            <v>2417</v>
          </cell>
        </row>
        <row r="6668">
          <cell r="A6668" t="str">
            <v>RAINO ROSIN</v>
          </cell>
          <cell r="B6668">
            <v>9207</v>
          </cell>
        </row>
        <row r="6669">
          <cell r="A6669" t="str">
            <v>JOHANNES ROSING</v>
          </cell>
          <cell r="B6669">
            <v>5512</v>
          </cell>
        </row>
        <row r="6670">
          <cell r="A6670" t="str">
            <v>ANDREI ROSKRUT</v>
          </cell>
          <cell r="B6670">
            <v>7186</v>
          </cell>
        </row>
        <row r="6671">
          <cell r="A6671" t="str">
            <v>ROBERT ROSMAN</v>
          </cell>
          <cell r="B6671">
            <v>10275</v>
          </cell>
        </row>
        <row r="6672">
          <cell r="A6672" t="str">
            <v>HENDRIK ROSSAR</v>
          </cell>
          <cell r="B6672">
            <v>8959</v>
          </cell>
        </row>
        <row r="6673">
          <cell r="A6673" t="str">
            <v>VJATŠESLAV ROSSOV</v>
          </cell>
          <cell r="B6673">
            <v>9791</v>
          </cell>
        </row>
        <row r="6674">
          <cell r="A6674" t="str">
            <v>ASKAR ROSTOVTSEV</v>
          </cell>
          <cell r="B6674">
            <v>4842</v>
          </cell>
        </row>
        <row r="6675">
          <cell r="A6675" t="str">
            <v>DAVID ROZENFELD</v>
          </cell>
          <cell r="B6675">
            <v>9529</v>
          </cell>
        </row>
        <row r="6676">
          <cell r="A6676" t="str">
            <v>MIA ROZENTHAL</v>
          </cell>
          <cell r="B6676">
            <v>10355</v>
          </cell>
        </row>
        <row r="6677">
          <cell r="A6677" t="str">
            <v>REINIS ROZENTĀLS</v>
          </cell>
          <cell r="B6677">
            <v>9669</v>
          </cell>
        </row>
        <row r="6678">
          <cell r="A6678" t="str">
            <v>FAUSTAS ROZGA</v>
          </cell>
          <cell r="B6678">
            <v>1282</v>
          </cell>
        </row>
        <row r="6679">
          <cell r="A6679" t="str">
            <v>DMITRI ROZGONJUK</v>
          </cell>
          <cell r="B6679">
            <v>4792</v>
          </cell>
        </row>
        <row r="6680">
          <cell r="A6680" t="str">
            <v>ILONA ROZKOVA</v>
          </cell>
          <cell r="B6680">
            <v>9795</v>
          </cell>
        </row>
        <row r="6681">
          <cell r="A6681" t="str">
            <v>SÖREN ROTHBERG</v>
          </cell>
          <cell r="B6681">
            <v>2936</v>
          </cell>
        </row>
        <row r="6682">
          <cell r="A6682" t="str">
            <v>OTILIJA ROTOMSKYTE</v>
          </cell>
          <cell r="B6682">
            <v>10232</v>
          </cell>
        </row>
        <row r="6683">
          <cell r="A6683" t="str">
            <v>ANNIKA ROUHIAINEN</v>
          </cell>
          <cell r="B6683">
            <v>2471</v>
          </cell>
        </row>
        <row r="6684">
          <cell r="A6684" t="str">
            <v>DAINA ROČĀNE</v>
          </cell>
          <cell r="B6684">
            <v>2530</v>
          </cell>
        </row>
        <row r="6685">
          <cell r="A6685" t="str">
            <v>FRED RUBEL</v>
          </cell>
          <cell r="B6685">
            <v>2053</v>
          </cell>
        </row>
        <row r="6686">
          <cell r="A6686" t="str">
            <v>RASMUS RUBEN</v>
          </cell>
          <cell r="B6686">
            <v>3881</v>
          </cell>
        </row>
        <row r="6687">
          <cell r="A6687" t="str">
            <v>RON-OSKAR RUBEN</v>
          </cell>
          <cell r="B6687">
            <v>9599</v>
          </cell>
        </row>
        <row r="6688">
          <cell r="A6688" t="str">
            <v>AIGARS RUBENIS</v>
          </cell>
          <cell r="B6688">
            <v>2251</v>
          </cell>
        </row>
        <row r="6689">
          <cell r="A6689" t="str">
            <v>BERGO RUBERG</v>
          </cell>
          <cell r="B6689">
            <v>4487</v>
          </cell>
        </row>
        <row r="6690">
          <cell r="A6690" t="str">
            <v>MATVEI RUBINCHIK</v>
          </cell>
          <cell r="B6690">
            <v>7106</v>
          </cell>
        </row>
        <row r="6691">
          <cell r="A6691" t="str">
            <v>JURIS RUCKANOVS</v>
          </cell>
          <cell r="B6691">
            <v>1723</v>
          </cell>
        </row>
        <row r="6692">
          <cell r="A6692" t="str">
            <v>ANASTASIJA RUDA</v>
          </cell>
          <cell r="B6692">
            <v>10660</v>
          </cell>
        </row>
        <row r="6693">
          <cell r="A6693" t="str">
            <v>ROMAN RUDALEV</v>
          </cell>
          <cell r="B6693">
            <v>8173</v>
          </cell>
        </row>
        <row r="6694">
          <cell r="A6694" t="str">
            <v>RUSLAN RUDENKO</v>
          </cell>
          <cell r="B6694">
            <v>10235</v>
          </cell>
        </row>
        <row r="6695">
          <cell r="A6695" t="str">
            <v>ARTURS RUDNIKOVS</v>
          </cell>
          <cell r="B6695">
            <v>2257</v>
          </cell>
        </row>
        <row r="6696">
          <cell r="A6696" t="str">
            <v>JURIJS RUDNIKOVS</v>
          </cell>
          <cell r="B6696">
            <v>2650</v>
          </cell>
        </row>
        <row r="6697">
          <cell r="A6697" t="str">
            <v>VITA RUGINYTE</v>
          </cell>
          <cell r="B6697">
            <v>7215</v>
          </cell>
        </row>
        <row r="6698">
          <cell r="A6698" t="str">
            <v>JOHANNES KONSTANTIN RUIN</v>
          </cell>
          <cell r="B6698">
            <v>7557</v>
          </cell>
        </row>
        <row r="6699">
          <cell r="A6699" t="str">
            <v>TAAGO RULL</v>
          </cell>
          <cell r="B6699">
            <v>2464</v>
          </cell>
        </row>
        <row r="6700">
          <cell r="A6700" t="str">
            <v>VERNER RULL</v>
          </cell>
          <cell r="B6700">
            <v>3346</v>
          </cell>
        </row>
        <row r="6701">
          <cell r="A6701" t="str">
            <v>ILJA RULOV</v>
          </cell>
          <cell r="B6701">
            <v>4488</v>
          </cell>
        </row>
        <row r="6702">
          <cell r="A6702" t="str">
            <v>ALEKSANDER RUMJANTSEV</v>
          </cell>
          <cell r="B6702">
            <v>1038</v>
          </cell>
        </row>
        <row r="6703">
          <cell r="A6703" t="str">
            <v>ANDREI RUMJANTSEV</v>
          </cell>
          <cell r="B6703">
            <v>255</v>
          </cell>
        </row>
        <row r="6704">
          <cell r="A6704" t="str">
            <v>JEGOR RUMJANTSEV</v>
          </cell>
          <cell r="B6704">
            <v>841</v>
          </cell>
        </row>
        <row r="6705">
          <cell r="A6705" t="str">
            <v>JEGOR RUMJANTSEV</v>
          </cell>
          <cell r="B6705">
            <v>10754</v>
          </cell>
        </row>
        <row r="6706">
          <cell r="A6706" t="str">
            <v>NIKITA RUMJANTSEV</v>
          </cell>
          <cell r="B6706">
            <v>8516</v>
          </cell>
        </row>
        <row r="6707">
          <cell r="A6707" t="str">
            <v>GEA RUMJANTSEVA</v>
          </cell>
          <cell r="B6707">
            <v>2842</v>
          </cell>
        </row>
        <row r="6708">
          <cell r="A6708" t="str">
            <v>ALLEX RUMMEL</v>
          </cell>
          <cell r="B6708">
            <v>5230</v>
          </cell>
        </row>
        <row r="6709">
          <cell r="A6709" t="str">
            <v>HUGO JAN RUMMEL</v>
          </cell>
          <cell r="B6709">
            <v>7879</v>
          </cell>
        </row>
        <row r="6710">
          <cell r="A6710" t="str">
            <v>JOEL RUMMEL</v>
          </cell>
          <cell r="B6710">
            <v>5910</v>
          </cell>
        </row>
        <row r="6711">
          <cell r="A6711" t="str">
            <v>ELIISABET RUMMO</v>
          </cell>
          <cell r="B6711">
            <v>6133</v>
          </cell>
        </row>
        <row r="6712">
          <cell r="A6712" t="str">
            <v>KERMO RUNGI</v>
          </cell>
          <cell r="B6712">
            <v>6083</v>
          </cell>
        </row>
        <row r="6713">
          <cell r="A6713" t="str">
            <v>VIRGO RUNNO</v>
          </cell>
          <cell r="B6713">
            <v>8332</v>
          </cell>
        </row>
        <row r="6714">
          <cell r="A6714" t="str">
            <v>ALEKSEI RUNOV</v>
          </cell>
          <cell r="B6714">
            <v>2156</v>
          </cell>
        </row>
        <row r="6715">
          <cell r="A6715" t="str">
            <v>ILKKA RUOKKALA</v>
          </cell>
          <cell r="B6715">
            <v>863</v>
          </cell>
        </row>
        <row r="6716">
          <cell r="A6716" t="str">
            <v>MARKKU RUOTSALAINEN</v>
          </cell>
          <cell r="B6716">
            <v>1547</v>
          </cell>
        </row>
        <row r="6717">
          <cell r="A6717" t="str">
            <v>PATRIK RUOTSALAINEN</v>
          </cell>
          <cell r="B6717">
            <v>4724</v>
          </cell>
        </row>
        <row r="6718">
          <cell r="A6718" t="str">
            <v>STEN RUSCH</v>
          </cell>
          <cell r="B6718">
            <v>6008</v>
          </cell>
        </row>
        <row r="6719">
          <cell r="A6719" t="str">
            <v>JĀNIS RUSELIS</v>
          </cell>
          <cell r="B6719">
            <v>10794</v>
          </cell>
        </row>
        <row r="6720">
          <cell r="A6720" t="str">
            <v>STEN RUSH</v>
          </cell>
          <cell r="B6720">
            <v>8394</v>
          </cell>
        </row>
        <row r="6721">
          <cell r="A6721" t="str">
            <v>KARL RUSI</v>
          </cell>
          <cell r="B6721">
            <v>2363</v>
          </cell>
        </row>
        <row r="6722">
          <cell r="A6722" t="str">
            <v>ANATOLI RUSINOV</v>
          </cell>
          <cell r="B6722">
            <v>4001</v>
          </cell>
        </row>
        <row r="6723">
          <cell r="A6723" t="str">
            <v>DIANA RUSINOVA</v>
          </cell>
          <cell r="B6723">
            <v>2759</v>
          </cell>
        </row>
        <row r="6724">
          <cell r="A6724" t="str">
            <v>MAKSIMS RUSINOVS</v>
          </cell>
          <cell r="B6724">
            <v>10397</v>
          </cell>
        </row>
        <row r="6725">
          <cell r="A6725" t="str">
            <v>GUNDARS RUSIS</v>
          </cell>
          <cell r="B6725">
            <v>518</v>
          </cell>
        </row>
        <row r="6726">
          <cell r="A6726" t="str">
            <v>ALJONA RUSSAKOVA</v>
          </cell>
          <cell r="B6726">
            <v>7242</v>
          </cell>
        </row>
        <row r="6727">
          <cell r="A6727" t="str">
            <v>LJUDMILA RUSSAKOVA</v>
          </cell>
          <cell r="B6727">
            <v>7241</v>
          </cell>
        </row>
        <row r="6728">
          <cell r="A6728" t="str">
            <v>MAKSIM RUSSKUL</v>
          </cell>
          <cell r="B6728">
            <v>9617</v>
          </cell>
        </row>
        <row r="6729">
          <cell r="A6729" t="str">
            <v>RASMUS RUUBEL</v>
          </cell>
          <cell r="B6729">
            <v>10604</v>
          </cell>
        </row>
        <row r="6730">
          <cell r="A6730" t="str">
            <v>HELENA RUUD</v>
          </cell>
          <cell r="B6730">
            <v>4489</v>
          </cell>
        </row>
        <row r="6731">
          <cell r="A6731" t="str">
            <v>ENN RUUKEL</v>
          </cell>
          <cell r="B6731">
            <v>1487</v>
          </cell>
        </row>
        <row r="6732">
          <cell r="A6732" t="str">
            <v>MATI RUUL</v>
          </cell>
          <cell r="B6732">
            <v>3098</v>
          </cell>
        </row>
        <row r="6733">
          <cell r="A6733" t="str">
            <v>SIIM RUUL</v>
          </cell>
          <cell r="B6733">
            <v>1792</v>
          </cell>
        </row>
        <row r="6734">
          <cell r="A6734" t="str">
            <v>KADI RUUMET</v>
          </cell>
          <cell r="B6734">
            <v>8264</v>
          </cell>
        </row>
        <row r="6735">
          <cell r="A6735" t="str">
            <v>KAISA RUUMET</v>
          </cell>
          <cell r="B6735">
            <v>8653</v>
          </cell>
        </row>
        <row r="6736">
          <cell r="A6736" t="str">
            <v>KARL AUGUST RUUSALEPP</v>
          </cell>
          <cell r="B6736">
            <v>8242</v>
          </cell>
        </row>
        <row r="6737">
          <cell r="A6737" t="str">
            <v>JANI RUUSKANEN</v>
          </cell>
          <cell r="B6737">
            <v>10469</v>
          </cell>
        </row>
        <row r="6738">
          <cell r="A6738" t="str">
            <v>JARI RUUSKANEN</v>
          </cell>
          <cell r="B6738">
            <v>8343</v>
          </cell>
        </row>
        <row r="6739">
          <cell r="A6739" t="str">
            <v>ARNE RUUSMANN</v>
          </cell>
          <cell r="B6739">
            <v>2811</v>
          </cell>
        </row>
        <row r="6740">
          <cell r="A6740" t="str">
            <v>REELIKA RUUSMANN</v>
          </cell>
          <cell r="B6740">
            <v>1111</v>
          </cell>
        </row>
        <row r="6741">
          <cell r="A6741" t="str">
            <v>HANNES RUUT</v>
          </cell>
          <cell r="B6741">
            <v>2107</v>
          </cell>
        </row>
        <row r="6742">
          <cell r="A6742" t="str">
            <v>JAANUS RUUT</v>
          </cell>
          <cell r="B6742">
            <v>384</v>
          </cell>
        </row>
        <row r="6743">
          <cell r="A6743" t="str">
            <v>PÄRTEL RUUT</v>
          </cell>
          <cell r="B6743">
            <v>6270</v>
          </cell>
        </row>
        <row r="6744">
          <cell r="A6744" t="str">
            <v>AARNE RUUTO</v>
          </cell>
          <cell r="B6744">
            <v>4703</v>
          </cell>
        </row>
        <row r="6745">
          <cell r="A6745" t="str">
            <v>AVO RUUTO</v>
          </cell>
          <cell r="B6745">
            <v>4704</v>
          </cell>
        </row>
        <row r="6746">
          <cell r="A6746" t="str">
            <v>GERT RUUTO</v>
          </cell>
          <cell r="B6746">
            <v>7184</v>
          </cell>
        </row>
        <row r="6747">
          <cell r="A6747" t="str">
            <v>MARIO RUUTO</v>
          </cell>
          <cell r="B6747">
            <v>4706</v>
          </cell>
        </row>
        <row r="6748">
          <cell r="A6748" t="str">
            <v>MARIS RUUTO</v>
          </cell>
          <cell r="B6748">
            <v>6129</v>
          </cell>
        </row>
        <row r="6749">
          <cell r="A6749" t="str">
            <v>INGE RUUTSAAR</v>
          </cell>
          <cell r="B6749">
            <v>9462</v>
          </cell>
        </row>
        <row r="6750">
          <cell r="A6750" t="str">
            <v>HANNALIIS RUUVER</v>
          </cell>
          <cell r="B6750">
            <v>4025</v>
          </cell>
        </row>
        <row r="6751">
          <cell r="A6751" t="str">
            <v>VLADYSLAV RYBACHOK</v>
          </cell>
          <cell r="B6751">
            <v>10100</v>
          </cell>
        </row>
        <row r="6752">
          <cell r="A6752" t="str">
            <v>ARTURAS RYBAKAS</v>
          </cell>
          <cell r="B6752">
            <v>1935</v>
          </cell>
        </row>
        <row r="6753">
          <cell r="A6753" t="str">
            <v>ELIZAVETA RYBAKOVA</v>
          </cell>
          <cell r="B6753">
            <v>3007</v>
          </cell>
        </row>
        <row r="6754">
          <cell r="A6754" t="str">
            <v>ANDREY RYBINSKI</v>
          </cell>
          <cell r="B6754">
            <v>8291</v>
          </cell>
        </row>
        <row r="6755">
          <cell r="A6755" t="str">
            <v>SERGEY RYTSEV</v>
          </cell>
          <cell r="B6755">
            <v>8901</v>
          </cell>
        </row>
        <row r="6756">
          <cell r="A6756" t="str">
            <v>ANNABEL SÖÖT</v>
          </cell>
          <cell r="B6756">
            <v>5893</v>
          </cell>
        </row>
        <row r="6757">
          <cell r="A6757" t="str">
            <v>LAURA SÖÖT</v>
          </cell>
          <cell r="B6757">
            <v>5894</v>
          </cell>
        </row>
        <row r="6758">
          <cell r="A6758" t="str">
            <v>RONAN SÖÖT</v>
          </cell>
          <cell r="B6758">
            <v>7252</v>
          </cell>
        </row>
        <row r="6759">
          <cell r="A6759" t="str">
            <v>RAIDO SÖÖTMAA</v>
          </cell>
          <cell r="B6759">
            <v>2912</v>
          </cell>
        </row>
        <row r="6760">
          <cell r="A6760" t="str">
            <v>RAIKO SÖÖTMAA</v>
          </cell>
          <cell r="B6760">
            <v>2826</v>
          </cell>
        </row>
        <row r="6761">
          <cell r="A6761" t="str">
            <v>TORMI SÄÄRTIS</v>
          </cell>
          <cell r="B6761">
            <v>8477</v>
          </cell>
        </row>
        <row r="6762">
          <cell r="A6762" t="str">
            <v>BERIT SÄDE</v>
          </cell>
          <cell r="B6762">
            <v>4548</v>
          </cell>
        </row>
        <row r="6763">
          <cell r="A6763" t="str">
            <v>HARLEY SÄDE</v>
          </cell>
          <cell r="B6763">
            <v>3600</v>
          </cell>
        </row>
        <row r="6764">
          <cell r="A6764" t="str">
            <v>KAROLINA EMILIA SÄDE</v>
          </cell>
          <cell r="B6764">
            <v>5373</v>
          </cell>
        </row>
        <row r="6765">
          <cell r="A6765" t="str">
            <v>TANEL SÄDE</v>
          </cell>
          <cell r="B6765">
            <v>3271</v>
          </cell>
        </row>
        <row r="6766">
          <cell r="A6766" t="str">
            <v>MART OSKAR SÄHKA</v>
          </cell>
          <cell r="B6766">
            <v>7850</v>
          </cell>
        </row>
        <row r="6767">
          <cell r="A6767" t="str">
            <v>HENRI SÄREV</v>
          </cell>
          <cell r="B6767">
            <v>7031</v>
          </cell>
        </row>
        <row r="6768">
          <cell r="A6768" t="str">
            <v>MIHKEL SÄREV</v>
          </cell>
          <cell r="B6768">
            <v>2713</v>
          </cell>
        </row>
        <row r="6769">
          <cell r="A6769" t="str">
            <v>MART SÄRG</v>
          </cell>
          <cell r="B6769">
            <v>1837</v>
          </cell>
        </row>
        <row r="6770">
          <cell r="A6770" t="str">
            <v>TIINA SÄRG</v>
          </cell>
          <cell r="B6770">
            <v>1981</v>
          </cell>
        </row>
        <row r="6771">
          <cell r="A6771" t="str">
            <v>TANEL SÄRGAVA</v>
          </cell>
          <cell r="B6771">
            <v>8163</v>
          </cell>
        </row>
        <row r="6772">
          <cell r="A6772" t="str">
            <v>EMMA SÕÕRD</v>
          </cell>
          <cell r="B6772">
            <v>9556</v>
          </cell>
        </row>
        <row r="6773">
          <cell r="A6773" t="str">
            <v>ENN SÕÕRUMAA</v>
          </cell>
          <cell r="B6773">
            <v>4801</v>
          </cell>
        </row>
        <row r="6774">
          <cell r="A6774" t="str">
            <v>MARGUS SÕÕRUMAA</v>
          </cell>
          <cell r="B6774">
            <v>9075</v>
          </cell>
        </row>
        <row r="6775">
          <cell r="A6775" t="str">
            <v>SANDER SÕÕRUMAA</v>
          </cell>
          <cell r="B6775">
            <v>9076</v>
          </cell>
        </row>
        <row r="6776">
          <cell r="A6776" t="str">
            <v>ELION SÕBER</v>
          </cell>
          <cell r="B6776">
            <v>2483</v>
          </cell>
        </row>
        <row r="6777">
          <cell r="A6777" t="str">
            <v>KRISTI SÕBER</v>
          </cell>
          <cell r="B6777">
            <v>1104</v>
          </cell>
        </row>
        <row r="6778">
          <cell r="A6778" t="str">
            <v>TORMI SÕBER</v>
          </cell>
          <cell r="B6778">
            <v>6205</v>
          </cell>
        </row>
        <row r="6779">
          <cell r="A6779" t="str">
            <v>KRISTO SÕITJA</v>
          </cell>
          <cell r="B6779">
            <v>2201</v>
          </cell>
        </row>
        <row r="6780">
          <cell r="A6780" t="str">
            <v>AGNES SÕLG</v>
          </cell>
          <cell r="B6780">
            <v>1701</v>
          </cell>
        </row>
        <row r="6781">
          <cell r="A6781" t="str">
            <v>SANDER SÕNAJALG</v>
          </cell>
          <cell r="B6781">
            <v>8032</v>
          </cell>
        </row>
        <row r="6782">
          <cell r="A6782" t="str">
            <v>TARVI SÕRMUS</v>
          </cell>
          <cell r="B6782">
            <v>10419</v>
          </cell>
        </row>
        <row r="6783">
          <cell r="A6783" t="str">
            <v>NIKITA SÕTSOV</v>
          </cell>
          <cell r="B6783">
            <v>10620</v>
          </cell>
        </row>
        <row r="6784">
          <cell r="A6784" t="str">
            <v>HELENA SÕUDME</v>
          </cell>
          <cell r="B6784">
            <v>5418</v>
          </cell>
        </row>
        <row r="6785">
          <cell r="A6785" t="str">
            <v>ERNST MARTIN SÕUHAND</v>
          </cell>
          <cell r="B6785">
            <v>2160</v>
          </cell>
        </row>
        <row r="6786">
          <cell r="A6786" t="str">
            <v>ENDRIK ALLEN SAAGIM</v>
          </cell>
          <cell r="B6786">
            <v>4961</v>
          </cell>
        </row>
        <row r="6787">
          <cell r="A6787" t="str">
            <v>PATRIK SAAGIM</v>
          </cell>
          <cell r="B6787">
            <v>4962</v>
          </cell>
        </row>
        <row r="6788">
          <cell r="A6788" t="str">
            <v>KERTU SAAGPAKK</v>
          </cell>
          <cell r="B6788">
            <v>3969</v>
          </cell>
        </row>
        <row r="6789">
          <cell r="A6789" t="str">
            <v>JAANO SAAMEN</v>
          </cell>
          <cell r="B6789">
            <v>8966</v>
          </cell>
        </row>
        <row r="6790">
          <cell r="A6790" t="str">
            <v>PILLE SAAN</v>
          </cell>
          <cell r="B6790">
            <v>1052</v>
          </cell>
        </row>
        <row r="6791">
          <cell r="A6791" t="str">
            <v>TRIINU SAAN</v>
          </cell>
          <cell r="B6791">
            <v>1155</v>
          </cell>
        </row>
        <row r="6792">
          <cell r="A6792" t="str">
            <v>LEA SAAPAR</v>
          </cell>
          <cell r="B6792">
            <v>7564</v>
          </cell>
        </row>
        <row r="6793">
          <cell r="A6793" t="str">
            <v>AARON SAAR</v>
          </cell>
          <cell r="B6793">
            <v>8265</v>
          </cell>
        </row>
        <row r="6794">
          <cell r="A6794" t="str">
            <v>AHTO SAAR</v>
          </cell>
          <cell r="B6794">
            <v>2659</v>
          </cell>
        </row>
        <row r="6795">
          <cell r="A6795" t="str">
            <v>ALARI SAAR</v>
          </cell>
          <cell r="B6795">
            <v>2799</v>
          </cell>
        </row>
        <row r="6796">
          <cell r="A6796" t="str">
            <v>GALINA SAAR</v>
          </cell>
          <cell r="B6796">
            <v>3951</v>
          </cell>
        </row>
        <row r="6797">
          <cell r="A6797" t="str">
            <v>JAAN SAAR</v>
          </cell>
          <cell r="B6797">
            <v>2529</v>
          </cell>
        </row>
        <row r="6798">
          <cell r="A6798" t="str">
            <v>JAANA SAAR</v>
          </cell>
          <cell r="B6798">
            <v>4708</v>
          </cell>
        </row>
        <row r="6799">
          <cell r="A6799" t="str">
            <v>JANEK SAAR</v>
          </cell>
          <cell r="B6799">
            <v>1165</v>
          </cell>
        </row>
        <row r="6800">
          <cell r="A6800" t="str">
            <v>JÜRI SAAR</v>
          </cell>
          <cell r="B6800">
            <v>3882</v>
          </cell>
        </row>
        <row r="6801">
          <cell r="A6801" t="str">
            <v>KARL MARTEN SAAR</v>
          </cell>
          <cell r="B6801">
            <v>10630</v>
          </cell>
        </row>
        <row r="6802">
          <cell r="A6802" t="str">
            <v>KARL-HENDRIK SAAR</v>
          </cell>
          <cell r="B6802">
            <v>9862</v>
          </cell>
        </row>
        <row r="6803">
          <cell r="A6803" t="str">
            <v>KEVIN SAAR</v>
          </cell>
          <cell r="B6803">
            <v>2874</v>
          </cell>
        </row>
        <row r="6804">
          <cell r="A6804" t="str">
            <v>MARGO SAAR</v>
          </cell>
          <cell r="B6804">
            <v>10629</v>
          </cell>
        </row>
        <row r="6805">
          <cell r="A6805" t="str">
            <v>MARK SVERKEN SAAR</v>
          </cell>
          <cell r="B6805">
            <v>7562</v>
          </cell>
        </row>
        <row r="6806">
          <cell r="A6806" t="str">
            <v>MARTIN SAAR</v>
          </cell>
          <cell r="B6806">
            <v>9129</v>
          </cell>
        </row>
        <row r="6807">
          <cell r="A6807" t="str">
            <v>MATI SAAR</v>
          </cell>
          <cell r="B6807">
            <v>3950</v>
          </cell>
        </row>
        <row r="6808">
          <cell r="A6808" t="str">
            <v>MERIT SAAR</v>
          </cell>
          <cell r="B6808">
            <v>4709</v>
          </cell>
        </row>
        <row r="6809">
          <cell r="A6809" t="str">
            <v>PAUL TOBIAS SAAR</v>
          </cell>
          <cell r="B6809">
            <v>7725</v>
          </cell>
        </row>
        <row r="6810">
          <cell r="A6810" t="str">
            <v>RAIDI SAAR</v>
          </cell>
          <cell r="B6810">
            <v>1974</v>
          </cell>
        </row>
        <row r="6811">
          <cell r="A6811" t="str">
            <v>REIMO SAAR</v>
          </cell>
          <cell r="B6811">
            <v>1371</v>
          </cell>
        </row>
        <row r="6812">
          <cell r="A6812" t="str">
            <v>ROCCO SLIVERT SAAR</v>
          </cell>
          <cell r="B6812">
            <v>7754</v>
          </cell>
        </row>
        <row r="6813">
          <cell r="A6813" t="str">
            <v>SIIM SAAR</v>
          </cell>
          <cell r="B6813">
            <v>5011</v>
          </cell>
        </row>
        <row r="6814">
          <cell r="A6814" t="str">
            <v>TOOMAS SAAR</v>
          </cell>
          <cell r="B6814">
            <v>257</v>
          </cell>
        </row>
        <row r="6815">
          <cell r="A6815" t="str">
            <v>SANDER SAARD</v>
          </cell>
          <cell r="B6815">
            <v>6990</v>
          </cell>
        </row>
        <row r="6816">
          <cell r="A6816" t="str">
            <v>STEN SAARE</v>
          </cell>
          <cell r="B6816">
            <v>8351</v>
          </cell>
        </row>
        <row r="6817">
          <cell r="A6817" t="str">
            <v>JAAN SAAREM</v>
          </cell>
          <cell r="B6817">
            <v>4491</v>
          </cell>
        </row>
        <row r="6818">
          <cell r="A6818" t="str">
            <v>KASPAR SAAREM</v>
          </cell>
          <cell r="B6818">
            <v>5332</v>
          </cell>
        </row>
        <row r="6819">
          <cell r="A6819" t="str">
            <v>SANDER SAAREM</v>
          </cell>
          <cell r="B6819">
            <v>10443</v>
          </cell>
        </row>
        <row r="6820">
          <cell r="A6820" t="str">
            <v>TAAVI SAAREM</v>
          </cell>
          <cell r="B6820">
            <v>1640</v>
          </cell>
        </row>
        <row r="6821">
          <cell r="A6821" t="str">
            <v>RIVO SAAREMÄE</v>
          </cell>
          <cell r="B6821">
            <v>1745</v>
          </cell>
        </row>
        <row r="6822">
          <cell r="A6822" t="str">
            <v>STEN SAAREMÄE</v>
          </cell>
          <cell r="B6822">
            <v>2118</v>
          </cell>
        </row>
        <row r="6823">
          <cell r="A6823" t="str">
            <v>AVE SAAREMÄGI</v>
          </cell>
          <cell r="B6823">
            <v>8478</v>
          </cell>
        </row>
        <row r="6824">
          <cell r="A6824" t="str">
            <v>ERKKI SAAREMETS</v>
          </cell>
          <cell r="B6824">
            <v>8215</v>
          </cell>
        </row>
        <row r="6825">
          <cell r="A6825" t="str">
            <v>MIHKEL SAAREMETS</v>
          </cell>
          <cell r="B6825">
            <v>3581</v>
          </cell>
        </row>
        <row r="6826">
          <cell r="A6826" t="str">
            <v>PILLE-RIIN SAAREPERE</v>
          </cell>
          <cell r="B6826">
            <v>2395</v>
          </cell>
        </row>
        <row r="6827">
          <cell r="A6827" t="str">
            <v>ALLAN SAARISTE</v>
          </cell>
          <cell r="B6827">
            <v>1566</v>
          </cell>
        </row>
        <row r="6828">
          <cell r="A6828" t="str">
            <v>MIHKEL SAARISTE</v>
          </cell>
          <cell r="B6828">
            <v>7880</v>
          </cell>
        </row>
        <row r="6829">
          <cell r="A6829" t="str">
            <v>FREDY SAARM</v>
          </cell>
          <cell r="B6829">
            <v>1568</v>
          </cell>
        </row>
        <row r="6830">
          <cell r="A6830" t="str">
            <v>MARION SAARMA</v>
          </cell>
          <cell r="B6830">
            <v>2578</v>
          </cell>
        </row>
        <row r="6831">
          <cell r="A6831" t="str">
            <v>FRED SAARMÄE</v>
          </cell>
          <cell r="B6831">
            <v>3883</v>
          </cell>
        </row>
        <row r="6832">
          <cell r="A6832" t="str">
            <v>SANDRA SAARMÄE</v>
          </cell>
          <cell r="B6832">
            <v>4492</v>
          </cell>
        </row>
        <row r="6833">
          <cell r="A6833" t="str">
            <v>STEN-MATHIAS SAARMAN</v>
          </cell>
          <cell r="B6833">
            <v>10447</v>
          </cell>
        </row>
        <row r="6834">
          <cell r="A6834" t="str">
            <v>GREGORI SAARNA</v>
          </cell>
          <cell r="B6834">
            <v>9902</v>
          </cell>
        </row>
        <row r="6835">
          <cell r="A6835" t="str">
            <v>KADI SAARNA</v>
          </cell>
          <cell r="B6835">
            <v>4493</v>
          </cell>
        </row>
        <row r="6836">
          <cell r="A6836" t="str">
            <v>STEVEN SAARNA</v>
          </cell>
          <cell r="B6836">
            <v>9901</v>
          </cell>
        </row>
        <row r="6837">
          <cell r="A6837" t="str">
            <v>STIMO SAARNA</v>
          </cell>
          <cell r="B6837">
            <v>10043</v>
          </cell>
        </row>
        <row r="6838">
          <cell r="A6838" t="str">
            <v>TUULI SAARNIIT</v>
          </cell>
          <cell r="B6838">
            <v>8722</v>
          </cell>
        </row>
        <row r="6839">
          <cell r="A6839" t="str">
            <v>ILKKA SAARNILEHTO</v>
          </cell>
          <cell r="B6839">
            <v>3029</v>
          </cell>
        </row>
        <row r="6840">
          <cell r="A6840" t="str">
            <v>SVEN SAARPERE</v>
          </cell>
          <cell r="B6840">
            <v>4494</v>
          </cell>
        </row>
        <row r="6841">
          <cell r="A6841" t="str">
            <v>TÕNIS SAART</v>
          </cell>
          <cell r="B6841">
            <v>1971</v>
          </cell>
        </row>
        <row r="6842">
          <cell r="A6842" t="str">
            <v>ERIK SAARTS</v>
          </cell>
          <cell r="B6842">
            <v>8921</v>
          </cell>
        </row>
        <row r="6843">
          <cell r="A6843" t="str">
            <v>KRISTJAN SAAT</v>
          </cell>
          <cell r="B6843">
            <v>1039</v>
          </cell>
        </row>
        <row r="6844">
          <cell r="A6844" t="str">
            <v>JÜRI SAATMÄE</v>
          </cell>
          <cell r="B6844">
            <v>5554</v>
          </cell>
        </row>
        <row r="6845">
          <cell r="A6845" t="str">
            <v>KAARO SAATMÄE</v>
          </cell>
          <cell r="B6845">
            <v>5529</v>
          </cell>
        </row>
        <row r="6846">
          <cell r="A6846" t="str">
            <v>KULLA SAATMÄE</v>
          </cell>
          <cell r="B6846">
            <v>5937</v>
          </cell>
        </row>
        <row r="6847">
          <cell r="A6847" t="str">
            <v>RIHO-ATS SAATVÄLI</v>
          </cell>
          <cell r="B6847">
            <v>7145</v>
          </cell>
        </row>
        <row r="6848">
          <cell r="A6848" t="str">
            <v>AUGUSTAS SABALIAUSKAS</v>
          </cell>
          <cell r="B6848">
            <v>8016</v>
          </cell>
        </row>
        <row r="6849">
          <cell r="A6849" t="str">
            <v>ROMAN SABANOV</v>
          </cell>
          <cell r="B6849">
            <v>4496</v>
          </cell>
        </row>
        <row r="6850">
          <cell r="A6850" t="str">
            <v>TIBOR SABO</v>
          </cell>
          <cell r="B6850">
            <v>10761</v>
          </cell>
        </row>
        <row r="6851">
          <cell r="A6851" t="str">
            <v>MATI SADAM</v>
          </cell>
          <cell r="B6851">
            <v>5290</v>
          </cell>
        </row>
        <row r="6852">
          <cell r="A6852" t="str">
            <v>NIKOLAI SADIK</v>
          </cell>
          <cell r="B6852">
            <v>3062</v>
          </cell>
        </row>
        <row r="6853">
          <cell r="A6853" t="str">
            <v>CATHY SAEM</v>
          </cell>
          <cell r="B6853">
            <v>4793</v>
          </cell>
        </row>
        <row r="6854">
          <cell r="A6854" t="str">
            <v>OLEG SAFONOV</v>
          </cell>
          <cell r="B6854">
            <v>409</v>
          </cell>
        </row>
        <row r="6855">
          <cell r="A6855" t="str">
            <v>SERGEI SAFONOV</v>
          </cell>
          <cell r="B6855">
            <v>7711</v>
          </cell>
        </row>
        <row r="6856">
          <cell r="A6856" t="str">
            <v>JANNO SAFRONOV</v>
          </cell>
          <cell r="B6856">
            <v>1914</v>
          </cell>
        </row>
        <row r="6857">
          <cell r="A6857" t="str">
            <v>RAINAR SAGAR</v>
          </cell>
          <cell r="B6857">
            <v>9392</v>
          </cell>
        </row>
        <row r="6858">
          <cell r="A6858" t="str">
            <v>ALEXANDER SAGOR</v>
          </cell>
          <cell r="B6858">
            <v>8397</v>
          </cell>
        </row>
        <row r="6859">
          <cell r="A6859" t="str">
            <v>EVELY SAGOR</v>
          </cell>
          <cell r="B6859">
            <v>4843</v>
          </cell>
        </row>
        <row r="6860">
          <cell r="A6860" t="str">
            <v>KALVI SAGOR</v>
          </cell>
          <cell r="B6860">
            <v>3668</v>
          </cell>
        </row>
        <row r="6861">
          <cell r="A6861" t="str">
            <v>PÄRTEL SAGOR</v>
          </cell>
          <cell r="B6861">
            <v>3694</v>
          </cell>
        </row>
        <row r="6862">
          <cell r="A6862" t="str">
            <v>ARTUR SAHHAROV</v>
          </cell>
          <cell r="B6862">
            <v>10550</v>
          </cell>
        </row>
        <row r="6863">
          <cell r="A6863" t="str">
            <v>KRISTJAN SAHHAROV</v>
          </cell>
          <cell r="B6863">
            <v>10551</v>
          </cell>
        </row>
        <row r="6864">
          <cell r="A6864" t="str">
            <v>ANDRES SAHKUR</v>
          </cell>
          <cell r="B6864">
            <v>1226</v>
          </cell>
        </row>
        <row r="6865">
          <cell r="A6865" t="str">
            <v>JANNE-RIIN SAHKUR</v>
          </cell>
          <cell r="B6865">
            <v>4498</v>
          </cell>
        </row>
        <row r="6866">
          <cell r="A6866" t="str">
            <v>RAMIZ SAIHUDTINOV</v>
          </cell>
          <cell r="B6866">
            <v>1394</v>
          </cell>
        </row>
        <row r="6867">
          <cell r="A6867" t="str">
            <v>OSKAR-IMRE SAIK</v>
          </cell>
          <cell r="B6867">
            <v>4916</v>
          </cell>
        </row>
        <row r="6868">
          <cell r="A6868" t="str">
            <v>ANDREI SAJENKO</v>
          </cell>
          <cell r="B6868">
            <v>4499</v>
          </cell>
        </row>
        <row r="6869">
          <cell r="A6869" t="str">
            <v>MARKO SAKEUS</v>
          </cell>
          <cell r="B6869">
            <v>3382</v>
          </cell>
        </row>
        <row r="6870">
          <cell r="A6870" t="str">
            <v>ALBERT SAKOV</v>
          </cell>
          <cell r="B6870">
            <v>889</v>
          </cell>
        </row>
        <row r="6871">
          <cell r="A6871" t="str">
            <v>MARIA SAKOVA</v>
          </cell>
          <cell r="B6871">
            <v>1069</v>
          </cell>
        </row>
        <row r="6872">
          <cell r="A6872" t="str">
            <v>ANTS SAKS</v>
          </cell>
          <cell r="B6872">
            <v>2976</v>
          </cell>
        </row>
        <row r="6873">
          <cell r="A6873" t="str">
            <v>KAI SAKS</v>
          </cell>
          <cell r="B6873">
            <v>8906</v>
          </cell>
        </row>
        <row r="6874">
          <cell r="A6874" t="str">
            <v>LAURI SAKS</v>
          </cell>
          <cell r="B6874">
            <v>4753</v>
          </cell>
        </row>
        <row r="6875">
          <cell r="A6875" t="str">
            <v>SANDER SAKS</v>
          </cell>
          <cell r="B6875">
            <v>7162</v>
          </cell>
        </row>
        <row r="6876">
          <cell r="A6876" t="str">
            <v>TOOMAS SAKSALADU</v>
          </cell>
          <cell r="B6876">
            <v>8924</v>
          </cell>
        </row>
        <row r="6877">
          <cell r="A6877" t="str">
            <v>ALEKSANDR SALDATSENKA</v>
          </cell>
          <cell r="B6877">
            <v>4500</v>
          </cell>
        </row>
        <row r="6878">
          <cell r="A6878" t="str">
            <v>SIBILLA SALGRAVE</v>
          </cell>
          <cell r="B6878">
            <v>5179</v>
          </cell>
        </row>
        <row r="6879">
          <cell r="A6879" t="str">
            <v>MIE SCHOU SALHAUGE</v>
          </cell>
          <cell r="B6879">
            <v>9429</v>
          </cell>
        </row>
        <row r="6880">
          <cell r="A6880" t="str">
            <v>ANTON SALININ</v>
          </cell>
          <cell r="B6880">
            <v>4501</v>
          </cell>
        </row>
        <row r="6881">
          <cell r="A6881" t="str">
            <v>JOOSEP SALISTE</v>
          </cell>
          <cell r="B6881">
            <v>5068</v>
          </cell>
        </row>
        <row r="6882">
          <cell r="A6882" t="str">
            <v>JAN-MARKUS SALK</v>
          </cell>
          <cell r="B6882">
            <v>8650</v>
          </cell>
        </row>
        <row r="6883">
          <cell r="A6883" t="str">
            <v>ALLAN SALLA</v>
          </cell>
          <cell r="B6883">
            <v>7445</v>
          </cell>
        </row>
        <row r="6884">
          <cell r="A6884" t="str">
            <v>RAINIS SALLUM</v>
          </cell>
          <cell r="B6884">
            <v>2334</v>
          </cell>
        </row>
        <row r="6885">
          <cell r="A6885" t="str">
            <v>CARL-ERIK SALM</v>
          </cell>
          <cell r="B6885">
            <v>4503</v>
          </cell>
        </row>
        <row r="6886">
          <cell r="A6886" t="str">
            <v>OTTO SALMENKIVI</v>
          </cell>
          <cell r="B6886">
            <v>2204</v>
          </cell>
        </row>
        <row r="6887">
          <cell r="A6887" t="str">
            <v>TOM SALMI</v>
          </cell>
          <cell r="B6887">
            <v>1781</v>
          </cell>
        </row>
        <row r="6888">
          <cell r="A6888" t="str">
            <v>SILVER SALMISTE</v>
          </cell>
          <cell r="B6888">
            <v>1690</v>
          </cell>
        </row>
        <row r="6889">
          <cell r="A6889" t="str">
            <v>ALEKSANDR SALNIKOV</v>
          </cell>
          <cell r="B6889">
            <v>258</v>
          </cell>
        </row>
        <row r="6890">
          <cell r="A6890" t="str">
            <v>KONSTANTIN SALNIKOV</v>
          </cell>
          <cell r="B6890">
            <v>3484</v>
          </cell>
        </row>
        <row r="6891">
          <cell r="A6891" t="str">
            <v>JEVGENIJS SALNIKOVS</v>
          </cell>
          <cell r="B6891">
            <v>10076</v>
          </cell>
        </row>
        <row r="6892">
          <cell r="A6892" t="str">
            <v>ANDREI SALNIN</v>
          </cell>
          <cell r="B6892">
            <v>8592</v>
          </cell>
        </row>
        <row r="6893">
          <cell r="A6893" t="str">
            <v>LUCAS SALO</v>
          </cell>
          <cell r="B6893">
            <v>9365</v>
          </cell>
        </row>
        <row r="6894">
          <cell r="A6894" t="str">
            <v>RAUNO SALOMON</v>
          </cell>
          <cell r="B6894">
            <v>2145</v>
          </cell>
        </row>
        <row r="6895">
          <cell r="A6895" t="str">
            <v>MARTIN SALONG</v>
          </cell>
          <cell r="B6895">
            <v>8601</v>
          </cell>
        </row>
        <row r="6896">
          <cell r="A6896" t="str">
            <v>ANNA SALOVA</v>
          </cell>
          <cell r="B6896">
            <v>8949</v>
          </cell>
        </row>
        <row r="6897">
          <cell r="A6897" t="str">
            <v>KARIN SALU</v>
          </cell>
          <cell r="B6897">
            <v>2487</v>
          </cell>
        </row>
        <row r="6898">
          <cell r="A6898" t="str">
            <v>SIIM SALU</v>
          </cell>
          <cell r="B6898">
            <v>10720</v>
          </cell>
        </row>
        <row r="6899">
          <cell r="A6899" t="str">
            <v>EMIL SALULAID SOLANTE</v>
          </cell>
          <cell r="B6899">
            <v>4505</v>
          </cell>
        </row>
        <row r="6900">
          <cell r="A6900" t="str">
            <v>AIVAR SALUMÄE</v>
          </cell>
          <cell r="B6900">
            <v>10825</v>
          </cell>
        </row>
        <row r="6901">
          <cell r="A6901" t="str">
            <v>KRETE- LY SALUMÄE</v>
          </cell>
          <cell r="B6901">
            <v>6132</v>
          </cell>
        </row>
        <row r="6902">
          <cell r="A6902" t="str">
            <v>MEELIS SALUMÄE</v>
          </cell>
          <cell r="B6902">
            <v>6242</v>
          </cell>
        </row>
        <row r="6903">
          <cell r="A6903" t="str">
            <v>MERI- LY SALUMÄE</v>
          </cell>
          <cell r="B6903">
            <v>6131</v>
          </cell>
        </row>
        <row r="6904">
          <cell r="A6904" t="str">
            <v>KETRIN SALUMAA</v>
          </cell>
          <cell r="B6904">
            <v>3722</v>
          </cell>
        </row>
        <row r="6905">
          <cell r="A6905" t="str">
            <v>KRISTJAN SALUMAA</v>
          </cell>
          <cell r="B6905">
            <v>1399</v>
          </cell>
        </row>
        <row r="6906">
          <cell r="A6906" t="str">
            <v>RANER SALUMAA</v>
          </cell>
          <cell r="B6906">
            <v>4506</v>
          </cell>
        </row>
        <row r="6907">
          <cell r="A6907" t="str">
            <v>RUDOLF STENAR SALUOKS</v>
          </cell>
          <cell r="B6907">
            <v>9680</v>
          </cell>
        </row>
        <row r="6908">
          <cell r="A6908" t="str">
            <v>KRISTIINA-MARIA SALURI</v>
          </cell>
          <cell r="B6908">
            <v>8457</v>
          </cell>
        </row>
        <row r="6909">
          <cell r="A6909" t="str">
            <v>MAREK SALUSTE</v>
          </cell>
          <cell r="B6909">
            <v>2098</v>
          </cell>
        </row>
        <row r="6910">
          <cell r="A6910" t="str">
            <v>MARETE SALUSTE</v>
          </cell>
          <cell r="B6910">
            <v>3884</v>
          </cell>
        </row>
        <row r="6911">
          <cell r="A6911" t="str">
            <v>TAURI SALUTAMM</v>
          </cell>
          <cell r="B6911">
            <v>2642</v>
          </cell>
        </row>
        <row r="6912">
          <cell r="A6912" t="str">
            <v>KRISTJAN SALUVEE</v>
          </cell>
          <cell r="B6912">
            <v>365</v>
          </cell>
        </row>
        <row r="6913">
          <cell r="A6913" t="str">
            <v>VILIUS SAMAKALJEVAS</v>
          </cell>
          <cell r="B6913">
            <v>8019</v>
          </cell>
        </row>
        <row r="6914">
          <cell r="A6914" t="str">
            <v>JEVGENI SAMARKOV</v>
          </cell>
          <cell r="B6914">
            <v>7598</v>
          </cell>
        </row>
        <row r="6915">
          <cell r="A6915" t="str">
            <v>SANDER SAMBLA</v>
          </cell>
          <cell r="B6915">
            <v>3617</v>
          </cell>
        </row>
        <row r="6916">
          <cell r="A6916" t="str">
            <v>GENRICH SAMBURENKO</v>
          </cell>
          <cell r="B6916">
            <v>2034</v>
          </cell>
        </row>
        <row r="6917">
          <cell r="A6917" t="str">
            <v>GREN SAMM</v>
          </cell>
          <cell r="B6917">
            <v>7362</v>
          </cell>
        </row>
        <row r="6918">
          <cell r="A6918" t="str">
            <v>KRISTJAN SAMMAEL KIVISILD</v>
          </cell>
          <cell r="B6918">
            <v>7945</v>
          </cell>
        </row>
        <row r="6919">
          <cell r="A6919" t="str">
            <v>ERIKA SAMMELSELG</v>
          </cell>
          <cell r="B6919">
            <v>8850</v>
          </cell>
        </row>
        <row r="6920">
          <cell r="A6920" t="str">
            <v>EVA SAMMELSELG</v>
          </cell>
          <cell r="B6920">
            <v>8858</v>
          </cell>
        </row>
        <row r="6921">
          <cell r="A6921" t="str">
            <v>ANDREI SAMOILOV</v>
          </cell>
          <cell r="B6921">
            <v>1541</v>
          </cell>
        </row>
        <row r="6922">
          <cell r="A6922" t="str">
            <v>SERGEI SAMOILOV</v>
          </cell>
          <cell r="B6922">
            <v>1473</v>
          </cell>
        </row>
        <row r="6923">
          <cell r="A6923" t="str">
            <v>KRISTIINA SAMOILOVA</v>
          </cell>
          <cell r="B6923">
            <v>7128</v>
          </cell>
        </row>
        <row r="6924">
          <cell r="A6924" t="str">
            <v>MARTIN SAMS</v>
          </cell>
          <cell r="B6924">
            <v>10349</v>
          </cell>
        </row>
        <row r="6925">
          <cell r="A6925" t="str">
            <v>DEMIAN SAMSONOV</v>
          </cell>
          <cell r="B6925">
            <v>8634</v>
          </cell>
        </row>
        <row r="6926">
          <cell r="A6926" t="str">
            <v>MARK SAMSONOV</v>
          </cell>
          <cell r="B6926">
            <v>10691</v>
          </cell>
        </row>
        <row r="6927">
          <cell r="A6927" t="str">
            <v>SEMJON SAMSONOV</v>
          </cell>
          <cell r="B6927">
            <v>4507</v>
          </cell>
        </row>
        <row r="6928">
          <cell r="A6928" t="str">
            <v>VIKTORIA SANDAKOVA</v>
          </cell>
          <cell r="B6928">
            <v>7881</v>
          </cell>
        </row>
        <row r="6929">
          <cell r="A6929" t="str">
            <v>SANDER SANDBERG</v>
          </cell>
          <cell r="B6929">
            <v>1987</v>
          </cell>
        </row>
        <row r="6930">
          <cell r="A6930" t="str">
            <v>LISETT SANG</v>
          </cell>
          <cell r="B6930">
            <v>8651</v>
          </cell>
        </row>
        <row r="6931">
          <cell r="A6931" t="str">
            <v>TÕNIS SANG</v>
          </cell>
          <cell r="B6931">
            <v>4794</v>
          </cell>
        </row>
        <row r="6932">
          <cell r="A6932" t="str">
            <v>TAAVI SANGEL</v>
          </cell>
          <cell r="B6932">
            <v>4053</v>
          </cell>
        </row>
        <row r="6933">
          <cell r="A6933" t="str">
            <v>ERIK SÜDA</v>
          </cell>
          <cell r="B6933">
            <v>4549</v>
          </cell>
        </row>
        <row r="6934">
          <cell r="A6934" t="str">
            <v>MIHKEL SÜLD</v>
          </cell>
          <cell r="B6934">
            <v>2716</v>
          </cell>
        </row>
        <row r="6935">
          <cell r="A6935" t="str">
            <v>KARILY SÜLLA</v>
          </cell>
          <cell r="B6935">
            <v>6094</v>
          </cell>
        </row>
        <row r="6936">
          <cell r="A6936" t="str">
            <v>GLORIA SÜTT</v>
          </cell>
          <cell r="B6936">
            <v>9710</v>
          </cell>
        </row>
        <row r="6937">
          <cell r="A6937" t="str">
            <v>JEVGENI SAPETA</v>
          </cell>
          <cell r="B6937">
            <v>5944</v>
          </cell>
        </row>
        <row r="6938">
          <cell r="A6938" t="str">
            <v>STEFAN SAPJOROV</v>
          </cell>
          <cell r="B6938">
            <v>10810</v>
          </cell>
        </row>
        <row r="6939">
          <cell r="A6939" t="str">
            <v>DARJA SAPONOVA</v>
          </cell>
          <cell r="B6939">
            <v>7014</v>
          </cell>
        </row>
        <row r="6940">
          <cell r="A6940" t="str">
            <v>IVAN SAPOSHNIKOV</v>
          </cell>
          <cell r="B6940">
            <v>2587</v>
          </cell>
        </row>
        <row r="6941">
          <cell r="A6941" t="str">
            <v>ENN SAPP</v>
          </cell>
          <cell r="B6941">
            <v>8666</v>
          </cell>
        </row>
        <row r="6942">
          <cell r="A6942" t="str">
            <v>DARIA SAPRON</v>
          </cell>
          <cell r="B6942">
            <v>2959</v>
          </cell>
        </row>
        <row r="6943">
          <cell r="A6943" t="str">
            <v>ARTJOM SAPRONOV</v>
          </cell>
          <cell r="B6943">
            <v>4508</v>
          </cell>
        </row>
        <row r="6944">
          <cell r="A6944" t="str">
            <v>MARINA SARAJEVA</v>
          </cell>
          <cell r="B6944">
            <v>4509</v>
          </cell>
        </row>
        <row r="6945">
          <cell r="A6945" t="str">
            <v>MARTEN SARAN</v>
          </cell>
          <cell r="B6945">
            <v>8136</v>
          </cell>
        </row>
        <row r="6946">
          <cell r="A6946" t="str">
            <v>LAURI SARAP</v>
          </cell>
          <cell r="B6946">
            <v>5473</v>
          </cell>
        </row>
        <row r="6947">
          <cell r="A6947" t="str">
            <v>RICHARD SARAP</v>
          </cell>
          <cell r="B6947">
            <v>9115</v>
          </cell>
        </row>
        <row r="6948">
          <cell r="A6948" t="str">
            <v>MOONIKA SARAPIK</v>
          </cell>
          <cell r="B6948">
            <v>1112</v>
          </cell>
        </row>
        <row r="6949">
          <cell r="A6949" t="str">
            <v>MARIKA SARAPU</v>
          </cell>
          <cell r="B6949">
            <v>7650</v>
          </cell>
        </row>
        <row r="6950">
          <cell r="A6950" t="str">
            <v>AARON SARAPUU</v>
          </cell>
          <cell r="B6950">
            <v>9567</v>
          </cell>
        </row>
        <row r="6951">
          <cell r="A6951" t="str">
            <v>IVARI SARAPUU</v>
          </cell>
          <cell r="B6951">
            <v>7705</v>
          </cell>
        </row>
        <row r="6952">
          <cell r="A6952" t="str">
            <v>KARDO SARAPUU</v>
          </cell>
          <cell r="B6952">
            <v>268</v>
          </cell>
        </row>
        <row r="6953">
          <cell r="A6953" t="str">
            <v>MARGUS SARAPUU</v>
          </cell>
          <cell r="B6953">
            <v>10744</v>
          </cell>
        </row>
        <row r="6954">
          <cell r="A6954" t="str">
            <v>PAUL SARAPUU</v>
          </cell>
          <cell r="B6954">
            <v>4125</v>
          </cell>
        </row>
        <row r="6955">
          <cell r="A6955" t="str">
            <v>PIRET SARAPUU</v>
          </cell>
          <cell r="B6955">
            <v>4124</v>
          </cell>
        </row>
        <row r="6956">
          <cell r="A6956" t="str">
            <v>RAIMOND SARAPUU</v>
          </cell>
          <cell r="B6956">
            <v>4754</v>
          </cell>
        </row>
        <row r="6957">
          <cell r="A6957" t="str">
            <v>SVEN SARAPUU</v>
          </cell>
          <cell r="B6957">
            <v>1132</v>
          </cell>
        </row>
        <row r="6958">
          <cell r="A6958" t="str">
            <v>HELGI SARD</v>
          </cell>
          <cell r="B6958">
            <v>112</v>
          </cell>
        </row>
        <row r="6959">
          <cell r="A6959" t="str">
            <v>ANELI SARKI</v>
          </cell>
          <cell r="B6959">
            <v>7280</v>
          </cell>
        </row>
        <row r="6960">
          <cell r="A6960" t="str">
            <v>KAAREL SARMAN</v>
          </cell>
          <cell r="B6960">
            <v>5587</v>
          </cell>
        </row>
        <row r="6961">
          <cell r="A6961" t="str">
            <v>MARTTEN-ANDRE SARON</v>
          </cell>
          <cell r="B6961">
            <v>7335</v>
          </cell>
        </row>
        <row r="6962">
          <cell r="A6962" t="str">
            <v>RAGNAR SARV</v>
          </cell>
          <cell r="B6962">
            <v>3203</v>
          </cell>
        </row>
        <row r="6963">
          <cell r="A6963" t="str">
            <v>OTSO SARVASMAA</v>
          </cell>
          <cell r="B6963">
            <v>1780</v>
          </cell>
        </row>
        <row r="6964">
          <cell r="A6964" t="str">
            <v>VALERIA SARYCHEVA</v>
          </cell>
          <cell r="B6964">
            <v>2945</v>
          </cell>
        </row>
        <row r="6965">
          <cell r="A6965" t="str">
            <v>DELIN SASSI</v>
          </cell>
          <cell r="B6965">
            <v>8707</v>
          </cell>
        </row>
        <row r="6966">
          <cell r="A6966" t="str">
            <v>MATTI SASSI</v>
          </cell>
          <cell r="B6966">
            <v>9077</v>
          </cell>
        </row>
        <row r="6967">
          <cell r="A6967" t="str">
            <v>KÄTHI SASSIAD</v>
          </cell>
          <cell r="B6967">
            <v>3136</v>
          </cell>
        </row>
        <row r="6968">
          <cell r="A6968" t="str">
            <v>LAUR KRISTOFER SASSIAD</v>
          </cell>
          <cell r="B6968">
            <v>9821</v>
          </cell>
        </row>
        <row r="6969">
          <cell r="A6969" t="str">
            <v>STEVE SASSIAD</v>
          </cell>
          <cell r="B6969">
            <v>10278</v>
          </cell>
        </row>
        <row r="6970">
          <cell r="A6970" t="str">
            <v>HEIKI SASSIAN</v>
          </cell>
          <cell r="B6970">
            <v>8257</v>
          </cell>
        </row>
        <row r="6971">
          <cell r="A6971" t="str">
            <v>ARSENI SAZONOV</v>
          </cell>
          <cell r="B6971">
            <v>9490</v>
          </cell>
        </row>
        <row r="6972">
          <cell r="A6972" t="str">
            <v>OLESJA SAZONOVA</v>
          </cell>
          <cell r="B6972">
            <v>9051</v>
          </cell>
        </row>
        <row r="6973">
          <cell r="A6973" t="str">
            <v>ERIKA SATKEVICIUTE</v>
          </cell>
          <cell r="B6973">
            <v>3885</v>
          </cell>
        </row>
        <row r="6974">
          <cell r="A6974" t="str">
            <v>REBECA SATS</v>
          </cell>
          <cell r="B6974">
            <v>10242</v>
          </cell>
        </row>
        <row r="6975">
          <cell r="A6975" t="str">
            <v>KSENIA SATSKOVA</v>
          </cell>
          <cell r="B6975">
            <v>2992</v>
          </cell>
        </row>
        <row r="6976">
          <cell r="A6976" t="str">
            <v>GERT SAU</v>
          </cell>
          <cell r="B6976">
            <v>8883</v>
          </cell>
        </row>
        <row r="6977">
          <cell r="A6977" t="str">
            <v>MARLON SAU</v>
          </cell>
          <cell r="B6977">
            <v>9460</v>
          </cell>
        </row>
        <row r="6978">
          <cell r="A6978" t="str">
            <v>TAAVI SAU</v>
          </cell>
          <cell r="B6978">
            <v>916</v>
          </cell>
        </row>
        <row r="6979">
          <cell r="A6979" t="str">
            <v>TAUNO SAU</v>
          </cell>
          <cell r="B6979">
            <v>509</v>
          </cell>
        </row>
        <row r="6980">
          <cell r="A6980" t="str">
            <v>PEETER SAUL</v>
          </cell>
          <cell r="B6980">
            <v>8474</v>
          </cell>
        </row>
        <row r="6981">
          <cell r="A6981" t="str">
            <v>SVEN SAUL</v>
          </cell>
          <cell r="B6981">
            <v>5614</v>
          </cell>
        </row>
        <row r="6982">
          <cell r="A6982" t="str">
            <v>JARKO SAULUS</v>
          </cell>
          <cell r="B6982">
            <v>259</v>
          </cell>
        </row>
        <row r="6983">
          <cell r="A6983" t="str">
            <v>GARDO SAUN</v>
          </cell>
          <cell r="B6983">
            <v>4510</v>
          </cell>
        </row>
        <row r="6984">
          <cell r="A6984" t="str">
            <v>EDUARD SAVANOV</v>
          </cell>
          <cell r="B6984">
            <v>456</v>
          </cell>
        </row>
        <row r="6985">
          <cell r="A6985" t="str">
            <v>ALEKSANDR SAVELJEV</v>
          </cell>
          <cell r="B6985">
            <v>1374</v>
          </cell>
        </row>
        <row r="6986">
          <cell r="A6986" t="str">
            <v>JEGOR SAVELJEV</v>
          </cell>
          <cell r="B6986">
            <v>9025</v>
          </cell>
        </row>
        <row r="6987">
          <cell r="A6987" t="str">
            <v>LEV SAVELJEV</v>
          </cell>
          <cell r="B6987">
            <v>2073</v>
          </cell>
        </row>
        <row r="6988">
          <cell r="A6988" t="str">
            <v>SERGEI SAVELJEV</v>
          </cell>
          <cell r="B6988">
            <v>510</v>
          </cell>
        </row>
        <row r="6989">
          <cell r="A6989" t="str">
            <v>VLADIMIR SAVELJEV</v>
          </cell>
          <cell r="B6989">
            <v>10261</v>
          </cell>
        </row>
        <row r="6990">
          <cell r="A6990" t="str">
            <v>TATIANA SAVELYEVA</v>
          </cell>
          <cell r="B6990">
            <v>10527</v>
          </cell>
        </row>
        <row r="6991">
          <cell r="A6991" t="str">
            <v>AGO SAVI</v>
          </cell>
          <cell r="B6991">
            <v>2946</v>
          </cell>
        </row>
        <row r="6992">
          <cell r="A6992" t="str">
            <v>OLIVER SAVI</v>
          </cell>
          <cell r="B6992">
            <v>8988</v>
          </cell>
        </row>
        <row r="6993">
          <cell r="A6993" t="str">
            <v>PIIA SAVI</v>
          </cell>
          <cell r="B6993">
            <v>1832</v>
          </cell>
        </row>
        <row r="6994">
          <cell r="A6994" t="str">
            <v>KARDO SAVIAUK</v>
          </cell>
          <cell r="B6994">
            <v>10017</v>
          </cell>
        </row>
        <row r="6995">
          <cell r="A6995" t="str">
            <v>DMITRI SAVINÕHH</v>
          </cell>
          <cell r="B6995">
            <v>4511</v>
          </cell>
        </row>
        <row r="6996">
          <cell r="A6996" t="str">
            <v>KIR SAVINITŠ</v>
          </cell>
          <cell r="B6996">
            <v>10014</v>
          </cell>
        </row>
        <row r="6997">
          <cell r="A6997" t="str">
            <v>DENIS SAVINOV</v>
          </cell>
          <cell r="B6997">
            <v>5584</v>
          </cell>
        </row>
        <row r="6998">
          <cell r="A6998" t="str">
            <v>MAKSIM SAVINOV</v>
          </cell>
          <cell r="B6998">
            <v>5573</v>
          </cell>
        </row>
        <row r="6999">
          <cell r="A6999" t="str">
            <v>ALEKSANDR SAVINSKI</v>
          </cell>
          <cell r="B6999">
            <v>8574</v>
          </cell>
        </row>
        <row r="7000">
          <cell r="A7000" t="str">
            <v>KIR SAVINTŠ</v>
          </cell>
          <cell r="B7000">
            <v>10083</v>
          </cell>
        </row>
        <row r="7001">
          <cell r="A7001" t="str">
            <v>JAANUS SAVIOTS</v>
          </cell>
          <cell r="B7001">
            <v>2468</v>
          </cell>
        </row>
        <row r="7002">
          <cell r="A7002" t="str">
            <v>KARIN SAVIOTS</v>
          </cell>
          <cell r="B7002">
            <v>3058</v>
          </cell>
        </row>
        <row r="7003">
          <cell r="A7003" t="str">
            <v>KERTU SAVIOTS</v>
          </cell>
          <cell r="B7003">
            <v>2973</v>
          </cell>
        </row>
        <row r="7004">
          <cell r="A7004" t="str">
            <v>NIKOLAI SAVIOTS</v>
          </cell>
          <cell r="B7004">
            <v>3012</v>
          </cell>
        </row>
        <row r="7005">
          <cell r="A7005" t="str">
            <v>MIKK SAVISTE</v>
          </cell>
          <cell r="B7005">
            <v>8830</v>
          </cell>
        </row>
        <row r="7006">
          <cell r="A7006" t="str">
            <v>ANDREI SAVOLAINEN</v>
          </cell>
          <cell r="B7006">
            <v>2055</v>
          </cell>
        </row>
        <row r="7007">
          <cell r="A7007" t="str">
            <v>ANTON SAVOLAINEN</v>
          </cell>
          <cell r="B7007">
            <v>8555</v>
          </cell>
        </row>
        <row r="7008">
          <cell r="A7008" t="str">
            <v>PEKKA SAVOLAINEN</v>
          </cell>
          <cell r="B7008">
            <v>9368</v>
          </cell>
        </row>
        <row r="7009">
          <cell r="A7009" t="str">
            <v>RAIKO SAVOLAINEN</v>
          </cell>
          <cell r="B7009">
            <v>3430</v>
          </cell>
        </row>
        <row r="7010">
          <cell r="A7010" t="str">
            <v>DMITRI SAVRINOVITSH</v>
          </cell>
          <cell r="B7010">
            <v>2091</v>
          </cell>
        </row>
        <row r="7011">
          <cell r="A7011" t="str">
            <v>MARINA SAVTSHUK</v>
          </cell>
          <cell r="B7011">
            <v>1803</v>
          </cell>
        </row>
        <row r="7012">
          <cell r="A7012" t="str">
            <v>ARSENIY SAVUSTYAN</v>
          </cell>
          <cell r="B7012">
            <v>9324</v>
          </cell>
        </row>
        <row r="7013">
          <cell r="A7013" t="str">
            <v>DEIVIDAS SCEVINSKAS</v>
          </cell>
          <cell r="B7013">
            <v>2508</v>
          </cell>
        </row>
        <row r="7014">
          <cell r="A7014" t="str">
            <v>DIRK SCHÖBE</v>
          </cell>
          <cell r="B7014">
            <v>2132</v>
          </cell>
        </row>
        <row r="7015">
          <cell r="A7015" t="str">
            <v>OSKAR SCHÖBE</v>
          </cell>
          <cell r="B7015">
            <v>5530</v>
          </cell>
        </row>
        <row r="7016">
          <cell r="A7016" t="str">
            <v>KALMER SCHÜTS</v>
          </cell>
          <cell r="B7016">
            <v>388</v>
          </cell>
        </row>
        <row r="7017">
          <cell r="A7017" t="str">
            <v>KATRIIN SCHASMIN</v>
          </cell>
          <cell r="B7017">
            <v>3605</v>
          </cell>
        </row>
        <row r="7018">
          <cell r="A7018" t="str">
            <v>MADS TOFT SCHMIDT</v>
          </cell>
          <cell r="B7018">
            <v>9414</v>
          </cell>
        </row>
        <row r="7019">
          <cell r="A7019" t="str">
            <v>ROBERT SCHMIDT</v>
          </cell>
          <cell r="B7019">
            <v>8027</v>
          </cell>
        </row>
        <row r="7020">
          <cell r="A7020" t="str">
            <v>TÕNU SCHMIDT</v>
          </cell>
          <cell r="B7020">
            <v>1311</v>
          </cell>
        </row>
        <row r="7021">
          <cell r="A7021" t="str">
            <v>ERIKS SCHNEIDERS</v>
          </cell>
          <cell r="B7021">
            <v>1591</v>
          </cell>
        </row>
        <row r="7022">
          <cell r="A7022" t="str">
            <v>MOONA SCHRÖDER</v>
          </cell>
          <cell r="B7022">
            <v>2837</v>
          </cell>
        </row>
        <row r="7023">
          <cell r="A7023" t="str">
            <v>PHILIPP SCHULZ</v>
          </cell>
          <cell r="B7023">
            <v>8055</v>
          </cell>
        </row>
        <row r="7024">
          <cell r="A7024" t="str">
            <v>KRISTIINA SCHUMAN</v>
          </cell>
          <cell r="B7024">
            <v>4755</v>
          </cell>
        </row>
        <row r="7025">
          <cell r="A7025" t="str">
            <v>KORNELIA SCIGLAITE</v>
          </cell>
          <cell r="B7025">
            <v>6177</v>
          </cell>
        </row>
        <row r="7026">
          <cell r="A7026" t="str">
            <v>DENISS SEDELNIKOV</v>
          </cell>
          <cell r="B7026">
            <v>1965</v>
          </cell>
        </row>
        <row r="7027">
          <cell r="A7027" t="str">
            <v>VLADISLAV SEDOV</v>
          </cell>
          <cell r="B7027">
            <v>7604</v>
          </cell>
        </row>
        <row r="7028">
          <cell r="A7028" t="str">
            <v>CARL-TRISTJAN SEEBERG</v>
          </cell>
          <cell r="B7028">
            <v>10319</v>
          </cell>
        </row>
        <row r="7029">
          <cell r="A7029" t="str">
            <v>STEN-MARTIN SEEDER</v>
          </cell>
          <cell r="B7029">
            <v>5326</v>
          </cell>
        </row>
        <row r="7030">
          <cell r="A7030" t="str">
            <v>RALPH SEBASTIAN SEEMER</v>
          </cell>
          <cell r="B7030">
            <v>8472</v>
          </cell>
        </row>
        <row r="7031">
          <cell r="A7031" t="str">
            <v>INDREK SEEMRE</v>
          </cell>
          <cell r="B7031">
            <v>8454</v>
          </cell>
        </row>
        <row r="7032">
          <cell r="A7032" t="str">
            <v>JOEL-RUUBEN SEENE</v>
          </cell>
          <cell r="B7032">
            <v>5476</v>
          </cell>
        </row>
        <row r="7033">
          <cell r="A7033" t="str">
            <v>HERMAN SEER</v>
          </cell>
          <cell r="B7033">
            <v>6138</v>
          </cell>
        </row>
        <row r="7034">
          <cell r="A7034" t="str">
            <v>MARTEN SEER</v>
          </cell>
          <cell r="B7034">
            <v>6139</v>
          </cell>
        </row>
        <row r="7035">
          <cell r="A7035" t="str">
            <v>AADAM SEERMAA</v>
          </cell>
          <cell r="B7035">
            <v>7898</v>
          </cell>
        </row>
        <row r="7036">
          <cell r="A7036" t="str">
            <v>SANDRA SEFER</v>
          </cell>
          <cell r="B7036">
            <v>1912</v>
          </cell>
        </row>
        <row r="7037">
          <cell r="A7037" t="str">
            <v>SILVER SEFER</v>
          </cell>
          <cell r="B7037">
            <v>1687</v>
          </cell>
        </row>
        <row r="7038">
          <cell r="A7038" t="str">
            <v>ERIKA SEFFER-MÜLLER</v>
          </cell>
          <cell r="B7038">
            <v>7668</v>
          </cell>
        </row>
        <row r="7039">
          <cell r="A7039" t="str">
            <v>LEONID SEGAL</v>
          </cell>
          <cell r="B7039">
            <v>7465</v>
          </cell>
        </row>
        <row r="7040">
          <cell r="A7040" t="str">
            <v>SANDRI SEGASAAR</v>
          </cell>
          <cell r="B7040">
            <v>9576</v>
          </cell>
        </row>
        <row r="7041">
          <cell r="A7041" t="str">
            <v>AVO SEIDELBERG</v>
          </cell>
          <cell r="B7041">
            <v>2672</v>
          </cell>
        </row>
        <row r="7042">
          <cell r="A7042" t="str">
            <v>JANEK SEIDELBERG</v>
          </cell>
          <cell r="B7042">
            <v>2711</v>
          </cell>
        </row>
        <row r="7043">
          <cell r="A7043" t="str">
            <v>MIKHAIL SEIFETDINOV</v>
          </cell>
          <cell r="B7043">
            <v>3232</v>
          </cell>
        </row>
        <row r="7044">
          <cell r="A7044" t="str">
            <v>KALEV SEILMAA</v>
          </cell>
          <cell r="B7044">
            <v>5615</v>
          </cell>
        </row>
        <row r="7045">
          <cell r="A7045" t="str">
            <v>ADO SEIMOJA</v>
          </cell>
          <cell r="B7045">
            <v>4512</v>
          </cell>
        </row>
        <row r="7046">
          <cell r="A7046" t="str">
            <v>KRISTIINA SEITON</v>
          </cell>
          <cell r="B7046">
            <v>2688</v>
          </cell>
        </row>
        <row r="7047">
          <cell r="A7047" t="str">
            <v>MIRO MARKUS ANTERO SEITZ</v>
          </cell>
          <cell r="B7047">
            <v>5499</v>
          </cell>
        </row>
        <row r="7048">
          <cell r="A7048" t="str">
            <v>ANDREI SEKAJEV</v>
          </cell>
          <cell r="B7048">
            <v>4078</v>
          </cell>
        </row>
        <row r="7049">
          <cell r="A7049" t="str">
            <v>FJODOR SEKAMOV</v>
          </cell>
          <cell r="B7049">
            <v>1191</v>
          </cell>
        </row>
        <row r="7050">
          <cell r="A7050" t="str">
            <v>ALEKSANDR SELEMENOV</v>
          </cell>
          <cell r="B7050">
            <v>2366</v>
          </cell>
        </row>
        <row r="7051">
          <cell r="A7051" t="str">
            <v>FRED SELEZOV</v>
          </cell>
          <cell r="B7051">
            <v>2131</v>
          </cell>
        </row>
        <row r="7052">
          <cell r="A7052" t="str">
            <v>MARI ANN SELGE</v>
          </cell>
          <cell r="B7052">
            <v>4795</v>
          </cell>
        </row>
        <row r="7053">
          <cell r="A7053" t="str">
            <v>ANDRES SELI</v>
          </cell>
          <cell r="B7053">
            <v>2154</v>
          </cell>
        </row>
        <row r="7054">
          <cell r="A7054" t="str">
            <v>DMITRI SELIN</v>
          </cell>
          <cell r="B7054">
            <v>9781</v>
          </cell>
        </row>
        <row r="7055">
          <cell r="A7055" t="str">
            <v>SILVER SELL</v>
          </cell>
          <cell r="B7055">
            <v>8554</v>
          </cell>
        </row>
        <row r="7056">
          <cell r="A7056" t="str">
            <v>JAANUS SELLIN</v>
          </cell>
          <cell r="B7056">
            <v>1331</v>
          </cell>
        </row>
        <row r="7057">
          <cell r="A7057" t="str">
            <v>MARGUS SELLIN</v>
          </cell>
          <cell r="B7057">
            <v>1339</v>
          </cell>
        </row>
        <row r="7058">
          <cell r="A7058" t="str">
            <v>MARTIN SELTS</v>
          </cell>
          <cell r="B7058">
            <v>2449</v>
          </cell>
        </row>
        <row r="7059">
          <cell r="A7059" t="str">
            <v>EDVARD SEMENJUTIN</v>
          </cell>
          <cell r="B7059">
            <v>10341</v>
          </cell>
        </row>
        <row r="7060">
          <cell r="A7060" t="str">
            <v>MAKSIM SEMENOV</v>
          </cell>
          <cell r="B7060">
            <v>5642</v>
          </cell>
        </row>
        <row r="7061">
          <cell r="A7061" t="str">
            <v>DARIA SEMENOVA</v>
          </cell>
          <cell r="B7061">
            <v>7537</v>
          </cell>
        </row>
        <row r="7062">
          <cell r="A7062" t="str">
            <v>JANA SEMENOVA</v>
          </cell>
          <cell r="B7062">
            <v>9259</v>
          </cell>
        </row>
        <row r="7063">
          <cell r="A7063" t="str">
            <v>MAKSIM SEMENOVSKI</v>
          </cell>
          <cell r="B7063">
            <v>2555</v>
          </cell>
        </row>
        <row r="7064">
          <cell r="A7064" t="str">
            <v>DENISS SEMIKOV</v>
          </cell>
          <cell r="B7064">
            <v>3294</v>
          </cell>
        </row>
        <row r="7065">
          <cell r="A7065" t="str">
            <v>JURI SEMIKOV</v>
          </cell>
          <cell r="B7065">
            <v>260</v>
          </cell>
        </row>
        <row r="7066">
          <cell r="A7066" t="str">
            <v>ARTJOM SEMJONOV</v>
          </cell>
          <cell r="B7066">
            <v>7833</v>
          </cell>
        </row>
        <row r="7067">
          <cell r="A7067" t="str">
            <v>DMITRI SEMJONOV</v>
          </cell>
          <cell r="B7067">
            <v>4513</v>
          </cell>
        </row>
        <row r="7068">
          <cell r="A7068" t="str">
            <v>DMITRI SEMJONOV</v>
          </cell>
          <cell r="B7068">
            <v>8188</v>
          </cell>
        </row>
        <row r="7069">
          <cell r="A7069" t="str">
            <v>MAKSIM SEMJONOV</v>
          </cell>
          <cell r="B7069">
            <v>7835</v>
          </cell>
        </row>
        <row r="7070">
          <cell r="A7070" t="str">
            <v>NIKOLAI SEMJONOV</v>
          </cell>
          <cell r="B7070">
            <v>7599</v>
          </cell>
        </row>
        <row r="7071">
          <cell r="A7071" t="str">
            <v>TIMA SEMJONOV</v>
          </cell>
          <cell r="B7071">
            <v>8795</v>
          </cell>
        </row>
        <row r="7072">
          <cell r="A7072" t="str">
            <v>VASSILI SEMJONOV</v>
          </cell>
          <cell r="B7072">
            <v>5630</v>
          </cell>
        </row>
        <row r="7073">
          <cell r="A7073" t="str">
            <v>JANA SEMJONOVA</v>
          </cell>
          <cell r="B7073">
            <v>9232</v>
          </cell>
        </row>
        <row r="7074">
          <cell r="A7074" t="str">
            <v>JELENA SEMJONOVA</v>
          </cell>
          <cell r="B7074">
            <v>8985</v>
          </cell>
        </row>
        <row r="7075">
          <cell r="A7075" t="str">
            <v>KIRA SEMJONOVA</v>
          </cell>
          <cell r="B7075">
            <v>9621</v>
          </cell>
        </row>
        <row r="7076">
          <cell r="A7076" t="str">
            <v>MARIA SEMJONOVA</v>
          </cell>
          <cell r="B7076">
            <v>8192</v>
          </cell>
        </row>
        <row r="7077">
          <cell r="A7077" t="str">
            <v>TIINA SEMMEL</v>
          </cell>
          <cell r="B7077">
            <v>5205</v>
          </cell>
        </row>
        <row r="7078">
          <cell r="A7078" t="str">
            <v>SAVELI SEMYKIN</v>
          </cell>
          <cell r="B7078">
            <v>10817</v>
          </cell>
        </row>
        <row r="7079">
          <cell r="A7079" t="str">
            <v>KALEV SENGBUSCH</v>
          </cell>
          <cell r="B7079">
            <v>1472</v>
          </cell>
        </row>
        <row r="7080">
          <cell r="A7080" t="str">
            <v>TARMO SENGBUSCH</v>
          </cell>
          <cell r="B7080">
            <v>2514</v>
          </cell>
        </row>
        <row r="7081">
          <cell r="A7081" t="str">
            <v>VALVE SENGBUSCH</v>
          </cell>
          <cell r="B7081">
            <v>3088</v>
          </cell>
        </row>
        <row r="7082">
          <cell r="A7082" t="str">
            <v>LAURI SENJEŠ</v>
          </cell>
          <cell r="B7082">
            <v>8533</v>
          </cell>
        </row>
        <row r="7083">
          <cell r="A7083" t="str">
            <v>KRISTAPS SENKOVS</v>
          </cell>
          <cell r="B7083">
            <v>9071</v>
          </cell>
        </row>
        <row r="7084">
          <cell r="A7084" t="str">
            <v>INDREK SEP</v>
          </cell>
          <cell r="B7084">
            <v>2229</v>
          </cell>
        </row>
        <row r="7085">
          <cell r="A7085" t="str">
            <v>MADIS SEPAMÄGI</v>
          </cell>
          <cell r="B7085">
            <v>435</v>
          </cell>
        </row>
        <row r="7086">
          <cell r="A7086" t="str">
            <v>TAIVO SEPAMÄGI</v>
          </cell>
          <cell r="B7086">
            <v>1569</v>
          </cell>
        </row>
        <row r="7087">
          <cell r="A7087" t="str">
            <v>KALJO SEPMAN</v>
          </cell>
          <cell r="B7087">
            <v>1223</v>
          </cell>
        </row>
        <row r="7088">
          <cell r="A7088" t="str">
            <v>AINAR SEPNIK</v>
          </cell>
          <cell r="B7088">
            <v>3361</v>
          </cell>
        </row>
        <row r="7089">
          <cell r="A7089" t="str">
            <v>ALLAR SEPP</v>
          </cell>
          <cell r="B7089">
            <v>9373</v>
          </cell>
        </row>
        <row r="7090">
          <cell r="A7090" t="str">
            <v>HAIVI SEPP</v>
          </cell>
          <cell r="B7090">
            <v>1109</v>
          </cell>
        </row>
        <row r="7091">
          <cell r="A7091" t="str">
            <v>HEIGO SEPP</v>
          </cell>
          <cell r="B7091">
            <v>2255</v>
          </cell>
        </row>
        <row r="7092">
          <cell r="A7092" t="str">
            <v>JAANUS SEPP</v>
          </cell>
          <cell r="B7092">
            <v>5012</v>
          </cell>
        </row>
        <row r="7093">
          <cell r="A7093" t="str">
            <v>MARKUS SEPP</v>
          </cell>
          <cell r="B7093">
            <v>8539</v>
          </cell>
        </row>
        <row r="7094">
          <cell r="A7094" t="str">
            <v>MART SEPP</v>
          </cell>
          <cell r="B7094">
            <v>7510</v>
          </cell>
        </row>
        <row r="7095">
          <cell r="A7095" t="str">
            <v>MARTEN SEPP</v>
          </cell>
          <cell r="B7095">
            <v>8540</v>
          </cell>
        </row>
        <row r="7096">
          <cell r="A7096" t="str">
            <v>MEELIS SEPP</v>
          </cell>
          <cell r="B7096">
            <v>10365</v>
          </cell>
        </row>
        <row r="7097">
          <cell r="A7097" t="str">
            <v>OSKAR SEPP</v>
          </cell>
          <cell r="B7097">
            <v>9954</v>
          </cell>
        </row>
        <row r="7098">
          <cell r="A7098" t="str">
            <v>PILLE-RIIN SEPP</v>
          </cell>
          <cell r="B7098">
            <v>4514</v>
          </cell>
        </row>
        <row r="7099">
          <cell r="A7099" t="str">
            <v>RAIKO SEPP</v>
          </cell>
          <cell r="B7099">
            <v>5069</v>
          </cell>
        </row>
        <row r="7100">
          <cell r="A7100" t="str">
            <v>RAIVO SEPP</v>
          </cell>
          <cell r="B7100">
            <v>5044</v>
          </cell>
        </row>
        <row r="7101">
          <cell r="A7101" t="str">
            <v>RAUL SEPP</v>
          </cell>
          <cell r="B7101">
            <v>10334</v>
          </cell>
        </row>
        <row r="7102">
          <cell r="A7102" t="str">
            <v>RAUNO SEPP</v>
          </cell>
          <cell r="B7102">
            <v>5013</v>
          </cell>
        </row>
        <row r="7103">
          <cell r="A7103" t="str">
            <v>RIHO SEPP</v>
          </cell>
          <cell r="B7103">
            <v>4710</v>
          </cell>
        </row>
        <row r="7104">
          <cell r="A7104" t="str">
            <v>SIXTEN SEPP</v>
          </cell>
          <cell r="B7104">
            <v>1016</v>
          </cell>
        </row>
        <row r="7105">
          <cell r="A7105" t="str">
            <v>TÕNU SEPP</v>
          </cell>
          <cell r="B7105">
            <v>10721</v>
          </cell>
        </row>
        <row r="7106">
          <cell r="A7106" t="str">
            <v>TAUNO SEPP</v>
          </cell>
          <cell r="B7106">
            <v>3886</v>
          </cell>
        </row>
        <row r="7107">
          <cell r="A7107" t="str">
            <v>TOIVO SEPP</v>
          </cell>
          <cell r="B7107">
            <v>417</v>
          </cell>
        </row>
        <row r="7108">
          <cell r="A7108" t="str">
            <v>ALEXANDRA SEPPÄNEN</v>
          </cell>
          <cell r="B7108">
            <v>8267</v>
          </cell>
        </row>
        <row r="7109">
          <cell r="A7109" t="str">
            <v>PEETER SEPPEL</v>
          </cell>
          <cell r="B7109">
            <v>1616</v>
          </cell>
        </row>
        <row r="7110">
          <cell r="A7110" t="str">
            <v>SANDER SERBIN</v>
          </cell>
          <cell r="B7110">
            <v>5900</v>
          </cell>
        </row>
        <row r="7111">
          <cell r="A7111" t="str">
            <v>VLAD SERGEJEV</v>
          </cell>
          <cell r="B7111">
            <v>5490</v>
          </cell>
        </row>
        <row r="7112">
          <cell r="A7112" t="str">
            <v>EVA-LIZA SERGEJEVA</v>
          </cell>
          <cell r="B7112">
            <v>6049</v>
          </cell>
        </row>
        <row r="7113">
          <cell r="A7113" t="str">
            <v>JEVA SERGEJEVA</v>
          </cell>
          <cell r="B7113">
            <v>5980</v>
          </cell>
        </row>
        <row r="7114">
          <cell r="A7114" t="str">
            <v>NATALIA SERGUTSHJEVA</v>
          </cell>
          <cell r="B7114">
            <v>4515</v>
          </cell>
        </row>
        <row r="7115">
          <cell r="A7115" t="str">
            <v>ARTUR SERJAKOV</v>
          </cell>
          <cell r="B7115">
            <v>888</v>
          </cell>
        </row>
        <row r="7116">
          <cell r="A7116" t="str">
            <v>IRINA SERJAKOVA</v>
          </cell>
          <cell r="B7116">
            <v>4516</v>
          </cell>
        </row>
        <row r="7117">
          <cell r="A7117" t="str">
            <v>ANITA SERMANDI</v>
          </cell>
          <cell r="B7117">
            <v>9101</v>
          </cell>
        </row>
        <row r="7118">
          <cell r="A7118" t="str">
            <v>ANDREIS SERMIN</v>
          </cell>
          <cell r="B7118">
            <v>2602</v>
          </cell>
        </row>
        <row r="7119">
          <cell r="A7119" t="str">
            <v>ALEKSANDR SEROV</v>
          </cell>
          <cell r="B7119">
            <v>3477</v>
          </cell>
        </row>
        <row r="7120">
          <cell r="A7120" t="str">
            <v>ALEKSANDRA SERPUHHINA</v>
          </cell>
          <cell r="B7120">
            <v>2158</v>
          </cell>
        </row>
        <row r="7121">
          <cell r="A7121" t="str">
            <v>SERGEI SERZANTOV</v>
          </cell>
          <cell r="B7121">
            <v>4517</v>
          </cell>
        </row>
        <row r="7122">
          <cell r="A7122" t="str">
            <v>SOFIA SEVALKINA</v>
          </cell>
          <cell r="B7122">
            <v>3887</v>
          </cell>
        </row>
        <row r="7123">
          <cell r="A7123" t="str">
            <v>DAMIR SEVBJANOV</v>
          </cell>
          <cell r="B7123">
            <v>10206</v>
          </cell>
        </row>
        <row r="7124">
          <cell r="A7124" t="str">
            <v>MIHHAIL SEVRJUKOV</v>
          </cell>
          <cell r="B7124">
            <v>4796</v>
          </cell>
        </row>
        <row r="7125">
          <cell r="A7125" t="str">
            <v>ROMAN SHABANOV</v>
          </cell>
          <cell r="B7125">
            <v>1413</v>
          </cell>
        </row>
        <row r="7126">
          <cell r="A7126" t="str">
            <v>SERGEI SHAFONOV</v>
          </cell>
          <cell r="B7126">
            <v>876</v>
          </cell>
        </row>
        <row r="7127">
          <cell r="A7127" t="str">
            <v>RAMIZ SHAIHUDTINOV</v>
          </cell>
          <cell r="B7127">
            <v>1021</v>
          </cell>
        </row>
        <row r="7128">
          <cell r="A7128" t="str">
            <v>ANDREI SHAKLEIN</v>
          </cell>
          <cell r="B7128">
            <v>10717</v>
          </cell>
        </row>
        <row r="7129">
          <cell r="A7129" t="str">
            <v>MIHAIL SHAKLEIN</v>
          </cell>
          <cell r="B7129">
            <v>10716</v>
          </cell>
        </row>
        <row r="7130">
          <cell r="A7130" t="str">
            <v>MIHHAIL SHAPIRO</v>
          </cell>
          <cell r="B7130">
            <v>2615</v>
          </cell>
        </row>
        <row r="7131">
          <cell r="A7131" t="str">
            <v>ALEKSANDR SHARKO</v>
          </cell>
          <cell r="B7131">
            <v>1190</v>
          </cell>
        </row>
        <row r="7132">
          <cell r="A7132" t="str">
            <v>MAKSIM SHAROFOST</v>
          </cell>
          <cell r="B7132">
            <v>379</v>
          </cell>
        </row>
        <row r="7133">
          <cell r="A7133" t="str">
            <v>ANTON SHAROV</v>
          </cell>
          <cell r="B7133">
            <v>8232</v>
          </cell>
        </row>
        <row r="7134">
          <cell r="A7134" t="str">
            <v>SAMVEL SHARUHANJAN</v>
          </cell>
          <cell r="B7134">
            <v>1757</v>
          </cell>
        </row>
        <row r="7135">
          <cell r="A7135" t="str">
            <v>MIHAIL SHATROV</v>
          </cell>
          <cell r="B7135">
            <v>9188</v>
          </cell>
        </row>
        <row r="7136">
          <cell r="A7136" t="str">
            <v>ANNA SHATROVA</v>
          </cell>
          <cell r="B7136">
            <v>10064</v>
          </cell>
        </row>
        <row r="7137">
          <cell r="A7137" t="str">
            <v>JELIZAVETA SHATROVA</v>
          </cell>
          <cell r="B7137">
            <v>9611</v>
          </cell>
        </row>
        <row r="7138">
          <cell r="A7138" t="str">
            <v>SOFJA SHATROVA</v>
          </cell>
          <cell r="B7138">
            <v>8956</v>
          </cell>
        </row>
        <row r="7139">
          <cell r="A7139" t="str">
            <v>ANASTAIJA SHEF</v>
          </cell>
          <cell r="B7139">
            <v>9480</v>
          </cell>
        </row>
        <row r="7140">
          <cell r="A7140" t="str">
            <v>ALEKSANDR SHELEPANOV</v>
          </cell>
          <cell r="B7140">
            <v>4079</v>
          </cell>
        </row>
        <row r="7141">
          <cell r="A7141" t="str">
            <v>ALEKSANDR SHENTSEV</v>
          </cell>
          <cell r="B7141">
            <v>3934</v>
          </cell>
        </row>
        <row r="7142">
          <cell r="A7142" t="str">
            <v>ARTJOM SHENTSEV</v>
          </cell>
          <cell r="B7142">
            <v>4759</v>
          </cell>
        </row>
        <row r="7143">
          <cell r="A7143" t="str">
            <v>MAKSIM SHEPETOV</v>
          </cell>
          <cell r="B7143">
            <v>929</v>
          </cell>
        </row>
        <row r="7144">
          <cell r="A7144" t="str">
            <v>VLADIMIR SHERBATÕHH</v>
          </cell>
          <cell r="B7144">
            <v>1303</v>
          </cell>
        </row>
        <row r="7145">
          <cell r="A7145" t="str">
            <v>JEGOR SHESTOV</v>
          </cell>
          <cell r="B7145">
            <v>3308</v>
          </cell>
        </row>
        <row r="7146">
          <cell r="A7146" t="str">
            <v>OLEG SHEVNIN</v>
          </cell>
          <cell r="B7146">
            <v>7814</v>
          </cell>
        </row>
        <row r="7147">
          <cell r="A7147" t="str">
            <v>ANASTASIIA SHEVTCOVA</v>
          </cell>
          <cell r="B7147">
            <v>7108</v>
          </cell>
        </row>
        <row r="7148">
          <cell r="A7148" t="str">
            <v>ANDREI SHEVTSHUK</v>
          </cell>
          <cell r="B7148">
            <v>1381</v>
          </cell>
        </row>
        <row r="7149">
          <cell r="A7149" t="str">
            <v>DANIL SHEVTSOV</v>
          </cell>
          <cell r="B7149">
            <v>9272</v>
          </cell>
        </row>
        <row r="7150">
          <cell r="A7150" t="str">
            <v>SERGEI SHEVTSOV</v>
          </cell>
          <cell r="B7150">
            <v>867</v>
          </cell>
        </row>
        <row r="7151">
          <cell r="A7151" t="str">
            <v>ANTON SHILIN</v>
          </cell>
          <cell r="B7151">
            <v>2399</v>
          </cell>
        </row>
        <row r="7152">
          <cell r="A7152" t="str">
            <v>ARTIS SHIMASHKO</v>
          </cell>
          <cell r="B7152">
            <v>2247</v>
          </cell>
        </row>
        <row r="7153">
          <cell r="A7153" t="str">
            <v>MAKSIM SHIRAI</v>
          </cell>
          <cell r="B7153">
            <v>1956</v>
          </cell>
        </row>
        <row r="7154">
          <cell r="A7154" t="str">
            <v>MAKSIM SHIROKIKH</v>
          </cell>
          <cell r="B7154">
            <v>9489</v>
          </cell>
        </row>
        <row r="7155">
          <cell r="A7155" t="str">
            <v>UNA SHKIPARE</v>
          </cell>
          <cell r="B7155">
            <v>3498</v>
          </cell>
        </row>
        <row r="7156">
          <cell r="A7156" t="str">
            <v>OLGA SHLAPAKOVA</v>
          </cell>
          <cell r="B7156">
            <v>1496</v>
          </cell>
        </row>
        <row r="7157">
          <cell r="A7157" t="str">
            <v>MAXIM SHMYREV</v>
          </cell>
          <cell r="B7157">
            <v>9876</v>
          </cell>
        </row>
        <row r="7158">
          <cell r="A7158" t="str">
            <v>EGOR SHTSHERBAN</v>
          </cell>
          <cell r="B7158">
            <v>8846</v>
          </cell>
        </row>
        <row r="7159">
          <cell r="A7159" t="str">
            <v>ALEKSEI SHUBIN</v>
          </cell>
          <cell r="B7159">
            <v>4518</v>
          </cell>
        </row>
        <row r="7160">
          <cell r="A7160" t="str">
            <v>ANDREY SHUBIN</v>
          </cell>
          <cell r="B7160">
            <v>7009</v>
          </cell>
        </row>
        <row r="7161">
          <cell r="A7161" t="str">
            <v>ANNA SHUBINA</v>
          </cell>
          <cell r="B7161">
            <v>4519</v>
          </cell>
        </row>
        <row r="7162">
          <cell r="A7162" t="str">
            <v>ROMAN SHUBNIKOV</v>
          </cell>
          <cell r="B7162">
            <v>9813</v>
          </cell>
        </row>
        <row r="7163">
          <cell r="A7163" t="str">
            <v>VERONIKA SHULJAK</v>
          </cell>
          <cell r="B7163">
            <v>4520</v>
          </cell>
        </row>
        <row r="7164">
          <cell r="A7164" t="str">
            <v>ALEKSANDR SHUMSKIY</v>
          </cell>
          <cell r="B7164">
            <v>10542</v>
          </cell>
        </row>
        <row r="7165">
          <cell r="A7165" t="str">
            <v>ANNA SHUSHKOVA</v>
          </cell>
          <cell r="B7165">
            <v>10050</v>
          </cell>
        </row>
        <row r="7166">
          <cell r="A7166" t="str">
            <v>KASPARS SHUSTOVS</v>
          </cell>
          <cell r="B7166">
            <v>8620</v>
          </cell>
        </row>
        <row r="7167">
          <cell r="A7167" t="str">
            <v>ALEKSANDRS SHUTKA</v>
          </cell>
          <cell r="B7167">
            <v>3333</v>
          </cell>
        </row>
        <row r="7168">
          <cell r="A7168" t="str">
            <v>ANDREI SHUTOV</v>
          </cell>
          <cell r="B7168">
            <v>9404</v>
          </cell>
        </row>
        <row r="7169">
          <cell r="A7169" t="str">
            <v>ANNA SHUVAJEVA</v>
          </cell>
          <cell r="B7169">
            <v>2308</v>
          </cell>
        </row>
        <row r="7170">
          <cell r="A7170" t="str">
            <v>MILANA SHYLO</v>
          </cell>
          <cell r="B7170">
            <v>10877</v>
          </cell>
        </row>
        <row r="7171">
          <cell r="A7171" t="str">
            <v>SERGEI SHYLO</v>
          </cell>
          <cell r="B7171">
            <v>10703</v>
          </cell>
        </row>
        <row r="7172">
          <cell r="A7172" t="str">
            <v>ARTJOM SHYSHKIN</v>
          </cell>
          <cell r="B7172">
            <v>8315</v>
          </cell>
        </row>
        <row r="7173">
          <cell r="A7173" t="str">
            <v>JEVGENIJS SIBKO-SIPKOVSKIS</v>
          </cell>
          <cell r="B7173">
            <v>2240</v>
          </cell>
        </row>
        <row r="7174">
          <cell r="A7174" t="str">
            <v>JOOSEP SIBUL</v>
          </cell>
          <cell r="B7174">
            <v>9984</v>
          </cell>
        </row>
        <row r="7175">
          <cell r="A7175" t="str">
            <v>KAIRI SIBUL</v>
          </cell>
          <cell r="B7175">
            <v>116</v>
          </cell>
        </row>
        <row r="7176">
          <cell r="A7176" t="str">
            <v>MARGUS SIBUL</v>
          </cell>
          <cell r="B7176">
            <v>4756</v>
          </cell>
        </row>
        <row r="7177">
          <cell r="A7177" t="str">
            <v>MARTYNA SIDABRAITE</v>
          </cell>
          <cell r="B7177">
            <v>2522</v>
          </cell>
        </row>
        <row r="7178">
          <cell r="A7178" t="str">
            <v>LIIS SIDELJOV</v>
          </cell>
          <cell r="B7178">
            <v>2006</v>
          </cell>
        </row>
        <row r="7179">
          <cell r="A7179" t="str">
            <v>SIIM SIDELJOV</v>
          </cell>
          <cell r="B7179">
            <v>1633</v>
          </cell>
        </row>
        <row r="7180">
          <cell r="A7180" t="str">
            <v>VADIM SIDORENKO</v>
          </cell>
          <cell r="B7180">
            <v>4521</v>
          </cell>
        </row>
        <row r="7181">
          <cell r="A7181" t="str">
            <v>VLADIMER SIDORENKO</v>
          </cell>
          <cell r="B7181">
            <v>10493</v>
          </cell>
        </row>
        <row r="7182">
          <cell r="A7182" t="str">
            <v>IGORS SIDOROVS</v>
          </cell>
          <cell r="B7182">
            <v>849</v>
          </cell>
        </row>
        <row r="7183">
          <cell r="A7183" t="str">
            <v>JARMO SIEKKINEN</v>
          </cell>
          <cell r="B7183">
            <v>1129</v>
          </cell>
        </row>
        <row r="7184">
          <cell r="A7184" t="str">
            <v>MARK SIGAJEV</v>
          </cell>
          <cell r="B7184">
            <v>4522</v>
          </cell>
        </row>
        <row r="7185">
          <cell r="A7185" t="str">
            <v>ALEKSANDERS SIHMANS</v>
          </cell>
          <cell r="B7185">
            <v>1647</v>
          </cell>
        </row>
        <row r="7186">
          <cell r="A7186" t="str">
            <v>ATKO SIHT</v>
          </cell>
          <cell r="B7186">
            <v>1342</v>
          </cell>
        </row>
        <row r="7187">
          <cell r="A7187" t="str">
            <v>EMMA SIHVART</v>
          </cell>
          <cell r="B7187">
            <v>10428</v>
          </cell>
        </row>
        <row r="7188">
          <cell r="A7188" t="str">
            <v>MIKK-MARKUS SIHVER</v>
          </cell>
          <cell r="B7188">
            <v>2622</v>
          </cell>
        </row>
        <row r="7189">
          <cell r="A7189" t="str">
            <v>SIRELIN SIIGUR</v>
          </cell>
          <cell r="B7189">
            <v>3246</v>
          </cell>
        </row>
        <row r="7190">
          <cell r="A7190" t="str">
            <v>ANNABEL VIKTORIA SIIL</v>
          </cell>
          <cell r="B7190">
            <v>9344</v>
          </cell>
        </row>
        <row r="7191">
          <cell r="A7191" t="str">
            <v>SIIRI SIILABERG</v>
          </cell>
          <cell r="B7191">
            <v>1667</v>
          </cell>
        </row>
        <row r="7192">
          <cell r="A7192" t="str">
            <v>ALEN SIILIVASK</v>
          </cell>
          <cell r="B7192">
            <v>6217</v>
          </cell>
        </row>
        <row r="7193">
          <cell r="A7193" t="str">
            <v>ILISON SIIM</v>
          </cell>
          <cell r="B7193">
            <v>8958</v>
          </cell>
        </row>
        <row r="7194">
          <cell r="A7194" t="str">
            <v>MIRJAM SIIM</v>
          </cell>
          <cell r="B7194">
            <v>897</v>
          </cell>
        </row>
        <row r="7195">
          <cell r="A7195" t="str">
            <v>TIMO SIIM</v>
          </cell>
          <cell r="B7195">
            <v>3130</v>
          </cell>
        </row>
        <row r="7196">
          <cell r="A7196" t="str">
            <v>ANDRES SIIMAN</v>
          </cell>
          <cell r="B7196">
            <v>8169</v>
          </cell>
        </row>
        <row r="7197">
          <cell r="A7197" t="str">
            <v>MARTIN SIIMAN</v>
          </cell>
          <cell r="B7197">
            <v>5014</v>
          </cell>
        </row>
        <row r="7198">
          <cell r="A7198" t="str">
            <v>CAROLIN SIIMENSON</v>
          </cell>
          <cell r="B7198">
            <v>1839</v>
          </cell>
        </row>
        <row r="7199">
          <cell r="A7199" t="str">
            <v>BRITA SIIMER</v>
          </cell>
          <cell r="B7199">
            <v>3352</v>
          </cell>
        </row>
        <row r="7200">
          <cell r="A7200" t="str">
            <v>KAAREL SIIMER</v>
          </cell>
          <cell r="B7200">
            <v>3239</v>
          </cell>
        </row>
        <row r="7201">
          <cell r="A7201" t="str">
            <v>KAISA SIIMER</v>
          </cell>
          <cell r="B7201">
            <v>5015</v>
          </cell>
        </row>
        <row r="7202">
          <cell r="A7202" t="str">
            <v>BERT SIIMON</v>
          </cell>
          <cell r="B7202">
            <v>6078</v>
          </cell>
        </row>
        <row r="7203">
          <cell r="A7203" t="str">
            <v>KAAREL SIIMON</v>
          </cell>
          <cell r="B7203">
            <v>5118</v>
          </cell>
        </row>
        <row r="7204">
          <cell r="A7204" t="str">
            <v>SVEN SIIMON</v>
          </cell>
          <cell r="B7204">
            <v>1302</v>
          </cell>
        </row>
        <row r="7205">
          <cell r="A7205" t="str">
            <v>TREVOR SIIMON</v>
          </cell>
          <cell r="B7205">
            <v>10097</v>
          </cell>
        </row>
        <row r="7206">
          <cell r="A7206" t="str">
            <v>VILJO SIIMSALU</v>
          </cell>
          <cell r="B7206">
            <v>2909</v>
          </cell>
        </row>
        <row r="7207">
          <cell r="A7207" t="str">
            <v>MIKK SIIMSON</v>
          </cell>
          <cell r="B7207">
            <v>4523</v>
          </cell>
        </row>
        <row r="7208">
          <cell r="A7208" t="str">
            <v>JOONAS SIIMUSTE</v>
          </cell>
          <cell r="B7208">
            <v>3069</v>
          </cell>
        </row>
        <row r="7209">
          <cell r="A7209" t="str">
            <v>SIIM SIIMUT</v>
          </cell>
          <cell r="B7209">
            <v>4524</v>
          </cell>
        </row>
        <row r="7210">
          <cell r="A7210" t="str">
            <v>KERT SIINER</v>
          </cell>
          <cell r="B7210">
            <v>8891</v>
          </cell>
        </row>
        <row r="7211">
          <cell r="A7211" t="str">
            <v>JAAN SIIRAK</v>
          </cell>
          <cell r="B7211">
            <v>261</v>
          </cell>
        </row>
        <row r="7212">
          <cell r="A7212" t="str">
            <v>ROLAND SIIRAK</v>
          </cell>
          <cell r="B7212">
            <v>337</v>
          </cell>
        </row>
        <row r="7213">
          <cell r="A7213" t="str">
            <v>OSKAR SIIRUS-KUZNETSOV</v>
          </cell>
          <cell r="B7213">
            <v>8458</v>
          </cell>
        </row>
        <row r="7214">
          <cell r="A7214" t="str">
            <v>KARLI SIISPOOL</v>
          </cell>
          <cell r="B7214">
            <v>874</v>
          </cell>
        </row>
        <row r="7215">
          <cell r="A7215" t="str">
            <v>RAIVO SIISPOOL</v>
          </cell>
          <cell r="B7215">
            <v>1324</v>
          </cell>
        </row>
        <row r="7216">
          <cell r="A7216" t="str">
            <v>HEITI SIITAM</v>
          </cell>
          <cell r="B7216">
            <v>3450</v>
          </cell>
        </row>
        <row r="7217">
          <cell r="A7217" t="str">
            <v>KRISTI SIITAM</v>
          </cell>
          <cell r="B7217">
            <v>885</v>
          </cell>
        </row>
        <row r="7218">
          <cell r="A7218" t="str">
            <v>RAINIS SIITAM</v>
          </cell>
          <cell r="B7218">
            <v>980</v>
          </cell>
        </row>
        <row r="7219">
          <cell r="A7219" t="str">
            <v>JÜRI SIITAN</v>
          </cell>
          <cell r="B7219">
            <v>9172</v>
          </cell>
        </row>
        <row r="7220">
          <cell r="A7220" t="str">
            <v>MARKUS SIITAN</v>
          </cell>
          <cell r="B7220">
            <v>10881</v>
          </cell>
        </row>
        <row r="7221">
          <cell r="A7221" t="str">
            <v>KALJU SIITKA</v>
          </cell>
          <cell r="B7221">
            <v>4844</v>
          </cell>
        </row>
        <row r="7222">
          <cell r="A7222" t="str">
            <v>TARMO SIITMA</v>
          </cell>
          <cell r="B7222">
            <v>7204</v>
          </cell>
        </row>
        <row r="7223">
          <cell r="A7223" t="str">
            <v>KRISTJAN SIKASTE</v>
          </cell>
          <cell r="B7223">
            <v>9831</v>
          </cell>
        </row>
        <row r="7224">
          <cell r="A7224" t="str">
            <v>KALLE SIKI</v>
          </cell>
          <cell r="B7224">
            <v>10122</v>
          </cell>
        </row>
        <row r="7225">
          <cell r="A7225" t="str">
            <v>AIN SIKK</v>
          </cell>
          <cell r="B7225">
            <v>262</v>
          </cell>
        </row>
        <row r="7226">
          <cell r="A7226" t="str">
            <v>JANNO SIKK</v>
          </cell>
          <cell r="B7226">
            <v>1928</v>
          </cell>
        </row>
        <row r="7227">
          <cell r="A7227" t="str">
            <v>RISTO SIKK</v>
          </cell>
          <cell r="B7227">
            <v>8609</v>
          </cell>
        </row>
        <row r="7228">
          <cell r="A7228" t="str">
            <v>VITALI SIKORA</v>
          </cell>
          <cell r="B7228">
            <v>3276</v>
          </cell>
        </row>
        <row r="7229">
          <cell r="A7229" t="str">
            <v>JEVGENI SIKORSKI</v>
          </cell>
          <cell r="B7229">
            <v>8289</v>
          </cell>
        </row>
        <row r="7230">
          <cell r="A7230" t="str">
            <v>ALEKSANDR SILANTJEV</v>
          </cell>
          <cell r="B7230">
            <v>4797</v>
          </cell>
        </row>
        <row r="7231">
          <cell r="A7231" t="str">
            <v>SERGEI SILANTJEV</v>
          </cell>
          <cell r="B7231">
            <v>3059</v>
          </cell>
        </row>
        <row r="7232">
          <cell r="A7232" t="str">
            <v>KASPAR SILD</v>
          </cell>
          <cell r="B7232">
            <v>1921</v>
          </cell>
        </row>
        <row r="7233">
          <cell r="A7233" t="str">
            <v>LENNO SILD</v>
          </cell>
          <cell r="B7233">
            <v>8284</v>
          </cell>
        </row>
        <row r="7234">
          <cell r="A7234" t="str">
            <v>MATI SILD</v>
          </cell>
          <cell r="B7234">
            <v>1747</v>
          </cell>
        </row>
        <row r="7235">
          <cell r="A7235" t="str">
            <v>TRIIN SILD</v>
          </cell>
          <cell r="B7235">
            <v>1746</v>
          </cell>
        </row>
        <row r="7236">
          <cell r="A7236" t="str">
            <v>MATTIAS SILDE</v>
          </cell>
          <cell r="B7236">
            <v>5266</v>
          </cell>
        </row>
        <row r="7237">
          <cell r="A7237" t="str">
            <v>RAUL SILDE</v>
          </cell>
          <cell r="B7237">
            <v>8768</v>
          </cell>
        </row>
        <row r="7238">
          <cell r="A7238" t="str">
            <v>HARDO SILDNIK</v>
          </cell>
          <cell r="B7238">
            <v>8879</v>
          </cell>
        </row>
        <row r="7239">
          <cell r="A7239" t="str">
            <v>MARK-DANIEL SILDNIK</v>
          </cell>
          <cell r="B7239">
            <v>5402</v>
          </cell>
        </row>
        <row r="7240">
          <cell r="A7240" t="str">
            <v>MIHKEL SILDOJA</v>
          </cell>
          <cell r="B7240">
            <v>7727</v>
          </cell>
        </row>
        <row r="7241">
          <cell r="A7241" t="str">
            <v>DMITRI SILIN</v>
          </cell>
          <cell r="B7241">
            <v>9528</v>
          </cell>
        </row>
        <row r="7242">
          <cell r="A7242" t="str">
            <v>EERIK SILIS</v>
          </cell>
          <cell r="B7242">
            <v>4002</v>
          </cell>
        </row>
        <row r="7243">
          <cell r="A7243" t="str">
            <v>KALVIS SILJANIS</v>
          </cell>
          <cell r="B7243">
            <v>3332</v>
          </cell>
        </row>
        <row r="7244">
          <cell r="A7244" t="str">
            <v>JEGOR SILJUK</v>
          </cell>
          <cell r="B7244">
            <v>7811</v>
          </cell>
        </row>
        <row r="7245">
          <cell r="A7245" t="str">
            <v>ALLAN SILLA</v>
          </cell>
          <cell r="B7245">
            <v>4637</v>
          </cell>
        </row>
        <row r="7246">
          <cell r="A7246" t="str">
            <v>EGERT SILLA</v>
          </cell>
          <cell r="B7246">
            <v>10106</v>
          </cell>
        </row>
        <row r="7247">
          <cell r="A7247" t="str">
            <v>HELGI SILLAK</v>
          </cell>
          <cell r="B7247">
            <v>2678</v>
          </cell>
        </row>
        <row r="7248">
          <cell r="A7248" t="str">
            <v>VELLO SILLAK</v>
          </cell>
          <cell r="B7248">
            <v>2329</v>
          </cell>
        </row>
        <row r="7249">
          <cell r="A7249" t="str">
            <v>BIRGIT SILLAMÄGI</v>
          </cell>
          <cell r="B7249">
            <v>4526</v>
          </cell>
        </row>
        <row r="7250">
          <cell r="A7250" t="str">
            <v>MIKK SILLAMAA</v>
          </cell>
          <cell r="B7250">
            <v>2385</v>
          </cell>
        </row>
        <row r="7251">
          <cell r="A7251" t="str">
            <v>RASMUS SILLAMAA</v>
          </cell>
          <cell r="B7251">
            <v>4525</v>
          </cell>
        </row>
        <row r="7252">
          <cell r="A7252" t="str">
            <v>ELIIS SILLAOTS</v>
          </cell>
          <cell r="B7252">
            <v>5592</v>
          </cell>
        </row>
        <row r="7253">
          <cell r="A7253" t="str">
            <v>SOPHIA SILLAOTS</v>
          </cell>
          <cell r="B7253">
            <v>9192</v>
          </cell>
        </row>
        <row r="7254">
          <cell r="A7254" t="str">
            <v>MIRELL-KRISTEL SILLARD</v>
          </cell>
          <cell r="B7254">
            <v>313</v>
          </cell>
        </row>
        <row r="7255">
          <cell r="A7255" t="str">
            <v>GEILY SILLASTE</v>
          </cell>
          <cell r="B7255">
            <v>9164</v>
          </cell>
        </row>
        <row r="7256">
          <cell r="A7256" t="str">
            <v>KRISTOPHER SILLER</v>
          </cell>
          <cell r="B7256">
            <v>8811</v>
          </cell>
        </row>
        <row r="7257">
          <cell r="A7257" t="str">
            <v>MIHKEL SILLER</v>
          </cell>
          <cell r="B7257">
            <v>10238</v>
          </cell>
        </row>
        <row r="7258">
          <cell r="A7258" t="str">
            <v>RIVO SILLER</v>
          </cell>
          <cell r="B7258">
            <v>1693</v>
          </cell>
        </row>
        <row r="7259">
          <cell r="A7259" t="str">
            <v>KÄTLYN SILM</v>
          </cell>
          <cell r="B7259">
            <v>6091</v>
          </cell>
        </row>
        <row r="7260">
          <cell r="A7260" t="str">
            <v>RICHARD SILM</v>
          </cell>
          <cell r="B7260">
            <v>8874</v>
          </cell>
        </row>
        <row r="7261">
          <cell r="A7261" t="str">
            <v>DANIEL SIMAGIN</v>
          </cell>
          <cell r="B7261">
            <v>10351</v>
          </cell>
        </row>
        <row r="7262">
          <cell r="A7262" t="str">
            <v>DMITRI SIMAKOV</v>
          </cell>
          <cell r="B7262">
            <v>4527</v>
          </cell>
        </row>
        <row r="7263">
          <cell r="A7263" t="str">
            <v>BEATE SIMANE</v>
          </cell>
          <cell r="B7263">
            <v>3707</v>
          </cell>
        </row>
        <row r="7264">
          <cell r="A7264" t="str">
            <v>KARINA SIMANOVITŠ</v>
          </cell>
          <cell r="B7264">
            <v>5430</v>
          </cell>
        </row>
        <row r="7265">
          <cell r="A7265" t="str">
            <v>MAIA SIMKIN</v>
          </cell>
          <cell r="B7265">
            <v>1391</v>
          </cell>
        </row>
        <row r="7266">
          <cell r="A7266" t="str">
            <v>IEVA SIMKUTE</v>
          </cell>
          <cell r="B7266">
            <v>5456</v>
          </cell>
        </row>
        <row r="7267">
          <cell r="A7267" t="str">
            <v>HILLAR SIMONOV</v>
          </cell>
          <cell r="B7267">
            <v>1134</v>
          </cell>
        </row>
        <row r="7268">
          <cell r="A7268" t="str">
            <v>KEVIN SIMS</v>
          </cell>
          <cell r="B7268">
            <v>7366</v>
          </cell>
        </row>
        <row r="7269">
          <cell r="A7269" t="str">
            <v>TOOMAS SIMS</v>
          </cell>
          <cell r="B7269">
            <v>5200</v>
          </cell>
        </row>
        <row r="7270">
          <cell r="A7270" t="str">
            <v>MARTIN SIMSALU</v>
          </cell>
          <cell r="B7270">
            <v>1587</v>
          </cell>
        </row>
        <row r="7271">
          <cell r="A7271" t="str">
            <v>MERO KARMO SIMSON</v>
          </cell>
          <cell r="B7271">
            <v>9345</v>
          </cell>
        </row>
        <row r="7272">
          <cell r="A7272" t="str">
            <v>JOONAS SIMUSTE</v>
          </cell>
          <cell r="B7272">
            <v>3128</v>
          </cell>
        </row>
        <row r="7273">
          <cell r="A7273" t="str">
            <v>SVEN SIMUSTE</v>
          </cell>
          <cell r="B7273">
            <v>10769</v>
          </cell>
        </row>
        <row r="7274">
          <cell r="A7274" t="str">
            <v>GERTRUD SINDI</v>
          </cell>
          <cell r="B7274">
            <v>4711</v>
          </cell>
        </row>
        <row r="7275">
          <cell r="A7275" t="str">
            <v>VIKTORIA SINELNIKOVA</v>
          </cell>
          <cell r="B7275">
            <v>8903</v>
          </cell>
        </row>
        <row r="7276">
          <cell r="A7276" t="str">
            <v>ALEKSANDRS SINICA</v>
          </cell>
          <cell r="B7276">
            <v>8064</v>
          </cell>
        </row>
        <row r="7277">
          <cell r="A7277" t="str">
            <v>LERA SINICA</v>
          </cell>
          <cell r="B7277">
            <v>1509</v>
          </cell>
        </row>
        <row r="7278">
          <cell r="A7278" t="str">
            <v>KARL-MARTIN SINIJÄRV</v>
          </cell>
          <cell r="B7278">
            <v>4845</v>
          </cell>
        </row>
        <row r="7279">
          <cell r="A7279" t="str">
            <v>KUSTAS SINIJÄRV</v>
          </cell>
          <cell r="B7279">
            <v>4528</v>
          </cell>
        </row>
        <row r="7280">
          <cell r="A7280" t="str">
            <v>MARI-LIIS SINIJÄRV</v>
          </cell>
          <cell r="B7280">
            <v>3955</v>
          </cell>
        </row>
        <row r="7281">
          <cell r="A7281" t="str">
            <v>OLIVER SINIMÄE</v>
          </cell>
          <cell r="B7281">
            <v>10850</v>
          </cell>
        </row>
        <row r="7282">
          <cell r="A7282" t="str">
            <v>RAUL SINIMAA</v>
          </cell>
          <cell r="B7282">
            <v>300</v>
          </cell>
        </row>
        <row r="7283">
          <cell r="A7283" t="str">
            <v>JAAN SINISAAR</v>
          </cell>
          <cell r="B7283">
            <v>325</v>
          </cell>
        </row>
        <row r="7284">
          <cell r="A7284" t="str">
            <v>DOMINIC SINISALU</v>
          </cell>
          <cell r="B7284">
            <v>9978</v>
          </cell>
        </row>
        <row r="7285">
          <cell r="A7285" t="str">
            <v>ERIC SINISALU</v>
          </cell>
          <cell r="B7285">
            <v>6189</v>
          </cell>
        </row>
        <row r="7286">
          <cell r="A7286" t="str">
            <v>MEELIS SINISALU</v>
          </cell>
          <cell r="B7286">
            <v>4043</v>
          </cell>
        </row>
        <row r="7287">
          <cell r="A7287" t="str">
            <v>URMAS SINISALU</v>
          </cell>
          <cell r="B7287">
            <v>8178</v>
          </cell>
        </row>
        <row r="7288">
          <cell r="A7288" t="str">
            <v>SEMEN SINIZKII</v>
          </cell>
          <cell r="B7288">
            <v>7642</v>
          </cell>
        </row>
        <row r="7289">
          <cell r="A7289" t="str">
            <v>MIHKEL SINIVEE</v>
          </cell>
          <cell r="B7289">
            <v>7520</v>
          </cell>
        </row>
        <row r="7290">
          <cell r="A7290" t="str">
            <v>ANTON SIPAKOU</v>
          </cell>
          <cell r="B7290">
            <v>7745</v>
          </cell>
        </row>
        <row r="7291">
          <cell r="A7291" t="str">
            <v>REIJO SIPP</v>
          </cell>
          <cell r="B7291">
            <v>1849</v>
          </cell>
        </row>
        <row r="7292">
          <cell r="A7292" t="str">
            <v>JELIZAVETA SIPTSENKO</v>
          </cell>
          <cell r="B7292">
            <v>3176</v>
          </cell>
        </row>
        <row r="7293">
          <cell r="A7293" t="str">
            <v>JEKATERINA SIPULINA</v>
          </cell>
          <cell r="B7293">
            <v>4529</v>
          </cell>
        </row>
        <row r="7294">
          <cell r="A7294" t="str">
            <v>ANDREI SIREL</v>
          </cell>
          <cell r="B7294">
            <v>360</v>
          </cell>
        </row>
        <row r="7295">
          <cell r="A7295" t="str">
            <v>KASPAR SIREL</v>
          </cell>
          <cell r="B7295">
            <v>5016</v>
          </cell>
        </row>
        <row r="7296">
          <cell r="A7296" t="str">
            <v>MARINA SIREL</v>
          </cell>
          <cell r="B7296">
            <v>92</v>
          </cell>
        </row>
        <row r="7297">
          <cell r="A7297" t="str">
            <v>JENS ARLAND SIRELMETS</v>
          </cell>
          <cell r="B7297">
            <v>8643</v>
          </cell>
        </row>
        <row r="7298">
          <cell r="A7298" t="str">
            <v>ALEKSANDER SIRGE</v>
          </cell>
          <cell r="B7298">
            <v>7678</v>
          </cell>
        </row>
        <row r="7299">
          <cell r="A7299" t="str">
            <v>THEMIYA SIRIMEWAN</v>
          </cell>
          <cell r="B7299">
            <v>10216</v>
          </cell>
        </row>
        <row r="7300">
          <cell r="A7300" t="str">
            <v>ANDIS SIRMACIS</v>
          </cell>
          <cell r="B7300">
            <v>3334</v>
          </cell>
        </row>
        <row r="7301">
          <cell r="A7301" t="str">
            <v>MADIS SIRO</v>
          </cell>
          <cell r="B7301">
            <v>2737</v>
          </cell>
        </row>
        <row r="7302">
          <cell r="A7302" t="str">
            <v>STEN SIRO</v>
          </cell>
          <cell r="B7302">
            <v>3147</v>
          </cell>
        </row>
        <row r="7303">
          <cell r="A7303" t="str">
            <v>VIKTORS SIROKIJS</v>
          </cell>
          <cell r="B7303">
            <v>1520</v>
          </cell>
        </row>
        <row r="7304">
          <cell r="A7304" t="str">
            <v>ALEKSANDR SIROTIN</v>
          </cell>
          <cell r="B7304">
            <v>10129</v>
          </cell>
        </row>
        <row r="7305">
          <cell r="A7305" t="str">
            <v>IVAR SIRP</v>
          </cell>
          <cell r="B7305">
            <v>7488</v>
          </cell>
        </row>
        <row r="7306">
          <cell r="A7306" t="str">
            <v>KARL ALEKSANDER SIRP</v>
          </cell>
          <cell r="B7306">
            <v>4798</v>
          </cell>
        </row>
        <row r="7307">
          <cell r="A7307" t="str">
            <v>EDGARS SIRUTIS</v>
          </cell>
          <cell r="B7307">
            <v>2199</v>
          </cell>
        </row>
        <row r="7308">
          <cell r="A7308" t="str">
            <v>JANEK SISAS</v>
          </cell>
          <cell r="B7308">
            <v>9137</v>
          </cell>
        </row>
        <row r="7309">
          <cell r="A7309" t="str">
            <v>JANEL SISAS</v>
          </cell>
          <cell r="B7309">
            <v>9138</v>
          </cell>
        </row>
        <row r="7310">
          <cell r="A7310" t="str">
            <v>GERDA SISONOVAITE</v>
          </cell>
          <cell r="B7310">
            <v>10008</v>
          </cell>
        </row>
        <row r="7311">
          <cell r="A7311" t="str">
            <v>IVAN SIZOV</v>
          </cell>
          <cell r="B7311">
            <v>8308</v>
          </cell>
        </row>
        <row r="7312">
          <cell r="A7312" t="str">
            <v>ROMAN SIZOV</v>
          </cell>
          <cell r="B7312">
            <v>423</v>
          </cell>
        </row>
        <row r="7313">
          <cell r="A7313" t="str">
            <v>ANASTASIA SIZOVA</v>
          </cell>
          <cell r="B7313">
            <v>9427</v>
          </cell>
        </row>
        <row r="7314">
          <cell r="A7314" t="str">
            <v>VIKTORIA SITNIK</v>
          </cell>
          <cell r="B7314">
            <v>2580</v>
          </cell>
        </row>
        <row r="7315">
          <cell r="A7315" t="str">
            <v>SUNNIVA SJOEHOLT</v>
          </cell>
          <cell r="B7315">
            <v>7546</v>
          </cell>
        </row>
        <row r="7316">
          <cell r="A7316" t="str">
            <v>ALINA SKABRENOVA</v>
          </cell>
          <cell r="B7316">
            <v>4530</v>
          </cell>
        </row>
        <row r="7317">
          <cell r="A7317" t="str">
            <v>JANIS SKAIDRAIS</v>
          </cell>
          <cell r="B7317">
            <v>2298</v>
          </cell>
        </row>
        <row r="7318">
          <cell r="A7318" t="str">
            <v>VICTOR SKANTZE</v>
          </cell>
          <cell r="B7318">
            <v>5017</v>
          </cell>
        </row>
        <row r="7319">
          <cell r="A7319" t="str">
            <v>PAVEL SKARZINSKI</v>
          </cell>
          <cell r="B7319">
            <v>1518</v>
          </cell>
        </row>
        <row r="7320">
          <cell r="A7320" t="str">
            <v>ARTUR SKATŠKOV</v>
          </cell>
          <cell r="B7320">
            <v>9457</v>
          </cell>
        </row>
        <row r="7321">
          <cell r="A7321" t="str">
            <v>ALGIRDAS SKIRGAILA</v>
          </cell>
          <cell r="B7321">
            <v>1936</v>
          </cell>
        </row>
        <row r="7322">
          <cell r="A7322" t="str">
            <v>BILLI SKLJAR</v>
          </cell>
          <cell r="B7322">
            <v>3055</v>
          </cell>
        </row>
        <row r="7323">
          <cell r="A7323" t="str">
            <v>VIOLETA SKLJAR</v>
          </cell>
          <cell r="B7323">
            <v>3157</v>
          </cell>
        </row>
        <row r="7324">
          <cell r="A7324" t="str">
            <v>ALEKSEI SKOLNOV</v>
          </cell>
          <cell r="B7324">
            <v>1957</v>
          </cell>
        </row>
        <row r="7325">
          <cell r="A7325" t="str">
            <v>EDGARS SKORE</v>
          </cell>
          <cell r="B7325">
            <v>2847</v>
          </cell>
        </row>
        <row r="7326">
          <cell r="A7326" t="str">
            <v>EDGAR SKRÕDLOV</v>
          </cell>
          <cell r="B7326">
            <v>4531</v>
          </cell>
        </row>
        <row r="7327">
          <cell r="A7327" t="str">
            <v>BENAS SKRIMANTAS</v>
          </cell>
          <cell r="B7327">
            <v>5451</v>
          </cell>
        </row>
        <row r="7328">
          <cell r="A7328" t="str">
            <v>VASILI SKRIPKIN</v>
          </cell>
          <cell r="B7328">
            <v>3889</v>
          </cell>
        </row>
        <row r="7329">
          <cell r="A7329" t="str">
            <v>ANNA SKRIPKINA</v>
          </cell>
          <cell r="B7329">
            <v>3642</v>
          </cell>
        </row>
        <row r="7330">
          <cell r="A7330" t="str">
            <v>MATAS SKUCAS</v>
          </cell>
          <cell r="B7330">
            <v>3890</v>
          </cell>
        </row>
        <row r="7331">
          <cell r="A7331" t="str">
            <v>ALEKSS SKVORCOVS</v>
          </cell>
          <cell r="B7331">
            <v>10673</v>
          </cell>
        </row>
        <row r="7332">
          <cell r="A7332" t="str">
            <v>IGOR SLÕKOV</v>
          </cell>
          <cell r="B7332">
            <v>3547</v>
          </cell>
        </row>
        <row r="7333">
          <cell r="A7333" t="str">
            <v>EDGARS SLABEIKO</v>
          </cell>
          <cell r="B7333">
            <v>7160</v>
          </cell>
        </row>
        <row r="7334">
          <cell r="A7334" t="str">
            <v>NIKOLAI SLASTIHIN</v>
          </cell>
          <cell r="B7334">
            <v>5625</v>
          </cell>
        </row>
        <row r="7335">
          <cell r="A7335" t="str">
            <v>JURI SLAUTIN</v>
          </cell>
          <cell r="B7335">
            <v>1505</v>
          </cell>
        </row>
        <row r="7336">
          <cell r="A7336" t="str">
            <v>DENIS SLEPAKOV</v>
          </cell>
          <cell r="B7336">
            <v>3614</v>
          </cell>
        </row>
        <row r="7337">
          <cell r="A7337" t="str">
            <v>LEONID SLEPAKOV</v>
          </cell>
          <cell r="B7337">
            <v>3395</v>
          </cell>
        </row>
        <row r="7338">
          <cell r="A7338" t="str">
            <v>ALEKSANDRA SLEPAKOVA</v>
          </cell>
          <cell r="B7338">
            <v>3389</v>
          </cell>
        </row>
        <row r="7339">
          <cell r="A7339" t="str">
            <v>ANATOLI SLEPCHENKO</v>
          </cell>
          <cell r="B7339">
            <v>10167</v>
          </cell>
        </row>
        <row r="7340">
          <cell r="A7340" t="str">
            <v>JANIKA SLEPNJOV</v>
          </cell>
          <cell r="B7340">
            <v>2567</v>
          </cell>
        </row>
        <row r="7341">
          <cell r="A7341" t="str">
            <v>JULIA SLESAREVA</v>
          </cell>
          <cell r="B7341">
            <v>7154</v>
          </cell>
        </row>
        <row r="7342">
          <cell r="A7342" t="str">
            <v>ALEXANDER SLYUSAREV</v>
          </cell>
          <cell r="B7342">
            <v>7379</v>
          </cell>
        </row>
        <row r="7343">
          <cell r="A7343" t="str">
            <v>VIKTOR SMANJAKO</v>
          </cell>
          <cell r="B7343">
            <v>7118</v>
          </cell>
        </row>
        <row r="7344">
          <cell r="A7344" t="str">
            <v>VIKTOR SMANKO</v>
          </cell>
          <cell r="B7344">
            <v>8639</v>
          </cell>
        </row>
        <row r="7345">
          <cell r="A7345" t="str">
            <v>SERGEI SMETANNIKOV</v>
          </cell>
          <cell r="B7345">
            <v>7641</v>
          </cell>
        </row>
        <row r="7346">
          <cell r="A7346" t="str">
            <v>GUSTAVS SMILTENS</v>
          </cell>
          <cell r="B7346">
            <v>9980</v>
          </cell>
        </row>
        <row r="7347">
          <cell r="A7347" t="str">
            <v>ALEKSANDR SMIRNOV</v>
          </cell>
          <cell r="B7347">
            <v>376</v>
          </cell>
        </row>
        <row r="7348">
          <cell r="A7348" t="str">
            <v>ALEKSANDR SMIRNOV</v>
          </cell>
          <cell r="B7348">
            <v>7611</v>
          </cell>
        </row>
        <row r="7349">
          <cell r="A7349" t="str">
            <v>DANIIL SMIRNOV</v>
          </cell>
          <cell r="B7349">
            <v>4799</v>
          </cell>
        </row>
        <row r="7350">
          <cell r="A7350" t="str">
            <v>DMITRI SMIRNOV</v>
          </cell>
          <cell r="B7350">
            <v>4533</v>
          </cell>
        </row>
        <row r="7351">
          <cell r="A7351" t="str">
            <v>MAKSIM SMIRNOV</v>
          </cell>
          <cell r="B7351">
            <v>3891</v>
          </cell>
        </row>
        <row r="7352">
          <cell r="A7352" t="str">
            <v>NIKITA SMIRNOV</v>
          </cell>
          <cell r="B7352">
            <v>4800</v>
          </cell>
        </row>
        <row r="7353">
          <cell r="A7353" t="str">
            <v>NIKITA SMIRNOV</v>
          </cell>
          <cell r="B7353">
            <v>7981</v>
          </cell>
        </row>
        <row r="7354">
          <cell r="A7354" t="str">
            <v>NIKITA SMIRNOV</v>
          </cell>
          <cell r="B7354">
            <v>9615</v>
          </cell>
        </row>
        <row r="7355">
          <cell r="A7355" t="str">
            <v>PLATON SMIRNOV</v>
          </cell>
          <cell r="B7355">
            <v>7936</v>
          </cell>
        </row>
        <row r="7356">
          <cell r="A7356" t="str">
            <v>SAVELI SMIRNOV</v>
          </cell>
          <cell r="B7356">
            <v>4080</v>
          </cell>
        </row>
        <row r="7357">
          <cell r="A7357" t="str">
            <v>ANASTASSIA SMIRNOVA</v>
          </cell>
          <cell r="B7357">
            <v>5359</v>
          </cell>
        </row>
        <row r="7358">
          <cell r="A7358" t="str">
            <v>ANNA SMIRNOVA</v>
          </cell>
          <cell r="B7358">
            <v>1278</v>
          </cell>
        </row>
        <row r="7359">
          <cell r="A7359" t="str">
            <v>ELINA SMIRNOVA</v>
          </cell>
          <cell r="B7359">
            <v>9784</v>
          </cell>
        </row>
        <row r="7360">
          <cell r="A7360" t="str">
            <v>JANA SMIRNOVA</v>
          </cell>
          <cell r="B7360">
            <v>3383</v>
          </cell>
        </row>
        <row r="7361">
          <cell r="A7361" t="str">
            <v>JULIA SMIRNOVA</v>
          </cell>
          <cell r="B7361">
            <v>7976</v>
          </cell>
        </row>
        <row r="7362">
          <cell r="A7362" t="str">
            <v>KRISTIINA SMIRNOVA</v>
          </cell>
          <cell r="B7362">
            <v>2868</v>
          </cell>
        </row>
        <row r="7363">
          <cell r="A7363" t="str">
            <v>KRISTINA SMIRNOVA</v>
          </cell>
          <cell r="B7363">
            <v>8379</v>
          </cell>
        </row>
        <row r="7364">
          <cell r="A7364" t="str">
            <v>KSENJA SMIRNOVA</v>
          </cell>
          <cell r="B7364">
            <v>4535</v>
          </cell>
        </row>
        <row r="7365">
          <cell r="A7365" t="str">
            <v>MARGARITA SMIRNOVA</v>
          </cell>
          <cell r="B7365">
            <v>10082</v>
          </cell>
        </row>
        <row r="7366">
          <cell r="A7366" t="str">
            <v>MARIA SMIRNOVA</v>
          </cell>
          <cell r="B7366">
            <v>117</v>
          </cell>
        </row>
        <row r="7367">
          <cell r="A7367" t="str">
            <v>VIKTORIA SMIRNOVA</v>
          </cell>
          <cell r="B7367">
            <v>3404</v>
          </cell>
        </row>
        <row r="7368">
          <cell r="A7368" t="str">
            <v>VALERIJS SMIRNOVS</v>
          </cell>
          <cell r="B7368">
            <v>10080</v>
          </cell>
        </row>
        <row r="7369">
          <cell r="A7369" t="str">
            <v>MIGLE SMITAITE</v>
          </cell>
          <cell r="B7369">
            <v>2194</v>
          </cell>
        </row>
        <row r="7370">
          <cell r="A7370" t="str">
            <v>TÕNU SMITH</v>
          </cell>
          <cell r="B7370">
            <v>4846</v>
          </cell>
        </row>
        <row r="7371">
          <cell r="A7371" t="str">
            <v>MARGARITA SMOLJAKOVA</v>
          </cell>
          <cell r="B7371">
            <v>3892</v>
          </cell>
        </row>
        <row r="7372">
          <cell r="A7372" t="str">
            <v>DYLAN SMYTH</v>
          </cell>
          <cell r="B7372">
            <v>7354</v>
          </cell>
        </row>
        <row r="7373">
          <cell r="A7373" t="str">
            <v>ANASTASSIA SNEŽKOVA</v>
          </cell>
          <cell r="B7373">
            <v>3893</v>
          </cell>
        </row>
        <row r="7374">
          <cell r="A7374" t="str">
            <v>DMITRI SOBOL</v>
          </cell>
          <cell r="B7374">
            <v>2429</v>
          </cell>
        </row>
        <row r="7375">
          <cell r="A7375" t="str">
            <v>VALERI SOBOL</v>
          </cell>
          <cell r="B7375">
            <v>1189</v>
          </cell>
        </row>
        <row r="7376">
          <cell r="A7376" t="str">
            <v>NIKITA SOBOLEV</v>
          </cell>
          <cell r="B7376">
            <v>5395</v>
          </cell>
        </row>
        <row r="7377">
          <cell r="A7377" t="str">
            <v>VLADISLAV SOBOLJEV</v>
          </cell>
          <cell r="B7377">
            <v>4026</v>
          </cell>
        </row>
        <row r="7378">
          <cell r="A7378" t="str">
            <v>HEINO SOE</v>
          </cell>
          <cell r="B7378">
            <v>7485</v>
          </cell>
        </row>
        <row r="7379">
          <cell r="A7379" t="str">
            <v>INDREK SOE</v>
          </cell>
          <cell r="B7379">
            <v>7506</v>
          </cell>
        </row>
        <row r="7380">
          <cell r="A7380" t="str">
            <v>TOOMAS SOIDLA</v>
          </cell>
          <cell r="B7380">
            <v>9510</v>
          </cell>
        </row>
        <row r="7381">
          <cell r="A7381" t="str">
            <v>SAMULI SOINE</v>
          </cell>
          <cell r="B7381">
            <v>1561</v>
          </cell>
        </row>
        <row r="7382">
          <cell r="A7382" t="str">
            <v>TONI SOINE</v>
          </cell>
          <cell r="B7382">
            <v>1526</v>
          </cell>
        </row>
        <row r="7383">
          <cell r="A7383" t="str">
            <v>MARKO SOJONEN</v>
          </cell>
          <cell r="B7383">
            <v>2333</v>
          </cell>
        </row>
        <row r="7384">
          <cell r="A7384" t="str">
            <v>KAROLIS SOKAS</v>
          </cell>
          <cell r="B7384">
            <v>10506</v>
          </cell>
        </row>
        <row r="7385">
          <cell r="A7385" t="str">
            <v>ALEKSANDR SOKIRJANSKI</v>
          </cell>
          <cell r="B7385">
            <v>5244</v>
          </cell>
        </row>
        <row r="7386">
          <cell r="A7386" t="str">
            <v>HUGO VALTER SOKK</v>
          </cell>
          <cell r="B7386">
            <v>10013</v>
          </cell>
        </row>
        <row r="7387">
          <cell r="A7387" t="str">
            <v>ANASTASSIA SOKOLOGORSKAJA</v>
          </cell>
          <cell r="B7387">
            <v>6272</v>
          </cell>
        </row>
        <row r="7388">
          <cell r="A7388" t="str">
            <v>ANDREI SOKOLOV</v>
          </cell>
          <cell r="B7388">
            <v>5938</v>
          </cell>
        </row>
        <row r="7389">
          <cell r="A7389" t="str">
            <v>KONSTANTIN SOKOLOV</v>
          </cell>
          <cell r="B7389">
            <v>7602</v>
          </cell>
        </row>
        <row r="7390">
          <cell r="A7390" t="str">
            <v>MAXIMILIAN SOKOLOV</v>
          </cell>
          <cell r="B7390">
            <v>9631</v>
          </cell>
        </row>
        <row r="7391">
          <cell r="A7391" t="str">
            <v>ALEKSANDRA SOKOLOVA</v>
          </cell>
          <cell r="B7391">
            <v>2572</v>
          </cell>
        </row>
        <row r="7392">
          <cell r="A7392" t="str">
            <v>ARINA SOKOLOVA</v>
          </cell>
          <cell r="B7392">
            <v>9785</v>
          </cell>
        </row>
        <row r="7393">
          <cell r="A7393" t="str">
            <v>DIANA SOKOLOVA</v>
          </cell>
          <cell r="B7393">
            <v>4536</v>
          </cell>
        </row>
        <row r="7394">
          <cell r="A7394" t="str">
            <v>GERT SOLL</v>
          </cell>
          <cell r="B7394">
            <v>7316</v>
          </cell>
        </row>
        <row r="7395">
          <cell r="A7395" t="str">
            <v>TIMOFEI SOLOHHA</v>
          </cell>
          <cell r="B7395">
            <v>8522</v>
          </cell>
        </row>
        <row r="7396">
          <cell r="A7396" t="str">
            <v>STEPAN SOLOMENTSEV</v>
          </cell>
          <cell r="B7396">
            <v>10384</v>
          </cell>
        </row>
        <row r="7397">
          <cell r="A7397" t="str">
            <v>IRINA SOLOMINA</v>
          </cell>
          <cell r="B7397">
            <v>7120</v>
          </cell>
        </row>
        <row r="7398">
          <cell r="A7398" t="str">
            <v>IGOR SOLOPOV</v>
          </cell>
          <cell r="B7398">
            <v>514</v>
          </cell>
        </row>
        <row r="7399">
          <cell r="A7399" t="str">
            <v>SERGEI SOLOVJOV</v>
          </cell>
          <cell r="B7399">
            <v>4537</v>
          </cell>
        </row>
        <row r="7400">
          <cell r="A7400" t="str">
            <v>MARIA SOLOVJOVA</v>
          </cell>
          <cell r="B7400">
            <v>10344</v>
          </cell>
        </row>
        <row r="7401">
          <cell r="A7401" t="str">
            <v>GEORG MARKUS SOMELAR</v>
          </cell>
          <cell r="B7401">
            <v>8104</v>
          </cell>
        </row>
        <row r="7402">
          <cell r="A7402" t="str">
            <v>KATRIINA SOMELAR</v>
          </cell>
          <cell r="B7402">
            <v>3254</v>
          </cell>
        </row>
        <row r="7403">
          <cell r="A7403" t="str">
            <v>ANDRES SOMER</v>
          </cell>
          <cell r="B7403">
            <v>263</v>
          </cell>
        </row>
        <row r="7404">
          <cell r="A7404" t="str">
            <v>SANDER-ERIK SOMER</v>
          </cell>
          <cell r="B7404">
            <v>10109</v>
          </cell>
        </row>
        <row r="7405">
          <cell r="A7405" t="str">
            <v>GEA SOMMER</v>
          </cell>
          <cell r="B7405">
            <v>1113</v>
          </cell>
        </row>
        <row r="7406">
          <cell r="A7406" t="str">
            <v>KAISA SOMMER</v>
          </cell>
          <cell r="B7406">
            <v>7856</v>
          </cell>
        </row>
        <row r="7407">
          <cell r="A7407" t="str">
            <v>STEN SOMMER</v>
          </cell>
          <cell r="B7407">
            <v>3323</v>
          </cell>
        </row>
        <row r="7408">
          <cell r="A7408" t="str">
            <v>MONA SOMS</v>
          </cell>
          <cell r="B7408">
            <v>9983</v>
          </cell>
        </row>
        <row r="7409">
          <cell r="A7409" t="str">
            <v>TIIU SOMS</v>
          </cell>
          <cell r="B7409">
            <v>10022</v>
          </cell>
        </row>
        <row r="7410">
          <cell r="A7410" t="str">
            <v>PERMILLE SONDERGÄRD</v>
          </cell>
          <cell r="B7410">
            <v>2207</v>
          </cell>
        </row>
        <row r="7411">
          <cell r="A7411" t="str">
            <v>TAAVI SONETS</v>
          </cell>
          <cell r="B7411">
            <v>3894</v>
          </cell>
        </row>
        <row r="7412">
          <cell r="A7412" t="str">
            <v>VAN THI SONG</v>
          </cell>
          <cell r="B7412">
            <v>7857</v>
          </cell>
        </row>
        <row r="7413">
          <cell r="A7413" t="str">
            <v>RANELI SONK</v>
          </cell>
          <cell r="B7413">
            <v>6093</v>
          </cell>
        </row>
        <row r="7414">
          <cell r="A7414" t="str">
            <v>AIVAR SOO</v>
          </cell>
          <cell r="B7414">
            <v>10411</v>
          </cell>
        </row>
        <row r="7415">
          <cell r="A7415" t="str">
            <v>KERDO SOO</v>
          </cell>
          <cell r="B7415">
            <v>3227</v>
          </cell>
        </row>
        <row r="7416">
          <cell r="A7416" t="str">
            <v>MARTTI SOO</v>
          </cell>
          <cell r="B7416">
            <v>4539</v>
          </cell>
        </row>
        <row r="7417">
          <cell r="A7417" t="str">
            <v>REELIKA SOO</v>
          </cell>
          <cell r="B7417">
            <v>4538</v>
          </cell>
        </row>
        <row r="7418">
          <cell r="A7418" t="str">
            <v>BOSSE SOOL</v>
          </cell>
          <cell r="B7418">
            <v>4540</v>
          </cell>
        </row>
        <row r="7419">
          <cell r="A7419" t="str">
            <v>ENELIN SOOL</v>
          </cell>
          <cell r="B7419">
            <v>1755</v>
          </cell>
        </row>
        <row r="7420">
          <cell r="A7420" t="str">
            <v>HEIKKI SOOL</v>
          </cell>
          <cell r="B7420">
            <v>1166</v>
          </cell>
        </row>
        <row r="7421">
          <cell r="A7421" t="str">
            <v>KAI-RIIN SOOL</v>
          </cell>
          <cell r="B7421">
            <v>6118</v>
          </cell>
        </row>
        <row r="7422">
          <cell r="A7422" t="str">
            <v>MARTA SOOL</v>
          </cell>
          <cell r="B7422">
            <v>9347</v>
          </cell>
        </row>
        <row r="7423">
          <cell r="A7423" t="str">
            <v>KERDO SOOLO</v>
          </cell>
          <cell r="B7423">
            <v>3213</v>
          </cell>
        </row>
        <row r="7424">
          <cell r="A7424" t="str">
            <v>KERSTIN SOOLO</v>
          </cell>
          <cell r="B7424">
            <v>3216</v>
          </cell>
        </row>
        <row r="7425">
          <cell r="A7425" t="str">
            <v>ANDRE SOOM</v>
          </cell>
          <cell r="B7425">
            <v>10704</v>
          </cell>
        </row>
        <row r="7426">
          <cell r="A7426" t="str">
            <v>AKSEL SOOMETS</v>
          </cell>
          <cell r="B7426">
            <v>8673</v>
          </cell>
        </row>
        <row r="7427">
          <cell r="A7427" t="str">
            <v>HANNA SOOMRE</v>
          </cell>
          <cell r="B7427">
            <v>8808</v>
          </cell>
        </row>
        <row r="7428">
          <cell r="A7428" t="str">
            <v>SANDOR SOOMRE</v>
          </cell>
          <cell r="B7428">
            <v>8866</v>
          </cell>
        </row>
        <row r="7429">
          <cell r="A7429" t="str">
            <v>RAINER SOON</v>
          </cell>
          <cell r="B7429">
            <v>2077</v>
          </cell>
        </row>
        <row r="7430">
          <cell r="A7430" t="str">
            <v>KULDAR SOONETS</v>
          </cell>
          <cell r="B7430">
            <v>6088</v>
          </cell>
        </row>
        <row r="7431">
          <cell r="A7431" t="str">
            <v>PRIIT SOONETS</v>
          </cell>
          <cell r="B7431">
            <v>4757</v>
          </cell>
        </row>
        <row r="7432">
          <cell r="A7432" t="str">
            <v>MADIS SOONISTE</v>
          </cell>
          <cell r="B7432">
            <v>1332</v>
          </cell>
        </row>
        <row r="7433">
          <cell r="A7433" t="str">
            <v>STEFAN SOONISTE</v>
          </cell>
          <cell r="B7433">
            <v>9692</v>
          </cell>
        </row>
        <row r="7434">
          <cell r="A7434" t="str">
            <v>REIN SOOPÄRG</v>
          </cell>
          <cell r="B7434">
            <v>1942</v>
          </cell>
        </row>
        <row r="7435">
          <cell r="A7435" t="str">
            <v>MARIO SOOPALU</v>
          </cell>
          <cell r="B7435">
            <v>2054</v>
          </cell>
        </row>
        <row r="7436">
          <cell r="A7436" t="str">
            <v>KALEV SOOSAAR</v>
          </cell>
          <cell r="B7436">
            <v>266</v>
          </cell>
        </row>
        <row r="7437">
          <cell r="A7437" t="str">
            <v>LOTTA LIISA SOOSAAR</v>
          </cell>
          <cell r="B7437">
            <v>7903</v>
          </cell>
        </row>
        <row r="7438">
          <cell r="A7438" t="str">
            <v>MARION SOOSAAR</v>
          </cell>
          <cell r="B7438">
            <v>1669</v>
          </cell>
        </row>
        <row r="7439">
          <cell r="A7439" t="str">
            <v>STEN VAHUR SOOSAAR</v>
          </cell>
          <cell r="B7439">
            <v>10178</v>
          </cell>
        </row>
        <row r="7440">
          <cell r="A7440" t="str">
            <v>KARL SOOSALU</v>
          </cell>
          <cell r="B7440">
            <v>4541</v>
          </cell>
        </row>
        <row r="7441">
          <cell r="A7441" t="str">
            <v>SANDER SOOSALU</v>
          </cell>
          <cell r="B7441">
            <v>10246</v>
          </cell>
        </row>
        <row r="7442">
          <cell r="A7442" t="str">
            <v>MATI SOOSTAR</v>
          </cell>
          <cell r="B7442">
            <v>10160</v>
          </cell>
        </row>
        <row r="7443">
          <cell r="A7443" t="str">
            <v>JOOSEP SOOTLA</v>
          </cell>
          <cell r="B7443">
            <v>9386</v>
          </cell>
        </row>
        <row r="7444">
          <cell r="A7444" t="str">
            <v>JANNO SOOTS</v>
          </cell>
          <cell r="B7444">
            <v>2702</v>
          </cell>
        </row>
        <row r="7445">
          <cell r="A7445" t="str">
            <v>JOOSEP SOOTS</v>
          </cell>
          <cell r="B7445">
            <v>7519</v>
          </cell>
        </row>
        <row r="7446">
          <cell r="A7446" t="str">
            <v>JAANUS SOOVÄLI</v>
          </cell>
          <cell r="B7446">
            <v>9369</v>
          </cell>
        </row>
        <row r="7447">
          <cell r="A7447" t="str">
            <v>ANTON SOPELEU</v>
          </cell>
          <cell r="B7447">
            <v>7737</v>
          </cell>
        </row>
        <row r="7448">
          <cell r="A7448" t="str">
            <v>SANDIE SORENSEN</v>
          </cell>
          <cell r="B7448">
            <v>2206</v>
          </cell>
        </row>
        <row r="7449">
          <cell r="A7449" t="str">
            <v>JULIA SORGUS</v>
          </cell>
          <cell r="B7449">
            <v>4542</v>
          </cell>
        </row>
        <row r="7450">
          <cell r="A7450" t="str">
            <v>RENE SORKSEP</v>
          </cell>
          <cell r="B7450">
            <v>8728</v>
          </cell>
        </row>
        <row r="7451">
          <cell r="A7451" t="str">
            <v>INESSA SOROKIN</v>
          </cell>
          <cell r="B7451">
            <v>8856</v>
          </cell>
        </row>
        <row r="7452">
          <cell r="A7452" t="str">
            <v>IRINA SOROKINA</v>
          </cell>
          <cell r="B7452">
            <v>118</v>
          </cell>
        </row>
        <row r="7453">
          <cell r="A7453" t="str">
            <v>ALVAR SORTS</v>
          </cell>
          <cell r="B7453">
            <v>1221</v>
          </cell>
        </row>
        <row r="7454">
          <cell r="A7454" t="str">
            <v>ARTJOM SOSHNEV</v>
          </cell>
          <cell r="B7454">
            <v>1778</v>
          </cell>
        </row>
        <row r="7455">
          <cell r="A7455" t="str">
            <v>SANDER SOSI</v>
          </cell>
          <cell r="B7455">
            <v>3633</v>
          </cell>
        </row>
        <row r="7456">
          <cell r="A7456" t="str">
            <v>MATVEI SOTSKOV</v>
          </cell>
          <cell r="B7456">
            <v>9920</v>
          </cell>
        </row>
        <row r="7457">
          <cell r="A7457" t="str">
            <v>NIKITA SOTSKOV</v>
          </cell>
          <cell r="B7457">
            <v>3049</v>
          </cell>
        </row>
        <row r="7458">
          <cell r="A7458" t="str">
            <v>EDUARDS SPAGIS</v>
          </cell>
          <cell r="B7458">
            <v>7559</v>
          </cell>
        </row>
        <row r="7459">
          <cell r="A7459" t="str">
            <v>ARTURS SPALIS</v>
          </cell>
          <cell r="B7459">
            <v>8541</v>
          </cell>
        </row>
        <row r="7460">
          <cell r="A7460" t="str">
            <v>ALEKSANDRA SPITSÕNA</v>
          </cell>
          <cell r="B7460">
            <v>9314</v>
          </cell>
        </row>
        <row r="7461">
          <cell r="A7461" t="str">
            <v>JELENA SPITSÕNA</v>
          </cell>
          <cell r="B7461">
            <v>9315</v>
          </cell>
        </row>
        <row r="7462">
          <cell r="A7462" t="str">
            <v>ELINA SPOLITE</v>
          </cell>
          <cell r="B7462">
            <v>1707</v>
          </cell>
        </row>
        <row r="7463">
          <cell r="A7463" t="str">
            <v>GAIGA SPORNE</v>
          </cell>
          <cell r="B7463">
            <v>1705</v>
          </cell>
        </row>
        <row r="7464">
          <cell r="A7464" t="str">
            <v>PAVEL SREBRODOLSKI</v>
          </cell>
          <cell r="B7464">
            <v>1396</v>
          </cell>
        </row>
        <row r="7465">
          <cell r="A7465" t="str">
            <v>ORINTAS SREDERSAS</v>
          </cell>
          <cell r="B7465">
            <v>9119</v>
          </cell>
        </row>
        <row r="7466">
          <cell r="A7466" t="str">
            <v>ALGIRDAS SRIUBAS</v>
          </cell>
          <cell r="B7466">
            <v>3185</v>
          </cell>
        </row>
        <row r="7467">
          <cell r="A7467" t="str">
            <v>ANNA SZABLEWSKA</v>
          </cell>
          <cell r="B7467">
            <v>10875</v>
          </cell>
        </row>
        <row r="7468">
          <cell r="A7468" t="str">
            <v>ANTEK SZERATICS</v>
          </cell>
          <cell r="B7468">
            <v>9709</v>
          </cell>
        </row>
        <row r="7469">
          <cell r="A7469" t="str">
            <v>LEMBIT-KAUR STÖÖR</v>
          </cell>
          <cell r="B7469">
            <v>8420</v>
          </cell>
        </row>
        <row r="7470">
          <cell r="A7470" t="str">
            <v>DMITRI STÕKAILO</v>
          </cell>
          <cell r="B7470">
            <v>8862</v>
          </cell>
        </row>
        <row r="7471">
          <cell r="A7471" t="str">
            <v>DMITRI STAŠEVICH</v>
          </cell>
          <cell r="B7471">
            <v>7487</v>
          </cell>
        </row>
        <row r="7472">
          <cell r="A7472" t="str">
            <v>POLINA STAŠEVSKA</v>
          </cell>
          <cell r="B7472">
            <v>10404</v>
          </cell>
        </row>
        <row r="7473">
          <cell r="A7473" t="str">
            <v>MARTA LIISA STAALFELDT</v>
          </cell>
          <cell r="B7473">
            <v>6146</v>
          </cell>
        </row>
        <row r="7474">
          <cell r="A7474" t="str">
            <v>IGOR STADNIK</v>
          </cell>
          <cell r="B7474">
            <v>4958</v>
          </cell>
        </row>
        <row r="7475">
          <cell r="A7475" t="str">
            <v>JORIS STAKAUSKAS</v>
          </cell>
          <cell r="B7475">
            <v>10502</v>
          </cell>
        </row>
        <row r="7476">
          <cell r="A7476" t="str">
            <v>ELDAR STAMBLER</v>
          </cell>
          <cell r="B7476">
            <v>1992</v>
          </cell>
        </row>
        <row r="7477">
          <cell r="A7477" t="str">
            <v>KOTSERUBA STANISLAV</v>
          </cell>
          <cell r="B7477">
            <v>10061</v>
          </cell>
        </row>
        <row r="7478">
          <cell r="A7478" t="str">
            <v>MEDEINE STANKEVIČIŪTĖ</v>
          </cell>
          <cell r="B7478">
            <v>7223</v>
          </cell>
        </row>
        <row r="7479">
          <cell r="A7479" t="str">
            <v>SANDER STANSITSCH</v>
          </cell>
          <cell r="B7479">
            <v>1767</v>
          </cell>
        </row>
        <row r="7480">
          <cell r="A7480" t="str">
            <v>NIKITA STARŠOV</v>
          </cell>
          <cell r="B7480">
            <v>10534</v>
          </cell>
        </row>
        <row r="7481">
          <cell r="A7481" t="str">
            <v>DANIIL STARINA</v>
          </cell>
          <cell r="B7481">
            <v>8588</v>
          </cell>
        </row>
        <row r="7482">
          <cell r="A7482" t="str">
            <v>EGERT STARKOPF</v>
          </cell>
          <cell r="B7482">
            <v>5471</v>
          </cell>
        </row>
        <row r="7483">
          <cell r="A7483" t="str">
            <v>HANS-HENDRIK STARKOPF</v>
          </cell>
          <cell r="B7483">
            <v>1875</v>
          </cell>
        </row>
        <row r="7484">
          <cell r="A7484" t="str">
            <v>VOLDEMAR STARKOPF</v>
          </cell>
          <cell r="B7484">
            <v>344</v>
          </cell>
        </row>
        <row r="7485">
          <cell r="A7485" t="str">
            <v>ROSTISLAV STARODUBTSEV</v>
          </cell>
          <cell r="B7485">
            <v>1427</v>
          </cell>
        </row>
        <row r="7486">
          <cell r="A7486" t="str">
            <v>DANIIL STAROZUK</v>
          </cell>
          <cell r="B7486">
            <v>1811</v>
          </cell>
        </row>
        <row r="7487">
          <cell r="A7487" t="str">
            <v>POLINA STAROVEROVA</v>
          </cell>
          <cell r="B7487">
            <v>8954</v>
          </cell>
        </row>
        <row r="7488">
          <cell r="A7488" t="str">
            <v>DOMINIC STAUFER</v>
          </cell>
          <cell r="B7488">
            <v>8661</v>
          </cell>
        </row>
        <row r="7489">
          <cell r="A7489" t="str">
            <v>MARIA STAVTSEVA</v>
          </cell>
          <cell r="B7489">
            <v>4543</v>
          </cell>
        </row>
        <row r="7490">
          <cell r="A7490" t="str">
            <v>LOUISE TRABJERG STEFFENS</v>
          </cell>
          <cell r="B7490">
            <v>7542</v>
          </cell>
        </row>
        <row r="7491">
          <cell r="A7491" t="str">
            <v>AARNE STEINBACH</v>
          </cell>
          <cell r="B7491">
            <v>1852</v>
          </cell>
        </row>
        <row r="7492">
          <cell r="A7492" t="str">
            <v>ANDRUS STEINBACH</v>
          </cell>
          <cell r="B7492">
            <v>264</v>
          </cell>
        </row>
        <row r="7493">
          <cell r="A7493" t="str">
            <v>GERT STEINBERG</v>
          </cell>
          <cell r="B7493">
            <v>1488</v>
          </cell>
        </row>
        <row r="7494">
          <cell r="A7494" t="str">
            <v>VILNIS STEINGOLDS</v>
          </cell>
          <cell r="B7494">
            <v>3619</v>
          </cell>
        </row>
        <row r="7495">
          <cell r="A7495" t="str">
            <v>JANA STELMAČENOKA</v>
          </cell>
          <cell r="B7495">
            <v>7294</v>
          </cell>
        </row>
        <row r="7496">
          <cell r="A7496" t="str">
            <v>ERICH-RAIMOND STEPANJUGA</v>
          </cell>
          <cell r="B7496">
            <v>8157</v>
          </cell>
        </row>
        <row r="7497">
          <cell r="A7497" t="str">
            <v>ALEKSEI STEPANOV</v>
          </cell>
          <cell r="B7497">
            <v>3895</v>
          </cell>
        </row>
        <row r="7498">
          <cell r="A7498" t="str">
            <v>JEGOR STEPANOV</v>
          </cell>
          <cell r="B7498">
            <v>5888</v>
          </cell>
        </row>
        <row r="7499">
          <cell r="A7499" t="str">
            <v>DIANA STEPANOVA</v>
          </cell>
          <cell r="B7499">
            <v>5889</v>
          </cell>
        </row>
        <row r="7500">
          <cell r="A7500" t="str">
            <v>ELINA STEPANOVA</v>
          </cell>
          <cell r="B7500">
            <v>119</v>
          </cell>
        </row>
        <row r="7501">
          <cell r="A7501" t="str">
            <v>EDVIN STEPHANSSON</v>
          </cell>
          <cell r="B7501">
            <v>5018</v>
          </cell>
        </row>
        <row r="7502">
          <cell r="A7502" t="str">
            <v>EINUS STEPONAVICIUS</v>
          </cell>
          <cell r="B7502">
            <v>8235</v>
          </cell>
        </row>
        <row r="7503">
          <cell r="A7503" t="str">
            <v>MINDAUGAS STEPONKUS</v>
          </cell>
          <cell r="B7503">
            <v>10219</v>
          </cell>
        </row>
        <row r="7504">
          <cell r="A7504" t="str">
            <v>TANEL STERN</v>
          </cell>
          <cell r="B7504">
            <v>2282</v>
          </cell>
        </row>
        <row r="7505">
          <cell r="A7505" t="str">
            <v>TOOMAS STERN</v>
          </cell>
          <cell r="B7505">
            <v>3010</v>
          </cell>
        </row>
        <row r="7506">
          <cell r="A7506" t="str">
            <v>ALEKSANDR STETSENKO</v>
          </cell>
          <cell r="B7506">
            <v>9398</v>
          </cell>
        </row>
        <row r="7507">
          <cell r="A7507" t="str">
            <v>MEELIS STIMMER</v>
          </cell>
          <cell r="B7507">
            <v>1655</v>
          </cell>
        </row>
        <row r="7508">
          <cell r="A7508" t="str">
            <v>VELLO STIMMER</v>
          </cell>
          <cell r="B7508">
            <v>4139</v>
          </cell>
        </row>
        <row r="7509">
          <cell r="A7509" t="str">
            <v>AUSRA STIRBYTE</v>
          </cell>
          <cell r="B7509">
            <v>3712</v>
          </cell>
        </row>
        <row r="7510">
          <cell r="A7510" t="str">
            <v>ILJA STOLEROV</v>
          </cell>
          <cell r="B7510">
            <v>4095</v>
          </cell>
        </row>
        <row r="7511">
          <cell r="A7511" t="str">
            <v>IVAR STOLFOT</v>
          </cell>
          <cell r="B7511">
            <v>3461</v>
          </cell>
        </row>
        <row r="7512">
          <cell r="A7512" t="str">
            <v>VÄINO STOLTSEN</v>
          </cell>
          <cell r="B7512">
            <v>1924</v>
          </cell>
        </row>
        <row r="7513">
          <cell r="A7513" t="str">
            <v>RASMUS BRUND STORKEHAVE</v>
          </cell>
          <cell r="B7513">
            <v>7525</v>
          </cell>
        </row>
        <row r="7514">
          <cell r="A7514" t="str">
            <v>PAULIUS STORPIRSTIS</v>
          </cell>
          <cell r="B7514">
            <v>3178</v>
          </cell>
        </row>
        <row r="7515">
          <cell r="A7515" t="str">
            <v>LAURA STRÖMBERG</v>
          </cell>
          <cell r="B7515">
            <v>10280</v>
          </cell>
        </row>
        <row r="7516">
          <cell r="A7516" t="str">
            <v>MARI-LIIS STRÖMBERG</v>
          </cell>
          <cell r="B7516">
            <v>10281</v>
          </cell>
        </row>
        <row r="7517">
          <cell r="A7517" t="str">
            <v>EERIK STRANDBERG</v>
          </cell>
          <cell r="B7517">
            <v>8259</v>
          </cell>
        </row>
        <row r="7518">
          <cell r="A7518" t="str">
            <v>SIRELIN STRANTSOV</v>
          </cell>
          <cell r="B7518">
            <v>4758</v>
          </cell>
        </row>
        <row r="7519">
          <cell r="A7519" t="str">
            <v>MARTHIN STRAZEV</v>
          </cell>
          <cell r="B7519">
            <v>2165</v>
          </cell>
        </row>
        <row r="7520">
          <cell r="A7520" t="str">
            <v>RIHO STRAZEV</v>
          </cell>
          <cell r="B7520">
            <v>6237</v>
          </cell>
        </row>
        <row r="7521">
          <cell r="A7521" t="str">
            <v>ANITA STRAUMITE</v>
          </cell>
          <cell r="B7521">
            <v>10077</v>
          </cell>
        </row>
        <row r="7522">
          <cell r="A7522" t="str">
            <v>RAIKIS STREICS</v>
          </cell>
          <cell r="B7522">
            <v>2001</v>
          </cell>
        </row>
        <row r="7523">
          <cell r="A7523" t="str">
            <v>ROMANS STRELCUKS</v>
          </cell>
          <cell r="B7523">
            <v>10220</v>
          </cell>
        </row>
        <row r="7524">
          <cell r="A7524" t="str">
            <v>RAGNE STRELETS</v>
          </cell>
          <cell r="B7524">
            <v>9942</v>
          </cell>
        </row>
        <row r="7525">
          <cell r="A7525" t="str">
            <v>ANATOLI STRELKOV</v>
          </cell>
          <cell r="B7525">
            <v>965</v>
          </cell>
        </row>
        <row r="7526">
          <cell r="A7526" t="str">
            <v>PAVEL STRELOVSKI</v>
          </cell>
          <cell r="B7526">
            <v>1020</v>
          </cell>
        </row>
        <row r="7527">
          <cell r="A7527" t="str">
            <v>TOMAS STREMAUSKAS</v>
          </cell>
          <cell r="B7527">
            <v>3483</v>
          </cell>
        </row>
        <row r="7528">
          <cell r="A7528" t="str">
            <v>GABRIELE STRODOMSKYTÉ</v>
          </cell>
          <cell r="B7528">
            <v>7321</v>
          </cell>
        </row>
        <row r="7529">
          <cell r="A7529" t="str">
            <v>JEVGENI STROGOV</v>
          </cell>
          <cell r="B7529">
            <v>8373</v>
          </cell>
        </row>
        <row r="7530">
          <cell r="A7530" t="str">
            <v>SERGEI STROGOV</v>
          </cell>
          <cell r="B7530">
            <v>4712</v>
          </cell>
        </row>
        <row r="7531">
          <cell r="A7531" t="str">
            <v>STANISLAV STROGOV</v>
          </cell>
          <cell r="B7531">
            <v>3639</v>
          </cell>
        </row>
        <row r="7532">
          <cell r="A7532" t="str">
            <v>VADIM STROGOV</v>
          </cell>
          <cell r="B7532">
            <v>9969</v>
          </cell>
        </row>
        <row r="7533">
          <cell r="A7533" t="str">
            <v>GINTERS FRICIS STRĀĶIS</v>
          </cell>
          <cell r="B7533">
            <v>8913</v>
          </cell>
        </row>
        <row r="7534">
          <cell r="A7534" t="str">
            <v>VALERIA STSETINKINA</v>
          </cell>
          <cell r="B7534">
            <v>3302</v>
          </cell>
        </row>
        <row r="7535">
          <cell r="A7535" t="str">
            <v>ANASTASSIA STSETNIKOVA</v>
          </cell>
          <cell r="B7535">
            <v>2753</v>
          </cell>
        </row>
        <row r="7536">
          <cell r="A7536" t="str">
            <v>GUNTARS STUBIS</v>
          </cell>
          <cell r="B7536">
            <v>2245</v>
          </cell>
        </row>
        <row r="7537">
          <cell r="A7537" t="str">
            <v>EGLE STUCKYTE</v>
          </cell>
          <cell r="B7537">
            <v>2212</v>
          </cell>
        </row>
        <row r="7538">
          <cell r="A7538" t="str">
            <v>ALEKSANDR STUDENIKIN</v>
          </cell>
          <cell r="B7538">
            <v>3189</v>
          </cell>
        </row>
        <row r="7539">
          <cell r="A7539" t="str">
            <v>POLINA STUMBRIS</v>
          </cell>
          <cell r="B7539">
            <v>8847</v>
          </cell>
        </row>
        <row r="7540">
          <cell r="A7540" t="str">
            <v>ANASTASSIA SUŠKO</v>
          </cell>
          <cell r="B7540">
            <v>7017</v>
          </cell>
        </row>
        <row r="7541">
          <cell r="A7541" t="str">
            <v>ALAND SUBA</v>
          </cell>
          <cell r="B7541">
            <v>7842</v>
          </cell>
        </row>
        <row r="7542">
          <cell r="A7542" t="str">
            <v>JULIA SUDOBITSKAJA</v>
          </cell>
          <cell r="B7542">
            <v>4544</v>
          </cell>
        </row>
        <row r="7543">
          <cell r="A7543" t="str">
            <v>PETERIS ERIKS SUDRABINS</v>
          </cell>
          <cell r="B7543">
            <v>8497</v>
          </cell>
        </row>
        <row r="7544">
          <cell r="A7544" t="str">
            <v>MÄRT SUGA</v>
          </cell>
          <cell r="B7544">
            <v>3896</v>
          </cell>
        </row>
        <row r="7545">
          <cell r="A7545" t="str">
            <v>BAIBA SUHAREVSKA</v>
          </cell>
          <cell r="B7545">
            <v>1823</v>
          </cell>
        </row>
        <row r="7546">
          <cell r="A7546" t="str">
            <v>ALEKSANDR SUHHINVA</v>
          </cell>
          <cell r="B7546">
            <v>4054</v>
          </cell>
        </row>
        <row r="7547">
          <cell r="A7547" t="str">
            <v>IGOR SUHHOTIN</v>
          </cell>
          <cell r="B7547">
            <v>3897</v>
          </cell>
        </row>
        <row r="7548">
          <cell r="A7548" t="str">
            <v>ANNIGRETE SUIMETS</v>
          </cell>
          <cell r="B7548">
            <v>3677</v>
          </cell>
        </row>
        <row r="7549">
          <cell r="A7549" t="str">
            <v>KRISTEL SUITS</v>
          </cell>
          <cell r="B7549">
            <v>1599</v>
          </cell>
        </row>
        <row r="7550">
          <cell r="A7550" t="str">
            <v>OTT SUITSO</v>
          </cell>
          <cell r="B7550">
            <v>8206</v>
          </cell>
        </row>
        <row r="7551">
          <cell r="A7551" t="str">
            <v>MAX SULAVUORI</v>
          </cell>
          <cell r="B7551">
            <v>1549</v>
          </cell>
        </row>
        <row r="7552">
          <cell r="A7552" t="str">
            <v>HENDRIK SULEPI</v>
          </cell>
          <cell r="B7552">
            <v>5245</v>
          </cell>
        </row>
        <row r="7553">
          <cell r="A7553" t="str">
            <v>JAAN SULG</v>
          </cell>
          <cell r="B7553">
            <v>2963</v>
          </cell>
        </row>
        <row r="7554">
          <cell r="A7554" t="str">
            <v>JÜRI SULG</v>
          </cell>
          <cell r="B7554">
            <v>321</v>
          </cell>
        </row>
        <row r="7555">
          <cell r="A7555" t="str">
            <v>ROBERT SULG</v>
          </cell>
          <cell r="B7555">
            <v>9600</v>
          </cell>
        </row>
        <row r="7556">
          <cell r="A7556" t="str">
            <v>RENAT SULIMOV</v>
          </cell>
          <cell r="B7556">
            <v>8791</v>
          </cell>
        </row>
        <row r="7557">
          <cell r="A7557" t="str">
            <v>VERONIKA SULJAK</v>
          </cell>
          <cell r="B7557">
            <v>3150</v>
          </cell>
        </row>
        <row r="7558">
          <cell r="A7558" t="str">
            <v>HEIKI SULLAKATKO</v>
          </cell>
          <cell r="B7558">
            <v>311</v>
          </cell>
        </row>
        <row r="7559">
          <cell r="A7559" t="str">
            <v>DEIMILE SULSKYTE</v>
          </cell>
          <cell r="B7559">
            <v>9764</v>
          </cell>
        </row>
        <row r="7560">
          <cell r="A7560" t="str">
            <v>MARAT SULTANOV</v>
          </cell>
          <cell r="B7560">
            <v>9407</v>
          </cell>
        </row>
        <row r="7561">
          <cell r="A7561" t="str">
            <v>AINAR SULTS</v>
          </cell>
          <cell r="B7561">
            <v>2641</v>
          </cell>
        </row>
        <row r="7562">
          <cell r="A7562" t="str">
            <v>MARTIN SULTS</v>
          </cell>
          <cell r="B7562">
            <v>7507</v>
          </cell>
        </row>
        <row r="7563">
          <cell r="A7563" t="str">
            <v>LIINA SULU</v>
          </cell>
          <cell r="B7563">
            <v>4545</v>
          </cell>
        </row>
        <row r="7564">
          <cell r="A7564" t="str">
            <v>ANDRUS SUMBERG</v>
          </cell>
          <cell r="B7564">
            <v>5931</v>
          </cell>
        </row>
        <row r="7565">
          <cell r="A7565" t="str">
            <v>FRANK SUMBERG</v>
          </cell>
          <cell r="B7565">
            <v>7403</v>
          </cell>
        </row>
        <row r="7566">
          <cell r="A7566" t="str">
            <v>KAIDO SUMBERG</v>
          </cell>
          <cell r="B7566">
            <v>8300</v>
          </cell>
        </row>
        <row r="7567">
          <cell r="A7567" t="str">
            <v>JEVGENI SUMERIN</v>
          </cell>
          <cell r="B7567">
            <v>442</v>
          </cell>
        </row>
        <row r="7568">
          <cell r="A7568" t="str">
            <v>BORIS SUMNIKOV</v>
          </cell>
          <cell r="B7568">
            <v>3407</v>
          </cell>
        </row>
        <row r="7569">
          <cell r="A7569" t="str">
            <v>KAIRI SUMRE</v>
          </cell>
          <cell r="B7569">
            <v>120</v>
          </cell>
        </row>
        <row r="7570">
          <cell r="A7570" t="str">
            <v>KATRIN SUMRE</v>
          </cell>
          <cell r="B7570">
            <v>121</v>
          </cell>
        </row>
        <row r="7571">
          <cell r="A7571" t="str">
            <v>PEETER SUMRE</v>
          </cell>
          <cell r="B7571">
            <v>265</v>
          </cell>
        </row>
        <row r="7572">
          <cell r="A7572" t="str">
            <v>ALVIS SUNA</v>
          </cell>
          <cell r="B7572">
            <v>2420</v>
          </cell>
        </row>
        <row r="7573">
          <cell r="A7573" t="str">
            <v>ULDIS SUNA</v>
          </cell>
          <cell r="B7573">
            <v>2260</v>
          </cell>
        </row>
        <row r="7574">
          <cell r="A7574" t="str">
            <v>TIMO SUNDSTRÖM</v>
          </cell>
          <cell r="B7574">
            <v>1648</v>
          </cell>
        </row>
        <row r="7575">
          <cell r="A7575" t="str">
            <v>ANDRES SUNE</v>
          </cell>
          <cell r="B7575">
            <v>1945</v>
          </cell>
        </row>
        <row r="7576">
          <cell r="A7576" t="str">
            <v>ALLAN SUOMALAINEN</v>
          </cell>
          <cell r="B7576">
            <v>7150</v>
          </cell>
        </row>
        <row r="7577">
          <cell r="A7577" t="str">
            <v>JANI SUOMALAINEN</v>
          </cell>
          <cell r="B7577">
            <v>864</v>
          </cell>
        </row>
        <row r="7578">
          <cell r="A7578" t="str">
            <v>PASI SUPPERI</v>
          </cell>
          <cell r="B7578">
            <v>1519</v>
          </cell>
        </row>
        <row r="7579">
          <cell r="A7579" t="str">
            <v>ARMIN SUPPI</v>
          </cell>
          <cell r="B7579">
            <v>10692</v>
          </cell>
        </row>
        <row r="7580">
          <cell r="A7580" t="str">
            <v>SIGVARD SUPPI</v>
          </cell>
          <cell r="B7580">
            <v>9190</v>
          </cell>
        </row>
        <row r="7581">
          <cell r="A7581" t="str">
            <v>MAKAR SURÕGIN</v>
          </cell>
          <cell r="B7581">
            <v>10117</v>
          </cell>
        </row>
        <row r="7582">
          <cell r="A7582" t="str">
            <v>SAMI SURAKKA</v>
          </cell>
          <cell r="B7582">
            <v>1542</v>
          </cell>
        </row>
        <row r="7583">
          <cell r="A7583" t="str">
            <v>ILJA SURNÕTŠEV</v>
          </cell>
          <cell r="B7583">
            <v>5364</v>
          </cell>
        </row>
        <row r="7584">
          <cell r="A7584" t="str">
            <v>EGOR SURNIN</v>
          </cell>
          <cell r="B7584">
            <v>10111</v>
          </cell>
        </row>
        <row r="7585">
          <cell r="A7585" t="str">
            <v>DENIS SUROVTSEV</v>
          </cell>
          <cell r="B7585">
            <v>9420</v>
          </cell>
        </row>
        <row r="7586">
          <cell r="A7586" t="str">
            <v>DMITRY SUROVTSEV</v>
          </cell>
          <cell r="B7586">
            <v>9422</v>
          </cell>
        </row>
        <row r="7587">
          <cell r="A7587" t="str">
            <v>ALEKSANDR SUSHKIN</v>
          </cell>
          <cell r="B7587">
            <v>2592</v>
          </cell>
        </row>
        <row r="7588">
          <cell r="A7588" t="str">
            <v>MAREK SUSI</v>
          </cell>
          <cell r="B7588">
            <v>319</v>
          </cell>
        </row>
        <row r="7589">
          <cell r="A7589" t="str">
            <v>MARGUS SUSI</v>
          </cell>
          <cell r="B7589">
            <v>304</v>
          </cell>
        </row>
        <row r="7590">
          <cell r="A7590" t="str">
            <v>DENISS SUSTSENKO</v>
          </cell>
          <cell r="B7590">
            <v>4547</v>
          </cell>
        </row>
        <row r="7591">
          <cell r="A7591" t="str">
            <v>JUHAN SUZDALEV</v>
          </cell>
          <cell r="B7591">
            <v>7148</v>
          </cell>
        </row>
        <row r="7592">
          <cell r="A7592" t="str">
            <v>SERGEI SUZDALEV</v>
          </cell>
          <cell r="B7592">
            <v>7656</v>
          </cell>
        </row>
        <row r="7593">
          <cell r="A7593" t="str">
            <v>AKIM SUTŠKOV</v>
          </cell>
          <cell r="B7593">
            <v>7023</v>
          </cell>
        </row>
        <row r="7594">
          <cell r="A7594" t="str">
            <v>AADU SUTT</v>
          </cell>
          <cell r="B7594">
            <v>8888</v>
          </cell>
        </row>
        <row r="7595">
          <cell r="A7595" t="str">
            <v>HEDYT SUTT</v>
          </cell>
          <cell r="B7595">
            <v>7765</v>
          </cell>
        </row>
        <row r="7596">
          <cell r="A7596" t="str">
            <v>HEGRI SUTT</v>
          </cell>
          <cell r="B7596">
            <v>1450</v>
          </cell>
        </row>
        <row r="7597">
          <cell r="A7597" t="str">
            <v>ILJA SUTT</v>
          </cell>
          <cell r="B7597">
            <v>7284</v>
          </cell>
        </row>
        <row r="7598">
          <cell r="A7598" t="str">
            <v>JAKOB SUTT</v>
          </cell>
          <cell r="B7598">
            <v>10288</v>
          </cell>
        </row>
        <row r="7599">
          <cell r="A7599" t="str">
            <v>SONJA SUUDER</v>
          </cell>
          <cell r="B7599">
            <v>3602</v>
          </cell>
        </row>
        <row r="7600">
          <cell r="A7600" t="str">
            <v>DAANA SUUN</v>
          </cell>
          <cell r="B7600">
            <v>2172</v>
          </cell>
        </row>
        <row r="7601">
          <cell r="A7601" t="str">
            <v>DINIS SUUN</v>
          </cell>
          <cell r="B7601">
            <v>3976</v>
          </cell>
        </row>
        <row r="7602">
          <cell r="A7602" t="str">
            <v>MATI SUUN</v>
          </cell>
          <cell r="B7602">
            <v>3975</v>
          </cell>
        </row>
        <row r="7603">
          <cell r="A7603" t="str">
            <v>KASPER SUUR</v>
          </cell>
          <cell r="B7603">
            <v>7987</v>
          </cell>
        </row>
        <row r="7604">
          <cell r="A7604" t="str">
            <v>RASMUS SUUR</v>
          </cell>
          <cell r="B7604">
            <v>7988</v>
          </cell>
        </row>
        <row r="7605">
          <cell r="A7605" t="str">
            <v>REIGO SUURKAEV</v>
          </cell>
          <cell r="B7605">
            <v>1217</v>
          </cell>
        </row>
        <row r="7606">
          <cell r="A7606" t="str">
            <v>CATHY-LIIS SUURKIVI</v>
          </cell>
          <cell r="B7606">
            <v>1602</v>
          </cell>
        </row>
        <row r="7607">
          <cell r="A7607" t="str">
            <v>SIIM SUURKIVI</v>
          </cell>
          <cell r="B7607">
            <v>8423</v>
          </cell>
        </row>
        <row r="7608">
          <cell r="A7608" t="str">
            <v>JAAK SUURLAHT</v>
          </cell>
          <cell r="B7608">
            <v>7483</v>
          </cell>
        </row>
        <row r="7609">
          <cell r="A7609" t="str">
            <v>REELIKA SUURMETS</v>
          </cell>
          <cell r="B7609">
            <v>2695</v>
          </cell>
        </row>
        <row r="7610">
          <cell r="A7610" t="str">
            <v>RAGNAR SUURSIIM</v>
          </cell>
          <cell r="B7610">
            <v>1944</v>
          </cell>
        </row>
        <row r="7611">
          <cell r="A7611" t="str">
            <v>IVARS SUVALOVS</v>
          </cell>
          <cell r="B7611">
            <v>10342</v>
          </cell>
        </row>
        <row r="7612">
          <cell r="A7612" t="str">
            <v>ANETTE SUVISTE</v>
          </cell>
          <cell r="B7612">
            <v>1404</v>
          </cell>
        </row>
        <row r="7613">
          <cell r="A7613" t="str">
            <v>GLEB SUVOROV</v>
          </cell>
          <cell r="B7613">
            <v>6024</v>
          </cell>
        </row>
        <row r="7614">
          <cell r="A7614" t="str">
            <v>ULJANA SUVOROVA</v>
          </cell>
          <cell r="B7614">
            <v>10533</v>
          </cell>
        </row>
        <row r="7615">
          <cell r="A7615" t="str">
            <v>PETER SVENNINGSEN</v>
          </cell>
          <cell r="B7615">
            <v>7529</v>
          </cell>
        </row>
        <row r="7616">
          <cell r="A7616" t="str">
            <v>LINA SVENSSON</v>
          </cell>
          <cell r="B7616">
            <v>9430</v>
          </cell>
        </row>
        <row r="7617">
          <cell r="A7617" t="str">
            <v>MOA SVENSSON</v>
          </cell>
          <cell r="B7617">
            <v>9426</v>
          </cell>
        </row>
        <row r="7618">
          <cell r="A7618" t="str">
            <v>ARTURS SVIKIS</v>
          </cell>
          <cell r="B7618">
            <v>5209</v>
          </cell>
        </row>
        <row r="7619">
          <cell r="A7619" t="str">
            <v>ERVINS SVIKIS</v>
          </cell>
          <cell r="B7619">
            <v>1023</v>
          </cell>
        </row>
        <row r="7620">
          <cell r="A7620" t="str">
            <v>JANIS SVIKIS</v>
          </cell>
          <cell r="B7620">
            <v>1365</v>
          </cell>
        </row>
        <row r="7621">
          <cell r="A7621" t="str">
            <v>KRISTAPS SVIKIS</v>
          </cell>
          <cell r="B7621">
            <v>1819</v>
          </cell>
        </row>
        <row r="7622">
          <cell r="A7622" t="str">
            <v>MARTINŠ SVIKIS</v>
          </cell>
          <cell r="B7622">
            <v>1367</v>
          </cell>
        </row>
        <row r="7623">
          <cell r="A7623" t="str">
            <v>IVAN SYNYTSIA</v>
          </cell>
          <cell r="B7623">
            <v>10460</v>
          </cell>
        </row>
        <row r="7624">
          <cell r="A7624" t="str">
            <v>OLEKSII SYZONOV</v>
          </cell>
          <cell r="B7624">
            <v>10748</v>
          </cell>
        </row>
        <row r="7625">
          <cell r="A7625" t="str">
            <v>VIIVE ZÄNGOV</v>
          </cell>
          <cell r="B7625">
            <v>4848</v>
          </cell>
        </row>
        <row r="7626">
          <cell r="A7626" t="str">
            <v>POLINA ZÕDKOVA</v>
          </cell>
          <cell r="B7626">
            <v>9783</v>
          </cell>
        </row>
        <row r="7627">
          <cell r="A7627" t="str">
            <v>TATJANA ZÕGANOVA</v>
          </cell>
          <cell r="B7627">
            <v>141</v>
          </cell>
        </row>
        <row r="7628">
          <cell r="A7628" t="str">
            <v>ALEKSANDR ZÕKOV</v>
          </cell>
          <cell r="B7628">
            <v>8080</v>
          </cell>
        </row>
        <row r="7629">
          <cell r="A7629" t="str">
            <v>KSENIA ZABALUJEVA</v>
          </cell>
          <cell r="B7629">
            <v>3930</v>
          </cell>
        </row>
        <row r="7630">
          <cell r="A7630" t="str">
            <v>VIKTORIJA ZABALUJEVA</v>
          </cell>
          <cell r="B7630">
            <v>2568</v>
          </cell>
        </row>
        <row r="7631">
          <cell r="A7631" t="str">
            <v>MAKAR ZABEGAEV</v>
          </cell>
          <cell r="B7631">
            <v>10807</v>
          </cell>
        </row>
        <row r="7632">
          <cell r="A7632" t="str">
            <v>JEVGENI ZABERNOV</v>
          </cell>
          <cell r="B7632">
            <v>2984</v>
          </cell>
        </row>
        <row r="7633">
          <cell r="A7633" t="str">
            <v>ELDAR ZABITOV</v>
          </cell>
          <cell r="B7633">
            <v>4847</v>
          </cell>
        </row>
        <row r="7634">
          <cell r="A7634" t="str">
            <v>IVAN ZADÕR</v>
          </cell>
          <cell r="B7634">
            <v>6161</v>
          </cell>
        </row>
        <row r="7635">
          <cell r="A7635" t="str">
            <v>VIKTORIJA ZADERŅUKA</v>
          </cell>
          <cell r="B7635">
            <v>9362</v>
          </cell>
        </row>
        <row r="7636">
          <cell r="A7636" t="str">
            <v>GENNADI ZADONSKI</v>
          </cell>
          <cell r="B7636">
            <v>4550</v>
          </cell>
        </row>
        <row r="7637">
          <cell r="A7637" t="str">
            <v>ANDREI ZADORIN</v>
          </cell>
          <cell r="B7637">
            <v>9945</v>
          </cell>
        </row>
        <row r="7638">
          <cell r="A7638" t="str">
            <v>KRISTIINA ZAHARKAITE</v>
          </cell>
          <cell r="B7638">
            <v>1270</v>
          </cell>
        </row>
        <row r="7639">
          <cell r="A7639" t="str">
            <v>ELVIRA ZAHARTSEVA</v>
          </cell>
          <cell r="B7639">
            <v>3506</v>
          </cell>
        </row>
        <row r="7640">
          <cell r="A7640" t="str">
            <v>FELIKS ZAHHAREVITŠ</v>
          </cell>
          <cell r="B7640">
            <v>7622</v>
          </cell>
        </row>
        <row r="7641">
          <cell r="A7641" t="str">
            <v>IGOR ZAHHAROV</v>
          </cell>
          <cell r="B7641">
            <v>8371</v>
          </cell>
        </row>
        <row r="7642">
          <cell r="A7642" t="str">
            <v>SERGEI ZAHHAROV</v>
          </cell>
          <cell r="B7642">
            <v>3061</v>
          </cell>
        </row>
        <row r="7643">
          <cell r="A7643" t="str">
            <v>DARIA ZAHHAROVA</v>
          </cell>
          <cell r="B7643">
            <v>4497</v>
          </cell>
        </row>
        <row r="7644">
          <cell r="A7644" t="str">
            <v>ELEONORA ZAHHARTSEVA</v>
          </cell>
          <cell r="B7644">
            <v>3931</v>
          </cell>
        </row>
        <row r="7645">
          <cell r="A7645" t="str">
            <v>ANASTASIA ZAHHARTSHENKO</v>
          </cell>
          <cell r="B7645">
            <v>4915</v>
          </cell>
        </row>
        <row r="7646">
          <cell r="A7646" t="str">
            <v>NIKITA ZAIKA</v>
          </cell>
          <cell r="B7646">
            <v>3653</v>
          </cell>
        </row>
        <row r="7647">
          <cell r="A7647" t="str">
            <v>NIKITA ZAITŠUK</v>
          </cell>
          <cell r="B7647">
            <v>6036</v>
          </cell>
        </row>
        <row r="7648">
          <cell r="A7648" t="str">
            <v>ARSENI ZAITSEV</v>
          </cell>
          <cell r="B7648">
            <v>10402</v>
          </cell>
        </row>
        <row r="7649">
          <cell r="A7649" t="str">
            <v>DMITRI ZAITSEV</v>
          </cell>
          <cell r="B7649">
            <v>2551</v>
          </cell>
        </row>
        <row r="7650">
          <cell r="A7650" t="str">
            <v>ILJA ZAITSEV</v>
          </cell>
          <cell r="B7650">
            <v>2897</v>
          </cell>
        </row>
        <row r="7651">
          <cell r="A7651" t="str">
            <v>VLADIMIR ZAITSEV</v>
          </cell>
          <cell r="B7651">
            <v>7619</v>
          </cell>
        </row>
        <row r="7652">
          <cell r="A7652" t="str">
            <v>JANA ZAITSEVA</v>
          </cell>
          <cell r="B7652">
            <v>871</v>
          </cell>
        </row>
        <row r="7653">
          <cell r="A7653" t="str">
            <v>JELIZAVETA ZAITSEVA</v>
          </cell>
          <cell r="B7653">
            <v>6031</v>
          </cell>
        </row>
        <row r="7654">
          <cell r="A7654" t="str">
            <v>MILANA ZAITSEVA</v>
          </cell>
          <cell r="B7654">
            <v>10115</v>
          </cell>
        </row>
        <row r="7655">
          <cell r="A7655" t="str">
            <v>ALEKSANDRA ZAJANKAUSKAITĖ</v>
          </cell>
          <cell r="B7655">
            <v>8617</v>
          </cell>
        </row>
        <row r="7656">
          <cell r="A7656" t="str">
            <v>JANA ZAJATS</v>
          </cell>
          <cell r="B7656">
            <v>4551</v>
          </cell>
        </row>
        <row r="7657">
          <cell r="A7657" t="str">
            <v>GENNADI ZAKLADNI</v>
          </cell>
          <cell r="B7657">
            <v>5509</v>
          </cell>
        </row>
        <row r="7658">
          <cell r="A7658" t="str">
            <v>AGATA ZAKRZEWSKA</v>
          </cell>
          <cell r="B7658">
            <v>10882</v>
          </cell>
        </row>
        <row r="7659">
          <cell r="A7659" t="str">
            <v>MARTINS ZALITIS</v>
          </cell>
          <cell r="B7659">
            <v>2954</v>
          </cell>
        </row>
        <row r="7660">
          <cell r="A7660" t="str">
            <v>IGOR ZALOMOV</v>
          </cell>
          <cell r="B7660">
            <v>7367</v>
          </cell>
        </row>
        <row r="7661">
          <cell r="A7661" t="str">
            <v>KSENJA ZAMATAJEVA</v>
          </cell>
          <cell r="B7661">
            <v>1842</v>
          </cell>
        </row>
        <row r="7662">
          <cell r="A7662" t="str">
            <v>MAIA ZAMATAJEVA</v>
          </cell>
          <cell r="B7662">
            <v>1387</v>
          </cell>
        </row>
        <row r="7663">
          <cell r="A7663" t="str">
            <v>ANTANAS ZAMULSKIS</v>
          </cell>
          <cell r="B7663">
            <v>5020</v>
          </cell>
        </row>
        <row r="7664">
          <cell r="A7664" t="str">
            <v>ANATOLI ZAPUNOV</v>
          </cell>
          <cell r="B7664">
            <v>10639</v>
          </cell>
        </row>
        <row r="7665">
          <cell r="A7665" t="str">
            <v>PAUL ZARODÕŠEV</v>
          </cell>
          <cell r="B7665">
            <v>5218</v>
          </cell>
        </row>
        <row r="7666">
          <cell r="A7666" t="str">
            <v>JAROSLAV ZARUBIN</v>
          </cell>
          <cell r="B7666">
            <v>9772</v>
          </cell>
        </row>
        <row r="7667">
          <cell r="A7667" t="str">
            <v>ANNA ZARUBINA</v>
          </cell>
          <cell r="B7667">
            <v>1307</v>
          </cell>
        </row>
        <row r="7668">
          <cell r="A7668" t="str">
            <v>SERGO ZAVARIN</v>
          </cell>
          <cell r="B7668">
            <v>1735</v>
          </cell>
        </row>
        <row r="7669">
          <cell r="A7669" t="str">
            <v>ANDREI ZAVEDEI</v>
          </cell>
          <cell r="B7669">
            <v>8403</v>
          </cell>
        </row>
        <row r="7670">
          <cell r="A7670" t="str">
            <v>JURAS ZAVETCKIS</v>
          </cell>
          <cell r="B7670">
            <v>10504</v>
          </cell>
        </row>
        <row r="7671">
          <cell r="A7671" t="str">
            <v>ANDREI ZAVIDEI</v>
          </cell>
          <cell r="B7671">
            <v>7382</v>
          </cell>
        </row>
        <row r="7672">
          <cell r="A7672" t="str">
            <v>KRISTINA ZAVODINA</v>
          </cell>
          <cell r="B7672">
            <v>4552</v>
          </cell>
        </row>
        <row r="7673">
          <cell r="A7673" t="str">
            <v>MILANA ZAYTSEVA</v>
          </cell>
          <cell r="B7673">
            <v>10624</v>
          </cell>
        </row>
        <row r="7674">
          <cell r="A7674" t="str">
            <v>JAROSLAV ZDANOV</v>
          </cell>
          <cell r="B7674">
            <v>9769</v>
          </cell>
        </row>
        <row r="7675">
          <cell r="A7675" t="str">
            <v>ANASTASIA ZDORNIKOVA</v>
          </cell>
          <cell r="B7675">
            <v>8638</v>
          </cell>
        </row>
        <row r="7676">
          <cell r="A7676" t="str">
            <v>KESTUTIS ZEIMYS</v>
          </cell>
          <cell r="B7676">
            <v>2198</v>
          </cell>
        </row>
        <row r="7677">
          <cell r="A7677" t="str">
            <v>ANDREI ZEKUROV</v>
          </cell>
          <cell r="B7677">
            <v>4553</v>
          </cell>
        </row>
        <row r="7678">
          <cell r="A7678" t="str">
            <v>JEVGENIA ZELENJAJEVA</v>
          </cell>
          <cell r="B7678">
            <v>9287</v>
          </cell>
        </row>
        <row r="7679">
          <cell r="A7679" t="str">
            <v>MIHAIL ZELENOV</v>
          </cell>
          <cell r="B7679">
            <v>8245</v>
          </cell>
        </row>
        <row r="7680">
          <cell r="A7680" t="str">
            <v>ALEXEY ZELENSKIY</v>
          </cell>
          <cell r="B7680">
            <v>10063</v>
          </cell>
        </row>
        <row r="7681">
          <cell r="A7681" t="str">
            <v>ALEKSEI ZELENTSOV</v>
          </cell>
          <cell r="B7681">
            <v>4554</v>
          </cell>
        </row>
        <row r="7682">
          <cell r="A7682" t="str">
            <v>DANIIL ZELENTSOV</v>
          </cell>
          <cell r="B7682">
            <v>8401</v>
          </cell>
        </row>
        <row r="7683">
          <cell r="A7683" t="str">
            <v>ANDREI ZELEPUKIN</v>
          </cell>
          <cell r="B7683">
            <v>8531</v>
          </cell>
        </row>
        <row r="7684">
          <cell r="A7684" t="str">
            <v>MELEENE-LIIS ZELMIN</v>
          </cell>
          <cell r="B7684">
            <v>2538</v>
          </cell>
        </row>
        <row r="7685">
          <cell r="A7685" t="str">
            <v>LIANA ZELTINA</v>
          </cell>
          <cell r="B7685">
            <v>8154</v>
          </cell>
        </row>
        <row r="7686">
          <cell r="A7686" t="str">
            <v>GUSTAVS ZELČS</v>
          </cell>
          <cell r="B7686">
            <v>8916</v>
          </cell>
        </row>
        <row r="7687">
          <cell r="A7687" t="str">
            <v>ADRIANS ZEMDEGA</v>
          </cell>
          <cell r="B7687">
            <v>10833</v>
          </cell>
        </row>
        <row r="7688">
          <cell r="A7688" t="str">
            <v>VIESTURS ZEMDEGA</v>
          </cell>
          <cell r="B7688">
            <v>10831</v>
          </cell>
        </row>
        <row r="7689">
          <cell r="A7689" t="str">
            <v>ALEKSIS ZEME</v>
          </cell>
          <cell r="B7689">
            <v>10046</v>
          </cell>
        </row>
        <row r="7690">
          <cell r="A7690" t="str">
            <v>VADIM ZEMKEVITCH</v>
          </cell>
          <cell r="B7690">
            <v>7708</v>
          </cell>
        </row>
        <row r="7691">
          <cell r="A7691" t="str">
            <v>SVETLANA ZENKINA</v>
          </cell>
          <cell r="B7691">
            <v>1102</v>
          </cell>
        </row>
        <row r="7692">
          <cell r="A7692" t="str">
            <v>MIKHAIL ZENZINOV</v>
          </cell>
          <cell r="B7692">
            <v>4081</v>
          </cell>
        </row>
        <row r="7693">
          <cell r="A7693" t="str">
            <v>ANASTASIA ZEREBNOVA</v>
          </cell>
          <cell r="B7693">
            <v>8517</v>
          </cell>
        </row>
        <row r="7694">
          <cell r="A7694" t="str">
            <v>HELENA ZETTERSTRÖM</v>
          </cell>
          <cell r="B7694">
            <v>8152</v>
          </cell>
        </row>
        <row r="7695">
          <cell r="A7695" t="str">
            <v>GIEDRIUS ZHELVIS</v>
          </cell>
          <cell r="B7695">
            <v>3491</v>
          </cell>
        </row>
        <row r="7696">
          <cell r="A7696" t="str">
            <v>DAVID ZHONG</v>
          </cell>
          <cell r="B7696">
            <v>10800</v>
          </cell>
        </row>
        <row r="7697">
          <cell r="A7697" t="str">
            <v>LEO ZHONG</v>
          </cell>
          <cell r="B7697">
            <v>10315</v>
          </cell>
        </row>
        <row r="7698">
          <cell r="A7698" t="str">
            <v>CHUYI ZHOU</v>
          </cell>
          <cell r="B7698">
            <v>8148</v>
          </cell>
        </row>
        <row r="7699">
          <cell r="A7699" t="str">
            <v>YURII ZHUKOV</v>
          </cell>
          <cell r="B7699">
            <v>10837</v>
          </cell>
        </row>
        <row r="7700">
          <cell r="A7700" t="str">
            <v>ANTON ZHURAVLJEV</v>
          </cell>
          <cell r="B7700">
            <v>8309</v>
          </cell>
        </row>
        <row r="7701">
          <cell r="A7701" t="str">
            <v>ANASTASIJA ZIBUNOVA</v>
          </cell>
          <cell r="B7701">
            <v>10403</v>
          </cell>
        </row>
        <row r="7702">
          <cell r="A7702" t="str">
            <v>JANIS ZICANS</v>
          </cell>
          <cell r="B7702">
            <v>517</v>
          </cell>
        </row>
        <row r="7703">
          <cell r="A7703" t="str">
            <v>VIKA ZIEDS</v>
          </cell>
          <cell r="B7703">
            <v>9850</v>
          </cell>
        </row>
        <row r="7704">
          <cell r="A7704" t="str">
            <v>REMI ZIELDS</v>
          </cell>
          <cell r="B7704">
            <v>9840</v>
          </cell>
        </row>
        <row r="7705">
          <cell r="A7705" t="str">
            <v>TATJANA ZIGANOVA</v>
          </cell>
          <cell r="B7705">
            <v>4555</v>
          </cell>
        </row>
        <row r="7706">
          <cell r="A7706" t="str">
            <v>NIKITA ZIJAZOV</v>
          </cell>
          <cell r="B7706">
            <v>9229</v>
          </cell>
        </row>
        <row r="7707">
          <cell r="A7707" t="str">
            <v>FILIPP ZILIN</v>
          </cell>
          <cell r="B7707">
            <v>1425</v>
          </cell>
        </row>
        <row r="7708">
          <cell r="A7708" t="str">
            <v>JULIA ZILINBERG</v>
          </cell>
          <cell r="B7708">
            <v>3654</v>
          </cell>
        </row>
        <row r="7709">
          <cell r="A7709" t="str">
            <v>MAX ZILLIACUS</v>
          </cell>
          <cell r="B7709">
            <v>8445</v>
          </cell>
        </row>
        <row r="7710">
          <cell r="A7710" t="str">
            <v>ANASTASIJA ZIMINA</v>
          </cell>
          <cell r="B7710">
            <v>7289</v>
          </cell>
        </row>
        <row r="7711">
          <cell r="A7711" t="str">
            <v>KIRILL ZININ</v>
          </cell>
          <cell r="B7711">
            <v>8040</v>
          </cell>
        </row>
        <row r="7712">
          <cell r="A7712" t="str">
            <v>PAULIUS ZINKEVICIUS</v>
          </cell>
          <cell r="B7712">
            <v>7747</v>
          </cell>
        </row>
        <row r="7713">
          <cell r="A7713" t="str">
            <v>IGOR ZINOVJEV</v>
          </cell>
          <cell r="B7713">
            <v>7381</v>
          </cell>
        </row>
        <row r="7714">
          <cell r="A7714" t="str">
            <v>OLEG ZINOVJEV</v>
          </cell>
          <cell r="B7714">
            <v>1986</v>
          </cell>
        </row>
        <row r="7715">
          <cell r="A7715" t="str">
            <v>VALERI ZINOVJEV</v>
          </cell>
          <cell r="B7715">
            <v>3647</v>
          </cell>
        </row>
        <row r="7716">
          <cell r="A7716" t="str">
            <v>KAREN ZIRAFJAN</v>
          </cell>
          <cell r="B7716">
            <v>4556</v>
          </cell>
        </row>
        <row r="7717">
          <cell r="A7717" t="str">
            <v>DARJA ZITKOVSKAJA</v>
          </cell>
          <cell r="B7717">
            <v>2754</v>
          </cell>
        </row>
        <row r="7718">
          <cell r="A7718" t="str">
            <v>SANITA ZIVTINA</v>
          </cell>
          <cell r="B7718">
            <v>2820</v>
          </cell>
        </row>
        <row r="7719">
          <cell r="A7719" t="str">
            <v>VLADIMIR ZJAPKIN</v>
          </cell>
          <cell r="B7719">
            <v>3443</v>
          </cell>
        </row>
        <row r="7720">
          <cell r="A7720" t="str">
            <v>RODION ZLOBIN</v>
          </cell>
          <cell r="B7720">
            <v>269</v>
          </cell>
        </row>
        <row r="7721">
          <cell r="A7721" t="str">
            <v>ANTON ZLODEJEV</v>
          </cell>
          <cell r="B7721">
            <v>3658</v>
          </cell>
        </row>
        <row r="7722">
          <cell r="A7722" t="str">
            <v>AURELIJA ZMITROVIC</v>
          </cell>
          <cell r="B7722">
            <v>8226</v>
          </cell>
        </row>
        <row r="7723">
          <cell r="A7723" t="str">
            <v>SNEZANA ZOBOVA</v>
          </cell>
          <cell r="B7723">
            <v>8946</v>
          </cell>
        </row>
        <row r="7724">
          <cell r="A7724" t="str">
            <v>UKU ZOLGO</v>
          </cell>
          <cell r="B7724">
            <v>7728</v>
          </cell>
        </row>
        <row r="7725">
          <cell r="A7725" t="str">
            <v>AKSINJA ZOLOTUHHINA</v>
          </cell>
          <cell r="B7725">
            <v>9482</v>
          </cell>
        </row>
        <row r="7726">
          <cell r="A7726" t="str">
            <v>ARGO ZOLUDEV</v>
          </cell>
          <cell r="B7726">
            <v>8730</v>
          </cell>
        </row>
        <row r="7727">
          <cell r="A7727" t="str">
            <v>HENRY ZOLUDEV</v>
          </cell>
          <cell r="B7727">
            <v>8974</v>
          </cell>
        </row>
        <row r="7728">
          <cell r="A7728" t="str">
            <v>REIMO ZOOBER</v>
          </cell>
          <cell r="B7728">
            <v>4557</v>
          </cell>
        </row>
        <row r="7729">
          <cell r="A7729" t="str">
            <v>KAIDER ZOPP</v>
          </cell>
          <cell r="B7729">
            <v>7410</v>
          </cell>
        </row>
        <row r="7730">
          <cell r="A7730" t="str">
            <v>VLADIMIR ZORIN</v>
          </cell>
          <cell r="B7730">
            <v>297</v>
          </cell>
        </row>
        <row r="7731">
          <cell r="A7731" t="str">
            <v>ANASTASSIA ZORINA</v>
          </cell>
          <cell r="B7731">
            <v>8578</v>
          </cell>
        </row>
        <row r="7732">
          <cell r="A7732" t="str">
            <v>SOFIA ZOZULJA</v>
          </cell>
          <cell r="B7732">
            <v>10134</v>
          </cell>
        </row>
        <row r="7733">
          <cell r="A7733" t="str">
            <v>EDUARD ZOTOV</v>
          </cell>
          <cell r="B7733">
            <v>1847</v>
          </cell>
        </row>
        <row r="7734">
          <cell r="A7734" t="str">
            <v>MIKALAI ZRAZHEVETS</v>
          </cell>
          <cell r="B7734">
            <v>9198</v>
          </cell>
        </row>
        <row r="7735">
          <cell r="A7735" t="str">
            <v>ANDREI ZUBEHHIN</v>
          </cell>
          <cell r="B7735">
            <v>9484</v>
          </cell>
        </row>
        <row r="7736">
          <cell r="A7736" t="str">
            <v>OLEG ZUBEHHIN</v>
          </cell>
          <cell r="B7736">
            <v>9487</v>
          </cell>
        </row>
        <row r="7737">
          <cell r="A7737" t="str">
            <v>ALEKSANDR ZUBJUK</v>
          </cell>
          <cell r="B7737">
            <v>8033</v>
          </cell>
        </row>
        <row r="7738">
          <cell r="A7738" t="str">
            <v>ARTUR ZUBJUK</v>
          </cell>
          <cell r="B7738">
            <v>7847</v>
          </cell>
        </row>
        <row r="7739">
          <cell r="A7739" t="str">
            <v>KIRILL ZUBKOV</v>
          </cell>
          <cell r="B7739">
            <v>8840</v>
          </cell>
        </row>
        <row r="7740">
          <cell r="A7740" t="str">
            <v>JURI ZUJEV</v>
          </cell>
          <cell r="B7740">
            <v>1514</v>
          </cell>
        </row>
        <row r="7741">
          <cell r="A7741" t="str">
            <v>ARTJOM ZUKOV</v>
          </cell>
          <cell r="B7741">
            <v>2607</v>
          </cell>
        </row>
        <row r="7742">
          <cell r="A7742" t="str">
            <v>ANNA ZUKOVA</v>
          </cell>
          <cell r="B7742">
            <v>3146</v>
          </cell>
        </row>
        <row r="7743">
          <cell r="A7743" t="str">
            <v>ADELINA ZULFUKAROVA</v>
          </cell>
          <cell r="B7743">
            <v>5120</v>
          </cell>
        </row>
        <row r="7744">
          <cell r="A7744" t="str">
            <v>ALEKSANDRA ZURAVLEVA</v>
          </cell>
          <cell r="B7744">
            <v>3648</v>
          </cell>
        </row>
        <row r="7745">
          <cell r="A7745" t="str">
            <v>ADRIAN GEORG ZURBUCHEN</v>
          </cell>
          <cell r="B7745">
            <v>9940</v>
          </cell>
        </row>
        <row r="7746">
          <cell r="A7746" t="str">
            <v>MARGARITA ZUROMSKA</v>
          </cell>
          <cell r="B7746">
            <v>2272</v>
          </cell>
        </row>
        <row r="7747">
          <cell r="A7747" t="str">
            <v>ANNA ZUROVA</v>
          </cell>
          <cell r="B7747">
            <v>9050</v>
          </cell>
        </row>
        <row r="7748">
          <cell r="A7748" t="str">
            <v>DOMAS ZUTAUTAS</v>
          </cell>
          <cell r="B7748">
            <v>3489</v>
          </cell>
        </row>
        <row r="7749">
          <cell r="A7749" t="str">
            <v>SERGEI ZUTSKOV</v>
          </cell>
          <cell r="B7749">
            <v>1521</v>
          </cell>
        </row>
        <row r="7750">
          <cell r="A7750" t="str">
            <v>ALEKSEI ZVEREV</v>
          </cell>
          <cell r="B7750">
            <v>2613</v>
          </cell>
        </row>
        <row r="7751">
          <cell r="A7751" t="str">
            <v>MIHHAIL ZVEREV</v>
          </cell>
          <cell r="B7751">
            <v>2614</v>
          </cell>
        </row>
        <row r="7752">
          <cell r="A7752" t="str">
            <v>SEMJON ZVEZDIN</v>
          </cell>
          <cell r="B7752">
            <v>7420</v>
          </cell>
        </row>
        <row r="7753">
          <cell r="A7753" t="str">
            <v>KARL ZVETLER</v>
          </cell>
          <cell r="B7753">
            <v>348</v>
          </cell>
        </row>
        <row r="7754">
          <cell r="A7754" t="str">
            <v>AIGARS ZVIGURS</v>
          </cell>
          <cell r="B7754">
            <v>3573</v>
          </cell>
        </row>
        <row r="7755">
          <cell r="A7755" t="str">
            <v>HETERE HETE ZĀĢERE</v>
          </cell>
          <cell r="B7755">
            <v>8616</v>
          </cell>
        </row>
        <row r="7756">
          <cell r="A7756" t="str">
            <v>ANNA TŠALAJA</v>
          </cell>
          <cell r="B7756">
            <v>10804</v>
          </cell>
        </row>
        <row r="7757">
          <cell r="A7757" t="str">
            <v>SERGEI TŠAPLÕGIN</v>
          </cell>
          <cell r="B7757">
            <v>10702</v>
          </cell>
        </row>
        <row r="7758">
          <cell r="A7758" t="str">
            <v>ANASTASSIA TŠEHHONATSKAJA</v>
          </cell>
          <cell r="B7758">
            <v>3079</v>
          </cell>
        </row>
        <row r="7759">
          <cell r="A7759" t="str">
            <v>ALISSA TŠEREŠNEVA</v>
          </cell>
          <cell r="B7759">
            <v>5413</v>
          </cell>
        </row>
        <row r="7760">
          <cell r="A7760" t="str">
            <v>LADA TŠERNIKOVA</v>
          </cell>
          <cell r="B7760">
            <v>9346</v>
          </cell>
        </row>
        <row r="7761">
          <cell r="A7761" t="str">
            <v>MAKSIM TŠERNJATKIN</v>
          </cell>
          <cell r="B7761">
            <v>4083</v>
          </cell>
        </row>
        <row r="7762">
          <cell r="A7762" t="str">
            <v>IVAN TŠERNOV</v>
          </cell>
          <cell r="B7762">
            <v>9438</v>
          </cell>
        </row>
        <row r="7763">
          <cell r="A7763" t="str">
            <v>MIHHAIL TŠERNOV</v>
          </cell>
          <cell r="B7763">
            <v>9931</v>
          </cell>
        </row>
        <row r="7764">
          <cell r="A7764" t="str">
            <v>ZAN TŠERNOV</v>
          </cell>
          <cell r="B7764">
            <v>914</v>
          </cell>
        </row>
        <row r="7765">
          <cell r="A7765" t="str">
            <v>ELIZAVETA TŠERNOVA</v>
          </cell>
          <cell r="B7765">
            <v>10304</v>
          </cell>
        </row>
        <row r="7766">
          <cell r="A7766" t="str">
            <v>IGOR TŠERNYAK</v>
          </cell>
          <cell r="B7766">
            <v>10191</v>
          </cell>
        </row>
        <row r="7767">
          <cell r="A7767" t="str">
            <v>IVAN TŠETŠETKIN</v>
          </cell>
          <cell r="B7767">
            <v>8595</v>
          </cell>
        </row>
        <row r="7768">
          <cell r="A7768" t="str">
            <v>IVAN TŠETŠJOTKIN</v>
          </cell>
          <cell r="B7768">
            <v>9265</v>
          </cell>
        </row>
        <row r="7769">
          <cell r="A7769" t="str">
            <v>ERIK TŠEVÕTŠELOV</v>
          </cell>
          <cell r="B7769">
            <v>2989</v>
          </cell>
        </row>
        <row r="7770">
          <cell r="A7770" t="str">
            <v>VARVARA TŠIŽOVA</v>
          </cell>
          <cell r="B7770">
            <v>9047</v>
          </cell>
        </row>
        <row r="7771">
          <cell r="A7771" t="str">
            <v>IGOR TŠISTJAKOV</v>
          </cell>
          <cell r="B7771">
            <v>7007</v>
          </cell>
        </row>
        <row r="7772">
          <cell r="A7772" t="str">
            <v>VITALI TŠISTJAKOV</v>
          </cell>
          <cell r="B7772">
            <v>10068</v>
          </cell>
        </row>
        <row r="7773">
          <cell r="A7773" t="str">
            <v>TATJANA TŠISTJAKOVA</v>
          </cell>
          <cell r="B7773">
            <v>130</v>
          </cell>
        </row>
        <row r="7774">
          <cell r="A7774" t="str">
            <v>TAISSIA TŠUMAK-ŽHUN</v>
          </cell>
          <cell r="B7774">
            <v>5571</v>
          </cell>
        </row>
        <row r="7775">
          <cell r="A7775" t="str">
            <v>JELENA TŠUNIHHINA</v>
          </cell>
          <cell r="B7775">
            <v>7566</v>
          </cell>
        </row>
        <row r="7776">
          <cell r="A7776" t="str">
            <v>ANDREI TŠUPRIN</v>
          </cell>
          <cell r="B7776">
            <v>10198</v>
          </cell>
        </row>
        <row r="7777">
          <cell r="A7777" t="str">
            <v>JEVGENI TÖLNER</v>
          </cell>
          <cell r="B7777">
            <v>1041</v>
          </cell>
        </row>
        <row r="7778">
          <cell r="A7778" t="str">
            <v>TOOMAS TÖLNER</v>
          </cell>
          <cell r="B7778">
            <v>7753</v>
          </cell>
        </row>
        <row r="7779">
          <cell r="A7779" t="str">
            <v>DAVID TÖRNER</v>
          </cell>
          <cell r="B7779">
            <v>9403</v>
          </cell>
        </row>
        <row r="7780">
          <cell r="A7780" t="str">
            <v>SVANTE TÖRNQVIST</v>
          </cell>
          <cell r="B7780">
            <v>9413</v>
          </cell>
        </row>
        <row r="7781">
          <cell r="A7781" t="str">
            <v>MAARJA TÄHEPÕLD</v>
          </cell>
          <cell r="B7781">
            <v>1335</v>
          </cell>
        </row>
        <row r="7782">
          <cell r="A7782" t="str">
            <v>HELIS TÄHT</v>
          </cell>
          <cell r="B7782">
            <v>9387</v>
          </cell>
        </row>
        <row r="7783">
          <cell r="A7783" t="str">
            <v>MARTIN TÄHT</v>
          </cell>
          <cell r="B7783">
            <v>4764</v>
          </cell>
        </row>
        <row r="7784">
          <cell r="A7784" t="str">
            <v>SILVIA TÄHT</v>
          </cell>
          <cell r="B7784">
            <v>2311</v>
          </cell>
        </row>
        <row r="7785">
          <cell r="A7785" t="str">
            <v>ARNO TÄNAV</v>
          </cell>
          <cell r="B7785">
            <v>1453</v>
          </cell>
        </row>
        <row r="7786">
          <cell r="A7786" t="str">
            <v>MORTEN-ENDRIK TÄRNOV</v>
          </cell>
          <cell r="B7786">
            <v>4096</v>
          </cell>
        </row>
        <row r="7787">
          <cell r="A7787" t="str">
            <v>TAUR TÄRNOV</v>
          </cell>
          <cell r="B7787">
            <v>3106</v>
          </cell>
        </row>
        <row r="7788">
          <cell r="A7788" t="str">
            <v>MEELIS TÄTTE</v>
          </cell>
          <cell r="B7788">
            <v>8279</v>
          </cell>
        </row>
        <row r="7789">
          <cell r="A7789" t="str">
            <v>PAULA-KAROLINA TÕEVÄLI</v>
          </cell>
          <cell r="B7789">
            <v>1067</v>
          </cell>
        </row>
        <row r="7790">
          <cell r="A7790" t="str">
            <v>MATS TÕHK</v>
          </cell>
          <cell r="B7790">
            <v>7423</v>
          </cell>
        </row>
        <row r="7791">
          <cell r="A7791" t="str">
            <v>MARION TÕLDSEPP</v>
          </cell>
          <cell r="B7791">
            <v>8656</v>
          </cell>
        </row>
        <row r="7792">
          <cell r="A7792" t="str">
            <v>ALAR TÕLLIMÄE</v>
          </cell>
          <cell r="B7792">
            <v>9380</v>
          </cell>
        </row>
        <row r="7793">
          <cell r="A7793" t="str">
            <v>VANNA TÕNIS</v>
          </cell>
          <cell r="B7793">
            <v>9492</v>
          </cell>
        </row>
        <row r="7794">
          <cell r="A7794" t="str">
            <v>LUKAS TÕNISALU</v>
          </cell>
          <cell r="B7794">
            <v>10678</v>
          </cell>
        </row>
        <row r="7795">
          <cell r="A7795" t="str">
            <v>TAURI TÕNISMÄE</v>
          </cell>
          <cell r="B7795">
            <v>8388</v>
          </cell>
        </row>
        <row r="7796">
          <cell r="A7796" t="str">
            <v>TIIT TÕNISMÄE</v>
          </cell>
          <cell r="B7796">
            <v>8934</v>
          </cell>
        </row>
        <row r="7797">
          <cell r="A7797" t="str">
            <v>RASMUS TÕNISMÄGI</v>
          </cell>
          <cell r="B7797">
            <v>2097</v>
          </cell>
        </row>
        <row r="7798">
          <cell r="A7798" t="str">
            <v>TARMO TÕNISMÄGI</v>
          </cell>
          <cell r="B7798">
            <v>2136</v>
          </cell>
        </row>
        <row r="7799">
          <cell r="A7799" t="str">
            <v>ÜLARI TÕNISON</v>
          </cell>
          <cell r="B7799">
            <v>6235</v>
          </cell>
        </row>
        <row r="7800">
          <cell r="A7800" t="str">
            <v>ANNA MARIA TÕNISSON</v>
          </cell>
          <cell r="B7800">
            <v>10188</v>
          </cell>
        </row>
        <row r="7801">
          <cell r="A7801" t="str">
            <v>MAILIS TÕNISSON</v>
          </cell>
          <cell r="B7801">
            <v>9526</v>
          </cell>
        </row>
        <row r="7802">
          <cell r="A7802" t="str">
            <v>SIIM TÕNISSON</v>
          </cell>
          <cell r="B7802">
            <v>8035</v>
          </cell>
        </row>
        <row r="7803">
          <cell r="A7803" t="str">
            <v>VILLEM TÕNISSON</v>
          </cell>
          <cell r="B7803">
            <v>4059</v>
          </cell>
        </row>
        <row r="7804">
          <cell r="A7804" t="str">
            <v>SIIM TÕNNE</v>
          </cell>
          <cell r="B7804">
            <v>1370</v>
          </cell>
        </row>
        <row r="7805">
          <cell r="A7805" t="str">
            <v>ERIK TÕNTSON</v>
          </cell>
          <cell r="B7805">
            <v>8307</v>
          </cell>
        </row>
        <row r="7806">
          <cell r="A7806" t="str">
            <v>KARL TÕNUMAA</v>
          </cell>
          <cell r="B7806">
            <v>4598</v>
          </cell>
        </row>
        <row r="7807">
          <cell r="A7807" t="str">
            <v>KAUR TÕRA</v>
          </cell>
          <cell r="B7807">
            <v>6227</v>
          </cell>
        </row>
        <row r="7808">
          <cell r="A7808" t="str">
            <v>VERA TÕSJATOVA</v>
          </cell>
          <cell r="B7808">
            <v>7679</v>
          </cell>
        </row>
        <row r="7809">
          <cell r="A7809" t="str">
            <v>SANDER TAABER</v>
          </cell>
          <cell r="B7809">
            <v>5265</v>
          </cell>
        </row>
        <row r="7810">
          <cell r="A7810" t="str">
            <v>JAAN TAALER</v>
          </cell>
          <cell r="B7810">
            <v>1216</v>
          </cell>
        </row>
        <row r="7811">
          <cell r="A7811" t="str">
            <v>TERO TAALIKKA</v>
          </cell>
          <cell r="B7811">
            <v>3555</v>
          </cell>
        </row>
        <row r="7812">
          <cell r="A7812" t="str">
            <v>TÕNU TAALIMÄE</v>
          </cell>
          <cell r="B7812">
            <v>3065</v>
          </cell>
        </row>
        <row r="7813">
          <cell r="A7813" t="str">
            <v>MARIUS TAAR</v>
          </cell>
          <cell r="B7813">
            <v>4558</v>
          </cell>
        </row>
        <row r="7814">
          <cell r="A7814" t="str">
            <v>TABER TABER</v>
          </cell>
          <cell r="B7814">
            <v>9112</v>
          </cell>
        </row>
        <row r="7815">
          <cell r="A7815" t="str">
            <v>TIMOFEI TABUNOV</v>
          </cell>
          <cell r="B7815">
            <v>10808</v>
          </cell>
        </row>
        <row r="7816">
          <cell r="A7816" t="str">
            <v>JAAGUP TABUR</v>
          </cell>
          <cell r="B7816">
            <v>3727</v>
          </cell>
        </row>
        <row r="7817">
          <cell r="A7817" t="str">
            <v>KAIDAR TABUR</v>
          </cell>
          <cell r="B7817">
            <v>10867</v>
          </cell>
        </row>
        <row r="7818">
          <cell r="A7818" t="str">
            <v>KEIRO TABUR</v>
          </cell>
          <cell r="B7818">
            <v>7056</v>
          </cell>
        </row>
        <row r="7819">
          <cell r="A7819" t="str">
            <v>VEIKO TABUR</v>
          </cell>
          <cell r="B7819">
            <v>2657</v>
          </cell>
        </row>
        <row r="7820">
          <cell r="A7820" t="str">
            <v>RAUL TAEVAS</v>
          </cell>
          <cell r="B7820">
            <v>10409</v>
          </cell>
        </row>
        <row r="7821">
          <cell r="A7821" t="str">
            <v>CHRISTOPH TAFANI</v>
          </cell>
          <cell r="B7821">
            <v>8607</v>
          </cell>
        </row>
        <row r="7822">
          <cell r="A7822" t="str">
            <v>JANIKA TAHK</v>
          </cell>
          <cell r="B7822">
            <v>7702</v>
          </cell>
        </row>
        <row r="7823">
          <cell r="A7823" t="str">
            <v>MAARI JETA TAHK</v>
          </cell>
          <cell r="B7823">
            <v>8854</v>
          </cell>
        </row>
        <row r="7824">
          <cell r="A7824" t="str">
            <v>TRIIN TAHK</v>
          </cell>
          <cell r="B7824">
            <v>3260</v>
          </cell>
        </row>
        <row r="7825">
          <cell r="A7825" t="str">
            <v>URMAS TAHK</v>
          </cell>
          <cell r="B7825">
            <v>8504</v>
          </cell>
        </row>
        <row r="7826">
          <cell r="A7826" t="str">
            <v>NICO TAHMAZ</v>
          </cell>
          <cell r="B7826">
            <v>8668</v>
          </cell>
        </row>
        <row r="7827">
          <cell r="A7827" t="str">
            <v>BIRGITTA TAHULA</v>
          </cell>
          <cell r="B7827">
            <v>1601</v>
          </cell>
        </row>
        <row r="7828">
          <cell r="A7828" t="str">
            <v>MARI-LIIS TAHULA</v>
          </cell>
          <cell r="B7828">
            <v>1824</v>
          </cell>
        </row>
        <row r="7829">
          <cell r="A7829" t="str">
            <v>ROBIN-REI TAIDEMA</v>
          </cell>
          <cell r="B7829">
            <v>5435</v>
          </cell>
        </row>
        <row r="7830">
          <cell r="A7830" t="str">
            <v>HANNES TAIMLA</v>
          </cell>
          <cell r="B7830">
            <v>4559</v>
          </cell>
        </row>
        <row r="7831">
          <cell r="A7831" t="str">
            <v>KRISTINA TAIOROVA</v>
          </cell>
          <cell r="B7831">
            <v>4560</v>
          </cell>
        </row>
        <row r="7832">
          <cell r="A7832" t="str">
            <v>KARI TAIVE</v>
          </cell>
          <cell r="B7832">
            <v>9328</v>
          </cell>
        </row>
        <row r="7833">
          <cell r="A7833" t="str">
            <v>ATO TAKASHI</v>
          </cell>
          <cell r="B7833">
            <v>7712</v>
          </cell>
        </row>
        <row r="7834">
          <cell r="A7834" t="str">
            <v>BRUNO TAKKEL</v>
          </cell>
          <cell r="B7834">
            <v>4561</v>
          </cell>
        </row>
        <row r="7835">
          <cell r="A7835" t="str">
            <v>LIISI TALAS</v>
          </cell>
          <cell r="B7835">
            <v>2528</v>
          </cell>
        </row>
        <row r="7836">
          <cell r="A7836" t="str">
            <v>RAINER TALAS</v>
          </cell>
          <cell r="B7836">
            <v>2520</v>
          </cell>
        </row>
        <row r="7837">
          <cell r="A7837" t="str">
            <v>KATARINA TALATSHKO</v>
          </cell>
          <cell r="B7837">
            <v>4562</v>
          </cell>
        </row>
        <row r="7838">
          <cell r="A7838" t="str">
            <v>PIIBE-MARIA TALEN</v>
          </cell>
          <cell r="B7838">
            <v>3387</v>
          </cell>
        </row>
        <row r="7839">
          <cell r="A7839" t="str">
            <v>KAIRIIN TALI</v>
          </cell>
          <cell r="B7839">
            <v>7338</v>
          </cell>
        </row>
        <row r="7840">
          <cell r="A7840" t="str">
            <v>KIISELA TALI</v>
          </cell>
          <cell r="B7840">
            <v>1493</v>
          </cell>
        </row>
        <row r="7841">
          <cell r="A7841" t="str">
            <v>MARIS TALI</v>
          </cell>
          <cell r="B7841">
            <v>2806</v>
          </cell>
        </row>
        <row r="7842">
          <cell r="A7842" t="str">
            <v>GEORGI TALISAINEN</v>
          </cell>
          <cell r="B7842">
            <v>7304</v>
          </cell>
        </row>
        <row r="7843">
          <cell r="A7843" t="str">
            <v>SIIM TALISMAA</v>
          </cell>
          <cell r="B7843">
            <v>4563</v>
          </cell>
        </row>
        <row r="7844">
          <cell r="A7844" t="str">
            <v>SANDER TALISOO</v>
          </cell>
          <cell r="B7844">
            <v>5666</v>
          </cell>
        </row>
        <row r="7845">
          <cell r="A7845" t="str">
            <v>MARLEEN TALIVÄTSING</v>
          </cell>
          <cell r="B7845">
            <v>5354</v>
          </cell>
        </row>
        <row r="7846">
          <cell r="A7846" t="str">
            <v>TIIT TALLO</v>
          </cell>
          <cell r="B7846">
            <v>10019</v>
          </cell>
        </row>
        <row r="7847">
          <cell r="A7847" t="str">
            <v>JÜRI TALP</v>
          </cell>
          <cell r="B7847">
            <v>1652</v>
          </cell>
        </row>
        <row r="7848">
          <cell r="A7848" t="str">
            <v>ARMIN-OTT TALPAS</v>
          </cell>
          <cell r="B7848">
            <v>8102</v>
          </cell>
        </row>
        <row r="7849">
          <cell r="A7849" t="str">
            <v>KEN TALPAS-TALTSEPP</v>
          </cell>
          <cell r="B7849">
            <v>5961</v>
          </cell>
        </row>
        <row r="7850">
          <cell r="A7850" t="str">
            <v>JAAK TALTS</v>
          </cell>
          <cell r="B7850">
            <v>4140</v>
          </cell>
        </row>
        <row r="7851">
          <cell r="A7851" t="str">
            <v>KATARIINA TALTS</v>
          </cell>
          <cell r="B7851">
            <v>4564</v>
          </cell>
        </row>
        <row r="7852">
          <cell r="A7852" t="str">
            <v>TANEL TALTS</v>
          </cell>
          <cell r="B7852">
            <v>8564</v>
          </cell>
        </row>
        <row r="7853">
          <cell r="A7853" t="str">
            <v>TARMO TALU</v>
          </cell>
          <cell r="B7853">
            <v>7329</v>
          </cell>
        </row>
        <row r="7854">
          <cell r="A7854" t="str">
            <v>KERT TALUMETS</v>
          </cell>
          <cell r="B7854">
            <v>9935</v>
          </cell>
        </row>
        <row r="7855">
          <cell r="A7855" t="str">
            <v>TOOMAS TALUMETS</v>
          </cell>
          <cell r="B7855">
            <v>9947</v>
          </cell>
        </row>
        <row r="7856">
          <cell r="A7856" t="str">
            <v>JOOSEP MATTIAS TALUR</v>
          </cell>
          <cell r="B7856">
            <v>9327</v>
          </cell>
        </row>
        <row r="7857">
          <cell r="A7857" t="str">
            <v>ROBERT MIHKEL TALUR</v>
          </cell>
          <cell r="B7857">
            <v>9635</v>
          </cell>
        </row>
        <row r="7858">
          <cell r="A7858" t="str">
            <v>TAURI TALVE</v>
          </cell>
          <cell r="B7858">
            <v>5605</v>
          </cell>
        </row>
        <row r="7859">
          <cell r="A7859" t="str">
            <v>KAIRIT TALVING</v>
          </cell>
          <cell r="B7859">
            <v>8545</v>
          </cell>
        </row>
        <row r="7860">
          <cell r="A7860" t="str">
            <v>KARIN TALVING</v>
          </cell>
          <cell r="B7860">
            <v>2972</v>
          </cell>
        </row>
        <row r="7861">
          <cell r="A7861" t="str">
            <v>KATRINA TALVING</v>
          </cell>
          <cell r="B7861">
            <v>3898</v>
          </cell>
        </row>
        <row r="7862">
          <cell r="A7862" t="str">
            <v>ANDRES TALVISTE</v>
          </cell>
          <cell r="B7862">
            <v>270</v>
          </cell>
        </row>
        <row r="7863">
          <cell r="A7863" t="str">
            <v>ANTS TALVISTE</v>
          </cell>
          <cell r="B7863">
            <v>1943</v>
          </cell>
        </row>
        <row r="7864">
          <cell r="A7864" t="str">
            <v>ARINA TALVISTE</v>
          </cell>
          <cell r="B7864">
            <v>8837</v>
          </cell>
        </row>
        <row r="7865">
          <cell r="A7865" t="str">
            <v>JOOSEP TALVISTE</v>
          </cell>
          <cell r="B7865">
            <v>5591</v>
          </cell>
        </row>
        <row r="7866">
          <cell r="A7866" t="str">
            <v>KASPAR TALVISTE</v>
          </cell>
          <cell r="B7866">
            <v>2288</v>
          </cell>
        </row>
        <row r="7867">
          <cell r="A7867" t="str">
            <v>EDVINAS TAMASHAUSKAS</v>
          </cell>
          <cell r="B7867">
            <v>8849</v>
          </cell>
        </row>
        <row r="7868">
          <cell r="A7868" t="str">
            <v>RAUL TAMBRE</v>
          </cell>
          <cell r="B7868">
            <v>6066</v>
          </cell>
        </row>
        <row r="7869">
          <cell r="A7869" t="str">
            <v>KELLY TAMBUR</v>
          </cell>
          <cell r="B7869">
            <v>3687</v>
          </cell>
        </row>
        <row r="7870">
          <cell r="A7870" t="str">
            <v>AIMAR TAMM</v>
          </cell>
          <cell r="B7870">
            <v>5927</v>
          </cell>
        </row>
        <row r="7871">
          <cell r="A7871" t="str">
            <v>ARTUR TAMM</v>
          </cell>
          <cell r="B7871">
            <v>7994</v>
          </cell>
        </row>
        <row r="7872">
          <cell r="A7872" t="str">
            <v>DEMIAN TAMM</v>
          </cell>
          <cell r="B7872">
            <v>10128</v>
          </cell>
        </row>
        <row r="7873">
          <cell r="A7873" t="str">
            <v>HARMON TAMM</v>
          </cell>
          <cell r="B7873">
            <v>9873</v>
          </cell>
        </row>
        <row r="7874">
          <cell r="A7874" t="str">
            <v>HOLGER TAMM</v>
          </cell>
          <cell r="B7874">
            <v>5152</v>
          </cell>
        </row>
        <row r="7875">
          <cell r="A7875" t="str">
            <v>JAAN TAMM</v>
          </cell>
          <cell r="B7875">
            <v>2324</v>
          </cell>
        </row>
        <row r="7876">
          <cell r="A7876" t="str">
            <v>JAANUS TAMM</v>
          </cell>
          <cell r="B7876">
            <v>2683</v>
          </cell>
        </row>
        <row r="7877">
          <cell r="A7877" t="str">
            <v>JOOSEP TAMM</v>
          </cell>
          <cell r="B7877">
            <v>6158</v>
          </cell>
        </row>
        <row r="7878">
          <cell r="A7878" t="str">
            <v>KARL TAMM</v>
          </cell>
          <cell r="B7878">
            <v>2709</v>
          </cell>
        </row>
        <row r="7879">
          <cell r="A7879" t="str">
            <v>KRISTO TAMM</v>
          </cell>
          <cell r="B7879">
            <v>2147</v>
          </cell>
        </row>
        <row r="7880">
          <cell r="A7880" t="str">
            <v>LEINO TAMM</v>
          </cell>
          <cell r="B7880">
            <v>7400</v>
          </cell>
        </row>
        <row r="7881">
          <cell r="A7881" t="str">
            <v>MARGIT TAMM</v>
          </cell>
          <cell r="B7881">
            <v>3179</v>
          </cell>
        </row>
        <row r="7882">
          <cell r="A7882" t="str">
            <v>MEELIS TAMM</v>
          </cell>
          <cell r="B7882">
            <v>3899</v>
          </cell>
        </row>
        <row r="7883">
          <cell r="A7883" t="str">
            <v>MERIL TAMM</v>
          </cell>
          <cell r="B7883">
            <v>2577</v>
          </cell>
        </row>
        <row r="7884">
          <cell r="A7884" t="str">
            <v>PAULIINE VIIBEKE TAMM</v>
          </cell>
          <cell r="B7884">
            <v>3587</v>
          </cell>
        </row>
        <row r="7885">
          <cell r="A7885" t="str">
            <v>PIRGIT TAMM</v>
          </cell>
          <cell r="B7885">
            <v>2008</v>
          </cell>
        </row>
        <row r="7886">
          <cell r="A7886" t="str">
            <v>RANDO TAMM</v>
          </cell>
          <cell r="B7886">
            <v>1570</v>
          </cell>
        </row>
        <row r="7887">
          <cell r="A7887" t="str">
            <v>REIJO TAMM</v>
          </cell>
          <cell r="B7887">
            <v>7846</v>
          </cell>
        </row>
        <row r="7888">
          <cell r="A7888" t="str">
            <v>SAMUEL TAMM</v>
          </cell>
          <cell r="B7888">
            <v>5314</v>
          </cell>
        </row>
        <row r="7889">
          <cell r="A7889" t="str">
            <v>TAAVI TAMM</v>
          </cell>
          <cell r="B7889">
            <v>3659</v>
          </cell>
        </row>
        <row r="7890">
          <cell r="A7890" t="str">
            <v>TARVI TAMM</v>
          </cell>
          <cell r="B7890">
            <v>3048</v>
          </cell>
        </row>
        <row r="7891">
          <cell r="A7891" t="str">
            <v>TAUNO TAMM</v>
          </cell>
          <cell r="B7891">
            <v>2413</v>
          </cell>
        </row>
        <row r="7892">
          <cell r="A7892" t="str">
            <v>TIMO TAMM</v>
          </cell>
          <cell r="B7892">
            <v>4141</v>
          </cell>
        </row>
        <row r="7893">
          <cell r="A7893" t="str">
            <v>ALLAN TAMME</v>
          </cell>
          <cell r="B7893">
            <v>9393</v>
          </cell>
        </row>
        <row r="7894">
          <cell r="A7894" t="str">
            <v>JUHAN TAMME</v>
          </cell>
          <cell r="B7894">
            <v>271</v>
          </cell>
        </row>
        <row r="7895">
          <cell r="A7895" t="str">
            <v>KELLI TAMME</v>
          </cell>
          <cell r="B7895">
            <v>1116</v>
          </cell>
        </row>
        <row r="7896">
          <cell r="A7896" t="str">
            <v>OTTO TAMME</v>
          </cell>
          <cell r="B7896">
            <v>7985</v>
          </cell>
        </row>
        <row r="7897">
          <cell r="A7897" t="str">
            <v>SANDER TAMME</v>
          </cell>
          <cell r="B7897">
            <v>4566</v>
          </cell>
        </row>
        <row r="7898">
          <cell r="A7898" t="str">
            <v>SIGNE TAMME</v>
          </cell>
          <cell r="B7898">
            <v>4565</v>
          </cell>
        </row>
        <row r="7899">
          <cell r="A7899" t="str">
            <v>LAUR MEHIS TAMMELA</v>
          </cell>
          <cell r="B7899">
            <v>8978</v>
          </cell>
        </row>
        <row r="7900">
          <cell r="A7900" t="str">
            <v>TANEL TAMMELA</v>
          </cell>
          <cell r="B7900">
            <v>4955</v>
          </cell>
        </row>
        <row r="7901">
          <cell r="A7901" t="str">
            <v>TORMI TAMMELEHT</v>
          </cell>
          <cell r="B7901">
            <v>1040</v>
          </cell>
        </row>
        <row r="7902">
          <cell r="A7902" t="str">
            <v>MART TAMMEMETS</v>
          </cell>
          <cell r="B7902">
            <v>471</v>
          </cell>
        </row>
        <row r="7903">
          <cell r="A7903" t="str">
            <v>HANS TAMMEORG</v>
          </cell>
          <cell r="B7903">
            <v>10120</v>
          </cell>
        </row>
        <row r="7904">
          <cell r="A7904" t="str">
            <v>LARSEN KLAUS TAMMEPUU</v>
          </cell>
          <cell r="B7904">
            <v>9677</v>
          </cell>
        </row>
        <row r="7905">
          <cell r="A7905" t="str">
            <v>MIHKEL TAMMERT</v>
          </cell>
          <cell r="B7905">
            <v>422</v>
          </cell>
        </row>
        <row r="7906">
          <cell r="A7906" t="str">
            <v>TALNO TAMMEVESKI</v>
          </cell>
          <cell r="B7906">
            <v>273</v>
          </cell>
        </row>
        <row r="7907">
          <cell r="A7907" t="str">
            <v>HENDRIK TAMMI</v>
          </cell>
          <cell r="B7907">
            <v>3100</v>
          </cell>
        </row>
        <row r="7908">
          <cell r="A7908" t="str">
            <v>HELENA TAMMIK</v>
          </cell>
          <cell r="B7908">
            <v>2175</v>
          </cell>
        </row>
        <row r="7909">
          <cell r="A7909" t="str">
            <v>LIISA TAMMIK</v>
          </cell>
          <cell r="B7909">
            <v>5206</v>
          </cell>
        </row>
        <row r="7910">
          <cell r="A7910" t="str">
            <v>MARTEN TAMMIK</v>
          </cell>
          <cell r="B7910">
            <v>10350</v>
          </cell>
        </row>
        <row r="7911">
          <cell r="A7911" t="str">
            <v>TANEL TAMMIK</v>
          </cell>
          <cell r="B7911">
            <v>5902</v>
          </cell>
        </row>
        <row r="7912">
          <cell r="A7912" t="str">
            <v>TIMO TAMMIK</v>
          </cell>
          <cell r="B7912">
            <v>9742</v>
          </cell>
        </row>
        <row r="7913">
          <cell r="A7913" t="str">
            <v>TOOMAS TAMMIK</v>
          </cell>
          <cell r="B7913">
            <v>2167</v>
          </cell>
        </row>
        <row r="7914">
          <cell r="A7914" t="str">
            <v>TERO TAMMINEN</v>
          </cell>
          <cell r="B7914">
            <v>859</v>
          </cell>
        </row>
        <row r="7915">
          <cell r="A7915" t="str">
            <v>ALAR TAMMING</v>
          </cell>
          <cell r="B7915">
            <v>274</v>
          </cell>
        </row>
        <row r="7916">
          <cell r="A7916" t="str">
            <v>TAURI TAMMING</v>
          </cell>
          <cell r="B7916">
            <v>6137</v>
          </cell>
        </row>
        <row r="7917">
          <cell r="A7917" t="str">
            <v>TEISI TAMMING</v>
          </cell>
          <cell r="B7917">
            <v>2958</v>
          </cell>
        </row>
        <row r="7918">
          <cell r="A7918" t="str">
            <v>CHRISTOFER TAMMIST</v>
          </cell>
          <cell r="B7918">
            <v>3681</v>
          </cell>
        </row>
        <row r="7919">
          <cell r="A7919" t="str">
            <v>KARL MATHIAS TAMMISTE</v>
          </cell>
          <cell r="B7919">
            <v>9820</v>
          </cell>
        </row>
        <row r="7920">
          <cell r="A7920" t="str">
            <v>RASMUS-RANEL TAMMISTE</v>
          </cell>
          <cell r="B7920">
            <v>6141</v>
          </cell>
        </row>
        <row r="7921">
          <cell r="A7921" t="str">
            <v>RAUL TAMMISTE</v>
          </cell>
          <cell r="B7921">
            <v>2375</v>
          </cell>
        </row>
        <row r="7922">
          <cell r="A7922" t="str">
            <v>TIINA TAMMISTU</v>
          </cell>
          <cell r="B7922">
            <v>4849</v>
          </cell>
        </row>
        <row r="7923">
          <cell r="A7923" t="str">
            <v>RON HUBERT TAMMJÄRV</v>
          </cell>
          <cell r="B7923">
            <v>10755</v>
          </cell>
        </row>
        <row r="7924">
          <cell r="A7924" t="str">
            <v>ARVI TAMMOJA</v>
          </cell>
          <cell r="B7924">
            <v>2484</v>
          </cell>
        </row>
        <row r="7925">
          <cell r="A7925" t="str">
            <v>HEIDI TAMMSALU</v>
          </cell>
          <cell r="B7925">
            <v>7099</v>
          </cell>
        </row>
        <row r="7926">
          <cell r="A7926" t="str">
            <v>JÜRGO TAMSALU</v>
          </cell>
          <cell r="B7926">
            <v>8693</v>
          </cell>
        </row>
        <row r="7927">
          <cell r="A7927" t="str">
            <v>TAIMO TAMSALU</v>
          </cell>
          <cell r="B7927">
            <v>5070</v>
          </cell>
        </row>
        <row r="7928">
          <cell r="A7928" t="str">
            <v>TAAVI TANI</v>
          </cell>
          <cell r="B7928">
            <v>3900</v>
          </cell>
        </row>
        <row r="7929">
          <cell r="A7929" t="str">
            <v>KAUR TANK</v>
          </cell>
          <cell r="B7929">
            <v>10000</v>
          </cell>
        </row>
        <row r="7930">
          <cell r="A7930" t="str">
            <v>RAIVO TÜLI</v>
          </cell>
          <cell r="B7930">
            <v>3452</v>
          </cell>
        </row>
        <row r="7931">
          <cell r="A7931" t="str">
            <v>KAINO TÜLLE</v>
          </cell>
          <cell r="B7931">
            <v>7398</v>
          </cell>
        </row>
        <row r="7932">
          <cell r="A7932" t="str">
            <v>FRANK TOMAS TÜRI</v>
          </cell>
          <cell r="B7932">
            <v>9706</v>
          </cell>
        </row>
        <row r="7933">
          <cell r="A7933" t="str">
            <v>ELIS TÜRK</v>
          </cell>
          <cell r="B7933">
            <v>9191</v>
          </cell>
        </row>
        <row r="7934">
          <cell r="A7934" t="str">
            <v>HENRI TÜRK</v>
          </cell>
          <cell r="B7934">
            <v>9353</v>
          </cell>
        </row>
        <row r="7935">
          <cell r="A7935" t="str">
            <v>MATI TÜRK</v>
          </cell>
          <cell r="B7935">
            <v>7710</v>
          </cell>
        </row>
        <row r="7936">
          <cell r="A7936" t="str">
            <v>TARMO TÜRK</v>
          </cell>
          <cell r="B7936">
            <v>10640</v>
          </cell>
        </row>
        <row r="7937">
          <cell r="A7937" t="str">
            <v>SIIM TÜRNA</v>
          </cell>
          <cell r="B7937">
            <v>3908</v>
          </cell>
        </row>
        <row r="7938">
          <cell r="A7938" t="str">
            <v>KRISTI-MARIA TÜVI</v>
          </cell>
          <cell r="B7938">
            <v>4599</v>
          </cell>
        </row>
        <row r="7939">
          <cell r="A7939" t="str">
            <v>TAIVO TÜVIST</v>
          </cell>
          <cell r="B7939">
            <v>10390</v>
          </cell>
        </row>
        <row r="7940">
          <cell r="A7940" t="str">
            <v>SILVER TAPASIA</v>
          </cell>
          <cell r="B7940">
            <v>4919</v>
          </cell>
        </row>
        <row r="7941">
          <cell r="A7941" t="str">
            <v>ROOMET TAPFER</v>
          </cell>
          <cell r="B7941">
            <v>7368</v>
          </cell>
        </row>
        <row r="7942">
          <cell r="A7942" t="str">
            <v>EPP TAPIAINEN</v>
          </cell>
          <cell r="B7942">
            <v>10745</v>
          </cell>
        </row>
        <row r="7943">
          <cell r="A7943" t="str">
            <v>DANIEL TAPP</v>
          </cell>
          <cell r="B7943">
            <v>2110</v>
          </cell>
        </row>
        <row r="7944">
          <cell r="A7944" t="str">
            <v>JAANIS TARAJKOVSKIS</v>
          </cell>
          <cell r="B7944">
            <v>4003</v>
          </cell>
        </row>
        <row r="7945">
          <cell r="A7945" t="str">
            <v>KARINA TARANDA</v>
          </cell>
          <cell r="B7945">
            <v>3501</v>
          </cell>
        </row>
        <row r="7946">
          <cell r="A7946" t="str">
            <v>DEMID TARASOV</v>
          </cell>
          <cell r="B7946">
            <v>2898</v>
          </cell>
        </row>
        <row r="7947">
          <cell r="A7947" t="str">
            <v>VASSILI TARATÕNOV</v>
          </cell>
          <cell r="B7947">
            <v>4567</v>
          </cell>
        </row>
        <row r="7948">
          <cell r="A7948" t="str">
            <v>LINE TARBENSEN</v>
          </cell>
          <cell r="B7948">
            <v>8153</v>
          </cell>
        </row>
        <row r="7949">
          <cell r="A7949" t="str">
            <v>ERIK TAREIKIN</v>
          </cell>
          <cell r="B7949">
            <v>8172</v>
          </cell>
        </row>
        <row r="7950">
          <cell r="A7950" t="str">
            <v>JAKOB TARK</v>
          </cell>
          <cell r="B7950">
            <v>9958</v>
          </cell>
        </row>
        <row r="7951">
          <cell r="A7951" t="str">
            <v>RANDO TARKMEEL</v>
          </cell>
          <cell r="B7951">
            <v>9848</v>
          </cell>
        </row>
        <row r="7952">
          <cell r="A7952" t="str">
            <v>SIGRID TARLAP</v>
          </cell>
          <cell r="B7952">
            <v>10378</v>
          </cell>
        </row>
        <row r="7953">
          <cell r="A7953" t="str">
            <v>REENO TARM</v>
          </cell>
          <cell r="B7953">
            <v>5022</v>
          </cell>
        </row>
        <row r="7954">
          <cell r="A7954" t="str">
            <v>MÜLLER TARMO</v>
          </cell>
          <cell r="B7954">
            <v>10861</v>
          </cell>
        </row>
        <row r="7955">
          <cell r="A7955" t="str">
            <v>MADIS TARUM</v>
          </cell>
          <cell r="B7955">
            <v>4568</v>
          </cell>
        </row>
        <row r="7956">
          <cell r="A7956" t="str">
            <v>KRISTI TASA</v>
          </cell>
          <cell r="B7956">
            <v>122</v>
          </cell>
        </row>
        <row r="7957">
          <cell r="A7957" t="str">
            <v>ANNE MARIE TASANE</v>
          </cell>
          <cell r="B7957">
            <v>6104</v>
          </cell>
        </row>
        <row r="7958">
          <cell r="A7958" t="str">
            <v>KRISTEL TASANE</v>
          </cell>
          <cell r="B7958">
            <v>124</v>
          </cell>
        </row>
        <row r="7959">
          <cell r="A7959" t="str">
            <v>GÄTLYN TASHKIN</v>
          </cell>
          <cell r="B7959">
            <v>3328</v>
          </cell>
        </row>
        <row r="7960">
          <cell r="A7960" t="str">
            <v>HELENA TASKA</v>
          </cell>
          <cell r="B7960">
            <v>5023</v>
          </cell>
        </row>
        <row r="7961">
          <cell r="A7961" t="str">
            <v>SIRJE TATAR</v>
          </cell>
          <cell r="B7961">
            <v>10514</v>
          </cell>
        </row>
        <row r="7962">
          <cell r="A7962" t="str">
            <v>STANISLAV TATARSKI</v>
          </cell>
          <cell r="B7962">
            <v>7580</v>
          </cell>
        </row>
        <row r="7963">
          <cell r="A7963" t="str">
            <v>IVANOVA TATJANA</v>
          </cell>
          <cell r="B7963">
            <v>10750</v>
          </cell>
        </row>
        <row r="7964">
          <cell r="A7964" t="str">
            <v>ANDRIS TAUER</v>
          </cell>
          <cell r="B7964">
            <v>6186</v>
          </cell>
        </row>
        <row r="7965">
          <cell r="A7965" t="str">
            <v>GREGOR TAUER</v>
          </cell>
          <cell r="B7965">
            <v>7240</v>
          </cell>
        </row>
        <row r="7966">
          <cell r="A7966" t="str">
            <v>KADI TAUER</v>
          </cell>
          <cell r="B7966">
            <v>6112</v>
          </cell>
        </row>
        <row r="7967">
          <cell r="A7967" t="str">
            <v>OLGER TAUER</v>
          </cell>
          <cell r="B7967">
            <v>6230</v>
          </cell>
        </row>
        <row r="7968">
          <cell r="A7968" t="str">
            <v>ANDREI TCYBIN</v>
          </cell>
          <cell r="B7968">
            <v>9110</v>
          </cell>
        </row>
        <row r="7969">
          <cell r="A7969" t="str">
            <v>DANIEL TEDER</v>
          </cell>
          <cell r="B7969">
            <v>5190</v>
          </cell>
        </row>
        <row r="7970">
          <cell r="A7970" t="str">
            <v>JAANUS TEDER</v>
          </cell>
          <cell r="B7970">
            <v>489</v>
          </cell>
        </row>
        <row r="7971">
          <cell r="A7971" t="str">
            <v>JÜRI TEDER</v>
          </cell>
          <cell r="B7971">
            <v>4004</v>
          </cell>
        </row>
        <row r="7972">
          <cell r="A7972" t="str">
            <v>KARMEL TEDER</v>
          </cell>
          <cell r="B7972">
            <v>5482</v>
          </cell>
        </row>
        <row r="7973">
          <cell r="A7973" t="str">
            <v>KEVIN TEDER</v>
          </cell>
          <cell r="B7973">
            <v>5548</v>
          </cell>
        </row>
        <row r="7974">
          <cell r="A7974" t="str">
            <v>MARTTI TEDER</v>
          </cell>
          <cell r="B7974">
            <v>8248</v>
          </cell>
        </row>
        <row r="7975">
          <cell r="A7975" t="str">
            <v>MEELIS TEDER</v>
          </cell>
          <cell r="B7975">
            <v>5434</v>
          </cell>
        </row>
        <row r="7976">
          <cell r="A7976" t="str">
            <v>RICHARD TEDER</v>
          </cell>
          <cell r="B7976">
            <v>8274</v>
          </cell>
        </row>
        <row r="7977">
          <cell r="A7977" t="str">
            <v>TAAVI TEDER</v>
          </cell>
          <cell r="B7977">
            <v>8043</v>
          </cell>
        </row>
        <row r="7978">
          <cell r="A7978" t="str">
            <v>TARMO TEDEROV</v>
          </cell>
          <cell r="B7978">
            <v>9838</v>
          </cell>
        </row>
        <row r="7979">
          <cell r="A7979" t="str">
            <v>RODE ROBERT TEDREMAA</v>
          </cell>
          <cell r="B7979">
            <v>3109</v>
          </cell>
        </row>
        <row r="7980">
          <cell r="A7980" t="str">
            <v>RISTO TEDREMETS</v>
          </cell>
          <cell r="B7980">
            <v>2138</v>
          </cell>
        </row>
        <row r="7981">
          <cell r="A7981" t="str">
            <v>SIXTEN TEDREMETS</v>
          </cell>
          <cell r="B7981">
            <v>1891</v>
          </cell>
        </row>
        <row r="7982">
          <cell r="A7982" t="str">
            <v>ALVAR TEEARU</v>
          </cell>
          <cell r="B7982">
            <v>7416</v>
          </cell>
        </row>
        <row r="7983">
          <cell r="A7983" t="str">
            <v>ARMIN TEEARU</v>
          </cell>
          <cell r="B7983">
            <v>10457</v>
          </cell>
        </row>
        <row r="7984">
          <cell r="A7984" t="str">
            <v>SILVER TEEARU</v>
          </cell>
          <cell r="B7984">
            <v>8709</v>
          </cell>
        </row>
        <row r="7985">
          <cell r="A7985" t="str">
            <v>GREGOR TEEKIVI</v>
          </cell>
          <cell r="B7985">
            <v>10801</v>
          </cell>
        </row>
        <row r="7986">
          <cell r="A7986" t="str">
            <v>URMO TEEKIVI</v>
          </cell>
          <cell r="B7986">
            <v>5191</v>
          </cell>
        </row>
        <row r="7987">
          <cell r="A7987" t="str">
            <v>MATTIAS HENDRIK TEEMUS</v>
          </cell>
          <cell r="B7987">
            <v>10026</v>
          </cell>
        </row>
        <row r="7988">
          <cell r="A7988" t="str">
            <v>KRISTJAN TEES</v>
          </cell>
          <cell r="B7988">
            <v>8288</v>
          </cell>
        </row>
        <row r="7989">
          <cell r="A7989" t="str">
            <v>ANDRO TEESALU</v>
          </cell>
          <cell r="B7989">
            <v>10677</v>
          </cell>
        </row>
        <row r="7990">
          <cell r="A7990" t="str">
            <v>MARKUS TEESALU</v>
          </cell>
          <cell r="B7990">
            <v>7651</v>
          </cell>
        </row>
        <row r="7991">
          <cell r="A7991" t="str">
            <v>TAAVI TEETS</v>
          </cell>
          <cell r="B7991">
            <v>4713</v>
          </cell>
        </row>
        <row r="7992">
          <cell r="A7992" t="str">
            <v>ERCAN TEETSMANN</v>
          </cell>
          <cell r="B7992">
            <v>9147</v>
          </cell>
        </row>
        <row r="7993">
          <cell r="A7993" t="str">
            <v>TREVOR TEHVA</v>
          </cell>
          <cell r="B7993">
            <v>10413</v>
          </cell>
        </row>
        <row r="7994">
          <cell r="A7994" t="str">
            <v>TRISTAN TEIKES</v>
          </cell>
          <cell r="B7994">
            <v>10439</v>
          </cell>
        </row>
        <row r="7995">
          <cell r="A7995" t="str">
            <v>ERKI TEINFELDT</v>
          </cell>
          <cell r="B7995">
            <v>5598</v>
          </cell>
        </row>
        <row r="7996">
          <cell r="A7996" t="str">
            <v>VLADIMIR TELICHKO</v>
          </cell>
          <cell r="B7996">
            <v>5647</v>
          </cell>
        </row>
        <row r="7997">
          <cell r="A7997" t="str">
            <v>ANDRA TELL</v>
          </cell>
          <cell r="B7997">
            <v>2352</v>
          </cell>
        </row>
        <row r="7998">
          <cell r="A7998" t="str">
            <v>URSULA TELL</v>
          </cell>
          <cell r="B7998">
            <v>4569</v>
          </cell>
        </row>
        <row r="7999">
          <cell r="A7999" t="str">
            <v>ROBIN TELVE</v>
          </cell>
          <cell r="B7999">
            <v>8118</v>
          </cell>
        </row>
        <row r="8000">
          <cell r="A8000" t="str">
            <v>KAJA TELVIK</v>
          </cell>
          <cell r="B8000">
            <v>123</v>
          </cell>
        </row>
        <row r="8001">
          <cell r="A8001" t="str">
            <v>VITALI TENIN</v>
          </cell>
          <cell r="B8001">
            <v>2939</v>
          </cell>
        </row>
        <row r="8002">
          <cell r="A8002" t="str">
            <v>IIRO TENNILÄ</v>
          </cell>
          <cell r="B8002">
            <v>2002</v>
          </cell>
        </row>
        <row r="8003">
          <cell r="A8003" t="str">
            <v>OTTO TENNILÄ</v>
          </cell>
          <cell r="B8003">
            <v>2003</v>
          </cell>
        </row>
        <row r="8004">
          <cell r="A8004" t="str">
            <v>PEKKA TENNILÄ</v>
          </cell>
          <cell r="B8004">
            <v>2526</v>
          </cell>
        </row>
        <row r="8005">
          <cell r="A8005" t="str">
            <v>ERIK TENNO</v>
          </cell>
          <cell r="B8005">
            <v>3199</v>
          </cell>
        </row>
        <row r="8006">
          <cell r="A8006" t="str">
            <v>INDREK TENNO</v>
          </cell>
          <cell r="B8006">
            <v>10722</v>
          </cell>
        </row>
        <row r="8007">
          <cell r="A8007" t="str">
            <v>HENDRIK TENS</v>
          </cell>
          <cell r="B8007">
            <v>8484</v>
          </cell>
        </row>
        <row r="8008">
          <cell r="A8008" t="str">
            <v>KATRIN TENSING</v>
          </cell>
          <cell r="B8008">
            <v>3427</v>
          </cell>
        </row>
        <row r="8009">
          <cell r="A8009" t="str">
            <v>ROGER TEOR</v>
          </cell>
          <cell r="B8009">
            <v>3479</v>
          </cell>
        </row>
        <row r="8010">
          <cell r="A8010" t="str">
            <v>DMITRI TEPLUHHOV</v>
          </cell>
          <cell r="B8010">
            <v>8329</v>
          </cell>
        </row>
        <row r="8011">
          <cell r="A8011" t="str">
            <v>MARI TEPPAN</v>
          </cell>
          <cell r="B8011">
            <v>5207</v>
          </cell>
        </row>
        <row r="8012">
          <cell r="A8012" t="str">
            <v>ERKO STEN TEPPO</v>
          </cell>
          <cell r="B8012">
            <v>7436</v>
          </cell>
        </row>
        <row r="8013">
          <cell r="A8013" t="str">
            <v>HEIGO TEPPO</v>
          </cell>
          <cell r="B8013">
            <v>1772</v>
          </cell>
        </row>
        <row r="8014">
          <cell r="A8014" t="str">
            <v>TUULI TEPPO</v>
          </cell>
          <cell r="B8014">
            <v>4570</v>
          </cell>
        </row>
        <row r="8015">
          <cell r="A8015" t="str">
            <v>IIRI TERA</v>
          </cell>
          <cell r="B8015">
            <v>4571</v>
          </cell>
        </row>
        <row r="8016">
          <cell r="A8016" t="str">
            <v>KALVI TERAS</v>
          </cell>
          <cell r="B8016">
            <v>10087</v>
          </cell>
        </row>
        <row r="8017">
          <cell r="A8017" t="str">
            <v>KRISTJAN TERAS</v>
          </cell>
          <cell r="B8017">
            <v>1889</v>
          </cell>
        </row>
        <row r="8018">
          <cell r="A8018" t="str">
            <v>TIMO TERAS</v>
          </cell>
          <cell r="B8018">
            <v>1350</v>
          </cell>
        </row>
        <row r="8019">
          <cell r="A8019" t="str">
            <v>SERGEI TERASKEVITŠ</v>
          </cell>
          <cell r="B8019">
            <v>6246</v>
          </cell>
        </row>
        <row r="8020">
          <cell r="A8020" t="str">
            <v>JAN-HELDER TERASMA</v>
          </cell>
          <cell r="B8020">
            <v>4850</v>
          </cell>
        </row>
        <row r="8021">
          <cell r="A8021" t="str">
            <v>HANS TERASMAA</v>
          </cell>
          <cell r="B8021">
            <v>9185</v>
          </cell>
        </row>
        <row r="8022">
          <cell r="A8022" t="str">
            <v>MINNA LYDIA TERASMAA</v>
          </cell>
          <cell r="B8022">
            <v>7899</v>
          </cell>
        </row>
        <row r="8023">
          <cell r="A8023" t="str">
            <v>TANEL TERASMAA</v>
          </cell>
          <cell r="B8023">
            <v>4572</v>
          </cell>
        </row>
        <row r="8024">
          <cell r="A8024" t="str">
            <v>ANU TERASMEES</v>
          </cell>
          <cell r="B8024">
            <v>2416</v>
          </cell>
        </row>
        <row r="8025">
          <cell r="A8025" t="str">
            <v>LADA TEREŠTŠENKOVA</v>
          </cell>
          <cell r="B8025">
            <v>5396</v>
          </cell>
        </row>
        <row r="8026">
          <cell r="A8026" t="str">
            <v>ANDREI TEREHOV</v>
          </cell>
          <cell r="B8026">
            <v>8020</v>
          </cell>
        </row>
        <row r="8027">
          <cell r="A8027" t="str">
            <v>NIKITA TEREHOV</v>
          </cell>
          <cell r="B8027">
            <v>5110</v>
          </cell>
        </row>
        <row r="8028">
          <cell r="A8028" t="str">
            <v>LADA TEREHOVA</v>
          </cell>
          <cell r="B8028">
            <v>7121</v>
          </cell>
        </row>
        <row r="8029">
          <cell r="A8029" t="str">
            <v>ZLATA TEREHOVA</v>
          </cell>
          <cell r="B8029">
            <v>8006</v>
          </cell>
        </row>
        <row r="8030">
          <cell r="A8030" t="str">
            <v>KIRILS TERENTJEVS</v>
          </cell>
          <cell r="B8030">
            <v>9089</v>
          </cell>
        </row>
        <row r="8031">
          <cell r="A8031" t="str">
            <v>TÕNU TEREPING</v>
          </cell>
          <cell r="B8031">
            <v>7397</v>
          </cell>
        </row>
        <row r="8032">
          <cell r="A8032" t="str">
            <v>ARTJOM TERESHTHSENKO</v>
          </cell>
          <cell r="B8032">
            <v>4573</v>
          </cell>
        </row>
        <row r="8033">
          <cell r="A8033" t="str">
            <v>KAUR-MATTIAS TERN</v>
          </cell>
          <cell r="B8033">
            <v>9519</v>
          </cell>
        </row>
        <row r="8034">
          <cell r="A8034" t="str">
            <v>MURAT TERZI</v>
          </cell>
          <cell r="B8034">
            <v>9805</v>
          </cell>
        </row>
        <row r="8035">
          <cell r="A8035" t="str">
            <v>TAAVI TESKA</v>
          </cell>
          <cell r="B8035">
            <v>879</v>
          </cell>
        </row>
        <row r="8036">
          <cell r="A8036" t="str">
            <v>RIIN TEUGIJAS</v>
          </cell>
          <cell r="B8036">
            <v>3473</v>
          </cell>
        </row>
        <row r="8037">
          <cell r="A8037" t="str">
            <v>ROMAN TEULI</v>
          </cell>
          <cell r="B8037">
            <v>4574</v>
          </cell>
        </row>
        <row r="8038">
          <cell r="A8038" t="str">
            <v>ANDREAS THÖRNQVIST</v>
          </cell>
          <cell r="B8038">
            <v>2218</v>
          </cell>
        </row>
        <row r="8039">
          <cell r="A8039" t="str">
            <v>KERMO THEMAS</v>
          </cell>
          <cell r="B8039">
            <v>4575</v>
          </cell>
        </row>
        <row r="8040">
          <cell r="A8040" t="str">
            <v>RINALDO THOMSON</v>
          </cell>
          <cell r="B8040">
            <v>2978</v>
          </cell>
        </row>
        <row r="8041">
          <cell r="A8041" t="str">
            <v>KAI THORNBECH</v>
          </cell>
          <cell r="B8041">
            <v>91</v>
          </cell>
        </row>
        <row r="8042">
          <cell r="A8042" t="str">
            <v>OLLI TIANEN</v>
          </cell>
          <cell r="B8042">
            <v>8342</v>
          </cell>
        </row>
        <row r="8043">
          <cell r="A8043" t="str">
            <v>ALDO TIGANE</v>
          </cell>
          <cell r="B8043">
            <v>10021</v>
          </cell>
        </row>
        <row r="8044">
          <cell r="A8044" t="str">
            <v>ALDU TIGANE</v>
          </cell>
          <cell r="B8044">
            <v>8299</v>
          </cell>
        </row>
        <row r="8045">
          <cell r="A8045" t="str">
            <v>HELERIIN TIGANE</v>
          </cell>
          <cell r="B8045">
            <v>1598</v>
          </cell>
        </row>
        <row r="8046">
          <cell r="A8046" t="str">
            <v>ÜLLAR TIHANE</v>
          </cell>
          <cell r="B8046">
            <v>3456</v>
          </cell>
        </row>
        <row r="8047">
          <cell r="A8047" t="str">
            <v>KARLI TIHANE</v>
          </cell>
          <cell r="B8047">
            <v>9155</v>
          </cell>
        </row>
        <row r="8048">
          <cell r="A8048" t="str">
            <v>RAIDO TIHANE</v>
          </cell>
          <cell r="B8048">
            <v>5323</v>
          </cell>
        </row>
        <row r="8049">
          <cell r="A8049" t="str">
            <v>ANDREI TIHHIMIROV</v>
          </cell>
          <cell r="B8049">
            <v>1810</v>
          </cell>
        </row>
        <row r="8050">
          <cell r="A8050" t="str">
            <v>TARASS TIHHOMIROV</v>
          </cell>
          <cell r="B8050">
            <v>7395</v>
          </cell>
        </row>
        <row r="8051">
          <cell r="A8051" t="str">
            <v>ALEKSANDR TIHHONOV</v>
          </cell>
          <cell r="B8051">
            <v>3901</v>
          </cell>
        </row>
        <row r="8052">
          <cell r="A8052" t="str">
            <v>IRINA TIHHONOVA</v>
          </cell>
          <cell r="B8052">
            <v>125</v>
          </cell>
        </row>
        <row r="8053">
          <cell r="A8053" t="str">
            <v>JULIA TIHHONOVA</v>
          </cell>
          <cell r="B8053">
            <v>1595</v>
          </cell>
        </row>
        <row r="8054">
          <cell r="A8054" t="str">
            <v>TÕNIS TIHO</v>
          </cell>
          <cell r="B8054">
            <v>7406</v>
          </cell>
        </row>
        <row r="8055">
          <cell r="A8055" t="str">
            <v>PEETER TIIDEMANN</v>
          </cell>
          <cell r="B8055">
            <v>9663</v>
          </cell>
        </row>
        <row r="8056">
          <cell r="A8056" t="str">
            <v>TARVO TIIGISTE</v>
          </cell>
          <cell r="B8056">
            <v>1293</v>
          </cell>
        </row>
        <row r="8057">
          <cell r="A8057" t="str">
            <v>ANDREAS TIIK</v>
          </cell>
          <cell r="B8057">
            <v>4576</v>
          </cell>
        </row>
        <row r="8058">
          <cell r="A8058" t="str">
            <v>KAIDU TIIRIK</v>
          </cell>
          <cell r="B8058">
            <v>8763</v>
          </cell>
        </row>
        <row r="8059">
          <cell r="A8059" t="str">
            <v>TERJE TIIRIK</v>
          </cell>
          <cell r="B8059">
            <v>2388</v>
          </cell>
        </row>
        <row r="8060">
          <cell r="A8060" t="str">
            <v>TARGO TIIRMAA</v>
          </cell>
          <cell r="B8060">
            <v>1423</v>
          </cell>
        </row>
        <row r="8061">
          <cell r="A8061" t="str">
            <v>TAURI TIIRMAA</v>
          </cell>
          <cell r="B8061">
            <v>1432</v>
          </cell>
        </row>
        <row r="8062">
          <cell r="A8062" t="str">
            <v>RAUNO TIISEL</v>
          </cell>
          <cell r="B8062">
            <v>2977</v>
          </cell>
        </row>
        <row r="8063">
          <cell r="A8063" t="str">
            <v>ELMUR TIISLÄR</v>
          </cell>
          <cell r="B8063">
            <v>9554</v>
          </cell>
        </row>
        <row r="8064">
          <cell r="A8064" t="str">
            <v>KAUR TIISLER</v>
          </cell>
          <cell r="B8064">
            <v>2667</v>
          </cell>
        </row>
        <row r="8065">
          <cell r="A8065" t="str">
            <v>MARJU TIISLER</v>
          </cell>
          <cell r="B8065">
            <v>3725</v>
          </cell>
        </row>
        <row r="8066">
          <cell r="A8066" t="str">
            <v>MARKO TIISLER</v>
          </cell>
          <cell r="B8066">
            <v>9507</v>
          </cell>
        </row>
        <row r="8067">
          <cell r="A8067" t="str">
            <v>MARTEN TIISLER</v>
          </cell>
          <cell r="B8067">
            <v>8809</v>
          </cell>
        </row>
        <row r="8068">
          <cell r="A8068" t="str">
            <v>ART HENDRIK TIIT</v>
          </cell>
          <cell r="B8068">
            <v>5447</v>
          </cell>
        </row>
        <row r="8069">
          <cell r="A8069" t="str">
            <v>MARKO TIITEL</v>
          </cell>
          <cell r="B8069">
            <v>1893</v>
          </cell>
        </row>
        <row r="8070">
          <cell r="A8070" t="str">
            <v>JEKATERINA TIITS</v>
          </cell>
          <cell r="B8070">
            <v>5962</v>
          </cell>
        </row>
        <row r="8071">
          <cell r="A8071" t="str">
            <v>PEEP TIITS</v>
          </cell>
          <cell r="B8071">
            <v>5347</v>
          </cell>
        </row>
        <row r="8072">
          <cell r="A8072" t="str">
            <v>TARMO TIITS</v>
          </cell>
          <cell r="B8072">
            <v>3008</v>
          </cell>
        </row>
        <row r="8073">
          <cell r="A8073" t="str">
            <v>MARKO TIITSO</v>
          </cell>
          <cell r="B8073">
            <v>2153</v>
          </cell>
        </row>
        <row r="8074">
          <cell r="A8074" t="str">
            <v>TUOMAS TIITTALA</v>
          </cell>
          <cell r="B8074">
            <v>947</v>
          </cell>
        </row>
        <row r="8075">
          <cell r="A8075" t="str">
            <v>KEVIN TIITUS</v>
          </cell>
          <cell r="B8075">
            <v>4577</v>
          </cell>
        </row>
        <row r="8076">
          <cell r="A8076" t="str">
            <v>MAGNUS TIITUS</v>
          </cell>
          <cell r="B8076">
            <v>2866</v>
          </cell>
        </row>
        <row r="8077">
          <cell r="A8077" t="str">
            <v>AIN TIIVAS</v>
          </cell>
          <cell r="B8077">
            <v>3263</v>
          </cell>
        </row>
        <row r="8078">
          <cell r="A8078" t="str">
            <v>SIIM TIIVAS</v>
          </cell>
          <cell r="B8078">
            <v>4578</v>
          </cell>
        </row>
        <row r="8079">
          <cell r="A8079" t="str">
            <v>KATRIN TIIVEL</v>
          </cell>
          <cell r="B8079">
            <v>8298</v>
          </cell>
        </row>
        <row r="8080">
          <cell r="A8080" t="str">
            <v>REIKO TIKENBERG</v>
          </cell>
          <cell r="B8080">
            <v>10757</v>
          </cell>
        </row>
        <row r="8081">
          <cell r="A8081" t="str">
            <v>TENNO TIKENBERG</v>
          </cell>
          <cell r="B8081">
            <v>10612</v>
          </cell>
        </row>
        <row r="8082">
          <cell r="A8082" t="str">
            <v>TIIT TIKERBER</v>
          </cell>
          <cell r="B8082">
            <v>4980</v>
          </cell>
        </row>
        <row r="8083">
          <cell r="A8083" t="str">
            <v>STEPAN TIKHINYA</v>
          </cell>
          <cell r="B8083">
            <v>4082</v>
          </cell>
        </row>
        <row r="8084">
          <cell r="A8084" t="str">
            <v>ANNIKA TIKK</v>
          </cell>
          <cell r="B8084">
            <v>126</v>
          </cell>
        </row>
        <row r="8085">
          <cell r="A8085" t="str">
            <v>EMIL TIKK</v>
          </cell>
          <cell r="B8085">
            <v>6165</v>
          </cell>
        </row>
        <row r="8086">
          <cell r="A8086" t="str">
            <v>ALI TIKKANEN</v>
          </cell>
          <cell r="B8086">
            <v>1128</v>
          </cell>
        </row>
        <row r="8087">
          <cell r="A8087" t="str">
            <v>LAURA TIKKER</v>
          </cell>
          <cell r="B8087">
            <v>10318</v>
          </cell>
        </row>
        <row r="8088">
          <cell r="A8088" t="str">
            <v>TAVO TIKKO</v>
          </cell>
          <cell r="B8088">
            <v>4579</v>
          </cell>
        </row>
        <row r="8089">
          <cell r="A8089" t="str">
            <v>PARVIN TIKS</v>
          </cell>
          <cell r="B8089">
            <v>7680</v>
          </cell>
        </row>
        <row r="8090">
          <cell r="A8090" t="str">
            <v>TANEL TILK</v>
          </cell>
          <cell r="B8090">
            <v>1361</v>
          </cell>
        </row>
        <row r="8091">
          <cell r="A8091" t="str">
            <v>URSEL TILK</v>
          </cell>
          <cell r="B8091">
            <v>8549</v>
          </cell>
        </row>
        <row r="8092">
          <cell r="A8092" t="str">
            <v>HEINI TILTS</v>
          </cell>
          <cell r="B8092">
            <v>2121</v>
          </cell>
        </row>
        <row r="8093">
          <cell r="A8093" t="str">
            <v>GEORG TIMAFALVI</v>
          </cell>
          <cell r="B8093">
            <v>10092</v>
          </cell>
        </row>
        <row r="8094">
          <cell r="A8094" t="str">
            <v>ROBIN TIMM</v>
          </cell>
          <cell r="B8094">
            <v>8112</v>
          </cell>
        </row>
        <row r="8095">
          <cell r="A8095" t="str">
            <v>TAAVI TIMM</v>
          </cell>
          <cell r="B8095">
            <v>5606</v>
          </cell>
        </row>
        <row r="8096">
          <cell r="A8096" t="str">
            <v>RAIMO TIMMER</v>
          </cell>
          <cell r="B8096">
            <v>1096</v>
          </cell>
        </row>
        <row r="8097">
          <cell r="A8097" t="str">
            <v>TANEL TIMMUSK</v>
          </cell>
          <cell r="B8097">
            <v>10105</v>
          </cell>
        </row>
        <row r="8098">
          <cell r="A8098" t="str">
            <v>MIHHAIL TIMOFEEV</v>
          </cell>
          <cell r="B8098">
            <v>10383</v>
          </cell>
        </row>
        <row r="8099">
          <cell r="A8099" t="str">
            <v>ILJA TIMOFEJEV</v>
          </cell>
          <cell r="B8099">
            <v>2317</v>
          </cell>
        </row>
        <row r="8100">
          <cell r="A8100" t="str">
            <v>MIHHAIL TIMOFEJEV</v>
          </cell>
          <cell r="B8100">
            <v>7156</v>
          </cell>
        </row>
        <row r="8101">
          <cell r="A8101" t="str">
            <v>VALERI TIMOFEJEV</v>
          </cell>
          <cell r="B8101">
            <v>1919</v>
          </cell>
        </row>
        <row r="8102">
          <cell r="A8102" t="str">
            <v>DARINA TIMOFEJEVA</v>
          </cell>
          <cell r="B8102">
            <v>7608</v>
          </cell>
        </row>
        <row r="8103">
          <cell r="A8103" t="str">
            <v>TATJANA TIMOHHINA</v>
          </cell>
          <cell r="B8103">
            <v>127</v>
          </cell>
        </row>
        <row r="8104">
          <cell r="A8104" t="str">
            <v>MAUNO TIMONEN</v>
          </cell>
          <cell r="B8104">
            <v>1250</v>
          </cell>
        </row>
        <row r="8105">
          <cell r="A8105" t="str">
            <v>ANDREI TIMOSHIN</v>
          </cell>
          <cell r="B8105">
            <v>8841</v>
          </cell>
        </row>
        <row r="8106">
          <cell r="A8106" t="str">
            <v>TAUNO TINITS</v>
          </cell>
          <cell r="B8106">
            <v>8538</v>
          </cell>
        </row>
        <row r="8107">
          <cell r="A8107" t="str">
            <v>ANDRE TINNURI</v>
          </cell>
          <cell r="B8107">
            <v>2674</v>
          </cell>
        </row>
        <row r="8108">
          <cell r="A8108" t="str">
            <v>BRUNO TINNURI</v>
          </cell>
          <cell r="B8108">
            <v>3291</v>
          </cell>
        </row>
        <row r="8109">
          <cell r="A8109" t="str">
            <v>EMMA PORTIA TINNURI</v>
          </cell>
          <cell r="B8109">
            <v>10476</v>
          </cell>
        </row>
        <row r="8110">
          <cell r="A8110" t="str">
            <v>HANDO TINT</v>
          </cell>
          <cell r="B8110">
            <v>342</v>
          </cell>
        </row>
        <row r="8111">
          <cell r="A8111" t="str">
            <v>BERT TIPPI</v>
          </cell>
          <cell r="B8111">
            <v>2168</v>
          </cell>
        </row>
        <row r="8112">
          <cell r="A8112" t="str">
            <v>KRISTINE TIRANE</v>
          </cell>
          <cell r="B8112">
            <v>2303</v>
          </cell>
        </row>
        <row r="8113">
          <cell r="A8113" t="str">
            <v>TANEL TIREL</v>
          </cell>
          <cell r="B8113">
            <v>490</v>
          </cell>
        </row>
        <row r="8114">
          <cell r="A8114" t="str">
            <v>KRISTI TIRMASTE</v>
          </cell>
          <cell r="B8114">
            <v>3903</v>
          </cell>
        </row>
        <row r="8115">
          <cell r="A8115" t="str">
            <v>TRIINU TIRMASTE</v>
          </cell>
          <cell r="B8115">
            <v>3902</v>
          </cell>
        </row>
        <row r="8116">
          <cell r="A8116" t="str">
            <v>NILS TIRS</v>
          </cell>
          <cell r="B8116">
            <v>2480</v>
          </cell>
        </row>
        <row r="8117">
          <cell r="A8117" t="str">
            <v>VITALII TISHCHENKO</v>
          </cell>
          <cell r="B8117">
            <v>5651</v>
          </cell>
        </row>
        <row r="8118">
          <cell r="A8118" t="str">
            <v>JEVGENI TISHIN</v>
          </cell>
          <cell r="B8118">
            <v>3032</v>
          </cell>
        </row>
        <row r="8119">
          <cell r="A8119" t="str">
            <v>RENATE TISJAKA</v>
          </cell>
          <cell r="B8119">
            <v>2563</v>
          </cell>
        </row>
        <row r="8120">
          <cell r="A8120" t="str">
            <v>ALEKSANDRA TITIEVSKAJA</v>
          </cell>
          <cell r="B8120">
            <v>7816</v>
          </cell>
        </row>
        <row r="8121">
          <cell r="A8121" t="str">
            <v>LARISSA TITIEVSKAJA</v>
          </cell>
          <cell r="B8121">
            <v>9757</v>
          </cell>
        </row>
        <row r="8122">
          <cell r="A8122" t="str">
            <v>ALEXEI TITIEVSKI</v>
          </cell>
          <cell r="B8122">
            <v>9750</v>
          </cell>
        </row>
        <row r="8123">
          <cell r="A8123" t="str">
            <v>MAKSIM TITIEVSKII</v>
          </cell>
          <cell r="B8123">
            <v>7815</v>
          </cell>
        </row>
        <row r="8124">
          <cell r="A8124" t="str">
            <v>MAREK TITO</v>
          </cell>
          <cell r="B8124">
            <v>8642</v>
          </cell>
        </row>
        <row r="8125">
          <cell r="A8125" t="str">
            <v>ANASTASIA TITOV</v>
          </cell>
          <cell r="B8125">
            <v>8225</v>
          </cell>
        </row>
        <row r="8126">
          <cell r="A8126" t="str">
            <v>ROMAN TITOV</v>
          </cell>
          <cell r="B8126">
            <v>9770</v>
          </cell>
        </row>
        <row r="8127">
          <cell r="A8127" t="str">
            <v>DMITRI TIUKIN</v>
          </cell>
          <cell r="B8127">
            <v>5608</v>
          </cell>
        </row>
        <row r="8128">
          <cell r="A8128" t="str">
            <v>GRIGORI TJAPKIN</v>
          </cell>
          <cell r="B8128">
            <v>1765</v>
          </cell>
        </row>
        <row r="8129">
          <cell r="A8129" t="str">
            <v>ARTURS TJURINS</v>
          </cell>
          <cell r="B8129">
            <v>8060</v>
          </cell>
        </row>
        <row r="8130">
          <cell r="A8130" t="str">
            <v>DANIL TJUTIN</v>
          </cell>
          <cell r="B8130">
            <v>3622</v>
          </cell>
        </row>
        <row r="8131">
          <cell r="A8131" t="str">
            <v>EDVARD TKATŠ</v>
          </cell>
          <cell r="B8131">
            <v>8690</v>
          </cell>
        </row>
        <row r="8132">
          <cell r="A8132" t="str">
            <v>MERILIN TKATSHENKO</v>
          </cell>
          <cell r="B8132">
            <v>6098</v>
          </cell>
        </row>
        <row r="8133">
          <cell r="A8133" t="str">
            <v>TARVO TOBBI</v>
          </cell>
          <cell r="B8133">
            <v>2116</v>
          </cell>
        </row>
        <row r="8134">
          <cell r="A8134" t="str">
            <v>ARMAND TOBI</v>
          </cell>
          <cell r="B8134">
            <v>10431</v>
          </cell>
        </row>
        <row r="8135">
          <cell r="A8135" t="str">
            <v>MARKO TOBI</v>
          </cell>
          <cell r="B8135">
            <v>10432</v>
          </cell>
        </row>
        <row r="8136">
          <cell r="A8136" t="str">
            <v>MORRIS TOBI</v>
          </cell>
          <cell r="B8136">
            <v>9171</v>
          </cell>
        </row>
        <row r="8137">
          <cell r="A8137" t="str">
            <v>ANDRES TOBRE</v>
          </cell>
          <cell r="B8137">
            <v>2018</v>
          </cell>
        </row>
        <row r="8138">
          <cell r="A8138" t="str">
            <v>KARINA TODI</v>
          </cell>
          <cell r="B8138">
            <v>1841</v>
          </cell>
        </row>
        <row r="8139">
          <cell r="A8139" t="str">
            <v>ELENA TODIRKA</v>
          </cell>
          <cell r="B8139">
            <v>8147</v>
          </cell>
        </row>
        <row r="8140">
          <cell r="A8140" t="str">
            <v>TADAS TODOVAITES</v>
          </cell>
          <cell r="B8140">
            <v>5459</v>
          </cell>
        </row>
        <row r="8141">
          <cell r="A8141" t="str">
            <v>TANEL TOHT</v>
          </cell>
          <cell r="B8141">
            <v>10373</v>
          </cell>
        </row>
        <row r="8142">
          <cell r="A8142" t="str">
            <v>JAAN TOHVER</v>
          </cell>
          <cell r="B8142">
            <v>2482</v>
          </cell>
        </row>
        <row r="8143">
          <cell r="A8143" t="str">
            <v>ANNIKA TOIGER</v>
          </cell>
          <cell r="B8143">
            <v>8214</v>
          </cell>
        </row>
        <row r="8144">
          <cell r="A8144" t="str">
            <v>EDGAR TOIMETAJA</v>
          </cell>
          <cell r="B8144">
            <v>4714</v>
          </cell>
        </row>
        <row r="8145">
          <cell r="A8145" t="str">
            <v>RAINER TOKKO</v>
          </cell>
          <cell r="B8145">
            <v>8933</v>
          </cell>
        </row>
        <row r="8146">
          <cell r="A8146" t="str">
            <v>ALEKSANDRS TOKMACOVS</v>
          </cell>
          <cell r="B8146">
            <v>1828</v>
          </cell>
        </row>
        <row r="8147">
          <cell r="A8147" t="str">
            <v>VIKTORS TOLKACEVS</v>
          </cell>
          <cell r="B8147">
            <v>1320</v>
          </cell>
        </row>
        <row r="8148">
          <cell r="A8148" t="str">
            <v>DARJA TOLKACIOVA</v>
          </cell>
          <cell r="B8148">
            <v>10454</v>
          </cell>
        </row>
        <row r="8149">
          <cell r="A8149" t="str">
            <v>NIKOLAI TOLKATSHOV</v>
          </cell>
          <cell r="B8149">
            <v>2770</v>
          </cell>
        </row>
        <row r="8150">
          <cell r="A8150" t="str">
            <v>KALEV TOLLIMÄGI</v>
          </cell>
          <cell r="B8150">
            <v>9538</v>
          </cell>
        </row>
        <row r="8151">
          <cell r="A8151" t="str">
            <v>KRISTINA TOLPÕGO</v>
          </cell>
          <cell r="B8151">
            <v>3651</v>
          </cell>
        </row>
        <row r="8152">
          <cell r="A8152" t="str">
            <v>ALEXANDRA TOLSTIKOVA</v>
          </cell>
          <cell r="B8152">
            <v>5460</v>
          </cell>
        </row>
        <row r="8153">
          <cell r="A8153" t="str">
            <v>SERGEI TOMASHEVITS</v>
          </cell>
          <cell r="B8153">
            <v>4027</v>
          </cell>
        </row>
        <row r="8154">
          <cell r="A8154" t="str">
            <v>HENRY TOMBAK</v>
          </cell>
          <cell r="B8154">
            <v>9038</v>
          </cell>
        </row>
        <row r="8155">
          <cell r="A8155" t="str">
            <v>RAIN TOMBAK</v>
          </cell>
          <cell r="B8155">
            <v>5965</v>
          </cell>
        </row>
        <row r="8156">
          <cell r="A8156" t="str">
            <v>TIMO TOMBAK</v>
          </cell>
          <cell r="B8156">
            <v>5153</v>
          </cell>
        </row>
        <row r="8157">
          <cell r="A8157" t="str">
            <v>GREETE TOMBERG</v>
          </cell>
          <cell r="B8157">
            <v>1441</v>
          </cell>
        </row>
        <row r="8158">
          <cell r="A8158" t="str">
            <v>OLIVER TOMBERG</v>
          </cell>
          <cell r="B8158">
            <v>3904</v>
          </cell>
        </row>
        <row r="8159">
          <cell r="A8159" t="str">
            <v>TOIVO TOMILIN</v>
          </cell>
          <cell r="B8159">
            <v>5071</v>
          </cell>
        </row>
        <row r="8160">
          <cell r="A8160" t="str">
            <v>JAN KENNETH TOMING</v>
          </cell>
          <cell r="B8160">
            <v>7461</v>
          </cell>
        </row>
        <row r="8161">
          <cell r="A8161" t="str">
            <v>KEVIN TOMING</v>
          </cell>
          <cell r="B8161">
            <v>2947</v>
          </cell>
        </row>
        <row r="8162">
          <cell r="A8162" t="str">
            <v>LIINA TOMING</v>
          </cell>
          <cell r="B8162">
            <v>7810</v>
          </cell>
        </row>
        <row r="8163">
          <cell r="A8163" t="str">
            <v>RICHARD TOMING</v>
          </cell>
          <cell r="B8163">
            <v>7344</v>
          </cell>
        </row>
        <row r="8164">
          <cell r="A8164" t="str">
            <v>TOOMAS TOMING</v>
          </cell>
          <cell r="B8164">
            <v>4760</v>
          </cell>
        </row>
        <row r="8165">
          <cell r="A8165" t="str">
            <v>MIKK TOMINGAS</v>
          </cell>
          <cell r="B8165">
            <v>9716</v>
          </cell>
        </row>
        <row r="8166">
          <cell r="A8166" t="str">
            <v>SANDER TOMINGAS</v>
          </cell>
          <cell r="B8166">
            <v>9870</v>
          </cell>
        </row>
        <row r="8167">
          <cell r="A8167" t="str">
            <v>SIIM TOMINGAS</v>
          </cell>
          <cell r="B8167">
            <v>9871</v>
          </cell>
        </row>
        <row r="8168">
          <cell r="A8168" t="str">
            <v>KARIINA TOMMIK</v>
          </cell>
          <cell r="B8168">
            <v>4580</v>
          </cell>
        </row>
        <row r="8169">
          <cell r="A8169" t="str">
            <v>MARKUS ERIK TOMMULA</v>
          </cell>
          <cell r="B8169">
            <v>7766</v>
          </cell>
        </row>
        <row r="8170">
          <cell r="A8170" t="str">
            <v>GERT TOMP</v>
          </cell>
          <cell r="B8170">
            <v>3719</v>
          </cell>
        </row>
        <row r="8171">
          <cell r="A8171" t="str">
            <v>KÄRT TOMP</v>
          </cell>
          <cell r="B8171">
            <v>4715</v>
          </cell>
        </row>
        <row r="8172">
          <cell r="A8172" t="str">
            <v>TARVI TOMS</v>
          </cell>
          <cell r="B8172">
            <v>4939</v>
          </cell>
        </row>
        <row r="8173">
          <cell r="A8173" t="str">
            <v>MIKK TOMSON</v>
          </cell>
          <cell r="B8173">
            <v>8282</v>
          </cell>
        </row>
        <row r="8174">
          <cell r="A8174" t="str">
            <v>PRIIT TOMSON</v>
          </cell>
          <cell r="B8174">
            <v>7393</v>
          </cell>
        </row>
        <row r="8175">
          <cell r="A8175" t="str">
            <v>ROLAND TOMSON</v>
          </cell>
          <cell r="B8175">
            <v>9614</v>
          </cell>
        </row>
        <row r="8176">
          <cell r="A8176" t="str">
            <v>TÕNU TOMSON</v>
          </cell>
          <cell r="B8176">
            <v>2436</v>
          </cell>
        </row>
        <row r="8177">
          <cell r="A8177" t="str">
            <v>TÕNU TOMSON</v>
          </cell>
          <cell r="B8177">
            <v>10507</v>
          </cell>
        </row>
        <row r="8178">
          <cell r="A8178" t="str">
            <v>JULIA TONEVITSKAJA</v>
          </cell>
          <cell r="B8178">
            <v>4581</v>
          </cell>
        </row>
        <row r="8179">
          <cell r="A8179" t="str">
            <v>TAISI TONKA</v>
          </cell>
          <cell r="B8179">
            <v>7776</v>
          </cell>
        </row>
        <row r="8180">
          <cell r="A8180" t="str">
            <v>TARVO TONKA</v>
          </cell>
          <cell r="B8180">
            <v>4583</v>
          </cell>
        </row>
        <row r="8181">
          <cell r="A8181" t="str">
            <v>TERJE TONKA</v>
          </cell>
          <cell r="B8181">
            <v>4582</v>
          </cell>
        </row>
        <row r="8182">
          <cell r="A8182" t="str">
            <v>KAIMO TOOM</v>
          </cell>
          <cell r="B8182">
            <v>4716</v>
          </cell>
        </row>
        <row r="8183">
          <cell r="A8183" t="str">
            <v>KASPAR TOOM</v>
          </cell>
          <cell r="B8183">
            <v>5561</v>
          </cell>
        </row>
        <row r="8184">
          <cell r="A8184" t="str">
            <v>KAUR TOOM</v>
          </cell>
          <cell r="B8184">
            <v>5562</v>
          </cell>
        </row>
        <row r="8185">
          <cell r="A8185" t="str">
            <v>KEVIN TOOM</v>
          </cell>
          <cell r="B8185">
            <v>4717</v>
          </cell>
        </row>
        <row r="8186">
          <cell r="A8186" t="str">
            <v>PILLE TOOM</v>
          </cell>
          <cell r="B8186">
            <v>4055</v>
          </cell>
        </row>
        <row r="8187">
          <cell r="A8187" t="str">
            <v>TÕNIS TOOM</v>
          </cell>
          <cell r="B8187">
            <v>4718</v>
          </cell>
        </row>
        <row r="8188">
          <cell r="A8188" t="str">
            <v>TREIEL TOOMAS</v>
          </cell>
          <cell r="B8188">
            <v>9395</v>
          </cell>
        </row>
        <row r="8189">
          <cell r="A8189" t="str">
            <v>HANNO TOOME</v>
          </cell>
          <cell r="B8189">
            <v>4584</v>
          </cell>
        </row>
        <row r="8190">
          <cell r="A8190" t="str">
            <v>JAN TOOME</v>
          </cell>
          <cell r="B8190">
            <v>2443</v>
          </cell>
        </row>
        <row r="8191">
          <cell r="A8191" t="str">
            <v>KARL ROBERT TOOME</v>
          </cell>
          <cell r="B8191">
            <v>9720</v>
          </cell>
        </row>
        <row r="8192">
          <cell r="A8192" t="str">
            <v>PIERRE TOOME</v>
          </cell>
          <cell r="B8192">
            <v>1774</v>
          </cell>
        </row>
        <row r="8193">
          <cell r="A8193" t="str">
            <v>TAAVI TOOMEL</v>
          </cell>
          <cell r="B8193">
            <v>4761</v>
          </cell>
        </row>
        <row r="8194">
          <cell r="A8194" t="str">
            <v>TAAVI TOOMELA</v>
          </cell>
          <cell r="B8194">
            <v>921</v>
          </cell>
        </row>
        <row r="8195">
          <cell r="A8195" t="str">
            <v>ANDRI TOOMEOJA</v>
          </cell>
          <cell r="B8195">
            <v>5662</v>
          </cell>
        </row>
        <row r="8196">
          <cell r="A8196" t="str">
            <v>ANDERO TOOMIK</v>
          </cell>
          <cell r="B8196">
            <v>6151</v>
          </cell>
        </row>
        <row r="8197">
          <cell r="A8197" t="str">
            <v>JANEK TOOMIKAS</v>
          </cell>
          <cell r="B8197">
            <v>7409</v>
          </cell>
        </row>
        <row r="8198">
          <cell r="A8198" t="str">
            <v>ANDREAS TOOMING</v>
          </cell>
          <cell r="B8198">
            <v>9503</v>
          </cell>
        </row>
        <row r="8199">
          <cell r="A8199" t="str">
            <v>JANAR TOOMING</v>
          </cell>
          <cell r="B8199">
            <v>3364</v>
          </cell>
        </row>
        <row r="8200">
          <cell r="A8200" t="str">
            <v>ROBI TOOMING</v>
          </cell>
          <cell r="B8200">
            <v>8867</v>
          </cell>
        </row>
        <row r="8201">
          <cell r="A8201" t="str">
            <v>DIANA TOOMINGAS</v>
          </cell>
          <cell r="B8201">
            <v>7838</v>
          </cell>
        </row>
        <row r="8202">
          <cell r="A8202" t="str">
            <v>ANDRE-KRISTOFER TOOMJÕE</v>
          </cell>
          <cell r="B8202">
            <v>1179</v>
          </cell>
        </row>
        <row r="8203">
          <cell r="A8203" t="str">
            <v>KEN-KRISTJAN TOOMJÕE</v>
          </cell>
          <cell r="B8203">
            <v>1178</v>
          </cell>
        </row>
        <row r="8204">
          <cell r="A8204" t="str">
            <v>PRIIT TOOMJÕE</v>
          </cell>
          <cell r="B8204">
            <v>275</v>
          </cell>
        </row>
        <row r="8205">
          <cell r="A8205" t="str">
            <v>MARTA TOOMLA</v>
          </cell>
          <cell r="B8205">
            <v>4585</v>
          </cell>
        </row>
        <row r="8206">
          <cell r="A8206" t="str">
            <v>RIIVO TOOMLA</v>
          </cell>
          <cell r="B8206">
            <v>276</v>
          </cell>
        </row>
        <row r="8207">
          <cell r="A8207" t="str">
            <v>STEN TOOMLA</v>
          </cell>
          <cell r="B8207">
            <v>919</v>
          </cell>
        </row>
        <row r="8208">
          <cell r="A8208" t="str">
            <v>TANEL TOOMLA</v>
          </cell>
          <cell r="B8208">
            <v>8546</v>
          </cell>
        </row>
        <row r="8209">
          <cell r="A8209" t="str">
            <v>LEMMIT TOOMRA</v>
          </cell>
          <cell r="B8209">
            <v>306</v>
          </cell>
        </row>
        <row r="8210">
          <cell r="A8210" t="str">
            <v>ELE-RIIN TOOMSALU</v>
          </cell>
          <cell r="B8210">
            <v>4762</v>
          </cell>
        </row>
        <row r="8211">
          <cell r="A8211" t="str">
            <v>KRISTIINA TOOTS</v>
          </cell>
          <cell r="B8211">
            <v>4586</v>
          </cell>
        </row>
        <row r="8212">
          <cell r="A8212" t="str">
            <v>MIKK TOOTSI</v>
          </cell>
          <cell r="B8212">
            <v>2654</v>
          </cell>
        </row>
        <row r="8213">
          <cell r="A8213" t="str">
            <v>DMITRI TOPILSKI</v>
          </cell>
          <cell r="B8213">
            <v>5581</v>
          </cell>
        </row>
        <row r="8214">
          <cell r="A8214" t="str">
            <v>DAVID TORGAŠOV</v>
          </cell>
          <cell r="B8214">
            <v>9905</v>
          </cell>
        </row>
        <row r="8215">
          <cell r="A8215" t="str">
            <v>EERIK TORMIS</v>
          </cell>
          <cell r="B8215">
            <v>4851</v>
          </cell>
        </row>
        <row r="8216">
          <cell r="A8216" t="str">
            <v>JAANIKA TOROKVEI</v>
          </cell>
          <cell r="B8216">
            <v>8766</v>
          </cell>
        </row>
        <row r="8217">
          <cell r="A8217" t="str">
            <v>ALEKSANDR TORPASHOV</v>
          </cell>
          <cell r="B8217">
            <v>4587</v>
          </cell>
        </row>
        <row r="8218">
          <cell r="A8218" t="str">
            <v>MARKO TOSSO</v>
          </cell>
          <cell r="B8218">
            <v>906</v>
          </cell>
        </row>
        <row r="8219">
          <cell r="A8219" t="str">
            <v>SANDER TRAGUNOV</v>
          </cell>
          <cell r="B8219">
            <v>10668</v>
          </cell>
        </row>
        <row r="8220">
          <cell r="A8220" t="str">
            <v>HEIKI TRAKMANN</v>
          </cell>
          <cell r="B8220">
            <v>1007</v>
          </cell>
        </row>
        <row r="8221">
          <cell r="A8221" t="str">
            <v>VEIKO TRAKMANN</v>
          </cell>
          <cell r="B8221">
            <v>873</v>
          </cell>
        </row>
        <row r="8222">
          <cell r="A8222" t="str">
            <v>MIRJAM TRALLMANN</v>
          </cell>
          <cell r="B8222">
            <v>1977</v>
          </cell>
        </row>
        <row r="8223">
          <cell r="A8223" t="str">
            <v>DAM TRAN</v>
          </cell>
          <cell r="B8223">
            <v>9688</v>
          </cell>
        </row>
        <row r="8224">
          <cell r="A8224" t="str">
            <v>NGUYEN THANH TRAN</v>
          </cell>
          <cell r="B8224">
            <v>10655</v>
          </cell>
        </row>
        <row r="8225">
          <cell r="A8225" t="str">
            <v>MIKUS TRAULINŠ</v>
          </cell>
          <cell r="B8225">
            <v>8448</v>
          </cell>
        </row>
        <row r="8226">
          <cell r="A8226" t="str">
            <v>KRISTIINA TRAUMAN</v>
          </cell>
          <cell r="B8226">
            <v>1198</v>
          </cell>
        </row>
        <row r="8227">
          <cell r="A8227" t="str">
            <v>ALEKS TRAUMANN</v>
          </cell>
          <cell r="B8227">
            <v>3056</v>
          </cell>
        </row>
        <row r="8228">
          <cell r="A8228" t="str">
            <v>TÕNU TRAUS</v>
          </cell>
          <cell r="B8228">
            <v>2730</v>
          </cell>
        </row>
        <row r="8229">
          <cell r="A8229" t="str">
            <v>ROMAN TREGUBOV</v>
          </cell>
          <cell r="B8229">
            <v>5987</v>
          </cell>
        </row>
        <row r="8230">
          <cell r="A8230" t="str">
            <v>ANDREI TREHHOV</v>
          </cell>
          <cell r="B8230">
            <v>7593</v>
          </cell>
        </row>
        <row r="8231">
          <cell r="A8231" t="str">
            <v>CAROL TREI</v>
          </cell>
          <cell r="B8231">
            <v>4588</v>
          </cell>
        </row>
        <row r="8232">
          <cell r="A8232" t="str">
            <v>TORMI TREIBERG</v>
          </cell>
          <cell r="B8232">
            <v>9712</v>
          </cell>
        </row>
        <row r="8233">
          <cell r="A8233" t="str">
            <v>TAAVI TREIER</v>
          </cell>
          <cell r="B8233">
            <v>3905</v>
          </cell>
        </row>
        <row r="8234">
          <cell r="A8234" t="str">
            <v>TOOMAS TREIKELDER</v>
          </cell>
          <cell r="B8234">
            <v>4589</v>
          </cell>
        </row>
        <row r="8235">
          <cell r="A8235" t="str">
            <v>EDGAR TREILIN</v>
          </cell>
          <cell r="B8235">
            <v>4056</v>
          </cell>
        </row>
        <row r="8236">
          <cell r="A8236" t="str">
            <v>INDREK TREIMANN</v>
          </cell>
          <cell r="B8236">
            <v>4590</v>
          </cell>
        </row>
        <row r="8237">
          <cell r="A8237" t="str">
            <v>INGRID TREIMANN</v>
          </cell>
          <cell r="B8237">
            <v>4127</v>
          </cell>
        </row>
        <row r="8238">
          <cell r="A8238" t="str">
            <v>KRISTEL TREIMANN</v>
          </cell>
          <cell r="B8238">
            <v>2086</v>
          </cell>
        </row>
        <row r="8239">
          <cell r="A8239" t="str">
            <v>LISANDRA TREIMANN</v>
          </cell>
          <cell r="B8239">
            <v>10279</v>
          </cell>
        </row>
        <row r="8240">
          <cell r="A8240" t="str">
            <v>SANDRA TREIMANN</v>
          </cell>
          <cell r="B8240">
            <v>3393</v>
          </cell>
        </row>
        <row r="8241">
          <cell r="A8241" t="str">
            <v>TARMO TREIMANN</v>
          </cell>
          <cell r="B8241">
            <v>2351</v>
          </cell>
        </row>
        <row r="8242">
          <cell r="A8242" t="str">
            <v>TIIA TREIMANN</v>
          </cell>
          <cell r="B8242">
            <v>4126</v>
          </cell>
        </row>
        <row r="8243">
          <cell r="A8243" t="str">
            <v>IAKOV TRIFONOV</v>
          </cell>
          <cell r="B8243">
            <v>7750</v>
          </cell>
        </row>
        <row r="8244">
          <cell r="A8244" t="str">
            <v>HAJETSKI TRIINU</v>
          </cell>
          <cell r="B8244">
            <v>4870</v>
          </cell>
        </row>
        <row r="8245">
          <cell r="A8245" t="str">
            <v>AIGAR TRIKA</v>
          </cell>
          <cell r="B8245">
            <v>7942</v>
          </cell>
        </row>
        <row r="8246">
          <cell r="A8246" t="str">
            <v>AIVAR TRIKA</v>
          </cell>
          <cell r="B8246">
            <v>7124</v>
          </cell>
        </row>
        <row r="8247">
          <cell r="A8247" t="str">
            <v>ALVAR TRIKA</v>
          </cell>
          <cell r="B8247">
            <v>7197</v>
          </cell>
        </row>
        <row r="8248">
          <cell r="A8248" t="str">
            <v>ANDREAS TRINK</v>
          </cell>
          <cell r="B8248">
            <v>9672</v>
          </cell>
        </row>
        <row r="8249">
          <cell r="A8249" t="str">
            <v>ALEKSANDR TROFIMOV</v>
          </cell>
          <cell r="B8249">
            <v>2125</v>
          </cell>
        </row>
        <row r="8250">
          <cell r="A8250" t="str">
            <v>BB TROFIMOV</v>
          </cell>
          <cell r="B8250">
            <v>1120</v>
          </cell>
        </row>
        <row r="8251">
          <cell r="A8251" t="str">
            <v>ERIK TROFIMOV</v>
          </cell>
          <cell r="B8251">
            <v>8463</v>
          </cell>
        </row>
        <row r="8252">
          <cell r="A8252" t="str">
            <v>GELB TROFIMOV</v>
          </cell>
          <cell r="B8252">
            <v>8446</v>
          </cell>
        </row>
        <row r="8253">
          <cell r="A8253" t="str">
            <v>ILJA TROFIMOV</v>
          </cell>
          <cell r="B8253">
            <v>7920</v>
          </cell>
        </row>
        <row r="8254">
          <cell r="A8254" t="str">
            <v>ELINA TROFIMOVA</v>
          </cell>
          <cell r="B8254">
            <v>10545</v>
          </cell>
        </row>
        <row r="8255">
          <cell r="A8255" t="str">
            <v>JANA TROFIMOVA</v>
          </cell>
          <cell r="B8255">
            <v>1219</v>
          </cell>
        </row>
        <row r="8256">
          <cell r="A8256" t="str">
            <v>STASJA TROFIMOVA</v>
          </cell>
          <cell r="B8256">
            <v>8437</v>
          </cell>
        </row>
        <row r="8257">
          <cell r="A8257" t="str">
            <v>UKU TROLLA</v>
          </cell>
          <cell r="B8257">
            <v>10643</v>
          </cell>
        </row>
        <row r="8258">
          <cell r="A8258" t="str">
            <v>ROMET TROMMEL</v>
          </cell>
          <cell r="B8258">
            <v>7771</v>
          </cell>
        </row>
        <row r="8259">
          <cell r="A8259" t="str">
            <v>TALVO TROON</v>
          </cell>
          <cell r="B8259">
            <v>6282</v>
          </cell>
        </row>
        <row r="8260">
          <cell r="A8260" t="str">
            <v>SIIM TROOST</v>
          </cell>
          <cell r="B8260">
            <v>8383</v>
          </cell>
        </row>
        <row r="8261">
          <cell r="A8261" t="str">
            <v>MADIS TROPP</v>
          </cell>
          <cell r="B8261">
            <v>8771</v>
          </cell>
        </row>
        <row r="8262">
          <cell r="A8262" t="str">
            <v>SIIMON TROPP</v>
          </cell>
          <cell r="B8262">
            <v>1380</v>
          </cell>
        </row>
        <row r="8263">
          <cell r="A8263" t="str">
            <v>JELENA TROSHNEVA</v>
          </cell>
          <cell r="B8263">
            <v>1218</v>
          </cell>
        </row>
        <row r="8264">
          <cell r="A8264" t="str">
            <v>NIKITA TROSIN</v>
          </cell>
          <cell r="B8264">
            <v>7449</v>
          </cell>
        </row>
        <row r="8265">
          <cell r="A8265" t="str">
            <v>JELIZAVETA TROSINA</v>
          </cell>
          <cell r="B8265">
            <v>7940</v>
          </cell>
        </row>
        <row r="8266">
          <cell r="A8266" t="str">
            <v>KRIS-MARKUS TRUŠKE</v>
          </cell>
          <cell r="B8266">
            <v>9771</v>
          </cell>
        </row>
        <row r="8267">
          <cell r="A8267" t="str">
            <v>JEGOR TRUŠKIN</v>
          </cell>
          <cell r="B8267">
            <v>3656</v>
          </cell>
        </row>
        <row r="8268">
          <cell r="A8268" t="str">
            <v>KONSTANTIN TRUBINŠ</v>
          </cell>
          <cell r="B8268">
            <v>7324</v>
          </cell>
        </row>
        <row r="8269">
          <cell r="A8269" t="str">
            <v>TATJANA TRUBKINA</v>
          </cell>
          <cell r="B8269">
            <v>4763</v>
          </cell>
        </row>
        <row r="8270">
          <cell r="A8270" t="str">
            <v>OLGA TRUBNIKOVA</v>
          </cell>
          <cell r="B8270">
            <v>7000</v>
          </cell>
        </row>
        <row r="8271">
          <cell r="A8271" t="str">
            <v>ALEKSANDR TRUSILIN</v>
          </cell>
          <cell r="B8271">
            <v>4591</v>
          </cell>
        </row>
        <row r="8272">
          <cell r="A8272" t="str">
            <v>JELENA TRUSOVA</v>
          </cell>
          <cell r="B8272">
            <v>7590</v>
          </cell>
        </row>
        <row r="8273">
          <cell r="A8273" t="str">
            <v>ERKI TRUSS</v>
          </cell>
          <cell r="B8273">
            <v>10283</v>
          </cell>
        </row>
        <row r="8274">
          <cell r="A8274" t="str">
            <v>INDREK TRUU</v>
          </cell>
          <cell r="B8274">
            <v>6989</v>
          </cell>
        </row>
        <row r="8275">
          <cell r="A8275" t="str">
            <v>MARTIN TRUU</v>
          </cell>
          <cell r="B8275">
            <v>4057</v>
          </cell>
        </row>
        <row r="8276">
          <cell r="A8276" t="str">
            <v>TIMO TRUUMAA</v>
          </cell>
          <cell r="B8276">
            <v>7839</v>
          </cell>
        </row>
        <row r="8277">
          <cell r="A8277" t="str">
            <v>TAAVI TRUUMURE</v>
          </cell>
          <cell r="B8277">
            <v>8123</v>
          </cell>
        </row>
        <row r="8278">
          <cell r="A8278" t="str">
            <v>SANDER TRUVE</v>
          </cell>
          <cell r="B8278">
            <v>1892</v>
          </cell>
        </row>
        <row r="8279">
          <cell r="A8279" t="str">
            <v>EMILIJA TSÖSS</v>
          </cell>
          <cell r="B8279">
            <v>9704</v>
          </cell>
        </row>
        <row r="8280">
          <cell r="A8280" t="str">
            <v>MADIS TSÄKO</v>
          </cell>
          <cell r="B8280">
            <v>2433</v>
          </cell>
        </row>
        <row r="8281">
          <cell r="A8281" t="str">
            <v>MAIA TSÄKO</v>
          </cell>
          <cell r="B8281">
            <v>7688</v>
          </cell>
        </row>
        <row r="8282">
          <cell r="A8282" t="str">
            <v>MIRELL TSÄKO</v>
          </cell>
          <cell r="B8282">
            <v>10084</v>
          </cell>
        </row>
        <row r="8283">
          <cell r="A8283" t="str">
            <v>RAIDO TSÄKO</v>
          </cell>
          <cell r="B8283">
            <v>6281</v>
          </cell>
        </row>
        <row r="8284">
          <cell r="A8284" t="str">
            <v>RAINI TSÄKO</v>
          </cell>
          <cell r="B8284">
            <v>277</v>
          </cell>
        </row>
        <row r="8285">
          <cell r="A8285" t="str">
            <v>ROBI TSÄKO</v>
          </cell>
          <cell r="B8285">
            <v>7296</v>
          </cell>
        </row>
        <row r="8286">
          <cell r="A8286" t="str">
            <v>ROBIN TSÄKO</v>
          </cell>
          <cell r="B8286">
            <v>7233</v>
          </cell>
        </row>
        <row r="8287">
          <cell r="A8287" t="str">
            <v>LEONID TSÕGANOV</v>
          </cell>
          <cell r="B8287">
            <v>4719</v>
          </cell>
        </row>
        <row r="8288">
          <cell r="A8288" t="str">
            <v>OLEG TSÕGANOV</v>
          </cell>
          <cell r="B8288">
            <v>4593</v>
          </cell>
        </row>
        <row r="8289">
          <cell r="A8289" t="str">
            <v>VALENTIN TSÕGANOV</v>
          </cell>
          <cell r="B8289">
            <v>2013</v>
          </cell>
        </row>
        <row r="8290">
          <cell r="A8290" t="str">
            <v>ILONA TSÕGANOVA</v>
          </cell>
          <cell r="B8290">
            <v>3981</v>
          </cell>
        </row>
        <row r="8291">
          <cell r="A8291" t="str">
            <v>VLADIMIR TSÕRAVIN</v>
          </cell>
          <cell r="B8291">
            <v>5140</v>
          </cell>
        </row>
        <row r="8292">
          <cell r="A8292" t="str">
            <v>VOVA TSÕRAVIN</v>
          </cell>
          <cell r="B8292">
            <v>5483</v>
          </cell>
        </row>
        <row r="8293">
          <cell r="A8293" t="str">
            <v>JELENA TSÕRKUNOVA</v>
          </cell>
          <cell r="B8293">
            <v>4594</v>
          </cell>
        </row>
        <row r="8294">
          <cell r="A8294" t="str">
            <v>TIMUR TSAKVETADZE</v>
          </cell>
          <cell r="B8294">
            <v>1762</v>
          </cell>
        </row>
        <row r="8295">
          <cell r="A8295" t="str">
            <v>BERT TSAPOV</v>
          </cell>
          <cell r="B8295">
            <v>3284</v>
          </cell>
        </row>
        <row r="8296">
          <cell r="A8296" t="str">
            <v>JURI TSARJOV</v>
          </cell>
          <cell r="B8296">
            <v>4592</v>
          </cell>
        </row>
        <row r="8297">
          <cell r="A8297" t="str">
            <v>ALEKSANDR TSASTSIN</v>
          </cell>
          <cell r="B8297">
            <v>1411</v>
          </cell>
        </row>
        <row r="8298">
          <cell r="A8298" t="str">
            <v>POLINA TSAUSSOVA</v>
          </cell>
          <cell r="B8298">
            <v>10452</v>
          </cell>
        </row>
        <row r="8299">
          <cell r="A8299" t="str">
            <v>ARTJOM TSAUZOV</v>
          </cell>
          <cell r="B8299">
            <v>2966</v>
          </cell>
        </row>
        <row r="8300">
          <cell r="A8300" t="str">
            <v>ILJA TSEBURAHHOV</v>
          </cell>
          <cell r="B8300">
            <v>10321</v>
          </cell>
        </row>
        <row r="8301">
          <cell r="A8301" t="str">
            <v>ANATOLI TSEKUROV</v>
          </cell>
          <cell r="B8301">
            <v>1251</v>
          </cell>
        </row>
        <row r="8302">
          <cell r="A8302" t="str">
            <v>ALEKSANDR TSEMIN</v>
          </cell>
          <cell r="B8302">
            <v>913</v>
          </cell>
        </row>
        <row r="8303">
          <cell r="A8303" t="str">
            <v>MAKSIM TSEREZOV</v>
          </cell>
          <cell r="B8303">
            <v>3316</v>
          </cell>
        </row>
        <row r="8304">
          <cell r="A8304" t="str">
            <v>JEVGENI TSERKAŠIN</v>
          </cell>
          <cell r="B8304">
            <v>10789</v>
          </cell>
        </row>
        <row r="8305">
          <cell r="A8305" t="str">
            <v>JEVGENI TSERKASHIN</v>
          </cell>
          <cell r="B8305">
            <v>10614</v>
          </cell>
        </row>
        <row r="8306">
          <cell r="A8306" t="str">
            <v>VALERI TSERNÕHH</v>
          </cell>
          <cell r="B8306">
            <v>4028</v>
          </cell>
        </row>
        <row r="8307">
          <cell r="A8307" t="str">
            <v>DMITRI TSERNEI</v>
          </cell>
          <cell r="B8307">
            <v>1422</v>
          </cell>
        </row>
        <row r="8308">
          <cell r="A8308" t="str">
            <v>ULJANA TSERNJAKOVA</v>
          </cell>
          <cell r="B8308">
            <v>8951</v>
          </cell>
        </row>
        <row r="8309">
          <cell r="A8309" t="str">
            <v>VIKTORIA TSERTOVIKOVA</v>
          </cell>
          <cell r="B8309">
            <v>129</v>
          </cell>
        </row>
        <row r="8310">
          <cell r="A8310" t="str">
            <v>LJUBOV TSETSETOVA</v>
          </cell>
          <cell r="B8310">
            <v>1808</v>
          </cell>
        </row>
        <row r="8311">
          <cell r="A8311" t="str">
            <v>JEGOR TSHEKIN</v>
          </cell>
          <cell r="B8311">
            <v>2987</v>
          </cell>
        </row>
        <row r="8312">
          <cell r="A8312" t="str">
            <v>SEMJON TSHIKIN</v>
          </cell>
          <cell r="B8312">
            <v>463</v>
          </cell>
        </row>
        <row r="8313">
          <cell r="A8313" t="str">
            <v>MARIA TSIKHILOVA</v>
          </cell>
          <cell r="B8313">
            <v>5507</v>
          </cell>
        </row>
        <row r="8314">
          <cell r="A8314" t="str">
            <v>TSERGO TSILK</v>
          </cell>
          <cell r="B8314">
            <v>8896</v>
          </cell>
        </row>
        <row r="8315">
          <cell r="A8315" t="str">
            <v>JURI TSIMMERMAN</v>
          </cell>
          <cell r="B8315">
            <v>966</v>
          </cell>
        </row>
        <row r="8316">
          <cell r="A8316" t="str">
            <v>HEINO TSIRBITALO</v>
          </cell>
          <cell r="B8316">
            <v>7653</v>
          </cell>
        </row>
        <row r="8317">
          <cell r="A8317" t="str">
            <v>PRIIT TSIRP</v>
          </cell>
          <cell r="B8317">
            <v>8168</v>
          </cell>
        </row>
        <row r="8318">
          <cell r="A8318" t="str">
            <v>NATALIA TSISTILINA</v>
          </cell>
          <cell r="B8318">
            <v>3159</v>
          </cell>
        </row>
        <row r="8319">
          <cell r="A8319" t="str">
            <v>ALEKSEI TSISTJAKOV</v>
          </cell>
          <cell r="B8319">
            <v>4084</v>
          </cell>
        </row>
        <row r="8320">
          <cell r="A8320" t="str">
            <v>ALEKSEIJS TSISTJAKOVS</v>
          </cell>
          <cell r="B8320">
            <v>1124</v>
          </cell>
        </row>
        <row r="8321">
          <cell r="A8321" t="str">
            <v>MIRON TSIZOV</v>
          </cell>
          <cell r="B8321">
            <v>7959</v>
          </cell>
        </row>
        <row r="8322">
          <cell r="A8322" t="str">
            <v>VIKTOR TSIZOV</v>
          </cell>
          <cell r="B8322">
            <v>2498</v>
          </cell>
        </row>
        <row r="8323">
          <cell r="A8323" t="str">
            <v>VASSILI TSUBERA</v>
          </cell>
          <cell r="B8323">
            <v>2064</v>
          </cell>
        </row>
        <row r="8324">
          <cell r="A8324" t="str">
            <v>ANDREI TSUPRIN</v>
          </cell>
          <cell r="B8324">
            <v>10367</v>
          </cell>
        </row>
        <row r="8325">
          <cell r="A8325" t="str">
            <v>VLADIMIR TSVERTKO</v>
          </cell>
          <cell r="B8325">
            <v>3078</v>
          </cell>
        </row>
        <row r="8326">
          <cell r="A8326" t="str">
            <v>LEV TSVETKOV</v>
          </cell>
          <cell r="B8326">
            <v>9596</v>
          </cell>
        </row>
        <row r="8327">
          <cell r="A8327" t="str">
            <v>ALEKSANDER TUHKANEN</v>
          </cell>
          <cell r="B8327">
            <v>161</v>
          </cell>
        </row>
        <row r="8328">
          <cell r="A8328" t="str">
            <v>NORA TUISK</v>
          </cell>
          <cell r="B8328">
            <v>8920</v>
          </cell>
        </row>
        <row r="8329">
          <cell r="A8329" t="str">
            <v>TOIVO TUISK</v>
          </cell>
          <cell r="B8329">
            <v>6005</v>
          </cell>
        </row>
        <row r="8330">
          <cell r="A8330" t="str">
            <v>AARON TUKK</v>
          </cell>
          <cell r="B8330">
            <v>9638</v>
          </cell>
        </row>
        <row r="8331">
          <cell r="A8331" t="str">
            <v>KRISTIINA TUKK</v>
          </cell>
          <cell r="B8331">
            <v>1840</v>
          </cell>
        </row>
        <row r="8332">
          <cell r="A8332" t="str">
            <v>PÄTRICK TUKK</v>
          </cell>
          <cell r="B8332">
            <v>4595</v>
          </cell>
        </row>
        <row r="8333">
          <cell r="A8333" t="str">
            <v>TAURI TULL</v>
          </cell>
          <cell r="B8333">
            <v>9982</v>
          </cell>
        </row>
        <row r="8334">
          <cell r="A8334" t="str">
            <v>TAAVI TULP</v>
          </cell>
          <cell r="B8334">
            <v>2248</v>
          </cell>
        </row>
        <row r="8335">
          <cell r="A8335" t="str">
            <v>ALEKSANDR TULPAHH</v>
          </cell>
          <cell r="B8335">
            <v>974</v>
          </cell>
        </row>
        <row r="8336">
          <cell r="A8336" t="str">
            <v>ANDRIS TULS</v>
          </cell>
          <cell r="B8336">
            <v>1584</v>
          </cell>
        </row>
        <row r="8337">
          <cell r="A8337" t="str">
            <v>ROLAND TULS</v>
          </cell>
          <cell r="B8337">
            <v>1004</v>
          </cell>
        </row>
        <row r="8338">
          <cell r="A8338" t="str">
            <v>SERGEI TULSKI</v>
          </cell>
          <cell r="B8338">
            <v>5661</v>
          </cell>
        </row>
        <row r="8339">
          <cell r="A8339" t="str">
            <v>CARLOS TULTS</v>
          </cell>
          <cell r="B8339">
            <v>8243</v>
          </cell>
        </row>
        <row r="8340">
          <cell r="A8340" t="str">
            <v>JANNO TULTS</v>
          </cell>
          <cell r="B8340">
            <v>4596</v>
          </cell>
        </row>
        <row r="8341">
          <cell r="A8341" t="str">
            <v>IVO TULVIK</v>
          </cell>
          <cell r="B8341">
            <v>3365</v>
          </cell>
        </row>
        <row r="8342">
          <cell r="A8342" t="str">
            <v>MARIJA TUMANAVICIUTE</v>
          </cell>
          <cell r="B8342">
            <v>8774</v>
          </cell>
        </row>
        <row r="8343">
          <cell r="A8343" t="str">
            <v>JEVGENI TUNIK</v>
          </cell>
          <cell r="B8343">
            <v>1760</v>
          </cell>
        </row>
        <row r="8344">
          <cell r="A8344" t="str">
            <v>PETRI TUOMAILA</v>
          </cell>
          <cell r="B8344">
            <v>10222</v>
          </cell>
        </row>
        <row r="8345">
          <cell r="A8345" t="str">
            <v>KAI TUOVINEN</v>
          </cell>
          <cell r="B8345">
            <v>10155</v>
          </cell>
        </row>
        <row r="8346">
          <cell r="A8346" t="str">
            <v>JONATHAN GABRIEL TUPAY</v>
          </cell>
          <cell r="B8346">
            <v>10869</v>
          </cell>
        </row>
        <row r="8347">
          <cell r="A8347" t="str">
            <v>ALO TUPITS</v>
          </cell>
          <cell r="B8347">
            <v>3629</v>
          </cell>
        </row>
        <row r="8348">
          <cell r="A8348" t="str">
            <v>HANSI TUPPELA</v>
          </cell>
          <cell r="B8348">
            <v>1252</v>
          </cell>
        </row>
        <row r="8349">
          <cell r="A8349" t="str">
            <v>ANTON TUR</v>
          </cell>
          <cell r="B8349">
            <v>10799</v>
          </cell>
        </row>
        <row r="8350">
          <cell r="A8350" t="str">
            <v>ALEKSANDER TURLO</v>
          </cell>
          <cell r="B8350">
            <v>9031</v>
          </cell>
        </row>
        <row r="8351">
          <cell r="A8351" t="str">
            <v>TARMO TURN</v>
          </cell>
          <cell r="B8351">
            <v>4597</v>
          </cell>
        </row>
        <row r="8352">
          <cell r="A8352" t="str">
            <v>LEONID TUROK</v>
          </cell>
          <cell r="B8352">
            <v>2478</v>
          </cell>
        </row>
        <row r="8353">
          <cell r="A8353" t="str">
            <v>LIIVO TURU</v>
          </cell>
          <cell r="B8353">
            <v>10730</v>
          </cell>
        </row>
        <row r="8354">
          <cell r="A8354" t="str">
            <v>ZLATA TURUTA</v>
          </cell>
          <cell r="B8354">
            <v>10327</v>
          </cell>
        </row>
        <row r="8355">
          <cell r="A8355" t="str">
            <v>LAURI TUSIS</v>
          </cell>
          <cell r="B8355">
            <v>303</v>
          </cell>
        </row>
        <row r="8356">
          <cell r="A8356" t="str">
            <v>VOLDEMAR TUSIS</v>
          </cell>
          <cell r="B8356">
            <v>279</v>
          </cell>
        </row>
        <row r="8357">
          <cell r="A8357" t="str">
            <v>OLAVI TUTT</v>
          </cell>
          <cell r="B8357">
            <v>4129</v>
          </cell>
        </row>
        <row r="8358">
          <cell r="A8358" t="str">
            <v>ULMAR TUULIK</v>
          </cell>
          <cell r="B8358">
            <v>10583</v>
          </cell>
        </row>
        <row r="8359">
          <cell r="A8359" t="str">
            <v>MARTEN TUUR</v>
          </cell>
          <cell r="B8359">
            <v>8017</v>
          </cell>
        </row>
        <row r="8360">
          <cell r="A8360" t="str">
            <v>KERSTIN TUURI</v>
          </cell>
          <cell r="B8360">
            <v>9096</v>
          </cell>
        </row>
        <row r="8361">
          <cell r="A8361" t="str">
            <v>KERSTIN ALEKSANDRA TUURI</v>
          </cell>
          <cell r="B8361">
            <v>9495</v>
          </cell>
        </row>
        <row r="8362">
          <cell r="A8362" t="str">
            <v>TANEL TUVIKENE</v>
          </cell>
          <cell r="B8362">
            <v>1739</v>
          </cell>
        </row>
        <row r="8363">
          <cell r="A8363" t="str">
            <v>MARIJA TVERDOVA</v>
          </cell>
          <cell r="B8363">
            <v>5145</v>
          </cell>
        </row>
        <row r="8364">
          <cell r="A8364" t="str">
            <v>ILJA TVERDOVSKI</v>
          </cell>
          <cell r="B8364">
            <v>5088</v>
          </cell>
        </row>
        <row r="8365">
          <cell r="A8365" t="str">
            <v>BOHDAN TYMOSCHUK</v>
          </cell>
          <cell r="B8365">
            <v>10841</v>
          </cell>
        </row>
        <row r="8366">
          <cell r="A8366" t="str">
            <v>JANA UŠAKOVA</v>
          </cell>
          <cell r="B8366">
            <v>5890</v>
          </cell>
        </row>
        <row r="8367">
          <cell r="A8367" t="str">
            <v>JELIZAVETA UŠAKOVA</v>
          </cell>
          <cell r="B8367">
            <v>9270</v>
          </cell>
        </row>
        <row r="8368">
          <cell r="A8368" t="str">
            <v>ANASTASIA UDALZOVA</v>
          </cell>
          <cell r="B8368">
            <v>5650</v>
          </cell>
        </row>
        <row r="8369">
          <cell r="A8369" t="str">
            <v>ENN UDE</v>
          </cell>
          <cell r="B8369">
            <v>460</v>
          </cell>
        </row>
        <row r="8370">
          <cell r="A8370" t="str">
            <v>RIIN UDE</v>
          </cell>
          <cell r="B8370">
            <v>131</v>
          </cell>
        </row>
        <row r="8371">
          <cell r="A8371" t="str">
            <v>ALFREDAS UDRA</v>
          </cell>
          <cell r="B8371">
            <v>3183</v>
          </cell>
        </row>
        <row r="8372">
          <cell r="A8372" t="str">
            <v>MANFREDAS UDRA</v>
          </cell>
          <cell r="B8372">
            <v>2200</v>
          </cell>
        </row>
        <row r="8373">
          <cell r="A8373" t="str">
            <v>JANEK UDRAS</v>
          </cell>
          <cell r="B8373">
            <v>4600</v>
          </cell>
        </row>
        <row r="8374">
          <cell r="A8374" t="str">
            <v>KAREL UDRAS</v>
          </cell>
          <cell r="B8374">
            <v>7995</v>
          </cell>
        </row>
        <row r="8375">
          <cell r="A8375" t="str">
            <v>MEELIS UDRAS</v>
          </cell>
          <cell r="B8375">
            <v>9550</v>
          </cell>
        </row>
        <row r="8376">
          <cell r="A8376" t="str">
            <v>RUDOLF-JOEL UDRAS</v>
          </cell>
          <cell r="B8376">
            <v>6071</v>
          </cell>
        </row>
        <row r="8377">
          <cell r="A8377" t="str">
            <v>ALLAN UDU</v>
          </cell>
          <cell r="B8377">
            <v>7863</v>
          </cell>
        </row>
        <row r="8378">
          <cell r="A8378" t="str">
            <v>ILMAR UDUSTE</v>
          </cell>
          <cell r="B8378">
            <v>5310</v>
          </cell>
        </row>
        <row r="8379">
          <cell r="A8379" t="str">
            <v>DEMENTI UGLOV</v>
          </cell>
          <cell r="B8379">
            <v>5423</v>
          </cell>
        </row>
        <row r="8380">
          <cell r="A8380" t="str">
            <v>VASILISSA UGLOVA</v>
          </cell>
          <cell r="B8380">
            <v>8001</v>
          </cell>
        </row>
        <row r="8381">
          <cell r="A8381" t="str">
            <v>ZOJA UHHOVA</v>
          </cell>
          <cell r="B8381">
            <v>9794</v>
          </cell>
        </row>
        <row r="8382">
          <cell r="A8382" t="str">
            <v>EBE-KAI UIBO</v>
          </cell>
          <cell r="B8382">
            <v>10695</v>
          </cell>
        </row>
        <row r="8383">
          <cell r="A8383" t="str">
            <v>KARL ERIK UIBO</v>
          </cell>
          <cell r="B8383">
            <v>7851</v>
          </cell>
        </row>
        <row r="8384">
          <cell r="A8384" t="str">
            <v>LAURI UIBO</v>
          </cell>
          <cell r="B8384">
            <v>4006</v>
          </cell>
        </row>
        <row r="8385">
          <cell r="A8385" t="str">
            <v>MARGUS UIBO</v>
          </cell>
          <cell r="B8385">
            <v>4005</v>
          </cell>
        </row>
        <row r="8386">
          <cell r="A8386" t="str">
            <v>MARKUS UIBO</v>
          </cell>
          <cell r="B8386">
            <v>5312</v>
          </cell>
        </row>
        <row r="8387">
          <cell r="A8387" t="str">
            <v>MADIS UIBOMÄE</v>
          </cell>
          <cell r="B8387">
            <v>1728</v>
          </cell>
        </row>
        <row r="8388">
          <cell r="A8388" t="str">
            <v>AHTO UIBOPUU</v>
          </cell>
          <cell r="B8388">
            <v>2151</v>
          </cell>
        </row>
        <row r="8389">
          <cell r="A8389" t="str">
            <v>PAULIUS ULIACKAS</v>
          </cell>
          <cell r="B8389">
            <v>8441</v>
          </cell>
        </row>
        <row r="8390">
          <cell r="A8390" t="str">
            <v>DENIS ULIMOV</v>
          </cell>
          <cell r="B8390">
            <v>4803</v>
          </cell>
        </row>
        <row r="8391">
          <cell r="A8391" t="str">
            <v>IGOR ULJANOV</v>
          </cell>
          <cell r="B8391">
            <v>7607</v>
          </cell>
        </row>
        <row r="8392">
          <cell r="A8392" t="str">
            <v>TATJANA ULJANOVA</v>
          </cell>
          <cell r="B8392">
            <v>4029</v>
          </cell>
        </row>
        <row r="8393">
          <cell r="A8393" t="str">
            <v>HARRI ULJAS</v>
          </cell>
          <cell r="B8393">
            <v>7415</v>
          </cell>
        </row>
        <row r="8394">
          <cell r="A8394" t="str">
            <v>OLARI ULJAS</v>
          </cell>
          <cell r="B8394">
            <v>2422</v>
          </cell>
        </row>
        <row r="8395">
          <cell r="A8395" t="str">
            <v>KAIA ULK</v>
          </cell>
          <cell r="B8395">
            <v>4601</v>
          </cell>
        </row>
        <row r="8396">
          <cell r="A8396" t="str">
            <v>LAURI ULLA</v>
          </cell>
          <cell r="B8396">
            <v>9686</v>
          </cell>
        </row>
        <row r="8397">
          <cell r="A8397" t="str">
            <v>GREETA-MARIA ULMRE</v>
          </cell>
          <cell r="B8397">
            <v>5180</v>
          </cell>
        </row>
        <row r="8398">
          <cell r="A8398" t="str">
            <v>ALEKSANDRA ULNIROVA</v>
          </cell>
          <cell r="B8398">
            <v>3181</v>
          </cell>
        </row>
        <row r="8399">
          <cell r="A8399" t="str">
            <v>RUGILĖ ULPYTĖ</v>
          </cell>
          <cell r="B8399">
            <v>10773</v>
          </cell>
        </row>
        <row r="8400">
          <cell r="A8400" t="str">
            <v>KULDAR-MAANO UMAL</v>
          </cell>
          <cell r="B8400">
            <v>6081</v>
          </cell>
        </row>
        <row r="8401">
          <cell r="A8401" t="str">
            <v>MATTIAS UMAL</v>
          </cell>
          <cell r="B8401">
            <v>6102</v>
          </cell>
        </row>
        <row r="8402">
          <cell r="A8402" t="str">
            <v>MERLISSA UMAL</v>
          </cell>
          <cell r="B8402">
            <v>9153</v>
          </cell>
        </row>
        <row r="8403">
          <cell r="A8403" t="str">
            <v>MARGUS UNDA</v>
          </cell>
          <cell r="B8403">
            <v>3909</v>
          </cell>
        </row>
        <row r="8404">
          <cell r="A8404" t="str">
            <v>JÜRI UNDUSK</v>
          </cell>
          <cell r="B8404">
            <v>5675</v>
          </cell>
        </row>
        <row r="8405">
          <cell r="A8405" t="str">
            <v>NADEŽDA UNGERT</v>
          </cell>
          <cell r="B8405">
            <v>7882</v>
          </cell>
        </row>
        <row r="8406">
          <cell r="A8406" t="str">
            <v>MELIS UNO</v>
          </cell>
          <cell r="B8406">
            <v>5972</v>
          </cell>
        </row>
        <row r="8407">
          <cell r="A8407" t="str">
            <v>AARON UNT</v>
          </cell>
          <cell r="B8407">
            <v>9872</v>
          </cell>
        </row>
        <row r="8408">
          <cell r="A8408" t="str">
            <v>ANDRES UNT</v>
          </cell>
          <cell r="B8408">
            <v>10377</v>
          </cell>
        </row>
        <row r="8409">
          <cell r="A8409" t="str">
            <v>MIHKEL UNT</v>
          </cell>
          <cell r="B8409">
            <v>415</v>
          </cell>
        </row>
        <row r="8410">
          <cell r="A8410" t="str">
            <v>ROBERT UNT</v>
          </cell>
          <cell r="B8410">
            <v>10054</v>
          </cell>
        </row>
        <row r="8411">
          <cell r="A8411" t="str">
            <v>STEN UNT</v>
          </cell>
          <cell r="B8411">
            <v>3911</v>
          </cell>
        </row>
        <row r="8412">
          <cell r="A8412" t="str">
            <v>TANEL UNT</v>
          </cell>
          <cell r="B8412">
            <v>3910</v>
          </cell>
        </row>
        <row r="8413">
          <cell r="A8413" t="str">
            <v>VARVARA UPADÕŠEVA</v>
          </cell>
          <cell r="B8413">
            <v>9620</v>
          </cell>
        </row>
        <row r="8414">
          <cell r="A8414" t="str">
            <v>NINA UPININA</v>
          </cell>
          <cell r="B8414">
            <v>5262</v>
          </cell>
        </row>
        <row r="8415">
          <cell r="A8415" t="str">
            <v>MARA UPITE</v>
          </cell>
          <cell r="B8415">
            <v>3912</v>
          </cell>
        </row>
        <row r="8416">
          <cell r="A8416" t="str">
            <v>MADLI-KÄRT UPRUS</v>
          </cell>
          <cell r="B8416">
            <v>1674</v>
          </cell>
        </row>
        <row r="8417">
          <cell r="A8417" t="str">
            <v>UKU-MART UPRUS</v>
          </cell>
          <cell r="B8417">
            <v>1825</v>
          </cell>
        </row>
        <row r="8418">
          <cell r="A8418" t="str">
            <v>MART URB</v>
          </cell>
          <cell r="B8418">
            <v>8558</v>
          </cell>
        </row>
        <row r="8419">
          <cell r="A8419" t="str">
            <v>ANGEELIKA URBAN</v>
          </cell>
          <cell r="B8419">
            <v>8407</v>
          </cell>
        </row>
        <row r="8420">
          <cell r="A8420" t="str">
            <v>ERNO URBAN</v>
          </cell>
          <cell r="B8420">
            <v>2870</v>
          </cell>
        </row>
        <row r="8421">
          <cell r="A8421" t="str">
            <v>TRIINU URBAN</v>
          </cell>
          <cell r="B8421">
            <v>2628</v>
          </cell>
        </row>
        <row r="8422">
          <cell r="A8422" t="str">
            <v>VIOLETA URBANE</v>
          </cell>
          <cell r="B8422">
            <v>2772</v>
          </cell>
        </row>
        <row r="8423">
          <cell r="A8423" t="str">
            <v>RAIGO URBANIK</v>
          </cell>
          <cell r="B8423">
            <v>2673</v>
          </cell>
        </row>
        <row r="8424">
          <cell r="A8424" t="str">
            <v>SILVIA URBLA</v>
          </cell>
          <cell r="B8424">
            <v>4602</v>
          </cell>
        </row>
        <row r="8425">
          <cell r="A8425" t="str">
            <v>MARIUS URBONAS</v>
          </cell>
          <cell r="B8425">
            <v>3490</v>
          </cell>
        </row>
        <row r="8426">
          <cell r="A8426" t="str">
            <v>EGON URGAND</v>
          </cell>
          <cell r="B8426">
            <v>7723</v>
          </cell>
        </row>
        <row r="8427">
          <cell r="A8427" t="str">
            <v>RASMUS URGAND</v>
          </cell>
          <cell r="B8427">
            <v>5355</v>
          </cell>
        </row>
        <row r="8428">
          <cell r="A8428" t="str">
            <v>ASKO URI</v>
          </cell>
          <cell r="B8428">
            <v>4802</v>
          </cell>
        </row>
        <row r="8429">
          <cell r="A8429" t="str">
            <v>JURI URMASTE</v>
          </cell>
          <cell r="B8429">
            <v>9610</v>
          </cell>
        </row>
        <row r="8430">
          <cell r="A8430" t="str">
            <v>VLADISLAV URSU</v>
          </cell>
          <cell r="B8430">
            <v>10611</v>
          </cell>
        </row>
        <row r="8431">
          <cell r="A8431" t="str">
            <v>KAUR-RASMUS USBERG</v>
          </cell>
          <cell r="B8431">
            <v>8712</v>
          </cell>
        </row>
        <row r="8432">
          <cell r="A8432" t="str">
            <v>ALEKSANDRA USHAKOVA</v>
          </cell>
          <cell r="B8432">
            <v>3913</v>
          </cell>
        </row>
        <row r="8433">
          <cell r="A8433" t="str">
            <v>EVERT USIN</v>
          </cell>
          <cell r="B8433">
            <v>2410</v>
          </cell>
        </row>
        <row r="8434">
          <cell r="A8434" t="str">
            <v>GUNNAR USIN</v>
          </cell>
          <cell r="B8434">
            <v>1995</v>
          </cell>
        </row>
        <row r="8435">
          <cell r="A8435" t="str">
            <v>JOONATAN USIN</v>
          </cell>
          <cell r="B8435">
            <v>10262</v>
          </cell>
        </row>
        <row r="8436">
          <cell r="A8436" t="str">
            <v>SIIM USIN</v>
          </cell>
          <cell r="B8436">
            <v>1793</v>
          </cell>
        </row>
        <row r="8437">
          <cell r="A8437" t="str">
            <v>NIKITA USSANOV</v>
          </cell>
          <cell r="B8437">
            <v>9444</v>
          </cell>
        </row>
        <row r="8438">
          <cell r="A8438" t="str">
            <v>MIHHAIL USTIMENKO</v>
          </cell>
          <cell r="B8438">
            <v>4603</v>
          </cell>
        </row>
        <row r="8439">
          <cell r="A8439" t="str">
            <v>ANDRE USTINOV</v>
          </cell>
          <cell r="B8439">
            <v>430</v>
          </cell>
        </row>
        <row r="8440">
          <cell r="A8440" t="str">
            <v>ERVINAS UZIALO</v>
          </cell>
          <cell r="B8440">
            <v>8776</v>
          </cell>
        </row>
        <row r="8441">
          <cell r="A8441" t="str">
            <v>CRISS UUDAM</v>
          </cell>
          <cell r="B8441">
            <v>7514</v>
          </cell>
        </row>
        <row r="8442">
          <cell r="A8442" t="str">
            <v>MARCOS UUDLA</v>
          </cell>
          <cell r="B8442">
            <v>10461</v>
          </cell>
        </row>
        <row r="8443">
          <cell r="A8443" t="str">
            <v>SIMONE UUETOEA</v>
          </cell>
          <cell r="B8443">
            <v>5411</v>
          </cell>
        </row>
        <row r="8444">
          <cell r="A8444" t="str">
            <v>KENDER UUKIVI</v>
          </cell>
          <cell r="B8444">
            <v>3042</v>
          </cell>
        </row>
        <row r="8445">
          <cell r="A8445" t="str">
            <v>KÄTLIN UUS</v>
          </cell>
          <cell r="B8445">
            <v>2757</v>
          </cell>
        </row>
        <row r="8446">
          <cell r="A8446" t="str">
            <v>JANNO UUSEN</v>
          </cell>
          <cell r="B8446">
            <v>7159</v>
          </cell>
        </row>
        <row r="8447">
          <cell r="A8447" t="str">
            <v>MADIS UUSEN</v>
          </cell>
          <cell r="B8447">
            <v>4130</v>
          </cell>
        </row>
        <row r="8448">
          <cell r="A8448" t="str">
            <v>MAREK UUSEN</v>
          </cell>
          <cell r="B8448">
            <v>2620</v>
          </cell>
        </row>
        <row r="8449">
          <cell r="A8449" t="str">
            <v>ANDRES UUSJÄRV</v>
          </cell>
          <cell r="B8449">
            <v>477</v>
          </cell>
        </row>
        <row r="8450">
          <cell r="A8450" t="str">
            <v>KADI UUSKÜLA</v>
          </cell>
          <cell r="B8450">
            <v>3439</v>
          </cell>
        </row>
        <row r="8451">
          <cell r="A8451" t="str">
            <v>MARKO UUSKÜLA</v>
          </cell>
          <cell r="B8451">
            <v>3458</v>
          </cell>
        </row>
        <row r="8452">
          <cell r="A8452" t="str">
            <v>MAIT UUSMÄE</v>
          </cell>
          <cell r="B8452">
            <v>3914</v>
          </cell>
        </row>
        <row r="8453">
          <cell r="A8453" t="str">
            <v>JANNO UUSMAA</v>
          </cell>
          <cell r="B8453">
            <v>4728</v>
          </cell>
        </row>
        <row r="8454">
          <cell r="A8454" t="str">
            <v>HENDRIK UUSNA</v>
          </cell>
          <cell r="B8454">
            <v>4605</v>
          </cell>
        </row>
        <row r="8455">
          <cell r="A8455" t="str">
            <v>KELLI UUSNA</v>
          </cell>
          <cell r="B8455">
            <v>2274</v>
          </cell>
        </row>
        <row r="8456">
          <cell r="A8456" t="str">
            <v>RANNAR UUSNA</v>
          </cell>
          <cell r="B8456">
            <v>4604</v>
          </cell>
        </row>
        <row r="8457">
          <cell r="A8457" t="str">
            <v>KASPAR UUSNURM</v>
          </cell>
          <cell r="B8457">
            <v>4981</v>
          </cell>
        </row>
        <row r="8458">
          <cell r="A8458" t="str">
            <v>REMI UUSOJA</v>
          </cell>
          <cell r="B8458">
            <v>9735</v>
          </cell>
        </row>
        <row r="8459">
          <cell r="A8459" t="str">
            <v>ELIS UUSSOO</v>
          </cell>
          <cell r="B8459">
            <v>8369</v>
          </cell>
        </row>
        <row r="8460">
          <cell r="A8460" t="str">
            <v>TOIVO UUSTALO</v>
          </cell>
          <cell r="B8460">
            <v>1567</v>
          </cell>
        </row>
        <row r="8461">
          <cell r="A8461" t="str">
            <v>KARINE UUSTALU</v>
          </cell>
          <cell r="B8461">
            <v>4852</v>
          </cell>
        </row>
        <row r="8462">
          <cell r="A8462" t="str">
            <v>KOIT UUSTALU</v>
          </cell>
          <cell r="B8462">
            <v>380</v>
          </cell>
        </row>
        <row r="8463">
          <cell r="A8463" t="str">
            <v>SIMON UUSTALU</v>
          </cell>
          <cell r="B8463">
            <v>8816</v>
          </cell>
        </row>
        <row r="8464">
          <cell r="A8464" t="str">
            <v>THOMAS UUSTALU</v>
          </cell>
          <cell r="B8464">
            <v>10245</v>
          </cell>
        </row>
        <row r="8465">
          <cell r="A8465" t="str">
            <v>ALEKSANDRA UUSTAMM</v>
          </cell>
          <cell r="B8465">
            <v>10289</v>
          </cell>
        </row>
        <row r="8466">
          <cell r="A8466" t="str">
            <v>RALF UUSTAMM</v>
          </cell>
          <cell r="B8466">
            <v>10290</v>
          </cell>
        </row>
        <row r="8467">
          <cell r="A8467" t="str">
            <v>THERESA UUSTAMM</v>
          </cell>
          <cell r="B8467">
            <v>10291</v>
          </cell>
        </row>
        <row r="8468">
          <cell r="A8468" t="str">
            <v>ANDREA UUSTULND</v>
          </cell>
          <cell r="B8468">
            <v>9468</v>
          </cell>
        </row>
        <row r="8469">
          <cell r="A8469" t="str">
            <v>ANDRUS UUTSALU</v>
          </cell>
          <cell r="B8469">
            <v>5122</v>
          </cell>
        </row>
        <row r="8470">
          <cell r="A8470" t="str">
            <v>MEELIS UUVÄLI</v>
          </cell>
          <cell r="B8470">
            <v>9694</v>
          </cell>
        </row>
        <row r="8471">
          <cell r="A8471" t="str">
            <v>MEELIS UUVÄLIE</v>
          </cell>
          <cell r="B8471">
            <v>8566</v>
          </cell>
        </row>
        <row r="8472">
          <cell r="A8472" t="str">
            <v>IVAR VÄHI</v>
          </cell>
          <cell r="B8472">
            <v>4723</v>
          </cell>
        </row>
        <row r="8473">
          <cell r="A8473" t="str">
            <v>PAAVEL VÄHK</v>
          </cell>
          <cell r="B8473">
            <v>9842</v>
          </cell>
        </row>
        <row r="8474">
          <cell r="A8474" t="str">
            <v>TANEL VÄHK</v>
          </cell>
          <cell r="B8474">
            <v>4949</v>
          </cell>
        </row>
        <row r="8475">
          <cell r="A8475" t="str">
            <v>AMANDA VÄIKO</v>
          </cell>
          <cell r="B8475">
            <v>10406</v>
          </cell>
        </row>
        <row r="8476">
          <cell r="A8476" t="str">
            <v>KLARA VÄIKO</v>
          </cell>
          <cell r="B8476">
            <v>8246</v>
          </cell>
        </row>
        <row r="8477">
          <cell r="A8477" t="str">
            <v>RAUL VÄIKO</v>
          </cell>
          <cell r="B8477">
            <v>8745</v>
          </cell>
        </row>
        <row r="8478">
          <cell r="A8478" t="str">
            <v>HANNE-LORE VÄIN</v>
          </cell>
          <cell r="B8478">
            <v>4099</v>
          </cell>
        </row>
        <row r="8479">
          <cell r="A8479" t="str">
            <v>MILVI VÄIN</v>
          </cell>
          <cell r="B8479">
            <v>4009</v>
          </cell>
        </row>
        <row r="8480">
          <cell r="A8480" t="str">
            <v>LARS-ERIK VÄINA</v>
          </cell>
          <cell r="B8480">
            <v>4633</v>
          </cell>
        </row>
        <row r="8481">
          <cell r="A8481" t="str">
            <v>JAANUS VÄINOJA</v>
          </cell>
          <cell r="B8481">
            <v>1409</v>
          </cell>
        </row>
        <row r="8482">
          <cell r="A8482" t="str">
            <v>MEELIS VÄINOJA</v>
          </cell>
          <cell r="B8482">
            <v>1410</v>
          </cell>
        </row>
        <row r="8483">
          <cell r="A8483" t="str">
            <v>RENE VÄINOJA</v>
          </cell>
          <cell r="B8483">
            <v>5029</v>
          </cell>
        </row>
        <row r="8484">
          <cell r="A8484" t="str">
            <v>NELE-LIIS VÄISE</v>
          </cell>
          <cell r="B8484">
            <v>7868</v>
          </cell>
        </row>
        <row r="8485">
          <cell r="A8485" t="str">
            <v>HÄROLD VÄLBA</v>
          </cell>
          <cell r="B8485">
            <v>7032</v>
          </cell>
        </row>
        <row r="8486">
          <cell r="A8486" t="str">
            <v>EINO VÄLI</v>
          </cell>
          <cell r="B8486">
            <v>3956</v>
          </cell>
        </row>
        <row r="8487">
          <cell r="A8487" t="str">
            <v>EVARI VÄLI</v>
          </cell>
          <cell r="B8487">
            <v>8738</v>
          </cell>
        </row>
        <row r="8488">
          <cell r="A8488" t="str">
            <v>IVO VÄLI</v>
          </cell>
          <cell r="B8488">
            <v>7684</v>
          </cell>
        </row>
        <row r="8489">
          <cell r="A8489" t="str">
            <v>VEERA VÄLIMÄKI</v>
          </cell>
          <cell r="B8489">
            <v>2205</v>
          </cell>
        </row>
        <row r="8490">
          <cell r="A8490" t="str">
            <v>ANDRE VÄLIMETS</v>
          </cell>
          <cell r="B8490">
            <v>2817</v>
          </cell>
        </row>
        <row r="8491">
          <cell r="A8491" t="str">
            <v>KADI VÄLIMETS</v>
          </cell>
          <cell r="B8491">
            <v>4634</v>
          </cell>
        </row>
        <row r="8492">
          <cell r="A8492" t="str">
            <v>JANNO VÄLING</v>
          </cell>
          <cell r="B8492">
            <v>10161</v>
          </cell>
        </row>
        <row r="8493">
          <cell r="A8493" t="str">
            <v>KARL VÄLIS</v>
          </cell>
          <cell r="B8493">
            <v>2617</v>
          </cell>
        </row>
        <row r="8494">
          <cell r="A8494" t="str">
            <v>TAAVI VÄLISSON</v>
          </cell>
          <cell r="B8494">
            <v>8287</v>
          </cell>
        </row>
        <row r="8495">
          <cell r="A8495" t="str">
            <v>AIMAR VÄLJA</v>
          </cell>
          <cell r="B8495">
            <v>7760</v>
          </cell>
        </row>
        <row r="8496">
          <cell r="A8496" t="str">
            <v>HENDRIK VÄLJA</v>
          </cell>
          <cell r="B8496">
            <v>9086</v>
          </cell>
        </row>
        <row r="8497">
          <cell r="A8497" t="str">
            <v>KADRI VÄLJAKIVI</v>
          </cell>
          <cell r="B8497">
            <v>8137</v>
          </cell>
        </row>
        <row r="8498">
          <cell r="A8498" t="str">
            <v>KALJO VÄLJAKIVI</v>
          </cell>
          <cell r="B8498">
            <v>2371</v>
          </cell>
        </row>
        <row r="8499">
          <cell r="A8499" t="str">
            <v>TIIT VÄLJAKIVI</v>
          </cell>
          <cell r="B8499">
            <v>2183</v>
          </cell>
        </row>
        <row r="8500">
          <cell r="A8500" t="str">
            <v>VELJO VÄLJAKIVI</v>
          </cell>
          <cell r="B8500">
            <v>2016</v>
          </cell>
        </row>
        <row r="8501">
          <cell r="A8501" t="str">
            <v>JAANUS VÄLJAMÄE</v>
          </cell>
          <cell r="B8501">
            <v>4862</v>
          </cell>
        </row>
        <row r="8502">
          <cell r="A8502" t="str">
            <v>KRISTJAN VÄLJAOTS</v>
          </cell>
          <cell r="B8502">
            <v>4109</v>
          </cell>
        </row>
        <row r="8503">
          <cell r="A8503" t="str">
            <v>LAURA VÄLJAOTS</v>
          </cell>
          <cell r="B8503">
            <v>4635</v>
          </cell>
        </row>
        <row r="8504">
          <cell r="A8504" t="str">
            <v>MEIKO-MARTIN VÄLJAOTS</v>
          </cell>
          <cell r="B8504">
            <v>3211</v>
          </cell>
        </row>
        <row r="8505">
          <cell r="A8505" t="str">
            <v>RAUNO VÄLK</v>
          </cell>
          <cell r="B8505">
            <v>1749</v>
          </cell>
        </row>
        <row r="8506">
          <cell r="A8506" t="str">
            <v>SIIM VÄNDRIK</v>
          </cell>
          <cell r="B8506">
            <v>1412</v>
          </cell>
        </row>
        <row r="8507">
          <cell r="A8507" t="str">
            <v>REIGO VÄNT</v>
          </cell>
          <cell r="B8507">
            <v>4132</v>
          </cell>
        </row>
        <row r="8508">
          <cell r="A8508" t="str">
            <v>VIRVE VÄRAT</v>
          </cell>
          <cell r="B8508">
            <v>1108</v>
          </cell>
        </row>
        <row r="8509">
          <cell r="A8509" t="str">
            <v>SIRJE VÄRAVAS</v>
          </cell>
          <cell r="B8509">
            <v>1063</v>
          </cell>
        </row>
        <row r="8510">
          <cell r="A8510" t="str">
            <v>RICHARD VÄRBU</v>
          </cell>
          <cell r="B8510">
            <v>8848</v>
          </cell>
        </row>
        <row r="8511">
          <cell r="A8511" t="str">
            <v>KRISTJAN VÄRTON</v>
          </cell>
          <cell r="B8511">
            <v>9084</v>
          </cell>
        </row>
        <row r="8512">
          <cell r="A8512" t="str">
            <v>HENDRIK VÄRVA</v>
          </cell>
          <cell r="B8512">
            <v>10756</v>
          </cell>
        </row>
        <row r="8513">
          <cell r="A8513" t="str">
            <v>PRIIDIK MEELO VÄSTRIK</v>
          </cell>
          <cell r="B8513">
            <v>10305</v>
          </cell>
        </row>
        <row r="8514">
          <cell r="A8514" t="str">
            <v>RASMUS VÄSTRIK</v>
          </cell>
          <cell r="B8514">
            <v>10642</v>
          </cell>
        </row>
        <row r="8515">
          <cell r="A8515" t="str">
            <v>MARET VÕÕPSU</v>
          </cell>
          <cell r="B8515">
            <v>2431</v>
          </cell>
        </row>
        <row r="8516">
          <cell r="A8516" t="str">
            <v>ANDRES VÕRK</v>
          </cell>
          <cell r="B8516">
            <v>5126</v>
          </cell>
        </row>
        <row r="8517">
          <cell r="A8517" t="str">
            <v>JANEK VÕRK</v>
          </cell>
          <cell r="B8517">
            <v>3226</v>
          </cell>
        </row>
        <row r="8518">
          <cell r="A8518" t="str">
            <v>MARIA VÕRKLAEV</v>
          </cell>
          <cell r="B8518">
            <v>3927</v>
          </cell>
        </row>
        <row r="8519">
          <cell r="A8519" t="str">
            <v>ANNELI VÕSA</v>
          </cell>
          <cell r="B8519">
            <v>4861</v>
          </cell>
        </row>
        <row r="8520">
          <cell r="A8520" t="str">
            <v>KAAREL VÕSA</v>
          </cell>
          <cell r="B8520">
            <v>2655</v>
          </cell>
        </row>
        <row r="8521">
          <cell r="A8521" t="str">
            <v>ANDREI VÕSOCKI</v>
          </cell>
          <cell r="B8521">
            <v>4008</v>
          </cell>
        </row>
        <row r="8522">
          <cell r="A8522" t="str">
            <v>ALO-HINDREK VÕSU</v>
          </cell>
          <cell r="B8522">
            <v>918</v>
          </cell>
        </row>
        <row r="8523">
          <cell r="A8523" t="str">
            <v>HANNO VÕSU</v>
          </cell>
          <cell r="B8523">
            <v>5028</v>
          </cell>
        </row>
        <row r="8524">
          <cell r="A8524" t="str">
            <v>JANEK VÕSU</v>
          </cell>
          <cell r="B8524">
            <v>8704</v>
          </cell>
        </row>
        <row r="8525">
          <cell r="A8525" t="str">
            <v>MAIKEL VÕSU</v>
          </cell>
          <cell r="B8525">
            <v>5977</v>
          </cell>
        </row>
        <row r="8526">
          <cell r="A8526" t="str">
            <v>MARILYN VÕSU</v>
          </cell>
          <cell r="B8526">
            <v>4632</v>
          </cell>
        </row>
        <row r="8527">
          <cell r="A8527" t="str">
            <v>HEIKI VAABEL</v>
          </cell>
          <cell r="B8527">
            <v>7189</v>
          </cell>
        </row>
        <row r="8528">
          <cell r="A8528" t="str">
            <v>OLIVER VAABEL</v>
          </cell>
          <cell r="B8528">
            <v>2786</v>
          </cell>
        </row>
        <row r="8529">
          <cell r="A8529" t="str">
            <v>SIIM OLIVER VAABEL</v>
          </cell>
          <cell r="B8529">
            <v>6228</v>
          </cell>
        </row>
        <row r="8530">
          <cell r="A8530" t="str">
            <v>ARLIS VAAGEN</v>
          </cell>
          <cell r="B8530">
            <v>3300</v>
          </cell>
        </row>
        <row r="8531">
          <cell r="A8531" t="str">
            <v>ALEKS VAARPU</v>
          </cell>
          <cell r="B8531">
            <v>10644</v>
          </cell>
        </row>
        <row r="8532">
          <cell r="A8532" t="str">
            <v>MADIS VAARPU</v>
          </cell>
          <cell r="B8532">
            <v>8663</v>
          </cell>
        </row>
        <row r="8533">
          <cell r="A8533" t="str">
            <v>MART VAARPU</v>
          </cell>
          <cell r="B8533">
            <v>8662</v>
          </cell>
        </row>
        <row r="8534">
          <cell r="A8534" t="str">
            <v>MAILI VAARPUU</v>
          </cell>
          <cell r="B8534">
            <v>9336</v>
          </cell>
        </row>
        <row r="8535">
          <cell r="A8535" t="str">
            <v>PILLE-RIIN VACKERMANN</v>
          </cell>
          <cell r="B8535">
            <v>1325</v>
          </cell>
        </row>
        <row r="8536">
          <cell r="A8536" t="str">
            <v>VALLO VACKERMANN</v>
          </cell>
          <cell r="B8536">
            <v>915</v>
          </cell>
        </row>
        <row r="8537">
          <cell r="A8537" t="str">
            <v>MARET VADI</v>
          </cell>
          <cell r="B8537">
            <v>4015</v>
          </cell>
        </row>
        <row r="8538">
          <cell r="A8538" t="str">
            <v>LAURI VAGENSTEIN</v>
          </cell>
          <cell r="B8538">
            <v>8088</v>
          </cell>
        </row>
        <row r="8539">
          <cell r="A8539" t="str">
            <v>LEONID VAGULIN</v>
          </cell>
          <cell r="B8539">
            <v>2189</v>
          </cell>
        </row>
        <row r="8540">
          <cell r="A8540" t="str">
            <v>MERLE VAGUR</v>
          </cell>
          <cell r="B8540">
            <v>9726</v>
          </cell>
        </row>
        <row r="8541">
          <cell r="A8541" t="str">
            <v>RASMUS VAGUR</v>
          </cell>
          <cell r="B8541">
            <v>9939</v>
          </cell>
        </row>
        <row r="8542">
          <cell r="A8542" t="str">
            <v>SATU VAHALUOTO</v>
          </cell>
          <cell r="B8542">
            <v>935</v>
          </cell>
        </row>
        <row r="8543">
          <cell r="A8543" t="str">
            <v>KARIN VAHAR</v>
          </cell>
          <cell r="B8543">
            <v>2719</v>
          </cell>
        </row>
        <row r="8544">
          <cell r="A8544" t="str">
            <v>KARLA VAHAR</v>
          </cell>
          <cell r="B8544">
            <v>2717</v>
          </cell>
        </row>
        <row r="8545">
          <cell r="A8545" t="str">
            <v>RAUL VAHAR</v>
          </cell>
          <cell r="B8545">
            <v>4720</v>
          </cell>
        </row>
        <row r="8546">
          <cell r="A8546" t="str">
            <v>ROMET VAHEMAA</v>
          </cell>
          <cell r="B8546">
            <v>9861</v>
          </cell>
        </row>
        <row r="8547">
          <cell r="A8547" t="str">
            <v>ANDREAS VAHER</v>
          </cell>
          <cell r="B8547">
            <v>5182</v>
          </cell>
        </row>
        <row r="8548">
          <cell r="A8548" t="str">
            <v>ANDRUS VAHER</v>
          </cell>
          <cell r="B8548">
            <v>5181</v>
          </cell>
        </row>
        <row r="8549">
          <cell r="A8549" t="str">
            <v>JANIS VAHER</v>
          </cell>
          <cell r="B8549">
            <v>9133</v>
          </cell>
        </row>
        <row r="8550">
          <cell r="A8550" t="str">
            <v>JÜRI VAHER</v>
          </cell>
          <cell r="B8550">
            <v>4131</v>
          </cell>
        </row>
        <row r="8551">
          <cell r="A8551" t="str">
            <v>KARL VAHER</v>
          </cell>
          <cell r="B8551">
            <v>4037</v>
          </cell>
        </row>
        <row r="8552">
          <cell r="A8552" t="str">
            <v>MARTEN VAHER</v>
          </cell>
          <cell r="B8552">
            <v>8258</v>
          </cell>
        </row>
        <row r="8553">
          <cell r="A8553" t="str">
            <v>PRIIDU VAHER</v>
          </cell>
          <cell r="B8553">
            <v>492</v>
          </cell>
        </row>
        <row r="8554">
          <cell r="A8554" t="str">
            <v>TEET VAHER</v>
          </cell>
          <cell r="B8554">
            <v>5432</v>
          </cell>
        </row>
        <row r="8555">
          <cell r="A8555" t="str">
            <v>TRIIN VAHER</v>
          </cell>
          <cell r="B8555">
            <v>10876</v>
          </cell>
        </row>
        <row r="8556">
          <cell r="A8556" t="str">
            <v>TRIINU VAHER</v>
          </cell>
          <cell r="B8556">
            <v>9151</v>
          </cell>
        </row>
        <row r="8557">
          <cell r="A8557" t="str">
            <v>VOOTELE VAHER</v>
          </cell>
          <cell r="B8557">
            <v>7352</v>
          </cell>
        </row>
        <row r="8558">
          <cell r="A8558" t="str">
            <v>HELENE-MARIE VAHERA</v>
          </cell>
          <cell r="B8558">
            <v>1874</v>
          </cell>
        </row>
        <row r="8559">
          <cell r="A8559" t="str">
            <v>KETTER VAHERMÄE</v>
          </cell>
          <cell r="B8559">
            <v>10711</v>
          </cell>
        </row>
        <row r="8560">
          <cell r="A8560" t="str">
            <v>HEIGO VAHERMETS</v>
          </cell>
          <cell r="B8560">
            <v>4144</v>
          </cell>
        </row>
        <row r="8561">
          <cell r="A8561" t="str">
            <v>HEIGO-ELMAR VAHESAAR</v>
          </cell>
          <cell r="B8561">
            <v>3916</v>
          </cell>
        </row>
        <row r="8562">
          <cell r="A8562" t="str">
            <v>TAURI-VILJAR VAHESAAR</v>
          </cell>
          <cell r="B8562">
            <v>3915</v>
          </cell>
        </row>
        <row r="8563">
          <cell r="A8563" t="str">
            <v>TOREN HOLDER VAHESAAR</v>
          </cell>
          <cell r="B8563">
            <v>9767</v>
          </cell>
        </row>
        <row r="8564">
          <cell r="A8564" t="str">
            <v>KAIDO VAHESALU</v>
          </cell>
          <cell r="B8564">
            <v>4606</v>
          </cell>
        </row>
        <row r="8565">
          <cell r="A8565" t="str">
            <v>KRISTI VAHL</v>
          </cell>
          <cell r="B8565">
            <v>5072</v>
          </cell>
        </row>
        <row r="8566">
          <cell r="A8566" t="str">
            <v>TASO VAHL</v>
          </cell>
          <cell r="B8566">
            <v>5348</v>
          </cell>
        </row>
        <row r="8567">
          <cell r="A8567" t="str">
            <v>OLEG VAHRUDTINOVS</v>
          </cell>
          <cell r="B8567">
            <v>1659</v>
          </cell>
        </row>
        <row r="8568">
          <cell r="A8568" t="str">
            <v>JAANUS VAHT</v>
          </cell>
          <cell r="B8568">
            <v>3068</v>
          </cell>
        </row>
        <row r="8569">
          <cell r="A8569" t="str">
            <v>KÄTHLIN VAHTEL</v>
          </cell>
          <cell r="B8569">
            <v>8292</v>
          </cell>
        </row>
        <row r="8570">
          <cell r="A8570" t="str">
            <v>ALEX VAHTER</v>
          </cell>
          <cell r="B8570">
            <v>7443</v>
          </cell>
        </row>
        <row r="8571">
          <cell r="A8571" t="str">
            <v>ANDRUS VAHTER</v>
          </cell>
          <cell r="B8571">
            <v>5045</v>
          </cell>
        </row>
        <row r="8572">
          <cell r="A8572" t="str">
            <v>ANITA VAHTER</v>
          </cell>
          <cell r="B8572">
            <v>3715</v>
          </cell>
        </row>
        <row r="8573">
          <cell r="A8573" t="str">
            <v>ELLEN VAHTER</v>
          </cell>
          <cell r="B8573">
            <v>10322</v>
          </cell>
        </row>
        <row r="8574">
          <cell r="A8574" t="str">
            <v>GUNNAR VAHTER</v>
          </cell>
          <cell r="B8574">
            <v>10415</v>
          </cell>
        </row>
        <row r="8575">
          <cell r="A8575" t="str">
            <v>HARRI VAHTER</v>
          </cell>
          <cell r="B8575">
            <v>333</v>
          </cell>
        </row>
        <row r="8576">
          <cell r="A8576" t="str">
            <v>KALJO VAHTER</v>
          </cell>
          <cell r="B8576">
            <v>280</v>
          </cell>
        </row>
        <row r="8577">
          <cell r="A8577" t="str">
            <v>LII VAHTER</v>
          </cell>
          <cell r="B8577">
            <v>2103</v>
          </cell>
        </row>
        <row r="8578">
          <cell r="A8578" t="str">
            <v>VILJAR VAHTER</v>
          </cell>
          <cell r="B8578">
            <v>3710</v>
          </cell>
        </row>
        <row r="8579">
          <cell r="A8579" t="str">
            <v>ERKI VAHTRA</v>
          </cell>
          <cell r="B8579">
            <v>3574</v>
          </cell>
        </row>
        <row r="8580">
          <cell r="A8580" t="str">
            <v>JÜRI VAHTRA</v>
          </cell>
          <cell r="B8580">
            <v>1214</v>
          </cell>
        </row>
        <row r="8581">
          <cell r="A8581" t="str">
            <v>KERTU VAHTRA</v>
          </cell>
          <cell r="B8581">
            <v>3545</v>
          </cell>
        </row>
        <row r="8582">
          <cell r="A8582" t="str">
            <v>TOOMAS VAHTRA</v>
          </cell>
          <cell r="B8582">
            <v>7138</v>
          </cell>
        </row>
        <row r="8583">
          <cell r="A8583" t="str">
            <v>VEIKO VAHTRA</v>
          </cell>
          <cell r="B8583">
            <v>343</v>
          </cell>
        </row>
        <row r="8584">
          <cell r="A8584" t="str">
            <v>MARKUS VAHTRAMÄE</v>
          </cell>
          <cell r="B8584">
            <v>5344</v>
          </cell>
        </row>
        <row r="8585">
          <cell r="A8585" t="str">
            <v>KUNNAR VAHTRAS</v>
          </cell>
          <cell r="B8585">
            <v>4804</v>
          </cell>
        </row>
        <row r="8586">
          <cell r="A8586" t="str">
            <v>ROMAN VAHTRAS</v>
          </cell>
          <cell r="B8586">
            <v>5073</v>
          </cell>
        </row>
        <row r="8587">
          <cell r="A8587" t="str">
            <v>STEN VAHTRAS</v>
          </cell>
          <cell r="B8587">
            <v>4853</v>
          </cell>
        </row>
        <row r="8588">
          <cell r="A8588" t="str">
            <v>GERLI VAHTRIKU</v>
          </cell>
          <cell r="B8588">
            <v>7938</v>
          </cell>
        </row>
        <row r="8589">
          <cell r="A8589" t="str">
            <v>REBAS VAHUR</v>
          </cell>
          <cell r="B8589">
            <v>8890</v>
          </cell>
        </row>
        <row r="8590">
          <cell r="A8590" t="str">
            <v>KAROLINA VAICIULYTE</v>
          </cell>
          <cell r="B8590">
            <v>3174</v>
          </cell>
        </row>
        <row r="8591">
          <cell r="A8591" t="str">
            <v>ANDREJS VAICUKS</v>
          </cell>
          <cell r="B8591">
            <v>8700</v>
          </cell>
        </row>
        <row r="8592">
          <cell r="A8592" t="str">
            <v>VAHUR VAIDE</v>
          </cell>
          <cell r="B8592">
            <v>329</v>
          </cell>
        </row>
        <row r="8593">
          <cell r="A8593" t="str">
            <v>RUDOLFS VAIDERS</v>
          </cell>
          <cell r="B8593">
            <v>8622</v>
          </cell>
        </row>
        <row r="8594">
          <cell r="A8594" t="str">
            <v>SANDER VAIDO</v>
          </cell>
          <cell r="B8594">
            <v>1093</v>
          </cell>
        </row>
        <row r="8595">
          <cell r="A8595" t="str">
            <v>MIKK VAIKLA</v>
          </cell>
          <cell r="B8595">
            <v>2408</v>
          </cell>
        </row>
        <row r="8596">
          <cell r="A8596" t="str">
            <v>PEETER VAIKLA</v>
          </cell>
          <cell r="B8596">
            <v>281</v>
          </cell>
        </row>
        <row r="8597">
          <cell r="A8597" t="str">
            <v>RANDO VAIKMÄE</v>
          </cell>
          <cell r="B8597">
            <v>5607</v>
          </cell>
        </row>
        <row r="8598">
          <cell r="A8598" t="str">
            <v>OTT VAIKNEMETS</v>
          </cell>
          <cell r="B8598">
            <v>3462</v>
          </cell>
        </row>
        <row r="8599">
          <cell r="A8599" t="str">
            <v>ANDER VAIKNURM</v>
          </cell>
          <cell r="B8599">
            <v>6992</v>
          </cell>
        </row>
        <row r="8600">
          <cell r="A8600" t="str">
            <v>SUSANNA VAIN</v>
          </cell>
          <cell r="B8600">
            <v>2283</v>
          </cell>
        </row>
        <row r="8601">
          <cell r="A8601" t="str">
            <v>KUIDO VAINKÜLA</v>
          </cell>
          <cell r="B8601">
            <v>9145</v>
          </cell>
        </row>
        <row r="8602">
          <cell r="A8602" t="str">
            <v>ROBIN VAINLO</v>
          </cell>
          <cell r="B8602">
            <v>8683</v>
          </cell>
        </row>
        <row r="8603">
          <cell r="A8603" t="str">
            <v>DANIL VAINO</v>
          </cell>
          <cell r="B8603">
            <v>4086</v>
          </cell>
        </row>
        <row r="8604">
          <cell r="A8604" t="str">
            <v>GERLI VAINO</v>
          </cell>
          <cell r="B8604">
            <v>1115</v>
          </cell>
        </row>
        <row r="8605">
          <cell r="A8605" t="str">
            <v>KIRKE VAINO</v>
          </cell>
          <cell r="B8605">
            <v>2722</v>
          </cell>
        </row>
        <row r="8606">
          <cell r="A8606" t="str">
            <v>MARIS VAINO</v>
          </cell>
          <cell r="B8606">
            <v>1982</v>
          </cell>
        </row>
        <row r="8607">
          <cell r="A8607" t="str">
            <v>NIKITA VAINO</v>
          </cell>
          <cell r="B8607">
            <v>4085</v>
          </cell>
        </row>
        <row r="8608">
          <cell r="A8608" t="str">
            <v>JAANUS VAINOJA</v>
          </cell>
          <cell r="B8608">
            <v>1785</v>
          </cell>
        </row>
        <row r="8609">
          <cell r="A8609" t="str">
            <v>REBEKA VAINOJA</v>
          </cell>
          <cell r="B8609">
            <v>3588</v>
          </cell>
        </row>
        <row r="8610">
          <cell r="A8610" t="str">
            <v>FREDI-MARKUS VAINOLA</v>
          </cell>
          <cell r="B8610">
            <v>9919</v>
          </cell>
        </row>
        <row r="8611">
          <cell r="A8611" t="str">
            <v>ARVI VAINULA</v>
          </cell>
          <cell r="B8611">
            <v>3971</v>
          </cell>
        </row>
        <row r="8612">
          <cell r="A8612" t="str">
            <v>VALLOT VAINULA</v>
          </cell>
          <cell r="B8612">
            <v>282</v>
          </cell>
        </row>
        <row r="8613">
          <cell r="A8613" t="str">
            <v>KERLI VAISTLA</v>
          </cell>
          <cell r="B8613">
            <v>3406</v>
          </cell>
        </row>
        <row r="8614">
          <cell r="A8614" t="str">
            <v>SIRET VAISTLA</v>
          </cell>
          <cell r="B8614">
            <v>4608</v>
          </cell>
        </row>
        <row r="8615">
          <cell r="A8615" t="str">
            <v>BENAS VAITKAVICIUS</v>
          </cell>
          <cell r="B8615">
            <v>9412</v>
          </cell>
        </row>
        <row r="8616">
          <cell r="A8616" t="str">
            <v>LAIMONDAS VAIVADA</v>
          </cell>
          <cell r="B8616">
            <v>3169</v>
          </cell>
        </row>
        <row r="8617">
          <cell r="A8617" t="str">
            <v>EUGENIJUS VAIČIŪNAS</v>
          </cell>
          <cell r="B8617">
            <v>4965</v>
          </cell>
        </row>
        <row r="8618">
          <cell r="A8618" t="str">
            <v>KATSIARYNA VAKHLIAYEVA</v>
          </cell>
          <cell r="B8618">
            <v>7732</v>
          </cell>
        </row>
        <row r="8619">
          <cell r="A8619" t="str">
            <v>JAKO VAKS</v>
          </cell>
          <cell r="B8619">
            <v>2541</v>
          </cell>
        </row>
        <row r="8620">
          <cell r="A8620" t="str">
            <v>PASI VALASTI</v>
          </cell>
          <cell r="B8620">
            <v>3637</v>
          </cell>
        </row>
        <row r="8621">
          <cell r="A8621" t="str">
            <v>VEETI ESA BENJAMIN VALASTI</v>
          </cell>
          <cell r="B8621">
            <v>5514</v>
          </cell>
        </row>
        <row r="8622">
          <cell r="A8622" t="str">
            <v>KILL VALDEK</v>
          </cell>
          <cell r="B8622">
            <v>3442</v>
          </cell>
        </row>
        <row r="8623">
          <cell r="A8623" t="str">
            <v>SIGRID VALDEK</v>
          </cell>
          <cell r="B8623">
            <v>2793</v>
          </cell>
        </row>
        <row r="8624">
          <cell r="A8624" t="str">
            <v>OTTO VILLEM VALDMANN</v>
          </cell>
          <cell r="B8624">
            <v>9730</v>
          </cell>
        </row>
        <row r="8625">
          <cell r="A8625" t="str">
            <v>MEELIS VALDMETS</v>
          </cell>
          <cell r="B8625">
            <v>3683</v>
          </cell>
        </row>
        <row r="8626">
          <cell r="A8626" t="str">
            <v>MADIS VALDRE</v>
          </cell>
          <cell r="B8626">
            <v>7900</v>
          </cell>
        </row>
        <row r="8627">
          <cell r="A8627" t="str">
            <v>TARMO VALDRE</v>
          </cell>
          <cell r="B8627">
            <v>431</v>
          </cell>
        </row>
        <row r="8628">
          <cell r="A8628" t="str">
            <v>STEFAN VALDT</v>
          </cell>
          <cell r="B8628">
            <v>10885</v>
          </cell>
        </row>
        <row r="8629">
          <cell r="A8629" t="str">
            <v>VLADIMIR VALEJEV</v>
          </cell>
          <cell r="B8629">
            <v>371</v>
          </cell>
        </row>
        <row r="8630">
          <cell r="A8630" t="str">
            <v>KARINA VALETOVA</v>
          </cell>
          <cell r="B8630">
            <v>8381</v>
          </cell>
        </row>
        <row r="8631">
          <cell r="A8631" t="str">
            <v>JUTA VALGE</v>
          </cell>
          <cell r="B8631">
            <v>9221</v>
          </cell>
        </row>
        <row r="8632">
          <cell r="A8632" t="str">
            <v>KRISTELLA VALGE</v>
          </cell>
          <cell r="B8632">
            <v>8247</v>
          </cell>
        </row>
        <row r="8633">
          <cell r="A8633" t="str">
            <v>MARKUS VALGE</v>
          </cell>
          <cell r="B8633">
            <v>4609</v>
          </cell>
        </row>
        <row r="8634">
          <cell r="A8634" t="str">
            <v>MIHKEL HUNT VALGE</v>
          </cell>
          <cell r="B8634">
            <v>10641</v>
          </cell>
        </row>
        <row r="8635">
          <cell r="A8635" t="str">
            <v>PENT KAAREL VALGE</v>
          </cell>
          <cell r="B8635">
            <v>3572</v>
          </cell>
        </row>
        <row r="8636">
          <cell r="A8636" t="str">
            <v>HENDRIK VALGEMÄE</v>
          </cell>
          <cell r="B8636">
            <v>2725</v>
          </cell>
        </row>
        <row r="8637">
          <cell r="A8637" t="str">
            <v>GERDA VALGENBERG</v>
          </cell>
          <cell r="B8637">
            <v>1610</v>
          </cell>
        </row>
        <row r="8638">
          <cell r="A8638" t="str">
            <v>GERLE VALGENBERG</v>
          </cell>
          <cell r="B8638">
            <v>2237</v>
          </cell>
        </row>
        <row r="8639">
          <cell r="A8639" t="str">
            <v>RICO-ROBIN VALGEPEA</v>
          </cell>
          <cell r="B8639">
            <v>9701</v>
          </cell>
        </row>
        <row r="8640">
          <cell r="A8640" t="str">
            <v>GERT ARMAND VALGERIST</v>
          </cell>
          <cell r="B8640">
            <v>8469</v>
          </cell>
        </row>
        <row r="8641">
          <cell r="A8641" t="str">
            <v>HEINO VALGESSAAR</v>
          </cell>
          <cell r="B8641">
            <v>4854</v>
          </cell>
        </row>
        <row r="8642">
          <cell r="A8642" t="str">
            <v>TANEL VALGMA</v>
          </cell>
          <cell r="B8642">
            <v>7504</v>
          </cell>
        </row>
        <row r="8643">
          <cell r="A8643" t="str">
            <v>KONSTANTIN VALGUR</v>
          </cell>
          <cell r="B8643">
            <v>4007</v>
          </cell>
        </row>
        <row r="8644">
          <cell r="A8644" t="str">
            <v>KRISTUPAS VALIUKAS</v>
          </cell>
          <cell r="B8644">
            <v>10501</v>
          </cell>
        </row>
        <row r="8645">
          <cell r="A8645" t="str">
            <v>LEA VALIULINA</v>
          </cell>
          <cell r="B8645">
            <v>4610</v>
          </cell>
        </row>
        <row r="8646">
          <cell r="A8646" t="str">
            <v>FARID VALIYEV</v>
          </cell>
          <cell r="B8646">
            <v>10360</v>
          </cell>
        </row>
        <row r="8647">
          <cell r="A8647" t="str">
            <v>PAVEL VALJAJEV</v>
          </cell>
          <cell r="B8647">
            <v>389</v>
          </cell>
        </row>
        <row r="8648">
          <cell r="A8648" t="str">
            <v>DORIS VALK</v>
          </cell>
          <cell r="B8648">
            <v>10024</v>
          </cell>
        </row>
        <row r="8649">
          <cell r="A8649" t="str">
            <v>KARL-ARTUR VALK</v>
          </cell>
          <cell r="B8649">
            <v>10513</v>
          </cell>
        </row>
        <row r="8650">
          <cell r="A8650" t="str">
            <v>KASPAR VALK</v>
          </cell>
          <cell r="B8650">
            <v>9291</v>
          </cell>
        </row>
        <row r="8651">
          <cell r="A8651" t="str">
            <v>MERIKE VALK</v>
          </cell>
          <cell r="B8651">
            <v>1879</v>
          </cell>
        </row>
        <row r="8652">
          <cell r="A8652" t="str">
            <v>RANDO VALK</v>
          </cell>
          <cell r="B8652">
            <v>5229</v>
          </cell>
        </row>
        <row r="8653">
          <cell r="A8653" t="str">
            <v>ROBIN VALK</v>
          </cell>
          <cell r="B8653">
            <v>10025</v>
          </cell>
        </row>
        <row r="8654">
          <cell r="A8654" t="str">
            <v>STEN VALKIAINEN</v>
          </cell>
          <cell r="B8654">
            <v>9976</v>
          </cell>
        </row>
        <row r="8655">
          <cell r="A8655" t="str">
            <v>ANU VALL</v>
          </cell>
          <cell r="B8655">
            <v>1855</v>
          </cell>
        </row>
        <row r="8656">
          <cell r="A8656" t="str">
            <v>ARKO VALL</v>
          </cell>
          <cell r="B8656">
            <v>6994</v>
          </cell>
        </row>
        <row r="8657">
          <cell r="A8657" t="str">
            <v>AARE VALLEV</v>
          </cell>
          <cell r="B8657">
            <v>5074</v>
          </cell>
        </row>
        <row r="8658">
          <cell r="A8658" t="str">
            <v>TOOMAS VALLIKIVI</v>
          </cell>
          <cell r="B8658">
            <v>8030</v>
          </cell>
        </row>
        <row r="8659">
          <cell r="A8659" t="str">
            <v>KARL ANDRE VALLNER</v>
          </cell>
          <cell r="B8659">
            <v>8294</v>
          </cell>
        </row>
        <row r="8660">
          <cell r="A8660" t="str">
            <v>ERKI VALMSEN</v>
          </cell>
          <cell r="B8660">
            <v>1196</v>
          </cell>
        </row>
        <row r="8661">
          <cell r="A8661" t="str">
            <v>INDREK VALO</v>
          </cell>
          <cell r="B8661">
            <v>5288</v>
          </cell>
        </row>
        <row r="8662">
          <cell r="A8662" t="str">
            <v>RAIKO VALO</v>
          </cell>
          <cell r="B8662">
            <v>3210</v>
          </cell>
        </row>
        <row r="8663">
          <cell r="A8663" t="str">
            <v>RAINER VALO</v>
          </cell>
          <cell r="B8663">
            <v>3153</v>
          </cell>
        </row>
        <row r="8664">
          <cell r="A8664" t="str">
            <v>RAUNO VALO</v>
          </cell>
          <cell r="B8664">
            <v>3250</v>
          </cell>
        </row>
        <row r="8665">
          <cell r="A8665" t="str">
            <v>RIINE VALO</v>
          </cell>
          <cell r="B8665">
            <v>7644</v>
          </cell>
        </row>
        <row r="8666">
          <cell r="A8666" t="str">
            <v>RITI VALO</v>
          </cell>
          <cell r="B8666">
            <v>10791</v>
          </cell>
        </row>
        <row r="8667">
          <cell r="A8667" t="str">
            <v>ANTON VALOV</v>
          </cell>
          <cell r="B8667">
            <v>6218</v>
          </cell>
        </row>
        <row r="8668">
          <cell r="A8668" t="str">
            <v>VELLO VALS</v>
          </cell>
          <cell r="B8668">
            <v>1172</v>
          </cell>
        </row>
        <row r="8669">
          <cell r="A8669" t="str">
            <v>KAI VALT</v>
          </cell>
          <cell r="B8669">
            <v>2442</v>
          </cell>
        </row>
        <row r="8670">
          <cell r="A8670" t="str">
            <v>MARKO VALTER</v>
          </cell>
          <cell r="B8670">
            <v>3396</v>
          </cell>
        </row>
        <row r="8671">
          <cell r="A8671" t="str">
            <v>SILVER VALTER</v>
          </cell>
          <cell r="B8671">
            <v>2645</v>
          </cell>
        </row>
        <row r="8672">
          <cell r="A8672" t="str">
            <v>JAAN VALTIN</v>
          </cell>
          <cell r="B8672">
            <v>7199</v>
          </cell>
        </row>
        <row r="8673">
          <cell r="A8673" t="str">
            <v>JANNO VALTIN</v>
          </cell>
          <cell r="B8673">
            <v>7191</v>
          </cell>
        </row>
        <row r="8674">
          <cell r="A8674" t="str">
            <v>HEITI VALTRI</v>
          </cell>
          <cell r="B8674">
            <v>4855</v>
          </cell>
        </row>
        <row r="8675">
          <cell r="A8675" t="str">
            <v>TOMASS VALTS</v>
          </cell>
          <cell r="B8675">
            <v>8621</v>
          </cell>
        </row>
        <row r="8676">
          <cell r="A8676" t="str">
            <v>ALEKSEI VALTSEV</v>
          </cell>
          <cell r="B8676">
            <v>3115</v>
          </cell>
        </row>
        <row r="8677">
          <cell r="A8677" t="str">
            <v>VLADIMIR VALTSEV</v>
          </cell>
          <cell r="B8677">
            <v>10871</v>
          </cell>
        </row>
        <row r="8678">
          <cell r="A8678" t="str">
            <v>VLADISLAV VALTSEV</v>
          </cell>
          <cell r="B8678">
            <v>3099</v>
          </cell>
        </row>
        <row r="8679">
          <cell r="A8679" t="str">
            <v>ALEKSANDER VAMMUS</v>
          </cell>
          <cell r="B8679">
            <v>5324</v>
          </cell>
        </row>
        <row r="8680">
          <cell r="A8680" t="str">
            <v>DENIS VAMMUS</v>
          </cell>
          <cell r="B8680">
            <v>5024</v>
          </cell>
        </row>
        <row r="8681">
          <cell r="A8681" t="str">
            <v>RICHARD VANA</v>
          </cell>
          <cell r="B8681">
            <v>6275</v>
          </cell>
        </row>
        <row r="8682">
          <cell r="A8682" t="str">
            <v>GUSTAVS VANAGS</v>
          </cell>
          <cell r="B8682">
            <v>9081</v>
          </cell>
        </row>
        <row r="8683">
          <cell r="A8683" t="str">
            <v>INGUS VANAGS</v>
          </cell>
          <cell r="B8683">
            <v>1284</v>
          </cell>
        </row>
        <row r="8684">
          <cell r="A8684" t="str">
            <v>ALIAKSANDR VANAHEL</v>
          </cell>
          <cell r="B8684">
            <v>7742</v>
          </cell>
        </row>
        <row r="8685">
          <cell r="A8685" t="str">
            <v>KAIRI VANATOA</v>
          </cell>
          <cell r="B8685">
            <v>5156</v>
          </cell>
        </row>
        <row r="8686">
          <cell r="A8686" t="str">
            <v>ELIAS VANDOR</v>
          </cell>
          <cell r="B8686">
            <v>9416</v>
          </cell>
        </row>
        <row r="8687">
          <cell r="A8687" t="str">
            <v>ROMAN VANDTKE</v>
          </cell>
          <cell r="B8687">
            <v>8034</v>
          </cell>
        </row>
        <row r="8688">
          <cell r="A8688" t="str">
            <v>ERIK VANE</v>
          </cell>
          <cell r="B8688">
            <v>5075</v>
          </cell>
        </row>
        <row r="8689">
          <cell r="A8689" t="str">
            <v>KÄRTLIN VANGONEN</v>
          </cell>
          <cell r="B8689">
            <v>5123</v>
          </cell>
        </row>
        <row r="8690">
          <cell r="A8690" t="str">
            <v>HEINO VANKER</v>
          </cell>
          <cell r="B8690">
            <v>450</v>
          </cell>
        </row>
        <row r="8691">
          <cell r="A8691" t="str">
            <v>TAMUR VANKER</v>
          </cell>
          <cell r="B8691">
            <v>5226</v>
          </cell>
        </row>
        <row r="8692">
          <cell r="A8692" t="str">
            <v>MATVEI VANZHA</v>
          </cell>
          <cell r="B8692">
            <v>9911</v>
          </cell>
        </row>
        <row r="8693">
          <cell r="A8693" t="str">
            <v>JAN VANTEJEV</v>
          </cell>
          <cell r="B8693">
            <v>5141</v>
          </cell>
        </row>
        <row r="8694">
          <cell r="A8694" t="str">
            <v>JANA VARABYEVA</v>
          </cell>
          <cell r="B8694">
            <v>7735</v>
          </cell>
        </row>
        <row r="8695">
          <cell r="A8695" t="str">
            <v>RALF MIHKEL VARATALU</v>
          </cell>
          <cell r="B8695">
            <v>9187</v>
          </cell>
        </row>
        <row r="8696">
          <cell r="A8696" t="str">
            <v>EDITH VARB</v>
          </cell>
          <cell r="B8696">
            <v>7867</v>
          </cell>
        </row>
        <row r="8697">
          <cell r="A8697" t="str">
            <v>RAIKKO VARBHEIN</v>
          </cell>
          <cell r="B8697">
            <v>6201</v>
          </cell>
        </row>
        <row r="8698">
          <cell r="A8698" t="str">
            <v>CARL MARCUS VARBLANE</v>
          </cell>
          <cell r="B8698">
            <v>5025</v>
          </cell>
        </row>
        <row r="8699">
          <cell r="A8699" t="str">
            <v>KÄROLIIN VARBLANE</v>
          </cell>
          <cell r="B8699">
            <v>2751</v>
          </cell>
        </row>
        <row r="8700">
          <cell r="A8700" t="str">
            <v>REELIKA VARBLANE</v>
          </cell>
          <cell r="B8700">
            <v>2798</v>
          </cell>
        </row>
        <row r="8701">
          <cell r="A8701" t="str">
            <v>MARKUS VARDJA</v>
          </cell>
          <cell r="B8701">
            <v>9435</v>
          </cell>
        </row>
        <row r="8702">
          <cell r="A8702" t="str">
            <v>TOOMAS VARDJA</v>
          </cell>
          <cell r="B8702">
            <v>7503</v>
          </cell>
        </row>
        <row r="8703">
          <cell r="A8703" t="str">
            <v>ALESJA VARDUGINA</v>
          </cell>
          <cell r="B8703">
            <v>4765</v>
          </cell>
        </row>
        <row r="8704">
          <cell r="A8704" t="str">
            <v>ERIK HERMAN VARE</v>
          </cell>
          <cell r="B8704">
            <v>4611</v>
          </cell>
        </row>
        <row r="8705">
          <cell r="A8705" t="str">
            <v>MARTIN VARE</v>
          </cell>
          <cell r="B8705">
            <v>1431</v>
          </cell>
        </row>
        <row r="8706">
          <cell r="A8706" t="str">
            <v>VAIKO VARE</v>
          </cell>
          <cell r="B8706">
            <v>3377</v>
          </cell>
        </row>
        <row r="8707">
          <cell r="A8707" t="str">
            <v>GERT VARES</v>
          </cell>
          <cell r="B8707">
            <v>8357</v>
          </cell>
        </row>
        <row r="8708">
          <cell r="A8708" t="str">
            <v>HENRI VARES</v>
          </cell>
          <cell r="B8708">
            <v>1959</v>
          </cell>
        </row>
        <row r="8709">
          <cell r="A8709" t="str">
            <v>LIIS VARES</v>
          </cell>
          <cell r="B8709">
            <v>9601</v>
          </cell>
        </row>
        <row r="8710">
          <cell r="A8710" t="str">
            <v>MAGNAR VARES</v>
          </cell>
          <cell r="B8710">
            <v>5492</v>
          </cell>
        </row>
        <row r="8711">
          <cell r="A8711" t="str">
            <v>ROLAND VARES</v>
          </cell>
          <cell r="B8711">
            <v>4922</v>
          </cell>
        </row>
        <row r="8712">
          <cell r="A8712" t="str">
            <v>ENDEL VARIK</v>
          </cell>
          <cell r="B8712">
            <v>2625</v>
          </cell>
        </row>
        <row r="8713">
          <cell r="A8713" t="str">
            <v>HEIGO VARIK</v>
          </cell>
          <cell r="B8713">
            <v>8506</v>
          </cell>
        </row>
        <row r="8714">
          <cell r="A8714" t="str">
            <v>HEILI MARIE VARIK</v>
          </cell>
          <cell r="B8714">
            <v>9224</v>
          </cell>
        </row>
        <row r="8715">
          <cell r="A8715" t="str">
            <v>HENDRIK VARIK</v>
          </cell>
          <cell r="B8715">
            <v>9581</v>
          </cell>
        </row>
        <row r="8716">
          <cell r="A8716" t="str">
            <v>INDREK VARIK</v>
          </cell>
          <cell r="B8716">
            <v>2335</v>
          </cell>
        </row>
        <row r="8717">
          <cell r="A8717" t="str">
            <v>JANAR VARIK</v>
          </cell>
          <cell r="B8717">
            <v>4917</v>
          </cell>
        </row>
        <row r="8718">
          <cell r="A8718" t="str">
            <v>KERTEN VARIK</v>
          </cell>
          <cell r="B8718">
            <v>7374</v>
          </cell>
        </row>
        <row r="8719">
          <cell r="A8719" t="str">
            <v>LEHO VARIK</v>
          </cell>
          <cell r="B8719">
            <v>2421</v>
          </cell>
        </row>
        <row r="8720">
          <cell r="A8720" t="str">
            <v>MARTTI VARIK</v>
          </cell>
          <cell r="B8720">
            <v>1862</v>
          </cell>
        </row>
        <row r="8721">
          <cell r="A8721" t="str">
            <v>ROBERT VARIK</v>
          </cell>
          <cell r="B8721">
            <v>3917</v>
          </cell>
        </row>
        <row r="8722">
          <cell r="A8722" t="str">
            <v>ROMET VARIK</v>
          </cell>
          <cell r="B8722">
            <v>4918</v>
          </cell>
        </row>
        <row r="8723">
          <cell r="A8723" t="str">
            <v>TIINA VARIK</v>
          </cell>
          <cell r="B8723">
            <v>4107</v>
          </cell>
        </row>
        <row r="8724">
          <cell r="A8724" t="str">
            <v>TIIU VARIK</v>
          </cell>
          <cell r="B8724">
            <v>1053</v>
          </cell>
        </row>
        <row r="8725">
          <cell r="A8725" t="str">
            <v>MIKK JAKO VARIKSOO</v>
          </cell>
          <cell r="B8725">
            <v>7620</v>
          </cell>
        </row>
        <row r="8726">
          <cell r="A8726" t="str">
            <v>AIVAR VARIS</v>
          </cell>
          <cell r="B8726">
            <v>8086</v>
          </cell>
        </row>
        <row r="8727">
          <cell r="A8727" t="str">
            <v>HELENA VARJAS</v>
          </cell>
          <cell r="B8727">
            <v>9382</v>
          </cell>
        </row>
        <row r="8728">
          <cell r="A8728" t="str">
            <v>MARCUS VARJUN</v>
          </cell>
          <cell r="B8728">
            <v>7681</v>
          </cell>
        </row>
        <row r="8729">
          <cell r="A8729" t="str">
            <v>MATTIAS VARJUN</v>
          </cell>
          <cell r="B8729">
            <v>7682</v>
          </cell>
        </row>
        <row r="8730">
          <cell r="A8730" t="str">
            <v>DAMIAN VARKKI</v>
          </cell>
          <cell r="B8730">
            <v>10622</v>
          </cell>
        </row>
        <row r="8731">
          <cell r="A8731" t="str">
            <v>SERGEI VARLAMOV</v>
          </cell>
          <cell r="B8731">
            <v>3307</v>
          </cell>
        </row>
        <row r="8732">
          <cell r="A8732" t="str">
            <v>LAURI VARMANN</v>
          </cell>
          <cell r="B8732">
            <v>5124</v>
          </cell>
        </row>
        <row r="8733">
          <cell r="A8733" t="str">
            <v>LAURA VARPULA</v>
          </cell>
          <cell r="B8733">
            <v>1271</v>
          </cell>
        </row>
        <row r="8734">
          <cell r="A8734" t="str">
            <v>BIRGIT VARRIK</v>
          </cell>
          <cell r="B8734">
            <v>134</v>
          </cell>
        </row>
        <row r="8735">
          <cell r="A8735" t="str">
            <v>AIVO VARS</v>
          </cell>
          <cell r="B8735">
            <v>3557</v>
          </cell>
        </row>
        <row r="8736">
          <cell r="A8736" t="str">
            <v>TARMO VARUL</v>
          </cell>
          <cell r="B8736">
            <v>8734</v>
          </cell>
        </row>
        <row r="8737">
          <cell r="A8737" t="str">
            <v>ALEKSANDR VARVARIN</v>
          </cell>
          <cell r="B8737">
            <v>8900</v>
          </cell>
        </row>
        <row r="8738">
          <cell r="A8738" t="str">
            <v>VILIUS VASARIS</v>
          </cell>
          <cell r="B8738">
            <v>3184</v>
          </cell>
        </row>
        <row r="8739">
          <cell r="A8739" t="str">
            <v>RUSNĖ VASARYTE</v>
          </cell>
          <cell r="B8739">
            <v>9366</v>
          </cell>
        </row>
        <row r="8740">
          <cell r="A8740" t="str">
            <v>HELGA VASEMÄGI</v>
          </cell>
          <cell r="B8740">
            <v>135</v>
          </cell>
        </row>
        <row r="8741">
          <cell r="A8741" t="str">
            <v>REIO VASEMÄGI</v>
          </cell>
          <cell r="B8741">
            <v>3399</v>
          </cell>
        </row>
        <row r="8742">
          <cell r="A8742" t="str">
            <v>MIKHAIL VASILETC</v>
          </cell>
          <cell r="B8742">
            <v>7748</v>
          </cell>
        </row>
        <row r="8743">
          <cell r="A8743" t="str">
            <v>VLADISLAV VASILEVITŠ</v>
          </cell>
          <cell r="B8743">
            <v>8784</v>
          </cell>
        </row>
        <row r="8744">
          <cell r="A8744" t="str">
            <v>ANDREI VASILJEV</v>
          </cell>
          <cell r="B8744">
            <v>7105</v>
          </cell>
        </row>
        <row r="8745">
          <cell r="A8745" t="str">
            <v>ALEKSANDRA VASILJEVA</v>
          </cell>
          <cell r="B8745">
            <v>8473</v>
          </cell>
        </row>
        <row r="8746">
          <cell r="A8746" t="str">
            <v>DANIELA VASILJEVA</v>
          </cell>
          <cell r="B8746">
            <v>3337</v>
          </cell>
        </row>
        <row r="8747">
          <cell r="A8747" t="str">
            <v>DENISS VASILJEVS</v>
          </cell>
          <cell r="B8747">
            <v>7426</v>
          </cell>
        </row>
        <row r="8748">
          <cell r="A8748" t="str">
            <v>ALEKSANDR VASIN</v>
          </cell>
          <cell r="B8748">
            <v>2733</v>
          </cell>
        </row>
        <row r="8749">
          <cell r="A8749" t="str">
            <v>LIISU VASIR</v>
          </cell>
          <cell r="B8749">
            <v>4612</v>
          </cell>
        </row>
        <row r="8750">
          <cell r="A8750" t="str">
            <v>ANATOLI VASJUKOV</v>
          </cell>
          <cell r="B8750">
            <v>7005</v>
          </cell>
        </row>
        <row r="8751">
          <cell r="A8751" t="str">
            <v>RAAVO VASK</v>
          </cell>
          <cell r="B8751">
            <v>1865</v>
          </cell>
        </row>
        <row r="8752">
          <cell r="A8752" t="str">
            <v>RAUNO VASK</v>
          </cell>
          <cell r="B8752">
            <v>1465</v>
          </cell>
        </row>
        <row r="8753">
          <cell r="A8753" t="str">
            <v>RENE VASK</v>
          </cell>
          <cell r="B8753">
            <v>2051</v>
          </cell>
        </row>
        <row r="8754">
          <cell r="A8754" t="str">
            <v>KRISTINA VASKEVICIUTE</v>
          </cell>
          <cell r="B8754">
            <v>2512</v>
          </cell>
        </row>
        <row r="8755">
          <cell r="A8755" t="str">
            <v>EGERT-STEN VASLI</v>
          </cell>
          <cell r="B8755">
            <v>3287</v>
          </cell>
        </row>
        <row r="8756">
          <cell r="A8756" t="str">
            <v>JAAN VASSAR</v>
          </cell>
          <cell r="B8756">
            <v>2599</v>
          </cell>
        </row>
        <row r="8757">
          <cell r="A8757" t="str">
            <v>JOHANNES VASSIL</v>
          </cell>
          <cell r="B8757">
            <v>985</v>
          </cell>
        </row>
        <row r="8758">
          <cell r="A8758" t="str">
            <v>ALEKSANDR VASSILJEV</v>
          </cell>
          <cell r="B8758">
            <v>8770</v>
          </cell>
        </row>
        <row r="8759">
          <cell r="A8759" t="str">
            <v>GRIGORI VASSILJEV</v>
          </cell>
          <cell r="B8759">
            <v>1464</v>
          </cell>
        </row>
        <row r="8760">
          <cell r="A8760" t="str">
            <v>INDREK VASSILJEV</v>
          </cell>
          <cell r="B8760">
            <v>2867</v>
          </cell>
        </row>
        <row r="8761">
          <cell r="A8761" t="str">
            <v>KOHTLA-JÄRVE VASSILJEV</v>
          </cell>
          <cell r="B8761">
            <v>3918</v>
          </cell>
        </row>
        <row r="8762">
          <cell r="A8762" t="str">
            <v>KONSTANTIN VASSILJEV</v>
          </cell>
          <cell r="B8762">
            <v>4615</v>
          </cell>
        </row>
        <row r="8763">
          <cell r="A8763" t="str">
            <v>MAKSIM VASSILJEV</v>
          </cell>
          <cell r="B8763">
            <v>1042</v>
          </cell>
        </row>
        <row r="8764">
          <cell r="A8764" t="str">
            <v>PEEP VASSILJEV</v>
          </cell>
          <cell r="B8764">
            <v>1946</v>
          </cell>
        </row>
        <row r="8765">
          <cell r="A8765" t="str">
            <v>SERGEI VASSILJEV</v>
          </cell>
          <cell r="B8765">
            <v>1304</v>
          </cell>
        </row>
        <row r="8766">
          <cell r="A8766" t="str">
            <v>STANISLAV VASSILJEV</v>
          </cell>
          <cell r="B8766">
            <v>4614</v>
          </cell>
        </row>
        <row r="8767">
          <cell r="A8767" t="str">
            <v>VENJAMIN VASSILJEV</v>
          </cell>
          <cell r="B8767">
            <v>1351</v>
          </cell>
        </row>
        <row r="8768">
          <cell r="A8768" t="str">
            <v>VLADISLAV VASSILJEV</v>
          </cell>
          <cell r="B8768">
            <v>4613</v>
          </cell>
        </row>
        <row r="8769">
          <cell r="A8769" t="str">
            <v>ALEKSANDRA VASSILJEVA</v>
          </cell>
          <cell r="B8769">
            <v>2359</v>
          </cell>
        </row>
        <row r="8770">
          <cell r="A8770" t="str">
            <v>ANNA MARIA VASSILJEVA</v>
          </cell>
          <cell r="B8770">
            <v>6219</v>
          </cell>
        </row>
        <row r="8771">
          <cell r="A8771" t="str">
            <v>KRISTINA VASSILJEVA</v>
          </cell>
          <cell r="B8771">
            <v>5981</v>
          </cell>
        </row>
        <row r="8772">
          <cell r="A8772" t="str">
            <v>MARINA VASSILJEVA</v>
          </cell>
          <cell r="B8772">
            <v>9032</v>
          </cell>
        </row>
        <row r="8773">
          <cell r="A8773" t="str">
            <v>SANDIJS VASSILJEVS</v>
          </cell>
          <cell r="B8773">
            <v>852</v>
          </cell>
        </row>
        <row r="8774">
          <cell r="A8774" t="str">
            <v>VITALI VASSIN</v>
          </cell>
          <cell r="B8774">
            <v>3595</v>
          </cell>
        </row>
        <row r="8775">
          <cell r="A8775" t="str">
            <v>MILLA-MARI VASTAVUO</v>
          </cell>
          <cell r="B8775">
            <v>2995</v>
          </cell>
        </row>
        <row r="8776">
          <cell r="A8776" t="str">
            <v>SINA VATANPARAST</v>
          </cell>
          <cell r="B8776">
            <v>9826</v>
          </cell>
        </row>
        <row r="8777">
          <cell r="A8777" t="str">
            <v>GAIDI VATTER</v>
          </cell>
          <cell r="B8777">
            <v>4038</v>
          </cell>
        </row>
        <row r="8778">
          <cell r="A8778" t="str">
            <v>RIVO VEBER</v>
          </cell>
          <cell r="B8778">
            <v>5026</v>
          </cell>
        </row>
        <row r="8779">
          <cell r="A8779" t="str">
            <v>TÕNIS VEBER</v>
          </cell>
          <cell r="B8779">
            <v>472</v>
          </cell>
        </row>
        <row r="8780">
          <cell r="A8780" t="str">
            <v>URMO VEBER</v>
          </cell>
          <cell r="B8780">
            <v>6249</v>
          </cell>
        </row>
        <row r="8781">
          <cell r="A8781" t="str">
            <v>ERIK VEBERSON</v>
          </cell>
          <cell r="B8781">
            <v>1795</v>
          </cell>
        </row>
        <row r="8782">
          <cell r="A8782" t="str">
            <v>NIKOLAI VEDJOHHIN</v>
          </cell>
          <cell r="B8782">
            <v>432</v>
          </cell>
        </row>
        <row r="8783">
          <cell r="A8783" t="str">
            <v>CHRISTINA VEEBEL</v>
          </cell>
          <cell r="B8783">
            <v>8125</v>
          </cell>
        </row>
        <row r="8784">
          <cell r="A8784" t="str">
            <v>JAN-ERIK VEEDLA</v>
          </cell>
          <cell r="B8784">
            <v>4097</v>
          </cell>
        </row>
        <row r="8785">
          <cell r="A8785" t="str">
            <v>BIRGIT VEEGEN</v>
          </cell>
          <cell r="B8785">
            <v>7699</v>
          </cell>
        </row>
        <row r="8786">
          <cell r="A8786" t="str">
            <v>KAUPO VEEGEN</v>
          </cell>
          <cell r="B8786">
            <v>7697</v>
          </cell>
        </row>
        <row r="8787">
          <cell r="A8787" t="str">
            <v>STINA VEEK</v>
          </cell>
          <cell r="B8787">
            <v>7340</v>
          </cell>
        </row>
        <row r="8788">
          <cell r="A8788" t="str">
            <v>PEETER VEELAID</v>
          </cell>
          <cell r="B8788">
            <v>2883</v>
          </cell>
        </row>
        <row r="8789">
          <cell r="A8789" t="str">
            <v>ERMO VEELAIN</v>
          </cell>
          <cell r="B8789">
            <v>8186</v>
          </cell>
        </row>
        <row r="8790">
          <cell r="A8790" t="str">
            <v>MONIKA VEELMA</v>
          </cell>
          <cell r="B8790">
            <v>9463</v>
          </cell>
        </row>
        <row r="8791">
          <cell r="A8791" t="str">
            <v>JOEL VEEMAA</v>
          </cell>
          <cell r="B8791">
            <v>8940</v>
          </cell>
        </row>
        <row r="8792">
          <cell r="A8792" t="str">
            <v>JENS VEENDE</v>
          </cell>
          <cell r="B8792">
            <v>9592</v>
          </cell>
        </row>
        <row r="8793">
          <cell r="A8793" t="str">
            <v>JOHAN VEENPERE</v>
          </cell>
          <cell r="B8793">
            <v>3919</v>
          </cell>
        </row>
        <row r="8794">
          <cell r="A8794" t="str">
            <v>MARCUS VEER</v>
          </cell>
          <cell r="B8794">
            <v>8525</v>
          </cell>
        </row>
        <row r="8795">
          <cell r="A8795" t="str">
            <v>VAMBO VEER</v>
          </cell>
          <cell r="B8795">
            <v>10387</v>
          </cell>
        </row>
        <row r="8796">
          <cell r="A8796" t="str">
            <v>KAUR VEERE</v>
          </cell>
          <cell r="B8796">
            <v>9941</v>
          </cell>
        </row>
        <row r="8797">
          <cell r="A8797" t="str">
            <v>IVO VEERG</v>
          </cell>
          <cell r="B8797">
            <v>5201</v>
          </cell>
        </row>
        <row r="8798">
          <cell r="A8798" t="str">
            <v>MIRJAM VEERMÄE</v>
          </cell>
          <cell r="B8798">
            <v>4766</v>
          </cell>
        </row>
        <row r="8799">
          <cell r="A8799" t="str">
            <v>TARMO VEERMÄE</v>
          </cell>
          <cell r="B8799">
            <v>5246</v>
          </cell>
        </row>
        <row r="8800">
          <cell r="A8800" t="str">
            <v>PILLE VEESAAR</v>
          </cell>
          <cell r="B8800">
            <v>44</v>
          </cell>
        </row>
        <row r="8801">
          <cell r="A8801" t="str">
            <v>MARKUS VEETÕUSME</v>
          </cell>
          <cell r="B8801">
            <v>10851</v>
          </cell>
        </row>
        <row r="8802">
          <cell r="A8802" t="str">
            <v>IMRE VEETAMM</v>
          </cell>
          <cell r="B8802">
            <v>7385</v>
          </cell>
        </row>
        <row r="8803">
          <cell r="A8803" t="str">
            <v>RASMUS VEEVÄLI</v>
          </cell>
          <cell r="B8803">
            <v>10247</v>
          </cell>
        </row>
        <row r="8804">
          <cell r="A8804" t="str">
            <v>BERIT VEIDAMANN</v>
          </cell>
          <cell r="B8804">
            <v>8047</v>
          </cell>
        </row>
        <row r="8805">
          <cell r="A8805" t="str">
            <v>ELINA VEIDENBAUM</v>
          </cell>
          <cell r="B8805">
            <v>10472</v>
          </cell>
        </row>
        <row r="8806">
          <cell r="A8806" t="str">
            <v>STEN-ALEX VEIDENBAUM</v>
          </cell>
          <cell r="B8806">
            <v>9104</v>
          </cell>
        </row>
        <row r="8807">
          <cell r="A8807" t="str">
            <v>RÜNNO VEIDRIK</v>
          </cell>
          <cell r="B8807">
            <v>468</v>
          </cell>
        </row>
        <row r="8808">
          <cell r="A8808" t="str">
            <v>MARKUS VEILTKOP</v>
          </cell>
          <cell r="B8808">
            <v>7377</v>
          </cell>
        </row>
        <row r="8809">
          <cell r="A8809" t="str">
            <v>REIMO VEIMER</v>
          </cell>
          <cell r="B8809">
            <v>2621</v>
          </cell>
        </row>
        <row r="8810">
          <cell r="A8810" t="str">
            <v>MARKUS VEINLA</v>
          </cell>
          <cell r="B8810">
            <v>4890</v>
          </cell>
        </row>
        <row r="8811">
          <cell r="A8811" t="str">
            <v>ANDRES VEIPER</v>
          </cell>
          <cell r="B8811">
            <v>8932</v>
          </cell>
        </row>
        <row r="8812">
          <cell r="A8812" t="str">
            <v>TÕNU VEIPER</v>
          </cell>
          <cell r="B8812">
            <v>1305</v>
          </cell>
        </row>
        <row r="8813">
          <cell r="A8813" t="str">
            <v>RAGNAR VEISMANN</v>
          </cell>
          <cell r="B8813">
            <v>5076</v>
          </cell>
        </row>
        <row r="8814">
          <cell r="A8814" t="str">
            <v>ERVINS VEITSURS</v>
          </cell>
          <cell r="B8814">
            <v>3264</v>
          </cell>
        </row>
        <row r="8815">
          <cell r="A8815" t="str">
            <v>ILJA VEKLENKO</v>
          </cell>
          <cell r="B8815">
            <v>10369</v>
          </cell>
        </row>
        <row r="8816">
          <cell r="A8816" t="str">
            <v>KSENJA VEKSHINA</v>
          </cell>
          <cell r="B8816">
            <v>1500</v>
          </cell>
        </row>
        <row r="8817">
          <cell r="A8817" t="str">
            <v>KAIDO VELDEMANN</v>
          </cell>
          <cell r="B8817">
            <v>3009</v>
          </cell>
        </row>
        <row r="8818">
          <cell r="A8818" t="str">
            <v>RASMUS VELDEMANN</v>
          </cell>
          <cell r="B8818">
            <v>9241</v>
          </cell>
        </row>
        <row r="8819">
          <cell r="A8819" t="str">
            <v>VLADIMIR VELESKEVITŠ</v>
          </cell>
          <cell r="B8819">
            <v>3920</v>
          </cell>
        </row>
        <row r="8820">
          <cell r="A8820" t="str">
            <v>DENIS VELIGORSKI</v>
          </cell>
          <cell r="B8820">
            <v>7883</v>
          </cell>
        </row>
        <row r="8821">
          <cell r="A8821" t="str">
            <v>IVO VELLAK</v>
          </cell>
          <cell r="B8821">
            <v>10846</v>
          </cell>
        </row>
        <row r="8822">
          <cell r="A8822" t="str">
            <v>REINO VELLESTE</v>
          </cell>
          <cell r="B8822">
            <v>4767</v>
          </cell>
        </row>
        <row r="8823">
          <cell r="A8823" t="str">
            <v>ANDRES VELLING</v>
          </cell>
          <cell r="B8823">
            <v>5457</v>
          </cell>
        </row>
        <row r="8824">
          <cell r="A8824" t="str">
            <v>HANS EDUARD VELLMANN</v>
          </cell>
          <cell r="B8824">
            <v>10030</v>
          </cell>
        </row>
        <row r="8825">
          <cell r="A8825" t="str">
            <v>ALLAR VELLNER</v>
          </cell>
          <cell r="B8825">
            <v>2515</v>
          </cell>
        </row>
        <row r="8826">
          <cell r="A8826" t="str">
            <v>LIISI VELLNER</v>
          </cell>
          <cell r="B8826">
            <v>1405</v>
          </cell>
        </row>
        <row r="8827">
          <cell r="A8827" t="str">
            <v>KRISTOFER VELSBERG</v>
          </cell>
          <cell r="B8827">
            <v>9913</v>
          </cell>
        </row>
        <row r="8828">
          <cell r="A8828" t="str">
            <v>MARILIIS VENDEL</v>
          </cell>
          <cell r="B8828">
            <v>7345</v>
          </cell>
        </row>
        <row r="8829">
          <cell r="A8829" t="str">
            <v>KRISTI VENDELIN</v>
          </cell>
          <cell r="B8829">
            <v>3582</v>
          </cell>
        </row>
        <row r="8830">
          <cell r="A8830" t="str">
            <v>KRISTO VENDELIN</v>
          </cell>
          <cell r="B8830">
            <v>3713</v>
          </cell>
        </row>
        <row r="8831">
          <cell r="A8831" t="str">
            <v>URMAS VENDER</v>
          </cell>
          <cell r="B8831">
            <v>8979</v>
          </cell>
        </row>
        <row r="8832">
          <cell r="A8832" t="str">
            <v>ALLAR VENDLA</v>
          </cell>
          <cell r="B8832">
            <v>8685</v>
          </cell>
        </row>
        <row r="8833">
          <cell r="A8833" t="str">
            <v>ARTJOM VENETS</v>
          </cell>
          <cell r="B8833">
            <v>7142</v>
          </cell>
        </row>
        <row r="8834">
          <cell r="A8834" t="str">
            <v>ARVO VENNOLA</v>
          </cell>
          <cell r="B8834">
            <v>8552</v>
          </cell>
        </row>
        <row r="8835">
          <cell r="A8835" t="str">
            <v>HENRI VENSKI</v>
          </cell>
          <cell r="B8835">
            <v>10771</v>
          </cell>
        </row>
        <row r="8836">
          <cell r="A8836" t="str">
            <v>SIMO VENSKI</v>
          </cell>
          <cell r="B8836">
            <v>899</v>
          </cell>
        </row>
        <row r="8837">
          <cell r="A8837" t="str">
            <v>IEVA VENSLAVICIUTE</v>
          </cell>
          <cell r="B8837">
            <v>2511</v>
          </cell>
        </row>
        <row r="8838">
          <cell r="A8838" t="str">
            <v>ARVO VENT</v>
          </cell>
          <cell r="B8838">
            <v>4856</v>
          </cell>
        </row>
        <row r="8839">
          <cell r="A8839" t="str">
            <v>RANDO VENT</v>
          </cell>
          <cell r="B8839">
            <v>8479</v>
          </cell>
        </row>
        <row r="8840">
          <cell r="A8840" t="str">
            <v>AIVAR VENTSEL</v>
          </cell>
          <cell r="B8840">
            <v>290</v>
          </cell>
        </row>
        <row r="8841">
          <cell r="A8841" t="str">
            <v>AVE VENTSEL</v>
          </cell>
          <cell r="B8841">
            <v>10103</v>
          </cell>
        </row>
        <row r="8842">
          <cell r="A8842" t="str">
            <v>SIMONA VERBAUSKAITĖ</v>
          </cell>
          <cell r="B8842">
            <v>10775</v>
          </cell>
        </row>
        <row r="8843">
          <cell r="A8843" t="str">
            <v>SOFIA VERBOLOVICH</v>
          </cell>
          <cell r="B8843">
            <v>7283</v>
          </cell>
        </row>
        <row r="8844">
          <cell r="A8844" t="str">
            <v>MARINA VERENGOF</v>
          </cell>
          <cell r="B8844">
            <v>136</v>
          </cell>
        </row>
        <row r="8845">
          <cell r="A8845" t="str">
            <v>ANNA VEREVKINA</v>
          </cell>
          <cell r="B8845">
            <v>9043</v>
          </cell>
        </row>
        <row r="8846">
          <cell r="A8846" t="str">
            <v>RAMAN VERHUNOU</v>
          </cell>
          <cell r="B8846">
            <v>7741</v>
          </cell>
        </row>
        <row r="8847">
          <cell r="A8847" t="str">
            <v>KERLI VERISMAN</v>
          </cell>
          <cell r="B8847">
            <v>1706</v>
          </cell>
        </row>
        <row r="8848">
          <cell r="A8848" t="str">
            <v>JULIA   VERISTEVA</v>
          </cell>
          <cell r="B8848">
            <v>8952</v>
          </cell>
        </row>
        <row r="8849">
          <cell r="A8849" t="str">
            <v>TIMUR VERJOVKIN</v>
          </cell>
          <cell r="B8849">
            <v>10069</v>
          </cell>
        </row>
        <row r="8850">
          <cell r="A8850" t="str">
            <v>LAURI VERLIIN</v>
          </cell>
          <cell r="B8850">
            <v>7905</v>
          </cell>
        </row>
        <row r="8851">
          <cell r="A8851" t="str">
            <v>AKSEL MADIS VERLIN</v>
          </cell>
          <cell r="B8851">
            <v>5964</v>
          </cell>
        </row>
        <row r="8852">
          <cell r="A8852" t="str">
            <v>OSKAR VERLIN</v>
          </cell>
          <cell r="B8852">
            <v>7079</v>
          </cell>
        </row>
        <row r="8853">
          <cell r="A8853" t="str">
            <v>ANTON VERNER</v>
          </cell>
          <cell r="B8853">
            <v>8672</v>
          </cell>
        </row>
        <row r="8854">
          <cell r="A8854" t="str">
            <v>DIANA VERNKHOFF</v>
          </cell>
          <cell r="B8854">
            <v>7287</v>
          </cell>
        </row>
        <row r="8855">
          <cell r="A8855" t="str">
            <v>JARI VERONMAA</v>
          </cell>
          <cell r="B8855">
            <v>1127</v>
          </cell>
        </row>
        <row r="8856">
          <cell r="A8856" t="str">
            <v>EDUARD VERVEIKO</v>
          </cell>
          <cell r="B8856">
            <v>4616</v>
          </cell>
        </row>
        <row r="8857">
          <cell r="A8857" t="str">
            <v>VLADIMIR VERVEIKO</v>
          </cell>
          <cell r="B8857">
            <v>283</v>
          </cell>
        </row>
        <row r="8858">
          <cell r="A8858" t="str">
            <v>DMITRI VESELEOV</v>
          </cell>
          <cell r="B8858">
            <v>8191</v>
          </cell>
        </row>
        <row r="8859">
          <cell r="A8859" t="str">
            <v>HARRI VESI</v>
          </cell>
          <cell r="B8859">
            <v>1130</v>
          </cell>
        </row>
        <row r="8860">
          <cell r="A8860" t="str">
            <v>MARKO VESI</v>
          </cell>
          <cell r="B8860">
            <v>1131</v>
          </cell>
        </row>
        <row r="8861">
          <cell r="A8861" t="str">
            <v>VOLDEMAR VESI</v>
          </cell>
          <cell r="B8861">
            <v>1951</v>
          </cell>
        </row>
        <row r="8862">
          <cell r="A8862" t="str">
            <v>CATRINA VESILOO</v>
          </cell>
          <cell r="B8862">
            <v>5374</v>
          </cell>
        </row>
        <row r="8863">
          <cell r="A8863" t="str">
            <v>AARE VESK</v>
          </cell>
          <cell r="B8863">
            <v>4617</v>
          </cell>
        </row>
        <row r="8864">
          <cell r="A8864" t="str">
            <v>MIHKEL VESKI</v>
          </cell>
          <cell r="B8864">
            <v>1673</v>
          </cell>
        </row>
        <row r="8865">
          <cell r="A8865" t="str">
            <v>RUVE VESKI</v>
          </cell>
          <cell r="B8865">
            <v>5994</v>
          </cell>
        </row>
        <row r="8866">
          <cell r="A8866" t="str">
            <v>MAURI VESKIMEISTER</v>
          </cell>
          <cell r="B8866">
            <v>5192</v>
          </cell>
        </row>
        <row r="8867">
          <cell r="A8867" t="str">
            <v>KERT KAAREL VESKUS</v>
          </cell>
          <cell r="B8867">
            <v>9001</v>
          </cell>
        </row>
        <row r="8868">
          <cell r="A8868" t="str">
            <v>VERGO VESPER</v>
          </cell>
          <cell r="B8868">
            <v>1255</v>
          </cell>
        </row>
        <row r="8869">
          <cell r="A8869" t="str">
            <v>ANTON VESSELOV</v>
          </cell>
          <cell r="B8869">
            <v>10520</v>
          </cell>
        </row>
        <row r="8870">
          <cell r="A8870" t="str">
            <v>KARINA VESSELOVA</v>
          </cell>
          <cell r="B8870">
            <v>7948</v>
          </cell>
        </row>
        <row r="8871">
          <cell r="A8871" t="str">
            <v>KAREL GLAUS VEST</v>
          </cell>
          <cell r="B8871">
            <v>7081</v>
          </cell>
        </row>
        <row r="8872">
          <cell r="A8872" t="str">
            <v>JANELY VESTLI</v>
          </cell>
          <cell r="B8872">
            <v>3215</v>
          </cell>
        </row>
        <row r="8873">
          <cell r="A8873" t="str">
            <v>JOONAS VESTLI</v>
          </cell>
          <cell r="B8873">
            <v>6271</v>
          </cell>
        </row>
        <row r="8874">
          <cell r="A8874" t="str">
            <v>TOOMAS VESTLI</v>
          </cell>
          <cell r="B8874">
            <v>2831</v>
          </cell>
        </row>
        <row r="8875">
          <cell r="A8875" t="str">
            <v>VALERI VETJUGOV</v>
          </cell>
          <cell r="B8875">
            <v>1985</v>
          </cell>
        </row>
        <row r="8876">
          <cell r="A8876" t="str">
            <v>VLADIMIR VETKIN</v>
          </cell>
          <cell r="B8876">
            <v>5247</v>
          </cell>
        </row>
        <row r="8877">
          <cell r="A8877" t="str">
            <v>LAURI VETTO</v>
          </cell>
          <cell r="B8877">
            <v>7422</v>
          </cell>
        </row>
        <row r="8878">
          <cell r="A8878" t="str">
            <v>FINN VETVIK</v>
          </cell>
          <cell r="B8878">
            <v>7530</v>
          </cell>
        </row>
        <row r="8879">
          <cell r="A8879" t="str">
            <v>ANATOLI VIŠNJAKOV</v>
          </cell>
          <cell r="B8879">
            <v>8758</v>
          </cell>
        </row>
        <row r="8880">
          <cell r="A8880" t="str">
            <v>EVA MARGARET VIDEVIK</v>
          </cell>
          <cell r="B8880">
            <v>6109</v>
          </cell>
        </row>
        <row r="8881">
          <cell r="A8881" t="str">
            <v>JUNDZIS VIESTURS</v>
          </cell>
          <cell r="B8881">
            <v>3022</v>
          </cell>
        </row>
        <row r="8882">
          <cell r="A8882" t="str">
            <v>KRISTOP VIESTURS</v>
          </cell>
          <cell r="B8882">
            <v>2261</v>
          </cell>
        </row>
        <row r="8883">
          <cell r="A8883" t="str">
            <v>ALISE VIGULE</v>
          </cell>
          <cell r="B8883">
            <v>1644</v>
          </cell>
        </row>
        <row r="8884">
          <cell r="A8884" t="str">
            <v>BAIBA VIGULE</v>
          </cell>
          <cell r="B8884">
            <v>2304</v>
          </cell>
        </row>
        <row r="8885">
          <cell r="A8885" t="str">
            <v>VLADISLAV VIHROV</v>
          </cell>
          <cell r="B8885">
            <v>4618</v>
          </cell>
        </row>
        <row r="8886">
          <cell r="A8886" t="str">
            <v>EVERT VIHTOL</v>
          </cell>
          <cell r="B8886">
            <v>10028</v>
          </cell>
        </row>
        <row r="8887">
          <cell r="A8887" t="str">
            <v>DANEL VIHULA</v>
          </cell>
          <cell r="B8887">
            <v>1210</v>
          </cell>
        </row>
        <row r="8888">
          <cell r="A8888" t="str">
            <v>PRIIT VIHURI</v>
          </cell>
          <cell r="B8888">
            <v>284</v>
          </cell>
        </row>
        <row r="8889">
          <cell r="A8889" t="str">
            <v>AULE-MERILIN VIHVLER</v>
          </cell>
          <cell r="B8889">
            <v>4619</v>
          </cell>
        </row>
        <row r="8890">
          <cell r="A8890" t="str">
            <v>HANNES VIIBER</v>
          </cell>
          <cell r="B8890">
            <v>9401</v>
          </cell>
        </row>
        <row r="8891">
          <cell r="A8891" t="str">
            <v>STEN VIIBERG</v>
          </cell>
          <cell r="B8891">
            <v>9100</v>
          </cell>
        </row>
        <row r="8892">
          <cell r="A8892" t="str">
            <v>BERIT VIICKBERG</v>
          </cell>
          <cell r="B8892">
            <v>6148</v>
          </cell>
        </row>
        <row r="8893">
          <cell r="A8893" t="str">
            <v>MARKO VIIDAS</v>
          </cell>
          <cell r="B8893">
            <v>1360</v>
          </cell>
        </row>
        <row r="8894">
          <cell r="A8894" t="str">
            <v>ARVO VIIDERFELD</v>
          </cell>
          <cell r="B8894">
            <v>1147</v>
          </cell>
        </row>
        <row r="8895">
          <cell r="A8895" t="str">
            <v>JÜRI VIIDIK</v>
          </cell>
          <cell r="B8895">
            <v>2726</v>
          </cell>
        </row>
        <row r="8896">
          <cell r="A8896" t="str">
            <v>VICTORIA HELERIIN VIIES</v>
          </cell>
          <cell r="B8896">
            <v>9973</v>
          </cell>
        </row>
        <row r="8897">
          <cell r="A8897" t="str">
            <v>PEETER VIIGIMETS</v>
          </cell>
          <cell r="B8897">
            <v>326</v>
          </cell>
        </row>
        <row r="8898">
          <cell r="A8898" t="str">
            <v>ALLAN VIIK</v>
          </cell>
          <cell r="B8898">
            <v>7763</v>
          </cell>
        </row>
        <row r="8899">
          <cell r="A8899" t="str">
            <v>ENZO VIIK</v>
          </cell>
          <cell r="B8899">
            <v>10102</v>
          </cell>
        </row>
        <row r="8900">
          <cell r="A8900" t="str">
            <v>KARL JOHANNES VIIK</v>
          </cell>
          <cell r="B8900">
            <v>4098</v>
          </cell>
        </row>
        <row r="8901">
          <cell r="A8901" t="str">
            <v>KAIDAR VIIKAMAN</v>
          </cell>
          <cell r="B8901">
            <v>7446</v>
          </cell>
        </row>
        <row r="8902">
          <cell r="A8902" t="str">
            <v>KRISTOFER VIIKMÄE</v>
          </cell>
          <cell r="B8902">
            <v>9574</v>
          </cell>
        </row>
        <row r="8903">
          <cell r="A8903" t="str">
            <v>JAANUS VIIKMAA</v>
          </cell>
          <cell r="B8903">
            <v>1546</v>
          </cell>
        </row>
        <row r="8904">
          <cell r="A8904" t="str">
            <v>RASMUS VIIKOJA</v>
          </cell>
          <cell r="B8904">
            <v>4721</v>
          </cell>
        </row>
        <row r="8905">
          <cell r="A8905" t="str">
            <v>ANETTE VIIL</v>
          </cell>
          <cell r="B8905">
            <v>7841</v>
          </cell>
        </row>
        <row r="8906">
          <cell r="A8906" t="str">
            <v>ANNELI VIIL</v>
          </cell>
          <cell r="B8906">
            <v>7217</v>
          </cell>
        </row>
        <row r="8907">
          <cell r="A8907" t="str">
            <v>KRISTJAN VIIL</v>
          </cell>
          <cell r="B8907">
            <v>4620</v>
          </cell>
        </row>
        <row r="8908">
          <cell r="A8908" t="str">
            <v>ROCCO VIILO</v>
          </cell>
          <cell r="B8908">
            <v>9359</v>
          </cell>
        </row>
        <row r="8909">
          <cell r="A8909" t="str">
            <v>HEIKI VIILOP</v>
          </cell>
          <cell r="B8909">
            <v>1208</v>
          </cell>
        </row>
        <row r="8910">
          <cell r="A8910" t="str">
            <v>SIIM VIILUP</v>
          </cell>
          <cell r="B8910">
            <v>978</v>
          </cell>
        </row>
        <row r="8911">
          <cell r="A8911" t="str">
            <v>MIHKEL VIILVEER</v>
          </cell>
          <cell r="B8911">
            <v>4857</v>
          </cell>
        </row>
        <row r="8912">
          <cell r="A8912" t="str">
            <v>VALDU VIILVER</v>
          </cell>
          <cell r="B8912">
            <v>3684</v>
          </cell>
        </row>
        <row r="8913">
          <cell r="A8913" t="str">
            <v>VELLO VIILVER</v>
          </cell>
          <cell r="B8913">
            <v>3686</v>
          </cell>
        </row>
        <row r="8914">
          <cell r="A8914" t="str">
            <v>SIMO MARVIN VIIR</v>
          </cell>
          <cell r="B8914">
            <v>7806</v>
          </cell>
        </row>
        <row r="8915">
          <cell r="A8915" t="str">
            <v>HENDRY VIIRA</v>
          </cell>
          <cell r="B8915">
            <v>5531</v>
          </cell>
        </row>
        <row r="8916">
          <cell r="A8916" t="str">
            <v>KARL VIIRA</v>
          </cell>
          <cell r="B8916">
            <v>8729</v>
          </cell>
        </row>
        <row r="8917">
          <cell r="A8917" t="str">
            <v>TIIT VIIRELAIDEN</v>
          </cell>
          <cell r="B8917">
            <v>8328</v>
          </cell>
        </row>
        <row r="8918">
          <cell r="A8918" t="str">
            <v>VILJAR VIIRG</v>
          </cell>
          <cell r="B8918">
            <v>2961</v>
          </cell>
        </row>
        <row r="8919">
          <cell r="A8919" t="str">
            <v>RAGNAR VIIRMAA</v>
          </cell>
          <cell r="B8919">
            <v>10348</v>
          </cell>
        </row>
        <row r="8920">
          <cell r="A8920" t="str">
            <v>REVO VIIRMAA</v>
          </cell>
          <cell r="B8920">
            <v>10346</v>
          </cell>
        </row>
        <row r="8921">
          <cell r="A8921" t="str">
            <v>HENRI VIIROK</v>
          </cell>
          <cell r="B8921">
            <v>2540</v>
          </cell>
        </row>
        <row r="8922">
          <cell r="A8922" t="str">
            <v>MAREK VIIRON</v>
          </cell>
          <cell r="B8922">
            <v>1790</v>
          </cell>
        </row>
        <row r="8923">
          <cell r="A8923" t="str">
            <v>KARMEN VIIRSALU</v>
          </cell>
          <cell r="B8923">
            <v>7672</v>
          </cell>
        </row>
        <row r="8924">
          <cell r="A8924" t="str">
            <v>FREDERIK VIISEL</v>
          </cell>
          <cell r="B8924">
            <v>10635</v>
          </cell>
        </row>
        <row r="8925">
          <cell r="A8925" t="str">
            <v>EDDA VIISILEHT</v>
          </cell>
          <cell r="B8925">
            <v>2040</v>
          </cell>
        </row>
        <row r="8926">
          <cell r="A8926" t="str">
            <v>KRISTJAN VIISILEHT</v>
          </cell>
          <cell r="B8926">
            <v>5264</v>
          </cell>
        </row>
        <row r="8927">
          <cell r="A8927" t="str">
            <v>MARTIN VIISILEHT</v>
          </cell>
          <cell r="B8927">
            <v>7500</v>
          </cell>
        </row>
        <row r="8928">
          <cell r="A8928" t="str">
            <v>NELLI VIISIMAA</v>
          </cell>
          <cell r="B8928">
            <v>5410</v>
          </cell>
        </row>
        <row r="8929">
          <cell r="A8929" t="str">
            <v>KAREL MARKUS VIISITAMM</v>
          </cell>
          <cell r="B8929">
            <v>10459</v>
          </cell>
        </row>
        <row r="8930">
          <cell r="A8930" t="str">
            <v>ARTI VIISPERT</v>
          </cell>
          <cell r="B8930">
            <v>9214</v>
          </cell>
        </row>
        <row r="8931">
          <cell r="A8931" t="str">
            <v>LISETE VIISUT</v>
          </cell>
          <cell r="B8931">
            <v>3720</v>
          </cell>
        </row>
        <row r="8932">
          <cell r="A8932" t="str">
            <v>LUISE VIISUT</v>
          </cell>
          <cell r="B8932">
            <v>4920</v>
          </cell>
        </row>
        <row r="8933">
          <cell r="A8933" t="str">
            <v>VALTER VIISUT</v>
          </cell>
          <cell r="B8933">
            <v>1203</v>
          </cell>
        </row>
        <row r="8934">
          <cell r="A8934" t="str">
            <v>MIA MIRELL VIKAT</v>
          </cell>
          <cell r="B8934">
            <v>7957</v>
          </cell>
        </row>
        <row r="8935">
          <cell r="A8935" t="str">
            <v>SIVAR VIKAT</v>
          </cell>
          <cell r="B8935">
            <v>7958</v>
          </cell>
        </row>
        <row r="8936">
          <cell r="A8936" t="str">
            <v>MARIA VIKENTJEVA</v>
          </cell>
          <cell r="B8936">
            <v>1440</v>
          </cell>
        </row>
        <row r="8937">
          <cell r="A8937" t="str">
            <v>ENEKEN VIKS</v>
          </cell>
          <cell r="B8937">
            <v>1327</v>
          </cell>
        </row>
        <row r="8938">
          <cell r="A8938" t="str">
            <v>INGRID VIKS</v>
          </cell>
          <cell r="B8938">
            <v>3445</v>
          </cell>
        </row>
        <row r="8939">
          <cell r="A8939" t="str">
            <v>THEA VIKS</v>
          </cell>
          <cell r="B8939">
            <v>1336</v>
          </cell>
        </row>
        <row r="8940">
          <cell r="A8940" t="str">
            <v>RAULS VIKSNA</v>
          </cell>
          <cell r="B8940">
            <v>7687</v>
          </cell>
        </row>
        <row r="8941">
          <cell r="A8941" t="str">
            <v>KLIM VIKTARAU</v>
          </cell>
          <cell r="B8941">
            <v>8450</v>
          </cell>
        </row>
        <row r="8942">
          <cell r="A8942" t="str">
            <v>KOVALJOV VIKTOR</v>
          </cell>
          <cell r="B8942">
            <v>7630</v>
          </cell>
        </row>
        <row r="8943">
          <cell r="A8943" t="str">
            <v>JANEK VIKTOROV</v>
          </cell>
          <cell r="B8943">
            <v>2424</v>
          </cell>
        </row>
        <row r="8944">
          <cell r="A8944" t="str">
            <v>ARIINA VIKTOROVA</v>
          </cell>
          <cell r="B8944">
            <v>2235</v>
          </cell>
        </row>
        <row r="8945">
          <cell r="A8945" t="str">
            <v>ANATOLI VILBA</v>
          </cell>
          <cell r="B8945">
            <v>285</v>
          </cell>
        </row>
        <row r="8946">
          <cell r="A8946" t="str">
            <v>ÜLLE VILBA</v>
          </cell>
          <cell r="B8946">
            <v>5217</v>
          </cell>
        </row>
        <row r="8947">
          <cell r="A8947" t="str">
            <v>KADRI VILBASTE</v>
          </cell>
          <cell r="B8947">
            <v>8649</v>
          </cell>
        </row>
        <row r="8948">
          <cell r="A8948" t="str">
            <v>MARK RA VILBIKS</v>
          </cell>
          <cell r="B8948">
            <v>7359</v>
          </cell>
        </row>
        <row r="8949">
          <cell r="A8949" t="str">
            <v>PIIA VILEN</v>
          </cell>
          <cell r="B8949">
            <v>4621</v>
          </cell>
        </row>
        <row r="8950">
          <cell r="A8950" t="str">
            <v>LILITH VILIPUS</v>
          </cell>
          <cell r="B8950">
            <v>1603</v>
          </cell>
        </row>
        <row r="8951">
          <cell r="A8951" t="str">
            <v>SANITA VILISTERE</v>
          </cell>
          <cell r="B8951">
            <v>3921</v>
          </cell>
        </row>
        <row r="8952">
          <cell r="A8952" t="str">
            <v>HELERY VILJA</v>
          </cell>
          <cell r="B8952">
            <v>3922</v>
          </cell>
        </row>
        <row r="8953">
          <cell r="A8953" t="str">
            <v>ERKKI VILJARAND</v>
          </cell>
          <cell r="B8953">
            <v>10032</v>
          </cell>
        </row>
        <row r="8954">
          <cell r="A8954" t="str">
            <v>JAAN VILJAS</v>
          </cell>
          <cell r="B8954">
            <v>3663</v>
          </cell>
        </row>
        <row r="8955">
          <cell r="A8955" t="str">
            <v>HANNA-LIISA VILJAT</v>
          </cell>
          <cell r="B8955">
            <v>4768</v>
          </cell>
        </row>
        <row r="8956">
          <cell r="A8956" t="str">
            <v>KRISTO VILJAT</v>
          </cell>
          <cell r="B8956">
            <v>4858</v>
          </cell>
        </row>
        <row r="8957">
          <cell r="A8957" t="str">
            <v>MATAS VILKAS</v>
          </cell>
          <cell r="B8957">
            <v>4967</v>
          </cell>
        </row>
        <row r="8958">
          <cell r="A8958" t="str">
            <v>REINIS VILKASTE</v>
          </cell>
          <cell r="B8958">
            <v>3194</v>
          </cell>
        </row>
        <row r="8959">
          <cell r="A8959" t="str">
            <v>ELIISE VILLAKO</v>
          </cell>
          <cell r="B8959">
            <v>9743</v>
          </cell>
        </row>
        <row r="8960">
          <cell r="A8960" t="str">
            <v>MARKUS VILLAKO</v>
          </cell>
          <cell r="B8960">
            <v>8749</v>
          </cell>
        </row>
        <row r="8961">
          <cell r="A8961" t="str">
            <v>ALAR VILLEMS</v>
          </cell>
          <cell r="B8961">
            <v>289</v>
          </cell>
        </row>
        <row r="8962">
          <cell r="A8962" t="str">
            <v>DANIEL VILLEMS</v>
          </cell>
          <cell r="B8962">
            <v>8717</v>
          </cell>
        </row>
        <row r="8963">
          <cell r="A8963" t="str">
            <v>KERT VILLEMS</v>
          </cell>
          <cell r="B8963">
            <v>291</v>
          </cell>
        </row>
        <row r="8964">
          <cell r="A8964" t="str">
            <v>MARIE VILLEMS</v>
          </cell>
          <cell r="B8964">
            <v>9294</v>
          </cell>
        </row>
        <row r="8965">
          <cell r="A8965" t="str">
            <v>MARTIN VILLEMS</v>
          </cell>
          <cell r="B8965">
            <v>9108</v>
          </cell>
        </row>
        <row r="8966">
          <cell r="A8966" t="str">
            <v>ERIKA VILLEMSON</v>
          </cell>
          <cell r="B8966">
            <v>1153</v>
          </cell>
        </row>
        <row r="8967">
          <cell r="A8967" t="str">
            <v>TAURI VILLEMSON</v>
          </cell>
          <cell r="B8967">
            <v>2067</v>
          </cell>
        </row>
        <row r="8968">
          <cell r="A8968" t="str">
            <v>JUHAN VILLIDO</v>
          </cell>
          <cell r="B8968">
            <v>1941</v>
          </cell>
        </row>
        <row r="8969">
          <cell r="A8969" t="str">
            <v>KRISTIINA VILO</v>
          </cell>
          <cell r="B8969">
            <v>1909</v>
          </cell>
        </row>
        <row r="8970">
          <cell r="A8970" t="str">
            <v>RENE VILO</v>
          </cell>
          <cell r="B8970">
            <v>10706</v>
          </cell>
        </row>
        <row r="8971">
          <cell r="A8971" t="str">
            <v>AIGAR VILT</v>
          </cell>
          <cell r="B8971">
            <v>9547</v>
          </cell>
        </row>
        <row r="8972">
          <cell r="A8972" t="str">
            <v>HENRIETTE VILT</v>
          </cell>
          <cell r="B8972">
            <v>7437</v>
          </cell>
        </row>
        <row r="8973">
          <cell r="A8973" t="str">
            <v>MIRJAM MARGARET VILU</v>
          </cell>
          <cell r="B8973">
            <v>7967</v>
          </cell>
        </row>
        <row r="8974">
          <cell r="A8974" t="str">
            <v>RAGNAR VIMB</v>
          </cell>
          <cell r="B8974">
            <v>5027</v>
          </cell>
        </row>
        <row r="8975">
          <cell r="A8975" t="str">
            <v>RAMON VIMBERG</v>
          </cell>
          <cell r="B8975">
            <v>6229</v>
          </cell>
        </row>
        <row r="8976">
          <cell r="A8976" t="str">
            <v>ADELE ANNIJA VINERTE</v>
          </cell>
          <cell r="B8976">
            <v>8438</v>
          </cell>
        </row>
        <row r="8977">
          <cell r="A8977" t="str">
            <v>MIKS ULRIHS VINERTS</v>
          </cell>
          <cell r="B8977">
            <v>8443</v>
          </cell>
        </row>
        <row r="8978">
          <cell r="A8978" t="str">
            <v>JOOSEP VINGISSAAR</v>
          </cell>
          <cell r="B8978">
            <v>9215</v>
          </cell>
        </row>
        <row r="8979">
          <cell r="A8979" t="str">
            <v>MART VINGISSAR</v>
          </cell>
          <cell r="B8979">
            <v>2734</v>
          </cell>
        </row>
        <row r="8980">
          <cell r="A8980" t="str">
            <v>SIIM VINGISSAR</v>
          </cell>
          <cell r="B8980">
            <v>2881</v>
          </cell>
        </row>
        <row r="8981">
          <cell r="A8981" t="str">
            <v>MART VINNAL</v>
          </cell>
          <cell r="B8981">
            <v>3923</v>
          </cell>
        </row>
        <row r="8982">
          <cell r="A8982" t="str">
            <v>MIRTEL VINNAL</v>
          </cell>
          <cell r="B8982">
            <v>10697</v>
          </cell>
        </row>
        <row r="8983">
          <cell r="A8983" t="str">
            <v>RENE VINNAL</v>
          </cell>
          <cell r="B8983">
            <v>10408</v>
          </cell>
        </row>
        <row r="8984">
          <cell r="A8984" t="str">
            <v>ENNO VINNE</v>
          </cell>
          <cell r="B8984">
            <v>317</v>
          </cell>
        </row>
        <row r="8985">
          <cell r="A8985" t="str">
            <v>DENISS VINOGRADOV</v>
          </cell>
          <cell r="B8985">
            <v>5891</v>
          </cell>
        </row>
        <row r="8986">
          <cell r="A8986" t="str">
            <v>MIRON VINOGRADOV</v>
          </cell>
          <cell r="B8986">
            <v>6046</v>
          </cell>
        </row>
        <row r="8987">
          <cell r="A8987" t="str">
            <v>PETR VINOGRADOV</v>
          </cell>
          <cell r="B8987">
            <v>7848</v>
          </cell>
        </row>
        <row r="8988">
          <cell r="A8988" t="str">
            <v>KSENIA VINOGRADOVA</v>
          </cell>
          <cell r="B8988">
            <v>8198</v>
          </cell>
        </row>
        <row r="8989">
          <cell r="A8989" t="str">
            <v>MARIA VINOGRADOVA</v>
          </cell>
          <cell r="B8989">
            <v>9699</v>
          </cell>
        </row>
        <row r="8990">
          <cell r="A8990" t="str">
            <v>VIKTORIA VINOGRADOVA</v>
          </cell>
          <cell r="B8990">
            <v>2899</v>
          </cell>
        </row>
        <row r="8991">
          <cell r="A8991" t="str">
            <v>RAINER VINT</v>
          </cell>
          <cell r="B8991">
            <v>8090</v>
          </cell>
        </row>
        <row r="8992">
          <cell r="A8992" t="str">
            <v>LIIS VINTER</v>
          </cell>
          <cell r="B8992">
            <v>7100</v>
          </cell>
        </row>
        <row r="8993">
          <cell r="A8993" t="str">
            <v>PRIIT VINTER</v>
          </cell>
          <cell r="B8993">
            <v>4622</v>
          </cell>
        </row>
        <row r="8994">
          <cell r="A8994" t="str">
            <v>EMIL VIRENIUS</v>
          </cell>
          <cell r="B8994">
            <v>1615</v>
          </cell>
        </row>
        <row r="8995">
          <cell r="A8995" t="str">
            <v>SANDER VIRGLA</v>
          </cell>
          <cell r="B8995">
            <v>4623</v>
          </cell>
        </row>
        <row r="8996">
          <cell r="A8996" t="str">
            <v>DENISS VIRK</v>
          </cell>
          <cell r="B8996">
            <v>10086</v>
          </cell>
        </row>
        <row r="8997">
          <cell r="A8997" t="str">
            <v>ERIK VIRKI</v>
          </cell>
          <cell r="B8997">
            <v>5032</v>
          </cell>
        </row>
        <row r="8998">
          <cell r="A8998" t="str">
            <v>INDREK VIRKS</v>
          </cell>
          <cell r="B8998">
            <v>9148</v>
          </cell>
        </row>
        <row r="8999">
          <cell r="A8999" t="str">
            <v>KALMER VIRKS</v>
          </cell>
          <cell r="B8999">
            <v>9466</v>
          </cell>
        </row>
        <row r="9000">
          <cell r="A9000" t="str">
            <v>CARMEN VICTORIA VIRKUNEN</v>
          </cell>
          <cell r="B9000">
            <v>4806</v>
          </cell>
        </row>
        <row r="9001">
          <cell r="A9001" t="str">
            <v>EDUARD VIRKUNEN</v>
          </cell>
          <cell r="B9001">
            <v>4859</v>
          </cell>
        </row>
        <row r="9002">
          <cell r="A9002" t="str">
            <v>KERT VIRRO</v>
          </cell>
          <cell r="B9002">
            <v>7800</v>
          </cell>
        </row>
        <row r="9003">
          <cell r="A9003" t="str">
            <v>KEVIN VIRT</v>
          </cell>
          <cell r="B9003">
            <v>8747</v>
          </cell>
        </row>
        <row r="9004">
          <cell r="A9004" t="str">
            <v>MAEROLD VIRT</v>
          </cell>
          <cell r="B9004">
            <v>8542</v>
          </cell>
        </row>
        <row r="9005">
          <cell r="A9005" t="str">
            <v>MARTEN VIRT</v>
          </cell>
          <cell r="B9005">
            <v>8543</v>
          </cell>
        </row>
        <row r="9006">
          <cell r="A9006" t="str">
            <v>SIIM-SANDER VIRULA</v>
          </cell>
          <cell r="B9006">
            <v>4624</v>
          </cell>
        </row>
        <row r="9007">
          <cell r="A9007" t="str">
            <v>KATRIIN VIRUNURM</v>
          </cell>
          <cell r="B9007">
            <v>7084</v>
          </cell>
        </row>
        <row r="9008">
          <cell r="A9008" t="str">
            <v>JANEK VIRVES</v>
          </cell>
          <cell r="B9008">
            <v>473</v>
          </cell>
        </row>
        <row r="9009">
          <cell r="A9009" t="str">
            <v>URMAS VIRVES</v>
          </cell>
          <cell r="B9009">
            <v>287</v>
          </cell>
        </row>
        <row r="9010">
          <cell r="A9010" t="str">
            <v>MAREK VISKMAN</v>
          </cell>
          <cell r="B9010">
            <v>288</v>
          </cell>
        </row>
        <row r="9011">
          <cell r="A9011" t="str">
            <v>LORENAS VISMANTAS</v>
          </cell>
          <cell r="B9011">
            <v>10499</v>
          </cell>
        </row>
        <row r="9012">
          <cell r="A9012" t="str">
            <v>KENERT VISNAPU</v>
          </cell>
          <cell r="B9012">
            <v>10625</v>
          </cell>
        </row>
        <row r="9013">
          <cell r="A9013" t="str">
            <v>AARO VISNAPUU</v>
          </cell>
          <cell r="B9013">
            <v>10445</v>
          </cell>
        </row>
        <row r="9014">
          <cell r="A9014" t="str">
            <v>ROBERTS VISOCKIS</v>
          </cell>
          <cell r="B9014">
            <v>3234</v>
          </cell>
        </row>
        <row r="9015">
          <cell r="A9015" t="str">
            <v>HANNO VISSEL</v>
          </cell>
          <cell r="B9015">
            <v>8705</v>
          </cell>
        </row>
        <row r="9016">
          <cell r="A9016" t="str">
            <v>SVEN VISTER</v>
          </cell>
          <cell r="B9016">
            <v>4625</v>
          </cell>
        </row>
        <row r="9017">
          <cell r="A9017" t="str">
            <v>STANISLAV VITKOVSKI</v>
          </cell>
          <cell r="B9017">
            <v>362</v>
          </cell>
        </row>
        <row r="9018">
          <cell r="A9018" t="str">
            <v>NIKITA VITOLINŠ</v>
          </cell>
          <cell r="B9018">
            <v>9777</v>
          </cell>
        </row>
        <row r="9019">
          <cell r="A9019" t="str">
            <v>MAREK VITS</v>
          </cell>
          <cell r="B9019">
            <v>2182</v>
          </cell>
        </row>
        <row r="9020">
          <cell r="A9020" t="str">
            <v>EEVA VITSUT</v>
          </cell>
          <cell r="B9020">
            <v>6074</v>
          </cell>
        </row>
        <row r="9021">
          <cell r="A9021" t="str">
            <v>IVAN VJAŽNIKOV</v>
          </cell>
          <cell r="B9021">
            <v>4982</v>
          </cell>
        </row>
        <row r="9022">
          <cell r="A9022" t="str">
            <v>SABINA VJAZITSKAJA</v>
          </cell>
          <cell r="B9022">
            <v>7781</v>
          </cell>
        </row>
        <row r="9023">
          <cell r="A9023" t="str">
            <v>ILIJA VLADIMIROV</v>
          </cell>
          <cell r="B9023">
            <v>8632</v>
          </cell>
        </row>
        <row r="9024">
          <cell r="A9024" t="str">
            <v>STEPAN VLADIMIROV</v>
          </cell>
          <cell r="B9024">
            <v>9512</v>
          </cell>
        </row>
        <row r="9025">
          <cell r="A9025" t="str">
            <v>ALEKSANDERS VLADS</v>
          </cell>
          <cell r="B9025">
            <v>1579</v>
          </cell>
        </row>
        <row r="9026">
          <cell r="A9026" t="str">
            <v>DAJAN VLASENKO</v>
          </cell>
          <cell r="B9026">
            <v>10530</v>
          </cell>
        </row>
        <row r="9027">
          <cell r="A9027" t="str">
            <v>IGOR VLASILTSEV</v>
          </cell>
          <cell r="B9027">
            <v>1782</v>
          </cell>
        </row>
        <row r="9028">
          <cell r="A9028" t="str">
            <v>ALEKSANDR VLASJUK</v>
          </cell>
          <cell r="B9028">
            <v>4722</v>
          </cell>
        </row>
        <row r="9029">
          <cell r="A9029" t="str">
            <v>IRINA VLASJUK</v>
          </cell>
          <cell r="B9029">
            <v>878</v>
          </cell>
        </row>
        <row r="9030">
          <cell r="A9030" t="str">
            <v>TAMILA VLASOVA</v>
          </cell>
          <cell r="B9030">
            <v>7756</v>
          </cell>
        </row>
        <row r="9031">
          <cell r="A9031" t="str">
            <v>ARTUR VLASSOV</v>
          </cell>
          <cell r="B9031">
            <v>3486</v>
          </cell>
        </row>
        <row r="9032">
          <cell r="A9032" t="str">
            <v>DANIIL VLASSOV</v>
          </cell>
          <cell r="B9032">
            <v>4626</v>
          </cell>
        </row>
        <row r="9033">
          <cell r="A9033" t="str">
            <v>GLEB VLASSOV</v>
          </cell>
          <cell r="B9033">
            <v>3313</v>
          </cell>
        </row>
        <row r="9034">
          <cell r="A9034" t="str">
            <v>ALISA VLASSOVA</v>
          </cell>
          <cell r="B9034">
            <v>8320</v>
          </cell>
        </row>
        <row r="9035">
          <cell r="A9035" t="str">
            <v>ANGELINA VLASSOVA</v>
          </cell>
          <cell r="B9035">
            <v>7349</v>
          </cell>
        </row>
        <row r="9036">
          <cell r="A9036" t="str">
            <v>JELIZAVETA VLASSOVA</v>
          </cell>
          <cell r="B9036">
            <v>1750</v>
          </cell>
        </row>
        <row r="9037">
          <cell r="A9037" t="str">
            <v>MARIA VOEVODA</v>
          </cell>
          <cell r="B9037">
            <v>9240</v>
          </cell>
        </row>
        <row r="9038">
          <cell r="A9038" t="str">
            <v>OLGA VOIŠNIŠ</v>
          </cell>
          <cell r="B9038">
            <v>9836</v>
          </cell>
        </row>
        <row r="9039">
          <cell r="A9039" t="str">
            <v>MIKO VOIKA</v>
          </cell>
          <cell r="B9039">
            <v>2119</v>
          </cell>
        </row>
        <row r="9040">
          <cell r="A9040" t="str">
            <v>NATALIA VOINOVA</v>
          </cell>
          <cell r="B9040">
            <v>923</v>
          </cell>
        </row>
        <row r="9041">
          <cell r="A9041" t="str">
            <v>RAIT VOITKA</v>
          </cell>
          <cell r="B9041">
            <v>3565</v>
          </cell>
        </row>
        <row r="9042">
          <cell r="A9042" t="str">
            <v>ALI VOJDANIAN</v>
          </cell>
          <cell r="B9042">
            <v>10563</v>
          </cell>
        </row>
        <row r="9043">
          <cell r="A9043" t="str">
            <v>MIHHAIL VOJEVODA</v>
          </cell>
          <cell r="B9043">
            <v>4627</v>
          </cell>
        </row>
        <row r="9044">
          <cell r="A9044" t="str">
            <v>TOOMAS VOKK</v>
          </cell>
          <cell r="B9044">
            <v>4628</v>
          </cell>
        </row>
        <row r="9045">
          <cell r="A9045" t="str">
            <v>JOONAS VOKSEPP</v>
          </cell>
          <cell r="B9045">
            <v>9465</v>
          </cell>
        </row>
        <row r="9046">
          <cell r="A9046" t="str">
            <v>LAURA VOLDINA</v>
          </cell>
          <cell r="B9046">
            <v>6184</v>
          </cell>
        </row>
        <row r="9047">
          <cell r="A9047" t="str">
            <v>KRISTA VOLKE</v>
          </cell>
          <cell r="B9047">
            <v>3429</v>
          </cell>
        </row>
        <row r="9048">
          <cell r="A9048" t="str">
            <v>ALEKSEI VOLKOV</v>
          </cell>
          <cell r="B9048">
            <v>3925</v>
          </cell>
        </row>
        <row r="9049">
          <cell r="A9049" t="str">
            <v>DMITRI VOLKOV</v>
          </cell>
          <cell r="B9049">
            <v>1560</v>
          </cell>
        </row>
        <row r="9050">
          <cell r="A9050" t="str">
            <v>MARK VOLKOV</v>
          </cell>
          <cell r="B9050">
            <v>2690</v>
          </cell>
        </row>
        <row r="9051">
          <cell r="A9051" t="str">
            <v>PAVEL VOLKOV</v>
          </cell>
          <cell r="B9051">
            <v>6047</v>
          </cell>
        </row>
        <row r="9052">
          <cell r="A9052" t="str">
            <v>SERGEY VOLKOV</v>
          </cell>
          <cell r="B9052">
            <v>7375</v>
          </cell>
        </row>
        <row r="9053">
          <cell r="A9053" t="str">
            <v>VJATSESLAV VOLKOV</v>
          </cell>
          <cell r="B9053">
            <v>7762</v>
          </cell>
        </row>
        <row r="9054">
          <cell r="A9054" t="str">
            <v>VLADIMIR VOLKOV</v>
          </cell>
          <cell r="B9054">
            <v>9650</v>
          </cell>
        </row>
        <row r="9055">
          <cell r="A9055" t="str">
            <v>JEKATERINA VOLKOVA</v>
          </cell>
          <cell r="B9055">
            <v>5146</v>
          </cell>
        </row>
        <row r="9056">
          <cell r="A9056" t="str">
            <v>JEVGENIA VOLKOVA</v>
          </cell>
          <cell r="B9056">
            <v>4629</v>
          </cell>
        </row>
        <row r="9057">
          <cell r="A9057" t="str">
            <v>KSENIJA VOLKOVA</v>
          </cell>
          <cell r="B9057">
            <v>6121</v>
          </cell>
        </row>
        <row r="9058">
          <cell r="A9058" t="str">
            <v>VALENTINA VOLKOVA</v>
          </cell>
          <cell r="B9058">
            <v>3368</v>
          </cell>
        </row>
        <row r="9059">
          <cell r="A9059" t="str">
            <v>JAAK VOLL</v>
          </cell>
          <cell r="B9059">
            <v>1333</v>
          </cell>
        </row>
        <row r="9060">
          <cell r="A9060" t="str">
            <v>ERIK VOLLMANN</v>
          </cell>
          <cell r="B9060">
            <v>5263</v>
          </cell>
        </row>
        <row r="9061">
          <cell r="A9061" t="str">
            <v>RAUDO VOLMAA</v>
          </cell>
          <cell r="B9061">
            <v>2663</v>
          </cell>
        </row>
        <row r="9062">
          <cell r="A9062" t="str">
            <v>ELO VOLMER</v>
          </cell>
          <cell r="B9062">
            <v>4860</v>
          </cell>
        </row>
        <row r="9063">
          <cell r="A9063" t="str">
            <v>EVI VOLMER</v>
          </cell>
          <cell r="B9063">
            <v>2345</v>
          </cell>
        </row>
        <row r="9064">
          <cell r="A9064" t="str">
            <v>LAURA VOLODINA</v>
          </cell>
          <cell r="B9064">
            <v>6243</v>
          </cell>
        </row>
        <row r="9065">
          <cell r="A9065" t="str">
            <v>IVAN VOLOHOV</v>
          </cell>
          <cell r="B9065">
            <v>1279</v>
          </cell>
        </row>
        <row r="9066">
          <cell r="A9066" t="str">
            <v>ALEKSANDR VOLOSHIN</v>
          </cell>
          <cell r="B9066">
            <v>3522</v>
          </cell>
        </row>
        <row r="9067">
          <cell r="A9067" t="str">
            <v>ALEKSANDRA VOLOSHINA</v>
          </cell>
          <cell r="B9067">
            <v>2310</v>
          </cell>
        </row>
        <row r="9068">
          <cell r="A9068" t="str">
            <v>ANNA VOLOSHINA</v>
          </cell>
          <cell r="B9068">
            <v>3640</v>
          </cell>
        </row>
        <row r="9069">
          <cell r="A9069" t="str">
            <v>OLGA VOLOSHINA</v>
          </cell>
          <cell r="B9069">
            <v>3655</v>
          </cell>
        </row>
        <row r="9070">
          <cell r="A9070" t="str">
            <v>EDGARD VOLOSHKO</v>
          </cell>
          <cell r="B9070">
            <v>1850</v>
          </cell>
        </row>
        <row r="9071">
          <cell r="A9071" t="str">
            <v>ERIK VOLOSHKO</v>
          </cell>
          <cell r="B9071">
            <v>1799</v>
          </cell>
        </row>
        <row r="9072">
          <cell r="A9072" t="str">
            <v>MARIYA VOLOSYANSKA</v>
          </cell>
          <cell r="B9072">
            <v>10292</v>
          </cell>
        </row>
        <row r="9073">
          <cell r="A9073" t="str">
            <v>JURIJS VOLOTSHKOI</v>
          </cell>
          <cell r="B9073">
            <v>2060</v>
          </cell>
        </row>
        <row r="9074">
          <cell r="A9074" t="str">
            <v>ROMAN VOLOTSKOI</v>
          </cell>
          <cell r="B9074">
            <v>2525</v>
          </cell>
        </row>
        <row r="9075">
          <cell r="A9075" t="str">
            <v>JURI VOLOTSKOV</v>
          </cell>
          <cell r="B9075">
            <v>1322</v>
          </cell>
        </row>
        <row r="9076">
          <cell r="A9076" t="str">
            <v>JÖRGEN VOLTRI</v>
          </cell>
          <cell r="B9076">
            <v>9928</v>
          </cell>
        </row>
        <row r="9077">
          <cell r="A9077" t="str">
            <v>ALO VOODLA</v>
          </cell>
          <cell r="B9077">
            <v>2953</v>
          </cell>
        </row>
        <row r="9078">
          <cell r="A9078" t="str">
            <v>TÕNU VOOG</v>
          </cell>
          <cell r="B9078">
            <v>494</v>
          </cell>
        </row>
        <row r="9079">
          <cell r="A9079" t="str">
            <v>TAURI VOOG</v>
          </cell>
          <cell r="B9079">
            <v>2637</v>
          </cell>
        </row>
        <row r="9080">
          <cell r="A9080" t="str">
            <v>TIMO VOOGLAID</v>
          </cell>
          <cell r="B9080">
            <v>5472</v>
          </cell>
        </row>
        <row r="9081">
          <cell r="A9081" t="str">
            <v>TANIEL VOOGNE</v>
          </cell>
          <cell r="B9081">
            <v>9698</v>
          </cell>
        </row>
        <row r="9082">
          <cell r="A9082" t="str">
            <v>BRIAN GLEN VOOLAID</v>
          </cell>
          <cell r="B9082">
            <v>10700</v>
          </cell>
        </row>
        <row r="9083">
          <cell r="A9083" t="str">
            <v>LAURI VOOLMAA</v>
          </cell>
          <cell r="B9083">
            <v>9371</v>
          </cell>
        </row>
        <row r="9084">
          <cell r="A9084" t="str">
            <v>GERT VOOMETS</v>
          </cell>
          <cell r="B9084">
            <v>4807</v>
          </cell>
        </row>
        <row r="9085">
          <cell r="A9085" t="str">
            <v>SOFII VOOMETS</v>
          </cell>
          <cell r="B9085">
            <v>7310</v>
          </cell>
        </row>
        <row r="9086">
          <cell r="A9086" t="str">
            <v>VITALI VOROBJOV</v>
          </cell>
          <cell r="B9086">
            <v>3926</v>
          </cell>
        </row>
        <row r="9087">
          <cell r="A9087" t="str">
            <v>JAAN VORONÕI</v>
          </cell>
          <cell r="B9087">
            <v>7462</v>
          </cell>
        </row>
        <row r="9088">
          <cell r="A9088" t="str">
            <v>EGOR VORONIN</v>
          </cell>
          <cell r="B9088">
            <v>10213</v>
          </cell>
        </row>
        <row r="9089">
          <cell r="A9089" t="str">
            <v>ILJA VORONIN</v>
          </cell>
          <cell r="B9089">
            <v>3306</v>
          </cell>
        </row>
        <row r="9090">
          <cell r="A9090" t="str">
            <v>IVAN VORONIN</v>
          </cell>
          <cell r="B9090">
            <v>3322</v>
          </cell>
        </row>
        <row r="9091">
          <cell r="A9091" t="str">
            <v>IVAN VORONIN</v>
          </cell>
          <cell r="B9091">
            <v>4630</v>
          </cell>
        </row>
        <row r="9092">
          <cell r="A9092" t="str">
            <v>JULIJA VORONINA</v>
          </cell>
          <cell r="B9092">
            <v>5125</v>
          </cell>
        </row>
        <row r="9093">
          <cell r="A9093" t="str">
            <v>ANTON VORONKOV</v>
          </cell>
          <cell r="B9093">
            <v>8124</v>
          </cell>
        </row>
        <row r="9094">
          <cell r="A9094" t="str">
            <v>MIHKEL VORONKOV</v>
          </cell>
          <cell r="B9094">
            <v>7552</v>
          </cell>
        </row>
        <row r="9095">
          <cell r="A9095" t="str">
            <v>ROMAN VORONKOV</v>
          </cell>
          <cell r="B9095">
            <v>8302</v>
          </cell>
        </row>
        <row r="9096">
          <cell r="A9096" t="str">
            <v>ANTON VORONTSOV</v>
          </cell>
          <cell r="B9096">
            <v>9097</v>
          </cell>
        </row>
        <row r="9097">
          <cell r="A9097" t="str">
            <v>ILJA VOROPAJEV</v>
          </cell>
          <cell r="B9097">
            <v>8189</v>
          </cell>
        </row>
        <row r="9098">
          <cell r="A9098" t="str">
            <v>KARMEN VOSMAN</v>
          </cell>
          <cell r="B9098">
            <v>137</v>
          </cell>
        </row>
        <row r="9099">
          <cell r="A9099" t="str">
            <v>ELSIZAVETA VOSTRIKOVA</v>
          </cell>
          <cell r="B9099">
            <v>9511</v>
          </cell>
        </row>
        <row r="9100">
          <cell r="A9100" t="str">
            <v>ELIZAVETA VOSTSINA</v>
          </cell>
          <cell r="B9100">
            <v>8953</v>
          </cell>
        </row>
        <row r="9101">
          <cell r="A9101" t="str">
            <v>IGOR VOZNJUK</v>
          </cell>
          <cell r="B9101">
            <v>1845</v>
          </cell>
        </row>
        <row r="9102">
          <cell r="A9102" t="str">
            <v>VITALI VOZNJUK</v>
          </cell>
          <cell r="B9102">
            <v>2706</v>
          </cell>
        </row>
        <row r="9103">
          <cell r="A9103" t="str">
            <v>JURI VOTINOV</v>
          </cell>
          <cell r="B9103">
            <v>2808</v>
          </cell>
        </row>
        <row r="9104">
          <cell r="A9104" t="str">
            <v>DANILA VOYTOV</v>
          </cell>
          <cell r="B9104">
            <v>8317</v>
          </cell>
        </row>
        <row r="9105">
          <cell r="A9105" t="str">
            <v>TAAVI VREIMANN</v>
          </cell>
          <cell r="B9105">
            <v>8058</v>
          </cell>
        </row>
        <row r="9106">
          <cell r="A9106" t="str">
            <v>ALEXANDER VTORUŠIN</v>
          </cell>
          <cell r="B9106">
            <v>5569</v>
          </cell>
        </row>
        <row r="9107">
          <cell r="A9107" t="str">
            <v>NIKITA VUHK VUHT</v>
          </cell>
          <cell r="B9107">
            <v>5448</v>
          </cell>
        </row>
        <row r="9108">
          <cell r="A9108" t="str">
            <v>ALEKSANDER VUHKA</v>
          </cell>
          <cell r="B9108">
            <v>1256</v>
          </cell>
        </row>
        <row r="9109">
          <cell r="A9109" t="str">
            <v>ILMAR VUHKA</v>
          </cell>
          <cell r="B9109">
            <v>8386</v>
          </cell>
        </row>
        <row r="9110">
          <cell r="A9110" t="str">
            <v>MAKSIM VUHKA</v>
          </cell>
          <cell r="B9110">
            <v>3612</v>
          </cell>
        </row>
        <row r="9111">
          <cell r="A9111" t="str">
            <v>ARTŪRS VULFS</v>
          </cell>
          <cell r="B9111">
            <v>10470</v>
          </cell>
        </row>
        <row r="9112">
          <cell r="A9112" t="str">
            <v>ARTURS VULTS</v>
          </cell>
          <cell r="B9112">
            <v>10497</v>
          </cell>
        </row>
        <row r="9113">
          <cell r="A9113" t="str">
            <v>ARNE VUNK</v>
          </cell>
          <cell r="B9113">
            <v>4631</v>
          </cell>
        </row>
        <row r="9114">
          <cell r="A9114" t="str">
            <v>ARTUR VUNK</v>
          </cell>
          <cell r="B9114">
            <v>8425</v>
          </cell>
        </row>
        <row r="9115">
          <cell r="A9115" t="str">
            <v>JANNE VUORINEN</v>
          </cell>
          <cell r="B9115">
            <v>3419</v>
          </cell>
        </row>
        <row r="9116">
          <cell r="A9116" t="str">
            <v>ZHIVODUEV VYACHESLAV</v>
          </cell>
          <cell r="B9116">
            <v>7703</v>
          </cell>
        </row>
        <row r="9117">
          <cell r="A9117" t="str">
            <v>DIMITRY VYSKUBOV</v>
          </cell>
          <cell r="B9117">
            <v>2589</v>
          </cell>
        </row>
        <row r="9118">
          <cell r="A9118" t="str">
            <v>KARL-MARKUS WAHLBERG</v>
          </cell>
          <cell r="B9118">
            <v>4607</v>
          </cell>
        </row>
        <row r="9119">
          <cell r="A9119" t="str">
            <v>W WALMANN</v>
          </cell>
          <cell r="B9119">
            <v>1283</v>
          </cell>
        </row>
        <row r="9120">
          <cell r="A9120" t="str">
            <v>DING JIE WANG</v>
          </cell>
          <cell r="B9120">
            <v>948</v>
          </cell>
        </row>
        <row r="9121">
          <cell r="A9121" t="str">
            <v>YUE XIA WANG FRIDEN</v>
          </cell>
          <cell r="B9121">
            <v>9875</v>
          </cell>
        </row>
        <row r="9122">
          <cell r="A9122" t="str">
            <v>BEN WÜTHRICH</v>
          </cell>
          <cell r="B9122">
            <v>3928</v>
          </cell>
        </row>
        <row r="9123">
          <cell r="A9123" t="str">
            <v>JOSIA WÜTHRICH</v>
          </cell>
          <cell r="B9123">
            <v>3929</v>
          </cell>
        </row>
        <row r="9124">
          <cell r="A9124" t="str">
            <v>LINDA WECKSTRÖM</v>
          </cell>
          <cell r="B9124">
            <v>936</v>
          </cell>
        </row>
        <row r="9125">
          <cell r="A9125" t="str">
            <v>GERHARD JOZEF WEISS</v>
          </cell>
          <cell r="B9125">
            <v>8744</v>
          </cell>
        </row>
        <row r="9126">
          <cell r="A9126" t="str">
            <v>JENS WEKSTRÖM</v>
          </cell>
          <cell r="B9126">
            <v>519</v>
          </cell>
        </row>
        <row r="9127">
          <cell r="A9127" t="str">
            <v>FELIX WENNBERG</v>
          </cell>
          <cell r="B9127">
            <v>9755</v>
          </cell>
        </row>
        <row r="9128">
          <cell r="A9128" t="str">
            <v>ADRIAN EVENSEN WETZEL</v>
          </cell>
          <cell r="B9128">
            <v>7523</v>
          </cell>
        </row>
        <row r="9129">
          <cell r="A9129" t="str">
            <v>GUSTAV WIKLANDER</v>
          </cell>
          <cell r="B9129">
            <v>2586</v>
          </cell>
        </row>
        <row r="9130">
          <cell r="A9130" t="str">
            <v>ANTONI WITKOWSKI</v>
          </cell>
          <cell r="B9130">
            <v>10336</v>
          </cell>
        </row>
        <row r="9131">
          <cell r="A9131" t="str">
            <v>YUE XIA WANG FRIDEN</v>
          </cell>
          <cell r="B9131">
            <v>10466</v>
          </cell>
        </row>
        <row r="9132">
          <cell r="A9132" t="str">
            <v>MARINA YAKOVLEVA</v>
          </cell>
          <cell r="B9132">
            <v>9922</v>
          </cell>
        </row>
        <row r="9133">
          <cell r="A9133" t="str">
            <v>ARTUR YALONETSKY</v>
          </cell>
          <cell r="B9133">
            <v>8878</v>
          </cell>
        </row>
        <row r="9134">
          <cell r="A9134" t="str">
            <v>DANIIL YANCHUK</v>
          </cell>
          <cell r="B9134">
            <v>6025</v>
          </cell>
        </row>
        <row r="9135">
          <cell r="A9135" t="str">
            <v>DANIEL YARUKOV</v>
          </cell>
          <cell r="B9135">
            <v>8266</v>
          </cell>
        </row>
        <row r="9136">
          <cell r="A9136" t="str">
            <v>SÜKÜR YILLAR</v>
          </cell>
          <cell r="B9136">
            <v>2934</v>
          </cell>
        </row>
        <row r="9137">
          <cell r="A9137" t="str">
            <v>CHANG YONGCHANG</v>
          </cell>
          <cell r="B9137">
            <v>8094</v>
          </cell>
        </row>
        <row r="9138">
          <cell r="A9138" t="str">
            <v>DANIELA YUDAEVA</v>
          </cell>
          <cell r="B9138">
            <v>10596</v>
          </cell>
        </row>
        <row r="9139">
          <cell r="A9139" t="str">
            <v xml:space="preserve"> </v>
          </cell>
        </row>
        <row r="9140">
          <cell r="A9140" t="str">
            <v xml:space="preserve"> </v>
          </cell>
        </row>
        <row r="9141">
          <cell r="A9141" t="str">
            <v xml:space="preserve"> </v>
          </cell>
        </row>
        <row r="9142">
          <cell r="A9142" t="str">
            <v xml:space="preserve"> </v>
          </cell>
        </row>
        <row r="9143">
          <cell r="A9143" t="str">
            <v xml:space="preserve"> </v>
          </cell>
        </row>
        <row r="9144">
          <cell r="A9144" t="str">
            <v xml:space="preserve"> </v>
          </cell>
        </row>
        <row r="9145">
          <cell r="A9145" t="str">
            <v xml:space="preserve"> </v>
          </cell>
        </row>
        <row r="9146">
          <cell r="A9146" t="str">
            <v xml:space="preserve"> </v>
          </cell>
        </row>
        <row r="9147">
          <cell r="A9147" t="str">
            <v xml:space="preserve"> </v>
          </cell>
        </row>
        <row r="9148">
          <cell r="A9148" t="str">
            <v xml:space="preserve"> </v>
          </cell>
        </row>
        <row r="9149">
          <cell r="A9149" t="str">
            <v xml:space="preserve"> </v>
          </cell>
        </row>
        <row r="9150">
          <cell r="A9150" t="str">
            <v xml:space="preserve"> </v>
          </cell>
        </row>
        <row r="9151">
          <cell r="A9151" t="str">
            <v xml:space="preserve"> </v>
          </cell>
        </row>
        <row r="9152">
          <cell r="A9152" t="str">
            <v xml:space="preserve"> </v>
          </cell>
        </row>
        <row r="9153">
          <cell r="A9153" t="str">
            <v xml:space="preserve"> </v>
          </cell>
        </row>
        <row r="9154">
          <cell r="A9154" t="str">
            <v xml:space="preserve"> </v>
          </cell>
        </row>
        <row r="9155">
          <cell r="A9155" t="str">
            <v xml:space="preserve"> </v>
          </cell>
        </row>
        <row r="9156">
          <cell r="A9156" t="str">
            <v xml:space="preserve"> </v>
          </cell>
        </row>
        <row r="9157">
          <cell r="A9157" t="str">
            <v xml:space="preserve"> </v>
          </cell>
        </row>
        <row r="9158">
          <cell r="A9158" t="str">
            <v xml:space="preserve"> </v>
          </cell>
        </row>
        <row r="9159">
          <cell r="A9159" t="str">
            <v xml:space="preserve"> </v>
          </cell>
        </row>
        <row r="9160">
          <cell r="A9160" t="str">
            <v xml:space="preserve"> </v>
          </cell>
        </row>
        <row r="9161">
          <cell r="A9161" t="str">
            <v xml:space="preserve"> </v>
          </cell>
        </row>
        <row r="9162">
          <cell r="A9162" t="str">
            <v xml:space="preserve"> </v>
          </cell>
        </row>
        <row r="9163">
          <cell r="A9163" t="str">
            <v xml:space="preserve"> </v>
          </cell>
        </row>
        <row r="9164">
          <cell r="A9164" t="str">
            <v xml:space="preserve"> </v>
          </cell>
        </row>
        <row r="9165">
          <cell r="A9165" t="str">
            <v xml:space="preserve"> </v>
          </cell>
        </row>
        <row r="9166">
          <cell r="A9166" t="str">
            <v xml:space="preserve"> </v>
          </cell>
        </row>
        <row r="9167">
          <cell r="A9167" t="str">
            <v xml:space="preserve"> </v>
          </cell>
        </row>
        <row r="9168">
          <cell r="A9168" t="str">
            <v xml:space="preserve"> </v>
          </cell>
        </row>
        <row r="9169">
          <cell r="A9169" t="str">
            <v xml:space="preserve"> </v>
          </cell>
        </row>
        <row r="9170">
          <cell r="A9170" t="str">
            <v xml:space="preserve"> </v>
          </cell>
        </row>
        <row r="9171">
          <cell r="A9171" t="str">
            <v xml:space="preserve"> </v>
          </cell>
        </row>
        <row r="9172">
          <cell r="A9172" t="str">
            <v xml:space="preserve"> </v>
          </cell>
        </row>
        <row r="9173">
          <cell r="A9173" t="str">
            <v xml:space="preserve"> </v>
          </cell>
        </row>
        <row r="9174">
          <cell r="A9174" t="str">
            <v xml:space="preserve"> </v>
          </cell>
        </row>
        <row r="9175">
          <cell r="A9175" t="str">
            <v xml:space="preserve"> </v>
          </cell>
        </row>
        <row r="9176">
          <cell r="A9176" t="str">
            <v xml:space="preserve"> </v>
          </cell>
        </row>
        <row r="9177">
          <cell r="A9177" t="str">
            <v xml:space="preserve"> </v>
          </cell>
        </row>
        <row r="9178">
          <cell r="A9178" t="str">
            <v xml:space="preserve"> </v>
          </cell>
        </row>
        <row r="9179">
          <cell r="A9179" t="str">
            <v xml:space="preserve"> </v>
          </cell>
        </row>
        <row r="9180">
          <cell r="A9180" t="str">
            <v xml:space="preserve"> </v>
          </cell>
        </row>
        <row r="9181">
          <cell r="A9181" t="str">
            <v xml:space="preserve"> </v>
          </cell>
        </row>
        <row r="9182">
          <cell r="A9182" t="str">
            <v xml:space="preserve"> </v>
          </cell>
        </row>
        <row r="9183">
          <cell r="A9183" t="str">
            <v xml:space="preserve"> </v>
          </cell>
        </row>
        <row r="9184">
          <cell r="A9184" t="str">
            <v xml:space="preserve"> </v>
          </cell>
        </row>
        <row r="9185">
          <cell r="A9185" t="str">
            <v xml:space="preserve"> </v>
          </cell>
        </row>
        <row r="9186">
          <cell r="A9186" t="str">
            <v xml:space="preserve"> </v>
          </cell>
        </row>
        <row r="9187">
          <cell r="A9187" t="str">
            <v xml:space="preserve"> </v>
          </cell>
        </row>
        <row r="9188">
          <cell r="A9188" t="str">
            <v xml:space="preserve"> </v>
          </cell>
        </row>
        <row r="9189">
          <cell r="A9189" t="str">
            <v xml:space="preserve"> </v>
          </cell>
        </row>
        <row r="9190">
          <cell r="A9190" t="str">
            <v xml:space="preserve"> </v>
          </cell>
        </row>
        <row r="9191">
          <cell r="A9191" t="str">
            <v xml:space="preserve"> </v>
          </cell>
        </row>
        <row r="9192">
          <cell r="A9192" t="str">
            <v xml:space="preserve"> </v>
          </cell>
        </row>
        <row r="9193">
          <cell r="A9193" t="str">
            <v xml:space="preserve"> </v>
          </cell>
        </row>
        <row r="9194">
          <cell r="A9194" t="str">
            <v xml:space="preserve"> </v>
          </cell>
        </row>
        <row r="9195">
          <cell r="A9195" t="str">
            <v xml:space="preserve"> </v>
          </cell>
        </row>
        <row r="9196">
          <cell r="A9196" t="str">
            <v xml:space="preserve"> </v>
          </cell>
        </row>
        <row r="9197">
          <cell r="A9197" t="str">
            <v xml:space="preserve"> </v>
          </cell>
        </row>
        <row r="9198">
          <cell r="A9198" t="str">
            <v xml:space="preserve"> </v>
          </cell>
        </row>
        <row r="9199">
          <cell r="A9199" t="str">
            <v xml:space="preserve"> </v>
          </cell>
        </row>
        <row r="9200">
          <cell r="A9200" t="str">
            <v xml:space="preserve"> </v>
          </cell>
        </row>
        <row r="9201">
          <cell r="A9201" t="str">
            <v xml:space="preserve"> </v>
          </cell>
        </row>
        <row r="9202">
          <cell r="A9202" t="str">
            <v xml:space="preserve"> </v>
          </cell>
        </row>
        <row r="9203">
          <cell r="A9203" t="str">
            <v xml:space="preserve"> </v>
          </cell>
        </row>
        <row r="9204">
          <cell r="A9204" t="str">
            <v xml:space="preserve"> </v>
          </cell>
        </row>
        <row r="9205">
          <cell r="A9205" t="str">
            <v xml:space="preserve"> </v>
          </cell>
        </row>
        <row r="9206">
          <cell r="A9206" t="str">
            <v xml:space="preserve"> </v>
          </cell>
        </row>
        <row r="9207">
          <cell r="A9207" t="str">
            <v xml:space="preserve"> </v>
          </cell>
        </row>
        <row r="9208">
          <cell r="A9208" t="str">
            <v xml:space="preserve"> </v>
          </cell>
        </row>
        <row r="9209">
          <cell r="A9209" t="str">
            <v xml:space="preserve"> </v>
          </cell>
        </row>
        <row r="9210">
          <cell r="A9210" t="str">
            <v xml:space="preserve"> </v>
          </cell>
        </row>
        <row r="9211">
          <cell r="A9211" t="str">
            <v xml:space="preserve"> </v>
          </cell>
        </row>
        <row r="9212">
          <cell r="A9212" t="str">
            <v xml:space="preserve"> </v>
          </cell>
        </row>
        <row r="9213">
          <cell r="A9213" t="str">
            <v xml:space="preserve"> </v>
          </cell>
        </row>
        <row r="9214">
          <cell r="A9214" t="str">
            <v xml:space="preserve"> </v>
          </cell>
        </row>
        <row r="9215">
          <cell r="A9215" t="str">
            <v xml:space="preserve"> </v>
          </cell>
        </row>
        <row r="9216">
          <cell r="A9216" t="str">
            <v xml:space="preserve"> </v>
          </cell>
        </row>
        <row r="9217">
          <cell r="A9217" t="str">
            <v xml:space="preserve"> </v>
          </cell>
        </row>
        <row r="9218">
          <cell r="A9218" t="str">
            <v xml:space="preserve"> </v>
          </cell>
        </row>
        <row r="9219">
          <cell r="A9219" t="str">
            <v xml:space="preserve"> </v>
          </cell>
        </row>
        <row r="9220">
          <cell r="A9220" t="str">
            <v xml:space="preserve"> </v>
          </cell>
        </row>
        <row r="9221">
          <cell r="A9221" t="str">
            <v xml:space="preserve"> </v>
          </cell>
        </row>
        <row r="9222">
          <cell r="A9222" t="str">
            <v xml:space="preserve"> </v>
          </cell>
        </row>
        <row r="9223">
          <cell r="A9223" t="str">
            <v xml:space="preserve"> </v>
          </cell>
        </row>
        <row r="9224">
          <cell r="A9224" t="str">
            <v xml:space="preserve"> </v>
          </cell>
        </row>
        <row r="9225">
          <cell r="A9225" t="str">
            <v xml:space="preserve"> </v>
          </cell>
        </row>
        <row r="9226">
          <cell r="A9226" t="str">
            <v xml:space="preserve"> </v>
          </cell>
        </row>
        <row r="9227">
          <cell r="A9227" t="str">
            <v xml:space="preserve"> </v>
          </cell>
        </row>
        <row r="9228">
          <cell r="A9228" t="str">
            <v xml:space="preserve"> </v>
          </cell>
        </row>
        <row r="9229">
          <cell r="A9229" t="str">
            <v xml:space="preserve"> </v>
          </cell>
        </row>
        <row r="9230">
          <cell r="A9230" t="str">
            <v xml:space="preserve"> </v>
          </cell>
        </row>
        <row r="9231">
          <cell r="A9231" t="str">
            <v xml:space="preserve"> </v>
          </cell>
        </row>
        <row r="9232">
          <cell r="A9232" t="str">
            <v xml:space="preserve"> </v>
          </cell>
        </row>
        <row r="9233">
          <cell r="A9233" t="str">
            <v xml:space="preserve"> </v>
          </cell>
        </row>
        <row r="9234">
          <cell r="A9234" t="str">
            <v xml:space="preserve"> </v>
          </cell>
        </row>
        <row r="9235">
          <cell r="A9235" t="str">
            <v xml:space="preserve"> </v>
          </cell>
        </row>
        <row r="9236">
          <cell r="A9236" t="str">
            <v xml:space="preserve"> </v>
          </cell>
        </row>
        <row r="9237">
          <cell r="A9237" t="str">
            <v xml:space="preserve"> </v>
          </cell>
        </row>
        <row r="9238">
          <cell r="A9238" t="str">
            <v xml:space="preserve"> </v>
          </cell>
        </row>
        <row r="9239">
          <cell r="A9239" t="str">
            <v xml:space="preserve"> </v>
          </cell>
        </row>
        <row r="9240">
          <cell r="A9240" t="str">
            <v xml:space="preserve"> </v>
          </cell>
        </row>
        <row r="9241">
          <cell r="A9241" t="str">
            <v xml:space="preserve"> </v>
          </cell>
        </row>
        <row r="9242">
          <cell r="A9242" t="str">
            <v xml:space="preserve"> </v>
          </cell>
        </row>
        <row r="9243">
          <cell r="A9243" t="str">
            <v xml:space="preserve"> </v>
          </cell>
        </row>
        <row r="9244">
          <cell r="A9244" t="str">
            <v xml:space="preserve"> </v>
          </cell>
        </row>
        <row r="9245">
          <cell r="A9245" t="str">
            <v xml:space="preserve"> </v>
          </cell>
        </row>
        <row r="9246">
          <cell r="A9246" t="str">
            <v xml:space="preserve"> </v>
          </cell>
        </row>
        <row r="9247">
          <cell r="A9247" t="str">
            <v xml:space="preserve"> </v>
          </cell>
        </row>
        <row r="9248">
          <cell r="A9248" t="str">
            <v xml:space="preserve"> </v>
          </cell>
        </row>
        <row r="9249">
          <cell r="A9249" t="str">
            <v xml:space="preserve"> </v>
          </cell>
        </row>
        <row r="9250">
          <cell r="A9250" t="str">
            <v xml:space="preserve"> </v>
          </cell>
        </row>
        <row r="9251">
          <cell r="A9251" t="str">
            <v xml:space="preserve"> </v>
          </cell>
        </row>
        <row r="9252">
          <cell r="A9252" t="str">
            <v xml:space="preserve"> </v>
          </cell>
        </row>
        <row r="9253">
          <cell r="A9253" t="str">
            <v xml:space="preserve"> </v>
          </cell>
        </row>
        <row r="9254">
          <cell r="A9254" t="str">
            <v xml:space="preserve"> </v>
          </cell>
        </row>
        <row r="9255">
          <cell r="A9255" t="str">
            <v xml:space="preserve"> </v>
          </cell>
        </row>
        <row r="9256">
          <cell r="A9256" t="str">
            <v xml:space="preserve"> </v>
          </cell>
        </row>
        <row r="9257">
          <cell r="A9257" t="str">
            <v xml:space="preserve"> </v>
          </cell>
        </row>
        <row r="9258">
          <cell r="A9258" t="str">
            <v xml:space="preserve"> </v>
          </cell>
        </row>
        <row r="9259">
          <cell r="A9259" t="str">
            <v xml:space="preserve"> </v>
          </cell>
        </row>
        <row r="9260">
          <cell r="A9260" t="str">
            <v xml:space="preserve"> </v>
          </cell>
        </row>
        <row r="9261">
          <cell r="A9261" t="str">
            <v xml:space="preserve"> </v>
          </cell>
        </row>
        <row r="9262">
          <cell r="A9262" t="str">
            <v xml:space="preserve"> </v>
          </cell>
        </row>
        <row r="9263">
          <cell r="A9263" t="str">
            <v xml:space="preserve"> </v>
          </cell>
        </row>
        <row r="9264">
          <cell r="A9264" t="str">
            <v xml:space="preserve"> </v>
          </cell>
        </row>
        <row r="9265">
          <cell r="A9265" t="str">
            <v xml:space="preserve"> </v>
          </cell>
        </row>
        <row r="9266">
          <cell r="A9266" t="str">
            <v xml:space="preserve"> </v>
          </cell>
        </row>
        <row r="9267">
          <cell r="A9267" t="str">
            <v xml:space="preserve"> </v>
          </cell>
        </row>
        <row r="9268">
          <cell r="A9268" t="str">
            <v xml:space="preserve"> </v>
          </cell>
        </row>
        <row r="9269">
          <cell r="A9269" t="str">
            <v xml:space="preserve"> </v>
          </cell>
        </row>
        <row r="9270">
          <cell r="A9270" t="str">
            <v xml:space="preserve"> </v>
          </cell>
        </row>
        <row r="9271">
          <cell r="A9271" t="str">
            <v xml:space="preserve"> </v>
          </cell>
        </row>
        <row r="9272">
          <cell r="A9272" t="str">
            <v xml:space="preserve"> </v>
          </cell>
        </row>
        <row r="9273">
          <cell r="A9273" t="str">
            <v xml:space="preserve"> </v>
          </cell>
        </row>
        <row r="9274">
          <cell r="A9274" t="str">
            <v xml:space="preserve"> </v>
          </cell>
        </row>
        <row r="9275">
          <cell r="A9275" t="str">
            <v xml:space="preserve"> </v>
          </cell>
        </row>
        <row r="9276">
          <cell r="A9276" t="str">
            <v xml:space="preserve"> </v>
          </cell>
        </row>
        <row r="9277">
          <cell r="A9277" t="str">
            <v xml:space="preserve"> </v>
          </cell>
        </row>
        <row r="9278">
          <cell r="A9278" t="str">
            <v xml:space="preserve"> </v>
          </cell>
        </row>
        <row r="9279">
          <cell r="A9279" t="str">
            <v xml:space="preserve"> </v>
          </cell>
        </row>
        <row r="9280">
          <cell r="A9280" t="str">
            <v xml:space="preserve"> </v>
          </cell>
        </row>
        <row r="9281">
          <cell r="A9281" t="str">
            <v xml:space="preserve"> </v>
          </cell>
        </row>
        <row r="9282">
          <cell r="A9282" t="str">
            <v xml:space="preserve"> </v>
          </cell>
        </row>
        <row r="9283">
          <cell r="A9283" t="str">
            <v xml:space="preserve"> </v>
          </cell>
        </row>
        <row r="9284">
          <cell r="A9284" t="str">
            <v xml:space="preserve"> </v>
          </cell>
        </row>
        <row r="9285">
          <cell r="A9285" t="str">
            <v xml:space="preserve"> </v>
          </cell>
        </row>
        <row r="9286">
          <cell r="A9286" t="str">
            <v xml:space="preserve"> </v>
          </cell>
        </row>
        <row r="9287">
          <cell r="A9287" t="str">
            <v xml:space="preserve"> </v>
          </cell>
        </row>
        <row r="9288">
          <cell r="A9288" t="str">
            <v xml:space="preserve"> </v>
          </cell>
        </row>
        <row r="9289">
          <cell r="A9289" t="str">
            <v xml:space="preserve"> </v>
          </cell>
        </row>
        <row r="9290">
          <cell r="A9290" t="str">
            <v xml:space="preserve"> </v>
          </cell>
        </row>
        <row r="9291">
          <cell r="A9291" t="str">
            <v xml:space="preserve"> </v>
          </cell>
        </row>
        <row r="9292">
          <cell r="A9292" t="str">
            <v xml:space="preserve"> </v>
          </cell>
        </row>
        <row r="9293">
          <cell r="A9293" t="str">
            <v xml:space="preserve"> </v>
          </cell>
        </row>
        <row r="9294">
          <cell r="A9294" t="str">
            <v xml:space="preserve"> </v>
          </cell>
        </row>
        <row r="9295">
          <cell r="A9295" t="str">
            <v xml:space="preserve"> </v>
          </cell>
        </row>
        <row r="9296">
          <cell r="A9296" t="str">
            <v xml:space="preserve"> </v>
          </cell>
        </row>
        <row r="9297">
          <cell r="A9297" t="str">
            <v xml:space="preserve"> </v>
          </cell>
        </row>
        <row r="9298">
          <cell r="A9298" t="str">
            <v xml:space="preserve"> </v>
          </cell>
        </row>
        <row r="9299">
          <cell r="A9299" t="str">
            <v xml:space="preserve"> </v>
          </cell>
        </row>
        <row r="9300">
          <cell r="A9300" t="str">
            <v xml:space="preserve"> </v>
          </cell>
        </row>
        <row r="9301">
          <cell r="A9301" t="str">
            <v xml:space="preserve"> </v>
          </cell>
        </row>
        <row r="9302">
          <cell r="A9302" t="str">
            <v xml:space="preserve"> </v>
          </cell>
        </row>
        <row r="9303">
          <cell r="A9303" t="str">
            <v xml:space="preserve"> </v>
          </cell>
        </row>
        <row r="9304">
          <cell r="A9304" t="str">
            <v xml:space="preserve"> </v>
          </cell>
        </row>
        <row r="9305">
          <cell r="A9305" t="str">
            <v xml:space="preserve"> </v>
          </cell>
        </row>
        <row r="9306">
          <cell r="A9306" t="str">
            <v xml:space="preserve"> </v>
          </cell>
        </row>
        <row r="9307">
          <cell r="A9307" t="str">
            <v xml:space="preserve"> </v>
          </cell>
        </row>
        <row r="9308">
          <cell r="A9308" t="str">
            <v xml:space="preserve"> </v>
          </cell>
        </row>
        <row r="9309">
          <cell r="A9309" t="str">
            <v xml:space="preserve"> </v>
          </cell>
        </row>
        <row r="9310">
          <cell r="A9310" t="str">
            <v xml:space="preserve"> </v>
          </cell>
        </row>
        <row r="9311">
          <cell r="A9311" t="str">
            <v xml:space="preserve"> </v>
          </cell>
        </row>
        <row r="9312">
          <cell r="A9312" t="str">
            <v xml:space="preserve"> </v>
          </cell>
        </row>
        <row r="9313">
          <cell r="A9313" t="str">
            <v xml:space="preserve"> </v>
          </cell>
        </row>
        <row r="9314">
          <cell r="A9314" t="str">
            <v xml:space="preserve"> </v>
          </cell>
        </row>
        <row r="9315">
          <cell r="A9315" t="str">
            <v xml:space="preserve"> </v>
          </cell>
        </row>
        <row r="9316">
          <cell r="A9316" t="str">
            <v xml:space="preserve"> </v>
          </cell>
        </row>
        <row r="9317">
          <cell r="A9317" t="str">
            <v xml:space="preserve"> </v>
          </cell>
        </row>
        <row r="9318">
          <cell r="A9318" t="str">
            <v xml:space="preserve"> </v>
          </cell>
        </row>
        <row r="9319">
          <cell r="A9319" t="str">
            <v xml:space="preserve"> </v>
          </cell>
        </row>
        <row r="9320">
          <cell r="A9320" t="str">
            <v xml:space="preserve"> </v>
          </cell>
        </row>
        <row r="9321">
          <cell r="A9321" t="str">
            <v xml:space="preserve"> </v>
          </cell>
        </row>
        <row r="9322">
          <cell r="A9322" t="str">
            <v xml:space="preserve"> </v>
          </cell>
        </row>
        <row r="9323">
          <cell r="A9323" t="str">
            <v xml:space="preserve"> </v>
          </cell>
        </row>
        <row r="9324">
          <cell r="A9324" t="str">
            <v xml:space="preserve"> </v>
          </cell>
        </row>
        <row r="9325">
          <cell r="A9325" t="str">
            <v xml:space="preserve"> </v>
          </cell>
        </row>
        <row r="9326">
          <cell r="A9326" t="str">
            <v xml:space="preserve"> </v>
          </cell>
        </row>
        <row r="9327">
          <cell r="A9327" t="str">
            <v xml:space="preserve"> </v>
          </cell>
        </row>
        <row r="9328">
          <cell r="A9328" t="str">
            <v xml:space="preserve"> </v>
          </cell>
        </row>
        <row r="9329">
          <cell r="A9329" t="str">
            <v xml:space="preserve"> </v>
          </cell>
        </row>
        <row r="9330">
          <cell r="A9330" t="str">
            <v xml:space="preserve"> </v>
          </cell>
        </row>
        <row r="9331">
          <cell r="A9331" t="str">
            <v xml:space="preserve"> </v>
          </cell>
        </row>
        <row r="9332">
          <cell r="A9332" t="str">
            <v xml:space="preserve"> </v>
          </cell>
        </row>
        <row r="9333">
          <cell r="A9333" t="str">
            <v xml:space="preserve"> </v>
          </cell>
        </row>
        <row r="9334">
          <cell r="A9334" t="str">
            <v xml:space="preserve"> </v>
          </cell>
        </row>
        <row r="9335">
          <cell r="A9335" t="str">
            <v xml:space="preserve"> </v>
          </cell>
        </row>
        <row r="9336">
          <cell r="A9336" t="str">
            <v xml:space="preserve"> </v>
          </cell>
        </row>
        <row r="9337">
          <cell r="A9337" t="str">
            <v xml:space="preserve"> </v>
          </cell>
        </row>
        <row r="9338">
          <cell r="A9338" t="str">
            <v xml:space="preserve"> </v>
          </cell>
        </row>
        <row r="9339">
          <cell r="A9339" t="str">
            <v xml:space="preserve"> </v>
          </cell>
        </row>
        <row r="9340">
          <cell r="A9340" t="str">
            <v xml:space="preserve"> </v>
          </cell>
        </row>
        <row r="9341">
          <cell r="A9341" t="str">
            <v xml:space="preserve"> </v>
          </cell>
        </row>
        <row r="9342">
          <cell r="A9342" t="str">
            <v xml:space="preserve"> </v>
          </cell>
        </row>
        <row r="9343">
          <cell r="A9343" t="str">
            <v xml:space="preserve"> </v>
          </cell>
        </row>
        <row r="9344">
          <cell r="A9344" t="str">
            <v xml:space="preserve"> </v>
          </cell>
        </row>
        <row r="9345">
          <cell r="A9345" t="str">
            <v xml:space="preserve"> </v>
          </cell>
        </row>
        <row r="9346">
          <cell r="A9346" t="str">
            <v xml:space="preserve"> </v>
          </cell>
        </row>
        <row r="9347">
          <cell r="A9347" t="str">
            <v xml:space="preserve"> </v>
          </cell>
        </row>
        <row r="9348">
          <cell r="A9348" t="str">
            <v xml:space="preserve"> </v>
          </cell>
        </row>
        <row r="9349">
          <cell r="A9349" t="str">
            <v xml:space="preserve"> </v>
          </cell>
        </row>
        <row r="9350">
          <cell r="A9350" t="str">
            <v xml:space="preserve"> </v>
          </cell>
        </row>
        <row r="9351">
          <cell r="A9351" t="str">
            <v xml:space="preserve"> </v>
          </cell>
        </row>
        <row r="9352">
          <cell r="A9352" t="str">
            <v xml:space="preserve"> </v>
          </cell>
        </row>
        <row r="9353">
          <cell r="A9353" t="str">
            <v xml:space="preserve"> </v>
          </cell>
        </row>
        <row r="9354">
          <cell r="A9354" t="str">
            <v xml:space="preserve"> </v>
          </cell>
        </row>
        <row r="9355">
          <cell r="A9355" t="str">
            <v xml:space="preserve"> </v>
          </cell>
        </row>
        <row r="9356">
          <cell r="A9356" t="str">
            <v xml:space="preserve"> </v>
          </cell>
        </row>
        <row r="9357">
          <cell r="A9357" t="str">
            <v xml:space="preserve"> </v>
          </cell>
        </row>
        <row r="9358">
          <cell r="A9358" t="str">
            <v xml:space="preserve"> </v>
          </cell>
        </row>
        <row r="9359">
          <cell r="A9359" t="str">
            <v xml:space="preserve"> </v>
          </cell>
        </row>
        <row r="9360">
          <cell r="A9360" t="str">
            <v xml:space="preserve"> </v>
          </cell>
        </row>
        <row r="9361">
          <cell r="A9361" t="str">
            <v xml:space="preserve"> </v>
          </cell>
        </row>
        <row r="9362">
          <cell r="A9362" t="str">
            <v xml:space="preserve"> </v>
          </cell>
        </row>
        <row r="9363">
          <cell r="A9363" t="str">
            <v xml:space="preserve"> </v>
          </cell>
        </row>
        <row r="9364">
          <cell r="A9364" t="str">
            <v xml:space="preserve"> </v>
          </cell>
        </row>
        <row r="9365">
          <cell r="A9365" t="str">
            <v xml:space="preserve"> </v>
          </cell>
        </row>
        <row r="9366">
          <cell r="A9366" t="str">
            <v xml:space="preserve"> </v>
          </cell>
        </row>
        <row r="9367">
          <cell r="A9367" t="str">
            <v xml:space="preserve"> </v>
          </cell>
        </row>
        <row r="9368">
          <cell r="A9368" t="str">
            <v xml:space="preserve"> </v>
          </cell>
        </row>
        <row r="9369">
          <cell r="A9369" t="str">
            <v xml:space="preserve"> </v>
          </cell>
        </row>
        <row r="9370">
          <cell r="A9370" t="str">
            <v xml:space="preserve"> </v>
          </cell>
        </row>
        <row r="9371">
          <cell r="A9371" t="str">
            <v xml:space="preserve"> </v>
          </cell>
        </row>
        <row r="9372">
          <cell r="A9372" t="str">
            <v xml:space="preserve"> </v>
          </cell>
        </row>
        <row r="9373">
          <cell r="A9373" t="str">
            <v xml:space="preserve"> </v>
          </cell>
        </row>
        <row r="9374">
          <cell r="A9374" t="str">
            <v xml:space="preserve"> </v>
          </cell>
        </row>
        <row r="9375">
          <cell r="A9375" t="str">
            <v xml:space="preserve"> </v>
          </cell>
        </row>
        <row r="9376">
          <cell r="A9376" t="str">
            <v xml:space="preserve"> </v>
          </cell>
        </row>
        <row r="9377">
          <cell r="A9377" t="str">
            <v xml:space="preserve"> </v>
          </cell>
        </row>
        <row r="9378">
          <cell r="A9378" t="str">
            <v xml:space="preserve"> </v>
          </cell>
        </row>
        <row r="9379">
          <cell r="A9379" t="str">
            <v xml:space="preserve"> </v>
          </cell>
        </row>
        <row r="9380">
          <cell r="A9380" t="str">
            <v xml:space="preserve"> </v>
          </cell>
        </row>
        <row r="9381">
          <cell r="A9381" t="str">
            <v xml:space="preserve"> </v>
          </cell>
        </row>
        <row r="9382">
          <cell r="A9382" t="str">
            <v xml:space="preserve"> </v>
          </cell>
        </row>
        <row r="9383">
          <cell r="A9383" t="str">
            <v xml:space="preserve"> </v>
          </cell>
        </row>
        <row r="9384">
          <cell r="A9384" t="str">
            <v xml:space="preserve"> </v>
          </cell>
        </row>
        <row r="9385">
          <cell r="A9385" t="str">
            <v xml:space="preserve"> </v>
          </cell>
        </row>
        <row r="9386">
          <cell r="A9386" t="str">
            <v xml:space="preserve"> </v>
          </cell>
        </row>
        <row r="9387">
          <cell r="A9387" t="str">
            <v xml:space="preserve"> </v>
          </cell>
        </row>
        <row r="9388">
          <cell r="A9388" t="str">
            <v xml:space="preserve"> </v>
          </cell>
        </row>
        <row r="9389">
          <cell r="A9389" t="str">
            <v xml:space="preserve"> </v>
          </cell>
        </row>
        <row r="9390">
          <cell r="A9390" t="str">
            <v xml:space="preserve"> </v>
          </cell>
        </row>
        <row r="9391">
          <cell r="A9391" t="str">
            <v xml:space="preserve"> </v>
          </cell>
        </row>
        <row r="9392">
          <cell r="A9392" t="str">
            <v xml:space="preserve"> </v>
          </cell>
        </row>
        <row r="9393">
          <cell r="A9393" t="str">
            <v xml:space="preserve"> </v>
          </cell>
        </row>
        <row r="9394">
          <cell r="A9394" t="str">
            <v xml:space="preserve"> </v>
          </cell>
        </row>
        <row r="9395">
          <cell r="A9395" t="str">
            <v xml:space="preserve"> </v>
          </cell>
        </row>
        <row r="9396">
          <cell r="A9396" t="str">
            <v xml:space="preserve"> </v>
          </cell>
        </row>
        <row r="9397">
          <cell r="A9397" t="str">
            <v xml:space="preserve"> </v>
          </cell>
        </row>
        <row r="9398">
          <cell r="A9398" t="str">
            <v xml:space="preserve"> </v>
          </cell>
        </row>
        <row r="9399">
          <cell r="A9399" t="str">
            <v xml:space="preserve"> </v>
          </cell>
        </row>
        <row r="9400">
          <cell r="A9400" t="str">
            <v xml:space="preserve"> </v>
          </cell>
        </row>
        <row r="9401">
          <cell r="A9401" t="str">
            <v xml:space="preserve"> </v>
          </cell>
        </row>
        <row r="9402">
          <cell r="A9402" t="str">
            <v xml:space="preserve"> </v>
          </cell>
        </row>
        <row r="9403">
          <cell r="A9403" t="str">
            <v xml:space="preserve"> </v>
          </cell>
        </row>
        <row r="9404">
          <cell r="A9404" t="str">
            <v xml:space="preserve"> </v>
          </cell>
        </row>
        <row r="9405">
          <cell r="A9405" t="str">
            <v xml:space="preserve"> </v>
          </cell>
        </row>
        <row r="9406">
          <cell r="A9406" t="str">
            <v xml:space="preserve"> </v>
          </cell>
        </row>
        <row r="9407">
          <cell r="A9407" t="str">
            <v xml:space="preserve"> </v>
          </cell>
        </row>
        <row r="9408">
          <cell r="A9408" t="str">
            <v xml:space="preserve"> </v>
          </cell>
        </row>
        <row r="9409">
          <cell r="A9409" t="str">
            <v xml:space="preserve"> </v>
          </cell>
        </row>
        <row r="9410">
          <cell r="A9410" t="str">
            <v xml:space="preserve"> </v>
          </cell>
        </row>
        <row r="9411">
          <cell r="A9411" t="str">
            <v xml:space="preserve"> </v>
          </cell>
        </row>
        <row r="9412">
          <cell r="A9412" t="str">
            <v xml:space="preserve"> </v>
          </cell>
        </row>
        <row r="9413">
          <cell r="A9413" t="str">
            <v xml:space="preserve"> </v>
          </cell>
        </row>
        <row r="9414">
          <cell r="A9414" t="str">
            <v xml:space="preserve"> </v>
          </cell>
        </row>
        <row r="9415">
          <cell r="A9415" t="str">
            <v xml:space="preserve"> </v>
          </cell>
        </row>
        <row r="9416">
          <cell r="A9416" t="str">
            <v xml:space="preserve"> </v>
          </cell>
        </row>
        <row r="9417">
          <cell r="A9417" t="str">
            <v xml:space="preserve"> </v>
          </cell>
        </row>
        <row r="9418">
          <cell r="A9418" t="str">
            <v xml:space="preserve"> </v>
          </cell>
        </row>
        <row r="9419">
          <cell r="A9419" t="str">
            <v xml:space="preserve"> </v>
          </cell>
        </row>
        <row r="9420">
          <cell r="A9420" t="str">
            <v xml:space="preserve"> </v>
          </cell>
        </row>
        <row r="9421">
          <cell r="A9421" t="str">
            <v xml:space="preserve"> </v>
          </cell>
        </row>
        <row r="9422">
          <cell r="A9422" t="str">
            <v xml:space="preserve"> </v>
          </cell>
        </row>
        <row r="9423">
          <cell r="A9423" t="str">
            <v xml:space="preserve"> </v>
          </cell>
        </row>
        <row r="9424">
          <cell r="A9424" t="str">
            <v xml:space="preserve"> </v>
          </cell>
        </row>
        <row r="9425">
          <cell r="A9425" t="str">
            <v xml:space="preserve"> </v>
          </cell>
        </row>
        <row r="9426">
          <cell r="A9426" t="str">
            <v xml:space="preserve"> </v>
          </cell>
        </row>
        <row r="9427">
          <cell r="A9427" t="str">
            <v xml:space="preserve"> </v>
          </cell>
        </row>
        <row r="9428">
          <cell r="A9428" t="str">
            <v xml:space="preserve"> </v>
          </cell>
        </row>
        <row r="9429">
          <cell r="A9429" t="str">
            <v xml:space="preserve"> </v>
          </cell>
        </row>
        <row r="9430">
          <cell r="A9430" t="str">
            <v xml:space="preserve"> </v>
          </cell>
        </row>
        <row r="9431">
          <cell r="A9431" t="str">
            <v xml:space="preserve"> </v>
          </cell>
        </row>
        <row r="9432">
          <cell r="A9432" t="str">
            <v xml:space="preserve"> </v>
          </cell>
        </row>
        <row r="9433">
          <cell r="A9433" t="str">
            <v xml:space="preserve"> </v>
          </cell>
        </row>
        <row r="9434">
          <cell r="A9434" t="str">
            <v xml:space="preserve"> </v>
          </cell>
        </row>
        <row r="9435">
          <cell r="A9435" t="str">
            <v xml:space="preserve"> </v>
          </cell>
        </row>
        <row r="9436">
          <cell r="A9436" t="str">
            <v xml:space="preserve"> </v>
          </cell>
        </row>
        <row r="9437">
          <cell r="A9437" t="str">
            <v xml:space="preserve"> </v>
          </cell>
        </row>
        <row r="9438">
          <cell r="A9438" t="str">
            <v xml:space="preserve"> </v>
          </cell>
        </row>
        <row r="9439">
          <cell r="A9439" t="str">
            <v xml:space="preserve"> </v>
          </cell>
        </row>
        <row r="9440">
          <cell r="A9440" t="str">
            <v xml:space="preserve"> </v>
          </cell>
        </row>
        <row r="9441">
          <cell r="A9441" t="str">
            <v xml:space="preserve"> </v>
          </cell>
        </row>
        <row r="9442">
          <cell r="A9442" t="str">
            <v xml:space="preserve"> </v>
          </cell>
        </row>
        <row r="9443">
          <cell r="A9443" t="str">
            <v xml:space="preserve"> </v>
          </cell>
        </row>
        <row r="9444">
          <cell r="A9444" t="str">
            <v xml:space="preserve"> </v>
          </cell>
        </row>
        <row r="9445">
          <cell r="A9445" t="str">
            <v xml:space="preserve"> </v>
          </cell>
        </row>
        <row r="9446">
          <cell r="A9446" t="str">
            <v xml:space="preserve"> </v>
          </cell>
        </row>
        <row r="9447">
          <cell r="A9447" t="str">
            <v xml:space="preserve"> </v>
          </cell>
        </row>
        <row r="9448">
          <cell r="A9448" t="str">
            <v xml:space="preserve"> </v>
          </cell>
        </row>
        <row r="9449">
          <cell r="A9449" t="str">
            <v xml:space="preserve"> </v>
          </cell>
        </row>
        <row r="9450">
          <cell r="A9450" t="str">
            <v xml:space="preserve"> </v>
          </cell>
        </row>
        <row r="9451">
          <cell r="A9451" t="str">
            <v xml:space="preserve"> </v>
          </cell>
        </row>
        <row r="9452">
          <cell r="A9452" t="str">
            <v xml:space="preserve"> </v>
          </cell>
        </row>
        <row r="9453">
          <cell r="A9453" t="str">
            <v xml:space="preserve"> </v>
          </cell>
        </row>
        <row r="9454">
          <cell r="A9454" t="str">
            <v xml:space="preserve"> </v>
          </cell>
        </row>
        <row r="9455">
          <cell r="A9455" t="str">
            <v xml:space="preserve"> </v>
          </cell>
        </row>
        <row r="9456">
          <cell r="A9456" t="str">
            <v xml:space="preserve"> </v>
          </cell>
        </row>
        <row r="9457">
          <cell r="A9457" t="str">
            <v xml:space="preserve"> </v>
          </cell>
        </row>
        <row r="9458">
          <cell r="A9458" t="str">
            <v xml:space="preserve"> </v>
          </cell>
        </row>
        <row r="9459">
          <cell r="A9459" t="str">
            <v xml:space="preserve"> </v>
          </cell>
        </row>
        <row r="9460">
          <cell r="A9460" t="str">
            <v xml:space="preserve"> </v>
          </cell>
        </row>
        <row r="9461">
          <cell r="A9461" t="str">
            <v xml:space="preserve"> </v>
          </cell>
        </row>
        <row r="9462">
          <cell r="A9462" t="str">
            <v xml:space="preserve"> </v>
          </cell>
        </row>
        <row r="9463">
          <cell r="A9463" t="str">
            <v xml:space="preserve"> </v>
          </cell>
        </row>
        <row r="9464">
          <cell r="A9464" t="str">
            <v xml:space="preserve"> </v>
          </cell>
        </row>
        <row r="9465">
          <cell r="A9465" t="str">
            <v xml:space="preserve"> </v>
          </cell>
        </row>
        <row r="9466">
          <cell r="A9466" t="str">
            <v xml:space="preserve"> </v>
          </cell>
        </row>
        <row r="9467">
          <cell r="A9467" t="str">
            <v xml:space="preserve"> </v>
          </cell>
        </row>
        <row r="9468">
          <cell r="A9468" t="str">
            <v xml:space="preserve"> </v>
          </cell>
        </row>
        <row r="9469">
          <cell r="A9469" t="str">
            <v xml:space="preserve"> </v>
          </cell>
        </row>
        <row r="9470">
          <cell r="A9470" t="str">
            <v xml:space="preserve"> </v>
          </cell>
        </row>
        <row r="9471">
          <cell r="A9471" t="str">
            <v xml:space="preserve"> </v>
          </cell>
        </row>
        <row r="9472">
          <cell r="A9472" t="str">
            <v xml:space="preserve"> </v>
          </cell>
        </row>
        <row r="9473">
          <cell r="A9473" t="str">
            <v xml:space="preserve"> </v>
          </cell>
        </row>
        <row r="9474">
          <cell r="A9474" t="str">
            <v xml:space="preserve"> </v>
          </cell>
        </row>
        <row r="9475">
          <cell r="A9475" t="str">
            <v xml:space="preserve"> </v>
          </cell>
        </row>
        <row r="9476">
          <cell r="A9476" t="str">
            <v xml:space="preserve"> </v>
          </cell>
        </row>
        <row r="9477">
          <cell r="A9477" t="str">
            <v xml:space="preserve"> </v>
          </cell>
        </row>
        <row r="9478">
          <cell r="A9478" t="str">
            <v xml:space="preserve"> </v>
          </cell>
        </row>
        <row r="9479">
          <cell r="A9479" t="str">
            <v xml:space="preserve"> </v>
          </cell>
        </row>
        <row r="9480">
          <cell r="A9480" t="str">
            <v xml:space="preserve"> </v>
          </cell>
        </row>
        <row r="9481">
          <cell r="A9481" t="str">
            <v xml:space="preserve"> </v>
          </cell>
        </row>
        <row r="9482">
          <cell r="A9482" t="str">
            <v xml:space="preserve"> </v>
          </cell>
        </row>
        <row r="9483">
          <cell r="A9483" t="str">
            <v xml:space="preserve"> </v>
          </cell>
        </row>
        <row r="9484">
          <cell r="A9484" t="str">
            <v xml:space="preserve"> </v>
          </cell>
        </row>
        <row r="9485">
          <cell r="A9485" t="str">
            <v xml:space="preserve"> </v>
          </cell>
        </row>
        <row r="9486">
          <cell r="A9486" t="str">
            <v xml:space="preserve"> </v>
          </cell>
        </row>
        <row r="9487">
          <cell r="A9487" t="str">
            <v xml:space="preserve"> </v>
          </cell>
        </row>
        <row r="9488">
          <cell r="A9488" t="str">
            <v xml:space="preserve"> </v>
          </cell>
        </row>
        <row r="9489">
          <cell r="A9489" t="str">
            <v xml:space="preserve"> </v>
          </cell>
        </row>
        <row r="9490">
          <cell r="A9490" t="str">
            <v xml:space="preserve"> </v>
          </cell>
        </row>
        <row r="9491">
          <cell r="A9491" t="str">
            <v xml:space="preserve"> </v>
          </cell>
        </row>
        <row r="9492">
          <cell r="A9492" t="str">
            <v xml:space="preserve"> </v>
          </cell>
        </row>
        <row r="9493">
          <cell r="A9493" t="str">
            <v xml:space="preserve"> </v>
          </cell>
        </row>
        <row r="9494">
          <cell r="A9494" t="str">
            <v xml:space="preserve"> </v>
          </cell>
        </row>
        <row r="9495">
          <cell r="A9495" t="str">
            <v xml:space="preserve"> </v>
          </cell>
        </row>
        <row r="9496">
          <cell r="A9496" t="str">
            <v xml:space="preserve"> </v>
          </cell>
        </row>
        <row r="9497">
          <cell r="A9497" t="str">
            <v xml:space="preserve"> </v>
          </cell>
        </row>
        <row r="9498">
          <cell r="A9498" t="str">
            <v xml:space="preserve"> </v>
          </cell>
        </row>
        <row r="9499">
          <cell r="A9499" t="str">
            <v xml:space="preserve"> </v>
          </cell>
        </row>
        <row r="9500">
          <cell r="A9500" t="str">
            <v xml:space="preserve"> </v>
          </cell>
        </row>
        <row r="9501">
          <cell r="A9501" t="str">
            <v xml:space="preserve"> </v>
          </cell>
        </row>
        <row r="9502">
          <cell r="A9502" t="str">
            <v xml:space="preserve"> </v>
          </cell>
        </row>
        <row r="9503">
          <cell r="A9503" t="str">
            <v xml:space="preserve"> </v>
          </cell>
        </row>
        <row r="9504">
          <cell r="A9504" t="str">
            <v xml:space="preserve"> </v>
          </cell>
        </row>
        <row r="9505">
          <cell r="A9505" t="str">
            <v xml:space="preserve"> </v>
          </cell>
        </row>
        <row r="9506">
          <cell r="A9506" t="str">
            <v xml:space="preserve"> </v>
          </cell>
        </row>
        <row r="9507">
          <cell r="A9507" t="str">
            <v xml:space="preserve"> </v>
          </cell>
        </row>
        <row r="9508">
          <cell r="A9508" t="str">
            <v xml:space="preserve"> </v>
          </cell>
        </row>
        <row r="9509">
          <cell r="A9509" t="str">
            <v xml:space="preserve"> </v>
          </cell>
        </row>
        <row r="9510">
          <cell r="A9510" t="str">
            <v xml:space="preserve"> </v>
          </cell>
        </row>
        <row r="9511">
          <cell r="A9511" t="str">
            <v xml:space="preserve"> </v>
          </cell>
        </row>
        <row r="9512">
          <cell r="A9512" t="str">
            <v xml:space="preserve"> </v>
          </cell>
        </row>
        <row r="9513">
          <cell r="A9513" t="str">
            <v xml:space="preserve"> </v>
          </cell>
        </row>
        <row r="9514">
          <cell r="A9514" t="str">
            <v xml:space="preserve"> </v>
          </cell>
        </row>
        <row r="9515">
          <cell r="A9515" t="str">
            <v xml:space="preserve"> </v>
          </cell>
        </row>
        <row r="9516">
          <cell r="A9516" t="str">
            <v xml:space="preserve"> </v>
          </cell>
        </row>
        <row r="9517">
          <cell r="A9517" t="str">
            <v xml:space="preserve"> </v>
          </cell>
        </row>
        <row r="9518">
          <cell r="A9518" t="str">
            <v xml:space="preserve"> </v>
          </cell>
        </row>
        <row r="9519">
          <cell r="A9519" t="str">
            <v xml:space="preserve"> </v>
          </cell>
        </row>
        <row r="9520">
          <cell r="A9520" t="str">
            <v xml:space="preserve"> </v>
          </cell>
        </row>
        <row r="9521">
          <cell r="A9521" t="str">
            <v xml:space="preserve"> </v>
          </cell>
        </row>
        <row r="9522">
          <cell r="A9522" t="str">
            <v xml:space="preserve"> </v>
          </cell>
        </row>
        <row r="9523">
          <cell r="A9523" t="str">
            <v xml:space="preserve"> </v>
          </cell>
        </row>
        <row r="9524">
          <cell r="A9524" t="str">
            <v xml:space="preserve"> </v>
          </cell>
        </row>
        <row r="9525">
          <cell r="A9525" t="str">
            <v xml:space="preserve"> </v>
          </cell>
        </row>
        <row r="9526">
          <cell r="A9526" t="str">
            <v xml:space="preserve"> </v>
          </cell>
        </row>
        <row r="9527">
          <cell r="A9527" t="str">
            <v xml:space="preserve"> </v>
          </cell>
        </row>
        <row r="9528">
          <cell r="A9528" t="str">
            <v xml:space="preserve"> </v>
          </cell>
        </row>
        <row r="9529">
          <cell r="A9529" t="str">
            <v xml:space="preserve"> </v>
          </cell>
        </row>
        <row r="9530">
          <cell r="A9530" t="str">
            <v xml:space="preserve"> </v>
          </cell>
        </row>
        <row r="9531">
          <cell r="A9531" t="str">
            <v xml:space="preserve"> </v>
          </cell>
        </row>
        <row r="9532">
          <cell r="A9532" t="str">
            <v xml:space="preserve"> </v>
          </cell>
        </row>
        <row r="9533">
          <cell r="A9533" t="str">
            <v xml:space="preserve"> </v>
          </cell>
        </row>
        <row r="9534">
          <cell r="A9534" t="str">
            <v xml:space="preserve"> </v>
          </cell>
        </row>
        <row r="9535">
          <cell r="A9535" t="str">
            <v xml:space="preserve"> </v>
          </cell>
        </row>
        <row r="9536">
          <cell r="A9536" t="str">
            <v xml:space="preserve"> </v>
          </cell>
        </row>
        <row r="9537">
          <cell r="A9537" t="str">
            <v xml:space="preserve"> </v>
          </cell>
        </row>
        <row r="9538">
          <cell r="A9538" t="str">
            <v xml:space="preserve"> </v>
          </cell>
        </row>
        <row r="9539">
          <cell r="A9539" t="str">
            <v xml:space="preserve"> </v>
          </cell>
        </row>
        <row r="9540">
          <cell r="A9540" t="str">
            <v xml:space="preserve"> </v>
          </cell>
        </row>
        <row r="9541">
          <cell r="A9541" t="str">
            <v xml:space="preserve"> </v>
          </cell>
        </row>
        <row r="9542">
          <cell r="A9542" t="str">
            <v xml:space="preserve"> </v>
          </cell>
        </row>
        <row r="9543">
          <cell r="A9543" t="str">
            <v xml:space="preserve"> </v>
          </cell>
        </row>
        <row r="9544">
          <cell r="A9544" t="str">
            <v xml:space="preserve"> </v>
          </cell>
        </row>
        <row r="9545">
          <cell r="A9545" t="str">
            <v xml:space="preserve"> </v>
          </cell>
        </row>
        <row r="9546">
          <cell r="A9546" t="str">
            <v xml:space="preserve"> </v>
          </cell>
        </row>
        <row r="9547">
          <cell r="A9547" t="str">
            <v xml:space="preserve"> </v>
          </cell>
        </row>
        <row r="9548">
          <cell r="A9548" t="str">
            <v xml:space="preserve"> </v>
          </cell>
        </row>
        <row r="9549">
          <cell r="A9549" t="str">
            <v xml:space="preserve"> </v>
          </cell>
        </row>
        <row r="9550">
          <cell r="A9550" t="str">
            <v xml:space="preserve"> </v>
          </cell>
        </row>
        <row r="9551">
          <cell r="A9551" t="str">
            <v xml:space="preserve"> </v>
          </cell>
        </row>
        <row r="9552">
          <cell r="A9552" t="str">
            <v xml:space="preserve"> </v>
          </cell>
        </row>
        <row r="9553">
          <cell r="A9553" t="str">
            <v xml:space="preserve"> </v>
          </cell>
        </row>
        <row r="9554">
          <cell r="A9554" t="str">
            <v xml:space="preserve"> </v>
          </cell>
        </row>
        <row r="9555">
          <cell r="A9555" t="str">
            <v xml:space="preserve"> </v>
          </cell>
        </row>
        <row r="9556">
          <cell r="A9556" t="str">
            <v xml:space="preserve"> </v>
          </cell>
        </row>
        <row r="9557">
          <cell r="A9557" t="str">
            <v xml:space="preserve"> </v>
          </cell>
        </row>
        <row r="9558">
          <cell r="A9558" t="str">
            <v xml:space="preserve"> </v>
          </cell>
        </row>
        <row r="9559">
          <cell r="A9559" t="str">
            <v xml:space="preserve"> </v>
          </cell>
        </row>
        <row r="9560">
          <cell r="A9560" t="str">
            <v xml:space="preserve"> </v>
          </cell>
        </row>
        <row r="9561">
          <cell r="A9561" t="str">
            <v xml:space="preserve"> </v>
          </cell>
        </row>
        <row r="9562">
          <cell r="A9562" t="str">
            <v xml:space="preserve"> </v>
          </cell>
        </row>
        <row r="9563">
          <cell r="A9563" t="str">
            <v xml:space="preserve"> </v>
          </cell>
        </row>
        <row r="9564">
          <cell r="A9564" t="str">
            <v xml:space="preserve"> </v>
          </cell>
        </row>
        <row r="9565">
          <cell r="A9565" t="str">
            <v xml:space="preserve"> </v>
          </cell>
        </row>
        <row r="9566">
          <cell r="A9566" t="str">
            <v xml:space="preserve"> </v>
          </cell>
        </row>
        <row r="9567">
          <cell r="A9567" t="str">
            <v xml:space="preserve"> </v>
          </cell>
        </row>
        <row r="9568">
          <cell r="A9568" t="str">
            <v xml:space="preserve"> </v>
          </cell>
        </row>
        <row r="9569">
          <cell r="A9569" t="str">
            <v xml:space="preserve"> </v>
          </cell>
        </row>
        <row r="9570">
          <cell r="A9570" t="str">
            <v xml:space="preserve"> </v>
          </cell>
        </row>
        <row r="9571">
          <cell r="A9571" t="str">
            <v xml:space="preserve"> </v>
          </cell>
        </row>
        <row r="9572">
          <cell r="A9572" t="str">
            <v xml:space="preserve"> </v>
          </cell>
        </row>
        <row r="9573">
          <cell r="A9573" t="str">
            <v xml:space="preserve"> </v>
          </cell>
        </row>
        <row r="9574">
          <cell r="A9574" t="str">
            <v xml:space="preserve"> </v>
          </cell>
        </row>
        <row r="9575">
          <cell r="A9575" t="str">
            <v xml:space="preserve"> </v>
          </cell>
        </row>
        <row r="9576">
          <cell r="A9576" t="str">
            <v xml:space="preserve"> </v>
          </cell>
        </row>
        <row r="9577">
          <cell r="A9577" t="str">
            <v xml:space="preserve"> </v>
          </cell>
        </row>
        <row r="9578">
          <cell r="A9578" t="str">
            <v xml:space="preserve"> </v>
          </cell>
        </row>
        <row r="9579">
          <cell r="A9579" t="str">
            <v xml:space="preserve"> </v>
          </cell>
        </row>
        <row r="9580">
          <cell r="A9580" t="str">
            <v xml:space="preserve"> </v>
          </cell>
        </row>
        <row r="9581">
          <cell r="A9581" t="str">
            <v xml:space="preserve"> </v>
          </cell>
        </row>
        <row r="9582">
          <cell r="A9582" t="str">
            <v xml:space="preserve"> </v>
          </cell>
        </row>
        <row r="9583">
          <cell r="A9583" t="str">
            <v xml:space="preserve"> </v>
          </cell>
        </row>
        <row r="9584">
          <cell r="A9584" t="str">
            <v xml:space="preserve"> </v>
          </cell>
        </row>
        <row r="9585">
          <cell r="A9585" t="str">
            <v xml:space="preserve"> </v>
          </cell>
        </row>
        <row r="9586">
          <cell r="A9586" t="str">
            <v xml:space="preserve"> </v>
          </cell>
        </row>
        <row r="9587">
          <cell r="A9587" t="str">
            <v xml:space="preserve"> </v>
          </cell>
        </row>
        <row r="9588">
          <cell r="A9588" t="str">
            <v xml:space="preserve"> </v>
          </cell>
        </row>
        <row r="9589">
          <cell r="A9589" t="str">
            <v xml:space="preserve"> </v>
          </cell>
        </row>
        <row r="9590">
          <cell r="A9590" t="str">
            <v xml:space="preserve"> </v>
          </cell>
        </row>
        <row r="9591">
          <cell r="A9591" t="str">
            <v xml:space="preserve"> </v>
          </cell>
        </row>
        <row r="9592">
          <cell r="A9592" t="str">
            <v xml:space="preserve"> </v>
          </cell>
        </row>
        <row r="9593">
          <cell r="A9593" t="str">
            <v xml:space="preserve"> </v>
          </cell>
        </row>
        <row r="9594">
          <cell r="A9594" t="str">
            <v xml:space="preserve"> </v>
          </cell>
        </row>
        <row r="9595">
          <cell r="A9595" t="str">
            <v xml:space="preserve"> </v>
          </cell>
        </row>
        <row r="9596">
          <cell r="A9596" t="str">
            <v xml:space="preserve"> </v>
          </cell>
        </row>
        <row r="9597">
          <cell r="A9597" t="str">
            <v xml:space="preserve"> </v>
          </cell>
        </row>
        <row r="9598">
          <cell r="A9598" t="str">
            <v xml:space="preserve"> </v>
          </cell>
        </row>
        <row r="9599">
          <cell r="A9599" t="str">
            <v xml:space="preserve"> </v>
          </cell>
        </row>
        <row r="9600">
          <cell r="A9600" t="str">
            <v xml:space="preserve"> </v>
          </cell>
        </row>
        <row r="9601">
          <cell r="A9601" t="str">
            <v xml:space="preserve"> </v>
          </cell>
        </row>
        <row r="9602">
          <cell r="A9602" t="str">
            <v xml:space="preserve"> </v>
          </cell>
        </row>
        <row r="9603">
          <cell r="A9603" t="str">
            <v xml:space="preserve"> </v>
          </cell>
        </row>
        <row r="9604">
          <cell r="A9604" t="str">
            <v xml:space="preserve"> </v>
          </cell>
        </row>
        <row r="9605">
          <cell r="A9605" t="str">
            <v xml:space="preserve"> </v>
          </cell>
        </row>
        <row r="9606">
          <cell r="A9606" t="str">
            <v xml:space="preserve"> </v>
          </cell>
        </row>
        <row r="9607">
          <cell r="A9607" t="str">
            <v xml:space="preserve"> </v>
          </cell>
        </row>
        <row r="9608">
          <cell r="A9608" t="str">
            <v xml:space="preserve"> </v>
          </cell>
        </row>
        <row r="9609">
          <cell r="A9609" t="str">
            <v xml:space="preserve"> </v>
          </cell>
        </row>
        <row r="9610">
          <cell r="A9610" t="str">
            <v xml:space="preserve"> </v>
          </cell>
        </row>
        <row r="9611">
          <cell r="A9611" t="str">
            <v xml:space="preserve"> </v>
          </cell>
        </row>
        <row r="9612">
          <cell r="A9612" t="str">
            <v xml:space="preserve"> </v>
          </cell>
        </row>
        <row r="9613">
          <cell r="A9613" t="str">
            <v xml:space="preserve"> </v>
          </cell>
        </row>
        <row r="9614">
          <cell r="A9614" t="str">
            <v xml:space="preserve"> </v>
          </cell>
        </row>
        <row r="9615">
          <cell r="A9615" t="str">
            <v xml:space="preserve"> </v>
          </cell>
        </row>
        <row r="9616">
          <cell r="A9616" t="str">
            <v xml:space="preserve"> </v>
          </cell>
        </row>
        <row r="9617">
          <cell r="A9617" t="str">
            <v xml:space="preserve"> </v>
          </cell>
        </row>
        <row r="9618">
          <cell r="A9618" t="str">
            <v xml:space="preserve"> </v>
          </cell>
        </row>
        <row r="9619">
          <cell r="A9619" t="str">
            <v xml:space="preserve"> </v>
          </cell>
        </row>
        <row r="9620">
          <cell r="A9620" t="str">
            <v xml:space="preserve"> </v>
          </cell>
        </row>
        <row r="9621">
          <cell r="A9621" t="str">
            <v xml:space="preserve"> </v>
          </cell>
        </row>
        <row r="9622">
          <cell r="A9622" t="str">
            <v xml:space="preserve"> </v>
          </cell>
        </row>
        <row r="9623">
          <cell r="A9623" t="str">
            <v xml:space="preserve"> </v>
          </cell>
        </row>
        <row r="9624">
          <cell r="A9624" t="str">
            <v xml:space="preserve"> </v>
          </cell>
        </row>
        <row r="9625">
          <cell r="A9625" t="str">
            <v xml:space="preserve"> </v>
          </cell>
        </row>
        <row r="9626">
          <cell r="A9626" t="str">
            <v xml:space="preserve"> </v>
          </cell>
        </row>
        <row r="9627">
          <cell r="A9627" t="str">
            <v xml:space="preserve"> </v>
          </cell>
        </row>
        <row r="9628">
          <cell r="A9628" t="str">
            <v xml:space="preserve"> </v>
          </cell>
        </row>
        <row r="9629">
          <cell r="A9629" t="str">
            <v xml:space="preserve"> </v>
          </cell>
        </row>
        <row r="9630">
          <cell r="A9630" t="str">
            <v xml:space="preserve"> </v>
          </cell>
        </row>
        <row r="9631">
          <cell r="A9631" t="str">
            <v xml:space="preserve"> </v>
          </cell>
        </row>
        <row r="9632">
          <cell r="A9632" t="str">
            <v xml:space="preserve"> </v>
          </cell>
        </row>
        <row r="9633">
          <cell r="A9633" t="str">
            <v xml:space="preserve"> </v>
          </cell>
        </row>
        <row r="9634">
          <cell r="A9634" t="str">
            <v xml:space="preserve"> </v>
          </cell>
        </row>
        <row r="9635">
          <cell r="A9635" t="str">
            <v xml:space="preserve"> </v>
          </cell>
        </row>
        <row r="9636">
          <cell r="A9636" t="str">
            <v xml:space="preserve"> </v>
          </cell>
        </row>
        <row r="9637">
          <cell r="A9637" t="str">
            <v xml:space="preserve"> </v>
          </cell>
        </row>
        <row r="9638">
          <cell r="A9638" t="str">
            <v xml:space="preserve"> </v>
          </cell>
        </row>
        <row r="9639">
          <cell r="A9639" t="str">
            <v xml:space="preserve"> </v>
          </cell>
        </row>
        <row r="9640">
          <cell r="A9640" t="str">
            <v xml:space="preserve"> </v>
          </cell>
        </row>
        <row r="9641">
          <cell r="A9641" t="str">
            <v xml:space="preserve"> </v>
          </cell>
        </row>
        <row r="9642">
          <cell r="A9642" t="str">
            <v xml:space="preserve"> </v>
          </cell>
        </row>
        <row r="9643">
          <cell r="A9643" t="str">
            <v xml:space="preserve"> </v>
          </cell>
        </row>
        <row r="9644">
          <cell r="A9644" t="str">
            <v xml:space="preserve"> </v>
          </cell>
        </row>
        <row r="9645">
          <cell r="A9645" t="str">
            <v xml:space="preserve"> </v>
          </cell>
        </row>
        <row r="9646">
          <cell r="A9646" t="str">
            <v xml:space="preserve"> </v>
          </cell>
        </row>
        <row r="9647">
          <cell r="A9647" t="str">
            <v xml:space="preserve"> </v>
          </cell>
        </row>
        <row r="9648">
          <cell r="A9648" t="str">
            <v xml:space="preserve"> </v>
          </cell>
        </row>
        <row r="9649">
          <cell r="A9649" t="str">
            <v xml:space="preserve"> </v>
          </cell>
        </row>
        <row r="9650">
          <cell r="A9650" t="str">
            <v xml:space="preserve"> </v>
          </cell>
        </row>
        <row r="9651">
          <cell r="A9651" t="str">
            <v xml:space="preserve"> </v>
          </cell>
        </row>
        <row r="9652">
          <cell r="A9652" t="str">
            <v xml:space="preserve"> </v>
          </cell>
        </row>
        <row r="9653">
          <cell r="A9653" t="str">
            <v xml:space="preserve"> </v>
          </cell>
        </row>
        <row r="9654">
          <cell r="A9654" t="str">
            <v xml:space="preserve"> </v>
          </cell>
        </row>
        <row r="9655">
          <cell r="A9655" t="str">
            <v xml:space="preserve"> </v>
          </cell>
        </row>
        <row r="9656">
          <cell r="A9656" t="str">
            <v xml:space="preserve"> </v>
          </cell>
        </row>
        <row r="9657">
          <cell r="A9657" t="str">
            <v xml:space="preserve"> </v>
          </cell>
        </row>
        <row r="9658">
          <cell r="A9658" t="str">
            <v xml:space="preserve"> </v>
          </cell>
        </row>
        <row r="9659">
          <cell r="A9659" t="str">
            <v xml:space="preserve"> </v>
          </cell>
        </row>
        <row r="9660">
          <cell r="A9660" t="str">
            <v xml:space="preserve"> </v>
          </cell>
        </row>
        <row r="9661">
          <cell r="A9661" t="str">
            <v xml:space="preserve"> </v>
          </cell>
        </row>
        <row r="9662">
          <cell r="A9662" t="str">
            <v xml:space="preserve"> </v>
          </cell>
        </row>
        <row r="9663">
          <cell r="A9663" t="str">
            <v xml:space="preserve"> </v>
          </cell>
        </row>
        <row r="9664">
          <cell r="A9664" t="str">
            <v xml:space="preserve"> </v>
          </cell>
        </row>
        <row r="9665">
          <cell r="A9665" t="str">
            <v xml:space="preserve"> </v>
          </cell>
        </row>
        <row r="9666">
          <cell r="A9666" t="str">
            <v xml:space="preserve"> </v>
          </cell>
        </row>
        <row r="9667">
          <cell r="A9667" t="str">
            <v xml:space="preserve"> </v>
          </cell>
        </row>
        <row r="9668">
          <cell r="A9668" t="str">
            <v xml:space="preserve"> </v>
          </cell>
        </row>
        <row r="9669">
          <cell r="A9669" t="str">
            <v xml:space="preserve"> </v>
          </cell>
        </row>
        <row r="9670">
          <cell r="A9670" t="str">
            <v xml:space="preserve"> </v>
          </cell>
        </row>
        <row r="9671">
          <cell r="A9671" t="str">
            <v xml:space="preserve"> </v>
          </cell>
        </row>
        <row r="9672">
          <cell r="A9672" t="str">
            <v xml:space="preserve"> </v>
          </cell>
        </row>
        <row r="9673">
          <cell r="A9673" t="str">
            <v xml:space="preserve"> </v>
          </cell>
        </row>
        <row r="9674">
          <cell r="A9674" t="str">
            <v xml:space="preserve"> </v>
          </cell>
        </row>
        <row r="9675">
          <cell r="A9675" t="str">
            <v xml:space="preserve"> </v>
          </cell>
        </row>
        <row r="9676">
          <cell r="A9676" t="str">
            <v xml:space="preserve"> </v>
          </cell>
        </row>
        <row r="9677">
          <cell r="A9677" t="str">
            <v xml:space="preserve"> </v>
          </cell>
        </row>
        <row r="9678">
          <cell r="A9678" t="str">
            <v xml:space="preserve"> </v>
          </cell>
        </row>
        <row r="9679">
          <cell r="A9679" t="str">
            <v xml:space="preserve"> </v>
          </cell>
        </row>
        <row r="9680">
          <cell r="A9680" t="str">
            <v xml:space="preserve"> </v>
          </cell>
        </row>
        <row r="9681">
          <cell r="A9681" t="str">
            <v xml:space="preserve"> </v>
          </cell>
        </row>
        <row r="9682">
          <cell r="A9682" t="str">
            <v xml:space="preserve"> </v>
          </cell>
        </row>
        <row r="9683">
          <cell r="A9683" t="str">
            <v xml:space="preserve"> </v>
          </cell>
        </row>
        <row r="9684">
          <cell r="A9684" t="str">
            <v xml:space="preserve"> </v>
          </cell>
        </row>
        <row r="9685">
          <cell r="A9685" t="str">
            <v xml:space="preserve"> </v>
          </cell>
        </row>
        <row r="9686">
          <cell r="A9686" t="str">
            <v xml:space="preserve"> </v>
          </cell>
        </row>
        <row r="9687">
          <cell r="A9687" t="str">
            <v xml:space="preserve"> </v>
          </cell>
        </row>
        <row r="9688">
          <cell r="A9688" t="str">
            <v xml:space="preserve"> </v>
          </cell>
        </row>
        <row r="9689">
          <cell r="A9689" t="str">
            <v xml:space="preserve"> </v>
          </cell>
        </row>
        <row r="9690">
          <cell r="A9690" t="str">
            <v xml:space="preserve"> </v>
          </cell>
        </row>
        <row r="9691">
          <cell r="A9691" t="str">
            <v xml:space="preserve"> </v>
          </cell>
        </row>
        <row r="9692">
          <cell r="A9692" t="str">
            <v xml:space="preserve"> </v>
          </cell>
        </row>
        <row r="9693">
          <cell r="A9693" t="str">
            <v xml:space="preserve"> </v>
          </cell>
        </row>
        <row r="9694">
          <cell r="A9694" t="str">
            <v xml:space="preserve"> </v>
          </cell>
        </row>
        <row r="9695">
          <cell r="A9695" t="str">
            <v xml:space="preserve"> </v>
          </cell>
        </row>
        <row r="9696">
          <cell r="A9696" t="str">
            <v xml:space="preserve"> </v>
          </cell>
        </row>
        <row r="9697">
          <cell r="A9697" t="str">
            <v xml:space="preserve"> </v>
          </cell>
        </row>
        <row r="9698">
          <cell r="A9698" t="str">
            <v xml:space="preserve"> </v>
          </cell>
        </row>
        <row r="9699">
          <cell r="A9699" t="str">
            <v xml:space="preserve"> </v>
          </cell>
        </row>
        <row r="9700">
          <cell r="A9700" t="str">
            <v xml:space="preserve"> </v>
          </cell>
        </row>
        <row r="9701">
          <cell r="A9701" t="str">
            <v xml:space="preserve"> </v>
          </cell>
        </row>
        <row r="9702">
          <cell r="A9702" t="str">
            <v xml:space="preserve"> </v>
          </cell>
        </row>
        <row r="9703">
          <cell r="A9703" t="str">
            <v xml:space="preserve"> </v>
          </cell>
        </row>
        <row r="9704">
          <cell r="A9704" t="str">
            <v xml:space="preserve"> </v>
          </cell>
        </row>
        <row r="9705">
          <cell r="A9705" t="str">
            <v xml:space="preserve"> </v>
          </cell>
        </row>
        <row r="9706">
          <cell r="A9706" t="str">
            <v xml:space="preserve"> </v>
          </cell>
        </row>
        <row r="9707">
          <cell r="A9707" t="str">
            <v xml:space="preserve"> </v>
          </cell>
        </row>
        <row r="9708">
          <cell r="A9708" t="str">
            <v xml:space="preserve"> </v>
          </cell>
        </row>
        <row r="9709">
          <cell r="A9709" t="str">
            <v xml:space="preserve"> </v>
          </cell>
        </row>
        <row r="9710">
          <cell r="A9710" t="str">
            <v xml:space="preserve"> </v>
          </cell>
        </row>
        <row r="9711">
          <cell r="A9711" t="str">
            <v xml:space="preserve"> </v>
          </cell>
        </row>
        <row r="9712">
          <cell r="A9712" t="str">
            <v xml:space="preserve"> </v>
          </cell>
        </row>
        <row r="9713">
          <cell r="A9713" t="str">
            <v xml:space="preserve"> </v>
          </cell>
        </row>
        <row r="9714">
          <cell r="A9714" t="str">
            <v xml:space="preserve"> </v>
          </cell>
        </row>
        <row r="9715">
          <cell r="A9715" t="str">
            <v xml:space="preserve"> </v>
          </cell>
        </row>
        <row r="9716">
          <cell r="A9716" t="str">
            <v xml:space="preserve"> </v>
          </cell>
        </row>
        <row r="9717">
          <cell r="A9717" t="str">
            <v xml:space="preserve"> </v>
          </cell>
        </row>
        <row r="9718">
          <cell r="A9718" t="str">
            <v xml:space="preserve"> </v>
          </cell>
        </row>
        <row r="9719">
          <cell r="A9719" t="str">
            <v xml:space="preserve"> </v>
          </cell>
        </row>
        <row r="9720">
          <cell r="A9720" t="str">
            <v xml:space="preserve"> </v>
          </cell>
        </row>
        <row r="9721">
          <cell r="A9721" t="str">
            <v xml:space="preserve"> </v>
          </cell>
        </row>
        <row r="9722">
          <cell r="A9722" t="str">
            <v xml:space="preserve"> </v>
          </cell>
        </row>
        <row r="9723">
          <cell r="A9723" t="str">
            <v xml:space="preserve"> </v>
          </cell>
        </row>
        <row r="9724">
          <cell r="A9724" t="str">
            <v xml:space="preserve"> </v>
          </cell>
        </row>
        <row r="9725">
          <cell r="A9725" t="str">
            <v xml:space="preserve"> </v>
          </cell>
        </row>
        <row r="9726">
          <cell r="A9726" t="str">
            <v xml:space="preserve"> </v>
          </cell>
        </row>
        <row r="9727">
          <cell r="A9727" t="str">
            <v xml:space="preserve"> </v>
          </cell>
        </row>
        <row r="9728">
          <cell r="A9728" t="str">
            <v xml:space="preserve"> </v>
          </cell>
        </row>
        <row r="9729">
          <cell r="A9729" t="str">
            <v xml:space="preserve"> </v>
          </cell>
        </row>
        <row r="9730">
          <cell r="A9730" t="str">
            <v xml:space="preserve"> </v>
          </cell>
        </row>
        <row r="9731">
          <cell r="A9731" t="str">
            <v xml:space="preserve"> </v>
          </cell>
        </row>
        <row r="9732">
          <cell r="A9732" t="str">
            <v xml:space="preserve"> </v>
          </cell>
        </row>
        <row r="9733">
          <cell r="A9733" t="str">
            <v xml:space="preserve"> </v>
          </cell>
        </row>
        <row r="9734">
          <cell r="A9734" t="str">
            <v xml:space="preserve"> </v>
          </cell>
        </row>
        <row r="9735">
          <cell r="A9735" t="str">
            <v xml:space="preserve"> </v>
          </cell>
        </row>
        <row r="9736">
          <cell r="A9736" t="str">
            <v xml:space="preserve"> </v>
          </cell>
        </row>
        <row r="9737">
          <cell r="A9737" t="str">
            <v xml:space="preserve"> </v>
          </cell>
        </row>
        <row r="9738">
          <cell r="A9738" t="str">
            <v xml:space="preserve"> </v>
          </cell>
        </row>
        <row r="9739">
          <cell r="A9739" t="str">
            <v xml:space="preserve"> </v>
          </cell>
        </row>
        <row r="9740">
          <cell r="A9740" t="str">
            <v xml:space="preserve"> </v>
          </cell>
        </row>
        <row r="9741">
          <cell r="A9741" t="str">
            <v xml:space="preserve"> </v>
          </cell>
        </row>
        <row r="9742">
          <cell r="A9742" t="str">
            <v xml:space="preserve"> </v>
          </cell>
        </row>
        <row r="9743">
          <cell r="A9743" t="str">
            <v xml:space="preserve"> </v>
          </cell>
        </row>
        <row r="9744">
          <cell r="A9744" t="str">
            <v xml:space="preserve"> </v>
          </cell>
        </row>
        <row r="9745">
          <cell r="A9745" t="str">
            <v xml:space="preserve"> </v>
          </cell>
        </row>
        <row r="9746">
          <cell r="A9746" t="str">
            <v xml:space="preserve"> </v>
          </cell>
        </row>
        <row r="9747">
          <cell r="A9747" t="str">
            <v xml:space="preserve"> </v>
          </cell>
        </row>
        <row r="9748">
          <cell r="A9748" t="str">
            <v xml:space="preserve"> </v>
          </cell>
        </row>
        <row r="9749">
          <cell r="A9749" t="str">
            <v xml:space="preserve"> </v>
          </cell>
        </row>
        <row r="9750">
          <cell r="A9750" t="str">
            <v xml:space="preserve"> </v>
          </cell>
        </row>
        <row r="9751">
          <cell r="A9751" t="str">
            <v xml:space="preserve"> </v>
          </cell>
        </row>
        <row r="9752">
          <cell r="A9752" t="str">
            <v xml:space="preserve"> </v>
          </cell>
        </row>
        <row r="9753">
          <cell r="A9753" t="str">
            <v xml:space="preserve"> </v>
          </cell>
        </row>
        <row r="9754">
          <cell r="A9754" t="str">
            <v xml:space="preserve"> </v>
          </cell>
        </row>
        <row r="9755">
          <cell r="A9755" t="str">
            <v xml:space="preserve"> </v>
          </cell>
        </row>
        <row r="9756">
          <cell r="A9756" t="str">
            <v xml:space="preserve"> </v>
          </cell>
        </row>
        <row r="9757">
          <cell r="A9757" t="str">
            <v xml:space="preserve"> </v>
          </cell>
        </row>
        <row r="9758">
          <cell r="A9758" t="str">
            <v xml:space="preserve"> </v>
          </cell>
        </row>
        <row r="9759">
          <cell r="A9759" t="str">
            <v xml:space="preserve"> </v>
          </cell>
        </row>
        <row r="9760">
          <cell r="A9760" t="str">
            <v xml:space="preserve"> </v>
          </cell>
        </row>
        <row r="9761">
          <cell r="A9761" t="str">
            <v xml:space="preserve"> </v>
          </cell>
        </row>
        <row r="9762">
          <cell r="A9762" t="str">
            <v xml:space="preserve"> </v>
          </cell>
        </row>
        <row r="9763">
          <cell r="A9763" t="str">
            <v xml:space="preserve"> </v>
          </cell>
        </row>
        <row r="9764">
          <cell r="A9764" t="str">
            <v xml:space="preserve"> </v>
          </cell>
        </row>
        <row r="9765">
          <cell r="A9765" t="str">
            <v xml:space="preserve"> </v>
          </cell>
        </row>
        <row r="9766">
          <cell r="A9766" t="str">
            <v xml:space="preserve"> </v>
          </cell>
        </row>
        <row r="9767">
          <cell r="A9767" t="str">
            <v xml:space="preserve"> </v>
          </cell>
        </row>
        <row r="9768">
          <cell r="A9768" t="str">
            <v xml:space="preserve"> </v>
          </cell>
        </row>
        <row r="9769">
          <cell r="A9769" t="str">
            <v xml:space="preserve"> </v>
          </cell>
        </row>
        <row r="9770">
          <cell r="A9770" t="str">
            <v xml:space="preserve"> </v>
          </cell>
        </row>
        <row r="9771">
          <cell r="A9771" t="str">
            <v xml:space="preserve"> </v>
          </cell>
        </row>
        <row r="9772">
          <cell r="A9772" t="str">
            <v xml:space="preserve"> </v>
          </cell>
        </row>
        <row r="9773">
          <cell r="A9773" t="str">
            <v xml:space="preserve"> </v>
          </cell>
        </row>
        <row r="9774">
          <cell r="A9774" t="str">
            <v xml:space="preserve"> </v>
          </cell>
        </row>
        <row r="9775">
          <cell r="A9775" t="str">
            <v xml:space="preserve"> </v>
          </cell>
        </row>
        <row r="9776">
          <cell r="A9776" t="str">
            <v xml:space="preserve"> </v>
          </cell>
        </row>
        <row r="9777">
          <cell r="A9777" t="str">
            <v xml:space="preserve"> </v>
          </cell>
        </row>
        <row r="9778">
          <cell r="A9778" t="str">
            <v xml:space="preserve"> </v>
          </cell>
        </row>
        <row r="9779">
          <cell r="A9779" t="str">
            <v xml:space="preserve"> </v>
          </cell>
        </row>
        <row r="9780">
          <cell r="A9780" t="str">
            <v xml:space="preserve"> </v>
          </cell>
        </row>
        <row r="9781">
          <cell r="A9781" t="str">
            <v xml:space="preserve"> </v>
          </cell>
        </row>
        <row r="9782">
          <cell r="A9782" t="str">
            <v xml:space="preserve"> </v>
          </cell>
        </row>
        <row r="9783">
          <cell r="A9783" t="str">
            <v xml:space="preserve"> </v>
          </cell>
        </row>
        <row r="9784">
          <cell r="A9784" t="str">
            <v xml:space="preserve"> </v>
          </cell>
        </row>
        <row r="9785">
          <cell r="A9785" t="str">
            <v xml:space="preserve"> </v>
          </cell>
        </row>
        <row r="9786">
          <cell r="A9786" t="str">
            <v xml:space="preserve"> </v>
          </cell>
        </row>
        <row r="9787">
          <cell r="A9787" t="str">
            <v xml:space="preserve"> </v>
          </cell>
        </row>
        <row r="9788">
          <cell r="A9788" t="str">
            <v xml:space="preserve"> </v>
          </cell>
        </row>
        <row r="9789">
          <cell r="A9789" t="str">
            <v xml:space="preserve"> </v>
          </cell>
        </row>
        <row r="9790">
          <cell r="A9790" t="str">
            <v xml:space="preserve"> </v>
          </cell>
        </row>
        <row r="9791">
          <cell r="A9791" t="str">
            <v xml:space="preserve"> </v>
          </cell>
        </row>
        <row r="9792">
          <cell r="A9792" t="str">
            <v xml:space="preserve"> </v>
          </cell>
        </row>
        <row r="9793">
          <cell r="A9793" t="str">
            <v xml:space="preserve"> </v>
          </cell>
        </row>
        <row r="9794">
          <cell r="A9794" t="str">
            <v xml:space="preserve"> </v>
          </cell>
        </row>
        <row r="9795">
          <cell r="A9795" t="str">
            <v xml:space="preserve"> </v>
          </cell>
        </row>
        <row r="9796">
          <cell r="A9796" t="str">
            <v xml:space="preserve"> </v>
          </cell>
        </row>
        <row r="9797">
          <cell r="A9797" t="str">
            <v xml:space="preserve"> </v>
          </cell>
        </row>
        <row r="9798">
          <cell r="A9798" t="str">
            <v xml:space="preserve"> </v>
          </cell>
        </row>
        <row r="9799">
          <cell r="A9799" t="str">
            <v xml:space="preserve"> </v>
          </cell>
        </row>
        <row r="9800">
          <cell r="A9800" t="str">
            <v xml:space="preserve"> </v>
          </cell>
        </row>
        <row r="9801">
          <cell r="A9801" t="str">
            <v xml:space="preserve"> </v>
          </cell>
        </row>
        <row r="9802">
          <cell r="A9802" t="str">
            <v xml:space="preserve"> </v>
          </cell>
        </row>
        <row r="9803">
          <cell r="A9803" t="str">
            <v xml:space="preserve"> </v>
          </cell>
        </row>
        <row r="9804">
          <cell r="A9804" t="str">
            <v xml:space="preserve"> </v>
          </cell>
        </row>
        <row r="9805">
          <cell r="A9805" t="str">
            <v xml:space="preserve"> </v>
          </cell>
        </row>
        <row r="9806">
          <cell r="A9806" t="str">
            <v xml:space="preserve"> </v>
          </cell>
        </row>
        <row r="9807">
          <cell r="A9807" t="str">
            <v xml:space="preserve"> </v>
          </cell>
        </row>
        <row r="9808">
          <cell r="A9808" t="str">
            <v xml:space="preserve"> </v>
          </cell>
        </row>
        <row r="9809">
          <cell r="A9809" t="str">
            <v xml:space="preserve"> </v>
          </cell>
        </row>
        <row r="9810">
          <cell r="A9810" t="str">
            <v xml:space="preserve"> </v>
          </cell>
        </row>
        <row r="9811">
          <cell r="A9811" t="str">
            <v xml:space="preserve"> </v>
          </cell>
        </row>
        <row r="9812">
          <cell r="A9812" t="str">
            <v xml:space="preserve"> </v>
          </cell>
        </row>
        <row r="9813">
          <cell r="A9813" t="str">
            <v xml:space="preserve"> </v>
          </cell>
        </row>
        <row r="9814">
          <cell r="A9814" t="str">
            <v xml:space="preserve"> </v>
          </cell>
        </row>
        <row r="9815">
          <cell r="A9815" t="str">
            <v xml:space="preserve"> </v>
          </cell>
        </row>
        <row r="9816">
          <cell r="A9816" t="str">
            <v xml:space="preserve"> </v>
          </cell>
        </row>
        <row r="9817">
          <cell r="A9817" t="str">
            <v xml:space="preserve"> </v>
          </cell>
        </row>
        <row r="9818">
          <cell r="A9818" t="str">
            <v xml:space="preserve"> </v>
          </cell>
        </row>
        <row r="9819">
          <cell r="A9819" t="str">
            <v xml:space="preserve"> </v>
          </cell>
        </row>
        <row r="9820">
          <cell r="A9820" t="str">
            <v xml:space="preserve"> </v>
          </cell>
        </row>
        <row r="9821">
          <cell r="A9821" t="str">
            <v xml:space="preserve"> </v>
          </cell>
        </row>
        <row r="9822">
          <cell r="A9822" t="str">
            <v xml:space="preserve"> </v>
          </cell>
        </row>
        <row r="9823">
          <cell r="A9823" t="str">
            <v xml:space="preserve"> </v>
          </cell>
        </row>
        <row r="9824">
          <cell r="A9824" t="str">
            <v xml:space="preserve"> </v>
          </cell>
        </row>
        <row r="9825">
          <cell r="A9825" t="str">
            <v xml:space="preserve"> </v>
          </cell>
        </row>
        <row r="9826">
          <cell r="A9826" t="str">
            <v xml:space="preserve"> </v>
          </cell>
        </row>
        <row r="9827">
          <cell r="A9827" t="str">
            <v xml:space="preserve"> </v>
          </cell>
        </row>
        <row r="9828">
          <cell r="A9828" t="str">
            <v xml:space="preserve"> </v>
          </cell>
        </row>
        <row r="9829">
          <cell r="A9829" t="str">
            <v xml:space="preserve"> </v>
          </cell>
        </row>
        <row r="9830">
          <cell r="A9830" t="str">
            <v xml:space="preserve"> </v>
          </cell>
        </row>
        <row r="9831">
          <cell r="A9831" t="str">
            <v xml:space="preserve"> </v>
          </cell>
        </row>
        <row r="9832">
          <cell r="A9832" t="str">
            <v xml:space="preserve"> </v>
          </cell>
        </row>
        <row r="9833">
          <cell r="A9833" t="str">
            <v xml:space="preserve"> </v>
          </cell>
        </row>
        <row r="9834">
          <cell r="A9834" t="str">
            <v xml:space="preserve"> </v>
          </cell>
        </row>
        <row r="9835">
          <cell r="A9835" t="str">
            <v xml:space="preserve"> </v>
          </cell>
        </row>
        <row r="9836">
          <cell r="A9836" t="str">
            <v xml:space="preserve"> </v>
          </cell>
        </row>
        <row r="9837">
          <cell r="A9837" t="str">
            <v xml:space="preserve"> </v>
          </cell>
        </row>
        <row r="9838">
          <cell r="A9838" t="str">
            <v xml:space="preserve"> </v>
          </cell>
        </row>
        <row r="9839">
          <cell r="A9839" t="str">
            <v xml:space="preserve"> </v>
          </cell>
        </row>
        <row r="9840">
          <cell r="A9840" t="str">
            <v xml:space="preserve"> </v>
          </cell>
        </row>
        <row r="9841">
          <cell r="A9841" t="str">
            <v xml:space="preserve"> </v>
          </cell>
        </row>
        <row r="9842">
          <cell r="A9842" t="str">
            <v xml:space="preserve"> </v>
          </cell>
        </row>
        <row r="9843">
          <cell r="A9843" t="str">
            <v xml:space="preserve"> </v>
          </cell>
        </row>
        <row r="9844">
          <cell r="A9844" t="str">
            <v xml:space="preserve"> </v>
          </cell>
        </row>
        <row r="9845">
          <cell r="A9845" t="str">
            <v xml:space="preserve"> </v>
          </cell>
        </row>
        <row r="9846">
          <cell r="A9846" t="str">
            <v xml:space="preserve"> </v>
          </cell>
        </row>
        <row r="9847">
          <cell r="A9847" t="str">
            <v xml:space="preserve"> </v>
          </cell>
        </row>
        <row r="9848">
          <cell r="A9848" t="str">
            <v xml:space="preserve"> </v>
          </cell>
        </row>
        <row r="9849">
          <cell r="A9849" t="str">
            <v xml:space="preserve"> </v>
          </cell>
        </row>
        <row r="9850">
          <cell r="A9850" t="str">
            <v xml:space="preserve"> </v>
          </cell>
        </row>
        <row r="9851">
          <cell r="A9851" t="str">
            <v xml:space="preserve"> </v>
          </cell>
        </row>
        <row r="9852">
          <cell r="A9852" t="str">
            <v xml:space="preserve"> </v>
          </cell>
        </row>
        <row r="9853">
          <cell r="A9853" t="str">
            <v xml:space="preserve"> </v>
          </cell>
        </row>
        <row r="9854">
          <cell r="A9854" t="str">
            <v xml:space="preserve"> </v>
          </cell>
        </row>
        <row r="9855">
          <cell r="A9855" t="str">
            <v xml:space="preserve"> </v>
          </cell>
        </row>
        <row r="9856">
          <cell r="A9856" t="str">
            <v xml:space="preserve"> </v>
          </cell>
        </row>
        <row r="9857">
          <cell r="A9857" t="str">
            <v xml:space="preserve"> </v>
          </cell>
        </row>
        <row r="9858">
          <cell r="A9858" t="str">
            <v xml:space="preserve"> </v>
          </cell>
        </row>
        <row r="9859">
          <cell r="A9859" t="str">
            <v xml:space="preserve"> </v>
          </cell>
        </row>
        <row r="9860">
          <cell r="A9860" t="str">
            <v xml:space="preserve"> </v>
          </cell>
        </row>
        <row r="9861">
          <cell r="A9861" t="str">
            <v xml:space="preserve"> </v>
          </cell>
        </row>
        <row r="9862">
          <cell r="A9862" t="str">
            <v xml:space="preserve"> </v>
          </cell>
        </row>
        <row r="9863">
          <cell r="A9863" t="str">
            <v xml:space="preserve"> </v>
          </cell>
        </row>
        <row r="9864">
          <cell r="A9864" t="str">
            <v xml:space="preserve"> </v>
          </cell>
        </row>
        <row r="9865">
          <cell r="A9865" t="str">
            <v xml:space="preserve"> </v>
          </cell>
        </row>
        <row r="9866">
          <cell r="A9866" t="str">
            <v xml:space="preserve"> </v>
          </cell>
        </row>
        <row r="9867">
          <cell r="A9867" t="str">
            <v xml:space="preserve"> </v>
          </cell>
        </row>
        <row r="9868">
          <cell r="A9868" t="str">
            <v xml:space="preserve"> </v>
          </cell>
        </row>
        <row r="9869">
          <cell r="A9869" t="str">
            <v xml:space="preserve"> </v>
          </cell>
        </row>
        <row r="9870">
          <cell r="A9870" t="str">
            <v xml:space="preserve"> </v>
          </cell>
        </row>
        <row r="9871">
          <cell r="A9871" t="str">
            <v xml:space="preserve"> </v>
          </cell>
        </row>
        <row r="9872">
          <cell r="A9872" t="str">
            <v xml:space="preserve"> </v>
          </cell>
        </row>
        <row r="9873">
          <cell r="A9873" t="str">
            <v xml:space="preserve"> </v>
          </cell>
        </row>
        <row r="9874">
          <cell r="A9874" t="str">
            <v xml:space="preserve"> </v>
          </cell>
        </row>
        <row r="9875">
          <cell r="A9875" t="str">
            <v xml:space="preserve"> </v>
          </cell>
        </row>
        <row r="9876">
          <cell r="A9876" t="str">
            <v xml:space="preserve"> </v>
          </cell>
        </row>
        <row r="9877">
          <cell r="A9877" t="str">
            <v xml:space="preserve"> </v>
          </cell>
        </row>
        <row r="9878">
          <cell r="A9878" t="str">
            <v xml:space="preserve"> </v>
          </cell>
        </row>
        <row r="9879">
          <cell r="A9879" t="str">
            <v xml:space="preserve"> </v>
          </cell>
        </row>
        <row r="9880">
          <cell r="A9880" t="str">
            <v xml:space="preserve"> </v>
          </cell>
        </row>
        <row r="9881">
          <cell r="A9881" t="str">
            <v xml:space="preserve"> </v>
          </cell>
        </row>
        <row r="9882">
          <cell r="A9882" t="str">
            <v xml:space="preserve"> </v>
          </cell>
        </row>
        <row r="9883">
          <cell r="A9883" t="str">
            <v xml:space="preserve"> </v>
          </cell>
        </row>
        <row r="9884">
          <cell r="A9884" t="str">
            <v xml:space="preserve"> </v>
          </cell>
        </row>
        <row r="9885">
          <cell r="A9885" t="str">
            <v xml:space="preserve"> </v>
          </cell>
        </row>
        <row r="9886">
          <cell r="A9886" t="str">
            <v xml:space="preserve"> </v>
          </cell>
        </row>
        <row r="9887">
          <cell r="A9887" t="str">
            <v xml:space="preserve"> </v>
          </cell>
        </row>
        <row r="9888">
          <cell r="A9888" t="str">
            <v xml:space="preserve"> </v>
          </cell>
        </row>
        <row r="9889">
          <cell r="A9889" t="str">
            <v xml:space="preserve"> </v>
          </cell>
        </row>
        <row r="9890">
          <cell r="A9890" t="str">
            <v xml:space="preserve"> </v>
          </cell>
        </row>
        <row r="9891">
          <cell r="A9891" t="str">
            <v xml:space="preserve"> </v>
          </cell>
        </row>
        <row r="9892">
          <cell r="A9892" t="str">
            <v xml:space="preserve"> </v>
          </cell>
        </row>
        <row r="9893">
          <cell r="A9893" t="str">
            <v xml:space="preserve"> </v>
          </cell>
        </row>
        <row r="9894">
          <cell r="A9894" t="str">
            <v xml:space="preserve"> </v>
          </cell>
        </row>
        <row r="9895">
          <cell r="A9895" t="str">
            <v xml:space="preserve"> </v>
          </cell>
        </row>
        <row r="9896">
          <cell r="A9896" t="str">
            <v xml:space="preserve"> </v>
          </cell>
        </row>
        <row r="9897">
          <cell r="A9897" t="str">
            <v xml:space="preserve"> </v>
          </cell>
        </row>
        <row r="9898">
          <cell r="A9898" t="str">
            <v xml:space="preserve"> </v>
          </cell>
        </row>
        <row r="9899">
          <cell r="A9899" t="str">
            <v xml:space="preserve"> </v>
          </cell>
        </row>
        <row r="9900">
          <cell r="A9900" t="str">
            <v xml:space="preserve"> </v>
          </cell>
        </row>
        <row r="9901">
          <cell r="A9901" t="str">
            <v xml:space="preserve"> </v>
          </cell>
        </row>
        <row r="9902">
          <cell r="A9902" t="str">
            <v xml:space="preserve"> </v>
          </cell>
        </row>
        <row r="9903">
          <cell r="A9903" t="str">
            <v xml:space="preserve"> </v>
          </cell>
        </row>
        <row r="9904">
          <cell r="A9904" t="str">
            <v xml:space="preserve"> </v>
          </cell>
        </row>
        <row r="9905">
          <cell r="A9905" t="str">
            <v xml:space="preserve"> </v>
          </cell>
        </row>
        <row r="9906">
          <cell r="A9906" t="str">
            <v xml:space="preserve"> </v>
          </cell>
        </row>
        <row r="9907">
          <cell r="A9907" t="str">
            <v xml:space="preserve"> </v>
          </cell>
        </row>
        <row r="9908">
          <cell r="A9908" t="str">
            <v xml:space="preserve"> </v>
          </cell>
        </row>
        <row r="9909">
          <cell r="A9909" t="str">
            <v xml:space="preserve"> </v>
          </cell>
        </row>
        <row r="9910">
          <cell r="A9910" t="str">
            <v xml:space="preserve"> </v>
          </cell>
        </row>
        <row r="9911">
          <cell r="A9911" t="str">
            <v xml:space="preserve"> </v>
          </cell>
        </row>
        <row r="9912">
          <cell r="A9912" t="str">
            <v xml:space="preserve"> </v>
          </cell>
        </row>
        <row r="9913">
          <cell r="A9913" t="str">
            <v xml:space="preserve"> </v>
          </cell>
        </row>
        <row r="9914">
          <cell r="A9914" t="str">
            <v xml:space="preserve"> </v>
          </cell>
        </row>
        <row r="9915">
          <cell r="A9915" t="str">
            <v xml:space="preserve"> </v>
          </cell>
        </row>
        <row r="9916">
          <cell r="A9916" t="str">
            <v xml:space="preserve"> </v>
          </cell>
        </row>
        <row r="9917">
          <cell r="A9917" t="str">
            <v xml:space="preserve"> </v>
          </cell>
        </row>
        <row r="9918">
          <cell r="A9918" t="str">
            <v xml:space="preserve"> </v>
          </cell>
        </row>
        <row r="9919">
          <cell r="A9919" t="str">
            <v xml:space="preserve"> </v>
          </cell>
        </row>
        <row r="9920">
          <cell r="A9920" t="str">
            <v xml:space="preserve"> </v>
          </cell>
        </row>
        <row r="9921">
          <cell r="A9921" t="str">
            <v xml:space="preserve"> </v>
          </cell>
        </row>
        <row r="9922">
          <cell r="A9922" t="str">
            <v xml:space="preserve"> </v>
          </cell>
        </row>
        <row r="9923">
          <cell r="A9923" t="str">
            <v xml:space="preserve"> </v>
          </cell>
        </row>
        <row r="9924">
          <cell r="A9924" t="str">
            <v xml:space="preserve"> </v>
          </cell>
        </row>
        <row r="9925">
          <cell r="A9925" t="str">
            <v xml:space="preserve"> </v>
          </cell>
        </row>
        <row r="9926">
          <cell r="A9926" t="str">
            <v xml:space="preserve"> </v>
          </cell>
        </row>
        <row r="9927">
          <cell r="A9927" t="str">
            <v xml:space="preserve"> </v>
          </cell>
        </row>
        <row r="9928">
          <cell r="A9928" t="str">
            <v xml:space="preserve"> </v>
          </cell>
        </row>
        <row r="9929">
          <cell r="A9929" t="str">
            <v xml:space="preserve"> </v>
          </cell>
        </row>
        <row r="9930">
          <cell r="A9930" t="str">
            <v xml:space="preserve"> </v>
          </cell>
        </row>
        <row r="9931">
          <cell r="A9931" t="str">
            <v xml:space="preserve"> </v>
          </cell>
        </row>
        <row r="9932">
          <cell r="A9932" t="str">
            <v xml:space="preserve"> </v>
          </cell>
        </row>
        <row r="9933">
          <cell r="A9933" t="str">
            <v xml:space="preserve"> </v>
          </cell>
        </row>
        <row r="9934">
          <cell r="A9934" t="str">
            <v xml:space="preserve"> </v>
          </cell>
        </row>
        <row r="9935">
          <cell r="A9935" t="str">
            <v xml:space="preserve"> </v>
          </cell>
        </row>
        <row r="9936">
          <cell r="A9936" t="str">
            <v xml:space="preserve"> </v>
          </cell>
        </row>
        <row r="9937">
          <cell r="A9937" t="str">
            <v xml:space="preserve"> </v>
          </cell>
        </row>
        <row r="9938">
          <cell r="A9938" t="str">
            <v xml:space="preserve"> </v>
          </cell>
        </row>
        <row r="9939">
          <cell r="A9939" t="str">
            <v xml:space="preserve"> </v>
          </cell>
        </row>
        <row r="9940">
          <cell r="A9940" t="str">
            <v xml:space="preserve"> </v>
          </cell>
        </row>
        <row r="9941">
          <cell r="A9941" t="str">
            <v xml:space="preserve"> </v>
          </cell>
        </row>
        <row r="9942">
          <cell r="A9942" t="str">
            <v xml:space="preserve"> </v>
          </cell>
        </row>
        <row r="9943">
          <cell r="A9943" t="str">
            <v xml:space="preserve"> </v>
          </cell>
        </row>
        <row r="9944">
          <cell r="A9944" t="str">
            <v xml:space="preserve"> </v>
          </cell>
        </row>
        <row r="9945">
          <cell r="A9945" t="str">
            <v xml:space="preserve"> </v>
          </cell>
        </row>
        <row r="9946">
          <cell r="A9946" t="str">
            <v xml:space="preserve"> </v>
          </cell>
        </row>
        <row r="9947">
          <cell r="A9947" t="str">
            <v xml:space="preserve"> </v>
          </cell>
        </row>
        <row r="9948">
          <cell r="A9948" t="str">
            <v xml:space="preserve"> </v>
          </cell>
        </row>
        <row r="9949">
          <cell r="A9949" t="str">
            <v xml:space="preserve"> </v>
          </cell>
        </row>
        <row r="9950">
          <cell r="A9950" t="str">
            <v xml:space="preserve"> </v>
          </cell>
        </row>
        <row r="9951">
          <cell r="A9951" t="str">
            <v xml:space="preserve"> </v>
          </cell>
        </row>
        <row r="9952">
          <cell r="A9952" t="str">
            <v xml:space="preserve"> </v>
          </cell>
        </row>
        <row r="9953">
          <cell r="A9953" t="str">
            <v xml:space="preserve"> </v>
          </cell>
        </row>
        <row r="9954">
          <cell r="A9954" t="str">
            <v xml:space="preserve"> </v>
          </cell>
        </row>
        <row r="9955">
          <cell r="A9955" t="str">
            <v xml:space="preserve"> </v>
          </cell>
        </row>
        <row r="9956">
          <cell r="A9956" t="str">
            <v xml:space="preserve"> </v>
          </cell>
        </row>
        <row r="9957">
          <cell r="A9957" t="str">
            <v xml:space="preserve"> </v>
          </cell>
        </row>
        <row r="9958">
          <cell r="A9958" t="str">
            <v xml:space="preserve"> </v>
          </cell>
        </row>
        <row r="9959">
          <cell r="A9959" t="str">
            <v xml:space="preserve"> </v>
          </cell>
        </row>
        <row r="9960">
          <cell r="A9960" t="str">
            <v xml:space="preserve"> </v>
          </cell>
        </row>
        <row r="9961">
          <cell r="A9961" t="str">
            <v xml:space="preserve"> </v>
          </cell>
        </row>
        <row r="9962">
          <cell r="A9962" t="str">
            <v xml:space="preserve"> </v>
          </cell>
        </row>
        <row r="9963">
          <cell r="A9963" t="str">
            <v xml:space="preserve"> </v>
          </cell>
        </row>
        <row r="9964">
          <cell r="A9964" t="str">
            <v xml:space="preserve"> </v>
          </cell>
        </row>
        <row r="9965">
          <cell r="A9965" t="str">
            <v xml:space="preserve"> </v>
          </cell>
        </row>
        <row r="9966">
          <cell r="A9966" t="str">
            <v xml:space="preserve"> </v>
          </cell>
        </row>
        <row r="9967">
          <cell r="A9967" t="str">
            <v xml:space="preserve"> </v>
          </cell>
        </row>
        <row r="9968">
          <cell r="A9968" t="str">
            <v xml:space="preserve"> </v>
          </cell>
        </row>
        <row r="9969">
          <cell r="A9969" t="str">
            <v xml:space="preserve"> </v>
          </cell>
        </row>
        <row r="9970">
          <cell r="A9970" t="str">
            <v xml:space="preserve"> </v>
          </cell>
        </row>
        <row r="9971">
          <cell r="A9971" t="str">
            <v xml:space="preserve"> </v>
          </cell>
        </row>
        <row r="9972">
          <cell r="A9972" t="str">
            <v xml:space="preserve"> </v>
          </cell>
        </row>
        <row r="9973">
          <cell r="A9973" t="str">
            <v xml:space="preserve"> </v>
          </cell>
        </row>
        <row r="9974">
          <cell r="A9974" t="str">
            <v xml:space="preserve"> </v>
          </cell>
        </row>
        <row r="9975">
          <cell r="A9975" t="str">
            <v xml:space="preserve"> </v>
          </cell>
        </row>
        <row r="9976">
          <cell r="A9976" t="str">
            <v xml:space="preserve"> </v>
          </cell>
        </row>
        <row r="9977">
          <cell r="A9977" t="str">
            <v xml:space="preserve"> </v>
          </cell>
        </row>
        <row r="9978">
          <cell r="A9978" t="str">
            <v xml:space="preserve"> </v>
          </cell>
        </row>
        <row r="9979">
          <cell r="A9979" t="str">
            <v xml:space="preserve"> </v>
          </cell>
        </row>
        <row r="9980">
          <cell r="A9980" t="str">
            <v xml:space="preserve"> </v>
          </cell>
        </row>
        <row r="9981">
          <cell r="A9981" t="str">
            <v xml:space="preserve"> </v>
          </cell>
        </row>
        <row r="9982">
          <cell r="A9982" t="str">
            <v xml:space="preserve"> </v>
          </cell>
        </row>
        <row r="9983">
          <cell r="A9983" t="str">
            <v xml:space="preserve"> </v>
          </cell>
        </row>
        <row r="9984">
          <cell r="A9984" t="str">
            <v xml:space="preserve"> </v>
          </cell>
        </row>
        <row r="9985">
          <cell r="A9985" t="str">
            <v xml:space="preserve"> </v>
          </cell>
        </row>
        <row r="9986">
          <cell r="A9986" t="str">
            <v xml:space="preserve"> </v>
          </cell>
        </row>
        <row r="9987">
          <cell r="A9987" t="str">
            <v xml:space="preserve"> </v>
          </cell>
        </row>
        <row r="9988">
          <cell r="A9988" t="str">
            <v xml:space="preserve"> </v>
          </cell>
        </row>
        <row r="9989">
          <cell r="A9989" t="str">
            <v xml:space="preserve"> </v>
          </cell>
        </row>
        <row r="9990">
          <cell r="A9990" t="str">
            <v xml:space="preserve"> </v>
          </cell>
        </row>
        <row r="9991">
          <cell r="A9991" t="str">
            <v xml:space="preserve"> </v>
          </cell>
        </row>
        <row r="9992">
          <cell r="A9992" t="str">
            <v xml:space="preserve"> </v>
          </cell>
        </row>
        <row r="9993">
          <cell r="A9993" t="str">
            <v xml:space="preserve"> </v>
          </cell>
        </row>
        <row r="9994">
          <cell r="A9994" t="str">
            <v xml:space="preserve"> </v>
          </cell>
        </row>
        <row r="9995">
          <cell r="A9995" t="str">
            <v xml:space="preserve"> </v>
          </cell>
        </row>
        <row r="9996">
          <cell r="A9996" t="str">
            <v xml:space="preserve"> </v>
          </cell>
        </row>
        <row r="9997">
          <cell r="A9997" t="str">
            <v xml:space="preserve"> </v>
          </cell>
        </row>
        <row r="9998">
          <cell r="A9998" t="str">
            <v xml:space="preserve"> </v>
          </cell>
        </row>
        <row r="9999">
          <cell r="A9999" t="str">
            <v xml:space="preserve"> </v>
          </cell>
        </row>
        <row r="10000">
          <cell r="A10000" t="str">
            <v xml:space="preserve"> 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6857B-4CB6-45A0-BC4F-0DDBFC9C276F}">
  <sheetPr>
    <pageSetUpPr fitToPage="1"/>
  </sheetPr>
  <dimension ref="A1:BF114"/>
  <sheetViews>
    <sheetView tabSelected="1" zoomScale="85" zoomScaleNormal="85" workbookViewId="0">
      <selection activeCell="AK10" sqref="AK10"/>
    </sheetView>
  </sheetViews>
  <sheetFormatPr defaultRowHeight="15"/>
  <cols>
    <col min="1" max="1" width="5.28515625" customWidth="1"/>
    <col min="2" max="6" width="4.7109375" customWidth="1"/>
    <col min="7" max="7" width="5.7109375" customWidth="1"/>
    <col min="8" max="20" width="4.7109375" customWidth="1"/>
    <col min="21" max="21" width="5.28515625" customWidth="1"/>
    <col min="22" max="30" width="4.7109375" customWidth="1"/>
    <col min="31" max="58" width="4.28515625" customWidth="1"/>
  </cols>
  <sheetData>
    <row r="1" spans="1:30" ht="20.25">
      <c r="A1" s="156" t="s">
        <v>145</v>
      </c>
      <c r="B1" s="157"/>
      <c r="C1" s="157"/>
      <c r="D1" s="157"/>
      <c r="E1" s="157"/>
      <c r="F1" s="157"/>
      <c r="G1" s="157"/>
      <c r="H1" s="158"/>
      <c r="I1" s="159" t="s">
        <v>487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1"/>
      <c r="Z1" s="162" t="s">
        <v>146</v>
      </c>
      <c r="AA1" s="163"/>
      <c r="AB1" s="163"/>
      <c r="AC1" s="163"/>
      <c r="AD1" s="164"/>
    </row>
    <row r="2" spans="1:30" ht="20.25">
      <c r="A2" s="165" t="s">
        <v>147</v>
      </c>
      <c r="B2" s="166"/>
      <c r="C2" s="166"/>
      <c r="D2" s="166"/>
      <c r="E2" s="166"/>
      <c r="F2" s="166"/>
      <c r="G2" s="166"/>
      <c r="H2" s="167"/>
      <c r="I2" s="159" t="s">
        <v>443</v>
      </c>
      <c r="J2" s="160"/>
      <c r="K2" s="160"/>
      <c r="L2" s="160"/>
      <c r="M2" s="160"/>
      <c r="N2" s="160"/>
      <c r="O2" s="160"/>
      <c r="P2" s="160"/>
      <c r="Q2" s="160"/>
      <c r="R2" s="160"/>
      <c r="S2" s="160"/>
      <c r="T2" s="160"/>
      <c r="U2" s="160"/>
      <c r="V2" s="160"/>
      <c r="W2" s="160"/>
      <c r="X2" s="160"/>
      <c r="Y2" s="161"/>
      <c r="Z2" s="168" t="s">
        <v>472</v>
      </c>
      <c r="AA2" s="169"/>
      <c r="AB2" s="169"/>
      <c r="AC2" s="169"/>
      <c r="AD2" s="170"/>
    </row>
    <row r="3" spans="1:30">
      <c r="A3" s="174"/>
      <c r="B3" s="175"/>
      <c r="C3" s="175"/>
      <c r="D3" s="175"/>
      <c r="E3" s="175"/>
      <c r="F3" s="175"/>
      <c r="G3" s="175"/>
      <c r="H3" s="176"/>
      <c r="I3" s="177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9"/>
      <c r="Z3" s="171"/>
      <c r="AA3" s="172"/>
      <c r="AB3" s="172"/>
      <c r="AC3" s="172"/>
      <c r="AD3" s="173"/>
    </row>
    <row r="5" spans="1:30">
      <c r="B5" s="58" t="s">
        <v>148</v>
      </c>
      <c r="C5" s="200" t="s">
        <v>149</v>
      </c>
      <c r="D5" s="201"/>
      <c r="E5" s="201"/>
      <c r="F5" s="201"/>
      <c r="G5" s="201"/>
      <c r="H5" s="202"/>
      <c r="I5" s="180">
        <v>1</v>
      </c>
      <c r="J5" s="181"/>
      <c r="K5" s="180">
        <v>2</v>
      </c>
      <c r="L5" s="181"/>
      <c r="M5" s="180">
        <v>3</v>
      </c>
      <c r="N5" s="181"/>
      <c r="O5" s="180">
        <v>4</v>
      </c>
      <c r="P5" s="181"/>
      <c r="Q5" s="180">
        <v>5</v>
      </c>
      <c r="R5" s="181"/>
      <c r="S5" s="180">
        <v>6</v>
      </c>
      <c r="T5" s="181"/>
      <c r="U5" s="180">
        <v>7</v>
      </c>
      <c r="V5" s="181"/>
      <c r="W5" s="180">
        <v>8</v>
      </c>
      <c r="X5" s="181"/>
      <c r="Y5" s="180" t="s">
        <v>150</v>
      </c>
      <c r="Z5" s="181"/>
      <c r="AA5" s="180" t="s">
        <v>151</v>
      </c>
      <c r="AB5" s="181"/>
    </row>
    <row r="6" spans="1:30" ht="10.15" customHeight="1">
      <c r="B6" s="182">
        <v>1</v>
      </c>
      <c r="C6" s="185" t="str">
        <f>Koosseisud!A1</f>
        <v>Tiim FORUS - Maardu LTK</v>
      </c>
      <c r="D6" s="186"/>
      <c r="E6" s="186"/>
      <c r="F6" s="186"/>
      <c r="G6" s="186"/>
      <c r="H6" s="187"/>
      <c r="I6" s="194" t="s">
        <v>26</v>
      </c>
      <c r="J6" s="195"/>
      <c r="K6" s="141">
        <f>IF(K7="","",IF(K7="give up",0,IF(LEFT(K7,1)&gt;RIGHT(K7,1),2,1)))</f>
        <v>1</v>
      </c>
      <c r="L6" s="142"/>
      <c r="M6" s="141">
        <f>IF(M7="","",IF(M7="give up",0,IF(LEFT(M7,1)&gt;RIGHT(M7,1),2,1)))</f>
        <v>2</v>
      </c>
      <c r="N6" s="142"/>
      <c r="O6" s="141">
        <f>IF(O7="","",IF(O7="give up",0,IF(LEFT(O7,1)&gt;RIGHT(O7,1),2,1)))</f>
        <v>1</v>
      </c>
      <c r="P6" s="142"/>
      <c r="Q6" s="141">
        <f>IF(Q7="","",IF(Q7="give up",0,IF(LEFT(Q7,1)&gt;RIGHT(Q7,1),2,1)))</f>
        <v>2</v>
      </c>
      <c r="R6" s="142"/>
      <c r="S6" s="141">
        <f>IF(S7="","",IF(S7="give up",0,IF(LEFT(S7,1)&gt;RIGHT(S7,1),2,1)))</f>
        <v>2</v>
      </c>
      <c r="T6" s="142"/>
      <c r="U6" s="141">
        <f>IF(U7="","",IF(U7="give up",0,IF(LEFT(U7,1)&gt;RIGHT(U7,1),2,1)))</f>
        <v>2</v>
      </c>
      <c r="V6" s="142"/>
      <c r="W6" s="141">
        <f>IF(W7="","",IF(W7="give up",0,IF(LEFT(W7,1)&gt;RIGHT(W7,1),2,1)))</f>
        <v>2</v>
      </c>
      <c r="X6" s="142"/>
      <c r="Y6" s="203">
        <f>IF(SUM(I6:X6)=0,"",SUM(I6:X6,I8:X8))</f>
        <v>22</v>
      </c>
      <c r="Z6" s="204"/>
      <c r="AA6" s="203">
        <v>5</v>
      </c>
      <c r="AB6" s="204"/>
    </row>
    <row r="7" spans="1:30" ht="10.15" customHeight="1" thickBot="1">
      <c r="B7" s="183"/>
      <c r="C7" s="188"/>
      <c r="D7" s="189"/>
      <c r="E7" s="189"/>
      <c r="F7" s="189"/>
      <c r="G7" s="189"/>
      <c r="H7" s="190"/>
      <c r="I7" s="196"/>
      <c r="J7" s="197"/>
      <c r="K7" s="139" t="str">
        <f>IF(COUNTIF(Abitabel!$Q$1:$Q$56,CONCATENATE($B$6,"-",K5))=0,"",VLOOKUP(CONCATENATE($B$6,"-",K5),Abitabel!$Q:$R,2,FALSE))</f>
        <v>0:4</v>
      </c>
      <c r="L7" s="140"/>
      <c r="M7" s="139" t="str">
        <f>IF(COUNTIF(Abitabel!$Q$1:$Q$56,CONCATENATE($B$6,"-",M5))=0,"",VLOOKUP(CONCATENATE($B$6,"-",M5),Abitabel!$Q:$R,2,FALSE))</f>
        <v>4:2</v>
      </c>
      <c r="N7" s="140"/>
      <c r="O7" s="139" t="str">
        <f>IF(COUNTIF(Abitabel!$Q$1:$Q$56,CONCATENATE($B$6,"-",O5))=0,"",VLOOKUP(CONCATENATE($B$6,"-",O5),Abitabel!$Q:$R,2,FALSE))</f>
        <v>1:4</v>
      </c>
      <c r="P7" s="140"/>
      <c r="Q7" s="139" t="str">
        <f>IF(COUNTIF(Abitabel!$Q$1:$Q$56,CONCATENATE($B$6,"-",Q5))=0,"",VLOOKUP(CONCATENATE($B$6,"-",Q5),Abitabel!$Q:$R,2,FALSE))</f>
        <v>4:0</v>
      </c>
      <c r="R7" s="140"/>
      <c r="S7" s="139" t="str">
        <f>IF(COUNTIF(Abitabel!$Q$1:$Q$56,CONCATENATE($B$6,"-",S5))=0,"",VLOOKUP(CONCATENATE($B$6,"-",S5),Abitabel!$Q:$R,2,FALSE))</f>
        <v>4:1</v>
      </c>
      <c r="T7" s="140"/>
      <c r="U7" s="139" t="str">
        <f>IF(COUNTIF(Abitabel!$Q$1:$Q$56,CONCATENATE($B$6,"-",U5))=0,"",VLOOKUP(CONCATENATE($B$6,"-",U5),Abitabel!$Q:$R,2,FALSE))</f>
        <v>4:3</v>
      </c>
      <c r="V7" s="140"/>
      <c r="W7" s="139" t="str">
        <f>IF(COUNTIF(Abitabel!$Q$1:$Q$56,CONCATENATE($B$6,"-",W5))=0,"",VLOOKUP(CONCATENATE($B$6,"-",W5),Abitabel!$Q:$R,2,FALSE))</f>
        <v>4:0</v>
      </c>
      <c r="X7" s="140"/>
      <c r="Y7" s="205"/>
      <c r="Z7" s="206"/>
      <c r="AA7" s="205"/>
      <c r="AB7" s="206"/>
    </row>
    <row r="8" spans="1:30" ht="10.15" customHeight="1">
      <c r="B8" s="183"/>
      <c r="C8" s="188"/>
      <c r="D8" s="189"/>
      <c r="E8" s="189"/>
      <c r="F8" s="189"/>
      <c r="G8" s="189"/>
      <c r="H8" s="190"/>
      <c r="I8" s="196"/>
      <c r="J8" s="197"/>
      <c r="K8" s="141">
        <f t="shared" ref="K8" si="0">IF(K9="","",IF(K9="give up",0,IF(LEFT(K9,1)&gt;RIGHT(K9,1),2,1)))</f>
        <v>1</v>
      </c>
      <c r="L8" s="142"/>
      <c r="M8" s="141">
        <v>1</v>
      </c>
      <c r="N8" s="142"/>
      <c r="O8" s="141">
        <v>1</v>
      </c>
      <c r="P8" s="142"/>
      <c r="Q8" s="141">
        <f t="shared" ref="Q8" si="1">IF(Q9="","",IF(Q9="give up",0,IF(LEFT(Q9,1)&gt;RIGHT(Q9,1),2,1)))</f>
        <v>2</v>
      </c>
      <c r="R8" s="142"/>
      <c r="S8" s="141">
        <f t="shared" ref="S8" si="2">IF(S9="","",IF(S9="give up",0,IF(LEFT(S9,1)&gt;RIGHT(S9,1),2,1)))</f>
        <v>2</v>
      </c>
      <c r="T8" s="142"/>
      <c r="U8" s="141">
        <v>1</v>
      </c>
      <c r="V8" s="142"/>
      <c r="W8" s="141">
        <f>IF(W9="","",IF(W9="give up",0,IF(LEFT(W9,1)&gt;RIGHT(W9,1),2,1)))</f>
        <v>2</v>
      </c>
      <c r="X8" s="142"/>
      <c r="Y8" s="205"/>
      <c r="Z8" s="206"/>
      <c r="AA8" s="205"/>
      <c r="AB8" s="206"/>
    </row>
    <row r="9" spans="1:30" ht="10.15" customHeight="1" thickBot="1">
      <c r="B9" s="184"/>
      <c r="C9" s="191"/>
      <c r="D9" s="192"/>
      <c r="E9" s="192"/>
      <c r="F9" s="192"/>
      <c r="G9" s="192"/>
      <c r="H9" s="193"/>
      <c r="I9" s="198"/>
      <c r="J9" s="199"/>
      <c r="K9" s="143" t="s">
        <v>134</v>
      </c>
      <c r="L9" s="144"/>
      <c r="M9" s="143" t="s">
        <v>135</v>
      </c>
      <c r="N9" s="144"/>
      <c r="O9" s="143" t="s">
        <v>134</v>
      </c>
      <c r="P9" s="144"/>
      <c r="Q9" s="143" t="s">
        <v>131</v>
      </c>
      <c r="R9" s="144"/>
      <c r="S9" s="143" t="s">
        <v>132</v>
      </c>
      <c r="T9" s="144"/>
      <c r="U9" s="143" t="s">
        <v>134</v>
      </c>
      <c r="V9" s="144"/>
      <c r="W9" s="143" t="s">
        <v>133</v>
      </c>
      <c r="X9" s="144"/>
      <c r="Y9" s="207"/>
      <c r="Z9" s="208"/>
      <c r="AA9" s="207"/>
      <c r="AB9" s="208"/>
    </row>
    <row r="10" spans="1:30" ht="10.15" customHeight="1">
      <c r="B10" s="209">
        <v>2</v>
      </c>
      <c r="C10" s="210" t="str">
        <f>Koosseisud!A2</f>
        <v>Viimsi PINX</v>
      </c>
      <c r="D10" s="211"/>
      <c r="E10" s="211"/>
      <c r="F10" s="211"/>
      <c r="G10" s="211"/>
      <c r="H10" s="212"/>
      <c r="I10" s="213">
        <f>IF(I11="","",IF(I11="give up",0,IF(LEFT(I11,1)&gt;RIGHT(I11,1),2,1)))</f>
        <v>2</v>
      </c>
      <c r="J10" s="214"/>
      <c r="K10" s="215" t="s">
        <v>26</v>
      </c>
      <c r="L10" s="216"/>
      <c r="M10" s="213">
        <f>IF(M11="","",IF(M11="give up",0,IF(LEFT(M11,1)&gt;RIGHT(M11,1),2,1)))</f>
        <v>2</v>
      </c>
      <c r="N10" s="214"/>
      <c r="O10" s="213">
        <f>IF(O11="","",IF(O11="give up",0,IF(LEFT(O11,1)&gt;RIGHT(O11,1),2,1)))</f>
        <v>2</v>
      </c>
      <c r="P10" s="214"/>
      <c r="Q10" s="213">
        <f>IF(Q11="","",IF(Q11="give up",0,IF(LEFT(Q11,1)&gt;RIGHT(Q11,1),2,1)))</f>
        <v>2</v>
      </c>
      <c r="R10" s="214"/>
      <c r="S10" s="213">
        <f>IF(S11="","",IF(S11="give up",0,IF(LEFT(S11,1)&gt;RIGHT(S11,1),2,1)))</f>
        <v>2</v>
      </c>
      <c r="T10" s="214"/>
      <c r="U10" s="213">
        <f>IF(U11="","",IF(U11="give up",0,IF(LEFT(U11,1)&gt;RIGHT(U11,1),2,1)))</f>
        <v>1</v>
      </c>
      <c r="V10" s="214"/>
      <c r="W10" s="213">
        <f>IF(W11="","",IF(W11="give up",0,IF(LEFT(W11,1)&gt;RIGHT(W11,1),2,1)))</f>
        <v>2</v>
      </c>
      <c r="X10" s="214"/>
      <c r="Y10" s="217">
        <f t="shared" ref="Y10" si="3">IF(SUM(I10:X10)=0,"",SUM(I10:X10,I12:X12))</f>
        <v>26</v>
      </c>
      <c r="Z10" s="218"/>
      <c r="AA10" s="217">
        <v>1</v>
      </c>
      <c r="AB10" s="218"/>
    </row>
    <row r="11" spans="1:30" ht="10.15" customHeight="1" thickBot="1">
      <c r="B11" s="183"/>
      <c r="C11" s="188"/>
      <c r="D11" s="189"/>
      <c r="E11" s="189"/>
      <c r="F11" s="189"/>
      <c r="G11" s="189"/>
      <c r="H11" s="190"/>
      <c r="I11" s="139" t="str">
        <f>IF(COUNTIF(Abitabel!$Q$1:$Q$56,CONCATENATE($B$10,"-",I5))=0,"",VLOOKUP(CONCATENATE($B$10,"-",I5),Abitabel!$Q:$R,2,FALSE))</f>
        <v>4:0</v>
      </c>
      <c r="J11" s="140"/>
      <c r="K11" s="196"/>
      <c r="L11" s="197"/>
      <c r="M11" s="139" t="str">
        <f>IF(COUNTIF(Abitabel!$Q$1:$Q$56,CONCATENATE($B$10,"-",M5))=0,"",VLOOKUP(CONCATENATE($B$10,"-",M5),Abitabel!$Q:$R,2,FALSE))</f>
        <v>4:2</v>
      </c>
      <c r="N11" s="140"/>
      <c r="O11" s="139" t="str">
        <f>IF(COUNTIF(Abitabel!$Q$1:$Q$56,CONCATENATE($B$10,"-",O5))=0,"",VLOOKUP(CONCATENATE($B$10,"-",O5),Abitabel!$Q:$R,2,FALSE))</f>
        <v>4:1</v>
      </c>
      <c r="P11" s="140"/>
      <c r="Q11" s="139" t="str">
        <f>IF(COUNTIF(Abitabel!$Q$1:$Q$56,CONCATENATE($B$10,"-",Q5))=0,"",VLOOKUP(CONCATENATE($B$10,"-",Q5),Abitabel!$Q:$R,2,FALSE))</f>
        <v>4:2</v>
      </c>
      <c r="R11" s="140"/>
      <c r="S11" s="139" t="str">
        <f>IF(COUNTIF(Abitabel!$Q$1:$Q$56,CONCATENATE($B$10,"-",S5))=0,"",VLOOKUP(CONCATENATE($B$10,"-",S5),Abitabel!$Q:$R,2,FALSE))</f>
        <v>4:1</v>
      </c>
      <c r="T11" s="140"/>
      <c r="U11" s="139" t="str">
        <f>IF(COUNTIF(Abitabel!$Q$1:$Q$56,CONCATENATE($B$10,"-",U5))=0,"",VLOOKUP(CONCATENATE($B$10,"-",U5),Abitabel!$Q:$R,2,FALSE))</f>
        <v>3:4</v>
      </c>
      <c r="V11" s="140"/>
      <c r="W11" s="139" t="str">
        <f>IF(COUNTIF(Abitabel!$Q$1:$Q$56,CONCATENATE($B$10,"-",W5))=0,"",VLOOKUP(CONCATENATE($B$10,"-",W5),Abitabel!$Q:$R,2,FALSE))</f>
        <v>4:0</v>
      </c>
      <c r="X11" s="140"/>
      <c r="Y11" s="205"/>
      <c r="Z11" s="206"/>
      <c r="AA11" s="205"/>
      <c r="AB11" s="206"/>
    </row>
    <row r="12" spans="1:30" ht="10.15" customHeight="1">
      <c r="B12" s="183"/>
      <c r="C12" s="188"/>
      <c r="D12" s="189"/>
      <c r="E12" s="189"/>
      <c r="F12" s="189"/>
      <c r="G12" s="189"/>
      <c r="H12" s="190"/>
      <c r="I12" s="141">
        <f>IF(I13="","",IF(I13="give up",0,IF(LEFT(I13,1)&gt;RIGHT(I13,1),2,1)))</f>
        <v>2</v>
      </c>
      <c r="J12" s="142"/>
      <c r="K12" s="196"/>
      <c r="L12" s="197"/>
      <c r="M12" s="141">
        <f t="shared" ref="M12" si="4">IF(M13="","",IF(M13="give up",0,IF(LEFT(M13,1)&gt;RIGHT(M13,1),2,1)))</f>
        <v>2</v>
      </c>
      <c r="N12" s="142"/>
      <c r="O12" s="141">
        <v>2</v>
      </c>
      <c r="P12" s="142"/>
      <c r="Q12" s="141">
        <f t="shared" ref="Q12" si="5">IF(Q13="","",IF(Q13="give up",0,IF(LEFT(Q13,1)&gt;RIGHT(Q13,1),2,1)))</f>
        <v>2</v>
      </c>
      <c r="R12" s="142"/>
      <c r="S12" s="141">
        <v>2</v>
      </c>
      <c r="T12" s="142"/>
      <c r="U12" s="141">
        <f t="shared" ref="U12" si="6">IF(U13="","",IF(U13="give up",0,IF(LEFT(U13,1)&gt;RIGHT(U13,1),2,1)))</f>
        <v>1</v>
      </c>
      <c r="V12" s="142"/>
      <c r="W12" s="141">
        <v>2</v>
      </c>
      <c r="X12" s="142"/>
      <c r="Y12" s="205"/>
      <c r="Z12" s="206"/>
      <c r="AA12" s="205"/>
      <c r="AB12" s="206"/>
    </row>
    <row r="13" spans="1:30" ht="10.15" customHeight="1" thickBot="1">
      <c r="B13" s="184"/>
      <c r="C13" s="191"/>
      <c r="D13" s="192"/>
      <c r="E13" s="192"/>
      <c r="F13" s="192"/>
      <c r="G13" s="192"/>
      <c r="H13" s="193"/>
      <c r="I13" s="143" t="s">
        <v>130</v>
      </c>
      <c r="J13" s="144"/>
      <c r="K13" s="198"/>
      <c r="L13" s="199"/>
      <c r="M13" s="145" t="s">
        <v>132</v>
      </c>
      <c r="N13" s="146"/>
      <c r="O13" s="145" t="s">
        <v>132</v>
      </c>
      <c r="P13" s="146"/>
      <c r="Q13" s="145" t="s">
        <v>130</v>
      </c>
      <c r="R13" s="146"/>
      <c r="S13" s="145" t="s">
        <v>130</v>
      </c>
      <c r="T13" s="146"/>
      <c r="U13" s="143" t="s">
        <v>135</v>
      </c>
      <c r="V13" s="144"/>
      <c r="W13" s="145" t="s">
        <v>130</v>
      </c>
      <c r="X13" s="146"/>
      <c r="Y13" s="207"/>
      <c r="Z13" s="208"/>
      <c r="AA13" s="207"/>
      <c r="AB13" s="208"/>
    </row>
    <row r="14" spans="1:30" ht="10.15" customHeight="1">
      <c r="B14" s="209">
        <v>3</v>
      </c>
      <c r="C14" s="210" t="str">
        <f>Koosseisud!A3</f>
        <v>TalTech Spordiklubi</v>
      </c>
      <c r="D14" s="211"/>
      <c r="E14" s="211"/>
      <c r="F14" s="211"/>
      <c r="G14" s="211"/>
      <c r="H14" s="212"/>
      <c r="I14" s="213">
        <f>IF(I15="","",IF(I15="give up",0,IF(LEFT(I15,1)&gt;RIGHT(I15,1),2,1)))</f>
        <v>1</v>
      </c>
      <c r="J14" s="214"/>
      <c r="K14" s="213">
        <f>IF(K15="","",IF(K15="give up",0,IF(LEFT(K15,1)&gt;RIGHT(K15,1),2,1)))</f>
        <v>1</v>
      </c>
      <c r="L14" s="214"/>
      <c r="M14" s="215" t="s">
        <v>26</v>
      </c>
      <c r="N14" s="216"/>
      <c r="O14" s="213">
        <f>IF(O15="","",IF(O15="give up",0,IF(LEFT(O15,1)&gt;RIGHT(O15,1),2,1)))</f>
        <v>2</v>
      </c>
      <c r="P14" s="214"/>
      <c r="Q14" s="213">
        <f>IF(Q15="","",IF(Q15="give up",0,IF(LEFT(Q15,1)&gt;RIGHT(Q15,1),2,1)))</f>
        <v>2</v>
      </c>
      <c r="R14" s="214"/>
      <c r="S14" s="213">
        <f>IF(S15="","",IF(S15="give up",0,IF(LEFT(S15,1)&gt;RIGHT(S15,1),2,1)))</f>
        <v>2</v>
      </c>
      <c r="T14" s="214"/>
      <c r="U14" s="213">
        <f>IF(U15="","",IF(U15="give up",0,IF(LEFT(U15,1)&gt;RIGHT(U15,1),2,1)))</f>
        <v>2</v>
      </c>
      <c r="V14" s="214"/>
      <c r="W14" s="213">
        <f>IF(W15="","",IF(W15="give up",0,IF(LEFT(W15,1)&gt;RIGHT(W15,1),2,1)))</f>
        <v>2</v>
      </c>
      <c r="X14" s="214"/>
      <c r="Y14" s="217">
        <f t="shared" ref="Y14" si="7">IF(SUM(I14:X14)=0,"",SUM(I14:X14,I16:X16))</f>
        <v>24</v>
      </c>
      <c r="Z14" s="218"/>
      <c r="AA14" s="217">
        <v>3</v>
      </c>
      <c r="AB14" s="218"/>
    </row>
    <row r="15" spans="1:30" ht="10.15" customHeight="1" thickBot="1">
      <c r="B15" s="183"/>
      <c r="C15" s="188"/>
      <c r="D15" s="189"/>
      <c r="E15" s="189"/>
      <c r="F15" s="189"/>
      <c r="G15" s="189"/>
      <c r="H15" s="190"/>
      <c r="I15" s="139" t="str">
        <f>IF(COUNTIF(Abitabel!$Q$1:$Q$56,CONCATENATE($B$14,"-",I5))=0,"",VLOOKUP(CONCATENATE($B$14,"-",I5),Abitabel!$Q:$R,2,FALSE))</f>
        <v>2:4</v>
      </c>
      <c r="J15" s="140"/>
      <c r="K15" s="139" t="str">
        <f>IF(COUNTIF(Abitabel!$Q$1:$Q$56,CONCATENATE($B$14,"-",K5))=0,"",VLOOKUP(CONCATENATE($B$14,"-",K5),Abitabel!$Q:$R,2,FALSE))</f>
        <v>2:4</v>
      </c>
      <c r="L15" s="140"/>
      <c r="M15" s="196"/>
      <c r="N15" s="197"/>
      <c r="O15" s="139" t="str">
        <f>IF(COUNTIF(Abitabel!$Q$1:$Q$56,CONCATENATE($B$14,"-",O5))=0,"",VLOOKUP(CONCATENATE($B$14,"-",O5),Abitabel!$Q:$R,2,FALSE))</f>
        <v>4:1</v>
      </c>
      <c r="P15" s="140"/>
      <c r="Q15" s="139" t="str">
        <f>IF(COUNTIF(Abitabel!$Q$1:$Q$56,CONCATENATE($B$14,"-",Q5))=0,"",VLOOKUP(CONCATENATE($B$14,"-",Q5),Abitabel!$Q:$R,2,FALSE))</f>
        <v>4:0</v>
      </c>
      <c r="R15" s="140"/>
      <c r="S15" s="139" t="str">
        <f>IF(COUNTIF(Abitabel!$Q$1:$Q$56,CONCATENATE($B$14,"-",S5))=0,"",VLOOKUP(CONCATENATE($B$14,"-",S5),Abitabel!$Q:$R,2,FALSE))</f>
        <v>4:0</v>
      </c>
      <c r="T15" s="140"/>
      <c r="U15" s="139" t="str">
        <f>IF(COUNTIF(Abitabel!$Q$1:$Q$56,CONCATENATE($B$14,"-",U5))=0,"",VLOOKUP(CONCATENATE($B$14,"-",U5),Abitabel!$Q:$R,2,FALSE))</f>
        <v>4:1</v>
      </c>
      <c r="V15" s="140"/>
      <c r="W15" s="139" t="str">
        <f>IF(COUNTIF(Abitabel!$Q$1:$Q$56,CONCATENATE($B$14,"-",W5))=0,"",VLOOKUP(CONCATENATE($B$14,"-",W5),Abitabel!$Q:$R,2,FALSE))</f>
        <v>4:0</v>
      </c>
      <c r="X15" s="140"/>
      <c r="Y15" s="205"/>
      <c r="Z15" s="206"/>
      <c r="AA15" s="205"/>
      <c r="AB15" s="206"/>
    </row>
    <row r="16" spans="1:30" ht="10.15" customHeight="1">
      <c r="B16" s="183"/>
      <c r="C16" s="188"/>
      <c r="D16" s="189"/>
      <c r="E16" s="189"/>
      <c r="F16" s="189"/>
      <c r="G16" s="189"/>
      <c r="H16" s="190"/>
      <c r="I16" s="141">
        <v>2</v>
      </c>
      <c r="J16" s="142"/>
      <c r="K16" s="141">
        <f t="shared" ref="K16" si="8">IF(K17="","",IF(K17="give up",0,IF(LEFT(K17,1)&gt;RIGHT(K17,1),2,1)))</f>
        <v>1</v>
      </c>
      <c r="L16" s="142"/>
      <c r="M16" s="196"/>
      <c r="N16" s="197"/>
      <c r="O16" s="141">
        <f t="shared" ref="O16" si="9">IF(O17="","",IF(O17="give up",0,IF(LEFT(O17,1)&gt;RIGHT(O17,1),2,1)))</f>
        <v>2</v>
      </c>
      <c r="P16" s="142"/>
      <c r="Q16" s="141">
        <f t="shared" ref="Q16" si="10">IF(Q17="","",IF(Q17="give up",0,IF(LEFT(Q17,1)&gt;RIGHT(Q17,1),2,1)))</f>
        <v>2</v>
      </c>
      <c r="R16" s="142"/>
      <c r="S16" s="141">
        <v>2</v>
      </c>
      <c r="T16" s="142"/>
      <c r="U16" s="141">
        <v>1</v>
      </c>
      <c r="V16" s="142"/>
      <c r="W16" s="141">
        <f t="shared" ref="W16" si="11">IF(W17="","",IF(W17="give up",0,IF(LEFT(W17,1)&gt;RIGHT(W17,1),2,1)))</f>
        <v>2</v>
      </c>
      <c r="X16" s="142"/>
      <c r="Y16" s="205"/>
      <c r="Z16" s="206"/>
      <c r="AA16" s="205"/>
      <c r="AB16" s="206"/>
    </row>
    <row r="17" spans="2:28" ht="10.15" customHeight="1" thickBot="1">
      <c r="B17" s="184"/>
      <c r="C17" s="191"/>
      <c r="D17" s="192"/>
      <c r="E17" s="192"/>
      <c r="F17" s="192"/>
      <c r="G17" s="192"/>
      <c r="H17" s="193"/>
      <c r="I17" s="145" t="s">
        <v>131</v>
      </c>
      <c r="J17" s="146"/>
      <c r="K17" s="143" t="s">
        <v>136</v>
      </c>
      <c r="L17" s="144"/>
      <c r="M17" s="198"/>
      <c r="N17" s="199"/>
      <c r="O17" s="143" t="s">
        <v>132</v>
      </c>
      <c r="P17" s="144"/>
      <c r="Q17" s="145" t="s">
        <v>130</v>
      </c>
      <c r="R17" s="146"/>
      <c r="S17" s="143" t="s">
        <v>130</v>
      </c>
      <c r="T17" s="144"/>
      <c r="U17" s="145" t="s">
        <v>129</v>
      </c>
      <c r="V17" s="146"/>
      <c r="W17" s="145" t="s">
        <v>130</v>
      </c>
      <c r="X17" s="146"/>
      <c r="Y17" s="207"/>
      <c r="Z17" s="208"/>
      <c r="AA17" s="207"/>
      <c r="AB17" s="208"/>
    </row>
    <row r="18" spans="2:28" ht="10.15" customHeight="1">
      <c r="B18" s="209">
        <v>4</v>
      </c>
      <c r="C18" s="228" t="str">
        <f>Koosseisud!A4</f>
        <v>Tartu SS Kalev</v>
      </c>
      <c r="D18" s="229"/>
      <c r="E18" s="229"/>
      <c r="F18" s="229"/>
      <c r="G18" s="229"/>
      <c r="H18" s="230"/>
      <c r="I18" s="213">
        <f>IF(I19="","",IF(I19="give up",0,IF(LEFT(I19,1)&gt;RIGHT(I19,1),2,1)))</f>
        <v>2</v>
      </c>
      <c r="J18" s="214"/>
      <c r="K18" s="213">
        <f>IF(K19="","",IF(K19="give up",0,IF(LEFT(K19,1)&gt;RIGHT(K19,1),2,1)))</f>
        <v>1</v>
      </c>
      <c r="L18" s="214"/>
      <c r="M18" s="213">
        <f>IF(M19="","",IF(M19="give up",0,IF(LEFT(M19,1)&gt;RIGHT(M19,1),2,1)))</f>
        <v>1</v>
      </c>
      <c r="N18" s="214"/>
      <c r="O18" s="215" t="s">
        <v>26</v>
      </c>
      <c r="P18" s="216"/>
      <c r="Q18" s="213">
        <f>IF(Q19="","",IF(Q19="give up",0,IF(LEFT(Q19,1)&gt;RIGHT(Q19,1),2,1)))</f>
        <v>2</v>
      </c>
      <c r="R18" s="214"/>
      <c r="S18" s="213">
        <f>IF(S19="","",IF(S19="give up",0,IF(LEFT(S19,1)&gt;RIGHT(S19,1),2,1)))</f>
        <v>2</v>
      </c>
      <c r="T18" s="214"/>
      <c r="U18" s="213">
        <f>IF(U19="","",IF(U19="give up",0,IF(LEFT(U19,1)&gt;RIGHT(U19,1),2,1)))</f>
        <v>2</v>
      </c>
      <c r="V18" s="214"/>
      <c r="W18" s="213">
        <f>IF(W19="","",IF(W19="give up",0,IF(LEFT(W19,1)&gt;RIGHT(W19,1),2,1)))</f>
        <v>2</v>
      </c>
      <c r="X18" s="214"/>
      <c r="Y18" s="217">
        <f t="shared" ref="Y18" si="12">IF(SUM(I18:X18)=0,"",SUM(I18:X18,I20:X20))</f>
        <v>23</v>
      </c>
      <c r="Z18" s="218"/>
      <c r="AA18" s="217">
        <v>4</v>
      </c>
      <c r="AB18" s="218"/>
    </row>
    <row r="19" spans="2:28" ht="10.15" customHeight="1" thickBot="1">
      <c r="B19" s="183"/>
      <c r="C19" s="231"/>
      <c r="D19" s="232"/>
      <c r="E19" s="232"/>
      <c r="F19" s="232"/>
      <c r="G19" s="232"/>
      <c r="H19" s="233"/>
      <c r="I19" s="139" t="str">
        <f>IF(COUNTIF(Abitabel!$Q$1:$Q$56,CONCATENATE($B$18,"-",I5))=0,"",VLOOKUP(CONCATENATE($B$18,"-",I5),Abitabel!$Q:$R,2,FALSE))</f>
        <v>4:1</v>
      </c>
      <c r="J19" s="140"/>
      <c r="K19" s="139" t="str">
        <f>IF(COUNTIF(Abitabel!$Q$1:$Q$56,CONCATENATE($B$18,"-",K5))=0,"",VLOOKUP(CONCATENATE($B$18,"-",K5),Abitabel!$Q:$R,2,FALSE))</f>
        <v>1:4</v>
      </c>
      <c r="L19" s="140"/>
      <c r="M19" s="139" t="str">
        <f>IF(COUNTIF(Abitabel!$Q$1:$Q$56,CONCATENATE($B$18,"-",M5))=0,"",VLOOKUP(CONCATENATE($B$18,"-",M5),Abitabel!$Q:$R,2,FALSE))</f>
        <v>1:4</v>
      </c>
      <c r="N19" s="140"/>
      <c r="O19" s="196"/>
      <c r="P19" s="197"/>
      <c r="Q19" s="139" t="str">
        <f>IF(COUNTIF(Abitabel!$Q$1:$Q$56,CONCATENATE($B$18,"-",Q5))=0,"",VLOOKUP(CONCATENATE($B$18,"-",Q5),Abitabel!$Q:$R,2,FALSE))</f>
        <v>4:1</v>
      </c>
      <c r="R19" s="140"/>
      <c r="S19" s="139" t="str">
        <f>IF(COUNTIF(Abitabel!$Q$1:$Q$56,CONCATENATE($B$18,"-",S5))=0,"",VLOOKUP(CONCATENATE($B$18,"-",S5),Abitabel!$Q:$R,2,FALSE))</f>
        <v>4:0</v>
      </c>
      <c r="T19" s="140"/>
      <c r="U19" s="139" t="str">
        <f>IF(COUNTIF(Abitabel!$Q$1:$Q$56,CONCATENATE($B$18,"-",U5))=0,"",VLOOKUP(CONCATENATE($B$18,"-",U5),Abitabel!$Q:$R,2,FALSE))</f>
        <v>4:2</v>
      </c>
      <c r="V19" s="140"/>
      <c r="W19" s="139" t="str">
        <f>IF(COUNTIF(Abitabel!$Q$1:$Q$56,CONCATENATE($B$18,"-",W5))=0,"",VLOOKUP(CONCATENATE($B$18,"-",W5),Abitabel!$Q:$R,2,FALSE))</f>
        <v>4:0</v>
      </c>
      <c r="X19" s="140"/>
      <c r="Y19" s="205"/>
      <c r="Z19" s="206"/>
      <c r="AA19" s="205"/>
      <c r="AB19" s="206"/>
    </row>
    <row r="20" spans="2:28" ht="10.15" customHeight="1">
      <c r="B20" s="183"/>
      <c r="C20" s="231"/>
      <c r="D20" s="232"/>
      <c r="E20" s="232"/>
      <c r="F20" s="232"/>
      <c r="G20" s="232"/>
      <c r="H20" s="233"/>
      <c r="I20" s="141">
        <v>2</v>
      </c>
      <c r="J20" s="142"/>
      <c r="K20" s="141">
        <v>1</v>
      </c>
      <c r="L20" s="142"/>
      <c r="M20" s="141">
        <f t="shared" ref="M20" si="13">IF(M21="","",IF(M21="give up",0,IF(LEFT(M21,1)&gt;RIGHT(M21,1),2,1)))</f>
        <v>1</v>
      </c>
      <c r="N20" s="142"/>
      <c r="O20" s="196"/>
      <c r="P20" s="197"/>
      <c r="Q20" s="141">
        <v>2</v>
      </c>
      <c r="R20" s="142"/>
      <c r="S20" s="141">
        <f t="shared" ref="S20" si="14">IF(S21="","",IF(S21="give up",0,IF(LEFT(S21,1)&gt;RIGHT(S21,1),2,1)))</f>
        <v>2</v>
      </c>
      <c r="T20" s="142"/>
      <c r="U20" s="141">
        <f t="shared" ref="U20" si="15">IF(U21="","",IF(U21="give up",0,IF(LEFT(U21,1)&gt;RIGHT(U21,1),2,1)))</f>
        <v>1</v>
      </c>
      <c r="V20" s="142"/>
      <c r="W20" s="141">
        <f t="shared" ref="W20" si="16">IF(W21="","",IF(W21="give up",0,IF(LEFT(W21,1)&gt;RIGHT(W21,1),2,1)))</f>
        <v>2</v>
      </c>
      <c r="X20" s="142"/>
      <c r="Y20" s="205"/>
      <c r="Z20" s="206"/>
      <c r="AA20" s="205"/>
      <c r="AB20" s="206"/>
    </row>
    <row r="21" spans="2:28" ht="10.15" customHeight="1" thickBot="1">
      <c r="B21" s="184"/>
      <c r="C21" s="234"/>
      <c r="D21" s="235"/>
      <c r="E21" s="235"/>
      <c r="F21" s="235"/>
      <c r="G21" s="235"/>
      <c r="H21" s="236"/>
      <c r="I21" s="145" t="s">
        <v>130</v>
      </c>
      <c r="J21" s="146"/>
      <c r="K21" s="145" t="s">
        <v>136</v>
      </c>
      <c r="L21" s="146"/>
      <c r="M21" s="143" t="s">
        <v>136</v>
      </c>
      <c r="N21" s="144"/>
      <c r="O21" s="198"/>
      <c r="P21" s="199"/>
      <c r="Q21" s="143" t="s">
        <v>130</v>
      </c>
      <c r="R21" s="144"/>
      <c r="S21" s="143" t="s">
        <v>130</v>
      </c>
      <c r="T21" s="144"/>
      <c r="U21" s="143" t="s">
        <v>135</v>
      </c>
      <c r="V21" s="144"/>
      <c r="W21" s="143" t="s">
        <v>131</v>
      </c>
      <c r="X21" s="144"/>
      <c r="Y21" s="207"/>
      <c r="Z21" s="208"/>
      <c r="AA21" s="207"/>
      <c r="AB21" s="208"/>
    </row>
    <row r="22" spans="2:28" ht="10.15" customHeight="1">
      <c r="B22" s="209">
        <v>5</v>
      </c>
      <c r="C22" s="210" t="str">
        <f>Koosseisud!A5</f>
        <v>Viljandi LTK Sakala</v>
      </c>
      <c r="D22" s="211"/>
      <c r="E22" s="211"/>
      <c r="F22" s="211"/>
      <c r="G22" s="211"/>
      <c r="H22" s="212"/>
      <c r="I22" s="213">
        <f>IF(I23="","",IF(I23="give up",0,IF(LEFT(I23,1)&gt;RIGHT(I23,1),2,1)))</f>
        <v>1</v>
      </c>
      <c r="J22" s="214"/>
      <c r="K22" s="213">
        <f>IF(K23="","",IF(K23="give up",0,IF(LEFT(K23,1)&gt;RIGHT(K23,1),2,1)))</f>
        <v>1</v>
      </c>
      <c r="L22" s="214"/>
      <c r="M22" s="213">
        <f>IF(M23="","",IF(M23="give up",0,IF(LEFT(M23,1)&gt;RIGHT(M23,1),2,1)))</f>
        <v>1</v>
      </c>
      <c r="N22" s="214"/>
      <c r="O22" s="213">
        <f>IF(O23="","",IF(O23="give up",0,IF(LEFT(O23,1)&gt;RIGHT(O23,1),2,1)))</f>
        <v>1</v>
      </c>
      <c r="P22" s="214"/>
      <c r="Q22" s="215" t="s">
        <v>26</v>
      </c>
      <c r="R22" s="216"/>
      <c r="S22" s="213">
        <f>IF(S23="","",IF(S23="give up",0,IF(LEFT(S23,1)&gt;RIGHT(S23,1),2,1)))</f>
        <v>2</v>
      </c>
      <c r="T22" s="214"/>
      <c r="U22" s="213">
        <f>IF(U23="","",IF(U23="give up",0,IF(LEFT(U23,1)&gt;RIGHT(U23,1),2,1)))</f>
        <v>1</v>
      </c>
      <c r="V22" s="214"/>
      <c r="W22" s="213">
        <f>IF(W23="","",IF(W23="give up",0,IF(LEFT(W23,1)&gt;RIGHT(W23,1),2,1)))</f>
        <v>2</v>
      </c>
      <c r="X22" s="214"/>
      <c r="Y22" s="217">
        <f t="shared" ref="Y22" si="17">IF(SUM(I22:X22)=0,"",SUM(I22:X22,I24:X24))</f>
        <v>17</v>
      </c>
      <c r="Z22" s="218"/>
      <c r="AA22" s="217">
        <v>6</v>
      </c>
      <c r="AB22" s="218"/>
    </row>
    <row r="23" spans="2:28" ht="10.15" customHeight="1" thickBot="1">
      <c r="B23" s="183"/>
      <c r="C23" s="188"/>
      <c r="D23" s="189"/>
      <c r="E23" s="189"/>
      <c r="F23" s="189"/>
      <c r="G23" s="189"/>
      <c r="H23" s="190"/>
      <c r="I23" s="139" t="str">
        <f>IF(COUNTIF(Abitabel!$Q$1:$Q$56,CONCATENATE($B$22,"-",I5))=0,"",VLOOKUP(CONCATENATE($B$22,"-",I5),Abitabel!$Q:$R,2,FALSE))</f>
        <v>0:4</v>
      </c>
      <c r="J23" s="140"/>
      <c r="K23" s="139" t="str">
        <f>IF(COUNTIF(Abitabel!$Q$1:$Q$56,CONCATENATE($B$22,"-",K5))=0,"",VLOOKUP(CONCATENATE($B$22,"-",K5),Abitabel!$Q:$R,2,FALSE))</f>
        <v>2:4</v>
      </c>
      <c r="L23" s="140"/>
      <c r="M23" s="139" t="str">
        <f>IF(COUNTIF(Abitabel!$Q$1:$Q$56,CONCATENATE($B$22,"-",M5))=0,"",VLOOKUP(CONCATENATE($B$22,"-",M5),Abitabel!$Q:$R,2,FALSE))</f>
        <v>0:4</v>
      </c>
      <c r="N23" s="140"/>
      <c r="O23" s="139" t="str">
        <f>IF(COUNTIF(Abitabel!$Q$1:$Q$56,CONCATENATE($B$22,"-",O5))=0,"",VLOOKUP(CONCATENATE($B$22,"-",O5),Abitabel!$Q:$R,2,FALSE))</f>
        <v>1:4</v>
      </c>
      <c r="P23" s="140"/>
      <c r="Q23" s="196"/>
      <c r="R23" s="197"/>
      <c r="S23" s="139" t="str">
        <f>IF(COUNTIF(Abitabel!$Q$1:$Q$56,CONCATENATE($B$22,"-",S5))=0,"",VLOOKUP(CONCATENATE($B$22,"-",S5),Abitabel!$Q:$R,2,FALSE))</f>
        <v>4:0</v>
      </c>
      <c r="T23" s="140"/>
      <c r="U23" s="139" t="str">
        <f>IF(COUNTIF(Abitabel!$Q$1:$Q$56,CONCATENATE($B$22,"-",U5))=0,"",VLOOKUP(CONCATENATE($B$22,"-",U5),Abitabel!$Q:$R,2,FALSE))</f>
        <v>2:4</v>
      </c>
      <c r="V23" s="140"/>
      <c r="W23" s="139" t="str">
        <f>IF(COUNTIF(Abitabel!$Q$1:$Q$56,CONCATENATE($B$22,"-",W5))=0,"",VLOOKUP(CONCATENATE($B$22,"-",W5),Abitabel!$Q:$R,2,FALSE))</f>
        <v>4:0</v>
      </c>
      <c r="X23" s="140"/>
      <c r="Y23" s="205"/>
      <c r="Z23" s="206"/>
      <c r="AA23" s="205"/>
      <c r="AB23" s="206"/>
    </row>
    <row r="24" spans="2:28" ht="10.15" customHeight="1">
      <c r="B24" s="183"/>
      <c r="C24" s="188"/>
      <c r="D24" s="189"/>
      <c r="E24" s="189"/>
      <c r="F24" s="189"/>
      <c r="G24" s="189"/>
      <c r="H24" s="190"/>
      <c r="I24" s="141">
        <f>IF(I25="","",IF(I25="give up",0,IF(LEFT(I25,1)&gt;RIGHT(I25,1),2,1)))</f>
        <v>1</v>
      </c>
      <c r="J24" s="142"/>
      <c r="K24" s="141">
        <f t="shared" ref="K24" si="18">IF(K25="","",IF(K25="give up",0,IF(LEFT(K25,1)&gt;RIGHT(K25,1),2,1)))</f>
        <v>1</v>
      </c>
      <c r="L24" s="142"/>
      <c r="M24" s="141">
        <f t="shared" ref="M24" si="19">IF(M25="","",IF(M25="give up",0,IF(LEFT(M25,1)&gt;RIGHT(M25,1),2,1)))</f>
        <v>1</v>
      </c>
      <c r="N24" s="142"/>
      <c r="O24" s="141">
        <v>1</v>
      </c>
      <c r="P24" s="142"/>
      <c r="Q24" s="196"/>
      <c r="R24" s="197"/>
      <c r="S24" s="141">
        <v>1</v>
      </c>
      <c r="T24" s="142"/>
      <c r="U24" s="141">
        <f t="shared" ref="U24" si="20">IF(U25="","",IF(U25="give up",0,IF(LEFT(U25,1)&gt;RIGHT(U25,1),2,1)))</f>
        <v>1</v>
      </c>
      <c r="V24" s="142"/>
      <c r="W24" s="141">
        <v>2</v>
      </c>
      <c r="X24" s="142"/>
      <c r="Y24" s="205"/>
      <c r="Z24" s="206"/>
      <c r="AA24" s="205"/>
      <c r="AB24" s="206"/>
    </row>
    <row r="25" spans="2:28" ht="10.15" customHeight="1" thickBot="1">
      <c r="B25" s="184"/>
      <c r="C25" s="191"/>
      <c r="D25" s="192"/>
      <c r="E25" s="192"/>
      <c r="F25" s="192"/>
      <c r="G25" s="192"/>
      <c r="H25" s="193"/>
      <c r="I25" s="143" t="s">
        <v>135</v>
      </c>
      <c r="J25" s="144"/>
      <c r="K25" s="143" t="s">
        <v>134</v>
      </c>
      <c r="L25" s="144"/>
      <c r="M25" s="143" t="s">
        <v>134</v>
      </c>
      <c r="N25" s="144"/>
      <c r="O25" s="143" t="s">
        <v>130</v>
      </c>
      <c r="P25" s="144"/>
      <c r="Q25" s="198"/>
      <c r="R25" s="199"/>
      <c r="S25" s="143" t="s">
        <v>129</v>
      </c>
      <c r="T25" s="144"/>
      <c r="U25" s="143" t="s">
        <v>135</v>
      </c>
      <c r="V25" s="144"/>
      <c r="W25" s="143" t="s">
        <v>131</v>
      </c>
      <c r="X25" s="144"/>
      <c r="Y25" s="207"/>
      <c r="Z25" s="208"/>
      <c r="AA25" s="207"/>
      <c r="AB25" s="208"/>
    </row>
    <row r="26" spans="2:28" ht="10.15" customHeight="1">
      <c r="B26" s="237">
        <v>6</v>
      </c>
      <c r="C26" s="210" t="str">
        <f>Koosseisud!A6</f>
        <v>SPINMASTER</v>
      </c>
      <c r="D26" s="211"/>
      <c r="E26" s="211"/>
      <c r="F26" s="211"/>
      <c r="G26" s="211"/>
      <c r="H26" s="212"/>
      <c r="I26" s="213">
        <f>IF(I27="","",IF(I27="give up",0,IF(LEFT(I27,1)&gt;RIGHT(I27,1),2,1)))</f>
        <v>1</v>
      </c>
      <c r="J26" s="214"/>
      <c r="K26" s="213">
        <f>IF(K27="","",IF(K27="give up",0,IF(LEFT(K27,1)&gt;RIGHT(K27,1),2,1)))</f>
        <v>1</v>
      </c>
      <c r="L26" s="214"/>
      <c r="M26" s="213">
        <f>IF(M27="","",IF(M27="give up",0,IF(LEFT(M27,1)&gt;RIGHT(M27,1),2,1)))</f>
        <v>1</v>
      </c>
      <c r="N26" s="214"/>
      <c r="O26" s="213">
        <f>IF(O27="","",IF(O27="give up",0,IF(LEFT(O27,1)&gt;RIGHT(O27,1),2,1)))</f>
        <v>1</v>
      </c>
      <c r="P26" s="214"/>
      <c r="Q26" s="213">
        <f>IF(Q27="","",IF(Q27="give up",0,IF(LEFT(Q27,1)&gt;RIGHT(Q27,1),2,1)))</f>
        <v>1</v>
      </c>
      <c r="R26" s="214"/>
      <c r="S26" s="215" t="s">
        <v>26</v>
      </c>
      <c r="T26" s="216"/>
      <c r="U26" s="213">
        <f>IF(U27="","",IF(U27="give up",0,IF(LEFT(U27,1)&gt;RIGHT(U27,1),2,1)))</f>
        <v>1</v>
      </c>
      <c r="V26" s="214"/>
      <c r="W26" s="213">
        <f>IF(W27="","",IF(W27="give up",0,IF(LEFT(W27,1)&gt;RIGHT(W27,1),2,1)))</f>
        <v>2</v>
      </c>
      <c r="X26" s="214"/>
      <c r="Y26" s="217">
        <f t="shared" ref="Y26" si="21">IF(SUM(I26:X26)=0,"",SUM(I26:X26,I28:X28))</f>
        <v>16</v>
      </c>
      <c r="Z26" s="218"/>
      <c r="AA26" s="217">
        <v>7</v>
      </c>
      <c r="AB26" s="218"/>
    </row>
    <row r="27" spans="2:28" ht="10.15" customHeight="1" thickBot="1">
      <c r="B27" s="238"/>
      <c r="C27" s="188"/>
      <c r="D27" s="189"/>
      <c r="E27" s="189"/>
      <c r="F27" s="189"/>
      <c r="G27" s="189"/>
      <c r="H27" s="190"/>
      <c r="I27" s="139" t="str">
        <f>IF(COUNTIF(Abitabel!$Q$1:$Q$56,CONCATENATE($B$26,"-",I5))=0,"",VLOOKUP(CONCATENATE($B$26,"-",I5),Abitabel!$Q:$R,2,FALSE))</f>
        <v>1:4</v>
      </c>
      <c r="J27" s="140"/>
      <c r="K27" s="139" t="str">
        <f>IF(COUNTIF(Abitabel!$Q$1:$Q$56,CONCATENATE($B$26,"-",K5))=0,"",VLOOKUP(CONCATENATE($B$26,"-",K5),Abitabel!$Q:$R,2,FALSE))</f>
        <v>1:4</v>
      </c>
      <c r="L27" s="140"/>
      <c r="M27" s="139" t="str">
        <f>IF(COUNTIF(Abitabel!$Q$1:$Q$56,CONCATENATE($B$26,"-",M5))=0,"",VLOOKUP(CONCATENATE($B$26,"-",M5),Abitabel!$Q:$R,2,FALSE))</f>
        <v>0:4</v>
      </c>
      <c r="N27" s="140"/>
      <c r="O27" s="139" t="str">
        <f>IF(COUNTIF(Abitabel!$Q$1:$Q$56,CONCATENATE($B$26,"-",O5))=0,"",VLOOKUP(CONCATENATE($B$26,"-",O5),Abitabel!$Q:$R,2,FALSE))</f>
        <v>0:4</v>
      </c>
      <c r="P27" s="140"/>
      <c r="Q27" s="139" t="str">
        <f>IF(COUNTIF(Abitabel!$Q$1:$Q$56,CONCATENATE($B$26,"-",Q5))=0,"",VLOOKUP(CONCATENATE($B$26,"-",Q5),Abitabel!$Q:$R,2,FALSE))</f>
        <v>0:4</v>
      </c>
      <c r="R27" s="140"/>
      <c r="S27" s="196"/>
      <c r="T27" s="197"/>
      <c r="U27" s="139" t="str">
        <f>IF(COUNTIF(Abitabel!$Q$1:$Q$56,CONCATENATE($B$26,"-",U5))=0,"",VLOOKUP(CONCATENATE($B$26,"-",U5),Abitabel!$Q:$R,2,FALSE))</f>
        <v>0:4</v>
      </c>
      <c r="V27" s="140"/>
      <c r="W27" s="139" t="str">
        <f>IF(COUNTIF(Abitabel!$Q$1:$Q$56,CONCATENATE($B$26,"-",W5))=0,"",VLOOKUP(CONCATENATE($B$26,"-",W5),Abitabel!$Q:$R,2,FALSE))</f>
        <v>4:3</v>
      </c>
      <c r="X27" s="140"/>
      <c r="Y27" s="205"/>
      <c r="Z27" s="206"/>
      <c r="AA27" s="205"/>
      <c r="AB27" s="206"/>
    </row>
    <row r="28" spans="2:28" ht="10.15" customHeight="1">
      <c r="B28" s="238"/>
      <c r="C28" s="188"/>
      <c r="D28" s="189"/>
      <c r="E28" s="189"/>
      <c r="F28" s="189"/>
      <c r="G28" s="189"/>
      <c r="H28" s="190"/>
      <c r="I28" s="141">
        <f>IF(I29="","",IF(I29="give up",0,IF(LEFT(I29,1)&gt;RIGHT(I29,1),2,1)))</f>
        <v>1</v>
      </c>
      <c r="J28" s="142"/>
      <c r="K28" s="141">
        <v>1</v>
      </c>
      <c r="L28" s="142"/>
      <c r="M28" s="141">
        <v>1</v>
      </c>
      <c r="N28" s="142"/>
      <c r="O28" s="141">
        <f t="shared" ref="O28" si="22">IF(O29="","",IF(O29="give up",0,IF(LEFT(O29,1)&gt;RIGHT(O29,1),2,1)))</f>
        <v>1</v>
      </c>
      <c r="P28" s="142"/>
      <c r="Q28" s="141">
        <v>2</v>
      </c>
      <c r="R28" s="142"/>
      <c r="S28" s="196"/>
      <c r="T28" s="197"/>
      <c r="U28" s="141">
        <f t="shared" ref="U28" si="23">IF(U29="","",IF(U29="give up",0,IF(LEFT(U29,1)&gt;RIGHT(U29,1),2,1)))</f>
        <v>1</v>
      </c>
      <c r="V28" s="142"/>
      <c r="W28" s="141">
        <f t="shared" ref="W28" si="24">IF(W29="","",IF(W29="give up",0,IF(LEFT(W29,1)&gt;RIGHT(W29,1),2,1)))</f>
        <v>1</v>
      </c>
      <c r="X28" s="142"/>
      <c r="Y28" s="205"/>
      <c r="Z28" s="206"/>
      <c r="AA28" s="205"/>
      <c r="AB28" s="206"/>
    </row>
    <row r="29" spans="2:28" ht="10.15" customHeight="1" thickBot="1">
      <c r="B29" s="239"/>
      <c r="C29" s="191"/>
      <c r="D29" s="192"/>
      <c r="E29" s="192"/>
      <c r="F29" s="192"/>
      <c r="G29" s="192"/>
      <c r="H29" s="193"/>
      <c r="I29" s="143" t="s">
        <v>136</v>
      </c>
      <c r="J29" s="144"/>
      <c r="K29" s="143" t="s">
        <v>134</v>
      </c>
      <c r="L29" s="144"/>
      <c r="M29" s="143" t="s">
        <v>134</v>
      </c>
      <c r="N29" s="144"/>
      <c r="O29" s="143" t="s">
        <v>134</v>
      </c>
      <c r="P29" s="144"/>
      <c r="Q29" s="143" t="s">
        <v>133</v>
      </c>
      <c r="R29" s="144"/>
      <c r="S29" s="198"/>
      <c r="T29" s="199"/>
      <c r="U29" s="143" t="s">
        <v>134</v>
      </c>
      <c r="V29" s="144"/>
      <c r="W29" s="143" t="s">
        <v>136</v>
      </c>
      <c r="X29" s="144"/>
      <c r="Y29" s="207"/>
      <c r="Z29" s="208"/>
      <c r="AA29" s="207"/>
      <c r="AB29" s="208"/>
    </row>
    <row r="30" spans="2:28" ht="10.15" customHeight="1">
      <c r="B30" s="209">
        <v>7</v>
      </c>
      <c r="C30" s="210" t="str">
        <f>Koosseisud!A7</f>
        <v>Viimsi LTK/EM-SERV</v>
      </c>
      <c r="D30" s="211"/>
      <c r="E30" s="211"/>
      <c r="F30" s="211"/>
      <c r="G30" s="211"/>
      <c r="H30" s="212"/>
      <c r="I30" s="213">
        <f>IF(I31="","",IF(I31="give up",0,IF(LEFT(I31,1)&gt;RIGHT(I31,1),2,1)))</f>
        <v>1</v>
      </c>
      <c r="J30" s="214"/>
      <c r="K30" s="213">
        <f>IF(K31="","",IF(K31="give up",0,IF(LEFT(K31,1)&gt;RIGHT(K31,1),2,1)))</f>
        <v>2</v>
      </c>
      <c r="L30" s="214"/>
      <c r="M30" s="213">
        <f>IF(M31="","",IF(M31="give up",0,IF(LEFT(M31,1)&gt;RIGHT(M31,1),2,1)))</f>
        <v>1</v>
      </c>
      <c r="N30" s="214"/>
      <c r="O30" s="213">
        <f>IF(O31="","",IF(O31="give up",0,IF(LEFT(O31,1)&gt;RIGHT(O31,1),2,1)))</f>
        <v>1</v>
      </c>
      <c r="P30" s="214"/>
      <c r="Q30" s="213">
        <f>IF(Q31="","",IF(Q31="give up",0,IF(LEFT(Q31,1)&gt;RIGHT(Q31,1),2,1)))</f>
        <v>2</v>
      </c>
      <c r="R30" s="214"/>
      <c r="S30" s="213">
        <f>IF(S31="","",IF(S31="give up",0,IF(LEFT(S31,1)&gt;RIGHT(S31,1),2,1)))</f>
        <v>2</v>
      </c>
      <c r="T30" s="214"/>
      <c r="U30" s="215" t="s">
        <v>26</v>
      </c>
      <c r="V30" s="216"/>
      <c r="W30" s="213">
        <f>IF(W31="","",IF(W31="give up",0,IF(LEFT(W31,1)&gt;RIGHT(W31,1),2,1)))</f>
        <v>2</v>
      </c>
      <c r="X30" s="214"/>
      <c r="Y30" s="217">
        <f t="shared" ref="Y30" si="25">IF(SUM(I30:X30)=0,"",SUM(I30:X30,I32:X32))</f>
        <v>25</v>
      </c>
      <c r="Z30" s="218"/>
      <c r="AA30" s="217">
        <v>2</v>
      </c>
      <c r="AB30" s="218"/>
    </row>
    <row r="31" spans="2:28" ht="10.15" customHeight="1" thickBot="1">
      <c r="B31" s="183"/>
      <c r="C31" s="188"/>
      <c r="D31" s="189"/>
      <c r="E31" s="189"/>
      <c r="F31" s="189"/>
      <c r="G31" s="189"/>
      <c r="H31" s="190"/>
      <c r="I31" s="139" t="str">
        <f>IF(COUNTIF(Abitabel!$Q$1:$Q$56,CONCATENATE($B$30,"-",I5))=0,"",VLOOKUP(CONCATENATE($B$30,"-",I5),Abitabel!$Q:$R,2,FALSE))</f>
        <v>3:4</v>
      </c>
      <c r="J31" s="140"/>
      <c r="K31" s="139" t="str">
        <f>IF(COUNTIF(Abitabel!$Q$1:$Q$56,CONCATENATE($B$30,"-",K5))=0,"",VLOOKUP(CONCATENATE($B$30,"-",K5),Abitabel!$Q:$R,2,FALSE))</f>
        <v>4:3</v>
      </c>
      <c r="L31" s="140"/>
      <c r="M31" s="139" t="str">
        <f>IF(COUNTIF(Abitabel!$Q$1:$Q$56,CONCATENATE($B$30,"-",M5))=0,"",VLOOKUP(CONCATENATE($B$30,"-",M5),Abitabel!$Q:$R,2,FALSE))</f>
        <v>1:4</v>
      </c>
      <c r="N31" s="140"/>
      <c r="O31" s="139" t="str">
        <f>IF(COUNTIF(Abitabel!$Q$1:$Q$56,CONCATENATE($B$30,"-",O5))=0,"",VLOOKUP(CONCATENATE($B$30,"-",O5),Abitabel!$Q:$R,2,FALSE))</f>
        <v>2:4</v>
      </c>
      <c r="P31" s="140"/>
      <c r="Q31" s="139" t="str">
        <f>IF(COUNTIF(Abitabel!$Q$1:$Q$56,CONCATENATE($B$30,"-",Q5))=0,"",VLOOKUP(CONCATENATE($B$30,"-",Q5),Abitabel!$Q:$R,2,FALSE))</f>
        <v>4:2</v>
      </c>
      <c r="R31" s="140"/>
      <c r="S31" s="139" t="str">
        <f>IF(COUNTIF(Abitabel!$Q$1:$Q$56,CONCATENATE($B$30,"-",S5))=0,"",VLOOKUP(CONCATENATE($B$30,"-",S5),Abitabel!$Q:$R,2,FALSE))</f>
        <v>4:0</v>
      </c>
      <c r="T31" s="140"/>
      <c r="U31" s="196"/>
      <c r="V31" s="197"/>
      <c r="W31" s="139" t="str">
        <f>IF(COUNTIF(Abitabel!$Q$1:$Q$56,CONCATENATE($B$30,"-",W5))=0,"",VLOOKUP(CONCATENATE($B$30,"-",W5),Abitabel!$Q:$R,2,FALSE))</f>
        <v>4:0</v>
      </c>
      <c r="X31" s="140"/>
      <c r="Y31" s="205"/>
      <c r="Z31" s="206"/>
      <c r="AA31" s="205"/>
      <c r="AB31" s="206"/>
    </row>
    <row r="32" spans="2:28" ht="10.15" customHeight="1">
      <c r="B32" s="183"/>
      <c r="C32" s="188"/>
      <c r="D32" s="189"/>
      <c r="E32" s="189"/>
      <c r="F32" s="189"/>
      <c r="G32" s="189"/>
      <c r="H32" s="190"/>
      <c r="I32" s="141">
        <v>2</v>
      </c>
      <c r="J32" s="240"/>
      <c r="K32" s="241">
        <f t="shared" ref="K32" si="26">IF(K33="","",IF(K33="give up",0,IF(LEFT(K33,1)&gt;RIGHT(K33,1),2,1)))</f>
        <v>2</v>
      </c>
      <c r="L32" s="240"/>
      <c r="M32" s="141">
        <v>2</v>
      </c>
      <c r="N32" s="142"/>
      <c r="O32" s="241">
        <f t="shared" ref="O32" si="27">IF(O33="","",IF(O33="give up",0,IF(LEFT(O33,1)&gt;RIGHT(O33,1),2,1)))</f>
        <v>2</v>
      </c>
      <c r="P32" s="240"/>
      <c r="Q32" s="241">
        <f t="shared" ref="Q32" si="28">IF(Q33="","",IF(Q33="give up",0,IF(LEFT(Q33,1)&gt;RIGHT(Q33,1),2,1)))</f>
        <v>2</v>
      </c>
      <c r="R32" s="240"/>
      <c r="S32" s="241">
        <f t="shared" ref="S32" si="29">IF(S33="","",IF(S33="give up",0,IF(LEFT(S33,1)&gt;RIGHT(S33,1),2,1)))</f>
        <v>2</v>
      </c>
      <c r="T32" s="240"/>
      <c r="U32" s="196"/>
      <c r="V32" s="197"/>
      <c r="W32" s="141">
        <v>2</v>
      </c>
      <c r="X32" s="142"/>
      <c r="Y32" s="205"/>
      <c r="Z32" s="206"/>
      <c r="AA32" s="205"/>
      <c r="AB32" s="206"/>
    </row>
    <row r="33" spans="1:58" ht="10.15" customHeight="1" thickBot="1">
      <c r="B33" s="184"/>
      <c r="C33" s="191"/>
      <c r="D33" s="192"/>
      <c r="E33" s="192"/>
      <c r="F33" s="192"/>
      <c r="G33" s="192"/>
      <c r="H33" s="193"/>
      <c r="I33" s="219" t="s">
        <v>130</v>
      </c>
      <c r="J33" s="220"/>
      <c r="K33" s="219" t="s">
        <v>131</v>
      </c>
      <c r="L33" s="220"/>
      <c r="M33" s="219" t="s">
        <v>133</v>
      </c>
      <c r="N33" s="220"/>
      <c r="O33" s="219" t="s">
        <v>131</v>
      </c>
      <c r="P33" s="220"/>
      <c r="Q33" s="219" t="s">
        <v>131</v>
      </c>
      <c r="R33" s="220"/>
      <c r="S33" s="219" t="s">
        <v>130</v>
      </c>
      <c r="T33" s="220"/>
      <c r="U33" s="198"/>
      <c r="V33" s="199"/>
      <c r="W33" s="219" t="s">
        <v>131</v>
      </c>
      <c r="X33" s="220"/>
      <c r="Y33" s="207"/>
      <c r="Z33" s="208"/>
      <c r="AA33" s="207"/>
      <c r="AB33" s="208"/>
    </row>
    <row r="34" spans="1:58" ht="10.15" customHeight="1" thickBot="1">
      <c r="A34" s="71"/>
      <c r="B34" s="221">
        <v>8</v>
      </c>
      <c r="C34" s="210" t="str">
        <f>Koosseisud!A8</f>
        <v>LTK Kalev/Radiaatorikeskus</v>
      </c>
      <c r="D34" s="211"/>
      <c r="E34" s="211"/>
      <c r="F34" s="211"/>
      <c r="G34" s="211"/>
      <c r="H34" s="212"/>
      <c r="I34" s="213">
        <f>IF(I35="","",IF(I35="give up",0,IF(LEFT(I35,1)&gt;RIGHT(I35,1),2,1)))</f>
        <v>1</v>
      </c>
      <c r="J34" s="214"/>
      <c r="K34" s="213">
        <f>IF(K35="","",IF(K35="give up",0,IF(LEFT(K35,1)&gt;RIGHT(K35,1),2,1)))</f>
        <v>1</v>
      </c>
      <c r="L34" s="214"/>
      <c r="M34" s="213">
        <f>IF(M35="","",IF(M35="give up",0,IF(LEFT(M35,1)&gt;RIGHT(M35,1),2,1)))</f>
        <v>1</v>
      </c>
      <c r="N34" s="214"/>
      <c r="O34" s="213">
        <f>IF(O35="","",IF(O35="give up",0,IF(LEFT(O35,1)&gt;RIGHT(O35,1),2,1)))</f>
        <v>1</v>
      </c>
      <c r="P34" s="214"/>
      <c r="Q34" s="213">
        <f>IF(Q35="","",IF(Q35="give up",0,IF(LEFT(Q35,1)&gt;RIGHT(Q35,1),2,1)))</f>
        <v>1</v>
      </c>
      <c r="R34" s="214"/>
      <c r="S34" s="213">
        <f>IF(S35="","",IF(S35="give up",0,IF(LEFT(S35,1)&gt;RIGHT(S35,1),2,1)))</f>
        <v>1</v>
      </c>
      <c r="T34" s="214"/>
      <c r="U34" s="213">
        <f>IF(U35="","",IF(U35="give up",0,IF(LEFT(U35,1)&gt;RIGHT(U35,1),2,1)))</f>
        <v>1</v>
      </c>
      <c r="V34" s="214"/>
      <c r="W34" s="215" t="s">
        <v>26</v>
      </c>
      <c r="X34" s="216"/>
      <c r="Y34" s="217">
        <f t="shared" ref="Y34" si="30">IF(SUM(I34:X34)=0,"",SUM(I34:X34,I36:X36))</f>
        <v>15</v>
      </c>
      <c r="Z34" s="218"/>
      <c r="AA34" s="217">
        <v>8</v>
      </c>
      <c r="AB34" s="218"/>
    </row>
    <row r="35" spans="1:58" ht="10.15" customHeight="1" thickTop="1" thickBot="1">
      <c r="A35" s="71"/>
      <c r="B35" s="222"/>
      <c r="C35" s="188"/>
      <c r="D35" s="189"/>
      <c r="E35" s="189"/>
      <c r="F35" s="189"/>
      <c r="G35" s="189"/>
      <c r="H35" s="190"/>
      <c r="I35" s="139" t="str">
        <f>IF(COUNTIF(Abitabel!$Q$1:$Q$56,CONCATENATE($B$34,"-",I5))=0,"",VLOOKUP(CONCATENATE($B$34,"-",I5),Abitabel!$Q:$R,2,FALSE))</f>
        <v>0:4</v>
      </c>
      <c r="J35" s="140"/>
      <c r="K35" s="139" t="str">
        <f>IF(COUNTIF(Abitabel!$Q$1:$Q$56,CONCATENATE($B$34,"-",K5))=0,"",VLOOKUP(CONCATENATE($B$34,"-",K5),Abitabel!$Q:$R,2,FALSE))</f>
        <v>0:4</v>
      </c>
      <c r="L35" s="140"/>
      <c r="M35" s="139" t="str">
        <f>IF(COUNTIF(Abitabel!$Q$1:$Q$56,CONCATENATE($B$34,"-",M5))=0,"",VLOOKUP(CONCATENATE($B$34,"-",M5),Abitabel!$Q:$R,2,FALSE))</f>
        <v>0:4</v>
      </c>
      <c r="N35" s="140"/>
      <c r="O35" s="139" t="str">
        <f>IF(COUNTIF(Abitabel!$Q$1:$Q$56,CONCATENATE($B$34,"-",O5))=0,"",VLOOKUP(CONCATENATE($B$34,"-",O5),Abitabel!$Q:$R,2,FALSE))</f>
        <v>0:4</v>
      </c>
      <c r="P35" s="140"/>
      <c r="Q35" s="139" t="str">
        <f>IF(COUNTIF(Abitabel!$Q$1:$Q$56,CONCATENATE($B$34,"-",Q5))=0,"",VLOOKUP(CONCATENATE($B$34,"-",Q5),Abitabel!$Q:$R,2,FALSE))</f>
        <v>0:4</v>
      </c>
      <c r="R35" s="140"/>
      <c r="S35" s="139" t="str">
        <f>IF(COUNTIF(Abitabel!$Q$1:$Q$56,CONCATENATE($B$34,"-",S5))=0,"",VLOOKUP(CONCATENATE($B$34,"-",S5),Abitabel!$Q:$R,2,FALSE))</f>
        <v>3:4</v>
      </c>
      <c r="T35" s="140"/>
      <c r="U35" s="139" t="str">
        <f>IF(COUNTIF(Abitabel!$Q$1:$Q$56,CONCATENATE($B$34,"-",U5))=0,"",VLOOKUP(CONCATENATE($B$34,"-",U5),Abitabel!$Q:$R,2,FALSE))</f>
        <v>0:4</v>
      </c>
      <c r="V35" s="140"/>
      <c r="W35" s="196"/>
      <c r="X35" s="197"/>
      <c r="Y35" s="205"/>
      <c r="Z35" s="206"/>
      <c r="AA35" s="205"/>
      <c r="AB35" s="206"/>
    </row>
    <row r="36" spans="1:58" ht="10.15" customHeight="1" thickTop="1" thickBot="1">
      <c r="A36" s="71"/>
      <c r="B36" s="222"/>
      <c r="C36" s="188"/>
      <c r="D36" s="189"/>
      <c r="E36" s="189"/>
      <c r="F36" s="189"/>
      <c r="G36" s="189"/>
      <c r="H36" s="190"/>
      <c r="I36" s="141">
        <f>IF(I37="","",IF(I37="give up",0,IF(LEFT(I37,1)&gt;RIGHT(I37,1),2,1)))</f>
        <v>1</v>
      </c>
      <c r="J36" s="142"/>
      <c r="K36" s="141">
        <v>1</v>
      </c>
      <c r="L36" s="142"/>
      <c r="M36" s="141">
        <f t="shared" ref="M36" si="31">IF(M37="","",IF(M37="give up",0,IF(LEFT(M37,1)&gt;RIGHT(M37,1),2,1)))</f>
        <v>1</v>
      </c>
      <c r="N36" s="142"/>
      <c r="O36" s="141">
        <f t="shared" ref="O36" si="32">IF(O37="","",IF(O37="give up",0,IF(LEFT(O37,1)&gt;RIGHT(O37,1),2,1)))</f>
        <v>1</v>
      </c>
      <c r="P36" s="142"/>
      <c r="Q36" s="141">
        <v>1</v>
      </c>
      <c r="R36" s="142"/>
      <c r="S36" s="141">
        <f t="shared" ref="S36" si="33">IF(S37="","",IF(S37="give up",0,IF(LEFT(S37,1)&gt;RIGHT(S37,1),2,1)))</f>
        <v>2</v>
      </c>
      <c r="T36" s="142"/>
      <c r="U36" s="141">
        <v>1</v>
      </c>
      <c r="V36" s="142"/>
      <c r="W36" s="196"/>
      <c r="X36" s="197"/>
      <c r="Y36" s="205"/>
      <c r="Z36" s="206"/>
      <c r="AA36" s="205"/>
      <c r="AB36" s="206"/>
    </row>
    <row r="37" spans="1:58" ht="10.15" customHeight="1" thickTop="1" thickBot="1">
      <c r="A37" s="71"/>
      <c r="B37" s="223"/>
      <c r="C37" s="191"/>
      <c r="D37" s="192"/>
      <c r="E37" s="192"/>
      <c r="F37" s="192"/>
      <c r="G37" s="192"/>
      <c r="H37" s="193"/>
      <c r="I37" s="219" t="s">
        <v>129</v>
      </c>
      <c r="J37" s="220"/>
      <c r="K37" s="219" t="s">
        <v>134</v>
      </c>
      <c r="L37" s="220"/>
      <c r="M37" s="219" t="s">
        <v>134</v>
      </c>
      <c r="N37" s="220"/>
      <c r="O37" s="219" t="s">
        <v>135</v>
      </c>
      <c r="P37" s="220"/>
      <c r="Q37" s="219" t="s">
        <v>135</v>
      </c>
      <c r="R37" s="220"/>
      <c r="S37" s="219" t="s">
        <v>132</v>
      </c>
      <c r="T37" s="220"/>
      <c r="U37" s="219" t="s">
        <v>135</v>
      </c>
      <c r="V37" s="220"/>
      <c r="W37" s="198"/>
      <c r="X37" s="199"/>
      <c r="Y37" s="207"/>
      <c r="Z37" s="208"/>
      <c r="AA37" s="207"/>
      <c r="AB37" s="208"/>
      <c r="AF37" t="s">
        <v>459</v>
      </c>
    </row>
    <row r="38" spans="1:58">
      <c r="N38" s="59" t="s">
        <v>152</v>
      </c>
      <c r="O38" s="59" t="s">
        <v>153</v>
      </c>
      <c r="P38" s="59" t="s">
        <v>154</v>
      </c>
      <c r="Q38" s="59" t="s">
        <v>155</v>
      </c>
      <c r="R38" s="59" t="s">
        <v>156</v>
      </c>
      <c r="S38" s="59" t="s">
        <v>157</v>
      </c>
      <c r="T38" s="59" t="s">
        <v>158</v>
      </c>
      <c r="U38" s="59" t="s">
        <v>299</v>
      </c>
      <c r="V38" s="59" t="s">
        <v>300</v>
      </c>
      <c r="W38" s="59" t="s">
        <v>301</v>
      </c>
      <c r="X38" s="59" t="s">
        <v>302</v>
      </c>
      <c r="Y38" s="59" t="s">
        <v>303</v>
      </c>
      <c r="Z38" s="59" t="s">
        <v>304</v>
      </c>
      <c r="AA38" s="59" t="s">
        <v>305</v>
      </c>
      <c r="AE38" s="243" t="s">
        <v>445</v>
      </c>
      <c r="AF38" s="244"/>
      <c r="AG38" s="243" t="s">
        <v>446</v>
      </c>
      <c r="AH38" s="244"/>
      <c r="AI38" s="243" t="s">
        <v>447</v>
      </c>
      <c r="AJ38" s="244"/>
      <c r="AK38" s="243" t="s">
        <v>448</v>
      </c>
      <c r="AL38" s="244"/>
      <c r="AM38" s="243" t="s">
        <v>449</v>
      </c>
      <c r="AN38" s="244"/>
      <c r="AO38" s="243" t="s">
        <v>450</v>
      </c>
      <c r="AP38" s="244"/>
      <c r="AQ38" s="243" t="s">
        <v>451</v>
      </c>
      <c r="AR38" s="244"/>
      <c r="AS38" s="243" t="s">
        <v>452</v>
      </c>
      <c r="AT38" s="245"/>
      <c r="AU38" s="242" t="s">
        <v>453</v>
      </c>
      <c r="AV38" s="242"/>
      <c r="AW38" s="242" t="s">
        <v>454</v>
      </c>
      <c r="AX38" s="242"/>
      <c r="AY38" s="242" t="s">
        <v>455</v>
      </c>
      <c r="AZ38" s="242"/>
      <c r="BA38" s="242" t="s">
        <v>456</v>
      </c>
      <c r="BB38" s="242"/>
      <c r="BC38" s="242" t="s">
        <v>457</v>
      </c>
      <c r="BD38" s="242"/>
      <c r="BE38" s="242" t="s">
        <v>458</v>
      </c>
      <c r="BF38" s="242"/>
    </row>
    <row r="39" spans="1:58">
      <c r="M39" s="50"/>
      <c r="N39" s="62" t="s">
        <v>165</v>
      </c>
      <c r="O39" s="60" t="s">
        <v>161</v>
      </c>
      <c r="P39" s="60" t="s">
        <v>163</v>
      </c>
      <c r="Q39" s="60" t="s">
        <v>162</v>
      </c>
      <c r="R39" s="60" t="s">
        <v>164</v>
      </c>
      <c r="S39" s="60" t="s">
        <v>160</v>
      </c>
      <c r="T39" s="60" t="s">
        <v>159</v>
      </c>
      <c r="U39" s="62" t="s">
        <v>226</v>
      </c>
      <c r="V39" s="62" t="s">
        <v>210</v>
      </c>
      <c r="W39" s="62" t="s">
        <v>218</v>
      </c>
      <c r="X39" s="62" t="s">
        <v>214</v>
      </c>
      <c r="Y39" s="62" t="s">
        <v>222</v>
      </c>
      <c r="Z39" s="62" t="s">
        <v>206</v>
      </c>
      <c r="AA39" s="62" t="s">
        <v>202</v>
      </c>
      <c r="AE39" s="78" t="s">
        <v>9</v>
      </c>
      <c r="AF39" s="78" t="s">
        <v>12</v>
      </c>
      <c r="AG39" s="78" t="s">
        <v>9</v>
      </c>
      <c r="AH39" s="78" t="s">
        <v>12</v>
      </c>
      <c r="AI39" s="78" t="s">
        <v>9</v>
      </c>
      <c r="AJ39" s="78" t="s">
        <v>12</v>
      </c>
      <c r="AK39" s="78" t="s">
        <v>9</v>
      </c>
      <c r="AL39" s="78" t="s">
        <v>12</v>
      </c>
      <c r="AM39" s="78" t="s">
        <v>9</v>
      </c>
      <c r="AN39" s="78" t="s">
        <v>12</v>
      </c>
      <c r="AO39" s="78" t="s">
        <v>9</v>
      </c>
      <c r="AP39" s="78" t="s">
        <v>12</v>
      </c>
      <c r="AQ39" s="78" t="s">
        <v>9</v>
      </c>
      <c r="AR39" s="78" t="s">
        <v>12</v>
      </c>
      <c r="AS39" s="78" t="s">
        <v>9</v>
      </c>
      <c r="AT39" s="78" t="s">
        <v>12</v>
      </c>
      <c r="AU39" s="79" t="s">
        <v>9</v>
      </c>
      <c r="AV39" s="79" t="s">
        <v>12</v>
      </c>
      <c r="AW39" s="79" t="s">
        <v>9</v>
      </c>
      <c r="AX39" s="79" t="s">
        <v>12</v>
      </c>
      <c r="AY39" s="79" t="s">
        <v>9</v>
      </c>
      <c r="AZ39" s="79" t="s">
        <v>12</v>
      </c>
      <c r="BA39" s="79" t="s">
        <v>9</v>
      </c>
      <c r="BB39" s="79" t="s">
        <v>12</v>
      </c>
      <c r="BC39" s="79" t="s">
        <v>9</v>
      </c>
      <c r="BD39" s="79" t="s">
        <v>12</v>
      </c>
      <c r="BE39" s="79" t="s">
        <v>9</v>
      </c>
      <c r="BF39" s="79" t="s">
        <v>12</v>
      </c>
    </row>
    <row r="40" spans="1:58">
      <c r="N40" s="62" t="s">
        <v>172</v>
      </c>
      <c r="O40" s="60" t="s">
        <v>211</v>
      </c>
      <c r="P40" s="60" t="s">
        <v>219</v>
      </c>
      <c r="Q40" s="60" t="s">
        <v>215</v>
      </c>
      <c r="R40" s="60" t="s">
        <v>223</v>
      </c>
      <c r="S40" s="60" t="s">
        <v>207</v>
      </c>
      <c r="T40" s="60" t="s">
        <v>166</v>
      </c>
      <c r="U40" s="62" t="s">
        <v>227</v>
      </c>
      <c r="V40" s="62" t="s">
        <v>168</v>
      </c>
      <c r="W40" s="62" t="s">
        <v>170</v>
      </c>
      <c r="X40" s="62" t="s">
        <v>169</v>
      </c>
      <c r="Y40" s="62" t="s">
        <v>171</v>
      </c>
      <c r="Z40" s="62" t="s">
        <v>167</v>
      </c>
      <c r="AA40" s="62" t="s">
        <v>203</v>
      </c>
      <c r="AE40">
        <v>1</v>
      </c>
      <c r="AF40">
        <v>2</v>
      </c>
      <c r="AG40">
        <v>1</v>
      </c>
      <c r="AH40">
        <v>6</v>
      </c>
      <c r="AI40">
        <v>1</v>
      </c>
      <c r="AJ40">
        <v>4</v>
      </c>
      <c r="AK40">
        <v>1</v>
      </c>
      <c r="AL40">
        <v>5</v>
      </c>
      <c r="AM40">
        <v>1</v>
      </c>
      <c r="AN40">
        <v>3</v>
      </c>
      <c r="AO40">
        <v>1</v>
      </c>
      <c r="AP40">
        <v>7</v>
      </c>
      <c r="AQ40">
        <v>1</v>
      </c>
      <c r="AR40">
        <v>8</v>
      </c>
      <c r="AS40">
        <v>2</v>
      </c>
      <c r="AT40">
        <v>1</v>
      </c>
      <c r="AU40">
        <v>6</v>
      </c>
      <c r="AV40">
        <v>1</v>
      </c>
      <c r="AW40">
        <v>4</v>
      </c>
      <c r="AX40">
        <v>1</v>
      </c>
      <c r="AY40">
        <v>5</v>
      </c>
      <c r="AZ40">
        <v>1</v>
      </c>
      <c r="BA40">
        <v>3</v>
      </c>
      <c r="BB40">
        <v>1</v>
      </c>
      <c r="BC40">
        <v>7</v>
      </c>
      <c r="BD40">
        <v>1</v>
      </c>
      <c r="BE40">
        <v>8</v>
      </c>
      <c r="BF40">
        <v>1</v>
      </c>
    </row>
    <row r="41" spans="1:58">
      <c r="N41" s="62" t="s">
        <v>179</v>
      </c>
      <c r="O41" s="60" t="s">
        <v>212</v>
      </c>
      <c r="P41" s="60" t="s">
        <v>220</v>
      </c>
      <c r="Q41" s="60" t="s">
        <v>216</v>
      </c>
      <c r="R41" s="60" t="s">
        <v>178</v>
      </c>
      <c r="S41" s="60" t="s">
        <v>174</v>
      </c>
      <c r="T41" s="60" t="s">
        <v>173</v>
      </c>
      <c r="U41" s="62" t="s">
        <v>228</v>
      </c>
      <c r="V41" s="62" t="s">
        <v>175</v>
      </c>
      <c r="W41" s="62" t="s">
        <v>177</v>
      </c>
      <c r="X41" s="62" t="s">
        <v>176</v>
      </c>
      <c r="Y41" s="62" t="s">
        <v>224</v>
      </c>
      <c r="Z41" s="62" t="s">
        <v>208</v>
      </c>
      <c r="AA41" s="62" t="s">
        <v>204</v>
      </c>
      <c r="AE41">
        <v>3</v>
      </c>
      <c r="AF41">
        <v>8</v>
      </c>
      <c r="AG41">
        <v>5</v>
      </c>
      <c r="AH41">
        <v>7</v>
      </c>
      <c r="AI41">
        <v>3</v>
      </c>
      <c r="AJ41">
        <v>5</v>
      </c>
      <c r="AK41">
        <v>4</v>
      </c>
      <c r="AL41">
        <v>6</v>
      </c>
      <c r="AM41">
        <v>2</v>
      </c>
      <c r="AN41">
        <v>4</v>
      </c>
      <c r="AO41">
        <v>6</v>
      </c>
      <c r="AP41">
        <v>8</v>
      </c>
      <c r="AQ41">
        <v>2</v>
      </c>
      <c r="AR41">
        <v>7</v>
      </c>
      <c r="AS41">
        <v>8</v>
      </c>
      <c r="AT41">
        <v>3</v>
      </c>
      <c r="AU41">
        <v>7</v>
      </c>
      <c r="AV41">
        <v>5</v>
      </c>
      <c r="AW41">
        <v>5</v>
      </c>
      <c r="AX41">
        <v>3</v>
      </c>
      <c r="AY41">
        <v>6</v>
      </c>
      <c r="AZ41">
        <v>4</v>
      </c>
      <c r="BA41">
        <v>4</v>
      </c>
      <c r="BB41">
        <v>2</v>
      </c>
      <c r="BC41">
        <v>8</v>
      </c>
      <c r="BD41">
        <v>6</v>
      </c>
      <c r="BE41">
        <v>7</v>
      </c>
      <c r="BF41">
        <v>2</v>
      </c>
    </row>
    <row r="42" spans="1:58">
      <c r="N42" s="62" t="s">
        <v>186</v>
      </c>
      <c r="O42" s="60" t="s">
        <v>182</v>
      </c>
      <c r="P42" s="60" t="s">
        <v>184</v>
      </c>
      <c r="Q42" s="60" t="s">
        <v>217</v>
      </c>
      <c r="R42" s="60" t="s">
        <v>185</v>
      </c>
      <c r="S42" s="60" t="s">
        <v>181</v>
      </c>
      <c r="T42" s="60" t="s">
        <v>180</v>
      </c>
      <c r="U42" s="62" t="s">
        <v>229</v>
      </c>
      <c r="V42" s="62" t="s">
        <v>213</v>
      </c>
      <c r="W42" s="62" t="s">
        <v>221</v>
      </c>
      <c r="X42" s="62" t="s">
        <v>183</v>
      </c>
      <c r="Y42" s="62" t="s">
        <v>225</v>
      </c>
      <c r="Z42" s="62" t="s">
        <v>209</v>
      </c>
      <c r="AA42" s="62" t="s">
        <v>205</v>
      </c>
      <c r="AE42">
        <v>4</v>
      </c>
      <c r="AF42">
        <v>7</v>
      </c>
      <c r="AG42">
        <v>4</v>
      </c>
      <c r="AH42">
        <v>8</v>
      </c>
      <c r="AI42">
        <v>2</v>
      </c>
      <c r="AJ42">
        <v>6</v>
      </c>
      <c r="AK42">
        <v>3</v>
      </c>
      <c r="AL42">
        <v>7</v>
      </c>
      <c r="AM42">
        <v>5</v>
      </c>
      <c r="AN42">
        <v>8</v>
      </c>
      <c r="AO42">
        <v>2</v>
      </c>
      <c r="AP42">
        <v>5</v>
      </c>
      <c r="AQ42">
        <v>3</v>
      </c>
      <c r="AR42">
        <v>6</v>
      </c>
      <c r="AS42">
        <v>7</v>
      </c>
      <c r="AT42">
        <v>4</v>
      </c>
      <c r="AU42">
        <v>8</v>
      </c>
      <c r="AV42">
        <v>4</v>
      </c>
      <c r="AW42">
        <v>6</v>
      </c>
      <c r="AX42">
        <v>2</v>
      </c>
      <c r="AY42">
        <v>7</v>
      </c>
      <c r="AZ42">
        <v>3</v>
      </c>
      <c r="BA42">
        <v>8</v>
      </c>
      <c r="BB42">
        <v>5</v>
      </c>
      <c r="BC42">
        <v>5</v>
      </c>
      <c r="BD42">
        <v>2</v>
      </c>
      <c r="BE42">
        <v>6</v>
      </c>
      <c r="BF42">
        <v>3</v>
      </c>
    </row>
    <row r="43" spans="1:58">
      <c r="L43" s="60"/>
      <c r="M43" s="60"/>
      <c r="N43" s="60"/>
      <c r="O43" s="60"/>
      <c r="P43" s="60"/>
      <c r="AE43">
        <v>5</v>
      </c>
      <c r="AF43">
        <v>6</v>
      </c>
      <c r="AG43">
        <v>2</v>
      </c>
      <c r="AH43">
        <v>3</v>
      </c>
      <c r="AI43">
        <v>7</v>
      </c>
      <c r="AJ43">
        <v>8</v>
      </c>
      <c r="AK43">
        <v>2</v>
      </c>
      <c r="AL43">
        <v>8</v>
      </c>
      <c r="AM43">
        <v>6</v>
      </c>
      <c r="AN43">
        <v>7</v>
      </c>
      <c r="AO43">
        <v>3</v>
      </c>
      <c r="AP43">
        <v>4</v>
      </c>
      <c r="AQ43">
        <v>4</v>
      </c>
      <c r="AR43">
        <v>5</v>
      </c>
      <c r="AS43">
        <v>6</v>
      </c>
      <c r="AT43">
        <v>5</v>
      </c>
      <c r="AU43">
        <v>3</v>
      </c>
      <c r="AV43">
        <v>2</v>
      </c>
      <c r="AW43">
        <v>8</v>
      </c>
      <c r="AX43">
        <v>7</v>
      </c>
      <c r="AY43">
        <v>8</v>
      </c>
      <c r="AZ43">
        <v>2</v>
      </c>
      <c r="BA43">
        <v>7</v>
      </c>
      <c r="BB43">
        <v>6</v>
      </c>
      <c r="BC43">
        <v>4</v>
      </c>
      <c r="BD43">
        <v>3</v>
      </c>
      <c r="BE43">
        <v>5</v>
      </c>
      <c r="BF43">
        <v>4</v>
      </c>
    </row>
    <row r="44" spans="1:58">
      <c r="B44" s="61" t="s">
        <v>187</v>
      </c>
      <c r="C44" s="61"/>
    </row>
    <row r="45" spans="1:58">
      <c r="B45" s="226" t="s">
        <v>496</v>
      </c>
      <c r="C45" s="226"/>
      <c r="D45" s="226"/>
      <c r="E45" s="226"/>
      <c r="F45" s="226"/>
      <c r="G45" s="226" t="s">
        <v>497</v>
      </c>
      <c r="H45" s="226"/>
      <c r="I45" s="226"/>
      <c r="J45" s="226"/>
      <c r="K45" s="226"/>
      <c r="L45" s="226" t="s">
        <v>188</v>
      </c>
      <c r="M45" s="226"/>
      <c r="N45" s="59"/>
      <c r="O45" s="59"/>
      <c r="P45" s="227" t="s">
        <v>189</v>
      </c>
      <c r="Q45" s="225"/>
      <c r="R45" s="224" t="s">
        <v>190</v>
      </c>
      <c r="S45" s="225"/>
      <c r="T45" s="224" t="s">
        <v>191</v>
      </c>
      <c r="U45" s="225"/>
      <c r="V45" s="224" t="s">
        <v>192</v>
      </c>
      <c r="W45" s="225"/>
      <c r="X45" s="224" t="s">
        <v>193</v>
      </c>
      <c r="Y45" s="225"/>
      <c r="Z45" s="224" t="s">
        <v>194</v>
      </c>
      <c r="AA45" s="225"/>
      <c r="AB45" s="224" t="s">
        <v>195</v>
      </c>
      <c r="AC45" s="225"/>
    </row>
    <row r="46" spans="1:58">
      <c r="A46" s="62" t="str">
        <f>IF(N39="","",N39)</f>
        <v>1-2</v>
      </c>
      <c r="B46" s="150" t="str">
        <f>IF(A46="","",VLOOKUP(VALUE(LEFT(A46,1)),$B$6:$H$37,2,FALSE))</f>
        <v>Tiim FORUS - Maardu LTK</v>
      </c>
      <c r="C46" s="149"/>
      <c r="D46" s="149"/>
      <c r="E46" s="149"/>
      <c r="F46" s="151"/>
      <c r="G46" s="150" t="str">
        <f>IF(A46="","",VLOOKUP(VALUE(RIGHT(A46,1)),$B$6:$H$37,2,FALSE))</f>
        <v>Viimsi PINX</v>
      </c>
      <c r="H46" s="149"/>
      <c r="I46" s="149"/>
      <c r="J46" s="149"/>
      <c r="K46" s="151"/>
      <c r="L46" s="152" t="s">
        <v>134</v>
      </c>
      <c r="M46" s="152"/>
      <c r="O46" s="59"/>
      <c r="P46" s="63"/>
      <c r="Q46" s="57"/>
      <c r="R46" s="64"/>
      <c r="S46" s="57"/>
      <c r="T46" s="64"/>
      <c r="U46" s="57"/>
      <c r="V46" s="64"/>
      <c r="W46" s="57"/>
      <c r="X46" s="64"/>
      <c r="Y46" s="57"/>
      <c r="Z46" s="64"/>
      <c r="AA46" s="57"/>
      <c r="AB46" s="65"/>
      <c r="AC46" s="57"/>
    </row>
    <row r="47" spans="1:58">
      <c r="A47" s="62" t="str">
        <f>IF(N40="","",N40)</f>
        <v>3-8</v>
      </c>
      <c r="B47" s="150" t="str">
        <f t="shared" ref="B47:B49" si="34">IF(A47="","",VLOOKUP(VALUE(LEFT(A47,1)),$B$6:$H$37,2,FALSE))</f>
        <v>TalTech Spordiklubi</v>
      </c>
      <c r="C47" s="149"/>
      <c r="D47" s="149"/>
      <c r="E47" s="149"/>
      <c r="F47" s="151"/>
      <c r="G47" s="150" t="str">
        <f t="shared" ref="G47:G49" si="35">IF(A47="","",VLOOKUP(VALUE(RIGHT(A47,1)),$B$6:$H$37,2,FALSE))</f>
        <v>LTK Kalev/Radiaatorikeskus</v>
      </c>
      <c r="H47" s="149"/>
      <c r="I47" s="149"/>
      <c r="J47" s="149"/>
      <c r="K47" s="151"/>
      <c r="L47" s="152" t="s">
        <v>130</v>
      </c>
      <c r="M47" s="152"/>
      <c r="O47" s="66"/>
      <c r="P47" s="67"/>
      <c r="Q47" s="57"/>
      <c r="R47" s="68"/>
      <c r="S47" s="57"/>
      <c r="T47" s="68"/>
      <c r="U47" s="57"/>
      <c r="V47" s="68"/>
      <c r="W47" s="57"/>
      <c r="X47" s="68"/>
      <c r="Y47" s="57"/>
      <c r="Z47" s="68"/>
      <c r="AA47" s="57"/>
      <c r="AB47" s="69"/>
      <c r="AC47" s="57"/>
    </row>
    <row r="48" spans="1:58">
      <c r="A48" s="62" t="str">
        <f>IF(N41="","",N41)</f>
        <v>4-7</v>
      </c>
      <c r="B48" s="150" t="str">
        <f t="shared" si="34"/>
        <v>Tartu SS Kalev</v>
      </c>
      <c r="C48" s="149"/>
      <c r="D48" s="149"/>
      <c r="E48" s="149"/>
      <c r="F48" s="151"/>
      <c r="G48" s="150" t="str">
        <f t="shared" si="35"/>
        <v>Viimsi LTK/EM-SERV</v>
      </c>
      <c r="H48" s="149"/>
      <c r="I48" s="149"/>
      <c r="J48" s="149"/>
      <c r="K48" s="151"/>
      <c r="L48" s="152" t="s">
        <v>132</v>
      </c>
      <c r="M48" s="152"/>
      <c r="O48" s="66"/>
      <c r="P48" s="67"/>
      <c r="Q48" s="57"/>
      <c r="R48" s="68"/>
      <c r="S48" s="57"/>
      <c r="T48" s="68"/>
      <c r="U48" s="57"/>
      <c r="V48" s="68"/>
      <c r="W48" s="57"/>
      <c r="X48" s="68"/>
      <c r="Y48" s="57"/>
      <c r="Z48" s="68"/>
      <c r="AA48" s="57"/>
      <c r="AB48" s="69"/>
      <c r="AC48" s="57"/>
    </row>
    <row r="49" spans="1:29">
      <c r="A49" s="62" t="str">
        <f>IF(N42="","",N42)</f>
        <v>5-6</v>
      </c>
      <c r="B49" s="150" t="str">
        <f t="shared" si="34"/>
        <v>Viljandi LTK Sakala</v>
      </c>
      <c r="C49" s="149"/>
      <c r="D49" s="149"/>
      <c r="E49" s="149"/>
      <c r="F49" s="151"/>
      <c r="G49" s="150" t="str">
        <f t="shared" si="35"/>
        <v>SPINMASTER</v>
      </c>
      <c r="H49" s="149"/>
      <c r="I49" s="149"/>
      <c r="J49" s="149"/>
      <c r="K49" s="151"/>
      <c r="L49" s="152" t="s">
        <v>130</v>
      </c>
      <c r="M49" s="152"/>
      <c r="O49" s="66"/>
      <c r="P49" s="67"/>
      <c r="Q49" s="57"/>
      <c r="R49" s="68"/>
      <c r="S49" s="57"/>
      <c r="T49" s="68"/>
      <c r="U49" s="57"/>
      <c r="V49" s="68"/>
      <c r="W49" s="57"/>
      <c r="X49" s="68"/>
      <c r="Y49" s="57"/>
      <c r="Z49" s="68"/>
      <c r="AA49" s="57"/>
      <c r="AB49" s="69"/>
      <c r="AC49" s="57"/>
    </row>
    <row r="50" spans="1:29">
      <c r="A50" s="62"/>
      <c r="B50" s="61" t="s">
        <v>196</v>
      </c>
      <c r="C50" s="61"/>
      <c r="D50" s="70"/>
      <c r="E50" s="70"/>
      <c r="F50" s="70"/>
      <c r="G50" s="70"/>
      <c r="H50" s="70"/>
      <c r="I50" s="70"/>
      <c r="J50" s="70"/>
      <c r="K50" s="70"/>
      <c r="L50" s="70"/>
      <c r="M50" s="70"/>
      <c r="O50" s="66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</row>
    <row r="51" spans="1:29">
      <c r="A51" s="62" t="str">
        <f>IF(O39="","",O39)</f>
        <v>1-6</v>
      </c>
      <c r="B51" s="150" t="str">
        <f>IF(A51="","",VLOOKUP(VALUE(LEFT(A51,1)),$B$6:$H$37,2,FALSE))</f>
        <v>Tiim FORUS - Maardu LTK</v>
      </c>
      <c r="C51" s="149"/>
      <c r="D51" s="149"/>
      <c r="E51" s="149"/>
      <c r="F51" s="151"/>
      <c r="G51" s="150" t="str">
        <f>IF(A51="","",VLOOKUP(VALUE(RIGHT(A51,1)),$B$6:$H$37,2,FALSE))</f>
        <v>SPINMASTER</v>
      </c>
      <c r="H51" s="149"/>
      <c r="I51" s="149"/>
      <c r="J51" s="149"/>
      <c r="K51" s="151"/>
      <c r="L51" s="152" t="s">
        <v>131</v>
      </c>
      <c r="M51" s="152"/>
      <c r="O51" s="66"/>
      <c r="P51" s="67"/>
      <c r="Q51" s="57"/>
      <c r="R51" s="68"/>
      <c r="S51" s="57"/>
      <c r="T51" s="68"/>
      <c r="U51" s="57"/>
      <c r="V51" s="68"/>
      <c r="W51" s="57"/>
      <c r="X51" s="68"/>
      <c r="Y51" s="57"/>
      <c r="Z51" s="68"/>
      <c r="AA51" s="57"/>
      <c r="AB51" s="69"/>
      <c r="AC51" s="57"/>
    </row>
    <row r="52" spans="1:29">
      <c r="A52" s="62" t="str">
        <f>IF(O40="","",O40)</f>
        <v>5-7</v>
      </c>
      <c r="B52" s="150" t="str">
        <f t="shared" ref="B52:B54" si="36">IF(A52="","",VLOOKUP(VALUE(LEFT(A52,1)),$B$6:$H$37,2,FALSE))</f>
        <v>Viljandi LTK Sakala</v>
      </c>
      <c r="C52" s="149"/>
      <c r="D52" s="149"/>
      <c r="E52" s="149"/>
      <c r="F52" s="151"/>
      <c r="G52" s="150" t="str">
        <f t="shared" ref="G52:G54" si="37">IF(A52="","",VLOOKUP(VALUE(RIGHT(A52,1)),$B$6:$H$37,2,FALSE))</f>
        <v>Viimsi LTK/EM-SERV</v>
      </c>
      <c r="H52" s="149"/>
      <c r="I52" s="149"/>
      <c r="J52" s="149"/>
      <c r="K52" s="151"/>
      <c r="L52" s="152" t="s">
        <v>136</v>
      </c>
      <c r="M52" s="152"/>
      <c r="O52" s="66"/>
      <c r="P52" s="67"/>
      <c r="Q52" s="57"/>
      <c r="R52" s="68"/>
      <c r="S52" s="57"/>
      <c r="T52" s="68"/>
      <c r="U52" s="57"/>
      <c r="V52" s="68"/>
      <c r="W52" s="57"/>
      <c r="X52" s="68"/>
      <c r="Y52" s="57"/>
      <c r="Z52" s="68"/>
      <c r="AA52" s="57"/>
      <c r="AB52" s="69"/>
      <c r="AC52" s="57"/>
    </row>
    <row r="53" spans="1:29">
      <c r="A53" s="62" t="str">
        <f>IF(O41="","",O41)</f>
        <v>4-8</v>
      </c>
      <c r="B53" s="150" t="str">
        <f t="shared" si="36"/>
        <v>Tartu SS Kalev</v>
      </c>
      <c r="C53" s="149"/>
      <c r="D53" s="149"/>
      <c r="E53" s="149"/>
      <c r="F53" s="151"/>
      <c r="G53" s="150" t="str">
        <f t="shared" si="37"/>
        <v>LTK Kalev/Radiaatorikeskus</v>
      </c>
      <c r="H53" s="149"/>
      <c r="I53" s="149"/>
      <c r="J53" s="149"/>
      <c r="K53" s="151"/>
      <c r="L53" s="152" t="s">
        <v>130</v>
      </c>
      <c r="M53" s="152"/>
      <c r="O53" s="66"/>
      <c r="P53" s="67"/>
      <c r="Q53" s="57"/>
      <c r="R53" s="68"/>
      <c r="S53" s="57"/>
      <c r="T53" s="68"/>
      <c r="U53" s="57"/>
      <c r="V53" s="68"/>
      <c r="W53" s="57"/>
      <c r="X53" s="68"/>
      <c r="Y53" s="57"/>
      <c r="Z53" s="68"/>
      <c r="AA53" s="57"/>
      <c r="AB53" s="69"/>
      <c r="AC53" s="57"/>
    </row>
    <row r="54" spans="1:29">
      <c r="A54" s="62" t="str">
        <f>IF(O42="","",O42)</f>
        <v>2-3</v>
      </c>
      <c r="B54" s="150" t="str">
        <f t="shared" si="36"/>
        <v>Viimsi PINX</v>
      </c>
      <c r="C54" s="149"/>
      <c r="D54" s="149"/>
      <c r="E54" s="149"/>
      <c r="F54" s="151"/>
      <c r="G54" s="150" t="str">
        <f t="shared" si="37"/>
        <v>TalTech Spordiklubi</v>
      </c>
      <c r="H54" s="149"/>
      <c r="I54" s="149"/>
      <c r="J54" s="149"/>
      <c r="K54" s="151"/>
      <c r="L54" s="152" t="s">
        <v>132</v>
      </c>
      <c r="M54" s="152"/>
      <c r="O54" s="66"/>
      <c r="P54" s="67"/>
      <c r="Q54" s="57"/>
      <c r="R54" s="68"/>
      <c r="S54" s="57"/>
      <c r="T54" s="68"/>
      <c r="U54" s="57"/>
      <c r="V54" s="68"/>
      <c r="W54" s="57"/>
      <c r="X54" s="68"/>
      <c r="Y54" s="57"/>
      <c r="Z54" s="68"/>
      <c r="AA54" s="57"/>
      <c r="AB54" s="69"/>
      <c r="AC54" s="57"/>
    </row>
    <row r="55" spans="1:29">
      <c r="A55" s="62"/>
      <c r="B55" s="61" t="s">
        <v>197</v>
      </c>
      <c r="C55" s="61"/>
      <c r="D55" s="70"/>
      <c r="E55" s="70"/>
      <c r="F55" s="70"/>
      <c r="G55" s="70"/>
      <c r="H55" s="70"/>
      <c r="I55" s="70"/>
      <c r="J55" s="70"/>
      <c r="K55" s="70"/>
      <c r="L55" s="70"/>
      <c r="M55" s="70"/>
      <c r="O55" s="66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</row>
    <row r="56" spans="1:29">
      <c r="A56" s="62" t="str">
        <f>IF(P39="","",P39)</f>
        <v>1-4</v>
      </c>
      <c r="B56" s="150" t="str">
        <f>IF(A56="","",VLOOKUP(VALUE(LEFT(A56,1)),$B$6:$H$37,2,FALSE))</f>
        <v>Tiim FORUS - Maardu LTK</v>
      </c>
      <c r="C56" s="149"/>
      <c r="D56" s="149"/>
      <c r="E56" s="149"/>
      <c r="F56" s="151"/>
      <c r="G56" s="150" t="str">
        <f>IF(A56="","",VLOOKUP(VALUE(RIGHT(A56,1)),$B$6:$H$37,2,FALSE))</f>
        <v>Tartu SS Kalev</v>
      </c>
      <c r="H56" s="149"/>
      <c r="I56" s="149"/>
      <c r="J56" s="149"/>
      <c r="K56" s="151"/>
      <c r="L56" s="152" t="s">
        <v>135</v>
      </c>
      <c r="M56" s="152"/>
      <c r="O56" s="66"/>
      <c r="P56" s="67"/>
      <c r="Q56" s="57"/>
      <c r="R56" s="68"/>
      <c r="S56" s="57"/>
      <c r="T56" s="68"/>
      <c r="U56" s="57"/>
      <c r="V56" s="68"/>
      <c r="W56" s="57"/>
      <c r="X56" s="68"/>
      <c r="Y56" s="57"/>
      <c r="Z56" s="68"/>
      <c r="AA56" s="57"/>
      <c r="AB56" s="69"/>
      <c r="AC56" s="57"/>
    </row>
    <row r="57" spans="1:29">
      <c r="A57" s="62" t="str">
        <f>IF(P40="","",P40)</f>
        <v>3-5</v>
      </c>
      <c r="B57" s="150" t="str">
        <f t="shared" ref="B57:B59" si="38">IF(A57="","",VLOOKUP(VALUE(LEFT(A57,1)),$B$6:$H$37,2,FALSE))</f>
        <v>TalTech Spordiklubi</v>
      </c>
      <c r="C57" s="149"/>
      <c r="D57" s="149"/>
      <c r="E57" s="149"/>
      <c r="F57" s="151"/>
      <c r="G57" s="150" t="str">
        <f t="shared" ref="G57:G59" si="39">IF(A57="","",VLOOKUP(VALUE(RIGHT(A57,1)),$B$6:$H$37,2,FALSE))</f>
        <v>Viljandi LTK Sakala</v>
      </c>
      <c r="H57" s="149"/>
      <c r="I57" s="149"/>
      <c r="J57" s="149"/>
      <c r="K57" s="151"/>
      <c r="L57" s="152" t="s">
        <v>130</v>
      </c>
      <c r="M57" s="152"/>
      <c r="O57" s="66"/>
      <c r="P57" s="67"/>
      <c r="Q57" s="57"/>
      <c r="R57" s="68"/>
      <c r="S57" s="57"/>
      <c r="T57" s="68"/>
      <c r="U57" s="57"/>
      <c r="V57" s="68"/>
      <c r="W57" s="57"/>
      <c r="X57" s="68"/>
      <c r="Y57" s="57"/>
      <c r="Z57" s="68"/>
      <c r="AA57" s="57"/>
      <c r="AB57" s="69"/>
      <c r="AC57" s="57"/>
    </row>
    <row r="58" spans="1:29">
      <c r="A58" s="62" t="str">
        <f>IF(P41="","",P41)</f>
        <v>2-6</v>
      </c>
      <c r="B58" s="150" t="str">
        <f t="shared" si="38"/>
        <v>Viimsi PINX</v>
      </c>
      <c r="C58" s="149"/>
      <c r="D58" s="149"/>
      <c r="E58" s="149"/>
      <c r="F58" s="151"/>
      <c r="G58" s="150" t="str">
        <f t="shared" si="39"/>
        <v>SPINMASTER</v>
      </c>
      <c r="H58" s="149"/>
      <c r="I58" s="149"/>
      <c r="J58" s="149"/>
      <c r="K58" s="151"/>
      <c r="L58" s="152" t="s">
        <v>131</v>
      </c>
      <c r="M58" s="152"/>
      <c r="O58" s="66"/>
      <c r="P58" s="67"/>
      <c r="Q58" s="57"/>
      <c r="R58" s="68"/>
      <c r="S58" s="57"/>
      <c r="T58" s="68"/>
      <c r="U58" s="57"/>
      <c r="V58" s="68"/>
      <c r="W58" s="57"/>
      <c r="X58" s="68"/>
      <c r="Y58" s="57"/>
      <c r="Z58" s="68"/>
      <c r="AA58" s="57"/>
      <c r="AB58" s="69"/>
      <c r="AC58" s="57"/>
    </row>
    <row r="59" spans="1:29">
      <c r="A59" s="62" t="str">
        <f>IF(P42="","",P42)</f>
        <v>7-8</v>
      </c>
      <c r="B59" s="150" t="str">
        <f t="shared" si="38"/>
        <v>Viimsi LTK/EM-SERV</v>
      </c>
      <c r="C59" s="149"/>
      <c r="D59" s="149"/>
      <c r="E59" s="149"/>
      <c r="F59" s="151"/>
      <c r="G59" s="150" t="str">
        <f t="shared" si="39"/>
        <v>LTK Kalev/Radiaatorikeskus</v>
      </c>
      <c r="H59" s="149"/>
      <c r="I59" s="149"/>
      <c r="J59" s="149"/>
      <c r="K59" s="151"/>
      <c r="L59" s="152" t="s">
        <v>130</v>
      </c>
      <c r="M59" s="152"/>
      <c r="O59" s="66"/>
      <c r="P59" s="67"/>
      <c r="Q59" s="57"/>
      <c r="R59" s="68"/>
      <c r="S59" s="57"/>
      <c r="T59" s="68"/>
      <c r="U59" s="57"/>
      <c r="V59" s="68"/>
      <c r="W59" s="57"/>
      <c r="X59" s="68"/>
      <c r="Y59" s="57"/>
      <c r="Z59" s="68"/>
      <c r="AA59" s="57"/>
      <c r="AB59" s="69"/>
      <c r="AC59" s="57"/>
    </row>
    <row r="60" spans="1:29">
      <c r="A60" s="62"/>
      <c r="B60" s="61" t="s">
        <v>198</v>
      </c>
      <c r="C60" s="61"/>
      <c r="D60" s="70"/>
      <c r="E60" s="70"/>
      <c r="F60" s="70"/>
      <c r="G60" s="70"/>
      <c r="H60" s="70"/>
      <c r="I60" s="70"/>
      <c r="J60" s="70"/>
      <c r="K60" s="70"/>
      <c r="L60" s="70"/>
      <c r="M60" s="70"/>
      <c r="O60" s="66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</row>
    <row r="61" spans="1:29">
      <c r="A61" s="62" t="str">
        <f>IF(Q39="","",Q39)</f>
        <v>1-5</v>
      </c>
      <c r="B61" s="150" t="str">
        <f>IF(A61="","",VLOOKUP(VALUE(LEFT(A61,1)),$B$6:$H$37,2,FALSE))</f>
        <v>Tiim FORUS - Maardu LTK</v>
      </c>
      <c r="C61" s="149"/>
      <c r="D61" s="149"/>
      <c r="E61" s="149"/>
      <c r="F61" s="151"/>
      <c r="G61" s="150" t="str">
        <f>IF(A61="","",VLOOKUP(VALUE(RIGHT(A61,1)),$B$6:$H$37,2,FALSE))</f>
        <v>Viljandi LTK Sakala</v>
      </c>
      <c r="H61" s="149"/>
      <c r="I61" s="149"/>
      <c r="J61" s="149"/>
      <c r="K61" s="151"/>
      <c r="L61" s="152" t="s">
        <v>130</v>
      </c>
      <c r="M61" s="152"/>
      <c r="O61" s="66"/>
      <c r="P61" s="67"/>
      <c r="Q61" s="57"/>
      <c r="R61" s="68"/>
      <c r="S61" s="57"/>
      <c r="T61" s="68"/>
      <c r="U61" s="57"/>
      <c r="V61" s="68"/>
      <c r="W61" s="57"/>
      <c r="X61" s="68"/>
      <c r="Y61" s="57"/>
      <c r="Z61" s="68"/>
      <c r="AA61" s="57"/>
      <c r="AB61" s="69"/>
      <c r="AC61" s="57"/>
    </row>
    <row r="62" spans="1:29">
      <c r="A62" s="62" t="str">
        <f>IF(Q40="","",Q40)</f>
        <v>4-6</v>
      </c>
      <c r="B62" s="150" t="str">
        <f t="shared" ref="B62:B64" si="40">IF(A62="","",VLOOKUP(VALUE(LEFT(A62,1)),$B$6:$H$37,2,FALSE))</f>
        <v>Tartu SS Kalev</v>
      </c>
      <c r="C62" s="149"/>
      <c r="D62" s="149"/>
      <c r="E62" s="149"/>
      <c r="F62" s="151"/>
      <c r="G62" s="150" t="str">
        <f t="shared" ref="G62:G64" si="41">IF(A62="","",VLOOKUP(VALUE(RIGHT(A62,1)),$B$6:$H$37,2,FALSE))</f>
        <v>SPINMASTER</v>
      </c>
      <c r="H62" s="149"/>
      <c r="I62" s="149"/>
      <c r="J62" s="149"/>
      <c r="K62" s="151"/>
      <c r="L62" s="152" t="s">
        <v>130</v>
      </c>
      <c r="M62" s="152"/>
      <c r="O62" s="66"/>
      <c r="P62" s="67"/>
      <c r="Q62" s="57"/>
      <c r="R62" s="68"/>
      <c r="S62" s="57"/>
      <c r="T62" s="68"/>
      <c r="U62" s="57"/>
      <c r="V62" s="68"/>
      <c r="W62" s="57"/>
      <c r="X62" s="68"/>
      <c r="Y62" s="57"/>
      <c r="Z62" s="68"/>
      <c r="AA62" s="57"/>
      <c r="AB62" s="69"/>
      <c r="AC62" s="57"/>
    </row>
    <row r="63" spans="1:29">
      <c r="A63" s="62" t="str">
        <f>IF(Q41="","",Q41)</f>
        <v>3-7</v>
      </c>
      <c r="B63" s="150" t="str">
        <f t="shared" si="40"/>
        <v>TalTech Spordiklubi</v>
      </c>
      <c r="C63" s="149"/>
      <c r="D63" s="149"/>
      <c r="E63" s="149"/>
      <c r="F63" s="151"/>
      <c r="G63" s="150" t="str">
        <f t="shared" si="41"/>
        <v>Viimsi LTK/EM-SERV</v>
      </c>
      <c r="H63" s="149"/>
      <c r="I63" s="149"/>
      <c r="J63" s="149"/>
      <c r="K63" s="151"/>
      <c r="L63" s="152" t="s">
        <v>131</v>
      </c>
      <c r="M63" s="152"/>
      <c r="O63" s="66"/>
      <c r="P63" s="67"/>
      <c r="Q63" s="57"/>
      <c r="R63" s="68"/>
      <c r="S63" s="57"/>
      <c r="T63" s="68"/>
      <c r="U63" s="57"/>
      <c r="V63" s="68"/>
      <c r="W63" s="57"/>
      <c r="X63" s="68"/>
      <c r="Y63" s="57"/>
      <c r="Z63" s="68"/>
      <c r="AA63" s="57"/>
      <c r="AB63" s="69"/>
      <c r="AC63" s="57"/>
    </row>
    <row r="64" spans="1:29">
      <c r="A64" s="62" t="str">
        <f>IF(Q42="","",Q42)</f>
        <v>2-8</v>
      </c>
      <c r="B64" s="150" t="str">
        <f t="shared" si="40"/>
        <v>Viimsi PINX</v>
      </c>
      <c r="C64" s="149"/>
      <c r="D64" s="149"/>
      <c r="E64" s="149"/>
      <c r="F64" s="151"/>
      <c r="G64" s="150" t="str">
        <f t="shared" si="41"/>
        <v>LTK Kalev/Radiaatorikeskus</v>
      </c>
      <c r="H64" s="149"/>
      <c r="I64" s="149"/>
      <c r="J64" s="149"/>
      <c r="K64" s="151"/>
      <c r="L64" s="152" t="s">
        <v>130</v>
      </c>
      <c r="M64" s="152"/>
      <c r="P64" s="63"/>
      <c r="Q64" s="57"/>
      <c r="R64" s="64"/>
      <c r="S64" s="57"/>
      <c r="T64" s="64"/>
      <c r="U64" s="57"/>
      <c r="V64" s="64"/>
      <c r="W64" s="57"/>
      <c r="X64" s="64"/>
      <c r="Y64" s="57"/>
      <c r="Z64" s="64"/>
      <c r="AA64" s="57"/>
      <c r="AB64" s="65"/>
      <c r="AC64" s="57"/>
    </row>
    <row r="65" spans="1:29">
      <c r="A65" s="62"/>
      <c r="B65" s="61" t="s">
        <v>199</v>
      </c>
      <c r="C65" s="61"/>
      <c r="D65" s="61"/>
      <c r="E65" s="70"/>
      <c r="F65" s="70"/>
      <c r="G65" s="70"/>
      <c r="H65" s="70"/>
      <c r="I65" s="70"/>
      <c r="J65" s="70"/>
      <c r="K65" s="70"/>
      <c r="L65" s="70"/>
      <c r="M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</row>
    <row r="66" spans="1:29">
      <c r="A66" s="62" t="str">
        <f>IF(R39="","",R39)</f>
        <v>1-3</v>
      </c>
      <c r="B66" s="150" t="str">
        <f>IF(A66="","",VLOOKUP(VALUE(LEFT(A66,1)),$B$6:$H$37,2,FALSE))</f>
        <v>Tiim FORUS - Maardu LTK</v>
      </c>
      <c r="C66" s="149"/>
      <c r="D66" s="149"/>
      <c r="E66" s="149"/>
      <c r="F66" s="151"/>
      <c r="G66" s="150" t="str">
        <f>IF(A66="","",VLOOKUP(VALUE(RIGHT(A66,1)),$B$6:$H$37,2,FALSE))</f>
        <v>TalTech Spordiklubi</v>
      </c>
      <c r="H66" s="149"/>
      <c r="I66" s="149"/>
      <c r="J66" s="149"/>
      <c r="K66" s="151"/>
      <c r="L66" s="152" t="s">
        <v>132</v>
      </c>
      <c r="M66" s="152"/>
      <c r="P66" s="67"/>
      <c r="Q66" s="57"/>
      <c r="R66" s="68"/>
      <c r="S66" s="57"/>
      <c r="T66" s="68"/>
      <c r="U66" s="57"/>
      <c r="V66" s="68"/>
      <c r="W66" s="57"/>
      <c r="X66" s="68"/>
      <c r="Y66" s="57"/>
      <c r="Z66" s="68"/>
      <c r="AA66" s="57"/>
      <c r="AB66" s="69"/>
      <c r="AC66" s="57"/>
    </row>
    <row r="67" spans="1:29">
      <c r="A67" s="62" t="str">
        <f>IF(R40="","",R40)</f>
        <v>2-4</v>
      </c>
      <c r="B67" s="150" t="str">
        <f t="shared" ref="B67:B69" si="42">IF(A67="","",VLOOKUP(VALUE(LEFT(A67,1)),$B$6:$H$37,2,FALSE))</f>
        <v>Viimsi PINX</v>
      </c>
      <c r="C67" s="149"/>
      <c r="D67" s="149"/>
      <c r="E67" s="149"/>
      <c r="F67" s="151"/>
      <c r="G67" s="150" t="str">
        <f t="shared" ref="G67:G69" si="43">IF(A67="","",VLOOKUP(VALUE(RIGHT(A67,1)),$B$6:$H$37,2,FALSE))</f>
        <v>Tartu SS Kalev</v>
      </c>
      <c r="H67" s="149"/>
      <c r="I67" s="149"/>
      <c r="J67" s="149"/>
      <c r="K67" s="151"/>
      <c r="L67" s="152" t="s">
        <v>131</v>
      </c>
      <c r="M67" s="152"/>
      <c r="P67" s="67"/>
      <c r="Q67" s="57"/>
      <c r="R67" s="68"/>
      <c r="S67" s="57"/>
      <c r="T67" s="68"/>
      <c r="U67" s="57"/>
      <c r="V67" s="68"/>
      <c r="W67" s="57"/>
      <c r="X67" s="68"/>
      <c r="Y67" s="57"/>
      <c r="Z67" s="68"/>
      <c r="AA67" s="57"/>
      <c r="AB67" s="69"/>
      <c r="AC67" s="57"/>
    </row>
    <row r="68" spans="1:29">
      <c r="A68" s="62" t="str">
        <f>IF(R41="","",R41)</f>
        <v>5-8</v>
      </c>
      <c r="B68" s="150" t="str">
        <f t="shared" si="42"/>
        <v>Viljandi LTK Sakala</v>
      </c>
      <c r="C68" s="149"/>
      <c r="D68" s="149"/>
      <c r="E68" s="149"/>
      <c r="F68" s="151"/>
      <c r="G68" s="150" t="str">
        <f t="shared" si="43"/>
        <v>LTK Kalev/Radiaatorikeskus</v>
      </c>
      <c r="H68" s="149"/>
      <c r="I68" s="149"/>
      <c r="J68" s="149"/>
      <c r="K68" s="151"/>
      <c r="L68" s="152" t="s">
        <v>130</v>
      </c>
      <c r="M68" s="152"/>
      <c r="P68" s="67"/>
      <c r="Q68" s="57"/>
      <c r="R68" s="68"/>
      <c r="S68" s="57"/>
      <c r="T68" s="68"/>
      <c r="U68" s="57"/>
      <c r="V68" s="68"/>
      <c r="W68" s="57"/>
      <c r="X68" s="68"/>
      <c r="Y68" s="57"/>
      <c r="Z68" s="68"/>
      <c r="AA68" s="57"/>
      <c r="AB68" s="69"/>
      <c r="AC68" s="57"/>
    </row>
    <row r="69" spans="1:29">
      <c r="A69" s="62" t="str">
        <f>IF(R42="","",R42)</f>
        <v>6-7</v>
      </c>
      <c r="B69" s="150" t="str">
        <f t="shared" si="42"/>
        <v>SPINMASTER</v>
      </c>
      <c r="C69" s="149"/>
      <c r="D69" s="149"/>
      <c r="E69" s="149"/>
      <c r="F69" s="151"/>
      <c r="G69" s="150" t="str">
        <f t="shared" si="43"/>
        <v>Viimsi LTK/EM-SERV</v>
      </c>
      <c r="H69" s="149"/>
      <c r="I69" s="149"/>
      <c r="J69" s="149"/>
      <c r="K69" s="151"/>
      <c r="L69" s="152" t="s">
        <v>134</v>
      </c>
      <c r="M69" s="152"/>
      <c r="P69" s="67"/>
      <c r="Q69" s="57"/>
      <c r="R69" s="68"/>
      <c r="S69" s="57"/>
      <c r="T69" s="68"/>
      <c r="U69" s="57"/>
      <c r="V69" s="68"/>
      <c r="W69" s="57"/>
      <c r="X69" s="68"/>
      <c r="Y69" s="57"/>
      <c r="Z69" s="68"/>
      <c r="AA69" s="57"/>
      <c r="AB69" s="69"/>
      <c r="AC69" s="57"/>
    </row>
    <row r="70" spans="1:29">
      <c r="A70" s="62"/>
      <c r="B70" s="61" t="s">
        <v>200</v>
      </c>
      <c r="C70" s="61"/>
      <c r="D70" s="70"/>
      <c r="E70" s="70"/>
      <c r="F70" s="70"/>
      <c r="G70" s="70"/>
      <c r="H70" s="70"/>
      <c r="I70" s="70"/>
      <c r="J70" s="70"/>
      <c r="K70" s="70"/>
      <c r="L70" s="70"/>
      <c r="M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</row>
    <row r="71" spans="1:29">
      <c r="A71" s="62" t="str">
        <f>IF(S39="","",S39)</f>
        <v>1-7</v>
      </c>
      <c r="B71" s="150" t="str">
        <f>IF(A71="","",VLOOKUP(VALUE(LEFT(A71,1)),$B$6:$H$37,2,FALSE))</f>
        <v>Tiim FORUS - Maardu LTK</v>
      </c>
      <c r="C71" s="149"/>
      <c r="D71" s="149"/>
      <c r="E71" s="149"/>
      <c r="F71" s="151"/>
      <c r="G71" s="150" t="str">
        <f>IF(A71="","",VLOOKUP(VALUE(RIGHT(A71,1)),$B$6:$H$37,2,FALSE))</f>
        <v>Viimsi LTK/EM-SERV</v>
      </c>
      <c r="H71" s="149"/>
      <c r="I71" s="149"/>
      <c r="J71" s="149"/>
      <c r="K71" s="151"/>
      <c r="L71" s="152" t="s">
        <v>133</v>
      </c>
      <c r="M71" s="152"/>
      <c r="P71" s="67"/>
      <c r="Q71" s="57"/>
      <c r="R71" s="68"/>
      <c r="S71" s="57"/>
      <c r="T71" s="68"/>
      <c r="U71" s="57"/>
      <c r="V71" s="68"/>
      <c r="W71" s="57"/>
      <c r="X71" s="68"/>
      <c r="Y71" s="57"/>
      <c r="Z71" s="68"/>
      <c r="AA71" s="57"/>
      <c r="AB71" s="69"/>
      <c r="AC71" s="57"/>
    </row>
    <row r="72" spans="1:29">
      <c r="A72" s="62" t="str">
        <f>IF(S40="","",S40)</f>
        <v>6-8</v>
      </c>
      <c r="B72" s="150" t="str">
        <f t="shared" ref="B72:B74" si="44">IF(A72="","",VLOOKUP(VALUE(LEFT(A72,1)),$B$6:$H$37,2,FALSE))</f>
        <v>SPINMASTER</v>
      </c>
      <c r="C72" s="149"/>
      <c r="D72" s="149"/>
      <c r="E72" s="149"/>
      <c r="F72" s="151"/>
      <c r="G72" s="150" t="str">
        <f t="shared" ref="G72:G74" si="45">IF(A72="","",VLOOKUP(VALUE(RIGHT(A72,1)),$B$6:$H$37,2,FALSE))</f>
        <v>LTK Kalev/Radiaatorikeskus</v>
      </c>
      <c r="H72" s="149"/>
      <c r="I72" s="149"/>
      <c r="J72" s="149"/>
      <c r="K72" s="151"/>
      <c r="L72" s="152" t="s">
        <v>133</v>
      </c>
      <c r="M72" s="152"/>
      <c r="P72" s="67"/>
      <c r="Q72" s="57"/>
      <c r="R72" s="68"/>
      <c r="S72" s="57"/>
      <c r="T72" s="68"/>
      <c r="U72" s="57"/>
      <c r="V72" s="68"/>
      <c r="W72" s="57"/>
      <c r="X72" s="68"/>
      <c r="Y72" s="57"/>
      <c r="Z72" s="68"/>
      <c r="AA72" s="57"/>
      <c r="AB72" s="69"/>
      <c r="AC72" s="57"/>
    </row>
    <row r="73" spans="1:29">
      <c r="A73" s="62" t="str">
        <f>IF(S41="","",S41)</f>
        <v>2-5</v>
      </c>
      <c r="B73" s="150" t="str">
        <f t="shared" si="44"/>
        <v>Viimsi PINX</v>
      </c>
      <c r="C73" s="149"/>
      <c r="D73" s="149"/>
      <c r="E73" s="149"/>
      <c r="F73" s="151"/>
      <c r="G73" s="150" t="str">
        <f t="shared" si="45"/>
        <v>Viljandi LTK Sakala</v>
      </c>
      <c r="H73" s="149"/>
      <c r="I73" s="149"/>
      <c r="J73" s="149"/>
      <c r="K73" s="151"/>
      <c r="L73" s="152" t="s">
        <v>132</v>
      </c>
      <c r="M73" s="152"/>
      <c r="P73" s="67"/>
      <c r="Q73" s="57"/>
      <c r="R73" s="68"/>
      <c r="S73" s="57"/>
      <c r="T73" s="68"/>
      <c r="U73" s="57"/>
      <c r="V73" s="68"/>
      <c r="W73" s="57"/>
      <c r="X73" s="68"/>
      <c r="Y73" s="57"/>
      <c r="Z73" s="68"/>
      <c r="AA73" s="57"/>
      <c r="AB73" s="69"/>
      <c r="AC73" s="57"/>
    </row>
    <row r="74" spans="1:29">
      <c r="A74" s="62" t="str">
        <f>IF(S42="","",S42)</f>
        <v>3-4</v>
      </c>
      <c r="B74" s="150" t="str">
        <f t="shared" si="44"/>
        <v>TalTech Spordiklubi</v>
      </c>
      <c r="C74" s="149"/>
      <c r="D74" s="149"/>
      <c r="E74" s="149"/>
      <c r="F74" s="151"/>
      <c r="G74" s="150" t="str">
        <f t="shared" si="45"/>
        <v>Tartu SS Kalev</v>
      </c>
      <c r="H74" s="149"/>
      <c r="I74" s="149"/>
      <c r="J74" s="149"/>
      <c r="K74" s="151"/>
      <c r="L74" s="152" t="s">
        <v>131</v>
      </c>
      <c r="M74" s="152"/>
      <c r="P74" s="67"/>
      <c r="Q74" s="57"/>
      <c r="R74" s="68"/>
      <c r="S74" s="57"/>
      <c r="T74" s="68"/>
      <c r="U74" s="57"/>
      <c r="V74" s="68"/>
      <c r="W74" s="57"/>
      <c r="X74" s="68"/>
      <c r="Y74" s="57"/>
      <c r="Z74" s="68"/>
      <c r="AA74" s="57"/>
      <c r="AB74" s="69"/>
      <c r="AC74" s="57"/>
    </row>
    <row r="75" spans="1:29">
      <c r="A75" s="62"/>
      <c r="B75" s="61" t="s">
        <v>201</v>
      </c>
      <c r="C75" s="61"/>
      <c r="D75" s="70"/>
      <c r="E75" s="70"/>
      <c r="F75" s="70"/>
      <c r="G75" s="70"/>
      <c r="H75" s="70"/>
      <c r="I75" s="70"/>
      <c r="J75" s="70"/>
      <c r="K75" s="70"/>
      <c r="L75" s="70"/>
      <c r="M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</row>
    <row r="76" spans="1:29">
      <c r="A76" s="62" t="str">
        <f>IF(T39="","",T39)</f>
        <v>1-8</v>
      </c>
      <c r="B76" s="150" t="str">
        <f>IF(A76="","",VLOOKUP(VALUE(LEFT(A76,1)),$B$6:$H$37,2,FALSE))</f>
        <v>Tiim FORUS - Maardu LTK</v>
      </c>
      <c r="C76" s="149"/>
      <c r="D76" s="149"/>
      <c r="E76" s="149"/>
      <c r="F76" s="151"/>
      <c r="G76" s="150" t="str">
        <f>IF(A76="","",VLOOKUP(VALUE(RIGHT(A76,1)),$B$6:$H$37,2,FALSE))</f>
        <v>LTK Kalev/Radiaatorikeskus</v>
      </c>
      <c r="H76" s="149"/>
      <c r="I76" s="149"/>
      <c r="J76" s="149"/>
      <c r="K76" s="151"/>
      <c r="L76" s="152" t="s">
        <v>130</v>
      </c>
      <c r="M76" s="152"/>
      <c r="P76" s="67"/>
      <c r="Q76" s="57"/>
      <c r="R76" s="68"/>
      <c r="S76" s="57"/>
      <c r="T76" s="68"/>
      <c r="U76" s="57"/>
      <c r="V76" s="68"/>
      <c r="W76" s="57"/>
      <c r="X76" s="68"/>
      <c r="Y76" s="57"/>
      <c r="Z76" s="68"/>
      <c r="AA76" s="57"/>
      <c r="AB76" s="69"/>
      <c r="AC76" s="57"/>
    </row>
    <row r="77" spans="1:29">
      <c r="A77" s="62" t="str">
        <f>IF(T40="","",T40)</f>
        <v>2-7</v>
      </c>
      <c r="B77" s="150" t="str">
        <f t="shared" ref="B77:B79" si="46">IF(A77="","",VLOOKUP(VALUE(LEFT(A77,1)),$B$6:$H$37,2,FALSE))</f>
        <v>Viimsi PINX</v>
      </c>
      <c r="C77" s="149"/>
      <c r="D77" s="149"/>
      <c r="E77" s="149"/>
      <c r="F77" s="151"/>
      <c r="G77" s="150" t="str">
        <f t="shared" ref="G77:G79" si="47">IF(A77="","",VLOOKUP(VALUE(RIGHT(A77,1)),$B$6:$H$37,2,FALSE))</f>
        <v>Viimsi LTK/EM-SERV</v>
      </c>
      <c r="H77" s="149"/>
      <c r="I77" s="149"/>
      <c r="J77" s="149"/>
      <c r="K77" s="151"/>
      <c r="L77" s="152" t="s">
        <v>129</v>
      </c>
      <c r="M77" s="152"/>
      <c r="P77" s="67"/>
      <c r="Q77" s="57"/>
      <c r="R77" s="68"/>
      <c r="S77" s="57"/>
      <c r="T77" s="68"/>
      <c r="U77" s="57"/>
      <c r="V77" s="68"/>
      <c r="W77" s="57"/>
      <c r="X77" s="68"/>
      <c r="Y77" s="57"/>
      <c r="Z77" s="68"/>
      <c r="AA77" s="57"/>
      <c r="AB77" s="69"/>
      <c r="AC77" s="57"/>
    </row>
    <row r="78" spans="1:29">
      <c r="A78" s="62" t="str">
        <f>IF(T41="","",T41)</f>
        <v>3-6</v>
      </c>
      <c r="B78" s="150" t="str">
        <f t="shared" si="46"/>
        <v>TalTech Spordiklubi</v>
      </c>
      <c r="C78" s="149"/>
      <c r="D78" s="149"/>
      <c r="E78" s="149"/>
      <c r="F78" s="151"/>
      <c r="G78" s="150" t="str">
        <f t="shared" si="47"/>
        <v>SPINMASTER</v>
      </c>
      <c r="H78" s="149"/>
      <c r="I78" s="149"/>
      <c r="J78" s="149"/>
      <c r="K78" s="151"/>
      <c r="L78" s="152" t="s">
        <v>130</v>
      </c>
      <c r="M78" s="152"/>
      <c r="P78" s="67"/>
      <c r="Q78" s="57"/>
      <c r="R78" s="68"/>
      <c r="S78" s="57"/>
      <c r="T78" s="68"/>
      <c r="U78" s="57"/>
      <c r="V78" s="68"/>
      <c r="W78" s="57"/>
      <c r="X78" s="68"/>
      <c r="Y78" s="57"/>
      <c r="Z78" s="68"/>
      <c r="AA78" s="57"/>
      <c r="AB78" s="69"/>
      <c r="AC78" s="57"/>
    </row>
    <row r="79" spans="1:29">
      <c r="A79" s="62" t="str">
        <f>IF(T42="","",T42)</f>
        <v>4-5</v>
      </c>
      <c r="B79" s="150" t="str">
        <f t="shared" si="46"/>
        <v>Tartu SS Kalev</v>
      </c>
      <c r="C79" s="149"/>
      <c r="D79" s="149"/>
      <c r="E79" s="149"/>
      <c r="F79" s="151"/>
      <c r="G79" s="150" t="str">
        <f t="shared" si="47"/>
        <v>Viljandi LTK Sakala</v>
      </c>
      <c r="H79" s="149"/>
      <c r="I79" s="149"/>
      <c r="J79" s="149"/>
      <c r="K79" s="151"/>
      <c r="L79" s="152" t="s">
        <v>131</v>
      </c>
      <c r="M79" s="152"/>
      <c r="P79" s="63"/>
      <c r="Q79" s="57"/>
      <c r="R79" s="64"/>
      <c r="S79" s="57"/>
      <c r="T79" s="64"/>
      <c r="U79" s="57"/>
      <c r="V79" s="64"/>
      <c r="W79" s="57"/>
      <c r="X79" s="64"/>
      <c r="Y79" s="57"/>
      <c r="Z79" s="64"/>
      <c r="AA79" s="57"/>
      <c r="AB79" s="65"/>
      <c r="AC79" s="57"/>
    </row>
    <row r="80" spans="1:29">
      <c r="A80" s="62"/>
      <c r="B80" s="61" t="s">
        <v>267</v>
      </c>
      <c r="C80" s="61"/>
      <c r="D80" s="70"/>
      <c r="E80" s="70"/>
      <c r="F80" s="70"/>
      <c r="G80" s="70"/>
      <c r="H80" s="70"/>
      <c r="I80" s="70"/>
      <c r="J80" s="70"/>
      <c r="K80" s="70"/>
      <c r="L80" s="70"/>
      <c r="M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</row>
    <row r="81" spans="1:29">
      <c r="A81" s="62" t="str">
        <f>IF(U39="","",U39)</f>
        <v>2-1</v>
      </c>
      <c r="B81" s="153" t="s">
        <v>232</v>
      </c>
      <c r="C81" s="154"/>
      <c r="D81" s="154"/>
      <c r="E81" s="154"/>
      <c r="F81" s="155"/>
      <c r="G81" s="153" t="s">
        <v>231</v>
      </c>
      <c r="H81" s="154"/>
      <c r="I81" s="154"/>
      <c r="J81" s="154"/>
      <c r="K81" s="155"/>
      <c r="L81" s="152" t="s">
        <v>136</v>
      </c>
      <c r="M81" s="152"/>
      <c r="P81" s="67"/>
      <c r="Q81" s="57"/>
      <c r="R81" s="68"/>
      <c r="S81" s="57"/>
      <c r="T81" s="68"/>
      <c r="U81" s="57"/>
      <c r="V81" s="68"/>
      <c r="W81" s="57"/>
      <c r="X81" s="68"/>
      <c r="Y81" s="57"/>
      <c r="Z81" s="68"/>
      <c r="AA81" s="57"/>
      <c r="AB81" s="69"/>
      <c r="AC81" s="57"/>
    </row>
    <row r="82" spans="1:29">
      <c r="A82" s="62" t="str">
        <f t="shared" ref="A82:A84" si="48">IF(U40="","",U40)</f>
        <v>8-3</v>
      </c>
      <c r="B82" s="153" t="s">
        <v>238</v>
      </c>
      <c r="C82" s="154"/>
      <c r="D82" s="154"/>
      <c r="E82" s="154"/>
      <c r="F82" s="155"/>
      <c r="G82" s="153" t="s">
        <v>233</v>
      </c>
      <c r="H82" s="154"/>
      <c r="I82" s="154"/>
      <c r="J82" s="154"/>
      <c r="K82" s="155"/>
      <c r="L82" s="152" t="s">
        <v>135</v>
      </c>
      <c r="M82" s="152"/>
      <c r="P82" s="67"/>
      <c r="Q82" s="57"/>
      <c r="R82" s="68"/>
      <c r="S82" s="57"/>
      <c r="T82" s="68"/>
      <c r="U82" s="57"/>
      <c r="V82" s="68"/>
      <c r="W82" s="57"/>
      <c r="X82" s="68"/>
      <c r="Y82" s="57"/>
      <c r="Z82" s="68"/>
      <c r="AA82" s="57"/>
      <c r="AB82" s="69"/>
      <c r="AC82" s="57"/>
    </row>
    <row r="83" spans="1:29">
      <c r="A83" s="62" t="str">
        <f t="shared" si="48"/>
        <v>7-4</v>
      </c>
      <c r="B83" s="153" t="s">
        <v>235</v>
      </c>
      <c r="C83" s="154"/>
      <c r="D83" s="154"/>
      <c r="E83" s="154"/>
      <c r="F83" s="155"/>
      <c r="G83" s="153" t="s">
        <v>230</v>
      </c>
      <c r="H83" s="154"/>
      <c r="I83" s="154"/>
      <c r="J83" s="154"/>
      <c r="K83" s="155"/>
      <c r="L83" s="152" t="s">
        <v>136</v>
      </c>
      <c r="M83" s="152"/>
      <c r="P83" s="67"/>
      <c r="Q83" s="57"/>
      <c r="R83" s="68"/>
      <c r="S83" s="57"/>
      <c r="T83" s="68"/>
      <c r="U83" s="57"/>
      <c r="V83" s="68"/>
      <c r="W83" s="57"/>
      <c r="X83" s="68"/>
      <c r="Y83" s="57"/>
      <c r="Z83" s="68"/>
      <c r="AA83" s="57"/>
      <c r="AB83" s="69"/>
      <c r="AC83" s="57"/>
    </row>
    <row r="84" spans="1:29">
      <c r="A84" s="62" t="str">
        <f t="shared" si="48"/>
        <v>6-5</v>
      </c>
      <c r="B84" s="153" t="s">
        <v>237</v>
      </c>
      <c r="C84" s="154"/>
      <c r="D84" s="154"/>
      <c r="E84" s="154"/>
      <c r="F84" s="155"/>
      <c r="G84" s="153" t="s">
        <v>234</v>
      </c>
      <c r="H84" s="154"/>
      <c r="I84" s="154"/>
      <c r="J84" s="154"/>
      <c r="K84" s="155"/>
      <c r="L84" s="152" t="s">
        <v>131</v>
      </c>
      <c r="M84" s="152"/>
      <c r="P84" s="63"/>
      <c r="Q84" s="57"/>
      <c r="R84" s="64"/>
      <c r="S84" s="57"/>
      <c r="T84" s="64"/>
      <c r="U84" s="57"/>
      <c r="V84" s="64"/>
      <c r="W84" s="57"/>
      <c r="X84" s="64"/>
      <c r="Y84" s="57"/>
      <c r="Z84" s="64"/>
      <c r="AA84" s="57"/>
      <c r="AB84" s="65"/>
      <c r="AC84" s="57"/>
    </row>
    <row r="85" spans="1:29">
      <c r="B85" s="61" t="s">
        <v>296</v>
      </c>
      <c r="C85" s="61"/>
      <c r="D85" s="61"/>
      <c r="E85" s="61"/>
      <c r="F85" s="61"/>
      <c r="G85" s="149"/>
      <c r="H85" s="149"/>
      <c r="I85" s="149"/>
      <c r="J85" s="149"/>
      <c r="K85" s="149"/>
      <c r="L85" s="147"/>
      <c r="M85" s="148"/>
    </row>
    <row r="86" spans="1:29">
      <c r="A86" s="62" t="str">
        <f>IF(V39="","",V39)</f>
        <v>6-1</v>
      </c>
      <c r="B86" s="150" t="s">
        <v>234</v>
      </c>
      <c r="C86" s="149"/>
      <c r="D86" s="149"/>
      <c r="E86" s="149"/>
      <c r="F86" s="151"/>
      <c r="G86" s="150" t="s">
        <v>231</v>
      </c>
      <c r="H86" s="149"/>
      <c r="I86" s="149"/>
      <c r="J86" s="149"/>
      <c r="K86" s="151"/>
      <c r="L86" s="152" t="s">
        <v>134</v>
      </c>
      <c r="M86" s="152"/>
      <c r="P86" s="67"/>
      <c r="Q86" s="57"/>
      <c r="R86" s="68"/>
      <c r="S86" s="57"/>
      <c r="T86" s="68"/>
      <c r="U86" s="57"/>
      <c r="V86" s="68"/>
      <c r="W86" s="57"/>
      <c r="X86" s="68"/>
      <c r="Y86" s="57"/>
      <c r="Z86" s="68"/>
      <c r="AA86" s="57"/>
      <c r="AB86" s="69"/>
      <c r="AC86" s="57"/>
    </row>
    <row r="87" spans="1:29">
      <c r="A87" s="62" t="str">
        <f t="shared" ref="A87:A89" si="49">IF(V40="","",V40)</f>
        <v>7-5</v>
      </c>
      <c r="B87" s="150" t="s">
        <v>237</v>
      </c>
      <c r="C87" s="149"/>
      <c r="D87" s="149"/>
      <c r="E87" s="149"/>
      <c r="F87" s="151"/>
      <c r="G87" s="150" t="s">
        <v>235</v>
      </c>
      <c r="H87" s="149"/>
      <c r="I87" s="149"/>
      <c r="J87" s="149"/>
      <c r="K87" s="151"/>
      <c r="L87" s="152" t="s">
        <v>130</v>
      </c>
      <c r="M87" s="152"/>
      <c r="P87" s="67"/>
      <c r="Q87" s="57"/>
      <c r="R87" s="68"/>
      <c r="S87" s="57"/>
      <c r="T87" s="68"/>
      <c r="U87" s="57"/>
      <c r="V87" s="68"/>
      <c r="W87" s="57"/>
      <c r="X87" s="68"/>
      <c r="Y87" s="57"/>
      <c r="Z87" s="68"/>
      <c r="AA87" s="57"/>
      <c r="AB87" s="69"/>
      <c r="AC87" s="57"/>
    </row>
    <row r="88" spans="1:29">
      <c r="A88" s="62" t="str">
        <f t="shared" si="49"/>
        <v>8-4</v>
      </c>
      <c r="B88" s="150" t="s">
        <v>238</v>
      </c>
      <c r="C88" s="149"/>
      <c r="D88" s="149"/>
      <c r="E88" s="149"/>
      <c r="F88" s="151"/>
      <c r="G88" s="150" t="s">
        <v>230</v>
      </c>
      <c r="H88" s="149"/>
      <c r="I88" s="149"/>
      <c r="J88" s="149"/>
      <c r="K88" s="151"/>
      <c r="L88" s="152" t="s">
        <v>129</v>
      </c>
      <c r="M88" s="152"/>
      <c r="P88" s="67"/>
      <c r="Q88" s="57"/>
      <c r="R88" s="68"/>
      <c r="S88" s="57"/>
      <c r="T88" s="68"/>
      <c r="U88" s="57"/>
      <c r="V88" s="68"/>
      <c r="W88" s="57"/>
      <c r="X88" s="68"/>
      <c r="Y88" s="57"/>
      <c r="Z88" s="68"/>
      <c r="AA88" s="57"/>
      <c r="AB88" s="69"/>
      <c r="AC88" s="57"/>
    </row>
    <row r="89" spans="1:29">
      <c r="A89" s="62" t="str">
        <f t="shared" si="49"/>
        <v>3-2</v>
      </c>
      <c r="B89" s="150" t="s">
        <v>233</v>
      </c>
      <c r="C89" s="149"/>
      <c r="D89" s="149"/>
      <c r="E89" s="149"/>
      <c r="F89" s="151"/>
      <c r="G89" s="150" t="s">
        <v>232</v>
      </c>
      <c r="H89" s="149"/>
      <c r="I89" s="149"/>
      <c r="J89" s="149"/>
      <c r="K89" s="151"/>
      <c r="L89" s="152" t="s">
        <v>136</v>
      </c>
      <c r="M89" s="152"/>
      <c r="P89" s="63"/>
      <c r="Q89" s="57"/>
      <c r="R89" s="64"/>
      <c r="S89" s="57"/>
      <c r="T89" s="64"/>
      <c r="U89" s="57"/>
      <c r="V89" s="64"/>
      <c r="W89" s="57"/>
      <c r="X89" s="64"/>
      <c r="Y89" s="57"/>
      <c r="Z89" s="64"/>
      <c r="AA89" s="57"/>
      <c r="AB89" s="65"/>
      <c r="AC89" s="57"/>
    </row>
    <row r="90" spans="1:29">
      <c r="A90" s="62"/>
      <c r="B90" s="61" t="s">
        <v>297</v>
      </c>
      <c r="C90" s="61"/>
      <c r="D90" s="70"/>
      <c r="E90" s="70"/>
      <c r="F90" s="70"/>
      <c r="G90" s="70"/>
      <c r="H90" s="70"/>
      <c r="I90" s="70"/>
      <c r="J90" s="70"/>
      <c r="K90" s="70"/>
      <c r="L90" s="70"/>
      <c r="M90" s="70"/>
    </row>
    <row r="91" spans="1:29">
      <c r="A91" s="56" t="str">
        <f>IF(W39="","",W39)</f>
        <v>4-1</v>
      </c>
      <c r="B91" s="150" t="s">
        <v>231</v>
      </c>
      <c r="C91" s="149"/>
      <c r="D91" s="149"/>
      <c r="E91" s="149"/>
      <c r="F91" s="151"/>
      <c r="G91" s="150" t="s">
        <v>230</v>
      </c>
      <c r="H91" s="149"/>
      <c r="I91" s="149"/>
      <c r="J91" s="149"/>
      <c r="K91" s="151"/>
      <c r="L91" s="152"/>
      <c r="M91" s="152"/>
      <c r="P91" s="67"/>
      <c r="Q91" s="57"/>
      <c r="R91" s="68"/>
      <c r="S91" s="57"/>
      <c r="T91" s="68"/>
      <c r="U91" s="57"/>
      <c r="V91" s="68"/>
      <c r="W91" s="57"/>
      <c r="X91" s="68"/>
      <c r="Y91" s="57"/>
      <c r="Z91" s="68"/>
      <c r="AA91" s="57"/>
      <c r="AB91" s="69"/>
      <c r="AC91" s="57"/>
    </row>
    <row r="92" spans="1:29">
      <c r="A92" s="56" t="str">
        <f t="shared" ref="A92:A94" si="50">IF(W40="","",W40)</f>
        <v>5-3</v>
      </c>
      <c r="B92" s="150" t="s">
        <v>237</v>
      </c>
      <c r="C92" s="149"/>
      <c r="D92" s="149"/>
      <c r="E92" s="149"/>
      <c r="F92" s="151"/>
      <c r="G92" s="150" t="s">
        <v>233</v>
      </c>
      <c r="H92" s="149"/>
      <c r="I92" s="149"/>
      <c r="J92" s="149"/>
      <c r="K92" s="151"/>
      <c r="L92" s="152"/>
      <c r="M92" s="152"/>
      <c r="P92" s="67"/>
      <c r="Q92" s="57"/>
      <c r="R92" s="68"/>
      <c r="S92" s="57"/>
      <c r="T92" s="68"/>
      <c r="U92" s="57"/>
      <c r="V92" s="68"/>
      <c r="W92" s="57"/>
      <c r="X92" s="68"/>
      <c r="Y92" s="57"/>
      <c r="Z92" s="68"/>
      <c r="AA92" s="57"/>
      <c r="AB92" s="69"/>
      <c r="AC92" s="57"/>
    </row>
    <row r="93" spans="1:29">
      <c r="A93" s="56" t="str">
        <f t="shared" si="50"/>
        <v>6-2</v>
      </c>
      <c r="B93" s="150" t="s">
        <v>234</v>
      </c>
      <c r="C93" s="149"/>
      <c r="D93" s="149"/>
      <c r="E93" s="149"/>
      <c r="F93" s="151"/>
      <c r="G93" s="150" t="s">
        <v>232</v>
      </c>
      <c r="H93" s="149"/>
      <c r="I93" s="149"/>
      <c r="J93" s="149"/>
      <c r="K93" s="151"/>
      <c r="L93" s="152"/>
      <c r="M93" s="152"/>
      <c r="P93" s="67"/>
      <c r="Q93" s="57"/>
      <c r="R93" s="68"/>
      <c r="S93" s="57"/>
      <c r="T93" s="68"/>
      <c r="U93" s="57"/>
      <c r="V93" s="68"/>
      <c r="W93" s="57"/>
      <c r="X93" s="68"/>
      <c r="Y93" s="57"/>
      <c r="Z93" s="68"/>
      <c r="AA93" s="57"/>
      <c r="AB93" s="69"/>
      <c r="AC93" s="57"/>
    </row>
    <row r="94" spans="1:29">
      <c r="A94" s="56" t="str">
        <f t="shared" si="50"/>
        <v>8-7</v>
      </c>
      <c r="B94" s="150" t="s">
        <v>238</v>
      </c>
      <c r="C94" s="149"/>
      <c r="D94" s="149"/>
      <c r="E94" s="149"/>
      <c r="F94" s="151"/>
      <c r="G94" s="150" t="s">
        <v>235</v>
      </c>
      <c r="H94" s="149"/>
      <c r="I94" s="149"/>
      <c r="J94" s="149"/>
      <c r="K94" s="151"/>
      <c r="L94" s="152"/>
      <c r="M94" s="152"/>
      <c r="P94" s="63"/>
      <c r="Q94" s="57"/>
      <c r="R94" s="64"/>
      <c r="S94" s="57"/>
      <c r="T94" s="64"/>
      <c r="U94" s="57"/>
      <c r="V94" s="64"/>
      <c r="W94" s="57"/>
      <c r="X94" s="64"/>
      <c r="Y94" s="57"/>
      <c r="Z94" s="64"/>
      <c r="AA94" s="57"/>
      <c r="AB94" s="65"/>
      <c r="AC94" s="57"/>
    </row>
    <row r="95" spans="1:29">
      <c r="A95" s="62"/>
      <c r="B95" s="61" t="s">
        <v>298</v>
      </c>
      <c r="C95" s="61"/>
      <c r="D95" s="70"/>
      <c r="E95" s="70"/>
      <c r="F95" s="70"/>
      <c r="G95" s="70"/>
      <c r="H95" s="70"/>
      <c r="I95" s="70"/>
      <c r="J95" s="70"/>
      <c r="K95" s="70"/>
      <c r="L95" s="70"/>
      <c r="M95" s="70"/>
    </row>
    <row r="96" spans="1:29">
      <c r="A96" s="56" t="str">
        <f>IF(X39="","",X39)</f>
        <v>5-1</v>
      </c>
      <c r="B96" s="150" t="s">
        <v>237</v>
      </c>
      <c r="C96" s="149"/>
      <c r="D96" s="149"/>
      <c r="E96" s="149"/>
      <c r="F96" s="151"/>
      <c r="G96" s="150" t="s">
        <v>231</v>
      </c>
      <c r="H96" s="149"/>
      <c r="I96" s="149"/>
      <c r="J96" s="149"/>
      <c r="K96" s="151"/>
      <c r="L96" s="152"/>
      <c r="M96" s="152"/>
      <c r="P96" s="67"/>
      <c r="Q96" s="57"/>
      <c r="R96" s="68"/>
      <c r="S96" s="57"/>
      <c r="T96" s="68"/>
      <c r="U96" s="57"/>
      <c r="V96" s="68"/>
      <c r="W96" s="57"/>
      <c r="X96" s="68"/>
      <c r="Y96" s="57"/>
      <c r="Z96" s="68"/>
      <c r="AA96" s="57"/>
      <c r="AB96" s="69"/>
      <c r="AC96" s="57"/>
    </row>
    <row r="97" spans="1:29">
      <c r="A97" s="56" t="str">
        <f t="shared" ref="A97:A99" si="51">IF(X40="","",X40)</f>
        <v>6-4</v>
      </c>
      <c r="B97" s="150" t="s">
        <v>234</v>
      </c>
      <c r="C97" s="149"/>
      <c r="D97" s="149"/>
      <c r="E97" s="149"/>
      <c r="F97" s="151"/>
      <c r="G97" s="150" t="s">
        <v>230</v>
      </c>
      <c r="H97" s="149"/>
      <c r="I97" s="149"/>
      <c r="J97" s="149"/>
      <c r="K97" s="151"/>
      <c r="L97" s="152"/>
      <c r="M97" s="152"/>
      <c r="P97" s="67"/>
      <c r="Q97" s="57"/>
      <c r="R97" s="68"/>
      <c r="S97" s="57"/>
      <c r="T97" s="68"/>
      <c r="U97" s="57"/>
      <c r="V97" s="68"/>
      <c r="W97" s="57"/>
      <c r="X97" s="68"/>
      <c r="Y97" s="57"/>
      <c r="Z97" s="68"/>
      <c r="AA97" s="57"/>
      <c r="AB97" s="69"/>
      <c r="AC97" s="57"/>
    </row>
    <row r="98" spans="1:29">
      <c r="A98" s="56" t="str">
        <f t="shared" si="51"/>
        <v>7-3</v>
      </c>
      <c r="B98" s="150" t="s">
        <v>235</v>
      </c>
      <c r="C98" s="149"/>
      <c r="D98" s="149"/>
      <c r="E98" s="149"/>
      <c r="F98" s="151"/>
      <c r="G98" s="150" t="s">
        <v>233</v>
      </c>
      <c r="H98" s="149"/>
      <c r="I98" s="149"/>
      <c r="J98" s="149"/>
      <c r="K98" s="151"/>
      <c r="L98" s="152"/>
      <c r="M98" s="152"/>
      <c r="P98" s="67"/>
      <c r="Q98" s="57"/>
      <c r="R98" s="68"/>
      <c r="S98" s="57"/>
      <c r="T98" s="68"/>
      <c r="U98" s="57"/>
      <c r="V98" s="68"/>
      <c r="W98" s="57"/>
      <c r="X98" s="68"/>
      <c r="Y98" s="57"/>
      <c r="Z98" s="68"/>
      <c r="AA98" s="57"/>
      <c r="AB98" s="69"/>
      <c r="AC98" s="57"/>
    </row>
    <row r="99" spans="1:29">
      <c r="A99" s="56" t="str">
        <f t="shared" si="51"/>
        <v>8-2</v>
      </c>
      <c r="B99" s="150" t="s">
        <v>238</v>
      </c>
      <c r="C99" s="149"/>
      <c r="D99" s="149"/>
      <c r="E99" s="149"/>
      <c r="F99" s="151"/>
      <c r="G99" s="150" t="s">
        <v>232</v>
      </c>
      <c r="H99" s="149"/>
      <c r="I99" s="149"/>
      <c r="J99" s="149"/>
      <c r="K99" s="151"/>
      <c r="L99" s="152"/>
      <c r="M99" s="152"/>
      <c r="P99" s="63"/>
      <c r="Q99" s="57"/>
      <c r="R99" s="64"/>
      <c r="S99" s="57"/>
      <c r="T99" s="64"/>
      <c r="U99" s="57"/>
      <c r="V99" s="64"/>
      <c r="W99" s="57"/>
      <c r="X99" s="64"/>
      <c r="Y99" s="57"/>
      <c r="Z99" s="64"/>
      <c r="AA99" s="57"/>
      <c r="AB99" s="65"/>
      <c r="AC99" s="57"/>
    </row>
    <row r="100" spans="1:29">
      <c r="A100" s="62"/>
      <c r="B100" s="61" t="s">
        <v>306</v>
      </c>
      <c r="C100" s="61"/>
      <c r="D100" s="70"/>
      <c r="E100" s="70"/>
      <c r="F100" s="70"/>
      <c r="G100" s="70"/>
      <c r="H100" s="70"/>
      <c r="I100" s="70"/>
      <c r="J100" s="70"/>
      <c r="K100" s="70"/>
      <c r="L100" s="70"/>
      <c r="M100" s="70"/>
    </row>
    <row r="101" spans="1:29">
      <c r="A101" s="56" t="str">
        <f>IF(Y39="","",Y39)</f>
        <v>3-1</v>
      </c>
      <c r="B101" s="150" t="s">
        <v>233</v>
      </c>
      <c r="C101" s="149"/>
      <c r="D101" s="149"/>
      <c r="E101" s="149"/>
      <c r="F101" s="151"/>
      <c r="G101" s="150" t="s">
        <v>231</v>
      </c>
      <c r="H101" s="149"/>
      <c r="I101" s="149"/>
      <c r="J101" s="149"/>
      <c r="K101" s="151"/>
      <c r="L101" s="152"/>
      <c r="M101" s="152"/>
      <c r="P101" s="67"/>
      <c r="Q101" s="57"/>
      <c r="R101" s="68"/>
      <c r="S101" s="57"/>
      <c r="T101" s="68"/>
      <c r="U101" s="57"/>
      <c r="V101" s="68"/>
      <c r="W101" s="57"/>
      <c r="X101" s="68"/>
      <c r="Y101" s="57"/>
      <c r="Z101" s="68"/>
      <c r="AA101" s="57"/>
      <c r="AB101" s="69"/>
      <c r="AC101" s="57"/>
    </row>
    <row r="102" spans="1:29">
      <c r="A102" s="56" t="str">
        <f t="shared" ref="A102:A104" si="52">IF(Y40="","",Y40)</f>
        <v>4-2</v>
      </c>
      <c r="B102" s="150" t="s">
        <v>232</v>
      </c>
      <c r="C102" s="149"/>
      <c r="D102" s="149"/>
      <c r="E102" s="149"/>
      <c r="F102" s="151"/>
      <c r="G102" s="150" t="s">
        <v>230</v>
      </c>
      <c r="H102" s="149"/>
      <c r="I102" s="149"/>
      <c r="J102" s="149"/>
      <c r="K102" s="151"/>
      <c r="L102" s="152"/>
      <c r="M102" s="152"/>
      <c r="P102" s="67"/>
      <c r="Q102" s="57"/>
      <c r="R102" s="68"/>
      <c r="S102" s="57"/>
      <c r="T102" s="68"/>
      <c r="U102" s="57"/>
      <c r="V102" s="68"/>
      <c r="W102" s="57"/>
      <c r="X102" s="68"/>
      <c r="Y102" s="57"/>
      <c r="Z102" s="68"/>
      <c r="AA102" s="57"/>
      <c r="AB102" s="69"/>
      <c r="AC102" s="57"/>
    </row>
    <row r="103" spans="1:29">
      <c r="A103" s="56" t="str">
        <f t="shared" si="52"/>
        <v>8-5</v>
      </c>
      <c r="B103" s="150" t="s">
        <v>238</v>
      </c>
      <c r="C103" s="149"/>
      <c r="D103" s="149"/>
      <c r="E103" s="149"/>
      <c r="F103" s="151"/>
      <c r="G103" s="150" t="s">
        <v>237</v>
      </c>
      <c r="H103" s="149"/>
      <c r="I103" s="149"/>
      <c r="J103" s="149"/>
      <c r="K103" s="151"/>
      <c r="L103" s="152"/>
      <c r="M103" s="152"/>
      <c r="P103" s="67"/>
      <c r="Q103" s="57"/>
      <c r="R103" s="68"/>
      <c r="S103" s="57"/>
      <c r="T103" s="68"/>
      <c r="U103" s="57"/>
      <c r="V103" s="68"/>
      <c r="W103" s="57"/>
      <c r="X103" s="68"/>
      <c r="Y103" s="57"/>
      <c r="Z103" s="68"/>
      <c r="AA103" s="57"/>
      <c r="AB103" s="69"/>
      <c r="AC103" s="57"/>
    </row>
    <row r="104" spans="1:29">
      <c r="A104" s="56" t="str">
        <f t="shared" si="52"/>
        <v>7-6</v>
      </c>
      <c r="B104" s="150" t="s">
        <v>235</v>
      </c>
      <c r="C104" s="149"/>
      <c r="D104" s="149"/>
      <c r="E104" s="149"/>
      <c r="F104" s="151"/>
      <c r="G104" s="150" t="s">
        <v>234</v>
      </c>
      <c r="H104" s="149"/>
      <c r="I104" s="149"/>
      <c r="J104" s="149"/>
      <c r="K104" s="151"/>
      <c r="L104" s="152"/>
      <c r="M104" s="152"/>
      <c r="P104" s="63"/>
      <c r="Q104" s="57"/>
      <c r="R104" s="64"/>
      <c r="S104" s="57"/>
      <c r="T104" s="64"/>
      <c r="U104" s="57"/>
      <c r="V104" s="64"/>
      <c r="W104" s="57"/>
      <c r="X104" s="64"/>
      <c r="Y104" s="57"/>
      <c r="Z104" s="64"/>
      <c r="AA104" s="57"/>
      <c r="AB104" s="65"/>
      <c r="AC104" s="57"/>
    </row>
    <row r="105" spans="1:29">
      <c r="A105" s="62"/>
      <c r="B105" s="61" t="s">
        <v>307</v>
      </c>
      <c r="C105" s="61"/>
      <c r="D105" s="70"/>
      <c r="E105" s="70"/>
      <c r="F105" s="70"/>
      <c r="G105" s="70"/>
      <c r="H105" s="70"/>
      <c r="I105" s="70"/>
      <c r="J105" s="70"/>
      <c r="K105" s="70"/>
      <c r="L105" s="70"/>
      <c r="M105" s="70"/>
    </row>
    <row r="106" spans="1:29">
      <c r="A106" s="56" t="str">
        <f>IF(Z39="","",Z39)</f>
        <v>7-1</v>
      </c>
      <c r="B106" s="150" t="s">
        <v>235</v>
      </c>
      <c r="C106" s="149"/>
      <c r="D106" s="149"/>
      <c r="E106" s="149"/>
      <c r="F106" s="151"/>
      <c r="G106" s="150" t="s">
        <v>231</v>
      </c>
      <c r="H106" s="149"/>
      <c r="I106" s="149"/>
      <c r="J106" s="149"/>
      <c r="K106" s="151"/>
      <c r="L106" s="152"/>
      <c r="M106" s="152"/>
      <c r="P106" s="67"/>
      <c r="Q106" s="57"/>
      <c r="R106" s="68"/>
      <c r="S106" s="57"/>
      <c r="T106" s="68"/>
      <c r="U106" s="57"/>
      <c r="V106" s="68"/>
      <c r="W106" s="57"/>
      <c r="X106" s="68"/>
      <c r="Y106" s="57"/>
      <c r="Z106" s="68"/>
      <c r="AA106" s="57"/>
      <c r="AB106" s="69"/>
      <c r="AC106" s="57"/>
    </row>
    <row r="107" spans="1:29">
      <c r="A107" s="56" t="str">
        <f t="shared" ref="A107:A109" si="53">IF(Z40="","",Z40)</f>
        <v>8-6</v>
      </c>
      <c r="B107" s="150" t="s">
        <v>238</v>
      </c>
      <c r="C107" s="149"/>
      <c r="D107" s="149"/>
      <c r="E107" s="149"/>
      <c r="F107" s="151"/>
      <c r="G107" s="150" t="s">
        <v>234</v>
      </c>
      <c r="H107" s="149"/>
      <c r="I107" s="149"/>
      <c r="J107" s="149"/>
      <c r="K107" s="151"/>
      <c r="L107" s="152"/>
      <c r="M107" s="152"/>
      <c r="P107" s="67"/>
      <c r="Q107" s="57"/>
      <c r="R107" s="68"/>
      <c r="S107" s="57"/>
      <c r="T107" s="68"/>
      <c r="U107" s="57"/>
      <c r="V107" s="68"/>
      <c r="W107" s="57"/>
      <c r="X107" s="68"/>
      <c r="Y107" s="57"/>
      <c r="Z107" s="68"/>
      <c r="AA107" s="57"/>
      <c r="AB107" s="69"/>
      <c r="AC107" s="57"/>
    </row>
    <row r="108" spans="1:29">
      <c r="A108" s="56" t="str">
        <f t="shared" si="53"/>
        <v>5-2</v>
      </c>
      <c r="B108" s="150" t="s">
        <v>237</v>
      </c>
      <c r="C108" s="149"/>
      <c r="D108" s="149"/>
      <c r="E108" s="149"/>
      <c r="F108" s="151"/>
      <c r="G108" s="150" t="s">
        <v>232</v>
      </c>
      <c r="H108" s="149"/>
      <c r="I108" s="149"/>
      <c r="J108" s="149"/>
      <c r="K108" s="151"/>
      <c r="L108" s="152"/>
      <c r="M108" s="152"/>
      <c r="P108" s="67"/>
      <c r="Q108" s="57"/>
      <c r="R108" s="68"/>
      <c r="S108" s="57"/>
      <c r="T108" s="68"/>
      <c r="U108" s="57"/>
      <c r="V108" s="68"/>
      <c r="W108" s="57"/>
      <c r="X108" s="68"/>
      <c r="Y108" s="57"/>
      <c r="Z108" s="68"/>
      <c r="AA108" s="57"/>
      <c r="AB108" s="69"/>
      <c r="AC108" s="57"/>
    </row>
    <row r="109" spans="1:29">
      <c r="A109" s="56" t="str">
        <f t="shared" si="53"/>
        <v>4-3</v>
      </c>
      <c r="B109" s="150" t="s">
        <v>233</v>
      </c>
      <c r="C109" s="149"/>
      <c r="D109" s="149"/>
      <c r="E109" s="149"/>
      <c r="F109" s="151"/>
      <c r="G109" s="150" t="s">
        <v>230</v>
      </c>
      <c r="H109" s="149"/>
      <c r="I109" s="149"/>
      <c r="J109" s="149"/>
      <c r="K109" s="151"/>
      <c r="L109" s="152"/>
      <c r="M109" s="152"/>
      <c r="P109" s="63"/>
      <c r="Q109" s="57"/>
      <c r="R109" s="64"/>
      <c r="S109" s="57"/>
      <c r="T109" s="64"/>
      <c r="U109" s="57"/>
      <c r="V109" s="64"/>
      <c r="W109" s="57"/>
      <c r="X109" s="64"/>
      <c r="Y109" s="57"/>
      <c r="Z109" s="64"/>
      <c r="AA109" s="57"/>
      <c r="AB109" s="65"/>
      <c r="AC109" s="57"/>
    </row>
    <row r="110" spans="1:29">
      <c r="A110" s="62"/>
      <c r="B110" s="61" t="s">
        <v>439</v>
      </c>
      <c r="C110" s="61"/>
      <c r="D110" s="70"/>
      <c r="E110" s="70"/>
      <c r="F110" s="70"/>
      <c r="G110" s="70"/>
      <c r="H110" s="70"/>
      <c r="I110" s="70"/>
      <c r="J110" s="70"/>
      <c r="K110" s="70"/>
      <c r="L110" s="70"/>
      <c r="M110" s="70"/>
    </row>
    <row r="111" spans="1:29">
      <c r="A111" s="56" t="str">
        <f>IF(AA39="","",AA39)</f>
        <v>8-1</v>
      </c>
      <c r="B111" s="150" t="s">
        <v>238</v>
      </c>
      <c r="C111" s="149"/>
      <c r="D111" s="149"/>
      <c r="E111" s="149"/>
      <c r="F111" s="151"/>
      <c r="G111" s="150" t="s">
        <v>231</v>
      </c>
      <c r="H111" s="149"/>
      <c r="I111" s="149"/>
      <c r="J111" s="149"/>
      <c r="K111" s="151"/>
      <c r="L111" s="152"/>
      <c r="M111" s="152"/>
      <c r="P111" s="67"/>
      <c r="Q111" s="57"/>
      <c r="R111" s="68"/>
      <c r="S111" s="57"/>
      <c r="T111" s="68"/>
      <c r="U111" s="57"/>
      <c r="V111" s="68"/>
      <c r="W111" s="57"/>
      <c r="X111" s="68"/>
      <c r="Y111" s="57"/>
      <c r="Z111" s="68"/>
      <c r="AA111" s="57"/>
      <c r="AB111" s="69"/>
      <c r="AC111" s="57"/>
    </row>
    <row r="112" spans="1:29">
      <c r="A112" s="56" t="str">
        <f t="shared" ref="A112:A114" si="54">IF(AA40="","",AA40)</f>
        <v>7-2</v>
      </c>
      <c r="B112" s="150" t="s">
        <v>235</v>
      </c>
      <c r="C112" s="149"/>
      <c r="D112" s="149"/>
      <c r="E112" s="149"/>
      <c r="F112" s="151"/>
      <c r="G112" s="150" t="s">
        <v>232</v>
      </c>
      <c r="H112" s="149"/>
      <c r="I112" s="149"/>
      <c r="J112" s="149"/>
      <c r="K112" s="151"/>
      <c r="L112" s="152"/>
      <c r="M112" s="152"/>
      <c r="P112" s="67"/>
      <c r="Q112" s="57"/>
      <c r="R112" s="68"/>
      <c r="S112" s="57"/>
      <c r="T112" s="68"/>
      <c r="U112" s="57"/>
      <c r="V112" s="68"/>
      <c r="W112" s="57"/>
      <c r="X112" s="68"/>
      <c r="Y112" s="57"/>
      <c r="Z112" s="68"/>
      <c r="AA112" s="57"/>
      <c r="AB112" s="69"/>
      <c r="AC112" s="57"/>
    </row>
    <row r="113" spans="1:29">
      <c r="A113" s="56" t="str">
        <f t="shared" si="54"/>
        <v>6-3</v>
      </c>
      <c r="B113" s="150" t="s">
        <v>234</v>
      </c>
      <c r="C113" s="149"/>
      <c r="D113" s="149"/>
      <c r="E113" s="149"/>
      <c r="F113" s="151"/>
      <c r="G113" s="150" t="s">
        <v>233</v>
      </c>
      <c r="H113" s="149"/>
      <c r="I113" s="149"/>
      <c r="J113" s="149"/>
      <c r="K113" s="151"/>
      <c r="L113" s="152"/>
      <c r="M113" s="152"/>
      <c r="P113" s="67"/>
      <c r="Q113" s="57"/>
      <c r="R113" s="68"/>
      <c r="S113" s="57"/>
      <c r="T113" s="68"/>
      <c r="U113" s="57"/>
      <c r="V113" s="68"/>
      <c r="W113" s="57"/>
      <c r="X113" s="68"/>
      <c r="Y113" s="57"/>
      <c r="Z113" s="68"/>
      <c r="AA113" s="57"/>
      <c r="AB113" s="69"/>
      <c r="AC113" s="57"/>
    </row>
    <row r="114" spans="1:29">
      <c r="A114" s="56" t="str">
        <f t="shared" si="54"/>
        <v>5-4</v>
      </c>
      <c r="B114" s="150" t="s">
        <v>237</v>
      </c>
      <c r="C114" s="149"/>
      <c r="D114" s="149"/>
      <c r="E114" s="149"/>
      <c r="F114" s="151"/>
      <c r="G114" s="150" t="s">
        <v>230</v>
      </c>
      <c r="H114" s="149"/>
      <c r="I114" s="149"/>
      <c r="J114" s="149"/>
      <c r="K114" s="151"/>
      <c r="L114" s="152"/>
      <c r="M114" s="152"/>
      <c r="P114" s="63"/>
      <c r="Q114" s="57"/>
      <c r="R114" s="64"/>
      <c r="S114" s="57"/>
      <c r="T114" s="64"/>
      <c r="U114" s="57"/>
      <c r="V114" s="64"/>
      <c r="W114" s="57"/>
      <c r="X114" s="64"/>
      <c r="Y114" s="57"/>
      <c r="Z114" s="64"/>
      <c r="AA114" s="57"/>
      <c r="AB114" s="65"/>
      <c r="AC114" s="57"/>
    </row>
  </sheetData>
  <mergeCells count="477">
    <mergeCell ref="AU38:AV38"/>
    <mergeCell ref="AW38:AX38"/>
    <mergeCell ref="AY38:AZ38"/>
    <mergeCell ref="BA38:BB38"/>
    <mergeCell ref="BC38:BD38"/>
    <mergeCell ref="BE38:BF38"/>
    <mergeCell ref="AE38:AF38"/>
    <mergeCell ref="AG38:AH38"/>
    <mergeCell ref="AI38:AJ38"/>
    <mergeCell ref="AK38:AL38"/>
    <mergeCell ref="AM38:AN38"/>
    <mergeCell ref="AO38:AP38"/>
    <mergeCell ref="AQ38:AR38"/>
    <mergeCell ref="AS38:AT38"/>
    <mergeCell ref="S36:T36"/>
    <mergeCell ref="U36:V36"/>
    <mergeCell ref="I32:J32"/>
    <mergeCell ref="K32:L32"/>
    <mergeCell ref="M32:N32"/>
    <mergeCell ref="O32:P32"/>
    <mergeCell ref="Q32:R32"/>
    <mergeCell ref="I34:J34"/>
    <mergeCell ref="K34:L34"/>
    <mergeCell ref="M34:N34"/>
    <mergeCell ref="S32:T32"/>
    <mergeCell ref="I33:J33"/>
    <mergeCell ref="K33:L33"/>
    <mergeCell ref="M33:N33"/>
    <mergeCell ref="O33:P33"/>
    <mergeCell ref="Q33:R33"/>
    <mergeCell ref="S33:T33"/>
    <mergeCell ref="AA30:AB33"/>
    <mergeCell ref="Y34:Z37"/>
    <mergeCell ref="AA34:AB37"/>
    <mergeCell ref="I37:J37"/>
    <mergeCell ref="K37:L37"/>
    <mergeCell ref="M37:N37"/>
    <mergeCell ref="O37:P37"/>
    <mergeCell ref="Q37:R37"/>
    <mergeCell ref="I35:J35"/>
    <mergeCell ref="K35:L35"/>
    <mergeCell ref="M35:N35"/>
    <mergeCell ref="O35:P35"/>
    <mergeCell ref="Q35:R35"/>
    <mergeCell ref="S35:T35"/>
    <mergeCell ref="U35:V35"/>
    <mergeCell ref="O34:P34"/>
    <mergeCell ref="Q34:R34"/>
    <mergeCell ref="S34:T34"/>
    <mergeCell ref="U34:V34"/>
    <mergeCell ref="W34:X37"/>
    <mergeCell ref="S37:T37"/>
    <mergeCell ref="U37:V37"/>
    <mergeCell ref="M36:N36"/>
    <mergeCell ref="O36:P36"/>
    <mergeCell ref="Y18:Z21"/>
    <mergeCell ref="AA18:AB21"/>
    <mergeCell ref="Y22:Z25"/>
    <mergeCell ref="AA22:AB25"/>
    <mergeCell ref="B79:F79"/>
    <mergeCell ref="G79:K79"/>
    <mergeCell ref="L79:M79"/>
    <mergeCell ref="C18:H21"/>
    <mergeCell ref="B18:B21"/>
    <mergeCell ref="C22:H25"/>
    <mergeCell ref="B22:B25"/>
    <mergeCell ref="B26:B29"/>
    <mergeCell ref="B77:F77"/>
    <mergeCell ref="G77:K77"/>
    <mergeCell ref="L77:M77"/>
    <mergeCell ref="B78:F78"/>
    <mergeCell ref="G78:K78"/>
    <mergeCell ref="L78:M78"/>
    <mergeCell ref="B74:F74"/>
    <mergeCell ref="G74:K74"/>
    <mergeCell ref="L74:M74"/>
    <mergeCell ref="B76:F76"/>
    <mergeCell ref="AA26:AB29"/>
    <mergeCell ref="Y30:Z33"/>
    <mergeCell ref="G76:K76"/>
    <mergeCell ref="L76:M76"/>
    <mergeCell ref="B72:F72"/>
    <mergeCell ref="G72:K72"/>
    <mergeCell ref="L72:M72"/>
    <mergeCell ref="B73:F73"/>
    <mergeCell ref="G73:K73"/>
    <mergeCell ref="L73:M73"/>
    <mergeCell ref="B69:F69"/>
    <mergeCell ref="G69:K69"/>
    <mergeCell ref="L69:M69"/>
    <mergeCell ref="B71:F71"/>
    <mergeCell ref="G71:K71"/>
    <mergeCell ref="L71:M71"/>
    <mergeCell ref="B67:F67"/>
    <mergeCell ref="G67:K67"/>
    <mergeCell ref="L67:M67"/>
    <mergeCell ref="B68:F68"/>
    <mergeCell ref="G68:K68"/>
    <mergeCell ref="L68:M68"/>
    <mergeCell ref="B64:F64"/>
    <mergeCell ref="G64:K64"/>
    <mergeCell ref="L64:M64"/>
    <mergeCell ref="B66:F66"/>
    <mergeCell ref="G66:K66"/>
    <mergeCell ref="L66:M66"/>
    <mergeCell ref="B62:F62"/>
    <mergeCell ref="G62:K62"/>
    <mergeCell ref="L62:M62"/>
    <mergeCell ref="B63:F63"/>
    <mergeCell ref="G63:K63"/>
    <mergeCell ref="L63:M63"/>
    <mergeCell ref="B59:F59"/>
    <mergeCell ref="G59:K59"/>
    <mergeCell ref="L59:M59"/>
    <mergeCell ref="B61:F61"/>
    <mergeCell ref="G61:K61"/>
    <mergeCell ref="L61:M61"/>
    <mergeCell ref="B57:F57"/>
    <mergeCell ref="G57:K57"/>
    <mergeCell ref="L57:M57"/>
    <mergeCell ref="B58:F58"/>
    <mergeCell ref="G58:K58"/>
    <mergeCell ref="L58:M58"/>
    <mergeCell ref="B54:F54"/>
    <mergeCell ref="G54:K54"/>
    <mergeCell ref="L54:M54"/>
    <mergeCell ref="B56:F56"/>
    <mergeCell ref="G56:K56"/>
    <mergeCell ref="L56:M56"/>
    <mergeCell ref="B52:F52"/>
    <mergeCell ref="G52:K52"/>
    <mergeCell ref="L52:M52"/>
    <mergeCell ref="B53:F53"/>
    <mergeCell ref="G53:K53"/>
    <mergeCell ref="L53:M53"/>
    <mergeCell ref="B49:F49"/>
    <mergeCell ref="G49:K49"/>
    <mergeCell ref="L49:M49"/>
    <mergeCell ref="B51:F51"/>
    <mergeCell ref="G51:K51"/>
    <mergeCell ref="L51:M51"/>
    <mergeCell ref="B47:F47"/>
    <mergeCell ref="G47:K47"/>
    <mergeCell ref="L47:M47"/>
    <mergeCell ref="B48:F48"/>
    <mergeCell ref="G48:K48"/>
    <mergeCell ref="L48:M48"/>
    <mergeCell ref="V45:W45"/>
    <mergeCell ref="X45:Y45"/>
    <mergeCell ref="Z45:AA45"/>
    <mergeCell ref="AB45:AC45"/>
    <mergeCell ref="B46:F46"/>
    <mergeCell ref="G46:K46"/>
    <mergeCell ref="L46:M46"/>
    <mergeCell ref="B45:F45"/>
    <mergeCell ref="G45:K45"/>
    <mergeCell ref="L45:M45"/>
    <mergeCell ref="P45:Q45"/>
    <mergeCell ref="R45:S45"/>
    <mergeCell ref="T45:U45"/>
    <mergeCell ref="B34:B37"/>
    <mergeCell ref="C34:H37"/>
    <mergeCell ref="I36:J36"/>
    <mergeCell ref="K36:L36"/>
    <mergeCell ref="I31:J31"/>
    <mergeCell ref="K31:L31"/>
    <mergeCell ref="M31:N31"/>
    <mergeCell ref="O31:P31"/>
    <mergeCell ref="Q31:R31"/>
    <mergeCell ref="B30:B33"/>
    <mergeCell ref="C30:H33"/>
    <mergeCell ref="Q36:R36"/>
    <mergeCell ref="S31:T31"/>
    <mergeCell ref="W31:X31"/>
    <mergeCell ref="U30:V33"/>
    <mergeCell ref="O30:P30"/>
    <mergeCell ref="Q30:R30"/>
    <mergeCell ref="S30:T30"/>
    <mergeCell ref="W30:X30"/>
    <mergeCell ref="I30:J30"/>
    <mergeCell ref="K30:L30"/>
    <mergeCell ref="M30:N30"/>
    <mergeCell ref="W32:X32"/>
    <mergeCell ref="W33:X33"/>
    <mergeCell ref="Q26:R26"/>
    <mergeCell ref="U26:V26"/>
    <mergeCell ref="W26:X26"/>
    <mergeCell ref="I29:J29"/>
    <mergeCell ref="K29:L29"/>
    <mergeCell ref="M29:N29"/>
    <mergeCell ref="O29:P29"/>
    <mergeCell ref="Q29:R29"/>
    <mergeCell ref="U29:V29"/>
    <mergeCell ref="W29:X29"/>
    <mergeCell ref="I28:J28"/>
    <mergeCell ref="K28:L28"/>
    <mergeCell ref="M28:N28"/>
    <mergeCell ref="O28:P28"/>
    <mergeCell ref="Q28:R28"/>
    <mergeCell ref="S26:T29"/>
    <mergeCell ref="O26:P26"/>
    <mergeCell ref="I18:J18"/>
    <mergeCell ref="K18:L18"/>
    <mergeCell ref="M18:N18"/>
    <mergeCell ref="Y26:Z29"/>
    <mergeCell ref="I26:J26"/>
    <mergeCell ref="K26:L26"/>
    <mergeCell ref="M26:N26"/>
    <mergeCell ref="C26:H29"/>
    <mergeCell ref="I23:J23"/>
    <mergeCell ref="K23:L23"/>
    <mergeCell ref="M23:N23"/>
    <mergeCell ref="O23:P23"/>
    <mergeCell ref="S23:T23"/>
    <mergeCell ref="U23:V23"/>
    <mergeCell ref="W23:X23"/>
    <mergeCell ref="Q22:R25"/>
    <mergeCell ref="O22:P22"/>
    <mergeCell ref="S22:T22"/>
    <mergeCell ref="U22:V22"/>
    <mergeCell ref="W22:X22"/>
    <mergeCell ref="I22:J22"/>
    <mergeCell ref="K22:L22"/>
    <mergeCell ref="M22:N22"/>
    <mergeCell ref="I25:J25"/>
    <mergeCell ref="M19:N19"/>
    <mergeCell ref="Q19:R19"/>
    <mergeCell ref="S19:T19"/>
    <mergeCell ref="U19:V19"/>
    <mergeCell ref="W19:X19"/>
    <mergeCell ref="O18:P21"/>
    <mergeCell ref="Q18:R18"/>
    <mergeCell ref="S18:T18"/>
    <mergeCell ref="U18:V18"/>
    <mergeCell ref="W18:X18"/>
    <mergeCell ref="B14:B17"/>
    <mergeCell ref="C14:H17"/>
    <mergeCell ref="I14:J14"/>
    <mergeCell ref="K14:L14"/>
    <mergeCell ref="M14:N17"/>
    <mergeCell ref="O14:P14"/>
    <mergeCell ref="I15:J15"/>
    <mergeCell ref="K15:L15"/>
    <mergeCell ref="O15:P15"/>
    <mergeCell ref="I16:J16"/>
    <mergeCell ref="K16:L16"/>
    <mergeCell ref="O16:P16"/>
    <mergeCell ref="AA10:AB13"/>
    <mergeCell ref="Q11:R11"/>
    <mergeCell ref="S11:T11"/>
    <mergeCell ref="U11:V11"/>
    <mergeCell ref="W11:X11"/>
    <mergeCell ref="Q14:R14"/>
    <mergeCell ref="S14:T14"/>
    <mergeCell ref="U14:V14"/>
    <mergeCell ref="W14:X14"/>
    <mergeCell ref="Y14:Z17"/>
    <mergeCell ref="AA14:AB17"/>
    <mergeCell ref="Q16:R16"/>
    <mergeCell ref="S16:T16"/>
    <mergeCell ref="U16:V16"/>
    <mergeCell ref="W16:X16"/>
    <mergeCell ref="Q17:R17"/>
    <mergeCell ref="S17:T17"/>
    <mergeCell ref="U17:V17"/>
    <mergeCell ref="W17:X17"/>
    <mergeCell ref="O6:P6"/>
    <mergeCell ref="Q6:R6"/>
    <mergeCell ref="S6:T6"/>
    <mergeCell ref="U6:V6"/>
    <mergeCell ref="W6:X6"/>
    <mergeCell ref="Y6:Z9"/>
    <mergeCell ref="B10:B13"/>
    <mergeCell ref="C10:H13"/>
    <mergeCell ref="I10:J10"/>
    <mergeCell ref="K10:L13"/>
    <mergeCell ref="M10:N10"/>
    <mergeCell ref="O10:P10"/>
    <mergeCell ref="I11:J11"/>
    <mergeCell ref="M11:N11"/>
    <mergeCell ref="O11:P11"/>
    <mergeCell ref="Q10:R10"/>
    <mergeCell ref="S10:T10"/>
    <mergeCell ref="U10:V10"/>
    <mergeCell ref="W10:X10"/>
    <mergeCell ref="Y10:Z13"/>
    <mergeCell ref="S5:T5"/>
    <mergeCell ref="U5:V5"/>
    <mergeCell ref="W5:X5"/>
    <mergeCell ref="Y5:Z5"/>
    <mergeCell ref="AA5:AB5"/>
    <mergeCell ref="B6:B9"/>
    <mergeCell ref="C6:H9"/>
    <mergeCell ref="I6:J9"/>
    <mergeCell ref="K6:L6"/>
    <mergeCell ref="M6:N6"/>
    <mergeCell ref="C5:H5"/>
    <mergeCell ref="I5:J5"/>
    <mergeCell ref="K5:L5"/>
    <mergeCell ref="M5:N5"/>
    <mergeCell ref="O5:P5"/>
    <mergeCell ref="Q5:R5"/>
    <mergeCell ref="AA6:AB9"/>
    <mergeCell ref="K7:L7"/>
    <mergeCell ref="M7:N7"/>
    <mergeCell ref="O7:P7"/>
    <mergeCell ref="Q7:R7"/>
    <mergeCell ref="S7:T7"/>
    <mergeCell ref="U7:V7"/>
    <mergeCell ref="W7:X7"/>
    <mergeCell ref="A1:H1"/>
    <mergeCell ref="I1:Y1"/>
    <mergeCell ref="Z1:AD1"/>
    <mergeCell ref="A2:H2"/>
    <mergeCell ref="I2:Y2"/>
    <mergeCell ref="Z2:AD3"/>
    <mergeCell ref="A3:H3"/>
    <mergeCell ref="I3:Y3"/>
    <mergeCell ref="B81:F81"/>
    <mergeCell ref="G81:K81"/>
    <mergeCell ref="L81:M81"/>
    <mergeCell ref="I12:J12"/>
    <mergeCell ref="U12:V12"/>
    <mergeCell ref="W12:X12"/>
    <mergeCell ref="I13:J13"/>
    <mergeCell ref="M13:N13"/>
    <mergeCell ref="O13:P13"/>
    <mergeCell ref="Q13:R13"/>
    <mergeCell ref="S13:T13"/>
    <mergeCell ref="U13:V13"/>
    <mergeCell ref="W13:X13"/>
    <mergeCell ref="I17:J17"/>
    <mergeCell ref="K17:L17"/>
    <mergeCell ref="O17:P17"/>
    <mergeCell ref="B82:F82"/>
    <mergeCell ref="G82:K82"/>
    <mergeCell ref="L82:M82"/>
    <mergeCell ref="B83:F83"/>
    <mergeCell ref="G83:K83"/>
    <mergeCell ref="L83:M83"/>
    <mergeCell ref="B84:F84"/>
    <mergeCell ref="G84:K84"/>
    <mergeCell ref="L84:M84"/>
    <mergeCell ref="L86:M86"/>
    <mergeCell ref="L87:M87"/>
    <mergeCell ref="L88:M88"/>
    <mergeCell ref="L89:M89"/>
    <mergeCell ref="B91:F91"/>
    <mergeCell ref="G91:K91"/>
    <mergeCell ref="L91:M91"/>
    <mergeCell ref="B92:F92"/>
    <mergeCell ref="G92:K92"/>
    <mergeCell ref="L92:M92"/>
    <mergeCell ref="B86:F86"/>
    <mergeCell ref="G86:K86"/>
    <mergeCell ref="B87:F87"/>
    <mergeCell ref="G87:K87"/>
    <mergeCell ref="B88:F88"/>
    <mergeCell ref="G88:K88"/>
    <mergeCell ref="B89:F89"/>
    <mergeCell ref="G89:K89"/>
    <mergeCell ref="B93:F93"/>
    <mergeCell ref="G93:K93"/>
    <mergeCell ref="L93:M93"/>
    <mergeCell ref="B94:F94"/>
    <mergeCell ref="G94:K94"/>
    <mergeCell ref="L94:M94"/>
    <mergeCell ref="B96:F96"/>
    <mergeCell ref="G96:K96"/>
    <mergeCell ref="L96:M96"/>
    <mergeCell ref="B97:F97"/>
    <mergeCell ref="G97:K97"/>
    <mergeCell ref="L97:M97"/>
    <mergeCell ref="B98:F98"/>
    <mergeCell ref="G98:K98"/>
    <mergeCell ref="L98:M98"/>
    <mergeCell ref="B99:F99"/>
    <mergeCell ref="G99:K99"/>
    <mergeCell ref="L99:M99"/>
    <mergeCell ref="B101:F101"/>
    <mergeCell ref="G101:K101"/>
    <mergeCell ref="L101:M101"/>
    <mergeCell ref="B102:F102"/>
    <mergeCell ref="G102:K102"/>
    <mergeCell ref="L102:M102"/>
    <mergeCell ref="B103:F103"/>
    <mergeCell ref="G103:K103"/>
    <mergeCell ref="L103:M103"/>
    <mergeCell ref="B104:F104"/>
    <mergeCell ref="G104:K104"/>
    <mergeCell ref="L104:M104"/>
    <mergeCell ref="B106:F106"/>
    <mergeCell ref="G106:K106"/>
    <mergeCell ref="L106:M106"/>
    <mergeCell ref="B107:F107"/>
    <mergeCell ref="G107:K107"/>
    <mergeCell ref="L107:M107"/>
    <mergeCell ref="B108:F108"/>
    <mergeCell ref="G108:K108"/>
    <mergeCell ref="L108:M108"/>
    <mergeCell ref="B109:F109"/>
    <mergeCell ref="G109:K109"/>
    <mergeCell ref="L109:M109"/>
    <mergeCell ref="B111:F111"/>
    <mergeCell ref="G111:K111"/>
    <mergeCell ref="L111:M111"/>
    <mergeCell ref="B112:F112"/>
    <mergeCell ref="G112:K112"/>
    <mergeCell ref="L112:M112"/>
    <mergeCell ref="B113:F113"/>
    <mergeCell ref="G113:K113"/>
    <mergeCell ref="L113:M113"/>
    <mergeCell ref="B114:F114"/>
    <mergeCell ref="G114:K114"/>
    <mergeCell ref="L114:M114"/>
    <mergeCell ref="L85:M85"/>
    <mergeCell ref="K9:L9"/>
    <mergeCell ref="M9:N9"/>
    <mergeCell ref="O9:P9"/>
    <mergeCell ref="Q9:R9"/>
    <mergeCell ref="S9:T9"/>
    <mergeCell ref="U9:V9"/>
    <mergeCell ref="W9:X9"/>
    <mergeCell ref="K8:L8"/>
    <mergeCell ref="M8:N8"/>
    <mergeCell ref="O8:P8"/>
    <mergeCell ref="Q8:R8"/>
    <mergeCell ref="S8:T8"/>
    <mergeCell ref="U8:V8"/>
    <mergeCell ref="W8:X8"/>
    <mergeCell ref="M12:N12"/>
    <mergeCell ref="O12:P12"/>
    <mergeCell ref="Q12:R12"/>
    <mergeCell ref="S12:T12"/>
    <mergeCell ref="G85:K85"/>
    <mergeCell ref="Q15:R15"/>
    <mergeCell ref="S15:T15"/>
    <mergeCell ref="U15:V15"/>
    <mergeCell ref="W15:X15"/>
    <mergeCell ref="I21:J21"/>
    <mergeCell ref="K21:L21"/>
    <mergeCell ref="M21:N21"/>
    <mergeCell ref="Q21:R21"/>
    <mergeCell ref="S21:T21"/>
    <mergeCell ref="U21:V21"/>
    <mergeCell ref="W21:X21"/>
    <mergeCell ref="I20:J20"/>
    <mergeCell ref="K20:L20"/>
    <mergeCell ref="M20:N20"/>
    <mergeCell ref="Q20:R20"/>
    <mergeCell ref="S20:T20"/>
    <mergeCell ref="U20:V20"/>
    <mergeCell ref="W20:X20"/>
    <mergeCell ref="I19:J19"/>
    <mergeCell ref="K19:L19"/>
    <mergeCell ref="U28:V28"/>
    <mergeCell ref="W28:X28"/>
    <mergeCell ref="S25:T25"/>
    <mergeCell ref="U25:V25"/>
    <mergeCell ref="W25:X25"/>
    <mergeCell ref="I24:J24"/>
    <mergeCell ref="K24:L24"/>
    <mergeCell ref="M24:N24"/>
    <mergeCell ref="O24:P24"/>
    <mergeCell ref="S24:T24"/>
    <mergeCell ref="U24:V24"/>
    <mergeCell ref="W24:X24"/>
    <mergeCell ref="K25:L25"/>
    <mergeCell ref="M25:N25"/>
    <mergeCell ref="O25:P25"/>
    <mergeCell ref="I27:J27"/>
    <mergeCell ref="K27:L27"/>
    <mergeCell ref="M27:N27"/>
    <mergeCell ref="O27:P27"/>
    <mergeCell ref="Q27:R27"/>
    <mergeCell ref="U27:V27"/>
    <mergeCell ref="W27:X27"/>
  </mergeCells>
  <dataValidations count="1">
    <dataValidation type="list" allowBlank="1" showInputMessage="1" showErrorMessage="1" sqref="L50:M50 L55:M55 L60:M60 L65:M65 L70:M70 L75:M75 L80:M80 L90:M90 L95:M95 L100:M100 L105:M105 L110:M110" xr:uid="{EF15B4BD-A51D-4E6C-A9DA-0A894059818D}">
      <formula1>$AK$1:$AK$19</formula1>
    </dataValidation>
  </dataValidations>
  <printOptions horizontalCentered="1"/>
  <pageMargins left="1" right="1" top="1" bottom="1" header="0.5" footer="0.5"/>
  <pageSetup paperSize="9" scale="85" fitToHeight="0" orientation="landscape" r:id="rId1"/>
  <rowBreaks count="1" manualBreakCount="1">
    <brk id="37" max="16383" man="1"/>
  </rowBreaks>
  <ignoredErrors>
    <ignoredError sqref="M7:X7 W18:X20 M18:V19 K30:V31 K18:L19 W22:X23 X21 L37 P37 M14:X15 N13 M10:X11 N9 T9 K34:V35 L33 R33 M26:V27 N25 V25 R13 K26:L27 L25 T33:V33 N29 V29 M17:N17 P17 M22:V23 N21:P21 X9 R17 T37 X29 V21 P33 X17 N37 T21 P29 R9 V13 N8 M12:N12 P12:R12 P13 K22:L24 L20 L21 L36:P36 V36 V37 M24:N24 T24:V24 T25 N28:P28 R28:V28 R29:T29 T12:V12 T13 L29 L28 W26:X28 X24 X25 R36:T36 R37 P8:T8 P9 K32:L32 N32:V32 N33 M16:R16 V16:X16 V17 X12 X13 P24:R24 P25:R25 M20:P20 R20:V20 R21 T16 T17 V8:X8 V9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00D06F-3A4C-464B-B955-273422342831}">
          <x14:formula1>
            <xm:f>Abitabel!$L$1:$L$8</xm:f>
          </x14:formula1>
          <xm:sqref>L46:M49 L51:M54 L56:M59 L61:M64 L66:M69 L71:M74 L76:M79 L111:M114 L91:M94 L96:M99 L101:M104 L106:M109 L81:M84 L86:M89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43A34-D894-46E5-A7E2-32534D707AF3}">
  <sheetPr>
    <pageSetUpPr fitToPage="1"/>
  </sheetPr>
  <dimension ref="A1:W200"/>
  <sheetViews>
    <sheetView workbookViewId="0">
      <selection activeCell="C9" sqref="C9"/>
    </sheetView>
  </sheetViews>
  <sheetFormatPr defaultRowHeight="15"/>
  <cols>
    <col min="1" max="1" width="4.5703125" customWidth="1"/>
    <col min="2" max="2" width="13.85546875" customWidth="1"/>
    <col min="3" max="3" width="8.28515625" customWidth="1"/>
    <col min="4" max="4" width="33.140625" customWidth="1"/>
    <col min="5" max="5" width="3.7109375" customWidth="1"/>
    <col min="6" max="6" width="26.28515625" bestFit="1" customWidth="1"/>
    <col min="7" max="7" width="12.28515625" customWidth="1"/>
    <col min="10" max="10" width="0" hidden="1" customWidth="1"/>
    <col min="11" max="11" width="12.28515625" hidden="1" customWidth="1"/>
    <col min="13" max="13" width="100.28515625" bestFit="1" customWidth="1"/>
  </cols>
  <sheetData>
    <row r="1" spans="2:23">
      <c r="B1" s="87" t="s">
        <v>26</v>
      </c>
      <c r="C1" s="87"/>
      <c r="D1" s="87"/>
      <c r="E1" s="87"/>
      <c r="F1" s="87"/>
      <c r="G1" s="87"/>
      <c r="R1" s="18"/>
      <c r="S1" s="18"/>
      <c r="T1" s="18"/>
      <c r="U1" s="18"/>
      <c r="V1" s="18"/>
      <c r="W1" s="18"/>
    </row>
    <row r="2" spans="2:23">
      <c r="B2" s="76"/>
      <c r="C2" s="76"/>
      <c r="D2" s="76"/>
      <c r="E2" s="76"/>
      <c r="F2" s="76"/>
      <c r="G2" s="76"/>
      <c r="R2" s="18"/>
      <c r="S2" s="18"/>
      <c r="T2" s="18"/>
      <c r="U2" s="18"/>
      <c r="V2" s="18"/>
      <c r="W2" s="18"/>
    </row>
    <row r="3" spans="2:23">
      <c r="C3" s="88" t="s">
        <v>488</v>
      </c>
      <c r="D3" s="88"/>
      <c r="E3" s="88"/>
      <c r="F3" s="88"/>
      <c r="J3" t="s">
        <v>473</v>
      </c>
    </row>
    <row r="4" spans="2:23">
      <c r="C4" s="89"/>
      <c r="D4" s="77" t="s">
        <v>28</v>
      </c>
      <c r="E4" s="89"/>
      <c r="F4" s="89"/>
      <c r="G4" s="89"/>
      <c r="J4" t="s">
        <v>43</v>
      </c>
      <c r="K4" t="s">
        <v>44</v>
      </c>
    </row>
    <row r="5" spans="2:23">
      <c r="B5" s="90"/>
      <c r="C5" s="90"/>
      <c r="D5" s="90"/>
      <c r="E5" s="90"/>
      <c r="F5" s="90"/>
      <c r="G5" s="90"/>
      <c r="J5" t="s">
        <v>9</v>
      </c>
      <c r="K5" t="s">
        <v>12</v>
      </c>
    </row>
    <row r="6" spans="2:23">
      <c r="C6" s="18"/>
      <c r="D6" s="91" t="s">
        <v>474</v>
      </c>
      <c r="E6" s="18"/>
      <c r="F6" s="18"/>
      <c r="G6" s="18"/>
      <c r="J6" t="s">
        <v>11</v>
      </c>
      <c r="K6" t="s">
        <v>10</v>
      </c>
    </row>
    <row r="7" spans="2:23">
      <c r="B7" s="92"/>
      <c r="C7" s="92"/>
      <c r="D7" s="92"/>
      <c r="E7" s="92"/>
      <c r="F7" s="92"/>
      <c r="G7" s="92"/>
      <c r="J7" t="s">
        <v>13</v>
      </c>
      <c r="K7" t="s">
        <v>14</v>
      </c>
      <c r="R7" s="18"/>
      <c r="S7" s="18"/>
      <c r="T7" s="18"/>
      <c r="U7" s="18"/>
      <c r="V7" s="18"/>
      <c r="W7" s="18"/>
    </row>
    <row r="8" spans="2:23">
      <c r="B8" s="80" t="s">
        <v>27</v>
      </c>
      <c r="C8" s="19" t="s">
        <v>443</v>
      </c>
      <c r="F8" s="80" t="s">
        <v>29</v>
      </c>
      <c r="G8" s="93">
        <v>45745</v>
      </c>
      <c r="J8" t="s">
        <v>54</v>
      </c>
      <c r="K8" t="s">
        <v>56</v>
      </c>
      <c r="R8" s="19"/>
      <c r="S8" s="19"/>
      <c r="T8" s="19"/>
      <c r="U8" s="19"/>
      <c r="V8" s="20"/>
      <c r="W8" s="19"/>
    </row>
    <row r="9" spans="2:23">
      <c r="B9" s="80" t="s">
        <v>31</v>
      </c>
      <c r="C9" s="119" t="s">
        <v>67</v>
      </c>
      <c r="F9" s="80" t="s">
        <v>475</v>
      </c>
      <c r="G9" s="95" t="str">
        <f>IF(C9="I","10:00",IF(C9="II","13:00",IF(C9="III","16:00")))</f>
        <v>10:00</v>
      </c>
      <c r="J9" t="s">
        <v>55</v>
      </c>
      <c r="K9" t="s">
        <v>57</v>
      </c>
      <c r="M9" s="120" t="s">
        <v>491</v>
      </c>
      <c r="R9" s="18"/>
      <c r="S9" s="18"/>
      <c r="T9" s="18"/>
      <c r="U9" s="18"/>
      <c r="V9" s="18"/>
      <c r="W9" s="18"/>
    </row>
    <row r="10" spans="2:23" ht="15.75" thickBot="1">
      <c r="F10" s="96" t="s">
        <v>476</v>
      </c>
      <c r="G10" s="95" t="str">
        <f>IF(G9="10:00","09:45",IF(G9="13:00","12:45",IF(G9="16:00","15:45")))</f>
        <v>09:45</v>
      </c>
      <c r="M10" s="72" t="s">
        <v>489</v>
      </c>
    </row>
    <row r="11" spans="2:23" ht="16.5" thickTop="1" thickBot="1">
      <c r="B11" s="97" t="s">
        <v>477</v>
      </c>
      <c r="C11" s="98"/>
      <c r="D11" s="99" t="str">
        <f>IF(C9="I",I_voor_4p!G7,IF(C9="II",II_voor_4p!G7,IF(C9="III",III_voor_4p!G7)))</f>
        <v>Viljandi LTK Sakala</v>
      </c>
      <c r="F11" s="100" t="s">
        <v>478</v>
      </c>
      <c r="G11" s="101"/>
    </row>
    <row r="12" spans="2:23" ht="15.75" thickTop="1">
      <c r="B12" s="246" t="s">
        <v>479</v>
      </c>
      <c r="C12" s="102"/>
      <c r="D12" s="103" t="str" cm="1">
        <f t="array" ref="D12">IFERROR(INDEX(Koosseisud!I:I, SMALL(IF(Koosseisud!H:H=Loosileht!$D$11, ROW(Koosseisud!I:I)), ROW(1:1))), "")</f>
        <v>Valdas MARTINKUS</v>
      </c>
      <c r="F12" s="248" t="s">
        <v>480</v>
      </c>
      <c r="G12" s="249"/>
      <c r="M12" t="s">
        <v>490</v>
      </c>
    </row>
    <row r="13" spans="2:23">
      <c r="B13" s="247"/>
      <c r="C13" s="102"/>
      <c r="D13" s="103" t="str" cm="1">
        <f t="array" ref="D13">IFERROR(INDEX(Koosseisud!I:I, SMALL(IF(Koosseisud!H:H=Loosileht!$D$11, ROW(Koosseisud!I:I)), ROW(2:2))), "")</f>
        <v>Erik NÜÜD</v>
      </c>
      <c r="F13" s="250" t="s">
        <v>45</v>
      </c>
      <c r="G13" s="251"/>
      <c r="M13" s="72" t="s">
        <v>556</v>
      </c>
    </row>
    <row r="14" spans="2:23">
      <c r="B14" s="247"/>
      <c r="C14" s="102"/>
      <c r="D14" s="103" t="str" cm="1">
        <f t="array" ref="D14">IFERROR(INDEX(Koosseisud!I:I, SMALL(IF(Koosseisud!H:H=Loosileht!$D$11, ROW(Koosseisud!I:I)), ROW(3:3))), "")</f>
        <v>Robi TOOMING</v>
      </c>
      <c r="F14" s="250" t="s">
        <v>46</v>
      </c>
      <c r="G14" s="251"/>
    </row>
    <row r="15" spans="2:23">
      <c r="B15" s="247"/>
      <c r="C15" s="105"/>
      <c r="D15" s="103" t="str" cm="1">
        <f t="array" ref="D15">IFERROR(INDEX(Koosseisud!I:I, SMALL(IF(Koosseisud!H:H=Loosileht!$D$11, ROW(Koosseisud!I:I)), ROW(4:4))), "")</f>
        <v>Märt KURVET</v>
      </c>
      <c r="F15" s="250" t="s">
        <v>47</v>
      </c>
      <c r="G15" s="251"/>
    </row>
    <row r="16" spans="2:23">
      <c r="B16" s="247"/>
      <c r="C16" s="105"/>
      <c r="D16" s="103" t="str" cm="1">
        <f t="array" ref="D16">IFERROR(INDEX(Koosseisud!I:I, SMALL(IF(Koosseisud!H:H=Loosileht!$D$11, ROW(Koosseisud!I:I)), ROW(5:5))), "")</f>
        <v>Aaro ÕISMETS</v>
      </c>
      <c r="F16" s="250" t="s">
        <v>481</v>
      </c>
      <c r="G16" s="251"/>
    </row>
    <row r="17" spans="1:18">
      <c r="B17" s="247"/>
      <c r="C17" s="105"/>
      <c r="D17" s="103" t="str" cm="1">
        <f t="array" ref="D17">IFERROR(INDEX(Koosseisud!I:I, SMALL(IF(Koosseisud!H:H=Loosileht!$D$11, ROW(Koosseisud!I:I)), ROW(6:6))), "")</f>
        <v/>
      </c>
      <c r="F17" s="250" t="s">
        <v>48</v>
      </c>
      <c r="G17" s="251"/>
      <c r="M17" s="121" t="s">
        <v>498</v>
      </c>
    </row>
    <row r="18" spans="1:18">
      <c r="B18" s="247"/>
      <c r="C18" s="105"/>
      <c r="D18" s="103" t="str" cm="1">
        <f t="array" ref="D18">IFERROR(INDEX(Koosseisud!I:I, SMALL(IF(Koosseisud!H:H=Loosileht!$D$11, ROW(Koosseisud!I:I)), ROW(7:7))), "")</f>
        <v/>
      </c>
      <c r="F18" s="250" t="s">
        <v>49</v>
      </c>
      <c r="G18" s="251"/>
    </row>
    <row r="19" spans="1:18">
      <c r="B19" s="247"/>
      <c r="C19" s="105"/>
      <c r="D19" s="103" t="str" cm="1">
        <f t="array" ref="D19">IFERROR(INDEX(Koosseisud!I:I, SMALL(IF(Koosseisud!H:H=Loosileht!$D$11, ROW(Koosseisud!I:I)), ROW(8:8))), "")</f>
        <v/>
      </c>
      <c r="F19" s="250" t="s">
        <v>50</v>
      </c>
      <c r="G19" s="251"/>
      <c r="M19" s="133" t="s">
        <v>554</v>
      </c>
    </row>
    <row r="20" spans="1:18">
      <c r="B20" s="247"/>
      <c r="C20" s="105"/>
      <c r="D20" s="103" t="str" cm="1">
        <f t="array" ref="D20">IFERROR(INDEX(Koosseisud!I:I, SMALL(IF(Koosseisud!H:H=Loosileht!$D$11, ROW(Koosseisud!I:I)), ROW(9:9))), "")</f>
        <v/>
      </c>
      <c r="F20" s="106"/>
      <c r="G20" s="107"/>
      <c r="I20" s="132"/>
      <c r="J20" s="132"/>
      <c r="K20" s="132"/>
      <c r="L20" s="132"/>
      <c r="M20" s="132"/>
      <c r="N20" s="132"/>
      <c r="O20" s="131"/>
      <c r="P20" s="131"/>
      <c r="Q20" s="131"/>
      <c r="R20" s="130"/>
    </row>
    <row r="21" spans="1:18">
      <c r="B21" s="247"/>
      <c r="C21" s="108"/>
      <c r="D21" s="103" t="str" cm="1">
        <f t="array" ref="D21">IFERROR(INDEX(Koosseisud!I:I, SMALL(IF(Koosseisud!H:H=Loosileht!$D$11, ROW(Koosseisud!I:I)), ROW(10:10))), "")</f>
        <v/>
      </c>
      <c r="F21" s="104" t="s">
        <v>482</v>
      </c>
      <c r="G21" s="107" t="s">
        <v>483</v>
      </c>
      <c r="I21" s="132"/>
      <c r="J21" s="132"/>
      <c r="K21" s="132"/>
      <c r="L21" s="132"/>
      <c r="M21" s="132"/>
      <c r="N21" s="132"/>
      <c r="O21" s="131"/>
      <c r="P21" s="131"/>
      <c r="Q21" s="131"/>
      <c r="R21" s="130"/>
    </row>
    <row r="22" spans="1:18">
      <c r="B22" s="109"/>
      <c r="C22" s="110"/>
      <c r="D22" s="111"/>
      <c r="F22" s="112"/>
      <c r="G22" s="113" t="s">
        <v>484</v>
      </c>
      <c r="I22" s="132"/>
      <c r="J22" s="132"/>
      <c r="K22" s="132"/>
      <c r="L22" s="132"/>
      <c r="M22" s="132"/>
      <c r="N22" s="132"/>
      <c r="O22" s="131"/>
      <c r="P22" s="131"/>
      <c r="Q22" s="131"/>
      <c r="R22" s="130"/>
    </row>
    <row r="23" spans="1:18">
      <c r="B23" s="114" t="s">
        <v>485</v>
      </c>
      <c r="I23" s="132"/>
      <c r="J23" s="132"/>
      <c r="K23" s="132"/>
      <c r="L23" s="132"/>
      <c r="M23" s="132"/>
      <c r="N23" s="132"/>
      <c r="O23" s="131"/>
      <c r="P23" s="131"/>
      <c r="Q23" s="131"/>
      <c r="R23" s="130"/>
    </row>
    <row r="24" spans="1:18">
      <c r="C24" s="115" t="s">
        <v>486</v>
      </c>
      <c r="D24" s="116"/>
    </row>
    <row r="25" spans="1:18" ht="15.75" thickBot="1">
      <c r="A25" s="117"/>
      <c r="B25" s="117"/>
      <c r="C25" s="117"/>
      <c r="D25" s="117"/>
      <c r="E25" s="117"/>
      <c r="F25" s="117"/>
      <c r="G25" s="117"/>
    </row>
    <row r="27" spans="1:18">
      <c r="B27" s="87" t="s">
        <v>26</v>
      </c>
      <c r="C27" s="87"/>
      <c r="D27" s="87"/>
      <c r="E27" s="87"/>
      <c r="F27" s="87"/>
      <c r="G27" s="87"/>
    </row>
    <row r="28" spans="1:18">
      <c r="B28" s="76"/>
      <c r="C28" s="76"/>
      <c r="D28" s="76"/>
      <c r="E28" s="76"/>
      <c r="F28" s="76"/>
      <c r="G28" s="76"/>
    </row>
    <row r="29" spans="1:18">
      <c r="C29" s="118" t="str">
        <f>$C$3</f>
        <v>EESTI VÕISTKONDLIKUD MV 2024/2025 MEISTRILIIGA</v>
      </c>
      <c r="E29" s="88"/>
      <c r="F29" s="88"/>
    </row>
    <row r="30" spans="1:18">
      <c r="C30" s="89"/>
      <c r="D30" s="77" t="s">
        <v>28</v>
      </c>
      <c r="E30" s="89"/>
      <c r="F30" s="89"/>
      <c r="G30" s="89"/>
    </row>
    <row r="31" spans="1:18">
      <c r="B31" s="90"/>
      <c r="C31" s="90"/>
      <c r="D31" s="90"/>
      <c r="E31" s="90"/>
      <c r="F31" s="90"/>
      <c r="G31" s="90"/>
    </row>
    <row r="32" spans="1:18">
      <c r="C32" s="18"/>
      <c r="D32" s="91" t="s">
        <v>474</v>
      </c>
      <c r="E32" s="18"/>
      <c r="F32" s="18"/>
      <c r="G32" s="18"/>
    </row>
    <row r="33" spans="2:7">
      <c r="B33" s="92"/>
      <c r="C33" s="92"/>
      <c r="D33" s="92"/>
      <c r="E33" s="92"/>
      <c r="F33" s="92"/>
      <c r="G33" s="92"/>
    </row>
    <row r="34" spans="2:7">
      <c r="B34" s="80" t="s">
        <v>27</v>
      </c>
      <c r="C34" s="19" t="str">
        <f>$C$8</f>
        <v>Meistriliiga</v>
      </c>
      <c r="F34" s="80" t="s">
        <v>29</v>
      </c>
      <c r="G34" s="93">
        <f>$G$8</f>
        <v>45745</v>
      </c>
    </row>
    <row r="35" spans="2:7">
      <c r="B35" s="80" t="s">
        <v>31</v>
      </c>
      <c r="C35" s="94" t="str">
        <f>$C$9</f>
        <v>I</v>
      </c>
      <c r="F35" s="80" t="s">
        <v>475</v>
      </c>
      <c r="G35" s="95" t="str">
        <f>$G$9</f>
        <v>10:00</v>
      </c>
    </row>
    <row r="36" spans="2:7" ht="15.75" thickBot="1">
      <c r="F36" s="96" t="s">
        <v>476</v>
      </c>
      <c r="G36" s="95" t="str">
        <f>$G$10</f>
        <v>09:45</v>
      </c>
    </row>
    <row r="37" spans="2:7" ht="16.5" thickTop="1" thickBot="1">
      <c r="B37" s="97" t="s">
        <v>477</v>
      </c>
      <c r="C37" s="98"/>
      <c r="D37" s="99" t="str">
        <f>IF(C35="I",I_voor_4p!G37,IF(C35="II",II_voor_4p!G37,IF(C35="III",III_voor_4p!G37)))</f>
        <v>Viimsi LTK/EM-SERV</v>
      </c>
      <c r="F37" s="100" t="s">
        <v>478</v>
      </c>
      <c r="G37" s="101"/>
    </row>
    <row r="38" spans="2:7" ht="15.75" thickTop="1">
      <c r="B38" s="246" t="s">
        <v>479</v>
      </c>
      <c r="C38" s="102"/>
      <c r="D38" s="103" t="str" cm="1">
        <f t="array" ref="D38">IFERROR(INDEX(Koosseisud!I:I, SMALL(IF(Koosseisud!H:H=Loosileht!$D$37, ROW(Koosseisud!I:I)), ROW(1:1))), "")</f>
        <v>Pert Marten LEHTLAAN</v>
      </c>
      <c r="F38" s="248" t="s">
        <v>480</v>
      </c>
      <c r="G38" s="249"/>
    </row>
    <row r="39" spans="2:7" ht="15" customHeight="1">
      <c r="B39" s="247"/>
      <c r="C39" s="102"/>
      <c r="D39" s="103" t="str" cm="1">
        <f t="array" ref="D39">IFERROR(INDEX(Koosseisud!I:I, SMALL(IF(Koosseisud!H:H=Loosileht!$D$37, ROW(Koosseisud!I:I)), ROW(2:2))), "")</f>
        <v>Ilmar VUHKA</v>
      </c>
      <c r="F39" s="250" t="s">
        <v>45</v>
      </c>
      <c r="G39" s="251"/>
    </row>
    <row r="40" spans="2:7">
      <c r="B40" s="247"/>
      <c r="C40" s="102"/>
      <c r="D40" s="103" t="str" cm="1">
        <f t="array" ref="D40">IFERROR(INDEX(Koosseisud!I:I, SMALL(IF(Koosseisud!H:H=Loosileht!$D$37, ROW(Koosseisud!I:I)), ROW(3:3))), "")</f>
        <v>Aleksei NIKONOROV</v>
      </c>
      <c r="F40" s="250" t="s">
        <v>46</v>
      </c>
      <c r="G40" s="251"/>
    </row>
    <row r="41" spans="2:7">
      <c r="B41" s="247"/>
      <c r="C41" s="102"/>
      <c r="D41" s="103" t="str" cm="1">
        <f t="array" ref="D41">IFERROR(INDEX(Koosseisud!I:I, SMALL(IF(Koosseisud!H:H=Loosileht!$D$37, ROW(Koosseisud!I:I)), ROW(4:4))), "")</f>
        <v>Raimond EINER</v>
      </c>
      <c r="F41" s="250" t="s">
        <v>47</v>
      </c>
      <c r="G41" s="251"/>
    </row>
    <row r="42" spans="2:7">
      <c r="B42" s="247"/>
      <c r="C42" s="102"/>
      <c r="D42" s="103" t="str" cm="1">
        <f t="array" ref="D42">IFERROR(INDEX(Koosseisud!I:I, SMALL(IF(Koosseisud!H:H=Loosileht!$D$37, ROW(Koosseisud!I:I)), ROW(5:5))), "")</f>
        <v>Daniels KOGANS</v>
      </c>
      <c r="F42" s="250" t="s">
        <v>481</v>
      </c>
      <c r="G42" s="251"/>
    </row>
    <row r="43" spans="2:7">
      <c r="B43" s="247"/>
      <c r="C43" s="102"/>
      <c r="D43" s="103" t="str" cm="1">
        <f t="array" ref="D43">IFERROR(INDEX(Koosseisud!I:I, SMALL(IF(Koosseisud!H:H=Loosileht!$D$37, ROW(Koosseisud!I:I)), ROW(6:6))), "")</f>
        <v>Aleksi RÄSÄNEN</v>
      </c>
      <c r="F43" s="250" t="s">
        <v>48</v>
      </c>
      <c r="G43" s="251"/>
    </row>
    <row r="44" spans="2:7">
      <c r="B44" s="247"/>
      <c r="C44" s="102"/>
      <c r="D44" s="103" t="str" cm="1">
        <f t="array" ref="D44">IFERROR(INDEX(Koosseisud!I:I, SMALL(IF(Koosseisud!H:H=Loosileht!$D$37, ROW(Koosseisud!I:I)), ROW(7:7))), "")</f>
        <v>Daniel LINDSÖ</v>
      </c>
      <c r="F44" s="250" t="s">
        <v>49</v>
      </c>
      <c r="G44" s="251"/>
    </row>
    <row r="45" spans="2:7">
      <c r="B45" s="247"/>
      <c r="C45" s="102"/>
      <c r="D45" s="103" t="str" cm="1">
        <f t="array" ref="D45">IFERROR(INDEX(Koosseisud!I:I, SMALL(IF(Koosseisud!H:H=Loosileht!$D$37, ROW(Koosseisud!I:I)), ROW(8:8))), "")</f>
        <v/>
      </c>
      <c r="F45" s="250" t="s">
        <v>50</v>
      </c>
      <c r="G45" s="251"/>
    </row>
    <row r="46" spans="2:7">
      <c r="B46" s="247"/>
      <c r="C46" s="102"/>
      <c r="D46" s="103" t="str" cm="1">
        <f t="array" ref="D46">IFERROR(INDEX(Koosseisud!I:I, SMALL(IF(Koosseisud!H:H=Loosileht!$D$37, ROW(Koosseisud!I:I)), ROW(9:9))), "")</f>
        <v/>
      </c>
      <c r="F46" s="106"/>
      <c r="G46" s="107"/>
    </row>
    <row r="47" spans="2:7">
      <c r="B47" s="247"/>
      <c r="C47" s="102"/>
      <c r="D47" s="103" t="str" cm="1">
        <f t="array" ref="D47">IFERROR(INDEX(Koosseisud!I:I, SMALL(IF(Koosseisud!H:H=Loosileht!$D$37, ROW(Koosseisud!I:I)), ROW(10:10))), "")</f>
        <v/>
      </c>
      <c r="F47" s="104" t="s">
        <v>482</v>
      </c>
      <c r="G47" s="107" t="s">
        <v>483</v>
      </c>
    </row>
    <row r="48" spans="2:7">
      <c r="F48" s="112"/>
      <c r="G48" s="113" t="s">
        <v>484</v>
      </c>
    </row>
    <row r="49" spans="2:7">
      <c r="B49" s="114" t="s">
        <v>485</v>
      </c>
    </row>
    <row r="50" spans="2:7">
      <c r="C50" s="115" t="s">
        <v>486</v>
      </c>
      <c r="D50" s="116"/>
    </row>
    <row r="51" spans="2:7">
      <c r="B51" s="87" t="s">
        <v>26</v>
      </c>
      <c r="C51" s="87"/>
      <c r="D51" s="87"/>
      <c r="E51" s="87"/>
      <c r="F51" s="87"/>
      <c r="G51" s="87"/>
    </row>
    <row r="52" spans="2:7">
      <c r="B52" s="76"/>
      <c r="C52" s="76"/>
      <c r="D52" s="76"/>
      <c r="E52" s="76"/>
      <c r="F52" s="76"/>
      <c r="G52" s="76"/>
    </row>
    <row r="53" spans="2:7">
      <c r="C53" s="118" t="str">
        <f>$C$3</f>
        <v>EESTI VÕISTKONDLIKUD MV 2024/2025 MEISTRILIIGA</v>
      </c>
      <c r="D53" s="88"/>
      <c r="E53" s="88"/>
      <c r="F53" s="88"/>
    </row>
    <row r="54" spans="2:7">
      <c r="C54" s="89"/>
      <c r="D54" s="77" t="s">
        <v>28</v>
      </c>
      <c r="E54" s="89"/>
      <c r="F54" s="89"/>
      <c r="G54" s="89"/>
    </row>
    <row r="55" spans="2:7">
      <c r="B55" s="90"/>
      <c r="C55" s="90"/>
      <c r="D55" s="90"/>
      <c r="E55" s="90"/>
      <c r="F55" s="90"/>
      <c r="G55" s="90"/>
    </row>
    <row r="56" spans="2:7">
      <c r="C56" s="18"/>
      <c r="D56" s="91" t="s">
        <v>474</v>
      </c>
      <c r="E56" s="18"/>
      <c r="F56" s="18"/>
      <c r="G56" s="18"/>
    </row>
    <row r="57" spans="2:7">
      <c r="B57" s="92"/>
      <c r="C57" s="92"/>
      <c r="D57" s="92"/>
      <c r="E57" s="92"/>
      <c r="F57" s="92"/>
      <c r="G57" s="92"/>
    </row>
    <row r="58" spans="2:7">
      <c r="B58" s="80" t="s">
        <v>27</v>
      </c>
      <c r="C58" s="19" t="str">
        <f>$C$8</f>
        <v>Meistriliiga</v>
      </c>
      <c r="F58" s="80" t="s">
        <v>29</v>
      </c>
      <c r="G58" s="93">
        <f>$G$8</f>
        <v>45745</v>
      </c>
    </row>
    <row r="59" spans="2:7">
      <c r="B59" s="80" t="s">
        <v>31</v>
      </c>
      <c r="C59" s="94" t="str">
        <f>$C$9</f>
        <v>I</v>
      </c>
      <c r="F59" s="80" t="s">
        <v>475</v>
      </c>
      <c r="G59" s="95" t="str">
        <f>$G$9</f>
        <v>10:00</v>
      </c>
    </row>
    <row r="60" spans="2:7" ht="15.75" thickBot="1">
      <c r="F60" s="96" t="s">
        <v>476</v>
      </c>
      <c r="G60" s="95" t="str">
        <f>$G$10</f>
        <v>09:45</v>
      </c>
    </row>
    <row r="61" spans="2:7" ht="16.5" thickTop="1" thickBot="1">
      <c r="B61" s="97" t="s">
        <v>477</v>
      </c>
      <c r="C61" s="98"/>
      <c r="D61" s="99" t="str">
        <f>IF(C59="I",I_voor_4p!G67,IF(C59="II",II_voor_4p!G67,IF(C59="III",III_voor_4p!G67)))</f>
        <v>LTK Kalev/Radiaatorikeskus</v>
      </c>
      <c r="F61" s="100" t="s">
        <v>478</v>
      </c>
      <c r="G61" s="101"/>
    </row>
    <row r="62" spans="2:7" ht="15.75" thickTop="1">
      <c r="B62" s="246" t="s">
        <v>479</v>
      </c>
      <c r="C62" s="102"/>
      <c r="D62" s="103" t="str" cm="1">
        <f t="array" ref="D62">IFERROR(INDEX(Koosseisud!I:I, SMALL(IF(Koosseisud!H:H=Loosileht!$D$61, ROW(Koosseisud!I:I)), ROW(1:1))), "")</f>
        <v>Andrei SIREL</v>
      </c>
      <c r="F62" s="248" t="s">
        <v>480</v>
      </c>
      <c r="G62" s="249"/>
    </row>
    <row r="63" spans="2:7">
      <c r="B63" s="247"/>
      <c r="C63" s="105"/>
      <c r="D63" s="103" t="str" cm="1">
        <f t="array" ref="D63">IFERROR(INDEX(Koosseisud!I:I, SMALL(IF(Koosseisud!H:H=Loosileht!$D$61, ROW(Koosseisud!I:I)), ROW(2:2))), "")</f>
        <v>Allan KOTTISE</v>
      </c>
      <c r="F63" s="250" t="s">
        <v>45</v>
      </c>
      <c r="G63" s="251"/>
    </row>
    <row r="64" spans="2:7">
      <c r="B64" s="247"/>
      <c r="C64" s="105"/>
      <c r="D64" s="103" t="str" cm="1">
        <f t="array" ref="D64">IFERROR(INDEX(Koosseisud!I:I, SMALL(IF(Koosseisud!H:H=Loosileht!$D$61, ROW(Koosseisud!I:I)), ROW(3:3))), "")</f>
        <v>Kristjan KANT</v>
      </c>
      <c r="F64" s="250" t="s">
        <v>46</v>
      </c>
      <c r="G64" s="251"/>
    </row>
    <row r="65" spans="1:7">
      <c r="B65" s="247"/>
      <c r="C65" s="105"/>
      <c r="D65" s="103" t="str" cm="1">
        <f t="array" ref="D65">IFERROR(INDEX(Koosseisud!I:I, SMALL(IF(Koosseisud!H:H=Loosileht!$D$61, ROW(Koosseisud!I:I)), ROW(4:4))), "")</f>
        <v>Martin KRAIKO</v>
      </c>
      <c r="F65" s="250" t="s">
        <v>47</v>
      </c>
      <c r="G65" s="251"/>
    </row>
    <row r="66" spans="1:7">
      <c r="B66" s="247"/>
      <c r="C66" s="105"/>
      <c r="D66" s="103" t="str" cm="1">
        <f t="array" ref="D66">IFERROR(INDEX(Koosseisud!I:I, SMALL(IF(Koosseisud!H:H=Loosileht!$D$61, ROW(Koosseisud!I:I)), ROW(5:5))), "")</f>
        <v>Jorma LAHTINEN</v>
      </c>
      <c r="F66" s="250" t="s">
        <v>481</v>
      </c>
      <c r="G66" s="251"/>
    </row>
    <row r="67" spans="1:7">
      <c r="B67" s="247"/>
      <c r="C67" s="105"/>
      <c r="D67" s="103" t="str" cm="1">
        <f t="array" ref="D67">IFERROR(INDEX(Koosseisud!I:I, SMALL(IF(Koosseisud!H:H=Loosileht!$D$61, ROW(Koosseisud!I:I)), ROW(6:6))), "")</f>
        <v/>
      </c>
      <c r="F67" s="250" t="s">
        <v>48</v>
      </c>
      <c r="G67" s="251"/>
    </row>
    <row r="68" spans="1:7">
      <c r="B68" s="247"/>
      <c r="C68" s="105"/>
      <c r="D68" s="103" t="str" cm="1">
        <f t="array" ref="D68">IFERROR(INDEX(Koosseisud!I:I, SMALL(IF(Koosseisud!H:H=Loosileht!$D$61, ROW(Koosseisud!I:I)), ROW(7:7))), "")</f>
        <v/>
      </c>
      <c r="F68" s="250" t="s">
        <v>49</v>
      </c>
      <c r="G68" s="251"/>
    </row>
    <row r="69" spans="1:7">
      <c r="B69" s="247"/>
      <c r="C69" s="105"/>
      <c r="D69" s="103" t="str" cm="1">
        <f t="array" ref="D69">IFERROR(INDEX(Koosseisud!I:I, SMALL(IF(Koosseisud!H:H=Loosileht!$D$61, ROW(Koosseisud!I:I)), ROW(8:8))), "")</f>
        <v/>
      </c>
      <c r="F69" s="250" t="s">
        <v>50</v>
      </c>
      <c r="G69" s="251"/>
    </row>
    <row r="70" spans="1:7">
      <c r="B70" s="247"/>
      <c r="C70" s="105"/>
      <c r="D70" s="103" t="str" cm="1">
        <f t="array" ref="D70">IFERROR(INDEX(Koosseisud!I:I, SMALL(IF(Koosseisud!H:H=Loosileht!$D$61, ROW(Koosseisud!I:I)), ROW(9:9))), "")</f>
        <v/>
      </c>
      <c r="F70" s="106"/>
      <c r="G70" s="107"/>
    </row>
    <row r="71" spans="1:7">
      <c r="B71" s="247"/>
      <c r="C71" s="105"/>
      <c r="D71" s="103" t="str" cm="1">
        <f t="array" ref="D71">IFERROR(INDEX(Koosseisud!I:I, SMALL(IF(Koosseisud!H:H=Loosileht!$D$61, ROW(Koosseisud!I:I)), ROW(10:10))), "")</f>
        <v/>
      </c>
      <c r="F71" s="104" t="s">
        <v>482</v>
      </c>
      <c r="G71" s="107" t="s">
        <v>483</v>
      </c>
    </row>
    <row r="72" spans="1:7">
      <c r="B72" s="109"/>
      <c r="F72" s="112"/>
      <c r="G72" s="113" t="s">
        <v>484</v>
      </c>
    </row>
    <row r="73" spans="1:7">
      <c r="B73" s="114" t="s">
        <v>485</v>
      </c>
    </row>
    <row r="74" spans="1:7">
      <c r="B74" s="109"/>
      <c r="C74" s="115" t="s">
        <v>486</v>
      </c>
      <c r="D74" s="116"/>
    </row>
    <row r="75" spans="1:7" ht="15.75" thickBot="1">
      <c r="A75" s="117"/>
      <c r="B75" s="117"/>
      <c r="C75" s="117"/>
      <c r="D75" s="117"/>
      <c r="E75" s="117"/>
      <c r="F75" s="117"/>
      <c r="G75" s="117"/>
    </row>
    <row r="77" spans="1:7">
      <c r="B77" s="87" t="s">
        <v>26</v>
      </c>
      <c r="C77" s="87"/>
      <c r="D77" s="87"/>
      <c r="E77" s="87"/>
      <c r="F77" s="87"/>
      <c r="G77" s="87"/>
    </row>
    <row r="78" spans="1:7">
      <c r="B78" s="76"/>
      <c r="C78" s="76"/>
      <c r="D78" s="76"/>
      <c r="E78" s="76"/>
      <c r="F78" s="76"/>
      <c r="G78" s="76"/>
    </row>
    <row r="79" spans="1:7">
      <c r="C79" s="118" t="str">
        <f>$C$3</f>
        <v>EESTI VÕISTKONDLIKUD MV 2024/2025 MEISTRILIIGA</v>
      </c>
      <c r="E79" s="88"/>
      <c r="F79" s="88"/>
    </row>
    <row r="80" spans="1:7">
      <c r="C80" s="89"/>
      <c r="D80" s="77" t="s">
        <v>28</v>
      </c>
      <c r="E80" s="89"/>
      <c r="F80" s="89"/>
      <c r="G80" s="89"/>
    </row>
    <row r="81" spans="2:7">
      <c r="B81" s="90"/>
      <c r="C81" s="90"/>
      <c r="D81" s="90"/>
      <c r="E81" s="90"/>
      <c r="F81" s="90"/>
      <c r="G81" s="90"/>
    </row>
    <row r="82" spans="2:7">
      <c r="C82" s="18"/>
      <c r="D82" s="91" t="s">
        <v>474</v>
      </c>
      <c r="E82" s="18"/>
      <c r="F82" s="18"/>
      <c r="G82" s="18"/>
    </row>
    <row r="83" spans="2:7">
      <c r="B83" s="92"/>
      <c r="C83" s="92"/>
      <c r="D83" s="92"/>
      <c r="E83" s="92"/>
      <c r="F83" s="92"/>
      <c r="G83" s="92"/>
    </row>
    <row r="84" spans="2:7">
      <c r="B84" s="80" t="s">
        <v>27</v>
      </c>
      <c r="C84" s="19" t="str">
        <f>$C$8</f>
        <v>Meistriliiga</v>
      </c>
      <c r="F84" s="80" t="s">
        <v>29</v>
      </c>
      <c r="G84" s="93">
        <f>$G$8</f>
        <v>45745</v>
      </c>
    </row>
    <row r="85" spans="2:7">
      <c r="B85" s="80" t="s">
        <v>31</v>
      </c>
      <c r="C85" s="94" t="str">
        <f>$C$9</f>
        <v>I</v>
      </c>
      <c r="F85" s="80" t="s">
        <v>475</v>
      </c>
      <c r="G85" s="95" t="str">
        <f>$G$9</f>
        <v>10:00</v>
      </c>
    </row>
    <row r="86" spans="2:7" ht="15.75" thickBot="1">
      <c r="F86" s="96" t="s">
        <v>476</v>
      </c>
      <c r="G86" s="95" t="str">
        <f>$G$10</f>
        <v>09:45</v>
      </c>
    </row>
    <row r="87" spans="2:7" ht="16.5" thickTop="1" thickBot="1">
      <c r="B87" s="97" t="s">
        <v>477</v>
      </c>
      <c r="C87" s="98"/>
      <c r="D87" s="99" t="str">
        <f>IF(C85="I",I_voor_4p!G97,IF(C85="II",II_voor_4p!G97,IF(C85="III",III_voor_4p!G97)))</f>
        <v>Tartu SS Kalev</v>
      </c>
      <c r="F87" s="100" t="s">
        <v>478</v>
      </c>
      <c r="G87" s="101"/>
    </row>
    <row r="88" spans="2:7" ht="15.75" thickTop="1">
      <c r="B88" s="246" t="s">
        <v>479</v>
      </c>
      <c r="C88" s="102"/>
      <c r="D88" s="103" t="str" cm="1">
        <f t="array" ref="D88">IFERROR(INDEX(Koosseisud!I:I, SMALL(IF(Koosseisud!H:H=Loosileht!$D$87, ROW(Koosseisud!I:I)), ROW(1:1))), "")</f>
        <v>Markkos PUKK</v>
      </c>
      <c r="F88" s="248" t="s">
        <v>480</v>
      </c>
      <c r="G88" s="249"/>
    </row>
    <row r="89" spans="2:7">
      <c r="B89" s="247"/>
      <c r="C89" s="105"/>
      <c r="D89" s="103" t="str" cm="1">
        <f t="array" ref="D89">IFERROR(INDEX(Koosseisud!I:I, SMALL(IF(Koosseisud!H:H=Loosileht!$D$87, ROW(Koosseisud!I:I)), ROW(2:2))), "")</f>
        <v>Osqar PUKK</v>
      </c>
      <c r="F89" s="250" t="s">
        <v>45</v>
      </c>
      <c r="G89" s="251"/>
    </row>
    <row r="90" spans="2:7">
      <c r="B90" s="247"/>
      <c r="C90" s="105"/>
      <c r="D90" s="103" t="str" cm="1">
        <f t="array" ref="D90">IFERROR(INDEX(Koosseisud!I:I, SMALL(IF(Koosseisud!H:H=Loosileht!$D$87, ROW(Koosseisud!I:I)), ROW(3:3))), "")</f>
        <v>Raini TSÄKO</v>
      </c>
      <c r="F90" s="250" t="s">
        <v>46</v>
      </c>
      <c r="G90" s="251"/>
    </row>
    <row r="91" spans="2:7">
      <c r="B91" s="247"/>
      <c r="C91" s="105"/>
      <c r="D91" s="103" t="str" cm="1">
        <f t="array" ref="D91">IFERROR(INDEX(Koosseisud!I:I, SMALL(IF(Koosseisud!H:H=Loosileht!$D$87, ROW(Koosseisud!I:I)), ROW(4:4))), "")</f>
        <v>Arttu Antero PIHKALA</v>
      </c>
      <c r="F91" s="250" t="s">
        <v>47</v>
      </c>
      <c r="G91" s="251"/>
    </row>
    <row r="92" spans="2:7">
      <c r="B92" s="247"/>
      <c r="C92" s="105"/>
      <c r="D92" s="103" t="str" cm="1">
        <f t="array" ref="D92">IFERROR(INDEX(Koosseisud!I:I, SMALL(IF(Koosseisud!H:H=Loosileht!$D$87, ROW(Koosseisud!I:I)), ROW(5:5))), "")</f>
        <v>Veiko KIBENA</v>
      </c>
      <c r="F92" s="250" t="s">
        <v>481</v>
      </c>
      <c r="G92" s="251"/>
    </row>
    <row r="93" spans="2:7">
      <c r="B93" s="247"/>
      <c r="C93" s="105"/>
      <c r="D93" s="103" t="str" cm="1">
        <f t="array" ref="D93">IFERROR(INDEX(Koosseisud!I:I, SMALL(IF(Koosseisud!H:H=Loosileht!$D$87, ROW(Koosseisud!I:I)), ROW(6:6))), "")</f>
        <v>Mart LUUK</v>
      </c>
      <c r="F93" s="250" t="s">
        <v>48</v>
      </c>
      <c r="G93" s="251"/>
    </row>
    <row r="94" spans="2:7">
      <c r="B94" s="247"/>
      <c r="C94" s="105"/>
      <c r="D94" s="103" t="str" cm="1">
        <f t="array" ref="D94">IFERROR(INDEX(Koosseisud!I:I, SMALL(IF(Koosseisud!H:H=Loosileht!$D$87, ROW(Koosseisud!I:I)), ROW(7:7))), "")</f>
        <v/>
      </c>
      <c r="F94" s="250" t="s">
        <v>49</v>
      </c>
      <c r="G94" s="251"/>
    </row>
    <row r="95" spans="2:7">
      <c r="B95" s="247"/>
      <c r="C95" s="105"/>
      <c r="D95" s="103" t="str" cm="1">
        <f t="array" ref="D95">IFERROR(INDEX(Koosseisud!I:I, SMALL(IF(Koosseisud!H:H=Loosileht!$D$87, ROW(Koosseisud!I:I)), ROW(8:8))), "")</f>
        <v/>
      </c>
      <c r="F95" s="250" t="s">
        <v>50</v>
      </c>
      <c r="G95" s="251"/>
    </row>
    <row r="96" spans="2:7">
      <c r="B96" s="247"/>
      <c r="C96" s="105"/>
      <c r="D96" s="103" t="str" cm="1">
        <f t="array" ref="D96">IFERROR(INDEX(Koosseisud!I:I, SMALL(IF(Koosseisud!H:H=Loosileht!$D$87, ROW(Koosseisud!I:I)), ROW(9:9))), "")</f>
        <v/>
      </c>
      <c r="F96" s="106"/>
      <c r="G96" s="107"/>
    </row>
    <row r="97" spans="2:7">
      <c r="B97" s="247"/>
      <c r="C97" s="105"/>
      <c r="D97" s="103" t="str" cm="1">
        <f t="array" ref="D97">IFERROR(INDEX(Koosseisud!I:I, SMALL(IF(Koosseisud!H:H=Loosileht!$D$87, ROW(Koosseisud!I:I)), ROW(10:10))), "")</f>
        <v/>
      </c>
      <c r="F97" s="104" t="s">
        <v>482</v>
      </c>
      <c r="G97" s="107" t="s">
        <v>483</v>
      </c>
    </row>
    <row r="98" spans="2:7">
      <c r="F98" s="112"/>
      <c r="G98" s="113" t="s">
        <v>484</v>
      </c>
    </row>
    <row r="99" spans="2:7">
      <c r="B99" s="114" t="s">
        <v>485</v>
      </c>
    </row>
    <row r="100" spans="2:7">
      <c r="C100" s="115" t="s">
        <v>486</v>
      </c>
      <c r="D100" s="116"/>
    </row>
    <row r="101" spans="2:7">
      <c r="B101" s="87" t="s">
        <v>26</v>
      </c>
      <c r="C101" s="87"/>
      <c r="D101" s="87"/>
      <c r="E101" s="87"/>
      <c r="F101" s="87"/>
      <c r="G101" s="87"/>
    </row>
    <row r="102" spans="2:7">
      <c r="B102" s="76"/>
      <c r="C102" s="76"/>
      <c r="D102" s="76"/>
      <c r="E102" s="76"/>
      <c r="F102" s="76"/>
      <c r="G102" s="76"/>
    </row>
    <row r="103" spans="2:7">
      <c r="C103" s="118" t="str">
        <f>$C$3</f>
        <v>EESTI VÕISTKONDLIKUD MV 2024/2025 MEISTRILIIGA</v>
      </c>
      <c r="D103" s="88"/>
      <c r="E103" s="88"/>
      <c r="F103" s="88"/>
    </row>
    <row r="104" spans="2:7">
      <c r="C104" s="89"/>
      <c r="D104" s="77" t="s">
        <v>28</v>
      </c>
      <c r="E104" s="89"/>
      <c r="F104" s="89"/>
      <c r="G104" s="89"/>
    </row>
    <row r="105" spans="2:7">
      <c r="B105" s="90"/>
      <c r="C105" s="90"/>
      <c r="D105" s="90"/>
      <c r="E105" s="90"/>
      <c r="F105" s="90"/>
      <c r="G105" s="90"/>
    </row>
    <row r="106" spans="2:7">
      <c r="C106" s="18"/>
      <c r="D106" s="91" t="s">
        <v>474</v>
      </c>
      <c r="E106" s="18"/>
      <c r="F106" s="18"/>
      <c r="G106" s="18"/>
    </row>
    <row r="107" spans="2:7">
      <c r="B107" s="92"/>
      <c r="C107" s="92"/>
      <c r="D107" s="92"/>
      <c r="E107" s="92"/>
      <c r="F107" s="92"/>
      <c r="G107" s="92"/>
    </row>
    <row r="108" spans="2:7">
      <c r="B108" s="80" t="s">
        <v>27</v>
      </c>
      <c r="C108" s="19" t="str">
        <f>$C$8</f>
        <v>Meistriliiga</v>
      </c>
      <c r="F108" s="80" t="s">
        <v>29</v>
      </c>
      <c r="G108" s="93">
        <f>$G$8</f>
        <v>45745</v>
      </c>
    </row>
    <row r="109" spans="2:7">
      <c r="B109" s="80" t="s">
        <v>31</v>
      </c>
      <c r="C109" s="94" t="str">
        <f>$C$9</f>
        <v>I</v>
      </c>
      <c r="F109" s="80" t="s">
        <v>475</v>
      </c>
      <c r="G109" s="95" t="str">
        <f>$G$9</f>
        <v>10:00</v>
      </c>
    </row>
    <row r="110" spans="2:7" ht="15.75" thickBot="1">
      <c r="F110" s="96" t="s">
        <v>476</v>
      </c>
      <c r="G110" s="95" t="str">
        <f>$G$10</f>
        <v>09:45</v>
      </c>
    </row>
    <row r="111" spans="2:7" ht="16.5" thickTop="1" thickBot="1">
      <c r="B111" s="97" t="s">
        <v>477</v>
      </c>
      <c r="C111" s="98"/>
      <c r="D111" s="99" t="str">
        <f>IF(C109="I",I_voor_4p!R7,IF(C109="II",II_voor_4p!R7,IF(C109="III",III_voor_4p!R7)))</f>
        <v>Viimsi PINX</v>
      </c>
      <c r="F111" s="100" t="s">
        <v>478</v>
      </c>
      <c r="G111" s="101"/>
    </row>
    <row r="112" spans="2:7" ht="15.75" thickTop="1">
      <c r="B112" s="246" t="s">
        <v>479</v>
      </c>
      <c r="C112" s="102"/>
      <c r="D112" s="103" t="str" cm="1">
        <f t="array" ref="D112">IFERROR(INDEX(Koosseisud!I:I, SMALL(IF(Koosseisud!H:H=Loosileht!$D$111, ROW(Koosseisud!I:I)), ROW(1:1))), "")</f>
        <v>Sergei PETROV</v>
      </c>
      <c r="F112" s="248" t="s">
        <v>480</v>
      </c>
      <c r="G112" s="249"/>
    </row>
    <row r="113" spans="1:7">
      <c r="B113" s="247"/>
      <c r="C113" s="105"/>
      <c r="D113" s="103" t="str" cm="1">
        <f t="array" ref="D113">IFERROR(INDEX(Koosseisud!I:I, SMALL(IF(Koosseisud!H:H=Loosileht!$D$111, ROW(Koosseisud!I:I)), ROW(2:2))), "")</f>
        <v>Maksim VUHKA</v>
      </c>
      <c r="F113" s="250" t="s">
        <v>45</v>
      </c>
      <c r="G113" s="251"/>
    </row>
    <row r="114" spans="1:7">
      <c r="B114" s="247"/>
      <c r="C114" s="105"/>
      <c r="D114" s="103" t="str" cm="1">
        <f t="array" ref="D114">IFERROR(INDEX(Koosseisud!I:I, SMALL(IF(Koosseisud!H:H=Loosileht!$D$111, ROW(Koosseisud!I:I)), ROW(3:3))), "")</f>
        <v>Toomas LIBENE</v>
      </c>
      <c r="F114" s="250" t="s">
        <v>46</v>
      </c>
      <c r="G114" s="251"/>
    </row>
    <row r="115" spans="1:7">
      <c r="B115" s="247"/>
      <c r="C115" s="105"/>
      <c r="D115" s="103" t="str" cm="1">
        <f t="array" ref="D115">IFERROR(INDEX(Koosseisud!I:I, SMALL(IF(Koosseisud!H:H=Loosileht!$D$111, ROW(Koosseisud!I:I)), ROW(4:4))), "")</f>
        <v>Carlo ACCORSI</v>
      </c>
      <c r="F115" s="250" t="s">
        <v>47</v>
      </c>
      <c r="G115" s="251"/>
    </row>
    <row r="116" spans="1:7">
      <c r="B116" s="247"/>
      <c r="C116" s="105"/>
      <c r="D116" s="103" t="str" cm="1">
        <f t="array" ref="D116">IFERROR(INDEX(Koosseisud!I:I, SMALL(IF(Koosseisud!H:H=Loosileht!$D$111, ROW(Koosseisud!I:I)), ROW(5:5))), "")</f>
        <v>Daniel KOSIBA</v>
      </c>
      <c r="F116" s="250" t="s">
        <v>481</v>
      </c>
      <c r="G116" s="251"/>
    </row>
    <row r="117" spans="1:7">
      <c r="B117" s="247"/>
      <c r="C117" s="105"/>
      <c r="D117" s="103" t="str" cm="1">
        <f t="array" ref="D117">IFERROR(INDEX(Koosseisud!I:I, SMALL(IF(Koosseisud!H:H=Loosileht!$D$111, ROW(Koosseisud!I:I)), ROW(6:6))), "")</f>
        <v>Dmitri BOBROV</v>
      </c>
      <c r="F117" s="250" t="s">
        <v>48</v>
      </c>
      <c r="G117" s="251"/>
    </row>
    <row r="118" spans="1:7">
      <c r="B118" s="247"/>
      <c r="C118" s="105"/>
      <c r="D118" s="103" t="str" cm="1">
        <f t="array" ref="D118">IFERROR(INDEX(Koosseisud!I:I, SMALL(IF(Koosseisud!H:H=Loosileht!$D$111, ROW(Koosseisud!I:I)), ROW(7:7))), "")</f>
        <v/>
      </c>
      <c r="F118" s="250" t="s">
        <v>49</v>
      </c>
      <c r="G118" s="251"/>
    </row>
    <row r="119" spans="1:7">
      <c r="B119" s="247"/>
      <c r="C119" s="105"/>
      <c r="D119" s="103" t="str" cm="1">
        <f t="array" ref="D119">IFERROR(INDEX(Koosseisud!I:I, SMALL(IF(Koosseisud!H:H=Loosileht!$D$111, ROW(Koosseisud!I:I)), ROW(8:8))), "")</f>
        <v/>
      </c>
      <c r="F119" s="250" t="s">
        <v>50</v>
      </c>
      <c r="G119" s="251"/>
    </row>
    <row r="120" spans="1:7">
      <c r="B120" s="247"/>
      <c r="C120" s="105"/>
      <c r="D120" s="103" t="str" cm="1">
        <f t="array" ref="D120">IFERROR(INDEX(Koosseisud!I:I, SMALL(IF(Koosseisud!H:H=Loosileht!$D$111, ROW(Koosseisud!I:I)), ROW(9:9))), "")</f>
        <v/>
      </c>
      <c r="F120" s="106"/>
      <c r="G120" s="107"/>
    </row>
    <row r="121" spans="1:7">
      <c r="B121" s="247"/>
      <c r="C121" s="105"/>
      <c r="D121" s="103" t="str" cm="1">
        <f t="array" ref="D121">IFERROR(INDEX(Koosseisud!I:I, SMALL(IF(Koosseisud!H:H=Loosileht!$D$111, ROW(Koosseisud!I:I)), ROW(10:10))), "")</f>
        <v/>
      </c>
      <c r="F121" s="104" t="s">
        <v>482</v>
      </c>
      <c r="G121" s="107" t="s">
        <v>483</v>
      </c>
    </row>
    <row r="122" spans="1:7">
      <c r="F122" s="112"/>
      <c r="G122" s="113" t="s">
        <v>484</v>
      </c>
    </row>
    <row r="123" spans="1:7">
      <c r="B123" s="114" t="s">
        <v>485</v>
      </c>
    </row>
    <row r="124" spans="1:7">
      <c r="B124" s="109"/>
      <c r="C124" s="115" t="s">
        <v>486</v>
      </c>
      <c r="D124" s="116"/>
    </row>
    <row r="125" spans="1:7" ht="15.75" thickBot="1">
      <c r="A125" s="117"/>
      <c r="B125" s="117"/>
      <c r="C125" s="117"/>
      <c r="D125" s="117"/>
      <c r="E125" s="117"/>
      <c r="F125" s="117"/>
      <c r="G125" s="117"/>
    </row>
    <row r="127" spans="1:7">
      <c r="B127" s="87" t="s">
        <v>26</v>
      </c>
      <c r="C127" s="87"/>
      <c r="D127" s="87"/>
      <c r="E127" s="87"/>
      <c r="F127" s="87"/>
      <c r="G127" s="87"/>
    </row>
    <row r="128" spans="1:7">
      <c r="B128" s="76"/>
      <c r="C128" s="76"/>
      <c r="D128" s="76"/>
      <c r="E128" s="76"/>
      <c r="F128" s="76"/>
      <c r="G128" s="76"/>
    </row>
    <row r="129" spans="2:7">
      <c r="C129" s="118" t="str">
        <f>$C$3</f>
        <v>EESTI VÕISTKONDLIKUD MV 2024/2025 MEISTRILIIGA</v>
      </c>
      <c r="D129" s="88"/>
      <c r="E129" s="88"/>
      <c r="F129" s="88"/>
    </row>
    <row r="130" spans="2:7">
      <c r="C130" s="89"/>
      <c r="D130" s="77" t="s">
        <v>28</v>
      </c>
      <c r="E130" s="89"/>
      <c r="F130" s="89"/>
      <c r="G130" s="89"/>
    </row>
    <row r="131" spans="2:7">
      <c r="B131" s="90"/>
      <c r="C131" s="90"/>
      <c r="D131" s="90"/>
      <c r="E131" s="90"/>
      <c r="F131" s="90"/>
      <c r="G131" s="90"/>
    </row>
    <row r="132" spans="2:7">
      <c r="C132" s="18"/>
      <c r="D132" s="91" t="s">
        <v>474</v>
      </c>
      <c r="E132" s="18"/>
      <c r="F132" s="18"/>
      <c r="G132" s="18"/>
    </row>
    <row r="133" spans="2:7">
      <c r="B133" s="92"/>
      <c r="C133" s="92"/>
      <c r="D133" s="92"/>
      <c r="E133" s="92"/>
      <c r="F133" s="92"/>
      <c r="G133" s="92"/>
    </row>
    <row r="134" spans="2:7">
      <c r="B134" s="80" t="s">
        <v>27</v>
      </c>
      <c r="C134" s="19" t="str">
        <f>$C$8</f>
        <v>Meistriliiga</v>
      </c>
      <c r="F134" s="80" t="s">
        <v>29</v>
      </c>
      <c r="G134" s="93">
        <f>$G$8</f>
        <v>45745</v>
      </c>
    </row>
    <row r="135" spans="2:7">
      <c r="B135" s="80" t="s">
        <v>31</v>
      </c>
      <c r="C135" s="94" t="str">
        <f>$C$9</f>
        <v>I</v>
      </c>
      <c r="F135" s="80" t="s">
        <v>475</v>
      </c>
      <c r="G135" s="95" t="str">
        <f>$G$9</f>
        <v>10:00</v>
      </c>
    </row>
    <row r="136" spans="2:7" ht="15.75" thickBot="1">
      <c r="F136" s="96" t="s">
        <v>476</v>
      </c>
      <c r="G136" s="95" t="str">
        <f>$G$10</f>
        <v>09:45</v>
      </c>
    </row>
    <row r="137" spans="2:7" ht="16.5" thickTop="1" thickBot="1">
      <c r="B137" s="97" t="s">
        <v>477</v>
      </c>
      <c r="C137" s="98"/>
      <c r="D137" s="99" t="str">
        <f>IF(C135="I",I_voor_4p!R37,IF(C135="II",II_voor_4p!R37,IF(C135="III",III_voor_4p!R37)))</f>
        <v>SPINMASTER</v>
      </c>
      <c r="F137" s="100" t="s">
        <v>478</v>
      </c>
      <c r="G137" s="101"/>
    </row>
    <row r="138" spans="2:7" ht="15.75" thickTop="1">
      <c r="B138" s="246" t="s">
        <v>479</v>
      </c>
      <c r="C138" s="102"/>
      <c r="D138" s="103" t="str" cm="1">
        <f t="array" ref="D138">IFERROR(INDEX(Koosseisud!I:I, SMALL(IF(Koosseisud!H:H=Loosileht!$D$137, ROW(Koosseisud!I:I)), ROW(1:1))), "")</f>
        <v>Kevin KUKK</v>
      </c>
      <c r="F138" s="248" t="s">
        <v>480</v>
      </c>
      <c r="G138" s="249"/>
    </row>
    <row r="139" spans="2:7">
      <c r="B139" s="247"/>
      <c r="C139" s="105"/>
      <c r="D139" s="103" t="str" cm="1">
        <f t="array" ref="D139">IFERROR(INDEX(Koosseisud!I:I, SMALL(IF(Koosseisud!H:H=Loosileht!$D$137, ROW(Koosseisud!I:I)), ROW(2:2))), "")</f>
        <v>Jan Kenneth TOMING</v>
      </c>
      <c r="F139" s="250" t="s">
        <v>45</v>
      </c>
      <c r="G139" s="251"/>
    </row>
    <row r="140" spans="2:7">
      <c r="B140" s="247"/>
      <c r="C140" s="105"/>
      <c r="D140" s="103" t="str" cm="1">
        <f t="array" ref="D140">IFERROR(INDEX(Koosseisud!I:I, SMALL(IF(Koosseisud!H:H=Loosileht!$D$137, ROW(Koosseisud!I:I)), ROW(3:3))), "")</f>
        <v>Sergei KLJUTSENKOV</v>
      </c>
      <c r="F140" s="250" t="s">
        <v>46</v>
      </c>
      <c r="G140" s="251"/>
    </row>
    <row r="141" spans="2:7">
      <c r="B141" s="247"/>
      <c r="C141" s="105"/>
      <c r="D141" s="103" t="str" cm="1">
        <f t="array" ref="D141">IFERROR(INDEX(Koosseisud!I:I, SMALL(IF(Koosseisud!H:H=Loosileht!$D$137, ROW(Koosseisud!I:I)), ROW(4:4))), "")</f>
        <v>Filat ANDREEV</v>
      </c>
      <c r="F141" s="250" t="s">
        <v>47</v>
      </c>
      <c r="G141" s="251"/>
    </row>
    <row r="142" spans="2:7">
      <c r="B142" s="247"/>
      <c r="C142" s="105"/>
      <c r="D142" s="103" t="str" cm="1">
        <f t="array" ref="D142">IFERROR(INDEX(Koosseisud!I:I, SMALL(IF(Koosseisud!H:H=Loosileht!$D$137, ROW(Koosseisud!I:I)), ROW(5:5))), "")</f>
        <v>Elvis LIBENE</v>
      </c>
      <c r="F142" s="250" t="s">
        <v>481</v>
      </c>
      <c r="G142" s="251"/>
    </row>
    <row r="143" spans="2:7">
      <c r="B143" s="247"/>
      <c r="C143" s="105"/>
      <c r="D143" s="103" t="str" cm="1">
        <f t="array" ref="D143">IFERROR(INDEX(Koosseisud!I:I, SMALL(IF(Koosseisud!H:H=Loosileht!$D$137, ROW(Koosseisud!I:I)), ROW(6:6))), "")</f>
        <v>Josef KELLER</v>
      </c>
      <c r="F143" s="250" t="s">
        <v>48</v>
      </c>
      <c r="G143" s="251"/>
    </row>
    <row r="144" spans="2:7">
      <c r="B144" s="247"/>
      <c r="C144" s="105"/>
      <c r="D144" s="103" t="str" cm="1">
        <f t="array" ref="D144">IFERROR(INDEX(Koosseisud!I:I, SMALL(IF(Koosseisud!H:H=Loosileht!$D$137, ROW(Koosseisud!I:I)), ROW(7:7))), "")</f>
        <v>Arturs RUDNIKOVS</v>
      </c>
      <c r="F144" s="250" t="s">
        <v>49</v>
      </c>
      <c r="G144" s="251"/>
    </row>
    <row r="145" spans="2:7">
      <c r="B145" s="247"/>
      <c r="C145" s="105"/>
      <c r="D145" s="103" t="str" cm="1">
        <f t="array" ref="D145">IFERROR(INDEX(Koosseisud!I:I, SMALL(IF(Koosseisud!H:H=Loosileht!$D$137, ROW(Koosseisud!I:I)), ROW(8:8))), "")</f>
        <v>Arturs SPALIS</v>
      </c>
      <c r="F145" s="250" t="s">
        <v>50</v>
      </c>
      <c r="G145" s="251"/>
    </row>
    <row r="146" spans="2:7">
      <c r="B146" s="247"/>
      <c r="C146" s="105"/>
      <c r="D146" s="103" t="str" cm="1">
        <f t="array" ref="D146">IFERROR(INDEX(Koosseisud!I:I, SMALL(IF(Koosseisud!H:H=Loosileht!$D$137, ROW(Koosseisud!I:I)), ROW(9:9))), "")</f>
        <v>Andrejs CEMIRTANS</v>
      </c>
      <c r="F146" s="106"/>
      <c r="G146" s="107"/>
    </row>
    <row r="147" spans="2:7">
      <c r="B147" s="247"/>
      <c r="C147" s="105"/>
      <c r="D147" s="103" t="str" cm="1">
        <f t="array" ref="D147">IFERROR(INDEX(Koosseisud!I:I, SMALL(IF(Koosseisud!H:H=Loosileht!$D$137, ROW(Koosseisud!I:I)), ROW(10:10))), "")</f>
        <v/>
      </c>
      <c r="F147" s="104" t="s">
        <v>482</v>
      </c>
      <c r="G147" s="107" t="s">
        <v>483</v>
      </c>
    </row>
    <row r="148" spans="2:7">
      <c r="F148" s="112"/>
      <c r="G148" s="113" t="s">
        <v>484</v>
      </c>
    </row>
    <row r="149" spans="2:7">
      <c r="B149" s="114" t="s">
        <v>485</v>
      </c>
    </row>
    <row r="150" spans="2:7">
      <c r="C150" s="115" t="s">
        <v>486</v>
      </c>
      <c r="D150" s="116"/>
    </row>
    <row r="151" spans="2:7">
      <c r="B151" s="87" t="s">
        <v>26</v>
      </c>
      <c r="C151" s="87"/>
      <c r="D151" s="87"/>
      <c r="E151" s="87"/>
      <c r="F151" s="87"/>
      <c r="G151" s="87"/>
    </row>
    <row r="152" spans="2:7">
      <c r="B152" s="76"/>
      <c r="C152" s="76"/>
      <c r="D152" s="76"/>
      <c r="E152" s="76"/>
      <c r="F152" s="76"/>
      <c r="G152" s="76"/>
    </row>
    <row r="153" spans="2:7">
      <c r="C153" s="118" t="str">
        <f>$C$3</f>
        <v>EESTI VÕISTKONDLIKUD MV 2024/2025 MEISTRILIIGA</v>
      </c>
      <c r="D153" s="88"/>
      <c r="E153" s="88"/>
      <c r="F153" s="88"/>
    </row>
    <row r="154" spans="2:7">
      <c r="C154" s="89"/>
      <c r="D154" s="77" t="s">
        <v>28</v>
      </c>
      <c r="E154" s="89"/>
      <c r="F154" s="89"/>
      <c r="G154" s="89"/>
    </row>
    <row r="155" spans="2:7">
      <c r="B155" s="90"/>
      <c r="C155" s="90"/>
      <c r="D155" s="90"/>
      <c r="E155" s="90"/>
      <c r="F155" s="90"/>
      <c r="G155" s="90"/>
    </row>
    <row r="156" spans="2:7">
      <c r="C156" s="18"/>
      <c r="D156" s="91" t="s">
        <v>474</v>
      </c>
      <c r="E156" s="18"/>
      <c r="F156" s="18"/>
      <c r="G156" s="18"/>
    </row>
    <row r="157" spans="2:7">
      <c r="B157" s="92"/>
      <c r="C157" s="92"/>
      <c r="D157" s="92"/>
      <c r="E157" s="92"/>
      <c r="F157" s="92"/>
      <c r="G157" s="92"/>
    </row>
    <row r="158" spans="2:7">
      <c r="B158" s="80" t="s">
        <v>27</v>
      </c>
      <c r="C158" s="19" t="str">
        <f>$C$8</f>
        <v>Meistriliiga</v>
      </c>
      <c r="F158" s="80" t="s">
        <v>29</v>
      </c>
      <c r="G158" s="93">
        <f>$G$8</f>
        <v>45745</v>
      </c>
    </row>
    <row r="159" spans="2:7">
      <c r="B159" s="80" t="s">
        <v>31</v>
      </c>
      <c r="C159" s="94" t="str">
        <f>$C$9</f>
        <v>I</v>
      </c>
      <c r="F159" s="80" t="s">
        <v>475</v>
      </c>
      <c r="G159" s="95" t="str">
        <f>$G$9</f>
        <v>10:00</v>
      </c>
    </row>
    <row r="160" spans="2:7" ht="15.75" thickBot="1">
      <c r="F160" s="96" t="s">
        <v>476</v>
      </c>
      <c r="G160" s="95" t="str">
        <f>$G$10</f>
        <v>09:45</v>
      </c>
    </row>
    <row r="161" spans="1:7" ht="16.5" thickTop="1" thickBot="1">
      <c r="B161" s="97" t="s">
        <v>477</v>
      </c>
      <c r="C161" s="98"/>
      <c r="D161" s="99" t="str">
        <f>IF(C159="I",I_voor_4p!R67,IF(C159="II",II_voor_4p!R67,IF(C159="III",III_voor_4p!R67)))</f>
        <v>Tiim FORUS - Maardu LTK</v>
      </c>
      <c r="F161" s="100" t="s">
        <v>478</v>
      </c>
      <c r="G161" s="101"/>
    </row>
    <row r="162" spans="1:7" ht="15.75" thickTop="1">
      <c r="B162" s="246" t="s">
        <v>479</v>
      </c>
      <c r="C162" s="102"/>
      <c r="D162" s="103" t="str" cm="1">
        <f t="array" ref="D162">IFERROR(INDEX(Koosseisud!I:I, SMALL(IF(Koosseisud!H:H=Loosileht!$D$161, ROW(Koosseisud!I:I)), ROW(1:1))), "")</f>
        <v>Aleksandr LUŠIN</v>
      </c>
      <c r="F162" s="248" t="s">
        <v>480</v>
      </c>
      <c r="G162" s="249"/>
    </row>
    <row r="163" spans="1:7">
      <c r="B163" s="247"/>
      <c r="C163" s="105"/>
      <c r="D163" s="103" t="str" cm="1">
        <f t="array" ref="D163">IFERROR(INDEX(Koosseisud!I:I, SMALL(IF(Koosseisud!H:H=Loosileht!$D$161, ROW(Koosseisud!I:I)), ROW(2:2))), "")</f>
        <v>Lauri LAANE</v>
      </c>
      <c r="F163" s="250" t="s">
        <v>45</v>
      </c>
      <c r="G163" s="251"/>
    </row>
    <row r="164" spans="1:7">
      <c r="B164" s="247"/>
      <c r="C164" s="105"/>
      <c r="D164" s="103" t="str" cm="1">
        <f t="array" ref="D164">IFERROR(INDEX(Koosseisud!I:I, SMALL(IF(Koosseisud!H:H=Loosileht!$D$161, ROW(Koosseisud!I:I)), ROW(3:3))), "")</f>
        <v>Sergei DANILOV</v>
      </c>
      <c r="F164" s="250" t="s">
        <v>46</v>
      </c>
      <c r="G164" s="251"/>
    </row>
    <row r="165" spans="1:7">
      <c r="B165" s="247"/>
      <c r="C165" s="105"/>
      <c r="D165" s="103" t="str" cm="1">
        <f t="array" ref="D165">IFERROR(INDEX(Koosseisud!I:I, SMALL(IF(Koosseisud!H:H=Loosileht!$D$161, ROW(Koosseisud!I:I)), ROW(4:4))), "")</f>
        <v>Artjom HIISKU</v>
      </c>
      <c r="F165" s="250" t="s">
        <v>47</v>
      </c>
      <c r="G165" s="251"/>
    </row>
    <row r="166" spans="1:7">
      <c r="B166" s="247"/>
      <c r="C166" s="105"/>
      <c r="D166" s="103" t="str" cm="1">
        <f t="array" ref="D166">IFERROR(INDEX(Koosseisud!I:I, SMALL(IF(Koosseisud!H:H=Loosileht!$D$161, ROW(Koosseisud!I:I)), ROW(5:5))), "")</f>
        <v>Vladislav URSU</v>
      </c>
      <c r="F166" s="250" t="s">
        <v>481</v>
      </c>
      <c r="G166" s="251"/>
    </row>
    <row r="167" spans="1:7">
      <c r="B167" s="247"/>
      <c r="C167" s="105"/>
      <c r="D167" s="103" t="str" cm="1">
        <f t="array" ref="D167">IFERROR(INDEX(Koosseisud!I:I, SMALL(IF(Koosseisud!H:H=Loosileht!$D$161, ROW(Koosseisud!I:I)), ROW(6:6))), "")</f>
        <v>Antoni WITKOWSKI</v>
      </c>
      <c r="F167" s="250" t="s">
        <v>48</v>
      </c>
      <c r="G167" s="251"/>
    </row>
    <row r="168" spans="1:7">
      <c r="B168" s="247"/>
      <c r="C168" s="105"/>
      <c r="D168" s="103" t="str" cm="1">
        <f t="array" ref="D168">IFERROR(INDEX(Koosseisud!I:I, SMALL(IF(Koosseisud!H:H=Loosileht!$D$161, ROW(Koosseisud!I:I)), ROW(7:7))), "")</f>
        <v>Otto TENNILÄ</v>
      </c>
      <c r="F168" s="250" t="s">
        <v>49</v>
      </c>
      <c r="G168" s="251"/>
    </row>
    <row r="169" spans="1:7">
      <c r="B169" s="247"/>
      <c r="C169" s="105"/>
      <c r="D169" s="103" t="str" cm="1">
        <f t="array" ref="D169">IFERROR(INDEX(Koosseisud!I:I, SMALL(IF(Koosseisud!H:H=Loosileht!$D$161, ROW(Koosseisud!I:I)), ROW(8:8))), "")</f>
        <v>Aleksandr SMIRNOV</v>
      </c>
      <c r="F169" s="250" t="s">
        <v>50</v>
      </c>
      <c r="G169" s="251"/>
    </row>
    <row r="170" spans="1:7">
      <c r="B170" s="247"/>
      <c r="C170" s="105"/>
      <c r="D170" s="103" t="str" cm="1">
        <f t="array" ref="D170">IFERROR(INDEX(Koosseisud!I:I, SMALL(IF(Koosseisud!H:H=Loosileht!$D$161, ROW(Koosseisud!I:I)), ROW(9:9))), "")</f>
        <v/>
      </c>
      <c r="F170" s="106"/>
      <c r="G170" s="107"/>
    </row>
    <row r="171" spans="1:7">
      <c r="B171" s="247"/>
      <c r="C171" s="105"/>
      <c r="D171" s="103" t="str" cm="1">
        <f t="array" ref="D171">IFERROR(INDEX(Koosseisud!I:I, SMALL(IF(Koosseisud!H:H=Loosileht!$D$161, ROW(Koosseisud!I:I)), ROW(10:10))), "")</f>
        <v/>
      </c>
      <c r="F171" s="104" t="s">
        <v>482</v>
      </c>
      <c r="G171" s="107" t="s">
        <v>483</v>
      </c>
    </row>
    <row r="172" spans="1:7">
      <c r="F172" s="112"/>
      <c r="G172" s="113" t="s">
        <v>484</v>
      </c>
    </row>
    <row r="173" spans="1:7">
      <c r="B173" s="114" t="s">
        <v>485</v>
      </c>
    </row>
    <row r="174" spans="1:7">
      <c r="B174" s="109"/>
      <c r="C174" s="115" t="s">
        <v>486</v>
      </c>
      <c r="D174" s="116"/>
    </row>
    <row r="175" spans="1:7" ht="15.75" thickBot="1">
      <c r="A175" s="117"/>
      <c r="B175" s="117"/>
      <c r="C175" s="117"/>
      <c r="D175" s="117"/>
      <c r="E175" s="117"/>
      <c r="F175" s="117"/>
      <c r="G175" s="117"/>
    </row>
    <row r="177" spans="2:7">
      <c r="B177" s="87" t="s">
        <v>26</v>
      </c>
      <c r="C177" s="87"/>
      <c r="D177" s="87"/>
      <c r="E177" s="87"/>
      <c r="F177" s="87"/>
      <c r="G177" s="87"/>
    </row>
    <row r="178" spans="2:7">
      <c r="B178" s="76"/>
      <c r="C178" s="76"/>
      <c r="D178" s="76"/>
      <c r="E178" s="76"/>
      <c r="F178" s="76"/>
      <c r="G178" s="76"/>
    </row>
    <row r="179" spans="2:7">
      <c r="C179" s="118" t="str">
        <f>$C$3</f>
        <v>EESTI VÕISTKONDLIKUD MV 2024/2025 MEISTRILIIGA</v>
      </c>
      <c r="D179" s="88"/>
      <c r="E179" s="88"/>
      <c r="F179" s="88"/>
    </row>
    <row r="180" spans="2:7">
      <c r="C180" s="89"/>
      <c r="D180" s="77" t="s">
        <v>28</v>
      </c>
      <c r="E180" s="89"/>
      <c r="F180" s="89"/>
      <c r="G180" s="89"/>
    </row>
    <row r="181" spans="2:7">
      <c r="B181" s="90"/>
      <c r="C181" s="90"/>
      <c r="D181" s="90"/>
      <c r="E181" s="90"/>
      <c r="F181" s="90"/>
      <c r="G181" s="90"/>
    </row>
    <row r="182" spans="2:7">
      <c r="C182" s="18"/>
      <c r="D182" s="91" t="s">
        <v>474</v>
      </c>
      <c r="E182" s="18"/>
      <c r="F182" s="18"/>
      <c r="G182" s="18"/>
    </row>
    <row r="183" spans="2:7">
      <c r="B183" s="92"/>
      <c r="C183" s="92"/>
      <c r="D183" s="92"/>
      <c r="E183" s="92"/>
      <c r="F183" s="92"/>
      <c r="G183" s="92"/>
    </row>
    <row r="184" spans="2:7">
      <c r="B184" s="80" t="s">
        <v>27</v>
      </c>
      <c r="C184" s="19" t="str">
        <f>$C$8</f>
        <v>Meistriliiga</v>
      </c>
      <c r="F184" s="80" t="s">
        <v>29</v>
      </c>
      <c r="G184" s="93">
        <f>$G$8</f>
        <v>45745</v>
      </c>
    </row>
    <row r="185" spans="2:7">
      <c r="B185" s="80" t="s">
        <v>31</v>
      </c>
      <c r="C185" s="94" t="str">
        <f>$C$9</f>
        <v>I</v>
      </c>
      <c r="F185" s="80" t="s">
        <v>475</v>
      </c>
      <c r="G185" s="95" t="str">
        <f>$G$9</f>
        <v>10:00</v>
      </c>
    </row>
    <row r="186" spans="2:7" ht="15.75" thickBot="1">
      <c r="F186" s="96" t="s">
        <v>476</v>
      </c>
      <c r="G186" s="95" t="str">
        <f>$G$10</f>
        <v>09:45</v>
      </c>
    </row>
    <row r="187" spans="2:7" ht="16.5" thickTop="1" thickBot="1">
      <c r="B187" s="97" t="s">
        <v>477</v>
      </c>
      <c r="C187" s="98"/>
      <c r="D187" s="99" t="str">
        <f>IF(C185="I",I_voor_4p!R97,IF(C185="II",II_voor_4p!R97,IF(C185="III",III_voor_4p!R97)))</f>
        <v>TalTech Spordiklubi</v>
      </c>
      <c r="F187" s="100" t="s">
        <v>478</v>
      </c>
      <c r="G187" s="101"/>
    </row>
    <row r="188" spans="2:7" ht="15.75" thickTop="1">
      <c r="B188" s="246" t="s">
        <v>479</v>
      </c>
      <c r="C188" s="102"/>
      <c r="D188" s="103" t="str" cm="1">
        <f t="array" ref="D188">IFERROR(INDEX(Koosseisud!I:I, SMALL(IF(Koosseisud!H:H=Loosileht!$D$187, ROW(Koosseisud!I:I)), ROW(1:1))), "")</f>
        <v>Madis MOOS</v>
      </c>
      <c r="F188" s="248" t="s">
        <v>480</v>
      </c>
      <c r="G188" s="249"/>
    </row>
    <row r="189" spans="2:7">
      <c r="B189" s="247"/>
      <c r="C189" s="105"/>
      <c r="D189" s="103" t="str" cm="1">
        <f t="array" ref="D189">IFERROR(INDEX(Koosseisud!I:I, SMALL(IF(Koosseisud!H:H=Loosileht!$D$187, ROW(Koosseisud!I:I)), ROW(2:2))), "")</f>
        <v>Stanislav STROGOV</v>
      </c>
      <c r="F189" s="250" t="s">
        <v>45</v>
      </c>
      <c r="G189" s="251"/>
    </row>
    <row r="190" spans="2:7">
      <c r="B190" s="247"/>
      <c r="C190" s="105"/>
      <c r="D190" s="103" t="str" cm="1">
        <f t="array" ref="D190">IFERROR(INDEX(Koosseisud!I:I, SMALL(IF(Koosseisud!H:H=Loosileht!$D$187, ROW(Koosseisud!I:I)), ROW(3:3))), "")</f>
        <v>Andrei MALTIZOV</v>
      </c>
      <c r="F190" s="250" t="s">
        <v>46</v>
      </c>
      <c r="G190" s="251"/>
    </row>
    <row r="191" spans="2:7">
      <c r="B191" s="247"/>
      <c r="C191" s="105"/>
      <c r="D191" s="103" t="str" cm="1">
        <f t="array" ref="D191">IFERROR(INDEX(Koosseisud!I:I, SMALL(IF(Koosseisud!H:H=Loosileht!$D$187, ROW(Koosseisud!I:I)), ROW(4:4))), "")</f>
        <v>Vallot VAINULA</v>
      </c>
      <c r="F191" s="250" t="s">
        <v>47</v>
      </c>
      <c r="G191" s="251"/>
    </row>
    <row r="192" spans="2:7">
      <c r="B192" s="247"/>
      <c r="C192" s="105"/>
      <c r="D192" s="103" t="str" cm="1">
        <f t="array" ref="D192">IFERROR(INDEX(Koosseisud!I:I, SMALL(IF(Koosseisud!H:H=Loosileht!$D$187, ROW(Koosseisud!I:I)), ROW(5:5))), "")</f>
        <v>Samuli SOINE</v>
      </c>
      <c r="F192" s="250" t="s">
        <v>481</v>
      </c>
      <c r="G192" s="251"/>
    </row>
    <row r="193" spans="2:7">
      <c r="B193" s="247"/>
      <c r="C193" s="105"/>
      <c r="D193" s="103" t="str" cm="1">
        <f t="array" ref="D193">IFERROR(INDEX(Koosseisud!I:I, SMALL(IF(Koosseisud!H:H=Loosileht!$D$187, ROW(Koosseisud!I:I)), ROW(6:6))), "")</f>
        <v>Tomasz LEWANDOWSKI</v>
      </c>
      <c r="F193" s="250" t="s">
        <v>48</v>
      </c>
      <c r="G193" s="251"/>
    </row>
    <row r="194" spans="2:7">
      <c r="B194" s="247"/>
      <c r="C194" s="105"/>
      <c r="D194" s="103" t="str" cm="1">
        <f t="array" ref="D194">IFERROR(INDEX(Koosseisud!I:I, SMALL(IF(Koosseisud!H:H=Loosileht!$D$187, ROW(Koosseisud!I:I)), ROW(7:7))), "")</f>
        <v>Arturs REINHOLDS</v>
      </c>
      <c r="F194" s="250" t="s">
        <v>49</v>
      </c>
      <c r="G194" s="251"/>
    </row>
    <row r="195" spans="2:7">
      <c r="B195" s="247"/>
      <c r="C195" s="105"/>
      <c r="D195" s="103" t="str" cm="1">
        <f t="array" ref="D195">IFERROR(INDEX(Koosseisud!I:I, SMALL(IF(Koosseisud!H:H=Loosileht!$D$187, ROW(Koosseisud!I:I)), ROW(8:8))), "")</f>
        <v/>
      </c>
      <c r="F195" s="250" t="s">
        <v>50</v>
      </c>
      <c r="G195" s="251"/>
    </row>
    <row r="196" spans="2:7">
      <c r="B196" s="247"/>
      <c r="C196" s="105"/>
      <c r="D196" s="103" t="str" cm="1">
        <f t="array" ref="D196">IFERROR(INDEX(Koosseisud!I:I, SMALL(IF(Koosseisud!H:H=Loosileht!$D$187, ROW(Koosseisud!I:I)), ROW(9:9))), "")</f>
        <v/>
      </c>
      <c r="F196" s="106"/>
      <c r="G196" s="107"/>
    </row>
    <row r="197" spans="2:7">
      <c r="B197" s="247"/>
      <c r="C197" s="105"/>
      <c r="D197" s="103" t="str" cm="1">
        <f t="array" ref="D197">IFERROR(INDEX(Koosseisud!I:I, SMALL(IF(Koosseisud!H:H=Loosileht!$D$187, ROW(Koosseisud!I:I)), ROW(10:10))), "")</f>
        <v/>
      </c>
      <c r="F197" s="104" t="s">
        <v>482</v>
      </c>
      <c r="G197" s="107" t="s">
        <v>483</v>
      </c>
    </row>
    <row r="198" spans="2:7">
      <c r="F198" s="112"/>
      <c r="G198" s="113" t="s">
        <v>484</v>
      </c>
    </row>
    <row r="199" spans="2:7">
      <c r="B199" s="114" t="s">
        <v>485</v>
      </c>
    </row>
    <row r="200" spans="2:7">
      <c r="C200" s="115" t="s">
        <v>486</v>
      </c>
      <c r="D200" s="116"/>
    </row>
  </sheetData>
  <protectedRanges>
    <protectedRange sqref="C11:C22 C37:C47 C61:C71 C87:C97 C111:C121 C137:C147 C161:C171 C187:C197" name="Muudetav"/>
  </protectedRanges>
  <mergeCells count="72">
    <mergeCell ref="B12:B21"/>
    <mergeCell ref="F12:G12"/>
    <mergeCell ref="F13:G13"/>
    <mergeCell ref="F14:G14"/>
    <mergeCell ref="F15:G15"/>
    <mergeCell ref="F16:G16"/>
    <mergeCell ref="F17:G17"/>
    <mergeCell ref="F18:G18"/>
    <mergeCell ref="F19:G19"/>
    <mergeCell ref="B38:B47"/>
    <mergeCell ref="F38:G38"/>
    <mergeCell ref="F39:G39"/>
    <mergeCell ref="F40:G40"/>
    <mergeCell ref="F41:G41"/>
    <mergeCell ref="F42:G42"/>
    <mergeCell ref="F43:G43"/>
    <mergeCell ref="F44:G44"/>
    <mergeCell ref="F45:G45"/>
    <mergeCell ref="B62:B71"/>
    <mergeCell ref="F62:G62"/>
    <mergeCell ref="F63:G63"/>
    <mergeCell ref="F64:G64"/>
    <mergeCell ref="F65:G65"/>
    <mergeCell ref="F66:G66"/>
    <mergeCell ref="F67:G67"/>
    <mergeCell ref="F68:G68"/>
    <mergeCell ref="F69:G69"/>
    <mergeCell ref="B88:B97"/>
    <mergeCell ref="F88:G88"/>
    <mergeCell ref="F89:G89"/>
    <mergeCell ref="F90:G90"/>
    <mergeCell ref="F91:G91"/>
    <mergeCell ref="F92:G92"/>
    <mergeCell ref="F93:G93"/>
    <mergeCell ref="F94:G94"/>
    <mergeCell ref="F95:G95"/>
    <mergeCell ref="B112:B12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B138:B147"/>
    <mergeCell ref="F138:G138"/>
    <mergeCell ref="F139:G139"/>
    <mergeCell ref="F140:G140"/>
    <mergeCell ref="F141:G141"/>
    <mergeCell ref="F142:G142"/>
    <mergeCell ref="F143:G143"/>
    <mergeCell ref="F144:G144"/>
    <mergeCell ref="F145:G145"/>
    <mergeCell ref="B162:B171"/>
    <mergeCell ref="F162:G162"/>
    <mergeCell ref="F163:G163"/>
    <mergeCell ref="F164:G164"/>
    <mergeCell ref="F165:G165"/>
    <mergeCell ref="F166:G166"/>
    <mergeCell ref="F167:G167"/>
    <mergeCell ref="F168:G168"/>
    <mergeCell ref="F169:G169"/>
    <mergeCell ref="B188:B197"/>
    <mergeCell ref="F188:G188"/>
    <mergeCell ref="F189:G189"/>
    <mergeCell ref="F190:G190"/>
    <mergeCell ref="F191:G191"/>
    <mergeCell ref="F192:G192"/>
    <mergeCell ref="F193:G193"/>
    <mergeCell ref="F194:G194"/>
    <mergeCell ref="F195:G195"/>
  </mergeCells>
  <dataValidations count="9">
    <dataValidation type="list" allowBlank="1" showInputMessage="1" showErrorMessage="1" sqref="C11 C37 C61 C87 C111 C137 C161 C187" xr:uid="{E4A65D64-1112-46D2-B53F-9A9B51B3C164}">
      <formula1>$J$4:$L$4</formula1>
    </dataValidation>
    <dataValidation type="list" allowBlank="1" showInputMessage="1" showErrorMessage="1" sqref="C12:C22" xr:uid="{7BF278FE-6214-449F-B410-F66AB55D9666}">
      <formula1>OFFSET($J$4,1,MATCH($C$11,$J$4:$K$4,0)-1,5,1)</formula1>
    </dataValidation>
    <dataValidation type="list" allowBlank="1" showInputMessage="1" showErrorMessage="1" sqref="C38:C47" xr:uid="{2063C808-F9A8-4BE1-AD31-B67A030EAB91}">
      <formula1>OFFSET($J$4,1,MATCH($C$37,$J$4:$K$4,0)-1,5,1)</formula1>
    </dataValidation>
    <dataValidation type="list" allowBlank="1" showInputMessage="1" showErrorMessage="1" sqref="C62:C71" xr:uid="{DB8FB3DB-3B5E-4324-B06B-8DAF88CA933B}">
      <formula1>OFFSET($J$4,1,MATCH($C$61,$J$4:$K$4,0)-1,5,1)</formula1>
    </dataValidation>
    <dataValidation type="list" allowBlank="1" showInputMessage="1" showErrorMessage="1" sqref="C88:C97" xr:uid="{BA317CA7-2FE8-4A89-8ADF-9C6285F57741}">
      <formula1>OFFSET($J$4,1,MATCH($C$87,$J$4:$K$4,0)-1,5,1)</formula1>
    </dataValidation>
    <dataValidation type="list" allowBlank="1" showInputMessage="1" showErrorMessage="1" sqref="C112:C121" xr:uid="{965053CA-DD1B-4DB5-A186-00779002E976}">
      <formula1>OFFSET($J$4,1,MATCH($C$111,$J$4:$K$4,0)-1,5,1)</formula1>
    </dataValidation>
    <dataValidation type="list" allowBlank="1" showInputMessage="1" showErrorMessage="1" sqref="C138:C147" xr:uid="{FBB7C9A3-11BE-4553-83B7-42D5B924DDA1}">
      <formula1>OFFSET($J$4,1,MATCH($C$137,$J$4:$K$4,0)-1,5,1)</formula1>
    </dataValidation>
    <dataValidation type="list" allowBlank="1" showInputMessage="1" showErrorMessage="1" sqref="C162:C171" xr:uid="{0BA87434-BAF7-4EB0-ADA3-E3A2858B973C}">
      <formula1>OFFSET($J$4,1,MATCH($C$161,$J$4:$K$4,0)-1,5,1)</formula1>
    </dataValidation>
    <dataValidation type="list" allowBlank="1" showInputMessage="1" showErrorMessage="1" sqref="C188:C197" xr:uid="{3A5528F0-36B7-4236-87B6-7335D72223FF}">
      <formula1>OFFSET($J$4,1,MATCH($C$187,$J$4:$K$4,0)-1,5,1)</formula1>
    </dataValidation>
  </dataValidations>
  <pageMargins left="0.7" right="0.7" top="0.75" bottom="0.75" header="0.3" footer="0.3"/>
  <pageSetup paperSize="11" scale="86" fitToHeight="0" orientation="landscape" r:id="rId1"/>
  <rowBreaks count="7" manualBreakCount="7">
    <brk id="25" max="16383" man="1"/>
    <brk id="50" max="16383" man="1"/>
    <brk id="75" max="16383" man="1"/>
    <brk id="100" max="16383" man="1"/>
    <brk id="125" max="16383" man="1"/>
    <brk id="150" max="16383" man="1"/>
    <brk id="175" max="16383" man="1"/>
  </rowBreak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309E-BCA2-44C7-976D-3EB131CC1BF9}">
  <sheetPr>
    <pageSetUpPr fitToPage="1"/>
  </sheetPr>
  <dimension ref="A1:W100"/>
  <sheetViews>
    <sheetView workbookViewId="0">
      <selection activeCell="I90" sqref="I90"/>
    </sheetView>
  </sheetViews>
  <sheetFormatPr defaultRowHeight="15"/>
  <cols>
    <col min="1" max="1" width="4.5703125" customWidth="1"/>
    <col min="2" max="2" width="13.85546875" customWidth="1"/>
    <col min="3" max="3" width="12.28515625" customWidth="1"/>
    <col min="4" max="4" width="33.140625" customWidth="1"/>
    <col min="5" max="5" width="3.7109375" customWidth="1"/>
    <col min="6" max="6" width="26.28515625" bestFit="1" customWidth="1"/>
    <col min="7" max="7" width="12.28515625" customWidth="1"/>
    <col min="10" max="10" width="0" hidden="1" customWidth="1"/>
    <col min="11" max="11" width="12.28515625" hidden="1" customWidth="1"/>
    <col min="12" max="12" width="11.42578125" customWidth="1"/>
    <col min="13" max="13" width="100.28515625" bestFit="1" customWidth="1"/>
  </cols>
  <sheetData>
    <row r="1" spans="2:23">
      <c r="B1" s="87" t="s">
        <v>26</v>
      </c>
      <c r="C1" s="87"/>
      <c r="D1" s="87"/>
      <c r="E1" s="87"/>
      <c r="F1" s="87"/>
      <c r="G1" s="87"/>
      <c r="L1" s="138" t="s">
        <v>619</v>
      </c>
      <c r="M1" s="252" t="s">
        <v>627</v>
      </c>
      <c r="R1" s="18"/>
      <c r="S1" s="18"/>
      <c r="T1" s="18"/>
      <c r="U1" s="18"/>
      <c r="V1" s="18"/>
      <c r="W1" s="18"/>
    </row>
    <row r="2" spans="2:23">
      <c r="B2" s="76"/>
      <c r="C2" s="76"/>
      <c r="D2" s="76"/>
      <c r="E2" s="76"/>
      <c r="F2" s="76"/>
      <c r="G2" s="76"/>
      <c r="L2" s="138" t="s">
        <v>620</v>
      </c>
      <c r="M2" s="252"/>
      <c r="R2" s="18"/>
      <c r="S2" s="18"/>
      <c r="T2" s="18"/>
      <c r="U2" s="18"/>
      <c r="V2" s="18"/>
      <c r="W2" s="18"/>
    </row>
    <row r="3" spans="2:23">
      <c r="C3" s="88" t="s">
        <v>626</v>
      </c>
      <c r="D3" s="88"/>
      <c r="E3" s="88"/>
      <c r="F3" s="88"/>
      <c r="J3" t="s">
        <v>473</v>
      </c>
      <c r="L3" s="138" t="s">
        <v>621</v>
      </c>
      <c r="M3" s="252"/>
    </row>
    <row r="4" spans="2:23">
      <c r="C4" s="89"/>
      <c r="D4" s="77" t="s">
        <v>28</v>
      </c>
      <c r="E4" s="89"/>
      <c r="F4" s="89"/>
      <c r="G4" s="89"/>
      <c r="J4" t="s">
        <v>43</v>
      </c>
      <c r="K4" t="s">
        <v>44</v>
      </c>
    </row>
    <row r="5" spans="2:23">
      <c r="B5" s="90"/>
      <c r="C5" s="90"/>
      <c r="D5" s="90"/>
      <c r="E5" s="90"/>
      <c r="F5" s="90"/>
      <c r="G5" s="90"/>
      <c r="J5" t="s">
        <v>9</v>
      </c>
      <c r="K5" t="s">
        <v>12</v>
      </c>
    </row>
    <row r="6" spans="2:23">
      <c r="C6" s="18"/>
      <c r="D6" s="91" t="s">
        <v>474</v>
      </c>
      <c r="E6" s="18"/>
      <c r="F6" s="18"/>
      <c r="G6" s="18"/>
      <c r="J6" t="s">
        <v>11</v>
      </c>
      <c r="K6" t="s">
        <v>10</v>
      </c>
    </row>
    <row r="7" spans="2:23">
      <c r="B7" s="92"/>
      <c r="C7" s="92"/>
      <c r="D7" s="92"/>
      <c r="E7" s="92"/>
      <c r="F7" s="92"/>
      <c r="G7" s="92"/>
      <c r="J7" t="s">
        <v>13</v>
      </c>
      <c r="K7" t="s">
        <v>14</v>
      </c>
      <c r="R7" s="18"/>
      <c r="S7" s="18"/>
      <c r="T7" s="18"/>
      <c r="U7" s="18"/>
      <c r="V7" s="18"/>
      <c r="W7" s="18"/>
    </row>
    <row r="8" spans="2:23">
      <c r="B8" s="80" t="s">
        <v>27</v>
      </c>
      <c r="C8" s="19" t="s">
        <v>443</v>
      </c>
      <c r="F8" s="80" t="s">
        <v>29</v>
      </c>
      <c r="G8" s="93">
        <v>45780</v>
      </c>
      <c r="J8" t="s">
        <v>54</v>
      </c>
      <c r="K8" t="s">
        <v>56</v>
      </c>
      <c r="R8" s="19"/>
      <c r="S8" s="19"/>
      <c r="T8" s="19"/>
      <c r="U8" s="19"/>
      <c r="V8" s="20"/>
      <c r="W8" s="19"/>
    </row>
    <row r="9" spans="2:23">
      <c r="B9" s="80" t="s">
        <v>31</v>
      </c>
      <c r="C9" s="119" t="s">
        <v>619</v>
      </c>
      <c r="F9" s="80" t="s">
        <v>475</v>
      </c>
      <c r="G9" s="95" t="str">
        <f>IF(C9="Poolfinaal","10:00",IF(C9="Finaal","14:00",IF(C9="3. koht","14:00","Puudu")))</f>
        <v>10:00</v>
      </c>
      <c r="J9" t="s">
        <v>55</v>
      </c>
      <c r="K9" t="s">
        <v>57</v>
      </c>
      <c r="M9" s="120" t="s">
        <v>491</v>
      </c>
      <c r="R9" s="18"/>
      <c r="S9" s="18"/>
      <c r="T9" s="18"/>
      <c r="U9" s="18"/>
      <c r="V9" s="18"/>
      <c r="W9" s="18"/>
    </row>
    <row r="10" spans="2:23" ht="15.75" thickBot="1">
      <c r="F10" s="96" t="s">
        <v>476</v>
      </c>
      <c r="G10" s="95">
        <f>G9-0.01</f>
        <v>0.40666666666666668</v>
      </c>
      <c r="M10" s="72" t="s">
        <v>489</v>
      </c>
    </row>
    <row r="11" spans="2:23" ht="16.5" thickTop="1" thickBot="1">
      <c r="B11" s="97" t="s">
        <v>477</v>
      </c>
      <c r="C11" s="98"/>
      <c r="D11" s="99" t="s">
        <v>231</v>
      </c>
      <c r="F11" s="100" t="s">
        <v>478</v>
      </c>
      <c r="G11" s="101"/>
    </row>
    <row r="12" spans="2:23" ht="15.75" thickTop="1">
      <c r="B12" s="246" t="s">
        <v>479</v>
      </c>
      <c r="C12" s="102"/>
      <c r="D12" s="103" t="s">
        <v>336</v>
      </c>
      <c r="F12" s="248" t="s">
        <v>480</v>
      </c>
      <c r="G12" s="249"/>
      <c r="M12" t="s">
        <v>490</v>
      </c>
    </row>
    <row r="13" spans="2:23">
      <c r="B13" s="247"/>
      <c r="C13" s="102"/>
      <c r="D13" s="103" t="s">
        <v>337</v>
      </c>
      <c r="F13" s="250" t="s">
        <v>45</v>
      </c>
      <c r="G13" s="251"/>
      <c r="M13" s="72" t="s">
        <v>556</v>
      </c>
    </row>
    <row r="14" spans="2:23">
      <c r="B14" s="247"/>
      <c r="C14" s="102"/>
      <c r="D14" s="103" t="s">
        <v>338</v>
      </c>
      <c r="F14" s="250" t="s">
        <v>46</v>
      </c>
      <c r="G14" s="251"/>
    </row>
    <row r="15" spans="2:23">
      <c r="B15" s="247"/>
      <c r="C15" s="105"/>
      <c r="D15" s="103" t="s">
        <v>339</v>
      </c>
      <c r="F15" s="250" t="s">
        <v>47</v>
      </c>
      <c r="G15" s="251"/>
    </row>
    <row r="16" spans="2:23">
      <c r="B16" s="247"/>
      <c r="C16" s="105"/>
      <c r="D16" s="103" t="s">
        <v>340</v>
      </c>
      <c r="F16" s="250" t="s">
        <v>481</v>
      </c>
      <c r="G16" s="251"/>
    </row>
    <row r="17" spans="1:18">
      <c r="B17" s="247"/>
      <c r="C17" s="105"/>
      <c r="D17" s="103"/>
      <c r="F17" s="250" t="s">
        <v>48</v>
      </c>
      <c r="G17" s="251"/>
      <c r="M17" s="121" t="s">
        <v>498</v>
      </c>
    </row>
    <row r="18" spans="1:18">
      <c r="B18" s="247"/>
      <c r="C18" s="105"/>
      <c r="D18" s="103" t="s">
        <v>617</v>
      </c>
      <c r="F18" s="250" t="s">
        <v>49</v>
      </c>
      <c r="G18" s="251"/>
    </row>
    <row r="19" spans="1:18">
      <c r="B19" s="247"/>
      <c r="C19" s="105"/>
      <c r="D19" s="103" t="s">
        <v>617</v>
      </c>
      <c r="F19" s="250" t="s">
        <v>50</v>
      </c>
      <c r="G19" s="251"/>
      <c r="M19" s="133" t="s">
        <v>554</v>
      </c>
    </row>
    <row r="20" spans="1:18">
      <c r="B20" s="247"/>
      <c r="C20" s="105"/>
      <c r="D20" s="103" t="s">
        <v>617</v>
      </c>
      <c r="F20" s="106"/>
      <c r="G20" s="107"/>
      <c r="I20" s="132"/>
      <c r="J20" s="132"/>
      <c r="K20" s="132"/>
      <c r="L20" s="132"/>
      <c r="M20" s="132"/>
      <c r="N20" s="132"/>
      <c r="O20" s="131"/>
      <c r="P20" s="131"/>
      <c r="Q20" s="131"/>
      <c r="R20" s="130"/>
    </row>
    <row r="21" spans="1:18">
      <c r="B21" s="247"/>
      <c r="C21" s="108"/>
      <c r="D21" s="103" t="s">
        <v>617</v>
      </c>
      <c r="F21" s="104" t="s">
        <v>482</v>
      </c>
      <c r="G21" s="107" t="s">
        <v>483</v>
      </c>
      <c r="I21" s="132"/>
      <c r="J21" s="132"/>
      <c r="K21" s="132"/>
      <c r="L21" s="132"/>
      <c r="M21" s="132"/>
      <c r="N21" s="132"/>
      <c r="O21" s="131"/>
      <c r="P21" s="131"/>
      <c r="Q21" s="131"/>
      <c r="R21" s="130"/>
    </row>
    <row r="22" spans="1:18">
      <c r="B22" s="109"/>
      <c r="C22" s="110"/>
      <c r="D22" s="111"/>
      <c r="F22" s="112"/>
      <c r="G22" s="113" t="s">
        <v>484</v>
      </c>
      <c r="I22" s="132"/>
      <c r="J22" s="132"/>
      <c r="K22" s="132"/>
      <c r="L22" s="132"/>
      <c r="M22" s="132"/>
      <c r="N22" s="132"/>
      <c r="O22" s="131"/>
      <c r="P22" s="131"/>
      <c r="Q22" s="131"/>
      <c r="R22" s="130"/>
    </row>
    <row r="23" spans="1:18">
      <c r="B23" s="114" t="s">
        <v>485</v>
      </c>
      <c r="I23" s="132"/>
      <c r="J23" s="132"/>
      <c r="K23" s="132"/>
      <c r="L23" s="132"/>
      <c r="M23" s="132"/>
      <c r="N23" s="132"/>
      <c r="O23" s="131"/>
      <c r="P23" s="131"/>
      <c r="Q23" s="131"/>
      <c r="R23" s="130"/>
    </row>
    <row r="24" spans="1:18">
      <c r="C24" s="115" t="s">
        <v>486</v>
      </c>
      <c r="D24" s="116"/>
    </row>
    <row r="25" spans="1:18" ht="15.75" thickBot="1">
      <c r="A25" s="117"/>
      <c r="B25" s="117"/>
      <c r="C25" s="117"/>
      <c r="D25" s="117"/>
      <c r="E25" s="117"/>
      <c r="F25" s="117"/>
      <c r="G25" s="117"/>
    </row>
    <row r="27" spans="1:18">
      <c r="B27" s="87" t="s">
        <v>26</v>
      </c>
      <c r="C27" s="87"/>
      <c r="D27" s="87"/>
      <c r="E27" s="87"/>
      <c r="F27" s="87"/>
      <c r="G27" s="87"/>
    </row>
    <row r="28" spans="1:18">
      <c r="B28" s="76"/>
      <c r="C28" s="76"/>
      <c r="D28" s="76"/>
      <c r="E28" s="76"/>
      <c r="F28" s="76"/>
      <c r="G28" s="76"/>
    </row>
    <row r="29" spans="1:18">
      <c r="C29" s="118" t="s">
        <v>626</v>
      </c>
      <c r="E29" s="88"/>
      <c r="F29" s="88"/>
    </row>
    <row r="30" spans="1:18">
      <c r="C30" s="89"/>
      <c r="D30" s="77" t="s">
        <v>28</v>
      </c>
      <c r="E30" s="89"/>
      <c r="F30" s="89"/>
      <c r="G30" s="89"/>
    </row>
    <row r="31" spans="1:18">
      <c r="B31" s="90"/>
      <c r="C31" s="90"/>
      <c r="D31" s="90"/>
      <c r="E31" s="90"/>
      <c r="F31" s="90"/>
      <c r="G31" s="90"/>
    </row>
    <row r="32" spans="1:18">
      <c r="C32" s="18"/>
      <c r="D32" s="91" t="s">
        <v>474</v>
      </c>
      <c r="E32" s="18"/>
      <c r="F32" s="18"/>
      <c r="G32" s="18"/>
    </row>
    <row r="33" spans="2:7">
      <c r="B33" s="92"/>
      <c r="C33" s="92"/>
      <c r="D33" s="92"/>
      <c r="E33" s="92"/>
      <c r="F33" s="92"/>
      <c r="G33" s="92"/>
    </row>
    <row r="34" spans="2:7">
      <c r="B34" s="80" t="s">
        <v>27</v>
      </c>
      <c r="C34" s="19" t="s">
        <v>443</v>
      </c>
      <c r="F34" s="80" t="s">
        <v>29</v>
      </c>
      <c r="G34" s="93">
        <f>G8</f>
        <v>45780</v>
      </c>
    </row>
    <row r="35" spans="2:7">
      <c r="B35" s="80" t="s">
        <v>31</v>
      </c>
      <c r="C35" s="119" t="str">
        <f>C9</f>
        <v>Poolfinaal</v>
      </c>
      <c r="F35" s="80" t="s">
        <v>475</v>
      </c>
      <c r="G35" s="95" t="str">
        <f>G9</f>
        <v>10:00</v>
      </c>
    </row>
    <row r="36" spans="2:7" ht="15.75" thickBot="1">
      <c r="F36" s="96" t="s">
        <v>476</v>
      </c>
      <c r="G36" s="95">
        <f>G10</f>
        <v>0.40666666666666668</v>
      </c>
    </row>
    <row r="37" spans="2:7" ht="16.5" thickTop="1" thickBot="1">
      <c r="B37" s="97" t="s">
        <v>477</v>
      </c>
      <c r="C37" s="98"/>
      <c r="D37" s="99" t="s">
        <v>233</v>
      </c>
      <c r="F37" s="100" t="s">
        <v>478</v>
      </c>
      <c r="G37" s="101"/>
    </row>
    <row r="38" spans="2:7" ht="15.75" thickTop="1">
      <c r="B38" s="246" t="s">
        <v>479</v>
      </c>
      <c r="C38" s="102"/>
      <c r="D38" s="103" t="s">
        <v>370</v>
      </c>
      <c r="F38" s="248" t="s">
        <v>480</v>
      </c>
      <c r="G38" s="249"/>
    </row>
    <row r="39" spans="2:7" ht="15" customHeight="1">
      <c r="B39" s="247"/>
      <c r="C39" s="102"/>
      <c r="D39" s="103" t="s">
        <v>371</v>
      </c>
      <c r="F39" s="250" t="s">
        <v>45</v>
      </c>
      <c r="G39" s="251"/>
    </row>
    <row r="40" spans="2:7">
      <c r="B40" s="247"/>
      <c r="C40" s="102"/>
      <c r="D40" s="103" t="s">
        <v>373</v>
      </c>
      <c r="F40" s="250" t="s">
        <v>46</v>
      </c>
      <c r="G40" s="251"/>
    </row>
    <row r="41" spans="2:7">
      <c r="B41" s="247"/>
      <c r="C41" s="102"/>
      <c r="D41" s="103" t="s">
        <v>374</v>
      </c>
      <c r="F41" s="250" t="s">
        <v>47</v>
      </c>
      <c r="G41" s="251"/>
    </row>
    <row r="42" spans="2:7">
      <c r="B42" s="247"/>
      <c r="C42" s="102"/>
      <c r="D42" s="103"/>
      <c r="F42" s="250" t="s">
        <v>481</v>
      </c>
      <c r="G42" s="251"/>
    </row>
    <row r="43" spans="2:7">
      <c r="B43" s="247"/>
      <c r="C43" s="102"/>
      <c r="F43" s="250" t="s">
        <v>48</v>
      </c>
      <c r="G43" s="251"/>
    </row>
    <row r="44" spans="2:7">
      <c r="B44" s="247"/>
      <c r="C44" s="102"/>
      <c r="D44" s="103"/>
      <c r="F44" s="250" t="s">
        <v>49</v>
      </c>
      <c r="G44" s="251"/>
    </row>
    <row r="45" spans="2:7">
      <c r="B45" s="247"/>
      <c r="C45" s="102"/>
      <c r="D45" s="103" t="s">
        <v>617</v>
      </c>
      <c r="F45" s="250" t="s">
        <v>50</v>
      </c>
      <c r="G45" s="251"/>
    </row>
    <row r="46" spans="2:7">
      <c r="B46" s="247"/>
      <c r="C46" s="102"/>
      <c r="D46" s="103" t="s">
        <v>617</v>
      </c>
      <c r="F46" s="106"/>
      <c r="G46" s="107"/>
    </row>
    <row r="47" spans="2:7">
      <c r="B47" s="247"/>
      <c r="C47" s="102"/>
      <c r="D47" s="103" t="s">
        <v>617</v>
      </c>
      <c r="F47" s="104" t="s">
        <v>482</v>
      </c>
      <c r="G47" s="107" t="s">
        <v>483</v>
      </c>
    </row>
    <row r="48" spans="2:7">
      <c r="F48" s="112"/>
      <c r="G48" s="113" t="s">
        <v>484</v>
      </c>
    </row>
    <row r="49" spans="2:7">
      <c r="B49" s="114" t="s">
        <v>485</v>
      </c>
    </row>
    <row r="50" spans="2:7">
      <c r="C50" s="115" t="s">
        <v>486</v>
      </c>
      <c r="D50" s="116"/>
    </row>
    <row r="51" spans="2:7">
      <c r="B51" s="87" t="s">
        <v>26</v>
      </c>
      <c r="C51" s="87"/>
      <c r="D51" s="87"/>
      <c r="E51" s="87"/>
      <c r="F51" s="87"/>
      <c r="G51" s="87"/>
    </row>
    <row r="52" spans="2:7">
      <c r="B52" s="76"/>
      <c r="C52" s="76"/>
      <c r="D52" s="76"/>
      <c r="E52" s="76"/>
      <c r="F52" s="76"/>
      <c r="G52" s="76"/>
    </row>
    <row r="53" spans="2:7">
      <c r="C53" s="118" t="s">
        <v>626</v>
      </c>
      <c r="D53" s="88"/>
      <c r="E53" s="88"/>
      <c r="F53" s="88"/>
    </row>
    <row r="54" spans="2:7">
      <c r="C54" s="89"/>
      <c r="D54" s="77" t="s">
        <v>28</v>
      </c>
      <c r="E54" s="89"/>
      <c r="F54" s="89"/>
      <c r="G54" s="89"/>
    </row>
    <row r="55" spans="2:7">
      <c r="B55" s="90"/>
      <c r="C55" s="90"/>
      <c r="D55" s="90"/>
      <c r="E55" s="90"/>
      <c r="F55" s="90"/>
      <c r="G55" s="90"/>
    </row>
    <row r="56" spans="2:7">
      <c r="C56" s="18"/>
      <c r="D56" s="91" t="s">
        <v>474</v>
      </c>
      <c r="E56" s="18"/>
      <c r="F56" s="18"/>
      <c r="G56" s="18"/>
    </row>
    <row r="57" spans="2:7">
      <c r="B57" s="92"/>
      <c r="C57" s="92"/>
      <c r="D57" s="92"/>
      <c r="E57" s="92"/>
      <c r="F57" s="92"/>
      <c r="G57" s="92"/>
    </row>
    <row r="58" spans="2:7">
      <c r="B58" s="80" t="s">
        <v>27</v>
      </c>
      <c r="C58" s="19" t="s">
        <v>443</v>
      </c>
      <c r="F58" s="80" t="s">
        <v>29</v>
      </c>
      <c r="G58" s="93">
        <f>G8</f>
        <v>45780</v>
      </c>
    </row>
    <row r="59" spans="2:7">
      <c r="B59" s="80" t="s">
        <v>31</v>
      </c>
      <c r="C59" s="119" t="str">
        <f>C9</f>
        <v>Poolfinaal</v>
      </c>
      <c r="F59" s="80" t="s">
        <v>475</v>
      </c>
      <c r="G59" s="95" t="str">
        <f>G9</f>
        <v>10:00</v>
      </c>
    </row>
    <row r="60" spans="2:7" ht="15.75" thickBot="1">
      <c r="F60" s="96" t="s">
        <v>476</v>
      </c>
      <c r="G60" s="95">
        <f>G10</f>
        <v>0.40666666666666668</v>
      </c>
    </row>
    <row r="61" spans="2:7" ht="16.5" thickTop="1" thickBot="1">
      <c r="B61" s="97" t="s">
        <v>477</v>
      </c>
      <c r="C61" s="98"/>
      <c r="D61" s="99" t="s">
        <v>237</v>
      </c>
      <c r="F61" s="100" t="s">
        <v>478</v>
      </c>
      <c r="G61" s="101"/>
    </row>
    <row r="62" spans="2:7" ht="15.75" thickTop="1">
      <c r="B62" s="246" t="s">
        <v>479</v>
      </c>
      <c r="C62" s="102"/>
      <c r="D62" s="103" t="s">
        <v>421</v>
      </c>
      <c r="F62" s="248" t="s">
        <v>480</v>
      </c>
      <c r="G62" s="249"/>
    </row>
    <row r="63" spans="2:7">
      <c r="B63" s="247"/>
      <c r="C63" s="105"/>
      <c r="D63" s="103" t="s">
        <v>422</v>
      </c>
      <c r="F63" s="250" t="s">
        <v>45</v>
      </c>
      <c r="G63" s="251"/>
    </row>
    <row r="64" spans="2:7">
      <c r="B64" s="247"/>
      <c r="C64" s="105"/>
      <c r="D64" s="103" t="s">
        <v>423</v>
      </c>
      <c r="F64" s="250" t="s">
        <v>46</v>
      </c>
      <c r="G64" s="251"/>
    </row>
    <row r="65" spans="1:7">
      <c r="B65" s="247"/>
      <c r="C65" s="105"/>
      <c r="D65" s="103" t="s">
        <v>424</v>
      </c>
      <c r="F65" s="250" t="s">
        <v>47</v>
      </c>
      <c r="G65" s="251"/>
    </row>
    <row r="66" spans="1:7">
      <c r="B66" s="247"/>
      <c r="C66" s="105"/>
      <c r="D66" s="103" t="s">
        <v>425</v>
      </c>
      <c r="F66" s="250" t="s">
        <v>481</v>
      </c>
      <c r="G66" s="251"/>
    </row>
    <row r="67" spans="1:7">
      <c r="B67" s="247"/>
      <c r="C67" s="105"/>
      <c r="D67" s="103"/>
      <c r="F67" s="250" t="s">
        <v>48</v>
      </c>
      <c r="G67" s="251"/>
    </row>
    <row r="68" spans="1:7">
      <c r="B68" s="247"/>
      <c r="C68" s="105"/>
      <c r="D68" s="103"/>
      <c r="F68" s="250" t="s">
        <v>49</v>
      </c>
      <c r="G68" s="251"/>
    </row>
    <row r="69" spans="1:7">
      <c r="B69" s="247"/>
      <c r="C69" s="105"/>
      <c r="D69" s="103" t="s">
        <v>617</v>
      </c>
      <c r="F69" s="250" t="s">
        <v>50</v>
      </c>
      <c r="G69" s="251"/>
    </row>
    <row r="70" spans="1:7">
      <c r="B70" s="247"/>
      <c r="C70" s="105"/>
      <c r="D70" s="103" t="s">
        <v>617</v>
      </c>
      <c r="F70" s="106"/>
      <c r="G70" s="107"/>
    </row>
    <row r="71" spans="1:7">
      <c r="B71" s="247"/>
      <c r="C71" s="105"/>
      <c r="D71" s="103" t="s">
        <v>617</v>
      </c>
      <c r="F71" s="104" t="s">
        <v>482</v>
      </c>
      <c r="G71" s="107" t="s">
        <v>483</v>
      </c>
    </row>
    <row r="72" spans="1:7">
      <c r="B72" s="109"/>
      <c r="F72" s="112"/>
      <c r="G72" s="113" t="s">
        <v>484</v>
      </c>
    </row>
    <row r="73" spans="1:7">
      <c r="B73" s="114" t="s">
        <v>485</v>
      </c>
    </row>
    <row r="74" spans="1:7">
      <c r="B74" s="109"/>
      <c r="C74" s="115" t="s">
        <v>486</v>
      </c>
      <c r="D74" s="116"/>
    </row>
    <row r="75" spans="1:7" ht="15.75" thickBot="1">
      <c r="A75" s="117"/>
      <c r="B75" s="117"/>
      <c r="C75" s="117"/>
      <c r="D75" s="117"/>
      <c r="E75" s="117"/>
      <c r="F75" s="117"/>
      <c r="G75" s="117"/>
    </row>
    <row r="77" spans="1:7">
      <c r="B77" s="87" t="s">
        <v>26</v>
      </c>
      <c r="C77" s="87"/>
      <c r="D77" s="87"/>
      <c r="E77" s="87"/>
      <c r="F77" s="87"/>
      <c r="G77" s="87"/>
    </row>
    <row r="78" spans="1:7">
      <c r="B78" s="76"/>
      <c r="C78" s="76"/>
      <c r="D78" s="76"/>
      <c r="E78" s="76"/>
      <c r="F78" s="76"/>
      <c r="G78" s="76"/>
    </row>
    <row r="79" spans="1:7">
      <c r="C79" s="118" t="s">
        <v>626</v>
      </c>
      <c r="E79" s="88"/>
      <c r="F79" s="88"/>
    </row>
    <row r="80" spans="1:7">
      <c r="C80" s="89"/>
      <c r="D80" s="77" t="s">
        <v>28</v>
      </c>
      <c r="E80" s="89"/>
      <c r="F80" s="89"/>
      <c r="G80" s="89"/>
    </row>
    <row r="81" spans="2:7">
      <c r="B81" s="90"/>
      <c r="C81" s="90"/>
      <c r="D81" s="90"/>
      <c r="E81" s="90"/>
      <c r="F81" s="90"/>
      <c r="G81" s="90"/>
    </row>
    <row r="82" spans="2:7">
      <c r="C82" s="18"/>
      <c r="D82" s="91" t="s">
        <v>474</v>
      </c>
      <c r="E82" s="18"/>
      <c r="F82" s="18"/>
      <c r="G82" s="18"/>
    </row>
    <row r="83" spans="2:7">
      <c r="B83" s="92"/>
      <c r="C83" s="92"/>
      <c r="D83" s="92"/>
      <c r="E83" s="92"/>
      <c r="F83" s="92"/>
      <c r="G83" s="92"/>
    </row>
    <row r="84" spans="2:7">
      <c r="B84" s="80" t="s">
        <v>27</v>
      </c>
      <c r="C84" s="19" t="s">
        <v>443</v>
      </c>
      <c r="F84" s="80" t="s">
        <v>29</v>
      </c>
      <c r="G84" s="93">
        <f>G8</f>
        <v>45780</v>
      </c>
    </row>
    <row r="85" spans="2:7">
      <c r="B85" s="80" t="s">
        <v>31</v>
      </c>
      <c r="C85" s="119" t="str">
        <f>C9</f>
        <v>Poolfinaal</v>
      </c>
      <c r="F85" s="80" t="s">
        <v>475</v>
      </c>
      <c r="G85" s="95" t="str">
        <f>G9</f>
        <v>10:00</v>
      </c>
    </row>
    <row r="86" spans="2:7" ht="15.75" thickBot="1">
      <c r="F86" s="96" t="s">
        <v>476</v>
      </c>
      <c r="G86" s="95">
        <f>G10</f>
        <v>0.40666666666666668</v>
      </c>
    </row>
    <row r="87" spans="2:7" ht="16.5" thickTop="1" thickBot="1">
      <c r="B87" s="97" t="s">
        <v>477</v>
      </c>
      <c r="C87" s="98"/>
      <c r="D87" s="99" t="s">
        <v>232</v>
      </c>
      <c r="F87" s="100" t="s">
        <v>478</v>
      </c>
      <c r="G87" s="101"/>
    </row>
    <row r="88" spans="2:7" ht="15.75" thickTop="1">
      <c r="B88" s="246" t="s">
        <v>479</v>
      </c>
      <c r="C88" s="102"/>
      <c r="D88" s="103" t="s">
        <v>355</v>
      </c>
      <c r="F88" s="248" t="s">
        <v>480</v>
      </c>
      <c r="G88" s="249"/>
    </row>
    <row r="89" spans="2:7">
      <c r="B89" s="247"/>
      <c r="C89" s="105"/>
      <c r="D89" s="103" t="s">
        <v>356</v>
      </c>
      <c r="F89" s="250" t="s">
        <v>45</v>
      </c>
      <c r="G89" s="251"/>
    </row>
    <row r="90" spans="2:7">
      <c r="B90" s="247"/>
      <c r="C90" s="105"/>
      <c r="D90" s="103" t="s">
        <v>357</v>
      </c>
      <c r="F90" s="250" t="s">
        <v>46</v>
      </c>
      <c r="G90" s="251"/>
    </row>
    <row r="91" spans="2:7">
      <c r="B91" s="247"/>
      <c r="C91" s="105"/>
      <c r="D91" s="103" t="s">
        <v>358</v>
      </c>
      <c r="F91" s="250" t="s">
        <v>47</v>
      </c>
      <c r="G91" s="251"/>
    </row>
    <row r="92" spans="2:7">
      <c r="B92" s="247"/>
      <c r="C92" s="105"/>
      <c r="D92" s="103" t="s">
        <v>359</v>
      </c>
      <c r="F92" s="250" t="s">
        <v>481</v>
      </c>
      <c r="G92" s="251"/>
    </row>
    <row r="93" spans="2:7">
      <c r="B93" s="247"/>
      <c r="C93" s="105"/>
      <c r="D93" s="103" t="s">
        <v>360</v>
      </c>
      <c r="F93" s="250" t="s">
        <v>48</v>
      </c>
      <c r="G93" s="251"/>
    </row>
    <row r="94" spans="2:7">
      <c r="B94" s="247"/>
      <c r="C94" s="105"/>
      <c r="D94" s="103"/>
      <c r="F94" s="250" t="s">
        <v>49</v>
      </c>
      <c r="G94" s="251"/>
    </row>
    <row r="95" spans="2:7">
      <c r="B95" s="247"/>
      <c r="C95" s="105"/>
      <c r="D95" s="103" t="s">
        <v>617</v>
      </c>
      <c r="F95" s="250" t="s">
        <v>50</v>
      </c>
      <c r="G95" s="251"/>
    </row>
    <row r="96" spans="2:7">
      <c r="B96" s="247"/>
      <c r="C96" s="105"/>
      <c r="D96" s="103" t="s">
        <v>617</v>
      </c>
      <c r="F96" s="106"/>
      <c r="G96" s="107"/>
    </row>
    <row r="97" spans="2:7">
      <c r="B97" s="247"/>
      <c r="C97" s="105"/>
      <c r="D97" s="103" t="s">
        <v>617</v>
      </c>
      <c r="F97" s="104" t="s">
        <v>482</v>
      </c>
      <c r="G97" s="107" t="s">
        <v>483</v>
      </c>
    </row>
    <row r="98" spans="2:7">
      <c r="F98" s="112"/>
      <c r="G98" s="113" t="s">
        <v>484</v>
      </c>
    </row>
    <row r="99" spans="2:7">
      <c r="B99" s="114" t="s">
        <v>485</v>
      </c>
    </row>
    <row r="100" spans="2:7">
      <c r="C100" s="115" t="s">
        <v>486</v>
      </c>
      <c r="D100" s="116"/>
    </row>
  </sheetData>
  <protectedRanges>
    <protectedRange sqref="C11:C22 C37:C47 C61:C71 C87:C97" name="Muudetav"/>
  </protectedRanges>
  <mergeCells count="37">
    <mergeCell ref="M1:M3"/>
    <mergeCell ref="B88:B97"/>
    <mergeCell ref="F88:G88"/>
    <mergeCell ref="F89:G89"/>
    <mergeCell ref="F90:G90"/>
    <mergeCell ref="F91:G91"/>
    <mergeCell ref="F92:G92"/>
    <mergeCell ref="F93:G93"/>
    <mergeCell ref="F94:G94"/>
    <mergeCell ref="F95:G95"/>
    <mergeCell ref="B62:B71"/>
    <mergeCell ref="F62:G62"/>
    <mergeCell ref="F63:G63"/>
    <mergeCell ref="F64:G64"/>
    <mergeCell ref="F65:G65"/>
    <mergeCell ref="F66:G66"/>
    <mergeCell ref="F67:G67"/>
    <mergeCell ref="F68:G68"/>
    <mergeCell ref="F69:G69"/>
    <mergeCell ref="B38:B47"/>
    <mergeCell ref="F38:G38"/>
    <mergeCell ref="F39:G39"/>
    <mergeCell ref="F40:G40"/>
    <mergeCell ref="F41:G41"/>
    <mergeCell ref="F42:G42"/>
    <mergeCell ref="F43:G43"/>
    <mergeCell ref="F44:G44"/>
    <mergeCell ref="F45:G45"/>
    <mergeCell ref="B12:B21"/>
    <mergeCell ref="F12:G12"/>
    <mergeCell ref="F13:G13"/>
    <mergeCell ref="F14:G14"/>
    <mergeCell ref="F15:G15"/>
    <mergeCell ref="F16:G16"/>
    <mergeCell ref="F17:G17"/>
    <mergeCell ref="F18:G18"/>
    <mergeCell ref="F19:G19"/>
  </mergeCells>
  <dataValidations count="5">
    <dataValidation type="list" allowBlank="1" showInputMessage="1" showErrorMessage="1" sqref="C38:C47" xr:uid="{55CC23D3-A681-4C20-A6A9-7A1D98478D81}">
      <formula1>OFFSET($J$4,1,MATCH($C$37,$J$4:$K$4,0)-1,5,1)</formula1>
    </dataValidation>
    <dataValidation type="list" allowBlank="1" showInputMessage="1" showErrorMessage="1" sqref="C12:C22" xr:uid="{ED768078-F420-4533-A8E0-A83907A544E7}">
      <formula1>OFFSET($J$4,1,MATCH($C$11,$J$4:$K$4,0)-1,5,1)</formula1>
    </dataValidation>
    <dataValidation type="list" allowBlank="1" showInputMessage="1" showErrorMessage="1" sqref="C11 C37 C61 C87" xr:uid="{316FFA52-F15E-4B28-BBB6-0726E4301613}">
      <formula1>$J$4:$L$4</formula1>
    </dataValidation>
    <dataValidation type="list" allowBlank="1" showInputMessage="1" showErrorMessage="1" sqref="C88:C97" xr:uid="{A239859C-3B7D-4986-B3B1-C22ADC2D9CFA}">
      <formula1>OFFSET($J$4,1,MATCH($C$87,$J$4:$K$4,0)-1,5,1)</formula1>
    </dataValidation>
    <dataValidation type="list" allowBlank="1" showInputMessage="1" showErrorMessage="1" sqref="C62:C71" xr:uid="{9FD2A1B3-23E4-43A0-9CC0-CCEB7B935338}">
      <formula1>OFFSET($J$4,1,MATCH($C$61,$J$4:$K$4,0)-1,5,1)</formula1>
    </dataValidation>
  </dataValidations>
  <pageMargins left="0.7" right="0.7" top="0.75" bottom="0.75" header="0.3" footer="0.3"/>
  <pageSetup paperSize="11" scale="82" fitToHeight="0" orientation="landscape" verticalDpi="0" r:id="rId1"/>
  <rowBreaks count="4" manualBreakCount="4">
    <brk id="24" max="16383" man="1"/>
    <brk id="50" max="16383" man="1"/>
    <brk id="74" max="16383" man="1"/>
    <brk id="100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119"/>
  <sheetViews>
    <sheetView zoomScaleNormal="100" workbookViewId="0">
      <selection activeCell="Q81" sqref="Q81:S81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9.5703125" bestFit="1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487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45591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67</v>
      </c>
      <c r="Q5" s="19"/>
      <c r="R5" s="19"/>
      <c r="S5" s="19" t="s">
        <v>32</v>
      </c>
      <c r="T5" s="19"/>
      <c r="U5" s="19"/>
      <c r="V5" s="20">
        <v>2</v>
      </c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231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321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337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322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340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323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338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336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Meeskond2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507</v>
      </c>
      <c r="F16" s="254"/>
      <c r="G16" s="255"/>
      <c r="H16" s="253" t="s">
        <v>507</v>
      </c>
      <c r="I16" s="254"/>
      <c r="J16" s="255"/>
      <c r="K16" s="253" t="s">
        <v>508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0:3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0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509</v>
      </c>
      <c r="F17" s="254"/>
      <c r="G17" s="255"/>
      <c r="H17" s="253" t="s">
        <v>510</v>
      </c>
      <c r="I17" s="254"/>
      <c r="J17" s="255"/>
      <c r="K17" s="253" t="s">
        <v>511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0:3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0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508</v>
      </c>
      <c r="F18" s="254"/>
      <c r="G18" s="255"/>
      <c r="H18" s="253" t="s">
        <v>511</v>
      </c>
      <c r="I18" s="254"/>
      <c r="J18" s="255"/>
      <c r="K18" s="253" t="s">
        <v>512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0:3</v>
      </c>
      <c r="U18" s="262">
        <f t="shared" si="1"/>
        <v>0</v>
      </c>
      <c r="V18" s="264"/>
      <c r="W18" s="262">
        <f t="shared" si="2"/>
        <v>1</v>
      </c>
      <c r="X18" s="264"/>
      <c r="Y18">
        <f t="shared" si="3"/>
        <v>0</v>
      </c>
      <c r="Z18" s="18">
        <f t="shared" si="4"/>
        <v>3</v>
      </c>
    </row>
    <row r="19" spans="1:26">
      <c r="A19" s="18"/>
      <c r="B19" s="22">
        <v>4</v>
      </c>
      <c r="C19" s="276" t="s">
        <v>506</v>
      </c>
      <c r="D19" s="272"/>
      <c r="E19" s="253" t="s">
        <v>508</v>
      </c>
      <c r="F19" s="254"/>
      <c r="G19" s="255"/>
      <c r="H19" s="253" t="s">
        <v>513</v>
      </c>
      <c r="I19" s="254"/>
      <c r="J19" s="255"/>
      <c r="K19" s="253" t="s">
        <v>507</v>
      </c>
      <c r="L19" s="254"/>
      <c r="M19" s="255"/>
      <c r="N19" s="253" t="s">
        <v>511</v>
      </c>
      <c r="O19" s="254"/>
      <c r="P19" s="255"/>
      <c r="Q19" s="253"/>
      <c r="R19" s="254"/>
      <c r="S19" s="255"/>
      <c r="T19" s="123" t="str">
        <f t="shared" si="0"/>
        <v>1:3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1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18"/>
      <c r="T23" s="18"/>
      <c r="U23" s="273">
        <f>IF(ISBLANK(E16)=TRUE,"",SUM(U16:U22))</f>
        <v>0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võistkondlikud meistrivõistlused 2024/2025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45591</v>
      </c>
      <c r="F35" s="278"/>
      <c r="G35" s="278"/>
      <c r="H35" s="278"/>
      <c r="I35" s="278"/>
      <c r="J35" s="19" t="s">
        <v>30</v>
      </c>
      <c r="K35" s="19"/>
      <c r="L35" s="281" t="str">
        <f>L5</f>
        <v>10.00</v>
      </c>
      <c r="M35" s="281"/>
      <c r="N35" s="19" t="s">
        <v>31</v>
      </c>
      <c r="O35" s="19"/>
      <c r="P35" s="19" t="str">
        <f>P5</f>
        <v>I</v>
      </c>
      <c r="Q35" s="19"/>
      <c r="R35" s="19"/>
      <c r="S35" s="19" t="s">
        <v>32</v>
      </c>
      <c r="T35" s="19"/>
      <c r="U35" s="19"/>
      <c r="V35" s="20">
        <v>1</v>
      </c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232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238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356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435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357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438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358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436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355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Meeskond3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Meeskond8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501</v>
      </c>
      <c r="F46" s="254"/>
      <c r="G46" s="255"/>
      <c r="H46" s="253" t="s">
        <v>502</v>
      </c>
      <c r="I46" s="254"/>
      <c r="J46" s="255"/>
      <c r="K46" s="253" t="s">
        <v>503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504</v>
      </c>
      <c r="F47" s="254"/>
      <c r="G47" s="255"/>
      <c r="H47" s="253" t="s">
        <v>501</v>
      </c>
      <c r="I47" s="254"/>
      <c r="J47" s="255"/>
      <c r="K47" s="253" t="s">
        <v>502</v>
      </c>
      <c r="L47" s="254"/>
      <c r="M47" s="255"/>
      <c r="N47" s="253"/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3:0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0</v>
      </c>
    </row>
    <row r="48" spans="1:26">
      <c r="A48" s="18"/>
      <c r="B48" s="22">
        <v>3</v>
      </c>
      <c r="C48" s="276" t="s">
        <v>47</v>
      </c>
      <c r="D48" s="272"/>
      <c r="E48" s="253" t="s">
        <v>503</v>
      </c>
      <c r="F48" s="254"/>
      <c r="G48" s="255"/>
      <c r="H48" s="253" t="s">
        <v>502</v>
      </c>
      <c r="I48" s="254"/>
      <c r="J48" s="255"/>
      <c r="K48" s="253" t="s">
        <v>502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505</v>
      </c>
      <c r="D49" s="272"/>
      <c r="E49" s="253" t="s">
        <v>503</v>
      </c>
      <c r="F49" s="254"/>
      <c r="G49" s="255"/>
      <c r="H49" s="253" t="s">
        <v>503</v>
      </c>
      <c r="I49" s="254"/>
      <c r="J49" s="255"/>
      <c r="K49" s="253" t="s">
        <v>502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3:0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0</v>
      </c>
    </row>
    <row r="50" spans="1:26">
      <c r="A50" s="18"/>
      <c r="B50" s="24">
        <v>5</v>
      </c>
      <c r="C50" s="271" t="s">
        <v>48</v>
      </c>
      <c r="D50" s="272"/>
      <c r="E50" s="253"/>
      <c r="F50" s="254"/>
      <c r="G50" s="255"/>
      <c r="H50" s="253"/>
      <c r="I50" s="254"/>
      <c r="J50" s="255"/>
      <c r="K50" s="253"/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/>
      </c>
      <c r="U50" s="262" t="str">
        <f t="shared" si="6"/>
        <v/>
      </c>
      <c r="V50" s="264"/>
      <c r="W50" s="262" t="str">
        <f t="shared" si="7"/>
        <v/>
      </c>
      <c r="X50" s="264"/>
      <c r="Y50">
        <f t="shared" si="8"/>
        <v>0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4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4"/>
      <c r="T52" s="125" t="str">
        <f t="shared" si="5"/>
        <v/>
      </c>
      <c r="U52" s="263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18"/>
      <c r="T53" s="18"/>
      <c r="U53" s="273">
        <f>IF(ISBLANK(E46)=TRUE,"",SUM(U46:U52))</f>
        <v>4</v>
      </c>
      <c r="V53" s="274"/>
      <c r="W53" s="273">
        <f>IF(ISBLANK(E46)=TRUE,"",SUM(W46:W52))</f>
        <v>0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võistkondlikud meistrivõistlused 2024/2025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45591</v>
      </c>
      <c r="F65" s="278"/>
      <c r="G65" s="278"/>
      <c r="H65" s="278"/>
      <c r="I65" s="278"/>
      <c r="J65" s="19" t="s">
        <v>30</v>
      </c>
      <c r="K65" s="19"/>
      <c r="L65" s="281" t="str">
        <f>L5</f>
        <v>10.00</v>
      </c>
      <c r="M65" s="281"/>
      <c r="N65" s="19" t="s">
        <v>31</v>
      </c>
      <c r="O65" s="19"/>
      <c r="P65" s="19" t="str">
        <f>P5</f>
        <v>I</v>
      </c>
      <c r="Q65" s="19"/>
      <c r="R65" s="19"/>
      <c r="S65" s="19" t="s">
        <v>32</v>
      </c>
      <c r="T65" s="19"/>
      <c r="U65" s="19"/>
      <c r="V65" s="20">
        <v>3</v>
      </c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233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237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370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421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374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422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371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423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424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Meeskond4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Meeskond7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517</v>
      </c>
      <c r="F76" s="254"/>
      <c r="G76" s="255"/>
      <c r="H76" s="253" t="s">
        <v>521</v>
      </c>
      <c r="I76" s="254"/>
      <c r="J76" s="255"/>
      <c r="K76" s="253" t="s">
        <v>503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3:0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0</v>
      </c>
    </row>
    <row r="77" spans="1:26">
      <c r="A77" s="18"/>
      <c r="B77" s="22">
        <v>2</v>
      </c>
      <c r="C77" s="276" t="s">
        <v>46</v>
      </c>
      <c r="D77" s="272"/>
      <c r="E77" s="253" t="s">
        <v>522</v>
      </c>
      <c r="F77" s="254"/>
      <c r="G77" s="255"/>
      <c r="H77" s="253" t="s">
        <v>513</v>
      </c>
      <c r="I77" s="254"/>
      <c r="J77" s="255"/>
      <c r="K77" s="253" t="s">
        <v>523</v>
      </c>
      <c r="L77" s="254"/>
      <c r="M77" s="255"/>
      <c r="N77" s="253" t="s">
        <v>522</v>
      </c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1:3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1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501</v>
      </c>
      <c r="F78" s="254"/>
      <c r="G78" s="255"/>
      <c r="H78" s="253" t="s">
        <v>510</v>
      </c>
      <c r="I78" s="254"/>
      <c r="J78" s="255"/>
      <c r="K78" s="253" t="s">
        <v>519</v>
      </c>
      <c r="L78" s="254"/>
      <c r="M78" s="255"/>
      <c r="N78" s="253" t="s">
        <v>513</v>
      </c>
      <c r="O78" s="254"/>
      <c r="P78" s="255"/>
      <c r="Q78" s="253" t="s">
        <v>515</v>
      </c>
      <c r="R78" s="254"/>
      <c r="S78" s="255"/>
      <c r="T78" s="123" t="str">
        <f t="shared" si="10"/>
        <v>3:2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2</v>
      </c>
    </row>
    <row r="79" spans="1:26">
      <c r="A79" s="18"/>
      <c r="B79" s="22">
        <v>4</v>
      </c>
      <c r="C79" s="276" t="s">
        <v>520</v>
      </c>
      <c r="D79" s="272"/>
      <c r="E79" s="253" t="s">
        <v>523</v>
      </c>
      <c r="F79" s="254"/>
      <c r="G79" s="255"/>
      <c r="H79" s="253" t="s">
        <v>524</v>
      </c>
      <c r="I79" s="254"/>
      <c r="J79" s="255"/>
      <c r="K79" s="253" t="s">
        <v>513</v>
      </c>
      <c r="L79" s="254"/>
      <c r="M79" s="255"/>
      <c r="N79" s="253" t="s">
        <v>513</v>
      </c>
      <c r="O79" s="254"/>
      <c r="P79" s="255"/>
      <c r="Q79" s="253" t="s">
        <v>512</v>
      </c>
      <c r="R79" s="254"/>
      <c r="S79" s="255"/>
      <c r="T79" s="123" t="str">
        <f t="shared" si="10"/>
        <v>2:3</v>
      </c>
      <c r="U79" s="262">
        <f t="shared" si="11"/>
        <v>0</v>
      </c>
      <c r="V79" s="264"/>
      <c r="W79" s="262">
        <f t="shared" si="12"/>
        <v>1</v>
      </c>
      <c r="X79" s="264"/>
      <c r="Y79">
        <f t="shared" si="13"/>
        <v>2</v>
      </c>
      <c r="Z79" s="18">
        <f t="shared" si="14"/>
        <v>3</v>
      </c>
    </row>
    <row r="80" spans="1:26">
      <c r="A80" s="18"/>
      <c r="B80" s="24">
        <v>5</v>
      </c>
      <c r="C80" s="271" t="s">
        <v>48</v>
      </c>
      <c r="D80" s="272"/>
      <c r="E80" s="253" t="s">
        <v>515</v>
      </c>
      <c r="F80" s="254"/>
      <c r="G80" s="255"/>
      <c r="H80" s="253" t="s">
        <v>503</v>
      </c>
      <c r="I80" s="254"/>
      <c r="J80" s="255"/>
      <c r="K80" s="253" t="s">
        <v>516</v>
      </c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>3:0</v>
      </c>
      <c r="U80" s="262">
        <f t="shared" si="11"/>
        <v>1</v>
      </c>
      <c r="V80" s="264"/>
      <c r="W80" s="262">
        <f t="shared" si="12"/>
        <v>0</v>
      </c>
      <c r="X80" s="264"/>
      <c r="Y80">
        <f t="shared" si="13"/>
        <v>3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 t="s">
        <v>525</v>
      </c>
      <c r="F81" s="254"/>
      <c r="G81" s="255"/>
      <c r="H81" s="253" t="s">
        <v>526</v>
      </c>
      <c r="I81" s="254"/>
      <c r="J81" s="255"/>
      <c r="K81" s="253" t="s">
        <v>512</v>
      </c>
      <c r="L81" s="254"/>
      <c r="M81" s="255"/>
      <c r="N81" s="253" t="s">
        <v>521</v>
      </c>
      <c r="O81" s="254"/>
      <c r="P81" s="255"/>
      <c r="Q81" s="253"/>
      <c r="R81" s="254"/>
      <c r="S81" s="255"/>
      <c r="T81" s="123" t="str">
        <f t="shared" si="10"/>
        <v>3:1</v>
      </c>
      <c r="U81" s="262">
        <f t="shared" si="11"/>
        <v>1</v>
      </c>
      <c r="V81" s="264"/>
      <c r="W81" s="262">
        <f t="shared" si="12"/>
        <v>0</v>
      </c>
      <c r="X81" s="264"/>
      <c r="Y81">
        <f t="shared" si="13"/>
        <v>3</v>
      </c>
      <c r="Z81" s="18">
        <f t="shared" si="14"/>
        <v>1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2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võistkondlikud meistrivõistlused 2024/2025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45591</v>
      </c>
      <c r="F95" s="278"/>
      <c r="G95" s="278"/>
      <c r="H95" s="278"/>
      <c r="I95" s="278"/>
      <c r="J95" s="19" t="s">
        <v>30</v>
      </c>
      <c r="K95" s="19"/>
      <c r="L95" s="281" t="str">
        <f>L5</f>
        <v>10.00</v>
      </c>
      <c r="M95" s="281"/>
      <c r="N95" s="19" t="s">
        <v>31</v>
      </c>
      <c r="O95" s="19"/>
      <c r="P95" s="19" t="str">
        <f>P5</f>
        <v>I</v>
      </c>
      <c r="Q95" s="19"/>
      <c r="R95" s="19"/>
      <c r="S95" s="19" t="s">
        <v>32</v>
      </c>
      <c r="T95" s="19"/>
      <c r="U95" s="19"/>
      <c r="V95" s="20">
        <v>4</v>
      </c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234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235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385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403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386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64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387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405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388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Meeskond5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Meeskond6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513</v>
      </c>
      <c r="F106" s="254"/>
      <c r="G106" s="255"/>
      <c r="H106" s="253" t="s">
        <v>503</v>
      </c>
      <c r="I106" s="254"/>
      <c r="J106" s="255"/>
      <c r="K106" s="253" t="s">
        <v>502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3:0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0</v>
      </c>
    </row>
    <row r="107" spans="1:26">
      <c r="A107" s="18"/>
      <c r="B107" s="22">
        <v>2</v>
      </c>
      <c r="C107" s="276" t="s">
        <v>46</v>
      </c>
      <c r="D107" s="272"/>
      <c r="E107" s="253" t="s">
        <v>515</v>
      </c>
      <c r="F107" s="254"/>
      <c r="G107" s="255"/>
      <c r="H107" s="253" t="s">
        <v>516</v>
      </c>
      <c r="I107" s="254"/>
      <c r="J107" s="255"/>
      <c r="K107" s="253" t="s">
        <v>517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3:0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0</v>
      </c>
    </row>
    <row r="108" spans="1:26">
      <c r="A108" s="18"/>
      <c r="B108" s="22">
        <v>3</v>
      </c>
      <c r="C108" s="276" t="s">
        <v>47</v>
      </c>
      <c r="D108" s="272"/>
      <c r="E108" s="253" t="s">
        <v>516</v>
      </c>
      <c r="F108" s="254"/>
      <c r="G108" s="255"/>
      <c r="H108" s="253" t="s">
        <v>502</v>
      </c>
      <c r="I108" s="254"/>
      <c r="J108" s="255"/>
      <c r="K108" s="253" t="s">
        <v>510</v>
      </c>
      <c r="L108" s="254"/>
      <c r="M108" s="255"/>
      <c r="N108" s="253" t="s">
        <v>508</v>
      </c>
      <c r="O108" s="254"/>
      <c r="P108" s="255"/>
      <c r="Q108" s="253" t="s">
        <v>515</v>
      </c>
      <c r="R108" s="254"/>
      <c r="S108" s="255"/>
      <c r="T108" s="123" t="str">
        <f t="shared" si="15"/>
        <v>3:2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2</v>
      </c>
    </row>
    <row r="109" spans="1:26">
      <c r="A109" s="18"/>
      <c r="B109" s="22">
        <v>4</v>
      </c>
      <c r="C109" s="276" t="s">
        <v>514</v>
      </c>
      <c r="D109" s="272"/>
      <c r="E109" s="253" t="s">
        <v>518</v>
      </c>
      <c r="F109" s="254"/>
      <c r="G109" s="255"/>
      <c r="H109" s="253" t="s">
        <v>513</v>
      </c>
      <c r="I109" s="254"/>
      <c r="J109" s="255"/>
      <c r="K109" s="253" t="s">
        <v>502</v>
      </c>
      <c r="L109" s="254"/>
      <c r="M109" s="255"/>
      <c r="N109" s="253" t="s">
        <v>519</v>
      </c>
      <c r="O109" s="254"/>
      <c r="P109" s="255"/>
      <c r="Q109" s="253" t="s">
        <v>503</v>
      </c>
      <c r="R109" s="254"/>
      <c r="S109" s="255"/>
      <c r="T109" s="123" t="str">
        <f t="shared" si="15"/>
        <v>3:2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2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0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E113:G113"/>
    <mergeCell ref="B118:D118"/>
    <mergeCell ref="J118:L118"/>
    <mergeCell ref="Q118:S118"/>
    <mergeCell ref="C111:D111"/>
    <mergeCell ref="U111:V111"/>
    <mergeCell ref="W111:X111"/>
    <mergeCell ref="C112:D112"/>
    <mergeCell ref="U112:V112"/>
    <mergeCell ref="W112:X112"/>
    <mergeCell ref="B115:D115"/>
    <mergeCell ref="J115:L115"/>
    <mergeCell ref="Q115:S115"/>
    <mergeCell ref="E112:G112"/>
    <mergeCell ref="H112:J112"/>
    <mergeCell ref="K112:M112"/>
    <mergeCell ref="N112:P112"/>
    <mergeCell ref="Q112:S112"/>
    <mergeCell ref="U113:V113"/>
    <mergeCell ref="W113:X113"/>
    <mergeCell ref="C109:D109"/>
    <mergeCell ref="U109:V109"/>
    <mergeCell ref="W109:X109"/>
    <mergeCell ref="C110:D110"/>
    <mergeCell ref="U110:V110"/>
    <mergeCell ref="W110:X110"/>
    <mergeCell ref="C107:D107"/>
    <mergeCell ref="U107:V107"/>
    <mergeCell ref="W107:X107"/>
    <mergeCell ref="C108:D108"/>
    <mergeCell ref="U108:V108"/>
    <mergeCell ref="W108:X108"/>
    <mergeCell ref="E107:G107"/>
    <mergeCell ref="H107:J107"/>
    <mergeCell ref="K107:M107"/>
    <mergeCell ref="N107:P107"/>
    <mergeCell ref="Q107:S107"/>
    <mergeCell ref="E108:G108"/>
    <mergeCell ref="H108:J108"/>
    <mergeCell ref="K108:M108"/>
    <mergeCell ref="N108:P108"/>
    <mergeCell ref="Q108:S108"/>
    <mergeCell ref="E109:G109"/>
    <mergeCell ref="H109:J109"/>
    <mergeCell ref="B105:D105"/>
    <mergeCell ref="U105:V105"/>
    <mergeCell ref="W105:X105"/>
    <mergeCell ref="C106:D106"/>
    <mergeCell ref="U106:V106"/>
    <mergeCell ref="W106:X106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E106:G106"/>
    <mergeCell ref="H106:J106"/>
    <mergeCell ref="K106:M106"/>
    <mergeCell ref="N106:P106"/>
    <mergeCell ref="Q106:S106"/>
    <mergeCell ref="T104:T105"/>
    <mergeCell ref="C99:K99"/>
    <mergeCell ref="N99:W99"/>
    <mergeCell ref="C100:K100"/>
    <mergeCell ref="N100:W100"/>
    <mergeCell ref="C101:K101"/>
    <mergeCell ref="N101:W101"/>
    <mergeCell ref="C97:F97"/>
    <mergeCell ref="G97:L97"/>
    <mergeCell ref="N97:Q97"/>
    <mergeCell ref="R97:X97"/>
    <mergeCell ref="C98:K98"/>
    <mergeCell ref="N98:W98"/>
    <mergeCell ref="B93:O93"/>
    <mergeCell ref="S93:W93"/>
    <mergeCell ref="B94:O94"/>
    <mergeCell ref="E95:I95"/>
    <mergeCell ref="L95:M95"/>
    <mergeCell ref="E83:G83"/>
    <mergeCell ref="B88:D88"/>
    <mergeCell ref="J88:L88"/>
    <mergeCell ref="Q88:S88"/>
    <mergeCell ref="B91:G91"/>
    <mergeCell ref="B85:D85"/>
    <mergeCell ref="J85:L85"/>
    <mergeCell ref="Q85:S85"/>
    <mergeCell ref="U83:V83"/>
    <mergeCell ref="W83:X83"/>
    <mergeCell ref="C81:D81"/>
    <mergeCell ref="U81:V81"/>
    <mergeCell ref="W81:X81"/>
    <mergeCell ref="C82:D82"/>
    <mergeCell ref="U82:V82"/>
    <mergeCell ref="W82:X82"/>
    <mergeCell ref="C79:D79"/>
    <mergeCell ref="U79:V79"/>
    <mergeCell ref="W79:X79"/>
    <mergeCell ref="C80:D80"/>
    <mergeCell ref="U80:V80"/>
    <mergeCell ref="W80:X80"/>
    <mergeCell ref="E81:G81"/>
    <mergeCell ref="H81:J81"/>
    <mergeCell ref="K81:M81"/>
    <mergeCell ref="N81:P81"/>
    <mergeCell ref="Q81:S81"/>
    <mergeCell ref="E82:G82"/>
    <mergeCell ref="H82:J82"/>
    <mergeCell ref="K82:M82"/>
    <mergeCell ref="N82:P82"/>
    <mergeCell ref="Q82:S82"/>
    <mergeCell ref="C77:D77"/>
    <mergeCell ref="U77:V77"/>
    <mergeCell ref="W77:X77"/>
    <mergeCell ref="C78:D78"/>
    <mergeCell ref="U78:V78"/>
    <mergeCell ref="W78:X78"/>
    <mergeCell ref="B75:D75"/>
    <mergeCell ref="U75:V75"/>
    <mergeCell ref="W75:X75"/>
    <mergeCell ref="C76:D76"/>
    <mergeCell ref="U76:V76"/>
    <mergeCell ref="W76:X76"/>
    <mergeCell ref="E76:G76"/>
    <mergeCell ref="H76:J76"/>
    <mergeCell ref="K76:M76"/>
    <mergeCell ref="N76:P76"/>
    <mergeCell ref="Q76:S76"/>
    <mergeCell ref="E77:G77"/>
    <mergeCell ref="H77:J77"/>
    <mergeCell ref="K77:M77"/>
    <mergeCell ref="N77:P77"/>
    <mergeCell ref="Q77:S77"/>
    <mergeCell ref="E78:G78"/>
    <mergeCell ref="H78:J78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T74:T75"/>
    <mergeCell ref="C69:K69"/>
    <mergeCell ref="N69:W69"/>
    <mergeCell ref="C70:K70"/>
    <mergeCell ref="N70:W70"/>
    <mergeCell ref="C71:K71"/>
    <mergeCell ref="N71:W71"/>
    <mergeCell ref="C67:F67"/>
    <mergeCell ref="G67:L67"/>
    <mergeCell ref="N67:Q67"/>
    <mergeCell ref="R67:X67"/>
    <mergeCell ref="C68:K68"/>
    <mergeCell ref="N68:W68"/>
    <mergeCell ref="B63:O63"/>
    <mergeCell ref="S63:W63"/>
    <mergeCell ref="B64:O64"/>
    <mergeCell ref="E65:I65"/>
    <mergeCell ref="L65:M65"/>
    <mergeCell ref="E53:G53"/>
    <mergeCell ref="B58:D58"/>
    <mergeCell ref="J58:L58"/>
    <mergeCell ref="Q58:S58"/>
    <mergeCell ref="B61:G61"/>
    <mergeCell ref="B55:D55"/>
    <mergeCell ref="J55:L55"/>
    <mergeCell ref="Q55:S55"/>
    <mergeCell ref="U53:V53"/>
    <mergeCell ref="W53:X53"/>
    <mergeCell ref="C51:D51"/>
    <mergeCell ref="U51:V51"/>
    <mergeCell ref="W51:X51"/>
    <mergeCell ref="C52:D52"/>
    <mergeCell ref="U52:V52"/>
    <mergeCell ref="W52:X52"/>
    <mergeCell ref="C49:D49"/>
    <mergeCell ref="U49:V49"/>
    <mergeCell ref="W49:X49"/>
    <mergeCell ref="C50:D50"/>
    <mergeCell ref="U50:V50"/>
    <mergeCell ref="W50:X50"/>
    <mergeCell ref="E51:G51"/>
    <mergeCell ref="H51:J51"/>
    <mergeCell ref="K51:M51"/>
    <mergeCell ref="N51:P51"/>
    <mergeCell ref="Q51:S51"/>
    <mergeCell ref="E52:G52"/>
    <mergeCell ref="H52:J52"/>
    <mergeCell ref="K52:M52"/>
    <mergeCell ref="N52:P52"/>
    <mergeCell ref="Q52:S52"/>
    <mergeCell ref="C47:D47"/>
    <mergeCell ref="U47:V47"/>
    <mergeCell ref="W47:X47"/>
    <mergeCell ref="C48:D48"/>
    <mergeCell ref="U48:V48"/>
    <mergeCell ref="W48:X48"/>
    <mergeCell ref="B45:D45"/>
    <mergeCell ref="U45:V45"/>
    <mergeCell ref="W45:X45"/>
    <mergeCell ref="C46:D46"/>
    <mergeCell ref="U46:V46"/>
    <mergeCell ref="W46:X46"/>
    <mergeCell ref="E46:G46"/>
    <mergeCell ref="H46:J46"/>
    <mergeCell ref="K46:M46"/>
    <mergeCell ref="N46:P46"/>
    <mergeCell ref="Q46:S46"/>
    <mergeCell ref="E47:G47"/>
    <mergeCell ref="H47:J47"/>
    <mergeCell ref="K47:M47"/>
    <mergeCell ref="N47:P47"/>
    <mergeCell ref="Q47:S47"/>
    <mergeCell ref="E48:G48"/>
    <mergeCell ref="H48:J48"/>
    <mergeCell ref="N42:X42"/>
    <mergeCell ref="C42:K42"/>
    <mergeCell ref="B44:D44"/>
    <mergeCell ref="E44:G44"/>
    <mergeCell ref="H44:J44"/>
    <mergeCell ref="K44:M44"/>
    <mergeCell ref="N44:P44"/>
    <mergeCell ref="Q44:S44"/>
    <mergeCell ref="U44:X44"/>
    <mergeCell ref="T44:T45"/>
    <mergeCell ref="C39:K39"/>
    <mergeCell ref="C40:K40"/>
    <mergeCell ref="C41:K41"/>
    <mergeCell ref="C37:F37"/>
    <mergeCell ref="G37:L37"/>
    <mergeCell ref="N37:Q37"/>
    <mergeCell ref="R37:X37"/>
    <mergeCell ref="C38:K38"/>
    <mergeCell ref="N38:X38"/>
    <mergeCell ref="N39:X39"/>
    <mergeCell ref="N40:X40"/>
    <mergeCell ref="N41:X41"/>
    <mergeCell ref="B33:O33"/>
    <mergeCell ref="S33:W33"/>
    <mergeCell ref="B34:O34"/>
    <mergeCell ref="E35:I35"/>
    <mergeCell ref="L35:M35"/>
    <mergeCell ref="B1:G1"/>
    <mergeCell ref="B3:O3"/>
    <mergeCell ref="S3:W3"/>
    <mergeCell ref="B4:O4"/>
    <mergeCell ref="E5:I5"/>
    <mergeCell ref="L5:M5"/>
    <mergeCell ref="C7:F7"/>
    <mergeCell ref="G7:L7"/>
    <mergeCell ref="N7:Q7"/>
    <mergeCell ref="R7:X7"/>
    <mergeCell ref="C8:K8"/>
    <mergeCell ref="C9:K9"/>
    <mergeCell ref="C10:K10"/>
    <mergeCell ref="C11:K11"/>
    <mergeCell ref="B15:D15"/>
    <mergeCell ref="U15:V15"/>
    <mergeCell ref="W15:X15"/>
    <mergeCell ref="C16:D16"/>
    <mergeCell ref="C17:D17"/>
    <mergeCell ref="U17:V17"/>
    <mergeCell ref="W17:X17"/>
    <mergeCell ref="E17:G17"/>
    <mergeCell ref="H17:J17"/>
    <mergeCell ref="K17:M17"/>
    <mergeCell ref="N17:P17"/>
    <mergeCell ref="Q17:S17"/>
    <mergeCell ref="B31:G31"/>
    <mergeCell ref="C18:D18"/>
    <mergeCell ref="U18:V18"/>
    <mergeCell ref="W18:X18"/>
    <mergeCell ref="C19:D19"/>
    <mergeCell ref="U19:V19"/>
    <mergeCell ref="W19:X19"/>
    <mergeCell ref="C20:D20"/>
    <mergeCell ref="U20:V20"/>
    <mergeCell ref="W20:X20"/>
    <mergeCell ref="E18:G18"/>
    <mergeCell ref="H18:J18"/>
    <mergeCell ref="K18:M18"/>
    <mergeCell ref="N18:P18"/>
    <mergeCell ref="Q18:S18"/>
    <mergeCell ref="E19:G19"/>
    <mergeCell ref="H19:J19"/>
    <mergeCell ref="K19:M19"/>
    <mergeCell ref="N19:P19"/>
    <mergeCell ref="Q19:S19"/>
    <mergeCell ref="E20:G20"/>
    <mergeCell ref="H20:J20"/>
    <mergeCell ref="K20:M20"/>
    <mergeCell ref="N20:P20"/>
    <mergeCell ref="Q20:S20"/>
    <mergeCell ref="U21:V21"/>
    <mergeCell ref="W21:X21"/>
    <mergeCell ref="C22:D22"/>
    <mergeCell ref="U22:V22"/>
    <mergeCell ref="W22:X22"/>
    <mergeCell ref="E23:G23"/>
    <mergeCell ref="B28:D28"/>
    <mergeCell ref="J28:L28"/>
    <mergeCell ref="Q28:S28"/>
    <mergeCell ref="C21:D21"/>
    <mergeCell ref="B25:D25"/>
    <mergeCell ref="J25:L25"/>
    <mergeCell ref="Q25:S25"/>
    <mergeCell ref="E21:G21"/>
    <mergeCell ref="H21:J21"/>
    <mergeCell ref="K21:M21"/>
    <mergeCell ref="N21:P21"/>
    <mergeCell ref="Q21:S21"/>
    <mergeCell ref="E22:G22"/>
    <mergeCell ref="H22:J22"/>
    <mergeCell ref="K22:M22"/>
    <mergeCell ref="N22:P22"/>
    <mergeCell ref="Q22:S22"/>
    <mergeCell ref="U23:V23"/>
    <mergeCell ref="W23:X23"/>
    <mergeCell ref="N8:X8"/>
    <mergeCell ref="N9:X9"/>
    <mergeCell ref="N10:X10"/>
    <mergeCell ref="N11:X11"/>
    <mergeCell ref="N12:X12"/>
    <mergeCell ref="E16:G16"/>
    <mergeCell ref="H16:J16"/>
    <mergeCell ref="K16:M16"/>
    <mergeCell ref="N16:P16"/>
    <mergeCell ref="Q16:S16"/>
    <mergeCell ref="C12:K12"/>
    <mergeCell ref="B14:D14"/>
    <mergeCell ref="E14:G14"/>
    <mergeCell ref="H14:J14"/>
    <mergeCell ref="K14:M14"/>
    <mergeCell ref="N14:P14"/>
    <mergeCell ref="Q14:S14"/>
    <mergeCell ref="U14:X14"/>
    <mergeCell ref="U16:V16"/>
    <mergeCell ref="W16:X16"/>
    <mergeCell ref="T14:T15"/>
    <mergeCell ref="K48:M48"/>
    <mergeCell ref="N48:P48"/>
    <mergeCell ref="Q48:S48"/>
    <mergeCell ref="E49:G49"/>
    <mergeCell ref="H49:J49"/>
    <mergeCell ref="K49:M49"/>
    <mergeCell ref="N49:P49"/>
    <mergeCell ref="Q49:S49"/>
    <mergeCell ref="E50:G50"/>
    <mergeCell ref="H50:J50"/>
    <mergeCell ref="K50:M50"/>
    <mergeCell ref="N50:P50"/>
    <mergeCell ref="Q50:S50"/>
    <mergeCell ref="K78:M78"/>
    <mergeCell ref="N78:P78"/>
    <mergeCell ref="Q78:S78"/>
    <mergeCell ref="E79:G79"/>
    <mergeCell ref="H79:J79"/>
    <mergeCell ref="K79:M79"/>
    <mergeCell ref="N79:P79"/>
    <mergeCell ref="Q79:S79"/>
    <mergeCell ref="E80:G80"/>
    <mergeCell ref="H80:J80"/>
    <mergeCell ref="K80:M80"/>
    <mergeCell ref="N80:P80"/>
    <mergeCell ref="Q80:S80"/>
    <mergeCell ref="K109:M109"/>
    <mergeCell ref="N109:P109"/>
    <mergeCell ref="Q109:S109"/>
    <mergeCell ref="E110:G110"/>
    <mergeCell ref="H110:J110"/>
    <mergeCell ref="K110:M110"/>
    <mergeCell ref="N110:P110"/>
    <mergeCell ref="Q110:S110"/>
    <mergeCell ref="E111:G111"/>
    <mergeCell ref="H111:J111"/>
    <mergeCell ref="K111:M111"/>
    <mergeCell ref="N111:P111"/>
    <mergeCell ref="Q111:S111"/>
  </mergeCells>
  <conditionalFormatting sqref="C8:K12 N8:N12">
    <cfRule type="expression" dxfId="170" priority="4" stopIfTrue="1">
      <formula>ISNA(C8)</formula>
    </cfRule>
  </conditionalFormatting>
  <conditionalFormatting sqref="C38:K42 N38:N42">
    <cfRule type="expression" dxfId="169" priority="3" stopIfTrue="1">
      <formula>ISNA(C38)</formula>
    </cfRule>
  </conditionalFormatting>
  <conditionalFormatting sqref="C68:K72 N68:W72">
    <cfRule type="expression" dxfId="168" priority="2" stopIfTrue="1">
      <formula>ISNA(C68)</formula>
    </cfRule>
  </conditionalFormatting>
  <conditionalFormatting sqref="C98:K102 N98:W102">
    <cfRule type="expression" dxfId="167" priority="1" stopIfTrue="1">
      <formula>ISNA(C98)</formula>
    </cfRule>
  </conditionalFormatting>
  <dataValidations count="9">
    <dataValidation type="list" allowBlank="1" showInputMessage="1" showErrorMessage="1" sqref="G37:L37 R37:X37 R7:X7 R97:X97 G67:L67 R67:X67 G97:L97 G7:L7" xr:uid="{00000000-0002-0000-0000-000000000000}">
      <formula1>Mansad</formula1>
    </dataValidation>
    <dataValidation type="list" allowBlank="1" showInputMessage="1" showErrorMessage="1" sqref="N8:N12" xr:uid="{00000000-0002-0000-0000-000001000000}">
      <formula1>INDIRECT($W$13)</formula1>
    </dataValidation>
    <dataValidation type="list" allowBlank="1" showInputMessage="1" showErrorMessage="1" sqref="N38:N42" xr:uid="{00000000-0002-0000-0000-000002000000}">
      <formula1>INDIRECT($W$43)</formula1>
    </dataValidation>
    <dataValidation type="list" allowBlank="1" showInputMessage="1" showErrorMessage="1" sqref="N68:W72" xr:uid="{00000000-0002-0000-0000-000003000000}">
      <formula1>INDIRECT($W$73)</formula1>
    </dataValidation>
    <dataValidation type="list" allowBlank="1" showInputMessage="1" showErrorMessage="1" sqref="N98:W102" xr:uid="{00000000-0002-0000-0000-000004000000}">
      <formula1>INDIRECT($W$103)</formula1>
    </dataValidation>
    <dataValidation type="list" allowBlank="1" showInputMessage="1" showErrorMessage="1" sqref="C8:K12" xr:uid="{00000000-0002-0000-0000-000005000000}">
      <formula1>INDIRECT($K$13)</formula1>
    </dataValidation>
    <dataValidation type="list" allowBlank="1" showInputMessage="1" showErrorMessage="1" sqref="C38:K42" xr:uid="{00000000-0002-0000-0000-000006000000}">
      <formula1>INDIRECT($K$43)</formula1>
    </dataValidation>
    <dataValidation type="list" allowBlank="1" showInputMessage="1" showErrorMessage="1" sqref="C68:K72" xr:uid="{00000000-0002-0000-0000-000007000000}">
      <formula1>INDIRECT($K$73)</formula1>
    </dataValidation>
    <dataValidation type="list" allowBlank="1" showInputMessage="1" showErrorMessage="1" sqref="C98:K102" xr:uid="{00000000-0002-0000-0000-000008000000}">
      <formula1>INDIRECT($K$103)</formula1>
    </dataValidation>
  </dataValidations>
  <printOptions horizontalCentered="1" verticalCentered="1"/>
  <pageMargins left="0.18" right="0.19" top="0.35433070866141736" bottom="0.35433070866141736" header="0.33" footer="0.31496062992125984"/>
  <pageSetup paperSize="11" scale="84" orientation="landscape" r:id="rId1"/>
  <rowBreaks count="3" manualBreakCount="3">
    <brk id="29" max="16383" man="1"/>
    <brk id="59" max="16383" man="1"/>
    <brk id="89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Z119"/>
  <sheetViews>
    <sheetView topLeftCell="A91" zoomScaleNormal="100" workbookViewId="0">
      <selection activeCell="Q81" sqref="Q81:S81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7.1406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487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45591</v>
      </c>
      <c r="F5" s="278"/>
      <c r="G5" s="278"/>
      <c r="H5" s="278"/>
      <c r="I5" s="278"/>
      <c r="J5" s="19" t="s">
        <v>30</v>
      </c>
      <c r="K5" s="19"/>
      <c r="L5" s="281" t="s">
        <v>466</v>
      </c>
      <c r="M5" s="281"/>
      <c r="N5" s="19" t="s">
        <v>31</v>
      </c>
      <c r="O5" s="19"/>
      <c r="P5" s="19" t="s">
        <v>440</v>
      </c>
      <c r="Q5" s="19"/>
      <c r="R5" s="19"/>
      <c r="S5" s="19" t="s">
        <v>32</v>
      </c>
      <c r="T5" s="19"/>
      <c r="U5" s="19"/>
      <c r="V5" s="20">
        <v>4</v>
      </c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235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321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64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322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403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323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405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/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Meeskond6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515</v>
      </c>
      <c r="F16" s="254"/>
      <c r="G16" s="255"/>
      <c r="H16" s="253" t="s">
        <v>507</v>
      </c>
      <c r="I16" s="254"/>
      <c r="J16" s="255"/>
      <c r="K16" s="253" t="s">
        <v>513</v>
      </c>
      <c r="L16" s="254"/>
      <c r="M16" s="255"/>
      <c r="N16" s="253" t="s">
        <v>530</v>
      </c>
      <c r="O16" s="254"/>
      <c r="P16" s="255"/>
      <c r="Q16" s="253"/>
      <c r="R16" s="254"/>
      <c r="S16" s="255"/>
      <c r="T16" s="123" t="str">
        <f>IF(ISBLANK(E16)=TRUE,"",VALUE(Y16)&amp;":"&amp;VALUE(Z16))</f>
        <v>3:1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1</v>
      </c>
    </row>
    <row r="17" spans="1:26">
      <c r="A17" s="18"/>
      <c r="B17" s="22">
        <v>2</v>
      </c>
      <c r="C17" s="276" t="s">
        <v>46</v>
      </c>
      <c r="D17" s="272"/>
      <c r="E17" s="253" t="s">
        <v>515</v>
      </c>
      <c r="F17" s="254"/>
      <c r="G17" s="255"/>
      <c r="H17" s="253" t="s">
        <v>503</v>
      </c>
      <c r="I17" s="254"/>
      <c r="J17" s="255"/>
      <c r="K17" s="253" t="s">
        <v>515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3:0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0</v>
      </c>
    </row>
    <row r="18" spans="1:26">
      <c r="A18" s="18"/>
      <c r="B18" s="22">
        <v>3</v>
      </c>
      <c r="C18" s="276" t="s">
        <v>47</v>
      </c>
      <c r="D18" s="272"/>
      <c r="E18" s="253" t="s">
        <v>523</v>
      </c>
      <c r="F18" s="254"/>
      <c r="G18" s="255"/>
      <c r="H18" s="253" t="s">
        <v>531</v>
      </c>
      <c r="I18" s="254"/>
      <c r="J18" s="255"/>
      <c r="K18" s="253" t="s">
        <v>522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0:3</v>
      </c>
      <c r="U18" s="262">
        <f t="shared" si="1"/>
        <v>0</v>
      </c>
      <c r="V18" s="264"/>
      <c r="W18" s="262">
        <f t="shared" si="2"/>
        <v>1</v>
      </c>
      <c r="X18" s="264"/>
      <c r="Y18">
        <f t="shared" si="3"/>
        <v>0</v>
      </c>
      <c r="Z18" s="18">
        <f t="shared" si="4"/>
        <v>3</v>
      </c>
    </row>
    <row r="19" spans="1:26">
      <c r="A19" s="18"/>
      <c r="B19" s="22">
        <v>4</v>
      </c>
      <c r="C19" s="276" t="s">
        <v>529</v>
      </c>
      <c r="D19" s="272"/>
      <c r="E19" s="253" t="s">
        <v>503</v>
      </c>
      <c r="F19" s="254"/>
      <c r="G19" s="255"/>
      <c r="H19" s="253" t="s">
        <v>513</v>
      </c>
      <c r="I19" s="254"/>
      <c r="J19" s="255"/>
      <c r="K19" s="253" t="s">
        <v>523</v>
      </c>
      <c r="L19" s="254"/>
      <c r="M19" s="255"/>
      <c r="N19" s="253" t="s">
        <v>501</v>
      </c>
      <c r="O19" s="254"/>
      <c r="P19" s="255"/>
      <c r="Q19" s="253"/>
      <c r="R19" s="254"/>
      <c r="S19" s="255"/>
      <c r="T19" s="123" t="str">
        <f t="shared" si="0"/>
        <v>3:1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1</v>
      </c>
    </row>
    <row r="20" spans="1:26">
      <c r="A20" s="18"/>
      <c r="B20" s="24">
        <v>5</v>
      </c>
      <c r="C20" s="271" t="s">
        <v>48</v>
      </c>
      <c r="D20" s="272"/>
      <c r="E20" s="253" t="s">
        <v>515</v>
      </c>
      <c r="F20" s="254"/>
      <c r="G20" s="255"/>
      <c r="H20" s="253" t="s">
        <v>532</v>
      </c>
      <c r="I20" s="254"/>
      <c r="J20" s="255"/>
      <c r="K20" s="253" t="s">
        <v>513</v>
      </c>
      <c r="L20" s="254"/>
      <c r="M20" s="255"/>
      <c r="N20" s="253" t="s">
        <v>502</v>
      </c>
      <c r="O20" s="254"/>
      <c r="P20" s="255"/>
      <c r="Q20" s="253"/>
      <c r="R20" s="254"/>
      <c r="S20" s="255"/>
      <c r="T20" s="123" t="str">
        <f t="shared" si="0"/>
        <v>3:1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1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1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võistkondlikud meistrivõistlused 2024/2025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45591</v>
      </c>
      <c r="F35" s="278"/>
      <c r="G35" s="278"/>
      <c r="H35" s="278"/>
      <c r="I35" s="278"/>
      <c r="J35" s="19" t="s">
        <v>30</v>
      </c>
      <c r="K35" s="19"/>
      <c r="L35" s="281" t="str">
        <f>L5</f>
        <v>13.00</v>
      </c>
      <c r="M35" s="281"/>
      <c r="N35" s="19" t="s">
        <v>31</v>
      </c>
      <c r="O35" s="19"/>
      <c r="P35" s="19" t="str">
        <f>P5</f>
        <v>II</v>
      </c>
      <c r="Q35" s="19"/>
      <c r="R35" s="19"/>
      <c r="S35" s="19" t="s">
        <v>32</v>
      </c>
      <c r="T35" s="19"/>
      <c r="U35" s="19"/>
      <c r="V35" s="20">
        <v>3</v>
      </c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232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337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355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338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357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340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356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336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358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339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Meeskond3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522</v>
      </c>
      <c r="F46" s="254"/>
      <c r="G46" s="255"/>
      <c r="H46" s="253" t="s">
        <v>515</v>
      </c>
      <c r="I46" s="254"/>
      <c r="J46" s="255"/>
      <c r="K46" s="253" t="s">
        <v>521</v>
      </c>
      <c r="L46" s="254"/>
      <c r="M46" s="255"/>
      <c r="N46" s="253" t="s">
        <v>504</v>
      </c>
      <c r="O46" s="254"/>
      <c r="P46" s="255"/>
      <c r="Q46" s="253"/>
      <c r="R46" s="254"/>
      <c r="S46" s="255"/>
      <c r="T46" s="123" t="str">
        <f>IF(ISBLANK(E46)=TRUE,"",VALUE(Y46)&amp;":"&amp;VALUE(Z46))</f>
        <v>3:1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1</v>
      </c>
    </row>
    <row r="47" spans="1:26">
      <c r="A47" s="18"/>
      <c r="B47" s="22">
        <v>2</v>
      </c>
      <c r="C47" s="276" t="s">
        <v>46</v>
      </c>
      <c r="D47" s="272"/>
      <c r="E47" s="253" t="s">
        <v>521</v>
      </c>
      <c r="F47" s="254"/>
      <c r="G47" s="255"/>
      <c r="H47" s="253" t="s">
        <v>513</v>
      </c>
      <c r="I47" s="254"/>
      <c r="J47" s="255"/>
      <c r="K47" s="253" t="s">
        <v>508</v>
      </c>
      <c r="L47" s="254"/>
      <c r="M47" s="255"/>
      <c r="N47" s="253" t="s">
        <v>513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3:1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1</v>
      </c>
    </row>
    <row r="48" spans="1:26">
      <c r="A48" s="18"/>
      <c r="B48" s="22">
        <v>3</v>
      </c>
      <c r="C48" s="276" t="s">
        <v>47</v>
      </c>
      <c r="D48" s="272"/>
      <c r="E48" s="253" t="s">
        <v>504</v>
      </c>
      <c r="F48" s="254"/>
      <c r="G48" s="255"/>
      <c r="H48" s="253" t="s">
        <v>502</v>
      </c>
      <c r="I48" s="254"/>
      <c r="J48" s="255"/>
      <c r="K48" s="253" t="s">
        <v>528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535</v>
      </c>
      <c r="D49" s="272"/>
      <c r="E49" s="253" t="s">
        <v>510</v>
      </c>
      <c r="F49" s="254"/>
      <c r="G49" s="255"/>
      <c r="H49" s="253" t="s">
        <v>503</v>
      </c>
      <c r="I49" s="254"/>
      <c r="J49" s="255"/>
      <c r="K49" s="253" t="s">
        <v>510</v>
      </c>
      <c r="L49" s="254"/>
      <c r="M49" s="255"/>
      <c r="N49" s="253" t="s">
        <v>528</v>
      </c>
      <c r="O49" s="254"/>
      <c r="P49" s="255"/>
      <c r="Q49" s="253" t="s">
        <v>508</v>
      </c>
      <c r="R49" s="254"/>
      <c r="S49" s="255"/>
      <c r="T49" s="123" t="str">
        <f t="shared" si="5"/>
        <v>2:3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2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 t="s">
        <v>528</v>
      </c>
      <c r="F50" s="254"/>
      <c r="G50" s="255"/>
      <c r="H50" s="253" t="s">
        <v>523</v>
      </c>
      <c r="I50" s="254"/>
      <c r="J50" s="255"/>
      <c r="K50" s="253" t="s">
        <v>508</v>
      </c>
      <c r="L50" s="254"/>
      <c r="M50" s="255"/>
      <c r="N50" s="253" t="s">
        <v>512</v>
      </c>
      <c r="O50" s="254"/>
      <c r="P50" s="255"/>
      <c r="Q50" s="253"/>
      <c r="R50" s="254"/>
      <c r="S50" s="255"/>
      <c r="T50" s="123" t="str">
        <f t="shared" si="5"/>
        <v>1:3</v>
      </c>
      <c r="U50" s="262">
        <f t="shared" si="6"/>
        <v>0</v>
      </c>
      <c r="V50" s="264"/>
      <c r="W50" s="262">
        <f t="shared" si="7"/>
        <v>1</v>
      </c>
      <c r="X50" s="264"/>
      <c r="Y50">
        <f t="shared" si="8"/>
        <v>1</v>
      </c>
      <c r="Z50" s="18">
        <f t="shared" si="9"/>
        <v>3</v>
      </c>
    </row>
    <row r="51" spans="1:26">
      <c r="A51" s="18"/>
      <c r="B51" s="24">
        <v>6</v>
      </c>
      <c r="C51" s="271" t="s">
        <v>49</v>
      </c>
      <c r="D51" s="272"/>
      <c r="E51" s="253" t="s">
        <v>521</v>
      </c>
      <c r="F51" s="254"/>
      <c r="G51" s="255"/>
      <c r="H51" s="253" t="s">
        <v>501</v>
      </c>
      <c r="I51" s="254"/>
      <c r="J51" s="255"/>
      <c r="K51" s="253" t="s">
        <v>515</v>
      </c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>3:0</v>
      </c>
      <c r="U51" s="262">
        <f t="shared" si="6"/>
        <v>1</v>
      </c>
      <c r="V51" s="264"/>
      <c r="W51" s="262">
        <f t="shared" si="7"/>
        <v>0</v>
      </c>
      <c r="X51" s="264"/>
      <c r="Y51">
        <f t="shared" si="8"/>
        <v>3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2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võistkondlikud meistrivõistlused 2024/2025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45591</v>
      </c>
      <c r="F65" s="278"/>
      <c r="G65" s="278"/>
      <c r="H65" s="278"/>
      <c r="I65" s="278"/>
      <c r="J65" s="19" t="s">
        <v>30</v>
      </c>
      <c r="K65" s="19"/>
      <c r="L65" s="281" t="str">
        <f>L5</f>
        <v>13.00</v>
      </c>
      <c r="M65" s="281"/>
      <c r="N65" s="19" t="s">
        <v>31</v>
      </c>
      <c r="O65" s="19"/>
      <c r="P65" s="19" t="str">
        <f>P5</f>
        <v>II</v>
      </c>
      <c r="Q65" s="19"/>
      <c r="R65" s="19"/>
      <c r="S65" s="19" t="s">
        <v>32</v>
      </c>
      <c r="T65" s="19"/>
      <c r="U65" s="19"/>
      <c r="V65" s="20">
        <v>1</v>
      </c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233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238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370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436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374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438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371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435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Meeskond4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Meeskond8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501</v>
      </c>
      <c r="F76" s="254"/>
      <c r="G76" s="255"/>
      <c r="H76" s="253" t="s">
        <v>521</v>
      </c>
      <c r="I76" s="254"/>
      <c r="J76" s="255"/>
      <c r="K76" s="253" t="s">
        <v>507</v>
      </c>
      <c r="L76" s="254"/>
      <c r="M76" s="255"/>
      <c r="N76" s="253" t="s">
        <v>523</v>
      </c>
      <c r="O76" s="254"/>
      <c r="P76" s="255"/>
      <c r="Q76" s="253" t="s">
        <v>515</v>
      </c>
      <c r="R76" s="254"/>
      <c r="S76" s="255"/>
      <c r="T76" s="123" t="str">
        <f>IF(ISBLANK(E76)=TRUE,"",VALUE(Y76)&amp;":"&amp;VALUE(Z76))</f>
        <v>3:2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2</v>
      </c>
    </row>
    <row r="77" spans="1:26">
      <c r="A77" s="18"/>
      <c r="B77" s="22">
        <v>2</v>
      </c>
      <c r="C77" s="276" t="s">
        <v>46</v>
      </c>
      <c r="D77" s="272"/>
      <c r="E77" s="253" t="s">
        <v>504</v>
      </c>
      <c r="F77" s="254"/>
      <c r="G77" s="255"/>
      <c r="H77" s="253" t="s">
        <v>521</v>
      </c>
      <c r="I77" s="254"/>
      <c r="J77" s="255"/>
      <c r="K77" s="253" t="s">
        <v>501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515</v>
      </c>
      <c r="F78" s="254"/>
      <c r="G78" s="255"/>
      <c r="H78" s="253" t="s">
        <v>521</v>
      </c>
      <c r="I78" s="254"/>
      <c r="J78" s="255"/>
      <c r="K78" s="253" t="s">
        <v>515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3:0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0</v>
      </c>
    </row>
    <row r="79" spans="1:26">
      <c r="A79" s="18"/>
      <c r="B79" s="22">
        <v>4</v>
      </c>
      <c r="C79" s="276" t="s">
        <v>527</v>
      </c>
      <c r="D79" s="272"/>
      <c r="E79" s="253" t="s">
        <v>503</v>
      </c>
      <c r="F79" s="254"/>
      <c r="G79" s="255"/>
      <c r="H79" s="253" t="s">
        <v>528</v>
      </c>
      <c r="I79" s="254"/>
      <c r="J79" s="255"/>
      <c r="K79" s="253" t="s">
        <v>515</v>
      </c>
      <c r="L79" s="254"/>
      <c r="M79" s="255"/>
      <c r="N79" s="253"/>
      <c r="O79" s="254"/>
      <c r="P79" s="255"/>
      <c r="Q79" s="253"/>
      <c r="R79" s="254"/>
      <c r="S79" s="255"/>
      <c r="T79" s="123" t="str">
        <f t="shared" si="10"/>
        <v>3:0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0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0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võistkondlikud meistrivõistlused 2024/2025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45591</v>
      </c>
      <c r="F95" s="278"/>
      <c r="G95" s="278"/>
      <c r="H95" s="278"/>
      <c r="I95" s="278"/>
      <c r="J95" s="19" t="s">
        <v>30</v>
      </c>
      <c r="K95" s="19"/>
      <c r="L95" s="281" t="str">
        <f>L5</f>
        <v>13.00</v>
      </c>
      <c r="M95" s="281"/>
      <c r="N95" s="19" t="s">
        <v>31</v>
      </c>
      <c r="O95" s="19"/>
      <c r="P95" s="19" t="str">
        <f>P5</f>
        <v>II</v>
      </c>
      <c r="Q95" s="19"/>
      <c r="R95" s="19"/>
      <c r="S95" s="19" t="s">
        <v>32</v>
      </c>
      <c r="T95" s="19"/>
      <c r="U95" s="19"/>
      <c r="V95" s="20">
        <v>2</v>
      </c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234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237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385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422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386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421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387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423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388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424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Meeskond5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Meeskond7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531</v>
      </c>
      <c r="F106" s="254"/>
      <c r="G106" s="255"/>
      <c r="H106" s="253" t="s">
        <v>509</v>
      </c>
      <c r="I106" s="254"/>
      <c r="J106" s="255"/>
      <c r="K106" s="253" t="s">
        <v>532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0:3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0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523</v>
      </c>
      <c r="F107" s="254"/>
      <c r="G107" s="255"/>
      <c r="H107" s="253" t="s">
        <v>523</v>
      </c>
      <c r="I107" s="254"/>
      <c r="J107" s="255"/>
      <c r="K107" s="253" t="s">
        <v>515</v>
      </c>
      <c r="L107" s="254"/>
      <c r="M107" s="255"/>
      <c r="N107" s="253" t="s">
        <v>513</v>
      </c>
      <c r="O107" s="254"/>
      <c r="P107" s="255"/>
      <c r="Q107" s="253" t="s">
        <v>508</v>
      </c>
      <c r="R107" s="254"/>
      <c r="S107" s="255"/>
      <c r="T107" s="123" t="str">
        <f t="shared" ref="T107:T112" si="15">IF(ISBLANK(E107)=TRUE,"",VALUE(Y107)&amp;":"&amp;VALUE(Z107))</f>
        <v>2:3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2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504</v>
      </c>
      <c r="F108" s="254"/>
      <c r="G108" s="255"/>
      <c r="H108" s="253" t="s">
        <v>508</v>
      </c>
      <c r="I108" s="254"/>
      <c r="J108" s="255"/>
      <c r="K108" s="253" t="s">
        <v>507</v>
      </c>
      <c r="L108" s="254"/>
      <c r="M108" s="255"/>
      <c r="N108" s="253" t="s">
        <v>522</v>
      </c>
      <c r="O108" s="254"/>
      <c r="P108" s="255"/>
      <c r="Q108" s="253"/>
      <c r="R108" s="254"/>
      <c r="S108" s="255"/>
      <c r="T108" s="123" t="str">
        <f t="shared" si="15"/>
        <v>1:3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1</v>
      </c>
      <c r="Z108" s="18">
        <f t="shared" si="19"/>
        <v>3</v>
      </c>
    </row>
    <row r="109" spans="1:26">
      <c r="A109" s="18"/>
      <c r="B109" s="22">
        <v>4</v>
      </c>
      <c r="C109" s="276" t="s">
        <v>533</v>
      </c>
      <c r="D109" s="272"/>
      <c r="E109" s="253" t="s">
        <v>522</v>
      </c>
      <c r="F109" s="254"/>
      <c r="G109" s="255"/>
      <c r="H109" s="253" t="s">
        <v>526</v>
      </c>
      <c r="I109" s="254"/>
      <c r="J109" s="255"/>
      <c r="K109" s="253" t="s">
        <v>501</v>
      </c>
      <c r="L109" s="254"/>
      <c r="M109" s="255"/>
      <c r="N109" s="253" t="s">
        <v>521</v>
      </c>
      <c r="O109" s="254"/>
      <c r="P109" s="255"/>
      <c r="Q109" s="253"/>
      <c r="R109" s="254"/>
      <c r="S109" s="255"/>
      <c r="T109" s="123" t="str">
        <f t="shared" si="15"/>
        <v>3:1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1</v>
      </c>
    </row>
    <row r="110" spans="1:26">
      <c r="A110" s="18"/>
      <c r="B110" s="24">
        <v>5</v>
      </c>
      <c r="C110" s="271" t="s">
        <v>48</v>
      </c>
      <c r="D110" s="272"/>
      <c r="E110" s="253" t="s">
        <v>516</v>
      </c>
      <c r="F110" s="254"/>
      <c r="G110" s="255"/>
      <c r="H110" s="253" t="s">
        <v>515</v>
      </c>
      <c r="I110" s="254"/>
      <c r="J110" s="255"/>
      <c r="K110" s="253" t="s">
        <v>502</v>
      </c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>3:0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 t="s">
        <v>531</v>
      </c>
      <c r="F111" s="254"/>
      <c r="G111" s="255"/>
      <c r="H111" s="253" t="s">
        <v>519</v>
      </c>
      <c r="I111" s="254"/>
      <c r="J111" s="255"/>
      <c r="K111" s="253" t="s">
        <v>534</v>
      </c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>0:3</v>
      </c>
      <c r="U111" s="262">
        <f t="shared" si="16"/>
        <v>0</v>
      </c>
      <c r="V111" s="264"/>
      <c r="W111" s="262">
        <f t="shared" si="17"/>
        <v>1</v>
      </c>
      <c r="X111" s="264"/>
      <c r="Y111">
        <f t="shared" si="18"/>
        <v>0</v>
      </c>
      <c r="Z111" s="18">
        <f t="shared" si="19"/>
        <v>3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2</v>
      </c>
      <c r="V113" s="274"/>
      <c r="W113" s="273">
        <f>IF(ISBLANK(E106)=TRUE,"",SUM(W106:W112))</f>
        <v>4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C81:D81"/>
    <mergeCell ref="U81:V81"/>
    <mergeCell ref="W81:X81"/>
    <mergeCell ref="C82:D82"/>
    <mergeCell ref="U82:V82"/>
    <mergeCell ref="W82:X82"/>
    <mergeCell ref="E83:G83"/>
    <mergeCell ref="E81:G81"/>
    <mergeCell ref="H81:J81"/>
    <mergeCell ref="U83:V83"/>
    <mergeCell ref="W83:X83"/>
    <mergeCell ref="C77:D77"/>
    <mergeCell ref="U77:V77"/>
    <mergeCell ref="W77:X77"/>
    <mergeCell ref="E76:G76"/>
    <mergeCell ref="H76:J76"/>
    <mergeCell ref="K76:M76"/>
    <mergeCell ref="N76:P76"/>
    <mergeCell ref="Q76:S76"/>
    <mergeCell ref="H77:J77"/>
    <mergeCell ref="K77:M77"/>
    <mergeCell ref="N77:P77"/>
    <mergeCell ref="Q77:S77"/>
    <mergeCell ref="E77:G77"/>
    <mergeCell ref="C69:K69"/>
    <mergeCell ref="N69:W69"/>
    <mergeCell ref="C70:K70"/>
    <mergeCell ref="N70:W70"/>
    <mergeCell ref="C71:K71"/>
    <mergeCell ref="N71:W71"/>
    <mergeCell ref="U75:V75"/>
    <mergeCell ref="W75:X75"/>
    <mergeCell ref="C76:D76"/>
    <mergeCell ref="U76:V76"/>
    <mergeCell ref="W76:X76"/>
    <mergeCell ref="B75:D75"/>
    <mergeCell ref="T74:T75"/>
    <mergeCell ref="B74:D74"/>
    <mergeCell ref="E74:G74"/>
    <mergeCell ref="U74:X74"/>
    <mergeCell ref="N67:Q67"/>
    <mergeCell ref="R67:X67"/>
    <mergeCell ref="C68:K68"/>
    <mergeCell ref="U51:V51"/>
    <mergeCell ref="W51:X51"/>
    <mergeCell ref="C52:D52"/>
    <mergeCell ref="U52:V52"/>
    <mergeCell ref="W52:X52"/>
    <mergeCell ref="E53:G53"/>
    <mergeCell ref="C51:D51"/>
    <mergeCell ref="U53:V53"/>
    <mergeCell ref="W53:X53"/>
    <mergeCell ref="B63:O63"/>
    <mergeCell ref="S63:W63"/>
    <mergeCell ref="B64:O64"/>
    <mergeCell ref="N68:W68"/>
    <mergeCell ref="E51:G51"/>
    <mergeCell ref="H51:J51"/>
    <mergeCell ref="K51:M51"/>
    <mergeCell ref="N51:P51"/>
    <mergeCell ref="Q51:S51"/>
    <mergeCell ref="E52:G52"/>
    <mergeCell ref="H52:J52"/>
    <mergeCell ref="K52:M52"/>
    <mergeCell ref="N52:P52"/>
    <mergeCell ref="Q52:S52"/>
    <mergeCell ref="C41:K41"/>
    <mergeCell ref="N41:X41"/>
    <mergeCell ref="C42:K42"/>
    <mergeCell ref="C46:D46"/>
    <mergeCell ref="U46:V46"/>
    <mergeCell ref="W46:X46"/>
    <mergeCell ref="U45:V45"/>
    <mergeCell ref="W45:X45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E46:G46"/>
    <mergeCell ref="H46:J46"/>
    <mergeCell ref="K46:M46"/>
    <mergeCell ref="N46:P46"/>
    <mergeCell ref="Q46:S46"/>
    <mergeCell ref="C40:K40"/>
    <mergeCell ref="N40:X40"/>
    <mergeCell ref="J28:L28"/>
    <mergeCell ref="Q28:S28"/>
    <mergeCell ref="E21:G21"/>
    <mergeCell ref="H21:J21"/>
    <mergeCell ref="K21:M21"/>
    <mergeCell ref="N21:P21"/>
    <mergeCell ref="Q21:S21"/>
    <mergeCell ref="E22:G22"/>
    <mergeCell ref="H22:J22"/>
    <mergeCell ref="K22:M22"/>
    <mergeCell ref="U21:V21"/>
    <mergeCell ref="W21:X21"/>
    <mergeCell ref="C22:D22"/>
    <mergeCell ref="U22:V22"/>
    <mergeCell ref="W22:X22"/>
    <mergeCell ref="N20:P20"/>
    <mergeCell ref="Q20:S20"/>
    <mergeCell ref="B25:D25"/>
    <mergeCell ref="J25:L25"/>
    <mergeCell ref="Q25:S25"/>
    <mergeCell ref="C21:D21"/>
    <mergeCell ref="C39:K39"/>
    <mergeCell ref="N38:X38"/>
    <mergeCell ref="N39:X39"/>
    <mergeCell ref="N22:P22"/>
    <mergeCell ref="Q22:S22"/>
    <mergeCell ref="C20:D20"/>
    <mergeCell ref="U20:V20"/>
    <mergeCell ref="W20:X20"/>
    <mergeCell ref="E20:G20"/>
    <mergeCell ref="H20:J20"/>
    <mergeCell ref="K20:M20"/>
    <mergeCell ref="C17:D17"/>
    <mergeCell ref="U17:V17"/>
    <mergeCell ref="W17:X17"/>
    <mergeCell ref="C18:D18"/>
    <mergeCell ref="U18:V18"/>
    <mergeCell ref="W18:X18"/>
    <mergeCell ref="N18:P18"/>
    <mergeCell ref="Q18:S18"/>
    <mergeCell ref="E19:G19"/>
    <mergeCell ref="H19:J19"/>
    <mergeCell ref="K19:M19"/>
    <mergeCell ref="N19:P19"/>
    <mergeCell ref="Q19:S19"/>
    <mergeCell ref="C19:D19"/>
    <mergeCell ref="U19:V19"/>
    <mergeCell ref="W19:X19"/>
    <mergeCell ref="C16:D16"/>
    <mergeCell ref="U16:V16"/>
    <mergeCell ref="W16:X16"/>
    <mergeCell ref="C12:K12"/>
    <mergeCell ref="B14:D14"/>
    <mergeCell ref="E14:G14"/>
    <mergeCell ref="H14:J14"/>
    <mergeCell ref="K14:M14"/>
    <mergeCell ref="N14:P14"/>
    <mergeCell ref="Q14:S14"/>
    <mergeCell ref="U14:X14"/>
    <mergeCell ref="C11:K11"/>
    <mergeCell ref="C7:F7"/>
    <mergeCell ref="G7:L7"/>
    <mergeCell ref="N7:Q7"/>
    <mergeCell ref="R7:X7"/>
    <mergeCell ref="C8:K8"/>
    <mergeCell ref="B15:D15"/>
    <mergeCell ref="U15:V15"/>
    <mergeCell ref="W15:X15"/>
    <mergeCell ref="T14:T15"/>
    <mergeCell ref="B1:G1"/>
    <mergeCell ref="B3:O3"/>
    <mergeCell ref="S3:W3"/>
    <mergeCell ref="B4:O4"/>
    <mergeCell ref="E5:I5"/>
    <mergeCell ref="L5:M5"/>
    <mergeCell ref="C9:K9"/>
    <mergeCell ref="C10:K10"/>
    <mergeCell ref="N8:X8"/>
    <mergeCell ref="C48:D48"/>
    <mergeCell ref="U48:V48"/>
    <mergeCell ref="W48:X48"/>
    <mergeCell ref="C49:D49"/>
    <mergeCell ref="U49:V49"/>
    <mergeCell ref="W49:X49"/>
    <mergeCell ref="C50:D50"/>
    <mergeCell ref="E48:G48"/>
    <mergeCell ref="H48:J48"/>
    <mergeCell ref="K48:M48"/>
    <mergeCell ref="N48:P48"/>
    <mergeCell ref="Q48:S48"/>
    <mergeCell ref="E49:G49"/>
    <mergeCell ref="H49:J49"/>
    <mergeCell ref="K49:M49"/>
    <mergeCell ref="N49:P49"/>
    <mergeCell ref="Q49:S49"/>
    <mergeCell ref="H50:J50"/>
    <mergeCell ref="K50:M50"/>
    <mergeCell ref="U50:V50"/>
    <mergeCell ref="W50:X50"/>
    <mergeCell ref="N50:P50"/>
    <mergeCell ref="Q50:S50"/>
    <mergeCell ref="E50:G50"/>
    <mergeCell ref="C107:D107"/>
    <mergeCell ref="U107:V107"/>
    <mergeCell ref="W107:X107"/>
    <mergeCell ref="E107:G107"/>
    <mergeCell ref="H107:J107"/>
    <mergeCell ref="K107:M107"/>
    <mergeCell ref="N107:P107"/>
    <mergeCell ref="Q107:S107"/>
    <mergeCell ref="E82:G82"/>
    <mergeCell ref="H82:J82"/>
    <mergeCell ref="K82:M82"/>
    <mergeCell ref="N82:P82"/>
    <mergeCell ref="Q82:S82"/>
    <mergeCell ref="N97:Q97"/>
    <mergeCell ref="R97:X97"/>
    <mergeCell ref="C98:K98"/>
    <mergeCell ref="N98:W98"/>
    <mergeCell ref="B88:D88"/>
    <mergeCell ref="J88:L88"/>
    <mergeCell ref="Q88:S88"/>
    <mergeCell ref="B91:G91"/>
    <mergeCell ref="B93:O93"/>
    <mergeCell ref="S93:W93"/>
    <mergeCell ref="B94:O94"/>
    <mergeCell ref="C108:D108"/>
    <mergeCell ref="U108:V108"/>
    <mergeCell ref="W108:X108"/>
    <mergeCell ref="C109:D109"/>
    <mergeCell ref="U109:V109"/>
    <mergeCell ref="W109:X109"/>
    <mergeCell ref="E108:G108"/>
    <mergeCell ref="H108:J108"/>
    <mergeCell ref="K108:M108"/>
    <mergeCell ref="N108:P108"/>
    <mergeCell ref="Q108:S108"/>
    <mergeCell ref="E109:G109"/>
    <mergeCell ref="H109:J109"/>
    <mergeCell ref="K109:M109"/>
    <mergeCell ref="N109:P109"/>
    <mergeCell ref="Q109:S109"/>
    <mergeCell ref="C111:D111"/>
    <mergeCell ref="U111:V111"/>
    <mergeCell ref="W111:X111"/>
    <mergeCell ref="C112:D112"/>
    <mergeCell ref="U112:V112"/>
    <mergeCell ref="W112:X112"/>
    <mergeCell ref="E110:G110"/>
    <mergeCell ref="H110:J110"/>
    <mergeCell ref="K110:M110"/>
    <mergeCell ref="N110:P110"/>
    <mergeCell ref="Q110:S110"/>
    <mergeCell ref="E111:G111"/>
    <mergeCell ref="H111:J111"/>
    <mergeCell ref="K111:M111"/>
    <mergeCell ref="N111:P111"/>
    <mergeCell ref="Q111:S111"/>
    <mergeCell ref="E112:G112"/>
    <mergeCell ref="H112:J112"/>
    <mergeCell ref="K112:M112"/>
    <mergeCell ref="N112:P112"/>
    <mergeCell ref="Q112:S112"/>
    <mergeCell ref="B115:D115"/>
    <mergeCell ref="J115:L115"/>
    <mergeCell ref="Q115:S115"/>
    <mergeCell ref="B118:D118"/>
    <mergeCell ref="J118:L118"/>
    <mergeCell ref="Q118:S118"/>
    <mergeCell ref="N9:X9"/>
    <mergeCell ref="N10:X10"/>
    <mergeCell ref="N11:X11"/>
    <mergeCell ref="N12:X12"/>
    <mergeCell ref="E16:G16"/>
    <mergeCell ref="H16:J16"/>
    <mergeCell ref="K16:M16"/>
    <mergeCell ref="N16:P16"/>
    <mergeCell ref="Q16:S16"/>
    <mergeCell ref="E17:G17"/>
    <mergeCell ref="H17:J17"/>
    <mergeCell ref="K17:M17"/>
    <mergeCell ref="N17:P17"/>
    <mergeCell ref="Q17:S17"/>
    <mergeCell ref="E18:G18"/>
    <mergeCell ref="H18:J18"/>
    <mergeCell ref="K18:M18"/>
    <mergeCell ref="C110:D110"/>
    <mergeCell ref="E47:G47"/>
    <mergeCell ref="H47:J47"/>
    <mergeCell ref="K47:M47"/>
    <mergeCell ref="N47:P47"/>
    <mergeCell ref="Q47:S47"/>
    <mergeCell ref="E23:G23"/>
    <mergeCell ref="B31:G31"/>
    <mergeCell ref="B33:O33"/>
    <mergeCell ref="S33:W33"/>
    <mergeCell ref="B34:O34"/>
    <mergeCell ref="E35:I35"/>
    <mergeCell ref="L35:M35"/>
    <mergeCell ref="C37:F37"/>
    <mergeCell ref="G37:L37"/>
    <mergeCell ref="N37:Q37"/>
    <mergeCell ref="R37:X37"/>
    <mergeCell ref="C38:K38"/>
    <mergeCell ref="C47:D47"/>
    <mergeCell ref="U47:V47"/>
    <mergeCell ref="W47:X47"/>
    <mergeCell ref="B28:D28"/>
    <mergeCell ref="U23:V23"/>
    <mergeCell ref="W23:X23"/>
    <mergeCell ref="T44:T45"/>
    <mergeCell ref="E79:G79"/>
    <mergeCell ref="H79:J79"/>
    <mergeCell ref="K79:M79"/>
    <mergeCell ref="N79:P79"/>
    <mergeCell ref="Q79:S79"/>
    <mergeCell ref="J55:L55"/>
    <mergeCell ref="Q55:S55"/>
    <mergeCell ref="B58:D58"/>
    <mergeCell ref="J58:L58"/>
    <mergeCell ref="Q58:S58"/>
    <mergeCell ref="B61:G61"/>
    <mergeCell ref="B55:D55"/>
    <mergeCell ref="E65:I65"/>
    <mergeCell ref="L65:M65"/>
    <mergeCell ref="H74:J74"/>
    <mergeCell ref="K74:M74"/>
    <mergeCell ref="N74:P74"/>
    <mergeCell ref="Q74:S74"/>
    <mergeCell ref="C78:D78"/>
    <mergeCell ref="C79:D79"/>
    <mergeCell ref="C72:K72"/>
    <mergeCell ref="N72:W72"/>
    <mergeCell ref="C67:F67"/>
    <mergeCell ref="G67:L67"/>
    <mergeCell ref="C99:K99"/>
    <mergeCell ref="N99:W99"/>
    <mergeCell ref="C100:K100"/>
    <mergeCell ref="N100:W100"/>
    <mergeCell ref="C101:K101"/>
    <mergeCell ref="N101:W101"/>
    <mergeCell ref="E78:G78"/>
    <mergeCell ref="H78:J78"/>
    <mergeCell ref="K78:M78"/>
    <mergeCell ref="N78:P78"/>
    <mergeCell ref="Q78:S78"/>
    <mergeCell ref="K81:M81"/>
    <mergeCell ref="N81:P81"/>
    <mergeCell ref="Q81:S81"/>
    <mergeCell ref="U78:V78"/>
    <mergeCell ref="W78:X78"/>
    <mergeCell ref="U79:V79"/>
    <mergeCell ref="W79:X79"/>
    <mergeCell ref="C80:D80"/>
    <mergeCell ref="B85:D85"/>
    <mergeCell ref="J85:L85"/>
    <mergeCell ref="Q85:S85"/>
    <mergeCell ref="U80:V80"/>
    <mergeCell ref="W80:X80"/>
    <mergeCell ref="W106:X106"/>
    <mergeCell ref="B104:D104"/>
    <mergeCell ref="H104:J104"/>
    <mergeCell ref="E106:G106"/>
    <mergeCell ref="H106:J106"/>
    <mergeCell ref="K106:M106"/>
    <mergeCell ref="N106:P106"/>
    <mergeCell ref="B105:D105"/>
    <mergeCell ref="U105:V105"/>
    <mergeCell ref="W105:X105"/>
    <mergeCell ref="T104:T105"/>
    <mergeCell ref="U113:V113"/>
    <mergeCell ref="W113:X113"/>
    <mergeCell ref="E80:G80"/>
    <mergeCell ref="H80:J80"/>
    <mergeCell ref="K80:M80"/>
    <mergeCell ref="N80:P80"/>
    <mergeCell ref="Q80:S80"/>
    <mergeCell ref="E113:G113"/>
    <mergeCell ref="U110:V110"/>
    <mergeCell ref="W110:X110"/>
    <mergeCell ref="K104:M104"/>
    <mergeCell ref="N104:P104"/>
    <mergeCell ref="Q104:S104"/>
    <mergeCell ref="U104:X104"/>
    <mergeCell ref="C97:F97"/>
    <mergeCell ref="G97:L97"/>
    <mergeCell ref="E95:I95"/>
    <mergeCell ref="L95:M95"/>
    <mergeCell ref="E104:G104"/>
    <mergeCell ref="Q106:S106"/>
    <mergeCell ref="C102:K102"/>
    <mergeCell ref="N102:W102"/>
    <mergeCell ref="C106:D106"/>
    <mergeCell ref="U106:V106"/>
  </mergeCells>
  <conditionalFormatting sqref="C8:K12 N8:N12">
    <cfRule type="expression" dxfId="166" priority="4" stopIfTrue="1">
      <formula>ISNA(C8)</formula>
    </cfRule>
  </conditionalFormatting>
  <conditionalFormatting sqref="C38:K42 N38:N42">
    <cfRule type="expression" dxfId="165" priority="3" stopIfTrue="1">
      <formula>ISNA(C38)</formula>
    </cfRule>
  </conditionalFormatting>
  <conditionalFormatting sqref="C68:K72 N68:W72">
    <cfRule type="expression" dxfId="164" priority="2" stopIfTrue="1">
      <formula>ISNA(C68)</formula>
    </cfRule>
  </conditionalFormatting>
  <conditionalFormatting sqref="C98:K102 N98:W102">
    <cfRule type="expression" dxfId="163" priority="1" stopIfTrue="1">
      <formula>ISNA(C98)</formula>
    </cfRule>
  </conditionalFormatting>
  <dataValidations count="9">
    <dataValidation type="list" allowBlank="1" showInputMessage="1" showErrorMessage="1" sqref="G37:L37 R37:X37 R7:X7 R97:X97 G67:L67 R67:X67 G97:L97 G7:L7" xr:uid="{EDE3DBD2-103C-4A4D-BB50-4B0B42A19EC0}">
      <formula1>Mansad</formula1>
    </dataValidation>
    <dataValidation type="list" allowBlank="1" showInputMessage="1" showErrorMessage="1" sqref="N8:N12" xr:uid="{4FB64D03-BA81-469E-AB63-C4FFE4172CCB}">
      <formula1>INDIRECT($W$13)</formula1>
    </dataValidation>
    <dataValidation type="list" allowBlank="1" showInputMessage="1" showErrorMessage="1" sqref="C8:K12" xr:uid="{1A55FFF4-074C-46CE-8D18-5333190F612D}">
      <formula1>INDIRECT($K$13)</formula1>
    </dataValidation>
    <dataValidation type="list" allowBlank="1" showInputMessage="1" showErrorMessage="1" sqref="C98:K102" xr:uid="{0F8A4BBC-2EEC-4E35-99EC-A539C4D7FB9D}">
      <formula1>INDIRECT($K$103)</formula1>
    </dataValidation>
    <dataValidation type="list" allowBlank="1" showInputMessage="1" showErrorMessage="1" sqref="C68:K72" xr:uid="{ABAF158D-3A91-4BB4-BC53-08EAEEA780D9}">
      <formula1>INDIRECT($K$73)</formula1>
    </dataValidation>
    <dataValidation type="list" allowBlank="1" showInputMessage="1" showErrorMessage="1" sqref="C38:K42" xr:uid="{949E0F67-9CFF-4B06-ACED-7FD83F17C915}">
      <formula1>INDIRECT($K$43)</formula1>
    </dataValidation>
    <dataValidation type="list" allowBlank="1" showInputMessage="1" showErrorMessage="1" sqref="N98:W102" xr:uid="{06A0A836-5ED2-4C7C-B625-9494412EA2D9}">
      <formula1>INDIRECT($W$103)</formula1>
    </dataValidation>
    <dataValidation type="list" allowBlank="1" showInputMessage="1" showErrorMessage="1" sqref="N68:W72" xr:uid="{9545AA77-2E65-463A-8DB9-92D7796411DC}">
      <formula1>INDIRECT($W$73)</formula1>
    </dataValidation>
    <dataValidation type="list" allowBlank="1" showInputMessage="1" showErrorMessage="1" sqref="N38:N42" xr:uid="{B90BF08C-5487-4C18-ACA9-DD01A6CBBE3F}">
      <formula1>INDIRECT($W$43)</formula1>
    </dataValidation>
  </dataValidations>
  <printOptions horizontalCentered="1" verticalCentered="1"/>
  <pageMargins left="0.31496062992125984" right="0.31496062992125984" top="0.35433070866141736" bottom="0.35433070866141736" header="0.31496062992125984" footer="0.31496062992125984"/>
  <pageSetup paperSize="11" scale="81" orientation="landscape" r:id="rId1"/>
  <rowBreaks count="3" manualBreakCount="3">
    <brk id="29" max="16383" man="1"/>
    <brk id="59" max="16383" man="1"/>
    <brk id="8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119"/>
  <sheetViews>
    <sheetView topLeftCell="A91" zoomScaleNormal="100" workbookViewId="0">
      <selection activeCell="Q81" sqref="Q81:S81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4.285156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487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45591</v>
      </c>
      <c r="F5" s="278"/>
      <c r="G5" s="278"/>
      <c r="H5" s="278"/>
      <c r="I5" s="278"/>
      <c r="J5" s="19" t="s">
        <v>30</v>
      </c>
      <c r="K5" s="19"/>
      <c r="L5" s="281" t="s">
        <v>467</v>
      </c>
      <c r="M5" s="281"/>
      <c r="N5" s="19" t="s">
        <v>31</v>
      </c>
      <c r="O5" s="19"/>
      <c r="P5" s="19" t="s">
        <v>441</v>
      </c>
      <c r="Q5" s="19"/>
      <c r="R5" s="19"/>
      <c r="S5" s="19" t="s">
        <v>32</v>
      </c>
      <c r="T5" s="19"/>
      <c r="U5" s="19"/>
      <c r="V5" s="20">
        <v>2</v>
      </c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233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322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374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323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370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321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371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/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Meeskond4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512</v>
      </c>
      <c r="F16" s="254"/>
      <c r="G16" s="255"/>
      <c r="H16" s="253" t="s">
        <v>512</v>
      </c>
      <c r="I16" s="254"/>
      <c r="J16" s="255"/>
      <c r="K16" s="253" t="s">
        <v>515</v>
      </c>
      <c r="L16" s="254"/>
      <c r="M16" s="255"/>
      <c r="N16" s="253" t="s">
        <v>516</v>
      </c>
      <c r="O16" s="254"/>
      <c r="P16" s="255"/>
      <c r="Q16" s="253" t="s">
        <v>522</v>
      </c>
      <c r="R16" s="254"/>
      <c r="S16" s="255"/>
      <c r="T16" s="123" t="str">
        <f>IF(ISBLANK(E16)=TRUE,"",VALUE(Y16)&amp;":"&amp;VALUE(Z16))</f>
        <v>2:3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2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508</v>
      </c>
      <c r="F17" s="254"/>
      <c r="G17" s="255"/>
      <c r="H17" s="253" t="s">
        <v>531</v>
      </c>
      <c r="I17" s="254"/>
      <c r="J17" s="255"/>
      <c r="K17" s="253" t="s">
        <v>507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0:3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0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515</v>
      </c>
      <c r="F18" s="254"/>
      <c r="G18" s="255"/>
      <c r="H18" s="253" t="s">
        <v>515</v>
      </c>
      <c r="I18" s="254"/>
      <c r="J18" s="255"/>
      <c r="K18" s="253" t="s">
        <v>513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533</v>
      </c>
      <c r="D19" s="272"/>
      <c r="E19" s="253" t="s">
        <v>510</v>
      </c>
      <c r="F19" s="254"/>
      <c r="G19" s="255"/>
      <c r="H19" s="253" t="s">
        <v>510</v>
      </c>
      <c r="I19" s="254"/>
      <c r="J19" s="255"/>
      <c r="K19" s="253" t="s">
        <v>516</v>
      </c>
      <c r="L19" s="254"/>
      <c r="M19" s="255"/>
      <c r="N19" s="253" t="s">
        <v>513</v>
      </c>
      <c r="O19" s="254"/>
      <c r="P19" s="255"/>
      <c r="Q19" s="253" t="s">
        <v>531</v>
      </c>
      <c r="R19" s="254"/>
      <c r="S19" s="255"/>
      <c r="T19" s="123" t="str">
        <f t="shared" si="0"/>
        <v>2:3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2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 t="s">
        <v>509</v>
      </c>
      <c r="F20" s="254"/>
      <c r="G20" s="255"/>
      <c r="H20" s="253" t="s">
        <v>509</v>
      </c>
      <c r="I20" s="254"/>
      <c r="J20" s="255"/>
      <c r="K20" s="253" t="s">
        <v>523</v>
      </c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>0:3</v>
      </c>
      <c r="U20" s="262">
        <f t="shared" si="1"/>
        <v>0</v>
      </c>
      <c r="V20" s="264"/>
      <c r="W20" s="262">
        <f t="shared" si="2"/>
        <v>1</v>
      </c>
      <c r="X20" s="264"/>
      <c r="Y20">
        <f t="shared" si="3"/>
        <v>0</v>
      </c>
      <c r="Z20" s="18">
        <f t="shared" si="4"/>
        <v>3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1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võistkondlikud meistrivõistlused 2024/2025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45591</v>
      </c>
      <c r="F35" s="278"/>
      <c r="G35" s="278"/>
      <c r="H35" s="278"/>
      <c r="I35" s="278"/>
      <c r="J35" s="19" t="s">
        <v>30</v>
      </c>
      <c r="K35" s="19"/>
      <c r="L35" s="281" t="str">
        <f>L5</f>
        <v>16.00</v>
      </c>
      <c r="M35" s="281"/>
      <c r="N35" s="19" t="s">
        <v>31</v>
      </c>
      <c r="O35" s="19"/>
      <c r="P35" s="19" t="str">
        <f>P5</f>
        <v>III</v>
      </c>
      <c r="Q35" s="19"/>
      <c r="R35" s="19"/>
      <c r="S35" s="19" t="s">
        <v>32</v>
      </c>
      <c r="T35" s="19"/>
      <c r="U35" s="19"/>
      <c r="V35" s="20">
        <v>1</v>
      </c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235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336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403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339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64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337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405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340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338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Meeskond6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521</v>
      </c>
      <c r="F46" s="254"/>
      <c r="G46" s="255"/>
      <c r="H46" s="253" t="s">
        <v>521</v>
      </c>
      <c r="I46" s="254"/>
      <c r="J46" s="255"/>
      <c r="K46" s="253" t="s">
        <v>503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523</v>
      </c>
      <c r="F47" s="254"/>
      <c r="G47" s="255"/>
      <c r="H47" s="253" t="s">
        <v>521</v>
      </c>
      <c r="I47" s="254"/>
      <c r="J47" s="255"/>
      <c r="K47" s="253" t="s">
        <v>531</v>
      </c>
      <c r="L47" s="254"/>
      <c r="M47" s="255"/>
      <c r="N47" s="253" t="s">
        <v>521</v>
      </c>
      <c r="O47" s="254"/>
      <c r="P47" s="255"/>
      <c r="Q47" s="253" t="s">
        <v>519</v>
      </c>
      <c r="R47" s="254"/>
      <c r="S47" s="255"/>
      <c r="T47" s="123" t="str">
        <f t="shared" ref="T47:T52" si="5">IF(ISBLANK(E47)=TRUE,"",VALUE(Y47)&amp;":"&amp;VALUE(Z47))</f>
        <v>2:3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2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503</v>
      </c>
      <c r="F48" s="254"/>
      <c r="G48" s="255"/>
      <c r="H48" s="253" t="s">
        <v>504</v>
      </c>
      <c r="I48" s="254"/>
      <c r="J48" s="255"/>
      <c r="K48" s="253" t="s">
        <v>513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533</v>
      </c>
      <c r="D49" s="272"/>
      <c r="E49" s="253" t="s">
        <v>515</v>
      </c>
      <c r="F49" s="254"/>
      <c r="G49" s="255"/>
      <c r="H49" s="253" t="s">
        <v>503</v>
      </c>
      <c r="I49" s="254"/>
      <c r="J49" s="255"/>
      <c r="K49" s="253" t="s">
        <v>528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3:0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0</v>
      </c>
    </row>
    <row r="50" spans="1:26">
      <c r="A50" s="18"/>
      <c r="B50" s="24">
        <v>5</v>
      </c>
      <c r="C50" s="271" t="s">
        <v>48</v>
      </c>
      <c r="D50" s="272"/>
      <c r="E50" s="253" t="s">
        <v>502</v>
      </c>
      <c r="F50" s="254"/>
      <c r="G50" s="255"/>
      <c r="H50" s="253" t="s">
        <v>521</v>
      </c>
      <c r="I50" s="254"/>
      <c r="J50" s="255"/>
      <c r="K50" s="253" t="s">
        <v>522</v>
      </c>
      <c r="L50" s="254"/>
      <c r="M50" s="255"/>
      <c r="N50" s="253" t="s">
        <v>503</v>
      </c>
      <c r="O50" s="254"/>
      <c r="P50" s="255"/>
      <c r="Q50" s="253"/>
      <c r="R50" s="254"/>
      <c r="S50" s="255"/>
      <c r="T50" s="123" t="str">
        <f t="shared" si="5"/>
        <v>3:1</v>
      </c>
      <c r="U50" s="262">
        <f t="shared" si="6"/>
        <v>1</v>
      </c>
      <c r="V50" s="264"/>
      <c r="W50" s="262">
        <f t="shared" si="7"/>
        <v>0</v>
      </c>
      <c r="X50" s="264"/>
      <c r="Y50">
        <f t="shared" si="8"/>
        <v>3</v>
      </c>
      <c r="Z50" s="18">
        <f t="shared" si="9"/>
        <v>1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1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võistkondlikud meistrivõistlused 2024/2025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45591</v>
      </c>
      <c r="F65" s="278"/>
      <c r="G65" s="278"/>
      <c r="H65" s="278"/>
      <c r="I65" s="278"/>
      <c r="J65" s="19" t="s">
        <v>30</v>
      </c>
      <c r="K65" s="19"/>
      <c r="L65" s="281" t="str">
        <f>L5</f>
        <v>16.00</v>
      </c>
      <c r="M65" s="281"/>
      <c r="N65" s="19" t="s">
        <v>31</v>
      </c>
      <c r="O65" s="19"/>
      <c r="P65" s="19" t="str">
        <f>P5</f>
        <v>III</v>
      </c>
      <c r="Q65" s="19"/>
      <c r="R65" s="19"/>
      <c r="S65" s="19" t="s">
        <v>32</v>
      </c>
      <c r="T65" s="19"/>
      <c r="U65" s="19"/>
      <c r="V65" s="20">
        <v>3</v>
      </c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232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234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355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388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356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387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357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386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358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Meeskond3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Meeskond5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504</v>
      </c>
      <c r="F76" s="254"/>
      <c r="G76" s="255"/>
      <c r="H76" s="253" t="s">
        <v>503</v>
      </c>
      <c r="I76" s="254"/>
      <c r="J76" s="255"/>
      <c r="K76" s="253" t="s">
        <v>503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3:0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0</v>
      </c>
    </row>
    <row r="77" spans="1:26">
      <c r="A77" s="18"/>
      <c r="B77" s="22">
        <v>2</v>
      </c>
      <c r="C77" s="276" t="s">
        <v>46</v>
      </c>
      <c r="D77" s="272"/>
      <c r="E77" s="253" t="s">
        <v>513</v>
      </c>
      <c r="F77" s="254"/>
      <c r="G77" s="255"/>
      <c r="H77" s="253" t="s">
        <v>515</v>
      </c>
      <c r="I77" s="254"/>
      <c r="J77" s="255"/>
      <c r="K77" s="253" t="s">
        <v>521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513</v>
      </c>
      <c r="F78" s="254"/>
      <c r="G78" s="255"/>
      <c r="H78" s="253" t="s">
        <v>504</v>
      </c>
      <c r="I78" s="254"/>
      <c r="J78" s="255"/>
      <c r="K78" s="253" t="s">
        <v>503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3:0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0</v>
      </c>
    </row>
    <row r="79" spans="1:26">
      <c r="A79" s="18"/>
      <c r="B79" s="22">
        <v>4</v>
      </c>
      <c r="C79" s="276" t="s">
        <v>536</v>
      </c>
      <c r="D79" s="272"/>
      <c r="E79" s="253" t="s">
        <v>513</v>
      </c>
      <c r="F79" s="254"/>
      <c r="G79" s="255"/>
      <c r="H79" s="253" t="s">
        <v>515</v>
      </c>
      <c r="I79" s="254"/>
      <c r="J79" s="255"/>
      <c r="K79" s="253" t="s">
        <v>502</v>
      </c>
      <c r="L79" s="254"/>
      <c r="M79" s="255"/>
      <c r="N79" s="253"/>
      <c r="O79" s="254"/>
      <c r="P79" s="255"/>
      <c r="Q79" s="253"/>
      <c r="R79" s="254"/>
      <c r="S79" s="255"/>
      <c r="T79" s="123" t="str">
        <f t="shared" si="10"/>
        <v>3:0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0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0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võistkondlikud meistrivõistlused 2024/2025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45591</v>
      </c>
      <c r="F95" s="278"/>
      <c r="G95" s="278"/>
      <c r="H95" s="278"/>
      <c r="I95" s="278"/>
      <c r="J95" s="19" t="s">
        <v>30</v>
      </c>
      <c r="K95" s="19"/>
      <c r="L95" s="281" t="str">
        <f>L5</f>
        <v>16.00</v>
      </c>
      <c r="M95" s="281"/>
      <c r="N95" s="19" t="s">
        <v>31</v>
      </c>
      <c r="O95" s="19"/>
      <c r="P95" s="19" t="str">
        <f>P5</f>
        <v>III</v>
      </c>
      <c r="Q95" s="19"/>
      <c r="R95" s="19"/>
      <c r="S95" s="19" t="s">
        <v>32</v>
      </c>
      <c r="T95" s="19"/>
      <c r="U95" s="19"/>
      <c r="V95" s="20">
        <v>4</v>
      </c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237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238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422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436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423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435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421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438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424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Meeskond7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Meeskond8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501</v>
      </c>
      <c r="F106" s="254"/>
      <c r="G106" s="255"/>
      <c r="H106" s="253" t="s">
        <v>503</v>
      </c>
      <c r="I106" s="254"/>
      <c r="J106" s="255"/>
      <c r="K106" s="253" t="s">
        <v>515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3:0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0</v>
      </c>
    </row>
    <row r="107" spans="1:26">
      <c r="A107" s="18"/>
      <c r="B107" s="22">
        <v>2</v>
      </c>
      <c r="C107" s="276" t="s">
        <v>46</v>
      </c>
      <c r="D107" s="272"/>
      <c r="E107" s="253" t="s">
        <v>513</v>
      </c>
      <c r="F107" s="254"/>
      <c r="G107" s="255"/>
      <c r="H107" s="253" t="s">
        <v>515</v>
      </c>
      <c r="I107" s="254"/>
      <c r="J107" s="255"/>
      <c r="K107" s="253" t="s">
        <v>519</v>
      </c>
      <c r="L107" s="254"/>
      <c r="M107" s="255"/>
      <c r="N107" s="253" t="s">
        <v>502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3:1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1</v>
      </c>
    </row>
    <row r="108" spans="1:26">
      <c r="A108" s="18"/>
      <c r="B108" s="22">
        <v>3</v>
      </c>
      <c r="C108" s="276" t="s">
        <v>47</v>
      </c>
      <c r="D108" s="272"/>
      <c r="E108" s="253" t="s">
        <v>528</v>
      </c>
      <c r="F108" s="254"/>
      <c r="G108" s="255"/>
      <c r="H108" s="253" t="s">
        <v>510</v>
      </c>
      <c r="I108" s="254"/>
      <c r="J108" s="255"/>
      <c r="K108" s="253" t="s">
        <v>502</v>
      </c>
      <c r="L108" s="254"/>
      <c r="M108" s="255"/>
      <c r="N108" s="253" t="s">
        <v>501</v>
      </c>
      <c r="O108" s="254"/>
      <c r="P108" s="255"/>
      <c r="Q108" s="253"/>
      <c r="R108" s="254"/>
      <c r="S108" s="255"/>
      <c r="T108" s="123" t="str">
        <f t="shared" si="15"/>
        <v>3:1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1</v>
      </c>
    </row>
    <row r="109" spans="1:26">
      <c r="A109" s="18"/>
      <c r="B109" s="22">
        <v>4</v>
      </c>
      <c r="C109" s="276" t="s">
        <v>537</v>
      </c>
      <c r="D109" s="272"/>
      <c r="E109" s="253" t="s">
        <v>538</v>
      </c>
      <c r="F109" s="254"/>
      <c r="G109" s="255"/>
      <c r="H109" s="253" t="s">
        <v>521</v>
      </c>
      <c r="I109" s="254"/>
      <c r="J109" s="255"/>
      <c r="K109" s="253" t="s">
        <v>502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0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U81:V81"/>
    <mergeCell ref="W81:X81"/>
    <mergeCell ref="E95:I95"/>
    <mergeCell ref="L95:M95"/>
    <mergeCell ref="C97:F97"/>
    <mergeCell ref="G97:L97"/>
    <mergeCell ref="E104:G104"/>
    <mergeCell ref="C102:K102"/>
    <mergeCell ref="N102:W102"/>
    <mergeCell ref="B104:D104"/>
    <mergeCell ref="H104:J104"/>
    <mergeCell ref="K104:M104"/>
    <mergeCell ref="N104:P104"/>
    <mergeCell ref="Q104:S104"/>
    <mergeCell ref="N97:Q97"/>
    <mergeCell ref="C98:K98"/>
    <mergeCell ref="N98:W98"/>
    <mergeCell ref="C99:K99"/>
    <mergeCell ref="N99:W99"/>
    <mergeCell ref="C100:K100"/>
    <mergeCell ref="N100:W100"/>
    <mergeCell ref="C101:K101"/>
    <mergeCell ref="Q88:S88"/>
    <mergeCell ref="B91:G91"/>
    <mergeCell ref="C79:D79"/>
    <mergeCell ref="E79:G79"/>
    <mergeCell ref="H79:J79"/>
    <mergeCell ref="K79:M79"/>
    <mergeCell ref="N79:P79"/>
    <mergeCell ref="U79:V79"/>
    <mergeCell ref="W79:X79"/>
    <mergeCell ref="C80:D80"/>
    <mergeCell ref="E80:G80"/>
    <mergeCell ref="H80:J80"/>
    <mergeCell ref="K80:M80"/>
    <mergeCell ref="N80:P80"/>
    <mergeCell ref="Q80:S80"/>
    <mergeCell ref="U80:V80"/>
    <mergeCell ref="W80:X80"/>
    <mergeCell ref="Q79:S79"/>
    <mergeCell ref="U78:V78"/>
    <mergeCell ref="W78:X78"/>
    <mergeCell ref="E77:G77"/>
    <mergeCell ref="C77:D77"/>
    <mergeCell ref="H77:J77"/>
    <mergeCell ref="K77:M77"/>
    <mergeCell ref="N77:P77"/>
    <mergeCell ref="Q77:S77"/>
    <mergeCell ref="U77:V77"/>
    <mergeCell ref="W77:X77"/>
    <mergeCell ref="K76:M76"/>
    <mergeCell ref="N76:P76"/>
    <mergeCell ref="Q76:S76"/>
    <mergeCell ref="C78:D78"/>
    <mergeCell ref="E78:G78"/>
    <mergeCell ref="H78:J78"/>
    <mergeCell ref="K78:M78"/>
    <mergeCell ref="N78:P78"/>
    <mergeCell ref="Q78:S78"/>
    <mergeCell ref="Q48:S48"/>
    <mergeCell ref="E49:G49"/>
    <mergeCell ref="B61:G61"/>
    <mergeCell ref="B63:O63"/>
    <mergeCell ref="S63:W63"/>
    <mergeCell ref="C51:D51"/>
    <mergeCell ref="E51:G51"/>
    <mergeCell ref="H51:J51"/>
    <mergeCell ref="K51:M51"/>
    <mergeCell ref="N51:P51"/>
    <mergeCell ref="Q51:S51"/>
    <mergeCell ref="U51:V51"/>
    <mergeCell ref="W51:X51"/>
    <mergeCell ref="C52:D52"/>
    <mergeCell ref="E52:G52"/>
    <mergeCell ref="H52:J52"/>
    <mergeCell ref="K52:M52"/>
    <mergeCell ref="H49:J49"/>
    <mergeCell ref="K49:M49"/>
    <mergeCell ref="N49:P49"/>
    <mergeCell ref="Q49:S49"/>
    <mergeCell ref="B58:D58"/>
    <mergeCell ref="J58:L58"/>
    <mergeCell ref="Q58:S58"/>
    <mergeCell ref="E50:G50"/>
    <mergeCell ref="C50:D50"/>
    <mergeCell ref="Q46:S46"/>
    <mergeCell ref="E47:G47"/>
    <mergeCell ref="H47:J47"/>
    <mergeCell ref="K47:M47"/>
    <mergeCell ref="N47:P47"/>
    <mergeCell ref="Q47:S47"/>
    <mergeCell ref="N42:X42"/>
    <mergeCell ref="B44:D44"/>
    <mergeCell ref="E44:G44"/>
    <mergeCell ref="H50:J50"/>
    <mergeCell ref="K50:M50"/>
    <mergeCell ref="N50:P50"/>
    <mergeCell ref="Q50:S50"/>
    <mergeCell ref="U50:V50"/>
    <mergeCell ref="W50:X50"/>
    <mergeCell ref="C48:D48"/>
    <mergeCell ref="U48:V48"/>
    <mergeCell ref="W48:X48"/>
    <mergeCell ref="C49:D49"/>
    <mergeCell ref="U49:V49"/>
    <mergeCell ref="W49:X49"/>
    <mergeCell ref="E48:G48"/>
    <mergeCell ref="B28:D28"/>
    <mergeCell ref="J28:L28"/>
    <mergeCell ref="Q28:S28"/>
    <mergeCell ref="B31:G31"/>
    <mergeCell ref="B33:O33"/>
    <mergeCell ref="S33:W33"/>
    <mergeCell ref="B34:O34"/>
    <mergeCell ref="E35:I35"/>
    <mergeCell ref="L35:M35"/>
    <mergeCell ref="H19:J19"/>
    <mergeCell ref="B25:D25"/>
    <mergeCell ref="J25:L25"/>
    <mergeCell ref="Q25:S25"/>
    <mergeCell ref="C21:D21"/>
    <mergeCell ref="U21:V21"/>
    <mergeCell ref="W21:X21"/>
    <mergeCell ref="C22:D22"/>
    <mergeCell ref="U22:V22"/>
    <mergeCell ref="W22:X22"/>
    <mergeCell ref="E22:G22"/>
    <mergeCell ref="H22:J22"/>
    <mergeCell ref="K22:M22"/>
    <mergeCell ref="N22:P22"/>
    <mergeCell ref="Q22:S22"/>
    <mergeCell ref="U23:V23"/>
    <mergeCell ref="W23:X23"/>
    <mergeCell ref="E23:G23"/>
    <mergeCell ref="W20:X20"/>
    <mergeCell ref="E19:G19"/>
    <mergeCell ref="C17:D17"/>
    <mergeCell ref="U17:V17"/>
    <mergeCell ref="W17:X17"/>
    <mergeCell ref="C18:D18"/>
    <mergeCell ref="U18:V18"/>
    <mergeCell ref="W18:X18"/>
    <mergeCell ref="E17:G17"/>
    <mergeCell ref="H17:J17"/>
    <mergeCell ref="K17:M17"/>
    <mergeCell ref="N17:P17"/>
    <mergeCell ref="Q17:S17"/>
    <mergeCell ref="E18:G18"/>
    <mergeCell ref="H18:J18"/>
    <mergeCell ref="K18:M18"/>
    <mergeCell ref="N18:P18"/>
    <mergeCell ref="Q18:S18"/>
    <mergeCell ref="C16:D16"/>
    <mergeCell ref="U16:V16"/>
    <mergeCell ref="W16:X16"/>
    <mergeCell ref="C12:K12"/>
    <mergeCell ref="B14:D14"/>
    <mergeCell ref="E14:G14"/>
    <mergeCell ref="H14:J14"/>
    <mergeCell ref="K14:M14"/>
    <mergeCell ref="N14:P14"/>
    <mergeCell ref="Q14:S14"/>
    <mergeCell ref="U14:X14"/>
    <mergeCell ref="E16:G16"/>
    <mergeCell ref="H16:J16"/>
    <mergeCell ref="K16:M16"/>
    <mergeCell ref="N16:P16"/>
    <mergeCell ref="Q16:S16"/>
    <mergeCell ref="B1:G1"/>
    <mergeCell ref="B3:O3"/>
    <mergeCell ref="S3:W3"/>
    <mergeCell ref="B4:O4"/>
    <mergeCell ref="E5:I5"/>
    <mergeCell ref="L5:M5"/>
    <mergeCell ref="C9:K9"/>
    <mergeCell ref="C10:K10"/>
    <mergeCell ref="N8:X8"/>
    <mergeCell ref="N9:X9"/>
    <mergeCell ref="N10:X10"/>
    <mergeCell ref="C11:K11"/>
    <mergeCell ref="C7:F7"/>
    <mergeCell ref="G7:L7"/>
    <mergeCell ref="N7:Q7"/>
    <mergeCell ref="R7:X7"/>
    <mergeCell ref="C8:K8"/>
    <mergeCell ref="B15:D15"/>
    <mergeCell ref="U15:V15"/>
    <mergeCell ref="W15:X15"/>
    <mergeCell ref="N11:X11"/>
    <mergeCell ref="N12:X12"/>
    <mergeCell ref="T14:T15"/>
    <mergeCell ref="R67:X67"/>
    <mergeCell ref="E53:G53"/>
    <mergeCell ref="C68:K68"/>
    <mergeCell ref="T44:T45"/>
    <mergeCell ref="U53:V53"/>
    <mergeCell ref="W53:X53"/>
    <mergeCell ref="K19:M19"/>
    <mergeCell ref="N19:P19"/>
    <mergeCell ref="Q19:S19"/>
    <mergeCell ref="E20:G20"/>
    <mergeCell ref="H20:J20"/>
    <mergeCell ref="K20:M20"/>
    <mergeCell ref="N20:P20"/>
    <mergeCell ref="Q20:S20"/>
    <mergeCell ref="E21:G21"/>
    <mergeCell ref="H21:J21"/>
    <mergeCell ref="K21:M21"/>
    <mergeCell ref="N21:P21"/>
    <mergeCell ref="Q21:S21"/>
    <mergeCell ref="C19:D19"/>
    <mergeCell ref="U19:V19"/>
    <mergeCell ref="W19:X19"/>
    <mergeCell ref="C20:D20"/>
    <mergeCell ref="U20:V20"/>
    <mergeCell ref="C37:F37"/>
    <mergeCell ref="G37:L37"/>
    <mergeCell ref="N37:Q37"/>
    <mergeCell ref="R37:X37"/>
    <mergeCell ref="C38:K38"/>
    <mergeCell ref="C39:K39"/>
    <mergeCell ref="N38:X38"/>
    <mergeCell ref="N39:X39"/>
    <mergeCell ref="C40:K40"/>
    <mergeCell ref="N40:X40"/>
    <mergeCell ref="C41:K41"/>
    <mergeCell ref="N41:X41"/>
    <mergeCell ref="C42:K42"/>
    <mergeCell ref="C46:D46"/>
    <mergeCell ref="U46:V46"/>
    <mergeCell ref="W46:X46"/>
    <mergeCell ref="C47:D47"/>
    <mergeCell ref="U47:V47"/>
    <mergeCell ref="W47:X47"/>
    <mergeCell ref="U45:V45"/>
    <mergeCell ref="W45:X45"/>
    <mergeCell ref="E46:G46"/>
    <mergeCell ref="H46:J46"/>
    <mergeCell ref="H44:J44"/>
    <mergeCell ref="K44:M44"/>
    <mergeCell ref="N44:P44"/>
    <mergeCell ref="Q44:S44"/>
    <mergeCell ref="U44:X44"/>
    <mergeCell ref="B45:D45"/>
    <mergeCell ref="H48:J48"/>
    <mergeCell ref="K48:M48"/>
    <mergeCell ref="N48:P48"/>
    <mergeCell ref="K46:M46"/>
    <mergeCell ref="N46:P46"/>
    <mergeCell ref="H74:J74"/>
    <mergeCell ref="K74:M74"/>
    <mergeCell ref="N74:P74"/>
    <mergeCell ref="Q74:S74"/>
    <mergeCell ref="C69:K69"/>
    <mergeCell ref="N68:W68"/>
    <mergeCell ref="N52:P52"/>
    <mergeCell ref="U52:V52"/>
    <mergeCell ref="W52:X52"/>
    <mergeCell ref="B55:D55"/>
    <mergeCell ref="J55:L55"/>
    <mergeCell ref="Q55:S55"/>
    <mergeCell ref="Q52:S52"/>
    <mergeCell ref="B64:O64"/>
    <mergeCell ref="E65:I65"/>
    <mergeCell ref="L65:M65"/>
    <mergeCell ref="C67:F67"/>
    <mergeCell ref="G67:L67"/>
    <mergeCell ref="N67:Q67"/>
    <mergeCell ref="C81:D81"/>
    <mergeCell ref="E81:G81"/>
    <mergeCell ref="H81:J81"/>
    <mergeCell ref="K81:M81"/>
    <mergeCell ref="N81:P81"/>
    <mergeCell ref="Q81:S81"/>
    <mergeCell ref="C70:K70"/>
    <mergeCell ref="N69:W69"/>
    <mergeCell ref="C71:K71"/>
    <mergeCell ref="N71:W71"/>
    <mergeCell ref="C72:K72"/>
    <mergeCell ref="N72:W72"/>
    <mergeCell ref="U75:V75"/>
    <mergeCell ref="W75:X75"/>
    <mergeCell ref="C76:D76"/>
    <mergeCell ref="U76:V76"/>
    <mergeCell ref="N70:W70"/>
    <mergeCell ref="T74:T75"/>
    <mergeCell ref="B74:D74"/>
    <mergeCell ref="E74:G74"/>
    <mergeCell ref="W76:X76"/>
    <mergeCell ref="B75:D75"/>
    <mergeCell ref="E76:G76"/>
    <mergeCell ref="H76:J76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E83:G83"/>
    <mergeCell ref="B85:D85"/>
    <mergeCell ref="J85:L85"/>
    <mergeCell ref="Q85:S85"/>
    <mergeCell ref="B88:D88"/>
    <mergeCell ref="J88:L88"/>
    <mergeCell ref="U104:X104"/>
    <mergeCell ref="B105:D105"/>
    <mergeCell ref="U105:V105"/>
    <mergeCell ref="W105:X105"/>
    <mergeCell ref="R97:X97"/>
    <mergeCell ref="Q106:S106"/>
    <mergeCell ref="B93:O93"/>
    <mergeCell ref="S93:W93"/>
    <mergeCell ref="B94:O94"/>
    <mergeCell ref="U83:V83"/>
    <mergeCell ref="U111:V111"/>
    <mergeCell ref="W111:X111"/>
    <mergeCell ref="N101:W101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C106:D106"/>
    <mergeCell ref="E106:G106"/>
    <mergeCell ref="H106:J106"/>
    <mergeCell ref="K106:M106"/>
    <mergeCell ref="N106:P106"/>
    <mergeCell ref="U108:V108"/>
    <mergeCell ref="W108:X108"/>
    <mergeCell ref="B118:D118"/>
    <mergeCell ref="J118:L118"/>
    <mergeCell ref="Q118:S118"/>
    <mergeCell ref="C112:D112"/>
    <mergeCell ref="E112:G112"/>
    <mergeCell ref="H112:J112"/>
    <mergeCell ref="K112:M112"/>
    <mergeCell ref="N112:P112"/>
    <mergeCell ref="Q112:S112"/>
    <mergeCell ref="E113:G113"/>
    <mergeCell ref="U113:V113"/>
    <mergeCell ref="W113:X113"/>
    <mergeCell ref="U112:V112"/>
    <mergeCell ref="W112:X112"/>
    <mergeCell ref="U106:V106"/>
    <mergeCell ref="W106:X106"/>
    <mergeCell ref="U74:X74"/>
    <mergeCell ref="B115:D115"/>
    <mergeCell ref="J115:L115"/>
    <mergeCell ref="Q115:S115"/>
    <mergeCell ref="C110:D110"/>
    <mergeCell ref="E110:G110"/>
    <mergeCell ref="H110:J110"/>
    <mergeCell ref="K110:M110"/>
    <mergeCell ref="N110:P110"/>
    <mergeCell ref="Q110:S110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W83:X83"/>
    <mergeCell ref="T104:T105"/>
    <mergeCell ref="C82:D82"/>
    <mergeCell ref="E82:G82"/>
    <mergeCell ref="H82:J82"/>
    <mergeCell ref="K82:M82"/>
    <mergeCell ref="N82:P82"/>
    <mergeCell ref="Q82:S82"/>
    <mergeCell ref="U82:V82"/>
    <mergeCell ref="W82:X82"/>
  </mergeCells>
  <conditionalFormatting sqref="C8:K12 N8:N12">
    <cfRule type="expression" dxfId="162" priority="4" stopIfTrue="1">
      <formula>ISNA(C8)</formula>
    </cfRule>
  </conditionalFormatting>
  <conditionalFormatting sqref="C38:K42 N38:N42">
    <cfRule type="expression" dxfId="161" priority="3" stopIfTrue="1">
      <formula>ISNA(C38)</formula>
    </cfRule>
  </conditionalFormatting>
  <conditionalFormatting sqref="C68:K72 N68:W72">
    <cfRule type="expression" dxfId="160" priority="2" stopIfTrue="1">
      <formula>ISNA(C68)</formula>
    </cfRule>
  </conditionalFormatting>
  <conditionalFormatting sqref="C98:K102 N98:W102">
    <cfRule type="expression" dxfId="159" priority="1" stopIfTrue="1">
      <formula>ISNA(C98)</formula>
    </cfRule>
  </conditionalFormatting>
  <dataValidations count="9">
    <dataValidation type="list" allowBlank="1" showInputMessage="1" showErrorMessage="1" sqref="G37:L37 R37:X37 R7:X7 R97:X97 G67:L67 R67:X67 G97:L97 G7:L7" xr:uid="{9489B2E9-7919-4A36-BE2F-8B35747D3FB6}">
      <formula1>Mansad</formula1>
    </dataValidation>
    <dataValidation type="list" allowBlank="1" showInputMessage="1" showErrorMessage="1" sqref="N8:N12" xr:uid="{241C68B5-64C5-4A0A-9040-A825812876CA}">
      <formula1>INDIRECT($W$13)</formula1>
    </dataValidation>
    <dataValidation type="list" allowBlank="1" showInputMessage="1" showErrorMessage="1" sqref="C8:K12" xr:uid="{69D1F2BC-BE34-4C92-803C-A1832E46FE22}">
      <formula1>INDIRECT($K$13)</formula1>
    </dataValidation>
    <dataValidation type="list" allowBlank="1" showInputMessage="1" showErrorMessage="1" sqref="N38:N42" xr:uid="{28468882-23B9-4643-B677-EF1CC45AFCAD}">
      <formula1>INDIRECT($W$43)</formula1>
    </dataValidation>
    <dataValidation type="list" allowBlank="1" showInputMessage="1" showErrorMessage="1" sqref="N68:W72" xr:uid="{3285CDED-25A4-4897-BA1E-98B982009014}">
      <formula1>INDIRECT($W$73)</formula1>
    </dataValidation>
    <dataValidation type="list" allowBlank="1" showInputMessage="1" showErrorMessage="1" sqref="N98:W102" xr:uid="{C5DE81BC-CB9E-4587-B7C9-D63B07C8E5D0}">
      <formula1>INDIRECT($W$103)</formula1>
    </dataValidation>
    <dataValidation type="list" allowBlank="1" showInputMessage="1" showErrorMessage="1" sqref="C38:K42" xr:uid="{2B9BDEA3-89F1-4FE4-BA97-D9F98A59D3C5}">
      <formula1>INDIRECT($K$43)</formula1>
    </dataValidation>
    <dataValidation type="list" allowBlank="1" showInputMessage="1" showErrorMessage="1" sqref="C68:K72" xr:uid="{9FBBEAB6-E0A0-4156-89E9-8047B545A07E}">
      <formula1>INDIRECT($K$73)</formula1>
    </dataValidation>
    <dataValidation type="list" allowBlank="1" showInputMessage="1" showErrorMessage="1" sqref="C98:K102" xr:uid="{BBBF1958-8621-4A54-B37E-F6140FA45DA0}">
      <formula1>INDIRECT($K$103)</formula1>
    </dataValidation>
  </dataValidations>
  <printOptions horizontalCentered="1" verticalCentered="1"/>
  <pageMargins left="0.31496062992125984" right="0.31496062992125984" top="0.35433070866141736" bottom="0.35433070866141736" header="0.31496062992125984" footer="0.31496062992125984"/>
  <pageSetup paperSize="11" scale="81" fitToHeight="0" orientation="landscape" r:id="rId1"/>
  <rowBreaks count="3" manualBreakCount="3">
    <brk id="29" max="16383" man="1"/>
    <brk id="59" max="16383" man="1"/>
    <brk id="89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7D5F0-742B-4CB5-B533-473256062CDC}">
  <sheetPr codeName="Sheet9">
    <pageSetUpPr fitToPage="1"/>
  </sheetPr>
  <dimension ref="A1:Z119"/>
  <sheetViews>
    <sheetView topLeftCell="B1" zoomScaleNormal="100" workbookViewId="0">
      <selection activeCell="AC29" sqref="AC29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8.5703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45619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67</v>
      </c>
      <c r="Q5" s="19"/>
      <c r="R5" s="19"/>
      <c r="S5" s="19" t="s">
        <v>32</v>
      </c>
      <c r="T5" s="19"/>
      <c r="U5" s="19">
        <v>2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234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325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387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320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385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539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388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322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386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Meeskond5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515</v>
      </c>
      <c r="F16" s="254"/>
      <c r="G16" s="255"/>
      <c r="H16" s="253" t="s">
        <v>521</v>
      </c>
      <c r="I16" s="254"/>
      <c r="J16" s="255"/>
      <c r="K16" s="253" t="s">
        <v>502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3:0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0</v>
      </c>
    </row>
    <row r="17" spans="1:26">
      <c r="A17" s="18"/>
      <c r="B17" s="22">
        <v>2</v>
      </c>
      <c r="C17" s="276" t="s">
        <v>46</v>
      </c>
      <c r="D17" s="272"/>
      <c r="E17" s="253" t="s">
        <v>522</v>
      </c>
      <c r="F17" s="254"/>
      <c r="G17" s="255"/>
      <c r="H17" s="253" t="s">
        <v>507</v>
      </c>
      <c r="I17" s="254"/>
      <c r="J17" s="255"/>
      <c r="K17" s="253" t="s">
        <v>515</v>
      </c>
      <c r="L17" s="254"/>
      <c r="M17" s="255"/>
      <c r="N17" s="253" t="s">
        <v>515</v>
      </c>
      <c r="O17" s="254"/>
      <c r="P17" s="255"/>
      <c r="Q17" s="253" t="s">
        <v>503</v>
      </c>
      <c r="R17" s="254"/>
      <c r="S17" s="255"/>
      <c r="T17" s="123" t="str">
        <f t="shared" ref="T17:T22" si="0">IF(ISBLANK(E17)=TRUE,"",VALUE(Y17)&amp;":"&amp;VALUE(Z17))</f>
        <v>3:2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2</v>
      </c>
    </row>
    <row r="18" spans="1:26">
      <c r="A18" s="18"/>
      <c r="B18" s="22">
        <v>3</v>
      </c>
      <c r="C18" s="276" t="s">
        <v>47</v>
      </c>
      <c r="D18" s="272"/>
      <c r="E18" s="253" t="s">
        <v>521</v>
      </c>
      <c r="F18" s="254"/>
      <c r="G18" s="255"/>
      <c r="H18" s="253" t="s">
        <v>501</v>
      </c>
      <c r="I18" s="254"/>
      <c r="J18" s="255"/>
      <c r="K18" s="253" t="s">
        <v>502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533</v>
      </c>
      <c r="D19" s="272"/>
      <c r="E19" s="253" t="s">
        <v>522</v>
      </c>
      <c r="F19" s="254"/>
      <c r="G19" s="255"/>
      <c r="H19" s="253" t="s">
        <v>501</v>
      </c>
      <c r="I19" s="254"/>
      <c r="J19" s="255"/>
      <c r="K19" s="253" t="s">
        <v>515</v>
      </c>
      <c r="L19" s="254"/>
      <c r="M19" s="255"/>
      <c r="N19" s="253" t="s">
        <v>522</v>
      </c>
      <c r="O19" s="254"/>
      <c r="P19" s="255"/>
      <c r="Q19" s="253" t="s">
        <v>516</v>
      </c>
      <c r="R19" s="254"/>
      <c r="S19" s="255"/>
      <c r="T19" s="123" t="str">
        <f t="shared" si="0"/>
        <v>3:2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2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0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45619</v>
      </c>
      <c r="F35" s="278"/>
      <c r="G35" s="278"/>
      <c r="H35" s="278"/>
      <c r="I35" s="278"/>
      <c r="J35" s="19" t="s">
        <v>30</v>
      </c>
      <c r="K35" s="19"/>
      <c r="L35" s="281" t="str">
        <f>L5</f>
        <v>10.00</v>
      </c>
      <c r="M35" s="281"/>
      <c r="N35" s="19" t="s">
        <v>31</v>
      </c>
      <c r="O35" s="19"/>
      <c r="P35" s="19" t="str">
        <f>P5</f>
        <v>I</v>
      </c>
      <c r="Q35" s="19"/>
      <c r="R35" s="19"/>
      <c r="S35" s="19" t="s">
        <v>32</v>
      </c>
      <c r="T35" s="19"/>
      <c r="U35" s="19">
        <v>3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238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338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435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336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437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340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436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339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337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Meeskond8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521</v>
      </c>
      <c r="F46" s="254"/>
      <c r="G46" s="255"/>
      <c r="H46" s="253" t="s">
        <v>521</v>
      </c>
      <c r="I46" s="254"/>
      <c r="J46" s="255"/>
      <c r="K46" s="253" t="s">
        <v>530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503</v>
      </c>
      <c r="F47" s="254"/>
      <c r="G47" s="255"/>
      <c r="H47" s="253" t="s">
        <v>523</v>
      </c>
      <c r="I47" s="254"/>
      <c r="J47" s="255"/>
      <c r="K47" s="253" t="s">
        <v>513</v>
      </c>
      <c r="L47" s="254"/>
      <c r="M47" s="255"/>
      <c r="N47" s="253" t="s">
        <v>521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3:1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1</v>
      </c>
    </row>
    <row r="48" spans="1:26">
      <c r="A48" s="18"/>
      <c r="B48" s="22">
        <v>3</v>
      </c>
      <c r="C48" s="276" t="s">
        <v>47</v>
      </c>
      <c r="D48" s="272"/>
      <c r="E48" s="253" t="s">
        <v>515</v>
      </c>
      <c r="F48" s="254"/>
      <c r="G48" s="255"/>
      <c r="H48" s="253" t="s">
        <v>517</v>
      </c>
      <c r="I48" s="254"/>
      <c r="J48" s="255"/>
      <c r="K48" s="253" t="s">
        <v>503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540</v>
      </c>
      <c r="D49" s="272"/>
      <c r="E49" s="253" t="s">
        <v>508</v>
      </c>
      <c r="F49" s="254"/>
      <c r="G49" s="255"/>
      <c r="H49" s="253" t="s">
        <v>528</v>
      </c>
      <c r="I49" s="254"/>
      <c r="J49" s="255"/>
      <c r="K49" s="253" t="s">
        <v>522</v>
      </c>
      <c r="L49" s="254"/>
      <c r="M49" s="255"/>
      <c r="N49" s="253" t="s">
        <v>521</v>
      </c>
      <c r="O49" s="254"/>
      <c r="P49" s="255"/>
      <c r="Q49" s="253" t="s">
        <v>503</v>
      </c>
      <c r="R49" s="254"/>
      <c r="S49" s="255"/>
      <c r="T49" s="123" t="str">
        <f t="shared" si="5"/>
        <v>3:2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2</v>
      </c>
    </row>
    <row r="50" spans="1:26">
      <c r="A50" s="18"/>
      <c r="B50" s="24">
        <v>5</v>
      </c>
      <c r="C50" s="271" t="s">
        <v>48</v>
      </c>
      <c r="D50" s="272"/>
      <c r="E50" s="253"/>
      <c r="F50" s="254"/>
      <c r="G50" s="255"/>
      <c r="H50" s="253"/>
      <c r="I50" s="254"/>
      <c r="J50" s="255"/>
      <c r="K50" s="253"/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/>
      </c>
      <c r="U50" s="262" t="str">
        <f t="shared" si="6"/>
        <v/>
      </c>
      <c r="V50" s="264"/>
      <c r="W50" s="262" t="str">
        <f t="shared" si="7"/>
        <v/>
      </c>
      <c r="X50" s="264"/>
      <c r="Y50">
        <f t="shared" si="8"/>
        <v>0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0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45619</v>
      </c>
      <c r="F65" s="278"/>
      <c r="G65" s="278"/>
      <c r="H65" s="278"/>
      <c r="I65" s="278"/>
      <c r="J65" s="19" t="s">
        <v>30</v>
      </c>
      <c r="K65" s="19"/>
      <c r="L65" s="281" t="str">
        <f>L5</f>
        <v>10.00</v>
      </c>
      <c r="M65" s="281"/>
      <c r="N65" s="19" t="s">
        <v>31</v>
      </c>
      <c r="O65" s="19"/>
      <c r="P65" s="19" t="str">
        <f>P5</f>
        <v>I</v>
      </c>
      <c r="Q65" s="19"/>
      <c r="R65" s="19"/>
      <c r="S65" s="19" t="s">
        <v>32</v>
      </c>
      <c r="T65" s="19"/>
      <c r="U65" s="19">
        <v>1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232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237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355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425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359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422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357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421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356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423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 t="s">
        <v>424</v>
      </c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Meeskond3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Meeskond7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504</v>
      </c>
      <c r="F76" s="254"/>
      <c r="G76" s="255"/>
      <c r="H76" s="253" t="s">
        <v>521</v>
      </c>
      <c r="I76" s="254"/>
      <c r="J76" s="255"/>
      <c r="K76" s="253" t="s">
        <v>521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3:0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0</v>
      </c>
    </row>
    <row r="77" spans="1:26">
      <c r="A77" s="18"/>
      <c r="B77" s="22">
        <v>2</v>
      </c>
      <c r="C77" s="276" t="s">
        <v>46</v>
      </c>
      <c r="D77" s="272"/>
      <c r="E77" s="253" t="s">
        <v>521</v>
      </c>
      <c r="F77" s="254"/>
      <c r="G77" s="255"/>
      <c r="H77" s="253" t="s">
        <v>526</v>
      </c>
      <c r="I77" s="254"/>
      <c r="J77" s="255"/>
      <c r="K77" s="253" t="s">
        <v>504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523</v>
      </c>
      <c r="F78" s="254"/>
      <c r="G78" s="255"/>
      <c r="H78" s="253" t="s">
        <v>512</v>
      </c>
      <c r="I78" s="254"/>
      <c r="J78" s="255"/>
      <c r="K78" s="253" t="s">
        <v>522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0:3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0</v>
      </c>
      <c r="Z78" s="18">
        <f t="shared" si="14"/>
        <v>3</v>
      </c>
    </row>
    <row r="79" spans="1:26">
      <c r="A79" s="18"/>
      <c r="B79" s="22">
        <v>4</v>
      </c>
      <c r="C79" s="276" t="s">
        <v>541</v>
      </c>
      <c r="D79" s="272"/>
      <c r="E79" s="253" t="s">
        <v>507</v>
      </c>
      <c r="F79" s="254"/>
      <c r="G79" s="255"/>
      <c r="H79" s="253" t="s">
        <v>501</v>
      </c>
      <c r="I79" s="254"/>
      <c r="J79" s="255"/>
      <c r="K79" s="253" t="s">
        <v>501</v>
      </c>
      <c r="L79" s="254"/>
      <c r="M79" s="255"/>
      <c r="N79" s="253" t="s">
        <v>516</v>
      </c>
      <c r="O79" s="254"/>
      <c r="P79" s="255"/>
      <c r="Q79" s="253"/>
      <c r="R79" s="254"/>
      <c r="S79" s="255"/>
      <c r="T79" s="123" t="str">
        <f t="shared" si="10"/>
        <v>3:1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1</v>
      </c>
    </row>
    <row r="80" spans="1:26">
      <c r="A80" s="18"/>
      <c r="B80" s="24">
        <v>5</v>
      </c>
      <c r="C80" s="271" t="s">
        <v>48</v>
      </c>
      <c r="D80" s="272"/>
      <c r="E80" s="253" t="s">
        <v>503</v>
      </c>
      <c r="F80" s="254"/>
      <c r="G80" s="255"/>
      <c r="H80" s="253" t="s">
        <v>512</v>
      </c>
      <c r="I80" s="254"/>
      <c r="J80" s="255"/>
      <c r="K80" s="253" t="s">
        <v>523</v>
      </c>
      <c r="L80" s="254"/>
      <c r="M80" s="255"/>
      <c r="N80" s="253" t="s">
        <v>516</v>
      </c>
      <c r="O80" s="254"/>
      <c r="P80" s="255"/>
      <c r="Q80" s="253" t="s">
        <v>530</v>
      </c>
      <c r="R80" s="254"/>
      <c r="S80" s="255"/>
      <c r="T80" s="123" t="str">
        <f t="shared" si="10"/>
        <v>3:2</v>
      </c>
      <c r="U80" s="262">
        <f t="shared" si="11"/>
        <v>1</v>
      </c>
      <c r="V80" s="264"/>
      <c r="W80" s="262">
        <f t="shared" si="12"/>
        <v>0</v>
      </c>
      <c r="X80" s="264"/>
      <c r="Y80">
        <f t="shared" si="13"/>
        <v>3</v>
      </c>
      <c r="Z80" s="18">
        <f t="shared" si="14"/>
        <v>2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1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45619</v>
      </c>
      <c r="F95" s="278"/>
      <c r="G95" s="278"/>
      <c r="H95" s="278"/>
      <c r="I95" s="278"/>
      <c r="J95" s="19" t="s">
        <v>30</v>
      </c>
      <c r="K95" s="19"/>
      <c r="L95" s="281" t="str">
        <f>L5</f>
        <v>10.00</v>
      </c>
      <c r="M95" s="281"/>
      <c r="N95" s="19" t="s">
        <v>31</v>
      </c>
      <c r="O95" s="19"/>
      <c r="P95" s="19" t="str">
        <f>P5</f>
        <v>I</v>
      </c>
      <c r="Q95" s="19"/>
      <c r="R95" s="19"/>
      <c r="S95" s="19" t="s">
        <v>32</v>
      </c>
      <c r="T95" s="19"/>
      <c r="U95" s="19">
        <v>4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233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235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370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408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374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64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373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403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/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Meeskond4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Meeskond6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503</v>
      </c>
      <c r="F106" s="254"/>
      <c r="G106" s="255"/>
      <c r="H106" s="253" t="s">
        <v>501</v>
      </c>
      <c r="I106" s="254"/>
      <c r="J106" s="255"/>
      <c r="K106" s="253" t="s">
        <v>515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3:0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0</v>
      </c>
    </row>
    <row r="107" spans="1:26">
      <c r="A107" s="18"/>
      <c r="B107" s="22">
        <v>2</v>
      </c>
      <c r="C107" s="276" t="s">
        <v>46</v>
      </c>
      <c r="D107" s="272"/>
      <c r="E107" s="253" t="s">
        <v>502</v>
      </c>
      <c r="F107" s="254"/>
      <c r="G107" s="255"/>
      <c r="H107" s="253" t="s">
        <v>515</v>
      </c>
      <c r="I107" s="254"/>
      <c r="J107" s="255"/>
      <c r="K107" s="253" t="s">
        <v>503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3:0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0</v>
      </c>
    </row>
    <row r="108" spans="1:26">
      <c r="A108" s="18"/>
      <c r="B108" s="22">
        <v>3</v>
      </c>
      <c r="C108" s="276" t="s">
        <v>47</v>
      </c>
      <c r="D108" s="272"/>
      <c r="E108" s="253" t="s">
        <v>513</v>
      </c>
      <c r="F108" s="254"/>
      <c r="G108" s="255"/>
      <c r="H108" s="253" t="s">
        <v>530</v>
      </c>
      <c r="I108" s="254"/>
      <c r="J108" s="255"/>
      <c r="K108" s="253" t="s">
        <v>502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3:0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0</v>
      </c>
    </row>
    <row r="109" spans="1:26">
      <c r="A109" s="18"/>
      <c r="B109" s="22">
        <v>4</v>
      </c>
      <c r="C109" s="276" t="s">
        <v>535</v>
      </c>
      <c r="D109" s="272"/>
      <c r="E109" s="253" t="s">
        <v>513</v>
      </c>
      <c r="F109" s="254"/>
      <c r="G109" s="255"/>
      <c r="H109" s="253" t="s">
        <v>501</v>
      </c>
      <c r="I109" s="254"/>
      <c r="J109" s="255"/>
      <c r="K109" s="253" t="s">
        <v>515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0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C10:K10"/>
    <mergeCell ref="C11:K11"/>
    <mergeCell ref="C7:F7"/>
    <mergeCell ref="G7:L7"/>
    <mergeCell ref="N7:Q7"/>
    <mergeCell ref="R7:X7"/>
    <mergeCell ref="C8:K8"/>
    <mergeCell ref="B15:D15"/>
    <mergeCell ref="U15:V15"/>
    <mergeCell ref="W15:X15"/>
    <mergeCell ref="N8:X8"/>
    <mergeCell ref="N9:X9"/>
    <mergeCell ref="N10:X10"/>
    <mergeCell ref="N11:X11"/>
    <mergeCell ref="C16:D16"/>
    <mergeCell ref="U16:V16"/>
    <mergeCell ref="W16:X16"/>
    <mergeCell ref="C12:K12"/>
    <mergeCell ref="B14:D14"/>
    <mergeCell ref="E14:G14"/>
    <mergeCell ref="H14:J14"/>
    <mergeCell ref="K14:M14"/>
    <mergeCell ref="N14:P14"/>
    <mergeCell ref="Q14:S14"/>
    <mergeCell ref="U14:X14"/>
    <mergeCell ref="N12:X12"/>
    <mergeCell ref="E16:G16"/>
    <mergeCell ref="H16:J16"/>
    <mergeCell ref="K16:M16"/>
    <mergeCell ref="N16:P16"/>
    <mergeCell ref="Q16:S16"/>
    <mergeCell ref="C17:D17"/>
    <mergeCell ref="U17:V17"/>
    <mergeCell ref="W17:X17"/>
    <mergeCell ref="C18:D18"/>
    <mergeCell ref="U18:V18"/>
    <mergeCell ref="W18:X18"/>
    <mergeCell ref="E17:G17"/>
    <mergeCell ref="H17:J17"/>
    <mergeCell ref="K17:M17"/>
    <mergeCell ref="N17:P17"/>
    <mergeCell ref="Q17:S17"/>
    <mergeCell ref="E18:G18"/>
    <mergeCell ref="H18:J18"/>
    <mergeCell ref="K18:M18"/>
    <mergeCell ref="N18:P18"/>
    <mergeCell ref="Q18:S18"/>
    <mergeCell ref="C19:D19"/>
    <mergeCell ref="U19:V19"/>
    <mergeCell ref="W19:X19"/>
    <mergeCell ref="C20:D20"/>
    <mergeCell ref="U20:V20"/>
    <mergeCell ref="W20:X20"/>
    <mergeCell ref="E19:G19"/>
    <mergeCell ref="H19:J19"/>
    <mergeCell ref="E23:G23"/>
    <mergeCell ref="C21:D21"/>
    <mergeCell ref="U21:V21"/>
    <mergeCell ref="W21:X21"/>
    <mergeCell ref="C22:D22"/>
    <mergeCell ref="U22:V22"/>
    <mergeCell ref="W22:X22"/>
    <mergeCell ref="E22:G22"/>
    <mergeCell ref="H22:J22"/>
    <mergeCell ref="K22:M22"/>
    <mergeCell ref="N22:P22"/>
    <mergeCell ref="Q22:S22"/>
    <mergeCell ref="K19:M19"/>
    <mergeCell ref="N19:P19"/>
    <mergeCell ref="Q19:S19"/>
    <mergeCell ref="E20:G20"/>
    <mergeCell ref="B25:D25"/>
    <mergeCell ref="J25:L25"/>
    <mergeCell ref="Q25:S25"/>
    <mergeCell ref="C38:K38"/>
    <mergeCell ref="C39:K39"/>
    <mergeCell ref="N38:X38"/>
    <mergeCell ref="N39:X39"/>
    <mergeCell ref="B31:G31"/>
    <mergeCell ref="B33:O33"/>
    <mergeCell ref="S33:W33"/>
    <mergeCell ref="B34:O34"/>
    <mergeCell ref="E35:I35"/>
    <mergeCell ref="L35:M35"/>
    <mergeCell ref="C37:F37"/>
    <mergeCell ref="G37:L37"/>
    <mergeCell ref="N37:Q37"/>
    <mergeCell ref="R37:X37"/>
    <mergeCell ref="B28:D28"/>
    <mergeCell ref="J28:L28"/>
    <mergeCell ref="Q28:S28"/>
    <mergeCell ref="C47:D47"/>
    <mergeCell ref="U47:V47"/>
    <mergeCell ref="W47:X47"/>
    <mergeCell ref="U45:V45"/>
    <mergeCell ref="W45:X45"/>
    <mergeCell ref="E46:G46"/>
    <mergeCell ref="H46:J46"/>
    <mergeCell ref="K46:M46"/>
    <mergeCell ref="N46:P46"/>
    <mergeCell ref="Q46:S46"/>
    <mergeCell ref="E47:G47"/>
    <mergeCell ref="H47:J47"/>
    <mergeCell ref="K47:M47"/>
    <mergeCell ref="N47:P47"/>
    <mergeCell ref="Q47:S47"/>
    <mergeCell ref="C46:D46"/>
    <mergeCell ref="C40:K40"/>
    <mergeCell ref="N40:X40"/>
    <mergeCell ref="C41:K41"/>
    <mergeCell ref="N41:X41"/>
    <mergeCell ref="C42:K42"/>
    <mergeCell ref="N42:X42"/>
    <mergeCell ref="U46:V46"/>
    <mergeCell ref="W46:X46"/>
    <mergeCell ref="B44:D44"/>
    <mergeCell ref="E44:G44"/>
    <mergeCell ref="H44:J44"/>
    <mergeCell ref="K44:M44"/>
    <mergeCell ref="N44:P44"/>
    <mergeCell ref="Q44:S44"/>
    <mergeCell ref="B45:D45"/>
    <mergeCell ref="C51:D51"/>
    <mergeCell ref="E51:G51"/>
    <mergeCell ref="H51:J51"/>
    <mergeCell ref="K51:M51"/>
    <mergeCell ref="N51:P51"/>
    <mergeCell ref="Q51:S51"/>
    <mergeCell ref="U51:V51"/>
    <mergeCell ref="W51:X51"/>
    <mergeCell ref="C52:D52"/>
    <mergeCell ref="E52:G52"/>
    <mergeCell ref="H52:J52"/>
    <mergeCell ref="K52:M52"/>
    <mergeCell ref="N52:P52"/>
    <mergeCell ref="U52:V52"/>
    <mergeCell ref="W52:X52"/>
    <mergeCell ref="Q52:S52"/>
    <mergeCell ref="B74:D74"/>
    <mergeCell ref="E74:G74"/>
    <mergeCell ref="H74:J74"/>
    <mergeCell ref="K74:M74"/>
    <mergeCell ref="N74:P74"/>
    <mergeCell ref="Q74:S74"/>
    <mergeCell ref="U74:X74"/>
    <mergeCell ref="E65:I65"/>
    <mergeCell ref="L65:M65"/>
    <mergeCell ref="C67:F67"/>
    <mergeCell ref="G67:L67"/>
    <mergeCell ref="N67:Q67"/>
    <mergeCell ref="R67:X67"/>
    <mergeCell ref="C68:K68"/>
    <mergeCell ref="C71:K71"/>
    <mergeCell ref="N71:W71"/>
    <mergeCell ref="C72:K72"/>
    <mergeCell ref="N72:W72"/>
    <mergeCell ref="C76:D76"/>
    <mergeCell ref="U76:V76"/>
    <mergeCell ref="W76:X76"/>
    <mergeCell ref="B75:D75"/>
    <mergeCell ref="E76:G76"/>
    <mergeCell ref="H76:J76"/>
    <mergeCell ref="K76:M76"/>
    <mergeCell ref="N76:P76"/>
    <mergeCell ref="Q76:S76"/>
    <mergeCell ref="C98:K98"/>
    <mergeCell ref="N98:W98"/>
    <mergeCell ref="C99:K99"/>
    <mergeCell ref="N99:W99"/>
    <mergeCell ref="C100:K100"/>
    <mergeCell ref="N100:W100"/>
    <mergeCell ref="C101:K101"/>
    <mergeCell ref="N101:W101"/>
    <mergeCell ref="B94:O94"/>
    <mergeCell ref="E95:I95"/>
    <mergeCell ref="L95:M95"/>
    <mergeCell ref="C97:F97"/>
    <mergeCell ref="G97:L97"/>
    <mergeCell ref="N97:Q97"/>
    <mergeCell ref="R97:X97"/>
    <mergeCell ref="E104:G104"/>
    <mergeCell ref="Q106:S106"/>
    <mergeCell ref="C102:K102"/>
    <mergeCell ref="N102:W102"/>
    <mergeCell ref="B104:D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U106:V106"/>
    <mergeCell ref="W106:X106"/>
    <mergeCell ref="T104:T105"/>
    <mergeCell ref="H20:J20"/>
    <mergeCell ref="K20:M20"/>
    <mergeCell ref="N20:P20"/>
    <mergeCell ref="Q20:S20"/>
    <mergeCell ref="E21:G21"/>
    <mergeCell ref="H21:J21"/>
    <mergeCell ref="K21:M21"/>
    <mergeCell ref="N21:P21"/>
    <mergeCell ref="Q21:S21"/>
    <mergeCell ref="H50:J50"/>
    <mergeCell ref="K50:M50"/>
    <mergeCell ref="N50:P50"/>
    <mergeCell ref="Q50:S50"/>
    <mergeCell ref="U50:V50"/>
    <mergeCell ref="W50:X50"/>
    <mergeCell ref="E50:G50"/>
    <mergeCell ref="C50:D50"/>
    <mergeCell ref="C48:D48"/>
    <mergeCell ref="U48:V48"/>
    <mergeCell ref="W48:X48"/>
    <mergeCell ref="C49:D49"/>
    <mergeCell ref="U49:V49"/>
    <mergeCell ref="W49:X49"/>
    <mergeCell ref="E48:G48"/>
    <mergeCell ref="H48:J48"/>
    <mergeCell ref="K48:M48"/>
    <mergeCell ref="N48:P48"/>
    <mergeCell ref="Q48:S48"/>
    <mergeCell ref="E49:G49"/>
    <mergeCell ref="H49:J49"/>
    <mergeCell ref="K49:M49"/>
    <mergeCell ref="N49:P49"/>
    <mergeCell ref="Q49:S49"/>
    <mergeCell ref="E53:G53"/>
    <mergeCell ref="B55:D55"/>
    <mergeCell ref="J55:L55"/>
    <mergeCell ref="Q55:S55"/>
    <mergeCell ref="N68:W68"/>
    <mergeCell ref="C69:K69"/>
    <mergeCell ref="N69:W69"/>
    <mergeCell ref="C70:K70"/>
    <mergeCell ref="N70:W70"/>
    <mergeCell ref="B58:D58"/>
    <mergeCell ref="J58:L58"/>
    <mergeCell ref="Q58:S58"/>
    <mergeCell ref="B61:G61"/>
    <mergeCell ref="B63:O63"/>
    <mergeCell ref="S63:W63"/>
    <mergeCell ref="B64:O64"/>
    <mergeCell ref="C78:D78"/>
    <mergeCell ref="E78:G78"/>
    <mergeCell ref="H78:J78"/>
    <mergeCell ref="K78:M78"/>
    <mergeCell ref="N78:P78"/>
    <mergeCell ref="Q78:S78"/>
    <mergeCell ref="U78:V78"/>
    <mergeCell ref="W78:X78"/>
    <mergeCell ref="E77:G77"/>
    <mergeCell ref="C77:D77"/>
    <mergeCell ref="H77:J77"/>
    <mergeCell ref="K77:M77"/>
    <mergeCell ref="N77:P77"/>
    <mergeCell ref="Q77:S77"/>
    <mergeCell ref="C79:D79"/>
    <mergeCell ref="E79:G79"/>
    <mergeCell ref="H79:J79"/>
    <mergeCell ref="K79:M79"/>
    <mergeCell ref="N79:P79"/>
    <mergeCell ref="U79:V79"/>
    <mergeCell ref="W79:X79"/>
    <mergeCell ref="C80:D80"/>
    <mergeCell ref="E80:G80"/>
    <mergeCell ref="H80:J80"/>
    <mergeCell ref="K80:M80"/>
    <mergeCell ref="N80:P80"/>
    <mergeCell ref="Q80:S80"/>
    <mergeCell ref="U80:V80"/>
    <mergeCell ref="W80:X80"/>
    <mergeCell ref="Q79:S79"/>
    <mergeCell ref="C81:D81"/>
    <mergeCell ref="E81:G81"/>
    <mergeCell ref="H81:J81"/>
    <mergeCell ref="K81:M81"/>
    <mergeCell ref="N81:P81"/>
    <mergeCell ref="Q81:S81"/>
    <mergeCell ref="U81:V81"/>
    <mergeCell ref="W81:X81"/>
    <mergeCell ref="C82:D82"/>
    <mergeCell ref="E82:G82"/>
    <mergeCell ref="H82:J82"/>
    <mergeCell ref="K82:M82"/>
    <mergeCell ref="N82:P82"/>
    <mergeCell ref="Q82:S82"/>
    <mergeCell ref="U82:V82"/>
    <mergeCell ref="W82:X82"/>
    <mergeCell ref="E83:G83"/>
    <mergeCell ref="B85:D85"/>
    <mergeCell ref="J85:L85"/>
    <mergeCell ref="Q85:S85"/>
    <mergeCell ref="B88:D88"/>
    <mergeCell ref="J88:L88"/>
    <mergeCell ref="Q88:S88"/>
    <mergeCell ref="B91:G91"/>
    <mergeCell ref="B93:O93"/>
    <mergeCell ref="S93:W93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C108:D108"/>
    <mergeCell ref="E108:G108"/>
    <mergeCell ref="H108:J108"/>
    <mergeCell ref="K108:M108"/>
    <mergeCell ref="N108:P108"/>
    <mergeCell ref="Q108:S108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U112:V112"/>
    <mergeCell ref="W112:X112"/>
    <mergeCell ref="C110:D110"/>
    <mergeCell ref="E110:G110"/>
    <mergeCell ref="H110:J110"/>
    <mergeCell ref="K110:M110"/>
    <mergeCell ref="N110:P110"/>
    <mergeCell ref="Q110:S110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B115:D115"/>
    <mergeCell ref="J115:L115"/>
    <mergeCell ref="Q115:S115"/>
    <mergeCell ref="B118:D118"/>
    <mergeCell ref="J118:L118"/>
    <mergeCell ref="Q118:S118"/>
    <mergeCell ref="C112:D112"/>
    <mergeCell ref="E112:G112"/>
    <mergeCell ref="H112:J112"/>
    <mergeCell ref="K112:M112"/>
    <mergeCell ref="N112:P112"/>
    <mergeCell ref="Q112:S112"/>
    <mergeCell ref="E113:G113"/>
    <mergeCell ref="U113:V113"/>
    <mergeCell ref="W113:X113"/>
    <mergeCell ref="T14:T15"/>
    <mergeCell ref="U23:V23"/>
    <mergeCell ref="W23:X23"/>
    <mergeCell ref="T44:T45"/>
    <mergeCell ref="U53:V53"/>
    <mergeCell ref="W53:X53"/>
    <mergeCell ref="T74:T75"/>
    <mergeCell ref="U83:V83"/>
    <mergeCell ref="W83:X83"/>
    <mergeCell ref="U77:V77"/>
    <mergeCell ref="W77:X77"/>
    <mergeCell ref="U75:V75"/>
    <mergeCell ref="W75:X75"/>
    <mergeCell ref="U44:X44"/>
  </mergeCells>
  <conditionalFormatting sqref="C8:K12 N8:N12">
    <cfRule type="expression" dxfId="158" priority="4" stopIfTrue="1">
      <formula>ISNA(C8)</formula>
    </cfRule>
  </conditionalFormatting>
  <conditionalFormatting sqref="C38:K42 N38:N42">
    <cfRule type="expression" dxfId="157" priority="3" stopIfTrue="1">
      <formula>ISNA(C38)</formula>
    </cfRule>
  </conditionalFormatting>
  <conditionalFormatting sqref="C68:K72 N68:W72">
    <cfRule type="expression" dxfId="156" priority="2" stopIfTrue="1">
      <formula>ISNA(C68)</formula>
    </cfRule>
  </conditionalFormatting>
  <conditionalFormatting sqref="C98:K102 N98:W102">
    <cfRule type="expression" dxfId="155" priority="1" stopIfTrue="1">
      <formula>ISNA(C98)</formula>
    </cfRule>
  </conditionalFormatting>
  <dataValidations count="9">
    <dataValidation type="list" allowBlank="1" showInputMessage="1" showErrorMessage="1" sqref="C8:K12" xr:uid="{35140880-21DC-4D0E-BA84-D4BE39360E17}">
      <formula1>INDIRECT($K$13)</formula1>
    </dataValidation>
    <dataValidation type="list" allowBlank="1" showInputMessage="1" showErrorMessage="1" sqref="N8:N12" xr:uid="{E82564C5-88C8-437E-BA0B-7DC3B4C73B6A}">
      <formula1>INDIRECT($W$13)</formula1>
    </dataValidation>
    <dataValidation type="list" allowBlank="1" showInputMessage="1" showErrorMessage="1" sqref="G37:L37 R37:X37 R7:X7 R97:X97 G67:L67 R67:X67 G97:L97 G7:L7" xr:uid="{C93E52CE-4FB3-4232-8CB1-D9D7CA87E07F}">
      <formula1>Mansad</formula1>
    </dataValidation>
    <dataValidation type="list" allowBlank="1" showInputMessage="1" showErrorMessage="1" sqref="C98:K102" xr:uid="{17C83341-28EC-4401-9B31-9FBC15660C89}">
      <formula1>INDIRECT($K$103)</formula1>
    </dataValidation>
    <dataValidation type="list" allowBlank="1" showInputMessage="1" showErrorMessage="1" sqref="C68:K72" xr:uid="{297524F2-6CD4-4228-8E44-D065B8042C92}">
      <formula1>INDIRECT($K$73)</formula1>
    </dataValidation>
    <dataValidation type="list" allowBlank="1" showInputMessage="1" showErrorMessage="1" sqref="C38:K42" xr:uid="{C583783B-CB4D-410C-8633-CB62571FE26B}">
      <formula1>INDIRECT($K$43)</formula1>
    </dataValidation>
    <dataValidation type="list" allowBlank="1" showInputMessage="1" showErrorMessage="1" sqref="N98:W102" xr:uid="{EF964F15-FAD4-4E6E-922E-5CEF22624B8C}">
      <formula1>INDIRECT($W$103)</formula1>
    </dataValidation>
    <dataValidation type="list" allowBlank="1" showInputMessage="1" showErrorMessage="1" sqref="N68:W72" xr:uid="{69330036-226E-44C5-B211-3760A576A200}">
      <formula1>INDIRECT($W$73)</formula1>
    </dataValidation>
    <dataValidation type="list" allowBlank="1" showInputMessage="1" showErrorMessage="1" sqref="N38:N42" xr:uid="{954C3C7C-6074-4097-BE56-6C8F0950A1DA}">
      <formula1>INDIRECT($W$43)</formula1>
    </dataValidation>
  </dataValidations>
  <printOptions horizontalCentered="1" verticalCentered="1"/>
  <pageMargins left="0.31496062992125984" right="0.31496062992125984" top="0.35433070866141736" bottom="0.35433070866141736" header="0.31496062992125984" footer="0.31496062992125984"/>
  <pageSetup paperSize="11" scale="8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985A6-9FE2-4CB2-9A51-EAE2138DBD48}">
  <sheetPr>
    <pageSetUpPr fitToPage="1"/>
  </sheetPr>
  <dimension ref="A1:Z119"/>
  <sheetViews>
    <sheetView topLeftCell="A63" workbookViewId="0">
      <selection activeCell="AC29" sqref="AC29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6.285156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45619</v>
      </c>
      <c r="F5" s="278"/>
      <c r="G5" s="278"/>
      <c r="H5" s="278"/>
      <c r="I5" s="278"/>
      <c r="J5" s="19" t="s">
        <v>30</v>
      </c>
      <c r="K5" s="19"/>
      <c r="L5" s="281" t="s">
        <v>466</v>
      </c>
      <c r="M5" s="281"/>
      <c r="N5" s="19" t="s">
        <v>31</v>
      </c>
      <c r="O5" s="19"/>
      <c r="P5" s="19" t="s">
        <v>440</v>
      </c>
      <c r="Q5" s="19"/>
      <c r="R5" s="19"/>
      <c r="S5" s="19" t="s">
        <v>32</v>
      </c>
      <c r="T5" s="19"/>
      <c r="U5" s="19">
        <v>2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232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320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355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539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359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325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356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322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357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 t="s">
        <v>321</v>
      </c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Meeskond3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515</v>
      </c>
      <c r="F16" s="254"/>
      <c r="G16" s="255"/>
      <c r="H16" s="253" t="s">
        <v>522</v>
      </c>
      <c r="I16" s="254"/>
      <c r="J16" s="255"/>
      <c r="K16" s="253" t="s">
        <v>503</v>
      </c>
      <c r="L16" s="254"/>
      <c r="M16" s="255"/>
      <c r="N16" s="253" t="s">
        <v>521</v>
      </c>
      <c r="O16" s="254"/>
      <c r="P16" s="255"/>
      <c r="Q16" s="253"/>
      <c r="R16" s="254"/>
      <c r="S16" s="255"/>
      <c r="T16" s="123" t="str">
        <f>IF(ISBLANK(E16)=TRUE,"",VALUE(Y16)&amp;":"&amp;VALUE(Z16))</f>
        <v>3:1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1</v>
      </c>
    </row>
    <row r="17" spans="1:26">
      <c r="A17" s="18"/>
      <c r="B17" s="22">
        <v>2</v>
      </c>
      <c r="C17" s="276" t="s">
        <v>46</v>
      </c>
      <c r="D17" s="272"/>
      <c r="E17" s="253" t="s">
        <v>522</v>
      </c>
      <c r="F17" s="254"/>
      <c r="G17" s="255"/>
      <c r="H17" s="253" t="s">
        <v>507</v>
      </c>
      <c r="I17" s="254"/>
      <c r="J17" s="255"/>
      <c r="K17" s="253" t="s">
        <v>519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0:3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0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501</v>
      </c>
      <c r="F18" s="254"/>
      <c r="G18" s="255"/>
      <c r="H18" s="253" t="s">
        <v>521</v>
      </c>
      <c r="I18" s="254"/>
      <c r="J18" s="255"/>
      <c r="K18" s="253" t="s">
        <v>501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535</v>
      </c>
      <c r="D19" s="272"/>
      <c r="E19" s="253" t="s">
        <v>521</v>
      </c>
      <c r="F19" s="254"/>
      <c r="G19" s="255"/>
      <c r="H19" s="253" t="s">
        <v>503</v>
      </c>
      <c r="I19" s="254"/>
      <c r="J19" s="255"/>
      <c r="K19" s="253" t="s">
        <v>515</v>
      </c>
      <c r="L19" s="254"/>
      <c r="M19" s="255"/>
      <c r="N19" s="253"/>
      <c r="O19" s="254"/>
      <c r="P19" s="255"/>
      <c r="Q19" s="253"/>
      <c r="R19" s="254"/>
      <c r="S19" s="255"/>
      <c r="T19" s="123" t="str">
        <f t="shared" si="0"/>
        <v>3:0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0</v>
      </c>
    </row>
    <row r="20" spans="1:26">
      <c r="A20" s="18"/>
      <c r="B20" s="24">
        <v>5</v>
      </c>
      <c r="C20" s="271" t="s">
        <v>48</v>
      </c>
      <c r="D20" s="272"/>
      <c r="E20" s="253" t="s">
        <v>512</v>
      </c>
      <c r="F20" s="254"/>
      <c r="G20" s="255"/>
      <c r="H20" s="253" t="s">
        <v>523</v>
      </c>
      <c r="I20" s="254"/>
      <c r="J20" s="255"/>
      <c r="K20" s="253" t="s">
        <v>508</v>
      </c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>0:3</v>
      </c>
      <c r="U20" s="262">
        <f t="shared" si="1"/>
        <v>0</v>
      </c>
      <c r="V20" s="264"/>
      <c r="W20" s="262">
        <f t="shared" si="2"/>
        <v>1</v>
      </c>
      <c r="X20" s="264"/>
      <c r="Y20">
        <f t="shared" si="3"/>
        <v>0</v>
      </c>
      <c r="Z20" s="18">
        <f t="shared" si="4"/>
        <v>3</v>
      </c>
    </row>
    <row r="21" spans="1:26">
      <c r="A21" s="18"/>
      <c r="B21" s="24">
        <v>6</v>
      </c>
      <c r="C21" s="271" t="s">
        <v>49</v>
      </c>
      <c r="D21" s="272"/>
      <c r="E21" s="253" t="s">
        <v>521</v>
      </c>
      <c r="F21" s="254"/>
      <c r="G21" s="255"/>
      <c r="H21" s="253" t="s">
        <v>501</v>
      </c>
      <c r="I21" s="254"/>
      <c r="J21" s="255"/>
      <c r="K21" s="253" t="s">
        <v>528</v>
      </c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>3:0</v>
      </c>
      <c r="U21" s="262">
        <f t="shared" si="1"/>
        <v>1</v>
      </c>
      <c r="V21" s="264"/>
      <c r="W21" s="262">
        <f t="shared" si="2"/>
        <v>0</v>
      </c>
      <c r="X21" s="264"/>
      <c r="Y21">
        <f t="shared" si="3"/>
        <v>3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2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45619</v>
      </c>
      <c r="F35" s="278"/>
      <c r="G35" s="278"/>
      <c r="H35" s="278"/>
      <c r="I35" s="278"/>
      <c r="J35" s="19" t="s">
        <v>30</v>
      </c>
      <c r="K35" s="19"/>
      <c r="L35" s="281" t="str">
        <f>L5</f>
        <v>13.00</v>
      </c>
      <c r="M35" s="281"/>
      <c r="N35" s="19" t="s">
        <v>31</v>
      </c>
      <c r="O35" s="19"/>
      <c r="P35" s="19" t="str">
        <f>P5</f>
        <v>II</v>
      </c>
      <c r="Q35" s="19"/>
      <c r="R35" s="19"/>
      <c r="S35" s="19" t="s">
        <v>32</v>
      </c>
      <c r="T35" s="19"/>
      <c r="U35" s="19">
        <v>1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233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340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370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336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371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338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373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339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374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337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Meeskond4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531</v>
      </c>
      <c r="F46" s="254"/>
      <c r="G46" s="255"/>
      <c r="H46" s="253" t="s">
        <v>504</v>
      </c>
      <c r="I46" s="254"/>
      <c r="J46" s="255"/>
      <c r="K46" s="253" t="s">
        <v>517</v>
      </c>
      <c r="L46" s="254"/>
      <c r="M46" s="255"/>
      <c r="N46" s="253" t="s">
        <v>504</v>
      </c>
      <c r="O46" s="254"/>
      <c r="P46" s="255"/>
      <c r="Q46" s="253"/>
      <c r="R46" s="254"/>
      <c r="S46" s="255"/>
      <c r="T46" s="123" t="str">
        <f>IF(ISBLANK(E46)=TRUE,"",VALUE(Y46)&amp;":"&amp;VALUE(Z46))</f>
        <v>3:1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1</v>
      </c>
    </row>
    <row r="47" spans="1:26">
      <c r="A47" s="18"/>
      <c r="B47" s="22">
        <v>2</v>
      </c>
      <c r="C47" s="276" t="s">
        <v>46</v>
      </c>
      <c r="D47" s="272"/>
      <c r="E47" s="253" t="s">
        <v>508</v>
      </c>
      <c r="F47" s="254"/>
      <c r="G47" s="255"/>
      <c r="H47" s="253" t="s">
        <v>523</v>
      </c>
      <c r="I47" s="254"/>
      <c r="J47" s="255"/>
      <c r="K47" s="253" t="s">
        <v>523</v>
      </c>
      <c r="L47" s="254"/>
      <c r="M47" s="255"/>
      <c r="N47" s="253"/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0:3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0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502</v>
      </c>
      <c r="F48" s="254"/>
      <c r="G48" s="255"/>
      <c r="H48" s="253" t="s">
        <v>521</v>
      </c>
      <c r="I48" s="254"/>
      <c r="J48" s="255"/>
      <c r="K48" s="253" t="s">
        <v>503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533</v>
      </c>
      <c r="D49" s="272"/>
      <c r="E49" s="253" t="s">
        <v>503</v>
      </c>
      <c r="F49" s="254"/>
      <c r="G49" s="255"/>
      <c r="H49" s="253" t="s">
        <v>513</v>
      </c>
      <c r="I49" s="254"/>
      <c r="J49" s="255"/>
      <c r="K49" s="253" t="s">
        <v>521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3:0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0</v>
      </c>
    </row>
    <row r="50" spans="1:26">
      <c r="A50" s="18"/>
      <c r="B50" s="24">
        <v>5</v>
      </c>
      <c r="C50" s="271" t="s">
        <v>48</v>
      </c>
      <c r="D50" s="272"/>
      <c r="E50" s="253" t="s">
        <v>521</v>
      </c>
      <c r="F50" s="254"/>
      <c r="G50" s="255"/>
      <c r="H50" s="253" t="s">
        <v>525</v>
      </c>
      <c r="I50" s="254"/>
      <c r="J50" s="255"/>
      <c r="K50" s="253" t="s">
        <v>501</v>
      </c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>3:0</v>
      </c>
      <c r="U50" s="262">
        <f t="shared" si="6"/>
        <v>1</v>
      </c>
      <c r="V50" s="264"/>
      <c r="W50" s="262">
        <f t="shared" si="7"/>
        <v>0</v>
      </c>
      <c r="X50" s="264"/>
      <c r="Y50">
        <f t="shared" si="8"/>
        <v>3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1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45619</v>
      </c>
      <c r="F65" s="278"/>
      <c r="G65" s="278"/>
      <c r="H65" s="278"/>
      <c r="I65" s="278"/>
      <c r="J65" s="19" t="s">
        <v>30</v>
      </c>
      <c r="K65" s="19"/>
      <c r="L65" s="281" t="str">
        <f>L5</f>
        <v>13.00</v>
      </c>
      <c r="M65" s="281"/>
      <c r="N65" s="19" t="s">
        <v>31</v>
      </c>
      <c r="O65" s="19"/>
      <c r="P65" s="19" t="str">
        <f>P5</f>
        <v>II</v>
      </c>
      <c r="Q65" s="19"/>
      <c r="R65" s="19"/>
      <c r="S65" s="19" t="s">
        <v>32</v>
      </c>
      <c r="T65" s="19"/>
      <c r="U65" s="19">
        <v>3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234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238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385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436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387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437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386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435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388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Meeskond5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Meeskond8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528</v>
      </c>
      <c r="F76" s="254"/>
      <c r="G76" s="255"/>
      <c r="H76" s="253" t="s">
        <v>522</v>
      </c>
      <c r="I76" s="254"/>
      <c r="J76" s="255"/>
      <c r="K76" s="253" t="s">
        <v>502</v>
      </c>
      <c r="L76" s="254"/>
      <c r="M76" s="255"/>
      <c r="N76" s="253" t="s">
        <v>528</v>
      </c>
      <c r="O76" s="254"/>
      <c r="P76" s="255"/>
      <c r="Q76" s="253"/>
      <c r="R76" s="254"/>
      <c r="S76" s="255"/>
      <c r="T76" s="123" t="str">
        <f>IF(ISBLANK(E76)=TRUE,"",VALUE(Y76)&amp;":"&amp;VALUE(Z76))</f>
        <v>3:1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1</v>
      </c>
    </row>
    <row r="77" spans="1:26">
      <c r="A77" s="18"/>
      <c r="B77" s="22">
        <v>2</v>
      </c>
      <c r="C77" s="276" t="s">
        <v>46</v>
      </c>
      <c r="D77" s="272"/>
      <c r="E77" s="253" t="s">
        <v>513</v>
      </c>
      <c r="F77" s="254"/>
      <c r="G77" s="255"/>
      <c r="H77" s="253" t="s">
        <v>501</v>
      </c>
      <c r="I77" s="254"/>
      <c r="J77" s="255"/>
      <c r="K77" s="253" t="s">
        <v>513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522</v>
      </c>
      <c r="F78" s="254"/>
      <c r="G78" s="255"/>
      <c r="H78" s="253" t="s">
        <v>525</v>
      </c>
      <c r="I78" s="254"/>
      <c r="J78" s="255"/>
      <c r="K78" s="253" t="s">
        <v>523</v>
      </c>
      <c r="L78" s="254"/>
      <c r="M78" s="255"/>
      <c r="N78" s="253" t="s">
        <v>528</v>
      </c>
      <c r="O78" s="254"/>
      <c r="P78" s="255"/>
      <c r="Q78" s="253" t="s">
        <v>513</v>
      </c>
      <c r="R78" s="254"/>
      <c r="S78" s="255"/>
      <c r="T78" s="123" t="str">
        <f t="shared" si="10"/>
        <v>3:2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2</v>
      </c>
    </row>
    <row r="79" spans="1:26">
      <c r="A79" s="18"/>
      <c r="B79" s="22">
        <v>4</v>
      </c>
      <c r="C79" s="276" t="s">
        <v>542</v>
      </c>
      <c r="D79" s="272"/>
      <c r="E79" s="253" t="s">
        <v>528</v>
      </c>
      <c r="F79" s="254"/>
      <c r="G79" s="255"/>
      <c r="H79" s="253" t="s">
        <v>516</v>
      </c>
      <c r="I79" s="254"/>
      <c r="J79" s="255"/>
      <c r="K79" s="253" t="s">
        <v>543</v>
      </c>
      <c r="L79" s="254"/>
      <c r="M79" s="255"/>
      <c r="N79" s="253" t="s">
        <v>510</v>
      </c>
      <c r="O79" s="254"/>
      <c r="P79" s="255"/>
      <c r="Q79" s="253" t="s">
        <v>515</v>
      </c>
      <c r="R79" s="254"/>
      <c r="S79" s="255"/>
      <c r="T79" s="123" t="str">
        <f t="shared" si="10"/>
        <v>3:2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2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0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45619</v>
      </c>
      <c r="F95" s="278"/>
      <c r="G95" s="278"/>
      <c r="H95" s="278"/>
      <c r="I95" s="278"/>
      <c r="J95" s="19" t="s">
        <v>30</v>
      </c>
      <c r="K95" s="19"/>
      <c r="L95" s="281" t="str">
        <f>L5</f>
        <v>13.00</v>
      </c>
      <c r="M95" s="281"/>
      <c r="N95" s="19" t="s">
        <v>31</v>
      </c>
      <c r="O95" s="19"/>
      <c r="P95" s="19" t="str">
        <f>P5</f>
        <v>II</v>
      </c>
      <c r="Q95" s="19"/>
      <c r="R95" s="19"/>
      <c r="S95" s="19" t="s">
        <v>32</v>
      </c>
      <c r="T95" s="19"/>
      <c r="U95" s="19">
        <v>4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235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237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408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423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405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425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403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422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64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421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 t="s">
        <v>424</v>
      </c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Meeskond6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Meeskond7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509</v>
      </c>
      <c r="F106" s="254"/>
      <c r="G106" s="255"/>
      <c r="H106" s="253" t="s">
        <v>501</v>
      </c>
      <c r="I106" s="254"/>
      <c r="J106" s="255"/>
      <c r="K106" s="253" t="s">
        <v>507</v>
      </c>
      <c r="L106" s="254"/>
      <c r="M106" s="255"/>
      <c r="N106" s="253" t="s">
        <v>503</v>
      </c>
      <c r="O106" s="254"/>
      <c r="P106" s="255"/>
      <c r="Q106" s="253" t="s">
        <v>522</v>
      </c>
      <c r="R106" s="254"/>
      <c r="S106" s="255"/>
      <c r="T106" s="123" t="str">
        <f>IF(ISBLANK(E106)=TRUE,"",VALUE(Y106)&amp;":"&amp;VALUE(Z106))</f>
        <v>2:3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2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507</v>
      </c>
      <c r="F107" s="254"/>
      <c r="G107" s="255"/>
      <c r="H107" s="253" t="s">
        <v>519</v>
      </c>
      <c r="I107" s="254"/>
      <c r="J107" s="255"/>
      <c r="K107" s="253" t="s">
        <v>508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0:3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0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502</v>
      </c>
      <c r="F108" s="254"/>
      <c r="G108" s="255"/>
      <c r="H108" s="253" t="s">
        <v>519</v>
      </c>
      <c r="I108" s="254"/>
      <c r="J108" s="255"/>
      <c r="K108" s="253" t="s">
        <v>511</v>
      </c>
      <c r="L108" s="254"/>
      <c r="M108" s="255"/>
      <c r="N108" s="253" t="s">
        <v>502</v>
      </c>
      <c r="O108" s="254"/>
      <c r="P108" s="255"/>
      <c r="Q108" s="253" t="s">
        <v>523</v>
      </c>
      <c r="R108" s="254"/>
      <c r="S108" s="255"/>
      <c r="T108" s="123" t="str">
        <f t="shared" si="15"/>
        <v>2:3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2</v>
      </c>
      <c r="Z108" s="18">
        <f t="shared" si="19"/>
        <v>3</v>
      </c>
    </row>
    <row r="109" spans="1:26">
      <c r="A109" s="18"/>
      <c r="B109" s="22">
        <v>4</v>
      </c>
      <c r="C109" s="276" t="s">
        <v>544</v>
      </c>
      <c r="D109" s="272"/>
      <c r="E109" s="253" t="s">
        <v>507</v>
      </c>
      <c r="F109" s="254"/>
      <c r="G109" s="255"/>
      <c r="H109" s="253" t="s">
        <v>513</v>
      </c>
      <c r="I109" s="254"/>
      <c r="J109" s="255"/>
      <c r="K109" s="253" t="s">
        <v>524</v>
      </c>
      <c r="L109" s="254"/>
      <c r="M109" s="255"/>
      <c r="N109" s="253" t="s">
        <v>508</v>
      </c>
      <c r="O109" s="254"/>
      <c r="P109" s="255"/>
      <c r="Q109" s="253"/>
      <c r="R109" s="254"/>
      <c r="S109" s="255"/>
      <c r="T109" s="123" t="str">
        <f t="shared" si="15"/>
        <v>1:3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1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0</v>
      </c>
      <c r="V113" s="274"/>
      <c r="W113" s="273">
        <f>IF(ISBLANK(E106)=TRUE,"",SUM(W106:W112))</f>
        <v>4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54" priority="4" stopIfTrue="1">
      <formula>ISNA(C8)</formula>
    </cfRule>
  </conditionalFormatting>
  <conditionalFormatting sqref="C38:K42 N38:N42">
    <cfRule type="expression" dxfId="153" priority="3" stopIfTrue="1">
      <formula>ISNA(C38)</formula>
    </cfRule>
  </conditionalFormatting>
  <conditionalFormatting sqref="C68:K72 N68:W72">
    <cfRule type="expression" dxfId="152" priority="2" stopIfTrue="1">
      <formula>ISNA(C68)</formula>
    </cfRule>
  </conditionalFormatting>
  <conditionalFormatting sqref="C98:K102 N98:W102">
    <cfRule type="expression" dxfId="151" priority="1" stopIfTrue="1">
      <formula>ISNA(C98)</formula>
    </cfRule>
  </conditionalFormatting>
  <dataValidations count="9">
    <dataValidation type="list" allowBlank="1" showInputMessage="1" showErrorMessage="1" sqref="N38:N42" xr:uid="{1E9A4290-896E-42BC-8943-8F7C1163ED76}">
      <formula1>INDIRECT($W$43)</formula1>
    </dataValidation>
    <dataValidation type="list" allowBlank="1" showInputMessage="1" showErrorMessage="1" sqref="N68:W72" xr:uid="{2824B402-FC93-436F-8A20-CA34F6EACC67}">
      <formula1>INDIRECT($W$73)</formula1>
    </dataValidation>
    <dataValidation type="list" allowBlank="1" showInputMessage="1" showErrorMessage="1" sqref="N98:W102" xr:uid="{0026E0B9-5F18-4E29-B9AE-233BF93F13FC}">
      <formula1>INDIRECT($W$103)</formula1>
    </dataValidation>
    <dataValidation type="list" allowBlank="1" showInputMessage="1" showErrorMessage="1" sqref="C38:K42" xr:uid="{0898B5CC-D156-46D7-A415-2F2AFE5BAA3A}">
      <formula1>INDIRECT($K$43)</formula1>
    </dataValidation>
    <dataValidation type="list" allowBlank="1" showInputMessage="1" showErrorMessage="1" sqref="C68:K72" xr:uid="{F254B7C0-60EF-4E85-AED5-CB7AED79952F}">
      <formula1>INDIRECT($K$73)</formula1>
    </dataValidation>
    <dataValidation type="list" allowBlank="1" showInputMessage="1" showErrorMessage="1" sqref="C98:K102" xr:uid="{D052FD87-DA3C-4A65-B59C-99632B1BDAC5}">
      <formula1>INDIRECT($K$103)</formula1>
    </dataValidation>
    <dataValidation type="list" allowBlank="1" showInputMessage="1" showErrorMessage="1" sqref="G37:L37 R37:X37 R7:X7 R97:X97 G67:L67 R67:X67 G97:L97 G7:L7" xr:uid="{C2F39CC0-1FC8-480A-ABD7-F0BD0A808FF9}">
      <formula1>Mansad</formula1>
    </dataValidation>
    <dataValidation type="list" allowBlank="1" showInputMessage="1" showErrorMessage="1" sqref="N8:N12" xr:uid="{7D1C6A9F-3F52-4C2F-BDE8-E2207266AB9D}">
      <formula1>INDIRECT($W$13)</formula1>
    </dataValidation>
    <dataValidation type="list" allowBlank="1" showInputMessage="1" showErrorMessage="1" sqref="C8:K12" xr:uid="{EEDCB141-BFDF-4DB6-A57D-5A68FE89072C}">
      <formula1>INDIRECT($K$13)</formula1>
    </dataValidation>
  </dataValidations>
  <pageMargins left="0.7" right="0.7" top="0.75" bottom="0.75" header="0.3" footer="0.3"/>
  <pageSetup paperSize="11"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FD473-EC00-496A-B1B8-C13BF2C6C48A}">
  <sheetPr>
    <pageSetUpPr fitToPage="1"/>
  </sheetPr>
  <dimension ref="A1:Z119"/>
  <sheetViews>
    <sheetView workbookViewId="0">
      <selection activeCell="AC29" sqref="AC29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7.5703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45619</v>
      </c>
      <c r="F5" s="278"/>
      <c r="G5" s="278"/>
      <c r="H5" s="278"/>
      <c r="I5" s="278"/>
      <c r="J5" s="19" t="s">
        <v>30</v>
      </c>
      <c r="K5" s="19"/>
      <c r="L5" s="281" t="s">
        <v>467</v>
      </c>
      <c r="M5" s="281"/>
      <c r="N5" s="19" t="s">
        <v>31</v>
      </c>
      <c r="O5" s="19"/>
      <c r="P5" s="19" t="s">
        <v>441</v>
      </c>
      <c r="Q5" s="19"/>
      <c r="R5" s="19"/>
      <c r="S5" s="19" t="s">
        <v>32</v>
      </c>
      <c r="T5" s="19"/>
      <c r="U5" s="19">
        <v>2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237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325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425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539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421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320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423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322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422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 t="s">
        <v>321</v>
      </c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Meeskond7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530</v>
      </c>
      <c r="F16" s="254"/>
      <c r="G16" s="255"/>
      <c r="H16" s="253" t="s">
        <v>502</v>
      </c>
      <c r="I16" s="254"/>
      <c r="J16" s="255"/>
      <c r="K16" s="253" t="s">
        <v>501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3:0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0</v>
      </c>
    </row>
    <row r="17" spans="1:26">
      <c r="A17" s="18"/>
      <c r="B17" s="22">
        <v>2</v>
      </c>
      <c r="C17" s="276" t="s">
        <v>46</v>
      </c>
      <c r="D17" s="272"/>
      <c r="E17" s="253" t="s">
        <v>509</v>
      </c>
      <c r="F17" s="254"/>
      <c r="G17" s="255"/>
      <c r="H17" s="253" t="s">
        <v>523</v>
      </c>
      <c r="I17" s="254"/>
      <c r="J17" s="255"/>
      <c r="K17" s="253" t="s">
        <v>515</v>
      </c>
      <c r="L17" s="254"/>
      <c r="M17" s="255"/>
      <c r="N17" s="253" t="s">
        <v>510</v>
      </c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1:3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1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503</v>
      </c>
      <c r="F18" s="254"/>
      <c r="G18" s="255"/>
      <c r="H18" s="253" t="s">
        <v>513</v>
      </c>
      <c r="I18" s="254"/>
      <c r="J18" s="255"/>
      <c r="K18" s="253" t="s">
        <v>515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520</v>
      </c>
      <c r="D19" s="272"/>
      <c r="E19" s="253" t="s">
        <v>503</v>
      </c>
      <c r="F19" s="254"/>
      <c r="G19" s="255"/>
      <c r="H19" s="253" t="s">
        <v>530</v>
      </c>
      <c r="I19" s="254"/>
      <c r="J19" s="255"/>
      <c r="K19" s="253" t="s">
        <v>522</v>
      </c>
      <c r="L19" s="254"/>
      <c r="M19" s="255"/>
      <c r="N19" s="253" t="s">
        <v>519</v>
      </c>
      <c r="O19" s="254"/>
      <c r="P19" s="255"/>
      <c r="Q19" s="253" t="s">
        <v>523</v>
      </c>
      <c r="R19" s="254"/>
      <c r="S19" s="255"/>
      <c r="T19" s="123" t="str">
        <f t="shared" si="0"/>
        <v>2:3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2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 t="s">
        <v>502</v>
      </c>
      <c r="F20" s="254"/>
      <c r="G20" s="255"/>
      <c r="H20" s="253" t="s">
        <v>503</v>
      </c>
      <c r="I20" s="254"/>
      <c r="J20" s="255"/>
      <c r="K20" s="253" t="s">
        <v>521</v>
      </c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>3:0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 t="s">
        <v>515</v>
      </c>
      <c r="F21" s="254"/>
      <c r="G21" s="255"/>
      <c r="H21" s="253" t="s">
        <v>522</v>
      </c>
      <c r="I21" s="254"/>
      <c r="J21" s="255"/>
      <c r="K21" s="253" t="s">
        <v>508</v>
      </c>
      <c r="L21" s="254"/>
      <c r="M21" s="255"/>
      <c r="N21" s="253" t="s">
        <v>531</v>
      </c>
      <c r="O21" s="254"/>
      <c r="P21" s="255"/>
      <c r="Q21" s="253"/>
      <c r="R21" s="254"/>
      <c r="S21" s="255"/>
      <c r="T21" s="123" t="str">
        <f t="shared" si="0"/>
        <v>1:3</v>
      </c>
      <c r="U21" s="262">
        <f t="shared" si="1"/>
        <v>0</v>
      </c>
      <c r="V21" s="264"/>
      <c r="W21" s="262">
        <f t="shared" si="2"/>
        <v>1</v>
      </c>
      <c r="X21" s="264"/>
      <c r="Y21">
        <f t="shared" si="3"/>
        <v>1</v>
      </c>
      <c r="Z21" s="18">
        <f t="shared" si="4"/>
        <v>3</v>
      </c>
    </row>
    <row r="22" spans="1:26">
      <c r="A22" s="18"/>
      <c r="B22" s="24">
        <v>7</v>
      </c>
      <c r="C22" s="266" t="s">
        <v>50</v>
      </c>
      <c r="D22" s="267"/>
      <c r="E22" s="253" t="s">
        <v>503</v>
      </c>
      <c r="F22" s="254"/>
      <c r="G22" s="255"/>
      <c r="H22" s="253" t="s">
        <v>501</v>
      </c>
      <c r="I22" s="254"/>
      <c r="J22" s="255"/>
      <c r="K22" s="253" t="s">
        <v>526</v>
      </c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>3:0</v>
      </c>
      <c r="U22" s="262">
        <f t="shared" si="1"/>
        <v>1</v>
      </c>
      <c r="V22" s="264"/>
      <c r="W22" s="262">
        <f t="shared" si="2"/>
        <v>0</v>
      </c>
      <c r="X22" s="264"/>
      <c r="Y22">
        <f t="shared" si="3"/>
        <v>3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3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45619</v>
      </c>
      <c r="F35" s="278"/>
      <c r="G35" s="278"/>
      <c r="H35" s="278"/>
      <c r="I35" s="278"/>
      <c r="J35" s="19" t="s">
        <v>30</v>
      </c>
      <c r="K35" s="19"/>
      <c r="L35" s="281" t="str">
        <f>L5</f>
        <v>16.00</v>
      </c>
      <c r="M35" s="281"/>
      <c r="N35" s="19" t="s">
        <v>31</v>
      </c>
      <c r="O35" s="19"/>
      <c r="P35" s="19" t="str">
        <f>P5</f>
        <v>III</v>
      </c>
      <c r="Q35" s="19"/>
      <c r="R35" s="19"/>
      <c r="S35" s="19" t="s">
        <v>32</v>
      </c>
      <c r="T35" s="19"/>
      <c r="U35" s="19">
        <v>3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234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338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385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340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388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336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386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339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387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337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Meeskond5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513</v>
      </c>
      <c r="F46" s="254"/>
      <c r="G46" s="255"/>
      <c r="H46" s="253" t="s">
        <v>521</v>
      </c>
      <c r="I46" s="254"/>
      <c r="J46" s="255"/>
      <c r="K46" s="253" t="s">
        <v>502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502</v>
      </c>
      <c r="F47" s="254"/>
      <c r="G47" s="255"/>
      <c r="H47" s="253" t="s">
        <v>521</v>
      </c>
      <c r="I47" s="254"/>
      <c r="J47" s="255"/>
      <c r="K47" s="253" t="s">
        <v>522</v>
      </c>
      <c r="L47" s="254"/>
      <c r="M47" s="255"/>
      <c r="N47" s="253" t="s">
        <v>530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3:1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1</v>
      </c>
    </row>
    <row r="48" spans="1:26">
      <c r="A48" s="18"/>
      <c r="B48" s="22">
        <v>3</v>
      </c>
      <c r="C48" s="276" t="s">
        <v>47</v>
      </c>
      <c r="D48" s="272"/>
      <c r="E48" s="253" t="s">
        <v>523</v>
      </c>
      <c r="F48" s="254"/>
      <c r="G48" s="255"/>
      <c r="H48" s="253" t="s">
        <v>507</v>
      </c>
      <c r="I48" s="254"/>
      <c r="J48" s="255"/>
      <c r="K48" s="253" t="s">
        <v>523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0:3</v>
      </c>
      <c r="U48" s="262">
        <f t="shared" si="6"/>
        <v>0</v>
      </c>
      <c r="V48" s="264"/>
      <c r="W48" s="262">
        <f t="shared" si="7"/>
        <v>1</v>
      </c>
      <c r="X48" s="264"/>
      <c r="Y48">
        <f t="shared" si="8"/>
        <v>0</v>
      </c>
      <c r="Z48" s="18">
        <f t="shared" si="9"/>
        <v>3</v>
      </c>
    </row>
    <row r="49" spans="1:26">
      <c r="A49" s="18"/>
      <c r="B49" s="22">
        <v>4</v>
      </c>
      <c r="C49" s="276" t="s">
        <v>545</v>
      </c>
      <c r="D49" s="272"/>
      <c r="E49" s="253" t="s">
        <v>521</v>
      </c>
      <c r="F49" s="254"/>
      <c r="G49" s="255"/>
      <c r="H49" s="253" t="s">
        <v>521</v>
      </c>
      <c r="I49" s="254"/>
      <c r="J49" s="255"/>
      <c r="K49" s="253" t="s">
        <v>513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3:0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0</v>
      </c>
    </row>
    <row r="50" spans="1:26">
      <c r="A50" s="18"/>
      <c r="B50" s="24">
        <v>5</v>
      </c>
      <c r="C50" s="271" t="s">
        <v>48</v>
      </c>
      <c r="D50" s="272"/>
      <c r="E50" s="253" t="s">
        <v>508</v>
      </c>
      <c r="F50" s="254"/>
      <c r="G50" s="255"/>
      <c r="H50" s="253" t="s">
        <v>503</v>
      </c>
      <c r="I50" s="254"/>
      <c r="J50" s="255"/>
      <c r="K50" s="253" t="s">
        <v>508</v>
      </c>
      <c r="L50" s="254"/>
      <c r="M50" s="255"/>
      <c r="N50" s="253" t="s">
        <v>528</v>
      </c>
      <c r="O50" s="254"/>
      <c r="P50" s="255"/>
      <c r="Q50" s="253" t="s">
        <v>522</v>
      </c>
      <c r="R50" s="254"/>
      <c r="S50" s="255"/>
      <c r="T50" s="123" t="str">
        <f t="shared" si="5"/>
        <v>2:3</v>
      </c>
      <c r="U50" s="262">
        <f t="shared" si="6"/>
        <v>0</v>
      </c>
      <c r="V50" s="264"/>
      <c r="W50" s="262">
        <f t="shared" si="7"/>
        <v>1</v>
      </c>
      <c r="X50" s="264"/>
      <c r="Y50">
        <f t="shared" si="8"/>
        <v>2</v>
      </c>
      <c r="Z50" s="18">
        <f t="shared" si="9"/>
        <v>3</v>
      </c>
    </row>
    <row r="51" spans="1:26">
      <c r="A51" s="18"/>
      <c r="B51" s="24">
        <v>6</v>
      </c>
      <c r="C51" s="271" t="s">
        <v>49</v>
      </c>
      <c r="D51" s="272"/>
      <c r="E51" s="253" t="s">
        <v>503</v>
      </c>
      <c r="F51" s="254"/>
      <c r="G51" s="255"/>
      <c r="H51" s="253" t="s">
        <v>513</v>
      </c>
      <c r="I51" s="254"/>
      <c r="J51" s="255"/>
      <c r="K51" s="253" t="s">
        <v>501</v>
      </c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>3:0</v>
      </c>
      <c r="U51" s="262">
        <f t="shared" si="6"/>
        <v>1</v>
      </c>
      <c r="V51" s="264"/>
      <c r="W51" s="262">
        <f t="shared" si="7"/>
        <v>0</v>
      </c>
      <c r="X51" s="264"/>
      <c r="Y51">
        <f t="shared" si="8"/>
        <v>3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2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45619</v>
      </c>
      <c r="F65" s="278"/>
      <c r="G65" s="278"/>
      <c r="H65" s="278"/>
      <c r="I65" s="278"/>
      <c r="J65" s="19" t="s">
        <v>30</v>
      </c>
      <c r="K65" s="19"/>
      <c r="L65" s="281" t="str">
        <f>L5</f>
        <v>16.00</v>
      </c>
      <c r="M65" s="281"/>
      <c r="N65" s="19" t="s">
        <v>31</v>
      </c>
      <c r="O65" s="19"/>
      <c r="P65" s="19" t="str">
        <f>P5</f>
        <v>III</v>
      </c>
      <c r="Q65" s="19"/>
      <c r="R65" s="19"/>
      <c r="S65" s="19" t="s">
        <v>32</v>
      </c>
      <c r="T65" s="19"/>
      <c r="U65" s="19">
        <v>4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232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233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355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374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359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370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356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371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357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373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Meeskond3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Meeskond4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507</v>
      </c>
      <c r="F76" s="254"/>
      <c r="G76" s="255"/>
      <c r="H76" s="253" t="s">
        <v>515</v>
      </c>
      <c r="I76" s="254"/>
      <c r="J76" s="255"/>
      <c r="K76" s="253" t="s">
        <v>503</v>
      </c>
      <c r="L76" s="254"/>
      <c r="M76" s="255"/>
      <c r="N76" s="253" t="s">
        <v>513</v>
      </c>
      <c r="O76" s="254"/>
      <c r="P76" s="255"/>
      <c r="Q76" s="253"/>
      <c r="R76" s="254"/>
      <c r="S76" s="255"/>
      <c r="T76" s="123" t="str">
        <f>IF(ISBLANK(E76)=TRUE,"",VALUE(Y76)&amp;":"&amp;VALUE(Z76))</f>
        <v>3:1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1</v>
      </c>
    </row>
    <row r="77" spans="1:26">
      <c r="A77" s="18"/>
      <c r="B77" s="22">
        <v>2</v>
      </c>
      <c r="C77" s="276" t="s">
        <v>46</v>
      </c>
      <c r="D77" s="272"/>
      <c r="E77" s="253" t="s">
        <v>501</v>
      </c>
      <c r="F77" s="254"/>
      <c r="G77" s="255"/>
      <c r="H77" s="253" t="s">
        <v>503</v>
      </c>
      <c r="I77" s="254"/>
      <c r="J77" s="255"/>
      <c r="K77" s="253" t="s">
        <v>521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513</v>
      </c>
      <c r="F78" s="254"/>
      <c r="G78" s="255"/>
      <c r="H78" s="253" t="s">
        <v>510</v>
      </c>
      <c r="I78" s="254"/>
      <c r="J78" s="255"/>
      <c r="K78" s="253" t="s">
        <v>523</v>
      </c>
      <c r="L78" s="254"/>
      <c r="M78" s="255"/>
      <c r="N78" s="253" t="s">
        <v>523</v>
      </c>
      <c r="O78" s="254"/>
      <c r="P78" s="255"/>
      <c r="Q78" s="253"/>
      <c r="R78" s="254"/>
      <c r="S78" s="255"/>
      <c r="T78" s="123" t="str">
        <f t="shared" si="10"/>
        <v>1:3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1</v>
      </c>
      <c r="Z78" s="18">
        <f t="shared" si="14"/>
        <v>3</v>
      </c>
    </row>
    <row r="79" spans="1:26">
      <c r="A79" s="18"/>
      <c r="B79" s="22">
        <v>4</v>
      </c>
      <c r="C79" s="276" t="s">
        <v>546</v>
      </c>
      <c r="D79" s="272"/>
      <c r="E79" s="253" t="s">
        <v>513</v>
      </c>
      <c r="F79" s="254"/>
      <c r="G79" s="255"/>
      <c r="H79" s="253" t="s">
        <v>513</v>
      </c>
      <c r="I79" s="254"/>
      <c r="J79" s="255"/>
      <c r="K79" s="253" t="s">
        <v>509</v>
      </c>
      <c r="L79" s="254"/>
      <c r="M79" s="255"/>
      <c r="N79" s="253" t="s">
        <v>522</v>
      </c>
      <c r="O79" s="254"/>
      <c r="P79" s="255"/>
      <c r="Q79" s="253" t="s">
        <v>501</v>
      </c>
      <c r="R79" s="254"/>
      <c r="S79" s="255"/>
      <c r="T79" s="123" t="str">
        <f t="shared" si="10"/>
        <v>3:2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2</v>
      </c>
    </row>
    <row r="80" spans="1:26">
      <c r="A80" s="18"/>
      <c r="B80" s="24">
        <v>5</v>
      </c>
      <c r="C80" s="271" t="s">
        <v>48</v>
      </c>
      <c r="D80" s="272"/>
      <c r="E80" s="253" t="s">
        <v>503</v>
      </c>
      <c r="F80" s="254"/>
      <c r="G80" s="255"/>
      <c r="H80" s="253" t="s">
        <v>519</v>
      </c>
      <c r="I80" s="254"/>
      <c r="J80" s="255"/>
      <c r="K80" s="253" t="s">
        <v>502</v>
      </c>
      <c r="L80" s="254"/>
      <c r="M80" s="255"/>
      <c r="N80" s="253" t="s">
        <v>502</v>
      </c>
      <c r="O80" s="254"/>
      <c r="P80" s="255"/>
      <c r="Q80" s="253"/>
      <c r="R80" s="254"/>
      <c r="S80" s="255"/>
      <c r="T80" s="123" t="str">
        <f t="shared" si="10"/>
        <v>3:1</v>
      </c>
      <c r="U80" s="262">
        <f t="shared" si="11"/>
        <v>1</v>
      </c>
      <c r="V80" s="264"/>
      <c r="W80" s="262">
        <f t="shared" si="12"/>
        <v>0</v>
      </c>
      <c r="X80" s="264"/>
      <c r="Y80">
        <f t="shared" si="13"/>
        <v>3</v>
      </c>
      <c r="Z80" s="18">
        <f t="shared" si="14"/>
        <v>1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1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45619</v>
      </c>
      <c r="F95" s="278"/>
      <c r="G95" s="278"/>
      <c r="H95" s="278"/>
      <c r="I95" s="278"/>
      <c r="J95" s="19" t="s">
        <v>30</v>
      </c>
      <c r="K95" s="19"/>
      <c r="L95" s="281" t="str">
        <f>L5</f>
        <v>16.00</v>
      </c>
      <c r="M95" s="281"/>
      <c r="N95" s="19" t="s">
        <v>31</v>
      </c>
      <c r="O95" s="19"/>
      <c r="P95" s="19" t="str">
        <f>P5</f>
        <v>III</v>
      </c>
      <c r="Q95" s="19"/>
      <c r="R95" s="19"/>
      <c r="S95" s="19" t="s">
        <v>32</v>
      </c>
      <c r="T95" s="19"/>
      <c r="U95" s="19">
        <v>1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235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238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408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435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405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436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64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437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403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Meeskond6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Meeskond8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528</v>
      </c>
      <c r="F106" s="254"/>
      <c r="G106" s="255"/>
      <c r="H106" s="253" t="s">
        <v>501</v>
      </c>
      <c r="I106" s="254"/>
      <c r="J106" s="255"/>
      <c r="K106" s="253" t="s">
        <v>502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3:0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0</v>
      </c>
    </row>
    <row r="107" spans="1:26">
      <c r="A107" s="18"/>
      <c r="B107" s="22">
        <v>2</v>
      </c>
      <c r="C107" s="276" t="s">
        <v>46</v>
      </c>
      <c r="D107" s="272"/>
      <c r="E107" s="253" t="s">
        <v>513</v>
      </c>
      <c r="F107" s="254"/>
      <c r="G107" s="255"/>
      <c r="H107" s="253" t="s">
        <v>528</v>
      </c>
      <c r="I107" s="254"/>
      <c r="J107" s="255"/>
      <c r="K107" s="253" t="s">
        <v>510</v>
      </c>
      <c r="L107" s="254"/>
      <c r="M107" s="255"/>
      <c r="N107" s="253" t="s">
        <v>517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3:1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1</v>
      </c>
    </row>
    <row r="108" spans="1:26">
      <c r="A108" s="18"/>
      <c r="B108" s="22">
        <v>3</v>
      </c>
      <c r="C108" s="276" t="s">
        <v>47</v>
      </c>
      <c r="D108" s="272"/>
      <c r="E108" s="253" t="s">
        <v>507</v>
      </c>
      <c r="F108" s="254"/>
      <c r="G108" s="255"/>
      <c r="H108" s="253" t="s">
        <v>503</v>
      </c>
      <c r="I108" s="254"/>
      <c r="J108" s="255"/>
      <c r="K108" s="253" t="s">
        <v>509</v>
      </c>
      <c r="L108" s="254"/>
      <c r="M108" s="255"/>
      <c r="N108" s="253" t="s">
        <v>501</v>
      </c>
      <c r="O108" s="254"/>
      <c r="P108" s="255"/>
      <c r="Q108" s="253" t="s">
        <v>508</v>
      </c>
      <c r="R108" s="254"/>
      <c r="S108" s="255"/>
      <c r="T108" s="123" t="str">
        <f t="shared" si="15"/>
        <v>2:3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2</v>
      </c>
      <c r="Z108" s="18">
        <f t="shared" si="19"/>
        <v>3</v>
      </c>
    </row>
    <row r="109" spans="1:26">
      <c r="A109" s="18"/>
      <c r="B109" s="22">
        <v>4</v>
      </c>
      <c r="C109" s="276" t="s">
        <v>536</v>
      </c>
      <c r="D109" s="272"/>
      <c r="E109" s="253" t="s">
        <v>531</v>
      </c>
      <c r="F109" s="254"/>
      <c r="G109" s="255"/>
      <c r="H109" s="253" t="s">
        <v>523</v>
      </c>
      <c r="I109" s="254"/>
      <c r="J109" s="255"/>
      <c r="K109" s="253" t="s">
        <v>508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0:3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0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 t="s">
        <v>503</v>
      </c>
      <c r="F110" s="254"/>
      <c r="G110" s="255"/>
      <c r="H110" s="253" t="s">
        <v>528</v>
      </c>
      <c r="I110" s="254"/>
      <c r="J110" s="255"/>
      <c r="K110" s="253" t="s">
        <v>503</v>
      </c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>3:0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 t="s">
        <v>510</v>
      </c>
      <c r="F111" s="254"/>
      <c r="G111" s="255"/>
      <c r="H111" s="253" t="s">
        <v>523</v>
      </c>
      <c r="I111" s="254"/>
      <c r="J111" s="255"/>
      <c r="K111" s="253" t="s">
        <v>512</v>
      </c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>0:3</v>
      </c>
      <c r="U111" s="262">
        <f t="shared" si="16"/>
        <v>0</v>
      </c>
      <c r="V111" s="264"/>
      <c r="W111" s="262">
        <f t="shared" si="17"/>
        <v>1</v>
      </c>
      <c r="X111" s="264"/>
      <c r="Y111">
        <f t="shared" si="18"/>
        <v>0</v>
      </c>
      <c r="Z111" s="18">
        <f t="shared" si="19"/>
        <v>3</v>
      </c>
    </row>
    <row r="112" spans="1:26">
      <c r="A112" s="18"/>
      <c r="B112" s="24">
        <v>7</v>
      </c>
      <c r="C112" s="266" t="s">
        <v>50</v>
      </c>
      <c r="D112" s="267"/>
      <c r="E112" s="253" t="s">
        <v>515</v>
      </c>
      <c r="F112" s="254"/>
      <c r="G112" s="255"/>
      <c r="H112" s="253" t="s">
        <v>513</v>
      </c>
      <c r="I112" s="254"/>
      <c r="J112" s="255"/>
      <c r="K112" s="253" t="s">
        <v>522</v>
      </c>
      <c r="L112" s="254"/>
      <c r="M112" s="255"/>
      <c r="N112" s="253" t="s">
        <v>513</v>
      </c>
      <c r="O112" s="254"/>
      <c r="P112" s="255"/>
      <c r="Q112" s="253"/>
      <c r="R112" s="254"/>
      <c r="S112" s="255"/>
      <c r="T112" s="123" t="str">
        <f t="shared" si="15"/>
        <v>3:1</v>
      </c>
      <c r="U112" s="262">
        <f t="shared" si="16"/>
        <v>1</v>
      </c>
      <c r="V112" s="264"/>
      <c r="W112" s="262">
        <f t="shared" si="17"/>
        <v>0</v>
      </c>
      <c r="X112" s="264"/>
      <c r="Y112">
        <f t="shared" si="18"/>
        <v>3</v>
      </c>
      <c r="Z112" s="18">
        <f t="shared" si="19"/>
        <v>1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3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50" priority="4" stopIfTrue="1">
      <formula>ISNA(C8)</formula>
    </cfRule>
  </conditionalFormatting>
  <conditionalFormatting sqref="C38:K42 N38:N42">
    <cfRule type="expression" dxfId="149" priority="3" stopIfTrue="1">
      <formula>ISNA(C38)</formula>
    </cfRule>
  </conditionalFormatting>
  <conditionalFormatting sqref="C68:K72 N68:W72">
    <cfRule type="expression" dxfId="148" priority="2" stopIfTrue="1">
      <formula>ISNA(C68)</formula>
    </cfRule>
  </conditionalFormatting>
  <conditionalFormatting sqref="C98:K102 N98:W102">
    <cfRule type="expression" dxfId="147" priority="1" stopIfTrue="1">
      <formula>ISNA(C98)</formula>
    </cfRule>
  </conditionalFormatting>
  <dataValidations count="9">
    <dataValidation type="list" allowBlank="1" showInputMessage="1" showErrorMessage="1" sqref="C8:K12" xr:uid="{D96622C4-AE08-47FE-A4B5-283ADF7A2652}">
      <formula1>INDIRECT($K$13)</formula1>
    </dataValidation>
    <dataValidation type="list" allowBlank="1" showInputMessage="1" showErrorMessage="1" sqref="N8:N12" xr:uid="{39297892-BB7F-49AE-8679-D225D60FB449}">
      <formula1>INDIRECT($W$13)</formula1>
    </dataValidation>
    <dataValidation type="list" allowBlank="1" showInputMessage="1" showErrorMessage="1" sqref="G37:L37 R37:X37 R7:X7 R97:X97 G67:L67 R67:X67 G97:L97 G7:L7" xr:uid="{9034DD66-2A14-4C45-A76B-A108A876D5C0}">
      <formula1>Mansad</formula1>
    </dataValidation>
    <dataValidation type="list" allowBlank="1" showInputMessage="1" showErrorMessage="1" sqref="C98:K102" xr:uid="{35675FD5-4DA8-4181-9A0C-841D36EE94BB}">
      <formula1>INDIRECT($K$103)</formula1>
    </dataValidation>
    <dataValidation type="list" allowBlank="1" showInputMessage="1" showErrorMessage="1" sqref="C68:K72" xr:uid="{8CC86DDE-D417-4516-83E9-F597116B66F8}">
      <formula1>INDIRECT($K$73)</formula1>
    </dataValidation>
    <dataValidation type="list" allowBlank="1" showInputMessage="1" showErrorMessage="1" sqref="C38:K42" xr:uid="{E4B933FF-63FB-4980-9A4F-18A806F84768}">
      <formula1>INDIRECT($K$43)</formula1>
    </dataValidation>
    <dataValidation type="list" allowBlank="1" showInputMessage="1" showErrorMessage="1" sqref="N98:W102" xr:uid="{110AAE8F-BA68-429C-ACB9-BBD4F67F30C2}">
      <formula1>INDIRECT($W$103)</formula1>
    </dataValidation>
    <dataValidation type="list" allowBlank="1" showInputMessage="1" showErrorMessage="1" sqref="N68:W72" xr:uid="{FABAE7AC-2885-48A8-B039-BADAF0D53B17}">
      <formula1>INDIRECT($W$73)</formula1>
    </dataValidation>
    <dataValidation type="list" allowBlank="1" showInputMessage="1" showErrorMessage="1" sqref="N38:N42" xr:uid="{6F453E64-2E13-48BE-9BAA-AA47B1E426C5}">
      <formula1>INDIRECT($W$43)</formula1>
    </dataValidation>
  </dataValidations>
  <pageMargins left="0.7" right="0.7" top="0.75" bottom="0.75" header="0.3" footer="0.3"/>
  <pageSetup paperSize="11" scale="74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BE81-0F16-49AF-80CB-28C7195AF590}">
  <sheetPr>
    <pageSetUpPr fitToPage="1"/>
  </sheetPr>
  <dimension ref="A1:Z119"/>
  <sheetViews>
    <sheetView workbookViewId="0">
      <selection activeCell="AC29" sqref="AC29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6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45620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67</v>
      </c>
      <c r="Q5" s="19"/>
      <c r="R5" s="19"/>
      <c r="S5" s="19" t="s">
        <v>32</v>
      </c>
      <c r="T5" s="19"/>
      <c r="U5" s="19">
        <v>2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230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238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325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435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321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437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539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436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322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/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 t="s">
        <v>320</v>
      </c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Meeskond1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Meeskond8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502</v>
      </c>
      <c r="F16" s="254"/>
      <c r="G16" s="255"/>
      <c r="H16" s="253" t="s">
        <v>522</v>
      </c>
      <c r="I16" s="254"/>
      <c r="J16" s="255"/>
      <c r="K16" s="253" t="s">
        <v>503</v>
      </c>
      <c r="L16" s="254"/>
      <c r="M16" s="255"/>
      <c r="N16" s="253" t="s">
        <v>513</v>
      </c>
      <c r="O16" s="254"/>
      <c r="P16" s="255"/>
      <c r="Q16" s="253"/>
      <c r="R16" s="254"/>
      <c r="S16" s="255"/>
      <c r="T16" s="123" t="str">
        <f>IF(ISBLANK(E16)=TRUE,"",VALUE(Y16)&amp;":"&amp;VALUE(Z16))</f>
        <v>3:1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1</v>
      </c>
    </row>
    <row r="17" spans="1:26">
      <c r="A17" s="18"/>
      <c r="B17" s="22">
        <v>2</v>
      </c>
      <c r="C17" s="276" t="s">
        <v>46</v>
      </c>
      <c r="D17" s="272"/>
      <c r="E17" s="253" t="s">
        <v>513</v>
      </c>
      <c r="F17" s="254"/>
      <c r="G17" s="255"/>
      <c r="H17" s="253" t="s">
        <v>503</v>
      </c>
      <c r="I17" s="254"/>
      <c r="J17" s="255"/>
      <c r="K17" s="253" t="s">
        <v>501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3:0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0</v>
      </c>
    </row>
    <row r="18" spans="1:26">
      <c r="A18" s="18"/>
      <c r="B18" s="22">
        <v>3</v>
      </c>
      <c r="C18" s="276" t="s">
        <v>47</v>
      </c>
      <c r="D18" s="272"/>
      <c r="E18" s="253" t="s">
        <v>502</v>
      </c>
      <c r="F18" s="254"/>
      <c r="G18" s="255"/>
      <c r="H18" s="253" t="s">
        <v>531</v>
      </c>
      <c r="I18" s="254"/>
      <c r="J18" s="255"/>
      <c r="K18" s="253" t="s">
        <v>521</v>
      </c>
      <c r="L18" s="254"/>
      <c r="M18" s="255"/>
      <c r="N18" s="253" t="s">
        <v>521</v>
      </c>
      <c r="O18" s="254"/>
      <c r="P18" s="255"/>
      <c r="Q18" s="253"/>
      <c r="R18" s="254"/>
      <c r="S18" s="255"/>
      <c r="T18" s="123" t="str">
        <f t="shared" si="0"/>
        <v>3:1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1</v>
      </c>
    </row>
    <row r="19" spans="1:26">
      <c r="A19" s="18"/>
      <c r="B19" s="22">
        <v>4</v>
      </c>
      <c r="C19" s="276" t="s">
        <v>547</v>
      </c>
      <c r="D19" s="272"/>
      <c r="E19" s="253" t="s">
        <v>502</v>
      </c>
      <c r="F19" s="254"/>
      <c r="G19" s="255"/>
      <c r="H19" s="253" t="s">
        <v>530</v>
      </c>
      <c r="I19" s="254"/>
      <c r="J19" s="255"/>
      <c r="K19" s="253" t="s">
        <v>501</v>
      </c>
      <c r="L19" s="254"/>
      <c r="M19" s="255"/>
      <c r="N19" s="253"/>
      <c r="O19" s="254"/>
      <c r="P19" s="255"/>
      <c r="Q19" s="253"/>
      <c r="R19" s="254"/>
      <c r="S19" s="255"/>
      <c r="T19" s="123" t="str">
        <f t="shared" si="0"/>
        <v>3:0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0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0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45620</v>
      </c>
      <c r="F35" s="278"/>
      <c r="G35" s="278"/>
      <c r="H35" s="278"/>
      <c r="I35" s="278"/>
      <c r="J35" s="19" t="s">
        <v>30</v>
      </c>
      <c r="K35" s="19"/>
      <c r="L35" s="281" t="str">
        <f>L5</f>
        <v>10.00</v>
      </c>
      <c r="M35" s="281"/>
      <c r="N35" s="19" t="s">
        <v>31</v>
      </c>
      <c r="O35" s="19"/>
      <c r="P35" s="19" t="str">
        <f>P5</f>
        <v>I</v>
      </c>
      <c r="Q35" s="19"/>
      <c r="R35" s="19"/>
      <c r="S35" s="19" t="s">
        <v>32</v>
      </c>
      <c r="T35" s="19"/>
      <c r="U35" s="19">
        <v>3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231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237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338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421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336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422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339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425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337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423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Meeskond2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Meeskond7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502</v>
      </c>
      <c r="F46" s="254"/>
      <c r="G46" s="255"/>
      <c r="H46" s="253" t="s">
        <v>517</v>
      </c>
      <c r="I46" s="254"/>
      <c r="J46" s="255"/>
      <c r="K46" s="253" t="s">
        <v>521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531</v>
      </c>
      <c r="F47" s="254"/>
      <c r="G47" s="255"/>
      <c r="H47" s="253" t="s">
        <v>508</v>
      </c>
      <c r="I47" s="254"/>
      <c r="J47" s="255"/>
      <c r="K47" s="253" t="s">
        <v>503</v>
      </c>
      <c r="L47" s="254"/>
      <c r="M47" s="255"/>
      <c r="N47" s="253" t="s">
        <v>508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1:3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1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522</v>
      </c>
      <c r="F48" s="254"/>
      <c r="G48" s="255"/>
      <c r="H48" s="253" t="s">
        <v>512</v>
      </c>
      <c r="I48" s="254"/>
      <c r="J48" s="255"/>
      <c r="K48" s="253" t="s">
        <v>515</v>
      </c>
      <c r="L48" s="254"/>
      <c r="M48" s="255"/>
      <c r="N48" s="253" t="s">
        <v>523</v>
      </c>
      <c r="O48" s="254"/>
      <c r="P48" s="255"/>
      <c r="Q48" s="253"/>
      <c r="R48" s="254"/>
      <c r="S48" s="255"/>
      <c r="T48" s="123" t="str">
        <f t="shared" si="5"/>
        <v>1:3</v>
      </c>
      <c r="U48" s="262">
        <f t="shared" si="6"/>
        <v>0</v>
      </c>
      <c r="V48" s="264"/>
      <c r="W48" s="262">
        <f t="shared" si="7"/>
        <v>1</v>
      </c>
      <c r="X48" s="264"/>
      <c r="Y48">
        <f t="shared" si="8"/>
        <v>1</v>
      </c>
      <c r="Z48" s="18">
        <f t="shared" si="9"/>
        <v>3</v>
      </c>
    </row>
    <row r="49" spans="1:26">
      <c r="A49" s="18"/>
      <c r="B49" s="22">
        <v>4</v>
      </c>
      <c r="C49" s="276" t="s">
        <v>533</v>
      </c>
      <c r="D49" s="272"/>
      <c r="E49" s="253" t="s">
        <v>515</v>
      </c>
      <c r="F49" s="254"/>
      <c r="G49" s="255"/>
      <c r="H49" s="253" t="s">
        <v>513</v>
      </c>
      <c r="I49" s="254"/>
      <c r="J49" s="255"/>
      <c r="K49" s="253" t="s">
        <v>523</v>
      </c>
      <c r="L49" s="254"/>
      <c r="M49" s="255"/>
      <c r="N49" s="253" t="s">
        <v>511</v>
      </c>
      <c r="O49" s="254"/>
      <c r="P49" s="255"/>
      <c r="Q49" s="253" t="s">
        <v>515</v>
      </c>
      <c r="R49" s="254"/>
      <c r="S49" s="255"/>
      <c r="T49" s="123" t="str">
        <f t="shared" si="5"/>
        <v>3:2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2</v>
      </c>
    </row>
    <row r="50" spans="1:26">
      <c r="A50" s="18"/>
      <c r="B50" s="24">
        <v>5</v>
      </c>
      <c r="C50" s="271" t="s">
        <v>48</v>
      </c>
      <c r="D50" s="272"/>
      <c r="E50" s="253" t="s">
        <v>549</v>
      </c>
      <c r="F50" s="254"/>
      <c r="G50" s="255"/>
      <c r="H50" s="253" t="s">
        <v>528</v>
      </c>
      <c r="I50" s="254"/>
      <c r="J50" s="255"/>
      <c r="K50" s="253" t="s">
        <v>515</v>
      </c>
      <c r="L50" s="254"/>
      <c r="M50" s="255"/>
      <c r="N50" s="253" t="s">
        <v>528</v>
      </c>
      <c r="O50" s="254"/>
      <c r="P50" s="255"/>
      <c r="Q50" s="253"/>
      <c r="R50" s="254"/>
      <c r="S50" s="255"/>
      <c r="T50" s="123" t="str">
        <f t="shared" si="5"/>
        <v>3:1</v>
      </c>
      <c r="U50" s="262">
        <f t="shared" si="6"/>
        <v>1</v>
      </c>
      <c r="V50" s="264"/>
      <c r="W50" s="262">
        <f t="shared" si="7"/>
        <v>0</v>
      </c>
      <c r="X50" s="264"/>
      <c r="Y50">
        <f t="shared" si="8"/>
        <v>3</v>
      </c>
      <c r="Z50" s="18">
        <f t="shared" si="9"/>
        <v>1</v>
      </c>
    </row>
    <row r="51" spans="1:26">
      <c r="A51" s="18"/>
      <c r="B51" s="24">
        <v>6</v>
      </c>
      <c r="C51" s="271" t="s">
        <v>49</v>
      </c>
      <c r="D51" s="272"/>
      <c r="E51" s="253" t="s">
        <v>526</v>
      </c>
      <c r="F51" s="254"/>
      <c r="G51" s="255"/>
      <c r="H51" s="253" t="s">
        <v>519</v>
      </c>
      <c r="I51" s="254"/>
      <c r="J51" s="255"/>
      <c r="K51" s="253" t="s">
        <v>510</v>
      </c>
      <c r="L51" s="254"/>
      <c r="M51" s="255"/>
      <c r="N51" s="253" t="s">
        <v>522</v>
      </c>
      <c r="O51" s="254"/>
      <c r="P51" s="255"/>
      <c r="Q51" s="253"/>
      <c r="R51" s="254"/>
      <c r="S51" s="255"/>
      <c r="T51" s="123" t="str">
        <f t="shared" si="5"/>
        <v>1:3</v>
      </c>
      <c r="U51" s="262">
        <f t="shared" si="6"/>
        <v>0</v>
      </c>
      <c r="V51" s="264"/>
      <c r="W51" s="262">
        <f t="shared" si="7"/>
        <v>1</v>
      </c>
      <c r="X51" s="264"/>
      <c r="Y51">
        <f t="shared" si="8"/>
        <v>1</v>
      </c>
      <c r="Z51" s="18">
        <f t="shared" si="9"/>
        <v>3</v>
      </c>
    </row>
    <row r="52" spans="1:26">
      <c r="A52" s="18"/>
      <c r="B52" s="24">
        <v>7</v>
      </c>
      <c r="C52" s="266" t="s">
        <v>50</v>
      </c>
      <c r="D52" s="267"/>
      <c r="E52" s="253" t="s">
        <v>508</v>
      </c>
      <c r="F52" s="254"/>
      <c r="G52" s="255"/>
      <c r="H52" s="253" t="s">
        <v>508</v>
      </c>
      <c r="I52" s="254"/>
      <c r="J52" s="255"/>
      <c r="K52" s="253" t="s">
        <v>522</v>
      </c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>0:3</v>
      </c>
      <c r="U52" s="262">
        <f t="shared" si="6"/>
        <v>0</v>
      </c>
      <c r="V52" s="264"/>
      <c r="W52" s="262">
        <f t="shared" si="7"/>
        <v>1</v>
      </c>
      <c r="X52" s="264"/>
      <c r="Y52">
        <f t="shared" si="8"/>
        <v>0</v>
      </c>
      <c r="Z52" s="18">
        <f t="shared" si="9"/>
        <v>3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3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45620</v>
      </c>
      <c r="F65" s="278"/>
      <c r="G65" s="278"/>
      <c r="H65" s="278"/>
      <c r="I65" s="278"/>
      <c r="J65" s="19" t="s">
        <v>30</v>
      </c>
      <c r="K65" s="19"/>
      <c r="L65" s="281" t="str">
        <f>L5</f>
        <v>10.00</v>
      </c>
      <c r="M65" s="281"/>
      <c r="N65" s="19" t="s">
        <v>31</v>
      </c>
      <c r="O65" s="19"/>
      <c r="P65" s="19" t="str">
        <f>P5</f>
        <v>I</v>
      </c>
      <c r="Q65" s="19"/>
      <c r="R65" s="19"/>
      <c r="S65" s="19" t="s">
        <v>32</v>
      </c>
      <c r="T65" s="19"/>
      <c r="U65" s="19">
        <v>4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232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235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357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64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355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403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356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405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359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Meeskond3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Meeskond6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521</v>
      </c>
      <c r="F76" s="254"/>
      <c r="G76" s="255"/>
      <c r="H76" s="253" t="s">
        <v>528</v>
      </c>
      <c r="I76" s="254"/>
      <c r="J76" s="255"/>
      <c r="K76" s="253" t="s">
        <v>502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3:0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0</v>
      </c>
    </row>
    <row r="77" spans="1:26">
      <c r="A77" s="18"/>
      <c r="B77" s="22">
        <v>2</v>
      </c>
      <c r="C77" s="276" t="s">
        <v>46</v>
      </c>
      <c r="D77" s="272"/>
      <c r="E77" s="253" t="s">
        <v>521</v>
      </c>
      <c r="F77" s="254"/>
      <c r="G77" s="255"/>
      <c r="H77" s="253" t="s">
        <v>521</v>
      </c>
      <c r="I77" s="254"/>
      <c r="J77" s="255"/>
      <c r="K77" s="253" t="s">
        <v>501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3:0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531</v>
      </c>
      <c r="F78" s="254"/>
      <c r="G78" s="255"/>
      <c r="H78" s="253" t="s">
        <v>501</v>
      </c>
      <c r="I78" s="254"/>
      <c r="J78" s="255"/>
      <c r="K78" s="253" t="s">
        <v>501</v>
      </c>
      <c r="L78" s="254"/>
      <c r="M78" s="255"/>
      <c r="N78" s="253" t="s">
        <v>502</v>
      </c>
      <c r="O78" s="254"/>
      <c r="P78" s="255"/>
      <c r="Q78" s="253"/>
      <c r="R78" s="254"/>
      <c r="S78" s="255"/>
      <c r="T78" s="123" t="str">
        <f t="shared" si="10"/>
        <v>3:1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1</v>
      </c>
    </row>
    <row r="79" spans="1:26">
      <c r="A79" s="18"/>
      <c r="B79" s="22">
        <v>4</v>
      </c>
      <c r="C79" s="276" t="s">
        <v>537</v>
      </c>
      <c r="D79" s="272"/>
      <c r="E79" s="253" t="s">
        <v>508</v>
      </c>
      <c r="F79" s="254"/>
      <c r="G79" s="255"/>
      <c r="H79" s="253" t="s">
        <v>522</v>
      </c>
      <c r="I79" s="254"/>
      <c r="J79" s="255"/>
      <c r="K79" s="253" t="s">
        <v>501</v>
      </c>
      <c r="L79" s="254"/>
      <c r="M79" s="255"/>
      <c r="N79" s="253" t="s">
        <v>521</v>
      </c>
      <c r="O79" s="254"/>
      <c r="P79" s="255"/>
      <c r="Q79" s="253" t="s">
        <v>501</v>
      </c>
      <c r="R79" s="254"/>
      <c r="S79" s="255"/>
      <c r="T79" s="123" t="str">
        <f t="shared" si="10"/>
        <v>3:2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2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0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45620</v>
      </c>
      <c r="F95" s="278"/>
      <c r="G95" s="278"/>
      <c r="H95" s="278"/>
      <c r="I95" s="278"/>
      <c r="J95" s="19" t="s">
        <v>30</v>
      </c>
      <c r="K95" s="19"/>
      <c r="L95" s="281" t="str">
        <f>L5</f>
        <v>10.00</v>
      </c>
      <c r="M95" s="281"/>
      <c r="N95" s="19" t="s">
        <v>31</v>
      </c>
      <c r="O95" s="19"/>
      <c r="P95" s="19" t="str">
        <f>P5</f>
        <v>I</v>
      </c>
      <c r="Q95" s="19"/>
      <c r="R95" s="19"/>
      <c r="S95" s="19" t="s">
        <v>32</v>
      </c>
      <c r="T95" s="19"/>
      <c r="U95" s="19">
        <v>1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233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234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370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386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374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385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373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387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371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388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Meeskond4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Meeskond5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508</v>
      </c>
      <c r="F106" s="254"/>
      <c r="G106" s="255"/>
      <c r="H106" s="253" t="s">
        <v>512</v>
      </c>
      <c r="I106" s="254"/>
      <c r="J106" s="255"/>
      <c r="K106" s="253" t="s">
        <v>534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0:3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0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501</v>
      </c>
      <c r="F107" s="254"/>
      <c r="G107" s="255"/>
      <c r="H107" s="253" t="s">
        <v>515</v>
      </c>
      <c r="I107" s="254"/>
      <c r="J107" s="255"/>
      <c r="K107" s="253" t="s">
        <v>501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3:0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0</v>
      </c>
    </row>
    <row r="108" spans="1:26">
      <c r="A108" s="18"/>
      <c r="B108" s="22">
        <v>3</v>
      </c>
      <c r="C108" s="276" t="s">
        <v>47</v>
      </c>
      <c r="D108" s="272"/>
      <c r="E108" s="253" t="s">
        <v>515</v>
      </c>
      <c r="F108" s="254"/>
      <c r="G108" s="255"/>
      <c r="H108" s="253" t="s">
        <v>503</v>
      </c>
      <c r="I108" s="254"/>
      <c r="J108" s="255"/>
      <c r="K108" s="253" t="s">
        <v>504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3:0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0</v>
      </c>
    </row>
    <row r="109" spans="1:26">
      <c r="A109" s="18"/>
      <c r="B109" s="22">
        <v>4</v>
      </c>
      <c r="C109" s="276" t="s">
        <v>548</v>
      </c>
      <c r="D109" s="272"/>
      <c r="E109" s="253" t="s">
        <v>526</v>
      </c>
      <c r="F109" s="254"/>
      <c r="G109" s="255"/>
      <c r="H109" s="253" t="s">
        <v>504</v>
      </c>
      <c r="I109" s="254"/>
      <c r="J109" s="255"/>
      <c r="K109" s="253" t="s">
        <v>501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 t="s">
        <v>503</v>
      </c>
      <c r="F110" s="254"/>
      <c r="G110" s="255"/>
      <c r="H110" s="253" t="s">
        <v>515</v>
      </c>
      <c r="I110" s="254"/>
      <c r="J110" s="255"/>
      <c r="K110" s="253" t="s">
        <v>503</v>
      </c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>3:0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1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46" priority="4" stopIfTrue="1">
      <formula>ISNA(C8)</formula>
    </cfRule>
  </conditionalFormatting>
  <conditionalFormatting sqref="C38:K42 N38:N42">
    <cfRule type="expression" dxfId="145" priority="3" stopIfTrue="1">
      <formula>ISNA(C38)</formula>
    </cfRule>
  </conditionalFormatting>
  <conditionalFormatting sqref="C68:K72 N68:W72">
    <cfRule type="expression" dxfId="144" priority="2" stopIfTrue="1">
      <formula>ISNA(C68)</formula>
    </cfRule>
  </conditionalFormatting>
  <conditionalFormatting sqref="C98:K102 N98:W102">
    <cfRule type="expression" dxfId="143" priority="1" stopIfTrue="1">
      <formula>ISNA(C98)</formula>
    </cfRule>
  </conditionalFormatting>
  <dataValidations count="9">
    <dataValidation type="list" allowBlank="1" showInputMessage="1" showErrorMessage="1" sqref="N38:N42" xr:uid="{05448B0B-C2DC-42D3-9423-0852511E070A}">
      <formula1>INDIRECT($W$43)</formula1>
    </dataValidation>
    <dataValidation type="list" allowBlank="1" showInputMessage="1" showErrorMessage="1" sqref="N68:W72" xr:uid="{9F8A7DCE-D93B-46D9-B95D-3FD72FCBC672}">
      <formula1>INDIRECT($W$73)</formula1>
    </dataValidation>
    <dataValidation type="list" allowBlank="1" showInputMessage="1" showErrorMessage="1" sqref="N98:W102" xr:uid="{9AC7024D-0687-474E-9D98-4A95427F61E7}">
      <formula1>INDIRECT($W$103)</formula1>
    </dataValidation>
    <dataValidation type="list" allowBlank="1" showInputMessage="1" showErrorMessage="1" sqref="C38:K42" xr:uid="{8B159E30-2710-4C1C-8F17-04163BB90DE7}">
      <formula1>INDIRECT($K$43)</formula1>
    </dataValidation>
    <dataValidation type="list" allowBlank="1" showInputMessage="1" showErrorMessage="1" sqref="C68:K72" xr:uid="{15244331-BCF8-46EF-A65F-0C1C898CBC32}">
      <formula1>INDIRECT($K$73)</formula1>
    </dataValidation>
    <dataValidation type="list" allowBlank="1" showInputMessage="1" showErrorMessage="1" sqref="C98:K102" xr:uid="{0FB76268-E03C-44B8-B587-52EA96752EDA}">
      <formula1>INDIRECT($K$103)</formula1>
    </dataValidation>
    <dataValidation type="list" allowBlank="1" showInputMessage="1" showErrorMessage="1" sqref="G37:L37 R37:X37 R7:X7 R97:X97 G67:L67 R67:X67 G97:L97 G7:L7" xr:uid="{1C0C28CF-2518-461A-A6DE-B277FFB2930D}">
      <formula1>Mansad</formula1>
    </dataValidation>
    <dataValidation type="list" allowBlank="1" showInputMessage="1" showErrorMessage="1" sqref="N8:N12" xr:uid="{9C85B2F9-2A20-4C18-9A48-2AD060AA2A26}">
      <formula1>INDIRECT($W$13)</formula1>
    </dataValidation>
    <dataValidation type="list" allowBlank="1" showInputMessage="1" showErrorMessage="1" sqref="C8:K12" xr:uid="{CA3E0D3F-FE8C-4FA0-B6FD-5109C6494661}">
      <formula1>INDIRECT($K$13)</formula1>
    </dataValidation>
  </dataValidations>
  <pageMargins left="0.7" right="0.7" top="0.75" bottom="0.75" header="0.3" footer="0.3"/>
  <pageSetup paperSize="11" scale="74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F2989-3BC9-46B2-8A7A-9615957F0650}">
  <sheetPr>
    <pageSetUpPr fitToPage="1"/>
  </sheetPr>
  <dimension ref="A1:Z119"/>
  <sheetViews>
    <sheetView topLeftCell="A78" workbookViewId="0">
      <selection activeCell="AC29" sqref="AC29"/>
    </sheetView>
  </sheetViews>
  <sheetFormatPr defaultRowHeight="15"/>
  <cols>
    <col min="1" max="1" width="0.7109375" customWidth="1"/>
    <col min="2" max="2" width="4.140625" customWidth="1"/>
    <col min="3" max="3" width="4.28515625" customWidth="1"/>
    <col min="4" max="4" width="5.85546875" customWidth="1"/>
    <col min="5" max="11" width="4.7109375" customWidth="1"/>
    <col min="12" max="12" width="7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8.285156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45620</v>
      </c>
      <c r="F5" s="278"/>
      <c r="G5" s="278"/>
      <c r="H5" s="278"/>
      <c r="I5" s="278"/>
      <c r="J5" s="19" t="s">
        <v>30</v>
      </c>
      <c r="K5" s="19"/>
      <c r="L5" s="281" t="s">
        <v>466</v>
      </c>
      <c r="M5" s="281"/>
      <c r="N5" s="19" t="s">
        <v>31</v>
      </c>
      <c r="O5" s="19"/>
      <c r="P5" s="19" t="s">
        <v>440</v>
      </c>
      <c r="Q5" s="19"/>
      <c r="R5" s="19"/>
      <c r="S5" s="19" t="s">
        <v>32</v>
      </c>
      <c r="T5" s="19"/>
      <c r="U5" s="19">
        <v>1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232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231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356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338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359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340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355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336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357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337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 t="s">
        <v>339</v>
      </c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Meeskond3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Meeskond2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503</v>
      </c>
      <c r="F16" s="254"/>
      <c r="G16" s="255"/>
      <c r="H16" s="253" t="s">
        <v>508</v>
      </c>
      <c r="I16" s="254"/>
      <c r="J16" s="255"/>
      <c r="K16" s="253" t="s">
        <v>503</v>
      </c>
      <c r="L16" s="254"/>
      <c r="M16" s="255"/>
      <c r="N16" s="253" t="s">
        <v>511</v>
      </c>
      <c r="O16" s="254"/>
      <c r="P16" s="255"/>
      <c r="Q16" s="253" t="s">
        <v>507</v>
      </c>
      <c r="R16" s="254"/>
      <c r="S16" s="255"/>
      <c r="T16" s="123" t="str">
        <f>IF(ISBLANK(E16)=TRUE,"",VALUE(Y16)&amp;":"&amp;VALUE(Z16))</f>
        <v>2:3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2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502</v>
      </c>
      <c r="F17" s="254"/>
      <c r="G17" s="255"/>
      <c r="H17" s="253" t="s">
        <v>528</v>
      </c>
      <c r="I17" s="254"/>
      <c r="J17" s="255"/>
      <c r="K17" s="253" t="s">
        <v>510</v>
      </c>
      <c r="L17" s="254"/>
      <c r="M17" s="255"/>
      <c r="N17" s="253" t="s">
        <v>512</v>
      </c>
      <c r="O17" s="254"/>
      <c r="P17" s="255"/>
      <c r="Q17" s="253" t="s">
        <v>522</v>
      </c>
      <c r="R17" s="254"/>
      <c r="S17" s="255"/>
      <c r="T17" s="123" t="str">
        <f t="shared" ref="T17:T22" si="0">IF(ISBLANK(E17)=TRUE,"",VALUE(Y17)&amp;":"&amp;VALUE(Z17))</f>
        <v>2:3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2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515</v>
      </c>
      <c r="F18" s="254"/>
      <c r="G18" s="255"/>
      <c r="H18" s="253" t="s">
        <v>503</v>
      </c>
      <c r="I18" s="254"/>
      <c r="J18" s="255"/>
      <c r="K18" s="253" t="s">
        <v>513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533</v>
      </c>
      <c r="D19" s="272"/>
      <c r="E19" s="253" t="s">
        <v>507</v>
      </c>
      <c r="F19" s="254"/>
      <c r="G19" s="255"/>
      <c r="H19" s="253" t="s">
        <v>510</v>
      </c>
      <c r="I19" s="254"/>
      <c r="J19" s="255"/>
      <c r="K19" s="253" t="s">
        <v>503</v>
      </c>
      <c r="L19" s="254"/>
      <c r="M19" s="255"/>
      <c r="N19" s="253" t="s">
        <v>507</v>
      </c>
      <c r="O19" s="254"/>
      <c r="P19" s="255"/>
      <c r="Q19" s="253"/>
      <c r="R19" s="254"/>
      <c r="S19" s="255"/>
      <c r="T19" s="123" t="str">
        <f t="shared" si="0"/>
        <v>1:3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1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 t="s">
        <v>522</v>
      </c>
      <c r="F20" s="254"/>
      <c r="G20" s="255"/>
      <c r="H20" s="253" t="s">
        <v>521</v>
      </c>
      <c r="I20" s="254"/>
      <c r="J20" s="255"/>
      <c r="K20" s="253" t="s">
        <v>515</v>
      </c>
      <c r="L20" s="254"/>
      <c r="M20" s="255"/>
      <c r="N20" s="253" t="s">
        <v>502</v>
      </c>
      <c r="O20" s="254"/>
      <c r="P20" s="255"/>
      <c r="Q20" s="253"/>
      <c r="R20" s="254"/>
      <c r="S20" s="255"/>
      <c r="T20" s="123" t="str">
        <f t="shared" si="0"/>
        <v>3:1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1</v>
      </c>
    </row>
    <row r="21" spans="1:26">
      <c r="A21" s="18"/>
      <c r="B21" s="24">
        <v>6</v>
      </c>
      <c r="C21" s="271" t="s">
        <v>49</v>
      </c>
      <c r="D21" s="272"/>
      <c r="E21" s="253" t="s">
        <v>503</v>
      </c>
      <c r="F21" s="254"/>
      <c r="G21" s="255"/>
      <c r="H21" s="253" t="s">
        <v>522</v>
      </c>
      <c r="I21" s="254"/>
      <c r="J21" s="255"/>
      <c r="K21" s="253" t="s">
        <v>510</v>
      </c>
      <c r="L21" s="254"/>
      <c r="M21" s="255"/>
      <c r="N21" s="253" t="s">
        <v>510</v>
      </c>
      <c r="O21" s="254"/>
      <c r="P21" s="255"/>
      <c r="Q21" s="253"/>
      <c r="R21" s="254"/>
      <c r="S21" s="255"/>
      <c r="T21" s="123" t="str">
        <f t="shared" si="0"/>
        <v>1:3</v>
      </c>
      <c r="U21" s="262">
        <f t="shared" si="1"/>
        <v>0</v>
      </c>
      <c r="V21" s="264"/>
      <c r="W21" s="262">
        <f t="shared" si="2"/>
        <v>1</v>
      </c>
      <c r="X21" s="264"/>
      <c r="Y21">
        <f t="shared" si="3"/>
        <v>1</v>
      </c>
      <c r="Z21" s="18">
        <f t="shared" si="4"/>
        <v>3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2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45620</v>
      </c>
      <c r="F35" s="278"/>
      <c r="G35" s="278"/>
      <c r="H35" s="278"/>
      <c r="I35" s="278"/>
      <c r="J35" s="19" t="s">
        <v>30</v>
      </c>
      <c r="K35" s="19"/>
      <c r="L35" s="281" t="str">
        <f>L5</f>
        <v>13.00</v>
      </c>
      <c r="M35" s="281"/>
      <c r="N35" s="19" t="s">
        <v>31</v>
      </c>
      <c r="O35" s="19"/>
      <c r="P35" s="19" t="str">
        <f>P5</f>
        <v>II</v>
      </c>
      <c r="Q35" s="19"/>
      <c r="R35" s="19"/>
      <c r="S35" s="19" t="s">
        <v>32</v>
      </c>
      <c r="T35" s="19"/>
      <c r="U35" s="19">
        <v>2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238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233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437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371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436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373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435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374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/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Meeskond8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Meeskond4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523</v>
      </c>
      <c r="F46" s="254"/>
      <c r="G46" s="255"/>
      <c r="H46" s="253" t="s">
        <v>503</v>
      </c>
      <c r="I46" s="254"/>
      <c r="J46" s="255"/>
      <c r="K46" s="253" t="s">
        <v>513</v>
      </c>
      <c r="L46" s="254"/>
      <c r="M46" s="255"/>
      <c r="N46" s="253" t="s">
        <v>508</v>
      </c>
      <c r="O46" s="254"/>
      <c r="P46" s="255"/>
      <c r="Q46" s="253" t="s">
        <v>502</v>
      </c>
      <c r="R46" s="254"/>
      <c r="S46" s="255"/>
      <c r="T46" s="123" t="str">
        <f>IF(ISBLANK(E46)=TRUE,"",VALUE(Y46)&amp;":"&amp;VALUE(Z46))</f>
        <v>3:2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2</v>
      </c>
    </row>
    <row r="47" spans="1:26">
      <c r="A47" s="18"/>
      <c r="B47" s="22">
        <v>2</v>
      </c>
      <c r="C47" s="276" t="s">
        <v>46</v>
      </c>
      <c r="D47" s="272"/>
      <c r="E47" s="253" t="s">
        <v>550</v>
      </c>
      <c r="F47" s="254"/>
      <c r="G47" s="255"/>
      <c r="H47" s="253" t="s">
        <v>502</v>
      </c>
      <c r="I47" s="254"/>
      <c r="J47" s="255"/>
      <c r="K47" s="253" t="s">
        <v>509</v>
      </c>
      <c r="L47" s="254"/>
      <c r="M47" s="255"/>
      <c r="N47" s="253" t="s">
        <v>508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1:3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1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/>
      <c r="F48" s="254"/>
      <c r="G48" s="255"/>
      <c r="H48" s="253"/>
      <c r="I48" s="254"/>
      <c r="J48" s="255"/>
      <c r="K48" s="253"/>
      <c r="L48" s="254"/>
      <c r="M48" s="255"/>
      <c r="N48" s="253"/>
      <c r="O48" s="254"/>
      <c r="P48" s="255"/>
      <c r="Q48" s="253"/>
      <c r="R48" s="254"/>
      <c r="S48" s="255"/>
      <c r="T48" s="123" t="s">
        <v>551</v>
      </c>
      <c r="U48" s="262">
        <v>0</v>
      </c>
      <c r="V48" s="264"/>
      <c r="W48" s="262">
        <v>1</v>
      </c>
      <c r="X48" s="264"/>
      <c r="Y48">
        <f t="shared" si="8"/>
        <v>0</v>
      </c>
      <c r="Z48" s="18">
        <f t="shared" si="9"/>
        <v>0</v>
      </c>
    </row>
    <row r="49" spans="1:26">
      <c r="A49" s="18"/>
      <c r="B49" s="22">
        <v>4</v>
      </c>
      <c r="C49" s="276" t="s">
        <v>552</v>
      </c>
      <c r="D49" s="272"/>
      <c r="E49" s="253" t="s">
        <v>523</v>
      </c>
      <c r="F49" s="254"/>
      <c r="G49" s="255"/>
      <c r="H49" s="253" t="s">
        <v>513</v>
      </c>
      <c r="I49" s="254"/>
      <c r="J49" s="255"/>
      <c r="K49" s="253" t="s">
        <v>523</v>
      </c>
      <c r="L49" s="254"/>
      <c r="M49" s="255"/>
      <c r="N49" s="253" t="s">
        <v>513</v>
      </c>
      <c r="O49" s="254"/>
      <c r="P49" s="255"/>
      <c r="Q49" s="253" t="s">
        <v>523</v>
      </c>
      <c r="R49" s="254"/>
      <c r="S49" s="255"/>
      <c r="T49" s="123" t="str">
        <f t="shared" si="5"/>
        <v>2:3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2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 t="s">
        <v>504</v>
      </c>
      <c r="F50" s="254"/>
      <c r="G50" s="255"/>
      <c r="H50" s="253" t="s">
        <v>508</v>
      </c>
      <c r="I50" s="254"/>
      <c r="J50" s="255"/>
      <c r="K50" s="253" t="s">
        <v>508</v>
      </c>
      <c r="L50" s="254"/>
      <c r="M50" s="255"/>
      <c r="N50" s="253" t="s">
        <v>515</v>
      </c>
      <c r="O50" s="254"/>
      <c r="P50" s="255"/>
      <c r="Q50" s="253" t="s">
        <v>522</v>
      </c>
      <c r="R50" s="254"/>
      <c r="S50" s="255"/>
      <c r="T50" s="123" t="str">
        <f t="shared" si="5"/>
        <v>2:3</v>
      </c>
      <c r="U50" s="262">
        <f t="shared" si="6"/>
        <v>0</v>
      </c>
      <c r="V50" s="264"/>
      <c r="W50" s="262">
        <f t="shared" si="7"/>
        <v>1</v>
      </c>
      <c r="X50" s="264"/>
      <c r="Y50">
        <f t="shared" si="8"/>
        <v>2</v>
      </c>
      <c r="Z50" s="18">
        <f t="shared" si="9"/>
        <v>3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1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45620</v>
      </c>
      <c r="F65" s="278"/>
      <c r="G65" s="278"/>
      <c r="H65" s="278"/>
      <c r="I65" s="278"/>
      <c r="J65" s="19" t="s">
        <v>30</v>
      </c>
      <c r="K65" s="19"/>
      <c r="L65" s="281" t="str">
        <f>L5</f>
        <v>13.00</v>
      </c>
      <c r="M65" s="281"/>
      <c r="N65" s="19" t="s">
        <v>31</v>
      </c>
      <c r="O65" s="19"/>
      <c r="P65" s="19" t="str">
        <f>P5</f>
        <v>II</v>
      </c>
      <c r="Q65" s="19"/>
      <c r="R65" s="19"/>
      <c r="S65" s="19" t="s">
        <v>32</v>
      </c>
      <c r="T65" s="19"/>
      <c r="U65" s="19">
        <v>4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235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230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408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325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64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320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403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539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405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322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 t="s">
        <v>321</v>
      </c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Meeskond6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Meeskond1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528</v>
      </c>
      <c r="F76" s="254"/>
      <c r="G76" s="255"/>
      <c r="H76" s="253" t="s">
        <v>503</v>
      </c>
      <c r="I76" s="254"/>
      <c r="J76" s="255"/>
      <c r="K76" s="253" t="s">
        <v>507</v>
      </c>
      <c r="L76" s="254"/>
      <c r="M76" s="255"/>
      <c r="N76" s="253" t="s">
        <v>507</v>
      </c>
      <c r="O76" s="254"/>
      <c r="P76" s="255"/>
      <c r="Q76" s="253" t="s">
        <v>512</v>
      </c>
      <c r="R76" s="254"/>
      <c r="S76" s="255"/>
      <c r="T76" s="123" t="str">
        <f>IF(ISBLANK(E76)=TRUE,"",VALUE(Y76)&amp;":"&amp;VALUE(Z76))</f>
        <v>2:3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2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510</v>
      </c>
      <c r="F77" s="254"/>
      <c r="G77" s="255"/>
      <c r="H77" s="253" t="s">
        <v>509</v>
      </c>
      <c r="I77" s="254"/>
      <c r="J77" s="255"/>
      <c r="K77" s="253" t="s">
        <v>508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0:3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0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510</v>
      </c>
      <c r="F78" s="254"/>
      <c r="G78" s="255"/>
      <c r="H78" s="253" t="s">
        <v>509</v>
      </c>
      <c r="I78" s="254"/>
      <c r="J78" s="255"/>
      <c r="K78" s="253" t="s">
        <v>512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0:3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0</v>
      </c>
      <c r="Z78" s="18">
        <f t="shared" si="14"/>
        <v>3</v>
      </c>
    </row>
    <row r="79" spans="1:26">
      <c r="A79" s="18"/>
      <c r="B79" s="22">
        <v>4</v>
      </c>
      <c r="C79" s="276" t="s">
        <v>536</v>
      </c>
      <c r="D79" s="272"/>
      <c r="E79" s="253" t="s">
        <v>519</v>
      </c>
      <c r="F79" s="254"/>
      <c r="G79" s="255"/>
      <c r="H79" s="253" t="s">
        <v>528</v>
      </c>
      <c r="I79" s="254"/>
      <c r="J79" s="255"/>
      <c r="K79" s="253" t="s">
        <v>516</v>
      </c>
      <c r="L79" s="254"/>
      <c r="M79" s="255"/>
      <c r="N79" s="253" t="s">
        <v>503</v>
      </c>
      <c r="O79" s="254"/>
      <c r="P79" s="255"/>
      <c r="Q79" s="253"/>
      <c r="R79" s="254"/>
      <c r="S79" s="255"/>
      <c r="T79" s="123" t="str">
        <f t="shared" si="10"/>
        <v>3:1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1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">
        <v>553</v>
      </c>
      <c r="U80" s="262">
        <v>1</v>
      </c>
      <c r="V80" s="264"/>
      <c r="W80" s="262">
        <v>0</v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 t="s">
        <v>507</v>
      </c>
      <c r="F81" s="254"/>
      <c r="G81" s="255"/>
      <c r="H81" s="253" t="s">
        <v>511</v>
      </c>
      <c r="I81" s="254"/>
      <c r="J81" s="255"/>
      <c r="K81" s="253" t="s">
        <v>523</v>
      </c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>0:3</v>
      </c>
      <c r="U81" s="262">
        <f t="shared" si="11"/>
        <v>0</v>
      </c>
      <c r="V81" s="264"/>
      <c r="W81" s="262">
        <f t="shared" si="12"/>
        <v>1</v>
      </c>
      <c r="X81" s="264"/>
      <c r="Y81">
        <f t="shared" si="13"/>
        <v>0</v>
      </c>
      <c r="Z81" s="18">
        <f t="shared" si="14"/>
        <v>3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2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45620</v>
      </c>
      <c r="F95" s="278"/>
      <c r="G95" s="278"/>
      <c r="H95" s="278"/>
      <c r="I95" s="278"/>
      <c r="J95" s="19" t="s">
        <v>30</v>
      </c>
      <c r="K95" s="19"/>
      <c r="L95" s="281" t="str">
        <f>L5</f>
        <v>13.00</v>
      </c>
      <c r="M95" s="281"/>
      <c r="N95" s="19" t="s">
        <v>31</v>
      </c>
      <c r="O95" s="19"/>
      <c r="P95" s="19" t="str">
        <f>P5</f>
        <v>II</v>
      </c>
      <c r="Q95" s="19"/>
      <c r="R95" s="19"/>
      <c r="S95" s="19" t="s">
        <v>32</v>
      </c>
      <c r="T95" s="19"/>
      <c r="U95" s="19">
        <v>3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237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234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421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388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422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385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425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387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423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386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Meeskond7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Meeskond5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509</v>
      </c>
      <c r="F106" s="254"/>
      <c r="G106" s="255"/>
      <c r="H106" s="253" t="s">
        <v>513</v>
      </c>
      <c r="I106" s="254"/>
      <c r="J106" s="255"/>
      <c r="K106" s="253" t="s">
        <v>510</v>
      </c>
      <c r="L106" s="254"/>
      <c r="M106" s="255"/>
      <c r="N106" s="253" t="s">
        <v>522</v>
      </c>
      <c r="O106" s="254"/>
      <c r="P106" s="255"/>
      <c r="Q106" s="253"/>
      <c r="R106" s="254"/>
      <c r="S106" s="255"/>
      <c r="T106" s="123" t="str">
        <f>IF(ISBLANK(E106)=TRUE,"",VALUE(Y106)&amp;":"&amp;VALUE(Z106))</f>
        <v>1:3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1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515</v>
      </c>
      <c r="F107" s="254"/>
      <c r="G107" s="255"/>
      <c r="H107" s="253" t="s">
        <v>538</v>
      </c>
      <c r="I107" s="254"/>
      <c r="J107" s="255"/>
      <c r="K107" s="253" t="s">
        <v>502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3:0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0</v>
      </c>
    </row>
    <row r="108" spans="1:26">
      <c r="A108" s="18"/>
      <c r="B108" s="22">
        <v>3</v>
      </c>
      <c r="C108" s="276" t="s">
        <v>47</v>
      </c>
      <c r="D108" s="272"/>
      <c r="E108" s="253" t="s">
        <v>502</v>
      </c>
      <c r="F108" s="254"/>
      <c r="G108" s="255"/>
      <c r="H108" s="253" t="s">
        <v>525</v>
      </c>
      <c r="I108" s="254"/>
      <c r="J108" s="255"/>
      <c r="K108" s="253" t="s">
        <v>504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3:0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0</v>
      </c>
    </row>
    <row r="109" spans="1:26">
      <c r="A109" s="18"/>
      <c r="B109" s="22">
        <v>4</v>
      </c>
      <c r="C109" s="276" t="s">
        <v>547</v>
      </c>
      <c r="D109" s="272"/>
      <c r="E109" s="253" t="s">
        <v>507</v>
      </c>
      <c r="F109" s="254"/>
      <c r="G109" s="255"/>
      <c r="H109" s="253" t="s">
        <v>521</v>
      </c>
      <c r="I109" s="254"/>
      <c r="J109" s="255"/>
      <c r="K109" s="253" t="s">
        <v>513</v>
      </c>
      <c r="L109" s="254"/>
      <c r="M109" s="255"/>
      <c r="N109" s="253" t="s">
        <v>515</v>
      </c>
      <c r="O109" s="254"/>
      <c r="P109" s="255"/>
      <c r="Q109" s="253"/>
      <c r="R109" s="254"/>
      <c r="S109" s="255"/>
      <c r="T109" s="123" t="str">
        <f t="shared" si="15"/>
        <v>3:1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1</v>
      </c>
    </row>
    <row r="110" spans="1:26">
      <c r="A110" s="18"/>
      <c r="B110" s="24">
        <v>5</v>
      </c>
      <c r="C110" s="271" t="s">
        <v>48</v>
      </c>
      <c r="D110" s="272"/>
      <c r="E110" s="253" t="s">
        <v>502</v>
      </c>
      <c r="F110" s="254"/>
      <c r="G110" s="255"/>
      <c r="H110" s="253" t="s">
        <v>510</v>
      </c>
      <c r="I110" s="254"/>
      <c r="J110" s="255"/>
      <c r="K110" s="253" t="s">
        <v>515</v>
      </c>
      <c r="L110" s="254"/>
      <c r="M110" s="255"/>
      <c r="N110" s="253" t="s">
        <v>519</v>
      </c>
      <c r="O110" s="254"/>
      <c r="P110" s="255"/>
      <c r="Q110" s="253" t="s">
        <v>555</v>
      </c>
      <c r="R110" s="254"/>
      <c r="S110" s="255"/>
      <c r="T110" s="123" t="str">
        <f t="shared" si="15"/>
        <v>3:2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2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1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42" priority="4" stopIfTrue="1">
      <formula>ISNA(C8)</formula>
    </cfRule>
  </conditionalFormatting>
  <conditionalFormatting sqref="C38:K42 N38:N42">
    <cfRule type="expression" dxfId="141" priority="3" stopIfTrue="1">
      <formula>ISNA(C38)</formula>
    </cfRule>
  </conditionalFormatting>
  <conditionalFormatting sqref="C68:K72 N68:W72">
    <cfRule type="expression" dxfId="140" priority="2" stopIfTrue="1">
      <formula>ISNA(C68)</formula>
    </cfRule>
  </conditionalFormatting>
  <conditionalFormatting sqref="C98:K102 N98:W102">
    <cfRule type="expression" dxfId="139" priority="1" stopIfTrue="1">
      <formula>ISNA(C98)</formula>
    </cfRule>
  </conditionalFormatting>
  <dataValidations count="9">
    <dataValidation type="list" allowBlank="1" showInputMessage="1" showErrorMessage="1" sqref="C8:K12" xr:uid="{05922DE0-9A69-452A-A6D2-D2B89CF52DE4}">
      <formula1>INDIRECT($K$13)</formula1>
    </dataValidation>
    <dataValidation type="list" allowBlank="1" showInputMessage="1" showErrorMessage="1" sqref="N8:N12" xr:uid="{F486266D-3023-41E7-B86D-017B34113CC0}">
      <formula1>INDIRECT($W$13)</formula1>
    </dataValidation>
    <dataValidation type="list" allowBlank="1" showInputMessage="1" showErrorMessage="1" sqref="G37:L37 R37:X37 R7:X7 R97:X97 G67:L67 R67:X67 G97:L97 G7:L7" xr:uid="{4E01643E-D6C9-41F8-9929-B05FED5CE78B}">
      <formula1>Mansad</formula1>
    </dataValidation>
    <dataValidation type="list" allowBlank="1" showInputMessage="1" showErrorMessage="1" sqref="C98:K102" xr:uid="{7536F667-3BBD-403C-9BDF-4F5FE9B7258C}">
      <formula1>INDIRECT($K$103)</formula1>
    </dataValidation>
    <dataValidation type="list" allowBlank="1" showInputMessage="1" showErrorMessage="1" sqref="C68:K72" xr:uid="{BF1274E0-89FB-4133-8523-6C564126B896}">
      <formula1>INDIRECT($K$73)</formula1>
    </dataValidation>
    <dataValidation type="list" allowBlank="1" showInputMessage="1" showErrorMessage="1" sqref="C38:K42" xr:uid="{A19B12DF-A15E-4E51-9796-1293E279BABB}">
      <formula1>INDIRECT($K$43)</formula1>
    </dataValidation>
    <dataValidation type="list" allowBlank="1" showInputMessage="1" showErrorMessage="1" sqref="N98:W102" xr:uid="{78AF32D2-6628-426C-B601-D7C40CB456F1}">
      <formula1>INDIRECT($W$103)</formula1>
    </dataValidation>
    <dataValidation type="list" allowBlank="1" showInputMessage="1" showErrorMessage="1" sqref="N68:W72" xr:uid="{4EA9D763-790D-4B63-B11A-5C3C5413DF52}">
      <formula1>INDIRECT($W$73)</formula1>
    </dataValidation>
    <dataValidation type="list" allowBlank="1" showInputMessage="1" showErrorMessage="1" sqref="N38:N42" xr:uid="{C44A6195-A62E-4DC6-9613-CDB4A55D718E}">
      <formula1>INDIRECT($W$43)</formula1>
    </dataValidation>
  </dataValidations>
  <pageMargins left="0.7" right="0.7" top="0.75" bottom="0.75" header="0.3" footer="0.3"/>
  <pageSetup paperSize="11" scale="72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C47D4-84E3-440B-AF71-742C4D401ED0}">
  <sheetPr>
    <pageSetUpPr fitToPage="1"/>
  </sheetPr>
  <dimension ref="A1:Z119"/>
  <sheetViews>
    <sheetView workbookViewId="0">
      <selection activeCell="C110" sqref="C110:D110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45309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67</v>
      </c>
      <c r="Q5" s="19"/>
      <c r="R5" s="19"/>
      <c r="S5" s="19" t="s">
        <v>32</v>
      </c>
      <c r="T5" s="19"/>
      <c r="U5" s="19"/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234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231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387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336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559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338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386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337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340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 t="s">
        <v>557</v>
      </c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Meeskond5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Meeskond2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512</v>
      </c>
      <c r="F16" s="254"/>
      <c r="G16" s="255"/>
      <c r="H16" s="253" t="s">
        <v>523</v>
      </c>
      <c r="I16" s="254"/>
      <c r="J16" s="255"/>
      <c r="K16" s="253" t="s">
        <v>508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0:3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0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508</v>
      </c>
      <c r="F17" s="254"/>
      <c r="G17" s="255"/>
      <c r="H17" s="253" t="s">
        <v>508</v>
      </c>
      <c r="I17" s="254"/>
      <c r="J17" s="255"/>
      <c r="K17" s="253" t="s">
        <v>522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0:3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0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523</v>
      </c>
      <c r="F18" s="254"/>
      <c r="G18" s="255"/>
      <c r="H18" s="253" t="s">
        <v>519</v>
      </c>
      <c r="I18" s="254"/>
      <c r="J18" s="255"/>
      <c r="K18" s="253" t="s">
        <v>503</v>
      </c>
      <c r="L18" s="254"/>
      <c r="M18" s="255"/>
      <c r="N18" s="253" t="s">
        <v>523</v>
      </c>
      <c r="O18" s="254"/>
      <c r="P18" s="255"/>
      <c r="Q18" s="253"/>
      <c r="R18" s="254"/>
      <c r="S18" s="255"/>
      <c r="T18" s="123" t="str">
        <f t="shared" si="0"/>
        <v>1:3</v>
      </c>
      <c r="U18" s="262">
        <f t="shared" si="1"/>
        <v>0</v>
      </c>
      <c r="V18" s="264"/>
      <c r="W18" s="262">
        <f t="shared" si="2"/>
        <v>1</v>
      </c>
      <c r="X18" s="264"/>
      <c r="Y18">
        <f t="shared" si="3"/>
        <v>1</v>
      </c>
      <c r="Z18" s="18">
        <f t="shared" si="4"/>
        <v>3</v>
      </c>
    </row>
    <row r="19" spans="1:26">
      <c r="A19" s="18"/>
      <c r="B19" s="22">
        <v>4</v>
      </c>
      <c r="C19" s="276" t="s">
        <v>537</v>
      </c>
      <c r="D19" s="272"/>
      <c r="E19" s="253" t="s">
        <v>507</v>
      </c>
      <c r="F19" s="254"/>
      <c r="G19" s="255"/>
      <c r="H19" s="253" t="s">
        <v>512</v>
      </c>
      <c r="I19" s="254"/>
      <c r="J19" s="255"/>
      <c r="K19" s="253" t="s">
        <v>522</v>
      </c>
      <c r="L19" s="254"/>
      <c r="M19" s="255"/>
      <c r="N19" s="253"/>
      <c r="O19" s="254"/>
      <c r="P19" s="255"/>
      <c r="Q19" s="253"/>
      <c r="R19" s="254"/>
      <c r="S19" s="255"/>
      <c r="T19" s="123" t="str">
        <f t="shared" si="0"/>
        <v>0:3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0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0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45309</v>
      </c>
      <c r="F35" s="278"/>
      <c r="G35" s="278"/>
      <c r="H35" s="278"/>
      <c r="I35" s="278"/>
      <c r="J35" s="19" t="s">
        <v>30</v>
      </c>
      <c r="K35" s="19"/>
      <c r="L35" s="281" t="str">
        <f>L5</f>
        <v>10.00</v>
      </c>
      <c r="M35" s="281"/>
      <c r="N35" s="19" t="s">
        <v>31</v>
      </c>
      <c r="O35" s="19"/>
      <c r="P35" s="19" t="str">
        <f>P5</f>
        <v>I</v>
      </c>
      <c r="Q35" s="19"/>
      <c r="R35" s="19"/>
      <c r="S35" s="19" t="s">
        <v>32</v>
      </c>
      <c r="T35" s="19"/>
      <c r="U35" s="19"/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237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235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422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405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423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64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421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403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425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Meeskond6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515</v>
      </c>
      <c r="F46" s="254"/>
      <c r="G46" s="255"/>
      <c r="H46" s="253" t="s">
        <v>523</v>
      </c>
      <c r="I46" s="254"/>
      <c r="J46" s="255"/>
      <c r="K46" s="253" t="s">
        <v>522</v>
      </c>
      <c r="L46" s="254"/>
      <c r="M46" s="255"/>
      <c r="N46" s="253" t="s">
        <v>502</v>
      </c>
      <c r="O46" s="254"/>
      <c r="P46" s="255"/>
      <c r="Q46" s="253" t="s">
        <v>521</v>
      </c>
      <c r="R46" s="254"/>
      <c r="S46" s="255"/>
      <c r="T46" s="123" t="str">
        <f>IF(ISBLANK(E46)=TRUE,"",VALUE(Y46)&amp;":"&amp;VALUE(Z46))</f>
        <v>3:2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2</v>
      </c>
    </row>
    <row r="47" spans="1:26">
      <c r="A47" s="18"/>
      <c r="B47" s="22">
        <v>2</v>
      </c>
      <c r="C47" s="276" t="s">
        <v>46</v>
      </c>
      <c r="D47" s="272"/>
      <c r="E47" s="253" t="s">
        <v>526</v>
      </c>
      <c r="F47" s="254"/>
      <c r="G47" s="255"/>
      <c r="H47" s="253" t="s">
        <v>502</v>
      </c>
      <c r="I47" s="254"/>
      <c r="J47" s="255"/>
      <c r="K47" s="253" t="s">
        <v>513</v>
      </c>
      <c r="L47" s="254"/>
      <c r="M47" s="255"/>
      <c r="N47" s="253"/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3:0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0</v>
      </c>
    </row>
    <row r="48" spans="1:26">
      <c r="A48" s="18"/>
      <c r="B48" s="22">
        <v>3</v>
      </c>
      <c r="C48" s="276" t="s">
        <v>47</v>
      </c>
      <c r="D48" s="272"/>
      <c r="E48" s="253" t="s">
        <v>512</v>
      </c>
      <c r="F48" s="254"/>
      <c r="G48" s="255"/>
      <c r="H48" s="253" t="s">
        <v>504</v>
      </c>
      <c r="I48" s="254"/>
      <c r="J48" s="255"/>
      <c r="K48" s="253" t="s">
        <v>502</v>
      </c>
      <c r="L48" s="254"/>
      <c r="M48" s="255"/>
      <c r="N48" s="253" t="s">
        <v>503</v>
      </c>
      <c r="O48" s="254"/>
      <c r="P48" s="255"/>
      <c r="Q48" s="253"/>
      <c r="R48" s="254"/>
      <c r="S48" s="255"/>
      <c r="T48" s="123" t="str">
        <f t="shared" si="5"/>
        <v>3:1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1</v>
      </c>
    </row>
    <row r="49" spans="1:26">
      <c r="A49" s="18"/>
      <c r="B49" s="22">
        <v>4</v>
      </c>
      <c r="C49" s="276" t="s">
        <v>561</v>
      </c>
      <c r="D49" s="272"/>
      <c r="E49" s="253" t="s">
        <v>515</v>
      </c>
      <c r="F49" s="254"/>
      <c r="G49" s="255"/>
      <c r="H49" s="253" t="s">
        <v>521</v>
      </c>
      <c r="I49" s="254"/>
      <c r="J49" s="255"/>
      <c r="K49" s="253" t="s">
        <v>501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3:0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0</v>
      </c>
    </row>
    <row r="50" spans="1:26">
      <c r="A50" s="18"/>
      <c r="B50" s="24">
        <v>5</v>
      </c>
      <c r="C50" s="271" t="s">
        <v>48</v>
      </c>
      <c r="D50" s="272"/>
      <c r="E50" s="253"/>
      <c r="F50" s="254"/>
      <c r="G50" s="255"/>
      <c r="H50" s="253"/>
      <c r="I50" s="254"/>
      <c r="J50" s="255"/>
      <c r="K50" s="253"/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/>
      </c>
      <c r="U50" s="262" t="str">
        <f t="shared" si="6"/>
        <v/>
      </c>
      <c r="V50" s="264"/>
      <c r="W50" s="262" t="str">
        <f t="shared" si="7"/>
        <v/>
      </c>
      <c r="X50" s="264"/>
      <c r="Y50">
        <f t="shared" si="8"/>
        <v>0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0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45309</v>
      </c>
      <c r="F65" s="278"/>
      <c r="G65" s="278"/>
      <c r="H65" s="278"/>
      <c r="I65" s="278"/>
      <c r="J65" s="19" t="s">
        <v>30</v>
      </c>
      <c r="K65" s="19"/>
      <c r="L65" s="281" t="str">
        <f>L5</f>
        <v>10.00</v>
      </c>
      <c r="M65" s="281"/>
      <c r="N65" s="19" t="s">
        <v>31</v>
      </c>
      <c r="O65" s="19"/>
      <c r="P65" s="19" t="str">
        <f>P5</f>
        <v>I</v>
      </c>
      <c r="Q65" s="19"/>
      <c r="R65" s="19"/>
      <c r="S65" s="19" t="s">
        <v>32</v>
      </c>
      <c r="T65" s="19"/>
      <c r="U65" s="19"/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238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230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437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323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560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558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436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322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Meeskond8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Meeskond1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515</v>
      </c>
      <c r="F76" s="254"/>
      <c r="G76" s="255"/>
      <c r="H76" s="253" t="s">
        <v>513</v>
      </c>
      <c r="I76" s="254"/>
      <c r="J76" s="255"/>
      <c r="K76" s="253" t="s">
        <v>528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3:0</v>
      </c>
      <c r="U76" s="262">
        <f>IF(TYPE(IF(VALUE(LEFT(T76,1))&gt;VALUE(RIGHT(T76,1)),1,0))=1,IF(VALUE(LEFT(T76,1))&gt;VALUE(RIGHT(T76,1)),1,0),"")</f>
        <v>1</v>
      </c>
      <c r="V76" s="264"/>
      <c r="W76" s="262">
        <f>IF(TYPE(IF(VALUE(LEFT(T76,1))&lt;VALUE(RIGHT(T76,1)),1,0))=1,IF(VALUE(LEFT(T76,1))&lt;VALUE(RIGHT(T76,1)),1,0),"")</f>
        <v>0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3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0</v>
      </c>
    </row>
    <row r="77" spans="1:26">
      <c r="A77" s="18"/>
      <c r="B77" s="22">
        <v>2</v>
      </c>
      <c r="C77" s="276" t="s">
        <v>46</v>
      </c>
      <c r="D77" s="272"/>
      <c r="E77" s="253" t="s">
        <v>519</v>
      </c>
      <c r="F77" s="254"/>
      <c r="G77" s="255"/>
      <c r="H77" s="253" t="s">
        <v>515</v>
      </c>
      <c r="I77" s="254"/>
      <c r="J77" s="255"/>
      <c r="K77" s="253" t="s">
        <v>531</v>
      </c>
      <c r="L77" s="254"/>
      <c r="M77" s="255"/>
      <c r="N77" s="253" t="s">
        <v>523</v>
      </c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1:3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1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523</v>
      </c>
      <c r="F78" s="254"/>
      <c r="G78" s="255"/>
      <c r="H78" s="253" t="s">
        <v>510</v>
      </c>
      <c r="I78" s="254"/>
      <c r="J78" s="255"/>
      <c r="K78" s="253" t="s">
        <v>507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0:3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0</v>
      </c>
      <c r="Z78" s="18">
        <f t="shared" si="14"/>
        <v>3</v>
      </c>
    </row>
    <row r="79" spans="1:26">
      <c r="A79" s="18"/>
      <c r="B79" s="22">
        <v>4</v>
      </c>
      <c r="C79" s="276" t="s">
        <v>552</v>
      </c>
      <c r="D79" s="272"/>
      <c r="E79" s="253" t="s">
        <v>507</v>
      </c>
      <c r="F79" s="254"/>
      <c r="G79" s="255"/>
      <c r="H79" s="253" t="s">
        <v>504</v>
      </c>
      <c r="I79" s="254"/>
      <c r="J79" s="255"/>
      <c r="K79" s="253" t="s">
        <v>504</v>
      </c>
      <c r="L79" s="254"/>
      <c r="M79" s="255"/>
      <c r="N79" s="253" t="s">
        <v>521</v>
      </c>
      <c r="O79" s="254"/>
      <c r="P79" s="255"/>
      <c r="Q79" s="253"/>
      <c r="R79" s="254"/>
      <c r="S79" s="255"/>
      <c r="T79" s="123" t="str">
        <f t="shared" si="10"/>
        <v>3:1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1</v>
      </c>
    </row>
    <row r="80" spans="1:26">
      <c r="A80" s="18"/>
      <c r="B80" s="24">
        <v>5</v>
      </c>
      <c r="C80" s="271" t="s">
        <v>48</v>
      </c>
      <c r="D80" s="272"/>
      <c r="E80" s="253" t="s">
        <v>503</v>
      </c>
      <c r="F80" s="254"/>
      <c r="G80" s="255"/>
      <c r="H80" s="253" t="s">
        <v>521</v>
      </c>
      <c r="I80" s="254"/>
      <c r="J80" s="255"/>
      <c r="K80" s="253" t="s">
        <v>501</v>
      </c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>3:0</v>
      </c>
      <c r="U80" s="262">
        <f t="shared" si="11"/>
        <v>1</v>
      </c>
      <c r="V80" s="264"/>
      <c r="W80" s="262">
        <f t="shared" si="12"/>
        <v>0</v>
      </c>
      <c r="X80" s="264"/>
      <c r="Y80">
        <f t="shared" si="13"/>
        <v>3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 t="s">
        <v>515</v>
      </c>
      <c r="F81" s="254"/>
      <c r="G81" s="255"/>
      <c r="H81" s="253" t="s">
        <v>503</v>
      </c>
      <c r="I81" s="254"/>
      <c r="J81" s="255"/>
      <c r="K81" s="253" t="s">
        <v>508</v>
      </c>
      <c r="L81" s="254"/>
      <c r="M81" s="255"/>
      <c r="N81" s="253" t="s">
        <v>507</v>
      </c>
      <c r="O81" s="254"/>
      <c r="P81" s="255"/>
      <c r="Q81" s="253" t="s">
        <v>510</v>
      </c>
      <c r="R81" s="254"/>
      <c r="S81" s="255"/>
      <c r="T81" s="123" t="str">
        <f t="shared" si="10"/>
        <v>2:3</v>
      </c>
      <c r="U81" s="262">
        <f t="shared" si="11"/>
        <v>0</v>
      </c>
      <c r="V81" s="264"/>
      <c r="W81" s="262">
        <f t="shared" si="12"/>
        <v>1</v>
      </c>
      <c r="X81" s="264"/>
      <c r="Y81">
        <f t="shared" si="13"/>
        <v>2</v>
      </c>
      <c r="Z81" s="18">
        <f t="shared" si="14"/>
        <v>3</v>
      </c>
    </row>
    <row r="82" spans="1:26">
      <c r="A82" s="18"/>
      <c r="B82" s="24">
        <v>7</v>
      </c>
      <c r="C82" s="266" t="s">
        <v>50</v>
      </c>
      <c r="D82" s="267"/>
      <c r="E82" s="253" t="s">
        <v>523</v>
      </c>
      <c r="F82" s="254"/>
      <c r="G82" s="255"/>
      <c r="H82" s="253" t="s">
        <v>501</v>
      </c>
      <c r="I82" s="254"/>
      <c r="J82" s="255"/>
      <c r="K82" s="253" t="s">
        <v>523</v>
      </c>
      <c r="L82" s="254"/>
      <c r="M82" s="255"/>
      <c r="N82" s="253" t="s">
        <v>526</v>
      </c>
      <c r="O82" s="254"/>
      <c r="P82" s="255"/>
      <c r="Q82" s="253" t="s">
        <v>508</v>
      </c>
      <c r="R82" s="254"/>
      <c r="S82" s="255"/>
      <c r="T82" s="123" t="str">
        <f t="shared" si="10"/>
        <v>2:3</v>
      </c>
      <c r="U82" s="262">
        <f t="shared" si="11"/>
        <v>0</v>
      </c>
      <c r="V82" s="264"/>
      <c r="W82" s="262">
        <f t="shared" si="12"/>
        <v>1</v>
      </c>
      <c r="X82" s="264"/>
      <c r="Y82">
        <f t="shared" si="13"/>
        <v>2</v>
      </c>
      <c r="Z82" s="18">
        <f t="shared" si="14"/>
        <v>3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3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45309</v>
      </c>
      <c r="F95" s="278"/>
      <c r="G95" s="278"/>
      <c r="H95" s="278"/>
      <c r="I95" s="278"/>
      <c r="J95" s="19" t="s">
        <v>30</v>
      </c>
      <c r="K95" s="19"/>
      <c r="L95" s="281" t="str">
        <f>L5</f>
        <v>10.00</v>
      </c>
      <c r="M95" s="281"/>
      <c r="N95" s="19" t="s">
        <v>31</v>
      </c>
      <c r="O95" s="19"/>
      <c r="P95" s="19" t="str">
        <f>P5</f>
        <v>I</v>
      </c>
      <c r="Q95" s="19"/>
      <c r="R95" s="19"/>
      <c r="S95" s="19" t="s">
        <v>32</v>
      </c>
      <c r="T95" s="19"/>
      <c r="U95" s="19"/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233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232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374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355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373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360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370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356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371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358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Meeskond4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Meeskond3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522</v>
      </c>
      <c r="F106" s="254"/>
      <c r="G106" s="255"/>
      <c r="H106" s="253" t="s">
        <v>521</v>
      </c>
      <c r="I106" s="254"/>
      <c r="J106" s="255"/>
      <c r="K106" s="253" t="s">
        <v>512</v>
      </c>
      <c r="L106" s="254"/>
      <c r="M106" s="255"/>
      <c r="N106" s="253" t="s">
        <v>512</v>
      </c>
      <c r="O106" s="254"/>
      <c r="P106" s="255"/>
      <c r="Q106" s="253"/>
      <c r="R106" s="254"/>
      <c r="S106" s="255"/>
      <c r="T106" s="123" t="str">
        <f>IF(ISBLANK(E106)=TRUE,"",VALUE(Y106)&amp;":"&amp;VALUE(Z106))</f>
        <v>1:3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1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503</v>
      </c>
      <c r="F107" s="254"/>
      <c r="G107" s="255"/>
      <c r="H107" s="253" t="s">
        <v>510</v>
      </c>
      <c r="I107" s="254"/>
      <c r="J107" s="255"/>
      <c r="K107" s="253" t="s">
        <v>532</v>
      </c>
      <c r="L107" s="254"/>
      <c r="M107" s="255"/>
      <c r="N107" s="253" t="s">
        <v>523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1:3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1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501</v>
      </c>
      <c r="F108" s="254"/>
      <c r="G108" s="255"/>
      <c r="H108" s="253" t="s">
        <v>507</v>
      </c>
      <c r="I108" s="254"/>
      <c r="J108" s="255"/>
      <c r="K108" s="253" t="s">
        <v>504</v>
      </c>
      <c r="L108" s="254"/>
      <c r="M108" s="255"/>
      <c r="N108" s="253" t="s">
        <v>502</v>
      </c>
      <c r="O108" s="254"/>
      <c r="P108" s="255"/>
      <c r="Q108" s="253"/>
      <c r="R108" s="254"/>
      <c r="S108" s="255"/>
      <c r="T108" s="123" t="str">
        <f t="shared" si="15"/>
        <v>3:1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1</v>
      </c>
    </row>
    <row r="109" spans="1:26">
      <c r="A109" s="18"/>
      <c r="B109" s="22">
        <v>4</v>
      </c>
      <c r="C109" s="276" t="s">
        <v>533</v>
      </c>
      <c r="D109" s="272"/>
      <c r="E109" s="253" t="s">
        <v>508</v>
      </c>
      <c r="F109" s="254"/>
      <c r="G109" s="255"/>
      <c r="H109" s="253" t="s">
        <v>503</v>
      </c>
      <c r="I109" s="254"/>
      <c r="J109" s="255"/>
      <c r="K109" s="253" t="s">
        <v>507</v>
      </c>
      <c r="L109" s="254"/>
      <c r="M109" s="255"/>
      <c r="N109" s="253" t="s">
        <v>502</v>
      </c>
      <c r="O109" s="254"/>
      <c r="P109" s="255"/>
      <c r="Q109" s="253" t="s">
        <v>510</v>
      </c>
      <c r="R109" s="254"/>
      <c r="S109" s="255"/>
      <c r="T109" s="123" t="str">
        <f t="shared" si="15"/>
        <v>2:3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2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 t="s">
        <v>523</v>
      </c>
      <c r="F110" s="254"/>
      <c r="G110" s="255"/>
      <c r="H110" s="253" t="s">
        <v>522</v>
      </c>
      <c r="I110" s="254"/>
      <c r="J110" s="255"/>
      <c r="K110" s="253" t="s">
        <v>515</v>
      </c>
      <c r="L110" s="254"/>
      <c r="M110" s="255"/>
      <c r="N110" s="253" t="s">
        <v>526</v>
      </c>
      <c r="O110" s="254"/>
      <c r="P110" s="255"/>
      <c r="Q110" s="253" t="s">
        <v>530</v>
      </c>
      <c r="R110" s="254"/>
      <c r="S110" s="255"/>
      <c r="T110" s="123" t="str">
        <f t="shared" si="15"/>
        <v>3:2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2</v>
      </c>
    </row>
    <row r="111" spans="1:26">
      <c r="A111" s="18"/>
      <c r="B111" s="24">
        <v>6</v>
      </c>
      <c r="C111" s="271" t="s">
        <v>49</v>
      </c>
      <c r="D111" s="272"/>
      <c r="E111" s="253" t="s">
        <v>510</v>
      </c>
      <c r="F111" s="254"/>
      <c r="G111" s="255"/>
      <c r="H111" s="253" t="s">
        <v>510</v>
      </c>
      <c r="I111" s="254"/>
      <c r="J111" s="255"/>
      <c r="K111" s="253" t="s">
        <v>523</v>
      </c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>0:3</v>
      </c>
      <c r="U111" s="262">
        <f t="shared" si="16"/>
        <v>0</v>
      </c>
      <c r="V111" s="264"/>
      <c r="W111" s="262">
        <f t="shared" si="17"/>
        <v>1</v>
      </c>
      <c r="X111" s="264"/>
      <c r="Y111">
        <f t="shared" si="18"/>
        <v>0</v>
      </c>
      <c r="Z111" s="18">
        <f t="shared" si="19"/>
        <v>3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2</v>
      </c>
      <c r="V113" s="274"/>
      <c r="W113" s="273">
        <f>IF(ISBLANK(E106)=TRUE,"",SUM(W106:W112))</f>
        <v>4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38" priority="4" stopIfTrue="1">
      <formula>ISNA(C8)</formula>
    </cfRule>
  </conditionalFormatting>
  <conditionalFormatting sqref="C38:K42 N38:N42">
    <cfRule type="expression" dxfId="137" priority="3" stopIfTrue="1">
      <formula>ISNA(C38)</formula>
    </cfRule>
  </conditionalFormatting>
  <conditionalFormatting sqref="C68:K72 N68:W72">
    <cfRule type="expression" dxfId="136" priority="2" stopIfTrue="1">
      <formula>ISNA(C68)</formula>
    </cfRule>
  </conditionalFormatting>
  <conditionalFormatting sqref="C98:K102 N98:W102">
    <cfRule type="expression" dxfId="135" priority="1" stopIfTrue="1">
      <formula>ISNA(C98)</formula>
    </cfRule>
  </conditionalFormatting>
  <dataValidations count="9">
    <dataValidation type="list" allowBlank="1" showInputMessage="1" showErrorMessage="1" sqref="C8:K12" xr:uid="{A1635E15-0F59-49B0-B53D-8D796825BC55}">
      <formula1>INDIRECT($K$13)</formula1>
    </dataValidation>
    <dataValidation type="list" allowBlank="1" showInputMessage="1" showErrorMessage="1" sqref="N8:N12" xr:uid="{04C0E47F-33ED-45AD-97EC-25FC8BF73A50}">
      <formula1>INDIRECT($W$13)</formula1>
    </dataValidation>
    <dataValidation type="list" allowBlank="1" showInputMessage="1" showErrorMessage="1" sqref="G37:L37 R37:X37 R7:X7 R97:X97 G67:L67 R67:X67 G97:L97 G7:L7" xr:uid="{A6C86B2B-38C9-49D7-A570-582AEA8499D9}">
      <formula1>Mansad</formula1>
    </dataValidation>
    <dataValidation type="list" allowBlank="1" showInputMessage="1" showErrorMessage="1" sqref="C98:K102" xr:uid="{10AA5D49-89F8-4BEB-AEA4-38E55611412F}">
      <formula1>INDIRECT($K$103)</formula1>
    </dataValidation>
    <dataValidation type="list" allowBlank="1" showInputMessage="1" showErrorMessage="1" sqref="C68:K72" xr:uid="{69293E8B-690A-4520-B666-E84970334875}">
      <formula1>INDIRECT($K$73)</formula1>
    </dataValidation>
    <dataValidation type="list" allowBlank="1" showInputMessage="1" showErrorMessage="1" sqref="C38:K42" xr:uid="{59ED2B73-132E-4D93-A949-453D9AF56BC2}">
      <formula1>INDIRECT($K$43)</formula1>
    </dataValidation>
    <dataValidation type="list" allowBlank="1" showInputMessage="1" showErrorMessage="1" sqref="N98:W102" xr:uid="{05FA2C97-7742-40F3-BD5E-D833AAFD853C}">
      <formula1>INDIRECT($W$103)</formula1>
    </dataValidation>
    <dataValidation type="list" allowBlank="1" showInputMessage="1" showErrorMessage="1" sqref="N68:W72" xr:uid="{F6B53D24-0261-44EA-96A5-4805F912A71F}">
      <formula1>INDIRECT($W$73)</formula1>
    </dataValidation>
    <dataValidation type="list" allowBlank="1" showInputMessage="1" showErrorMessage="1" sqref="N38:N42" xr:uid="{9C2C3F9F-9BE8-43A3-B5E1-0B7BD3FCF7AB}">
      <formula1>INDIRECT($W$43)</formula1>
    </dataValidation>
  </dataValidations>
  <pageMargins left="0.70866141732283472" right="0.70866141732283472" top="0.74803149606299213" bottom="0.74803149606299213" header="0.31496062992125984" footer="0.31496062992125984"/>
  <pageSetup paperSize="9" scale="74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1BD37-4FF7-48F8-AB9C-987C3CD4C2F3}">
  <sheetPr>
    <pageSetUpPr fitToPage="1"/>
  </sheetPr>
  <dimension ref="A1:Z119"/>
  <sheetViews>
    <sheetView topLeftCell="A33" workbookViewId="0">
      <selection activeCell="C110" sqref="C110:D110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8" width="4.7109375" customWidth="1"/>
    <col min="19" max="19" width="6.855468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45309</v>
      </c>
      <c r="F5" s="278"/>
      <c r="G5" s="278"/>
      <c r="H5" s="278"/>
      <c r="I5" s="278"/>
      <c r="J5" s="19" t="s">
        <v>30</v>
      </c>
      <c r="K5" s="19"/>
      <c r="L5" s="281">
        <v>0.54166666666666663</v>
      </c>
      <c r="M5" s="281"/>
      <c r="N5" s="19" t="s">
        <v>31</v>
      </c>
      <c r="O5" s="19"/>
      <c r="P5" s="19" t="s">
        <v>440</v>
      </c>
      <c r="Q5" s="19"/>
      <c r="R5" s="19"/>
      <c r="S5" s="19" t="s">
        <v>32</v>
      </c>
      <c r="T5" s="19">
        <v>4</v>
      </c>
      <c r="U5" s="19"/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231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230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337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323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338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558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336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322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340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/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 t="s">
        <v>557</v>
      </c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Meeskond2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Meeskond1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521</v>
      </c>
      <c r="F16" s="254"/>
      <c r="G16" s="255"/>
      <c r="H16" s="253" t="s">
        <v>515</v>
      </c>
      <c r="I16" s="254"/>
      <c r="J16" s="255"/>
      <c r="K16" s="253" t="s">
        <v>501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3:0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0</v>
      </c>
    </row>
    <row r="17" spans="1:26">
      <c r="A17" s="18"/>
      <c r="B17" s="22">
        <v>2</v>
      </c>
      <c r="C17" s="276" t="s">
        <v>46</v>
      </c>
      <c r="D17" s="272"/>
      <c r="E17" s="253" t="s">
        <v>503</v>
      </c>
      <c r="F17" s="254"/>
      <c r="G17" s="255"/>
      <c r="H17" s="253" t="s">
        <v>519</v>
      </c>
      <c r="I17" s="254"/>
      <c r="J17" s="255"/>
      <c r="K17" s="253" t="s">
        <v>501</v>
      </c>
      <c r="L17" s="254"/>
      <c r="M17" s="255"/>
      <c r="N17" s="253" t="s">
        <v>501</v>
      </c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3:1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1</v>
      </c>
    </row>
    <row r="18" spans="1:26">
      <c r="A18" s="18"/>
      <c r="B18" s="22">
        <v>3</v>
      </c>
      <c r="C18" s="276" t="s">
        <v>47</v>
      </c>
      <c r="D18" s="272"/>
      <c r="E18" s="253"/>
      <c r="F18" s="254"/>
      <c r="G18" s="255"/>
      <c r="H18" s="253"/>
      <c r="I18" s="254"/>
      <c r="J18" s="255"/>
      <c r="K18" s="253"/>
      <c r="L18" s="254"/>
      <c r="M18" s="255"/>
      <c r="N18" s="253"/>
      <c r="O18" s="254"/>
      <c r="P18" s="255"/>
      <c r="Q18" s="253"/>
      <c r="R18" s="254"/>
      <c r="S18" s="255"/>
      <c r="T18" s="123" t="s">
        <v>563</v>
      </c>
      <c r="U18" s="262">
        <v>1</v>
      </c>
      <c r="V18" s="264"/>
      <c r="W18" s="262">
        <v>0</v>
      </c>
      <c r="X18" s="264"/>
      <c r="Y18">
        <f t="shared" si="3"/>
        <v>0</v>
      </c>
      <c r="Z18" s="18">
        <f t="shared" si="4"/>
        <v>0</v>
      </c>
    </row>
    <row r="19" spans="1:26">
      <c r="A19" s="18"/>
      <c r="B19" s="22">
        <v>4</v>
      </c>
      <c r="C19" s="276" t="s">
        <v>529</v>
      </c>
      <c r="D19" s="272"/>
      <c r="E19" s="253" t="s">
        <v>502</v>
      </c>
      <c r="F19" s="254"/>
      <c r="G19" s="255"/>
      <c r="H19" s="253" t="s">
        <v>502</v>
      </c>
      <c r="I19" s="254"/>
      <c r="J19" s="255"/>
      <c r="K19" s="253" t="s">
        <v>521</v>
      </c>
      <c r="L19" s="254"/>
      <c r="M19" s="255"/>
      <c r="N19" s="253"/>
      <c r="O19" s="254"/>
      <c r="P19" s="255"/>
      <c r="Q19" s="253"/>
      <c r="R19" s="254"/>
      <c r="S19" s="255"/>
      <c r="T19" s="123" t="str">
        <f t="shared" si="0"/>
        <v>3:0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0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0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45309</v>
      </c>
      <c r="F35" s="278"/>
      <c r="G35" s="278"/>
      <c r="H35" s="278"/>
      <c r="I35" s="278"/>
      <c r="J35" s="19" t="s">
        <v>30</v>
      </c>
      <c r="K35" s="19"/>
      <c r="L35" s="281">
        <f>L5</f>
        <v>0.54166666666666663</v>
      </c>
      <c r="M35" s="281"/>
      <c r="N35" s="19" t="s">
        <v>31</v>
      </c>
      <c r="O35" s="19"/>
      <c r="P35" s="19" t="str">
        <f>P5</f>
        <v>II</v>
      </c>
      <c r="Q35" s="19"/>
      <c r="R35" s="19"/>
      <c r="S35" s="19" t="s">
        <v>32</v>
      </c>
      <c r="T35" s="19">
        <v>2</v>
      </c>
      <c r="U35" s="19"/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237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233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421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373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425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370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422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374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423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371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Meeskond4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509</v>
      </c>
      <c r="F46" s="254"/>
      <c r="G46" s="255"/>
      <c r="H46" s="253" t="s">
        <v>507</v>
      </c>
      <c r="I46" s="254"/>
      <c r="J46" s="255"/>
      <c r="K46" s="253" t="s">
        <v>502</v>
      </c>
      <c r="L46" s="254"/>
      <c r="M46" s="255"/>
      <c r="N46" s="253" t="s">
        <v>521</v>
      </c>
      <c r="O46" s="254"/>
      <c r="P46" s="255"/>
      <c r="Q46" s="253" t="s">
        <v>501</v>
      </c>
      <c r="R46" s="254"/>
      <c r="S46" s="255"/>
      <c r="T46" s="123" t="str">
        <f>IF(ISBLANK(E46)=TRUE,"",VALUE(Y46)&amp;":"&amp;VALUE(Z46))</f>
        <v>3:2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2</v>
      </c>
    </row>
    <row r="47" spans="1:26">
      <c r="A47" s="18"/>
      <c r="B47" s="22">
        <v>2</v>
      </c>
      <c r="C47" s="276" t="s">
        <v>46</v>
      </c>
      <c r="D47" s="272"/>
      <c r="E47" s="253" t="s">
        <v>511</v>
      </c>
      <c r="F47" s="254"/>
      <c r="G47" s="255"/>
      <c r="H47" s="253" t="s">
        <v>503</v>
      </c>
      <c r="I47" s="254"/>
      <c r="J47" s="255"/>
      <c r="K47" s="253" t="s">
        <v>513</v>
      </c>
      <c r="L47" s="254"/>
      <c r="M47" s="255"/>
      <c r="N47" s="253" t="s">
        <v>515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3:1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1</v>
      </c>
    </row>
    <row r="48" spans="1:26">
      <c r="A48" s="18"/>
      <c r="B48" s="22">
        <v>3</v>
      </c>
      <c r="C48" s="276" t="s">
        <v>47</v>
      </c>
      <c r="D48" s="272"/>
      <c r="E48" s="253" t="s">
        <v>513</v>
      </c>
      <c r="F48" s="254"/>
      <c r="G48" s="255"/>
      <c r="H48" s="253" t="s">
        <v>507</v>
      </c>
      <c r="I48" s="254"/>
      <c r="J48" s="255"/>
      <c r="K48" s="253" t="s">
        <v>507</v>
      </c>
      <c r="L48" s="254"/>
      <c r="M48" s="255"/>
      <c r="N48" s="253" t="s">
        <v>508</v>
      </c>
      <c r="O48" s="254"/>
      <c r="P48" s="255"/>
      <c r="Q48" s="253"/>
      <c r="R48" s="254"/>
      <c r="S48" s="255"/>
      <c r="T48" s="123" t="str">
        <f t="shared" si="5"/>
        <v>1:3</v>
      </c>
      <c r="U48" s="262">
        <f t="shared" si="6"/>
        <v>0</v>
      </c>
      <c r="V48" s="264"/>
      <c r="W48" s="262">
        <f t="shared" si="7"/>
        <v>1</v>
      </c>
      <c r="X48" s="264"/>
      <c r="Y48">
        <f t="shared" si="8"/>
        <v>1</v>
      </c>
      <c r="Z48" s="18">
        <f t="shared" si="9"/>
        <v>3</v>
      </c>
    </row>
    <row r="49" spans="1:26">
      <c r="A49" s="18"/>
      <c r="B49" s="22">
        <v>4</v>
      </c>
      <c r="C49" s="276" t="s">
        <v>536</v>
      </c>
      <c r="D49" s="272"/>
      <c r="E49" s="253" t="s">
        <v>523</v>
      </c>
      <c r="F49" s="254"/>
      <c r="G49" s="255"/>
      <c r="H49" s="253" t="s">
        <v>531</v>
      </c>
      <c r="I49" s="254"/>
      <c r="J49" s="255"/>
      <c r="K49" s="253" t="s">
        <v>538</v>
      </c>
      <c r="L49" s="254"/>
      <c r="M49" s="255"/>
      <c r="N49" s="253" t="s">
        <v>502</v>
      </c>
      <c r="O49" s="254"/>
      <c r="P49" s="255"/>
      <c r="Q49" s="253" t="s">
        <v>525</v>
      </c>
      <c r="R49" s="254"/>
      <c r="S49" s="255"/>
      <c r="T49" s="123" t="str">
        <f t="shared" si="5"/>
        <v>3:2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2</v>
      </c>
    </row>
    <row r="50" spans="1:26">
      <c r="A50" s="18"/>
      <c r="B50" s="24">
        <v>5</v>
      </c>
      <c r="C50" s="271" t="s">
        <v>48</v>
      </c>
      <c r="D50" s="272"/>
      <c r="E50" s="253" t="s">
        <v>521</v>
      </c>
      <c r="F50" s="254"/>
      <c r="G50" s="255"/>
      <c r="H50" s="253" t="s">
        <v>502</v>
      </c>
      <c r="I50" s="254"/>
      <c r="J50" s="255"/>
      <c r="K50" s="253" t="s">
        <v>515</v>
      </c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>3:0</v>
      </c>
      <c r="U50" s="262">
        <f t="shared" si="6"/>
        <v>1</v>
      </c>
      <c r="V50" s="264"/>
      <c r="W50" s="262">
        <f t="shared" si="7"/>
        <v>0</v>
      </c>
      <c r="X50" s="264"/>
      <c r="Y50">
        <f t="shared" si="8"/>
        <v>3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1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45309</v>
      </c>
      <c r="F65" s="278"/>
      <c r="G65" s="278"/>
      <c r="H65" s="278"/>
      <c r="I65" s="278"/>
      <c r="J65" s="19" t="s">
        <v>30</v>
      </c>
      <c r="K65" s="19"/>
      <c r="L65" s="281">
        <f>L5</f>
        <v>0.54166666666666663</v>
      </c>
      <c r="M65" s="281"/>
      <c r="N65" s="19" t="s">
        <v>31</v>
      </c>
      <c r="O65" s="19"/>
      <c r="P65" s="19" t="str">
        <f>P5</f>
        <v>II</v>
      </c>
      <c r="Q65" s="19"/>
      <c r="R65" s="19"/>
      <c r="S65" s="19" t="s">
        <v>32</v>
      </c>
      <c r="T65" s="19">
        <v>3</v>
      </c>
      <c r="U65" s="19"/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234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232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386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355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387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356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559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360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358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Meeskond5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Meeskond3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512</v>
      </c>
      <c r="F76" s="254"/>
      <c r="G76" s="255"/>
      <c r="H76" s="253" t="s">
        <v>532</v>
      </c>
      <c r="I76" s="254"/>
      <c r="J76" s="255"/>
      <c r="K76" s="253" t="s">
        <v>508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0:3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0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/>
      <c r="F77" s="254"/>
      <c r="G77" s="255"/>
      <c r="H77" s="253"/>
      <c r="I77" s="254"/>
      <c r="J77" s="255"/>
      <c r="K77" s="253"/>
      <c r="L77" s="254"/>
      <c r="M77" s="255"/>
      <c r="N77" s="253"/>
      <c r="O77" s="254"/>
      <c r="P77" s="255"/>
      <c r="Q77" s="253"/>
      <c r="R77" s="254"/>
      <c r="S77" s="255"/>
      <c r="T77" s="136" t="s">
        <v>562</v>
      </c>
      <c r="U77" s="262">
        <v>0</v>
      </c>
      <c r="V77" s="264"/>
      <c r="W77" s="262">
        <v>1</v>
      </c>
      <c r="X77" s="264"/>
      <c r="Y77">
        <f t="shared" ref="Y77:Y82" si="10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0</v>
      </c>
      <c r="Z77" s="18">
        <f t="shared" ref="Z77:Z82" si="11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0</v>
      </c>
    </row>
    <row r="78" spans="1:26">
      <c r="A78" s="18"/>
      <c r="B78" s="22">
        <v>3</v>
      </c>
      <c r="C78" s="276" t="s">
        <v>47</v>
      </c>
      <c r="D78" s="272"/>
      <c r="E78" s="253" t="s">
        <v>507</v>
      </c>
      <c r="F78" s="254"/>
      <c r="G78" s="255"/>
      <c r="H78" s="253" t="s">
        <v>512</v>
      </c>
      <c r="I78" s="254"/>
      <c r="J78" s="255"/>
      <c r="K78" s="253" t="s">
        <v>507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ref="T78:T82" si="12">IF(ISBLANK(E78)=TRUE,"",VALUE(Y78)&amp;":"&amp;VALUE(Z78))</f>
        <v>0:3</v>
      </c>
      <c r="U78" s="262">
        <f t="shared" ref="U78:U82" si="13">IF(TYPE(IF(VALUE(LEFT(T78,1))&gt;VALUE(RIGHT(T78,1)),1,0))=1,IF(VALUE(LEFT(T78,1))&gt;VALUE(RIGHT(T78,1)),1,0),"")</f>
        <v>0</v>
      </c>
      <c r="V78" s="264"/>
      <c r="W78" s="262">
        <f t="shared" ref="W78:W82" si="14">IF(TYPE(IF(VALUE(LEFT(T78,1))&lt;VALUE(RIGHT(T78,1)),1,0))=1,IF(VALUE(LEFT(T78,1))&lt;VALUE(RIGHT(T78,1)),1,0),"")</f>
        <v>1</v>
      </c>
      <c r="X78" s="264"/>
      <c r="Y78">
        <f t="shared" si="10"/>
        <v>0</v>
      </c>
      <c r="Z78" s="18">
        <f t="shared" si="11"/>
        <v>3</v>
      </c>
    </row>
    <row r="79" spans="1:26">
      <c r="A79" s="18"/>
      <c r="B79" s="22">
        <v>4</v>
      </c>
      <c r="C79" s="276" t="s">
        <v>527</v>
      </c>
      <c r="D79" s="272"/>
      <c r="E79" s="253" t="s">
        <v>522</v>
      </c>
      <c r="F79" s="254"/>
      <c r="G79" s="255"/>
      <c r="H79" s="253" t="s">
        <v>523</v>
      </c>
      <c r="I79" s="254"/>
      <c r="J79" s="255"/>
      <c r="K79" s="253" t="s">
        <v>523</v>
      </c>
      <c r="L79" s="254"/>
      <c r="M79" s="255"/>
      <c r="N79" s="253"/>
      <c r="O79" s="254"/>
      <c r="P79" s="255"/>
      <c r="Q79" s="253"/>
      <c r="R79" s="254"/>
      <c r="S79" s="255"/>
      <c r="T79" s="123" t="str">
        <f t="shared" si="12"/>
        <v>0:3</v>
      </c>
      <c r="U79" s="262">
        <f t="shared" si="13"/>
        <v>0</v>
      </c>
      <c r="V79" s="264"/>
      <c r="W79" s="262">
        <f t="shared" si="14"/>
        <v>1</v>
      </c>
      <c r="X79" s="264"/>
      <c r="Y79">
        <f t="shared" si="10"/>
        <v>0</v>
      </c>
      <c r="Z79" s="18">
        <f t="shared" si="11"/>
        <v>3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2"/>
        <v/>
      </c>
      <c r="U80" s="262" t="str">
        <f t="shared" si="13"/>
        <v/>
      </c>
      <c r="V80" s="264"/>
      <c r="W80" s="262" t="str">
        <f t="shared" si="14"/>
        <v/>
      </c>
      <c r="X80" s="264"/>
      <c r="Y80">
        <f t="shared" si="10"/>
        <v>0</v>
      </c>
      <c r="Z80" s="18">
        <f t="shared" si="11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2"/>
        <v/>
      </c>
      <c r="U81" s="262" t="str">
        <f t="shared" si="13"/>
        <v/>
      </c>
      <c r="V81" s="264"/>
      <c r="W81" s="262" t="str">
        <f t="shared" si="14"/>
        <v/>
      </c>
      <c r="X81" s="264"/>
      <c r="Y81">
        <f t="shared" si="10"/>
        <v>0</v>
      </c>
      <c r="Z81" s="18">
        <f t="shared" si="11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2"/>
        <v/>
      </c>
      <c r="U82" s="262" t="str">
        <f t="shared" si="13"/>
        <v/>
      </c>
      <c r="V82" s="264"/>
      <c r="W82" s="262" t="str">
        <f t="shared" si="14"/>
        <v/>
      </c>
      <c r="X82" s="264"/>
      <c r="Y82">
        <f t="shared" si="10"/>
        <v>0</v>
      </c>
      <c r="Z82" s="18">
        <f t="shared" si="11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0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45309</v>
      </c>
      <c r="F95" s="278"/>
      <c r="G95" s="278"/>
      <c r="H95" s="278"/>
      <c r="I95" s="278"/>
      <c r="J95" s="19" t="s">
        <v>30</v>
      </c>
      <c r="K95" s="19"/>
      <c r="L95" s="281">
        <f>L5</f>
        <v>0.54166666666666663</v>
      </c>
      <c r="M95" s="281"/>
      <c r="N95" s="19" t="s">
        <v>31</v>
      </c>
      <c r="O95" s="19"/>
      <c r="P95" s="19" t="str">
        <f>P5</f>
        <v>II</v>
      </c>
      <c r="Q95" s="19"/>
      <c r="R95" s="19"/>
      <c r="S95" s="19" t="s">
        <v>32</v>
      </c>
      <c r="T95" s="19">
        <v>1</v>
      </c>
      <c r="U95" s="19"/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238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235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437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403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436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405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560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64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/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Meeskond8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Meeskond6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523</v>
      </c>
      <c r="F106" s="254"/>
      <c r="G106" s="255"/>
      <c r="H106" s="253" t="s">
        <v>501</v>
      </c>
      <c r="I106" s="254"/>
      <c r="J106" s="255"/>
      <c r="K106" s="253" t="s">
        <v>531</v>
      </c>
      <c r="L106" s="254"/>
      <c r="M106" s="255"/>
      <c r="N106" s="253" t="s">
        <v>503</v>
      </c>
      <c r="O106" s="254"/>
      <c r="P106" s="255"/>
      <c r="Q106" s="253" t="s">
        <v>515</v>
      </c>
      <c r="R106" s="254"/>
      <c r="S106" s="255"/>
      <c r="T106" s="123" t="str">
        <f>IF(ISBLANK(E106)=TRUE,"",VALUE(Y106)&amp;":"&amp;VALUE(Z106))</f>
        <v>3:2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2</v>
      </c>
    </row>
    <row r="107" spans="1:26">
      <c r="A107" s="18"/>
      <c r="B107" s="22">
        <v>2</v>
      </c>
      <c r="C107" s="276" t="s">
        <v>46</v>
      </c>
      <c r="D107" s="272"/>
      <c r="E107" s="253" t="s">
        <v>522</v>
      </c>
      <c r="F107" s="254"/>
      <c r="G107" s="255"/>
      <c r="H107" s="253" t="s">
        <v>512</v>
      </c>
      <c r="I107" s="254"/>
      <c r="J107" s="255"/>
      <c r="K107" s="253" t="s">
        <v>513</v>
      </c>
      <c r="L107" s="254"/>
      <c r="M107" s="255"/>
      <c r="N107" s="253" t="s">
        <v>512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1:3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1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513</v>
      </c>
      <c r="F108" s="254"/>
      <c r="G108" s="255"/>
      <c r="H108" s="253" t="s">
        <v>513</v>
      </c>
      <c r="I108" s="254"/>
      <c r="J108" s="255"/>
      <c r="K108" s="253" t="s">
        <v>515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3:0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0</v>
      </c>
    </row>
    <row r="109" spans="1:26">
      <c r="A109" s="18"/>
      <c r="B109" s="22">
        <v>4</v>
      </c>
      <c r="C109" s="276" t="s">
        <v>533</v>
      </c>
      <c r="D109" s="272"/>
      <c r="E109" s="253" t="s">
        <v>508</v>
      </c>
      <c r="F109" s="254"/>
      <c r="G109" s="255"/>
      <c r="H109" s="253" t="s">
        <v>519</v>
      </c>
      <c r="I109" s="254"/>
      <c r="J109" s="255"/>
      <c r="K109" s="253" t="s">
        <v>503</v>
      </c>
      <c r="L109" s="254"/>
      <c r="M109" s="255"/>
      <c r="N109" s="253" t="s">
        <v>502</v>
      </c>
      <c r="O109" s="254"/>
      <c r="P109" s="255"/>
      <c r="Q109" s="253" t="s">
        <v>508</v>
      </c>
      <c r="R109" s="254"/>
      <c r="S109" s="255"/>
      <c r="T109" s="123" t="str">
        <f t="shared" si="15"/>
        <v>2:3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2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 t="s">
        <v>503</v>
      </c>
      <c r="F110" s="254"/>
      <c r="G110" s="255"/>
      <c r="H110" s="253" t="s">
        <v>515</v>
      </c>
      <c r="I110" s="254"/>
      <c r="J110" s="255"/>
      <c r="K110" s="253" t="s">
        <v>523</v>
      </c>
      <c r="L110" s="254"/>
      <c r="M110" s="255"/>
      <c r="N110" s="253" t="s">
        <v>513</v>
      </c>
      <c r="O110" s="254"/>
      <c r="P110" s="255"/>
      <c r="Q110" s="253"/>
      <c r="R110" s="254"/>
      <c r="S110" s="255"/>
      <c r="T110" s="123" t="str">
        <f t="shared" si="15"/>
        <v>3:1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1</v>
      </c>
    </row>
    <row r="111" spans="1:26">
      <c r="A111" s="18"/>
      <c r="B111" s="24">
        <v>6</v>
      </c>
      <c r="C111" s="271" t="s">
        <v>49</v>
      </c>
      <c r="D111" s="272"/>
      <c r="E111" s="253" t="s">
        <v>515</v>
      </c>
      <c r="F111" s="254"/>
      <c r="G111" s="255"/>
      <c r="H111" s="253" t="s">
        <v>509</v>
      </c>
      <c r="I111" s="254"/>
      <c r="J111" s="255"/>
      <c r="K111" s="253" t="s">
        <v>503</v>
      </c>
      <c r="L111" s="254"/>
      <c r="M111" s="255"/>
      <c r="N111" s="253" t="s">
        <v>513</v>
      </c>
      <c r="O111" s="254"/>
      <c r="P111" s="255"/>
      <c r="Q111" s="253"/>
      <c r="R111" s="254"/>
      <c r="S111" s="255"/>
      <c r="T111" s="123" t="str">
        <f t="shared" si="15"/>
        <v>3:1</v>
      </c>
      <c r="U111" s="262">
        <f t="shared" si="16"/>
        <v>1</v>
      </c>
      <c r="V111" s="264"/>
      <c r="W111" s="262">
        <f t="shared" si="17"/>
        <v>0</v>
      </c>
      <c r="X111" s="264"/>
      <c r="Y111">
        <f t="shared" si="18"/>
        <v>3</v>
      </c>
      <c r="Z111" s="18">
        <f t="shared" si="19"/>
        <v>1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2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34" priority="4" stopIfTrue="1">
      <formula>ISNA(C8)</formula>
    </cfRule>
  </conditionalFormatting>
  <conditionalFormatting sqref="C38:K42 N38:N42">
    <cfRule type="expression" dxfId="133" priority="3" stopIfTrue="1">
      <formula>ISNA(C38)</formula>
    </cfRule>
  </conditionalFormatting>
  <conditionalFormatting sqref="C68:K72 N68:W72">
    <cfRule type="expression" dxfId="132" priority="2" stopIfTrue="1">
      <formula>ISNA(C68)</formula>
    </cfRule>
  </conditionalFormatting>
  <conditionalFormatting sqref="C98:K102 N98:W102">
    <cfRule type="expression" dxfId="131" priority="1" stopIfTrue="1">
      <formula>ISNA(C98)</formula>
    </cfRule>
  </conditionalFormatting>
  <dataValidations count="9">
    <dataValidation type="list" allowBlank="1" showInputMessage="1" showErrorMessage="1" sqref="N38:N42" xr:uid="{EF4E028B-9F56-4557-8B62-64C8F19D2BFB}">
      <formula1>INDIRECT($W$43)</formula1>
    </dataValidation>
    <dataValidation type="list" allowBlank="1" showInputMessage="1" showErrorMessage="1" sqref="N68:W72" xr:uid="{3234FA87-BFB7-4CE8-AB05-8BCC797C9A4A}">
      <formula1>INDIRECT($W$73)</formula1>
    </dataValidation>
    <dataValidation type="list" allowBlank="1" showInputMessage="1" showErrorMessage="1" sqref="N98:W102" xr:uid="{A19B2737-6E03-4FAF-B8C9-A29C5296868C}">
      <formula1>INDIRECT($W$103)</formula1>
    </dataValidation>
    <dataValidation type="list" allowBlank="1" showInputMessage="1" showErrorMessage="1" sqref="C38:K42" xr:uid="{D44580A9-10E7-4B11-9A5C-8250B37B2C25}">
      <formula1>INDIRECT($K$43)</formula1>
    </dataValidation>
    <dataValidation type="list" allowBlank="1" showInputMessage="1" showErrorMessage="1" sqref="C68:K72" xr:uid="{607B279C-50DC-4CF1-B731-8B0B57E52C2F}">
      <formula1>INDIRECT($K$73)</formula1>
    </dataValidation>
    <dataValidation type="list" allowBlank="1" showInputMessage="1" showErrorMessage="1" sqref="C98:K102" xr:uid="{B91C2C1B-3078-41B4-A26D-C825F5972AA3}">
      <formula1>INDIRECT($K$103)</formula1>
    </dataValidation>
    <dataValidation type="list" allowBlank="1" showInputMessage="1" showErrorMessage="1" sqref="G37:L37 R37:X37 R7:X7 R97:X97 G67:L67 R67:X67 G97:L97 G7:L7" xr:uid="{76D88BD5-730E-4D9F-AAFF-5595E8BA0CD6}">
      <formula1>Mansad</formula1>
    </dataValidation>
    <dataValidation type="list" allowBlank="1" showInputMessage="1" showErrorMessage="1" sqref="N8:N12" xr:uid="{D8D6095C-FF77-48B9-8590-84C5DC7D8B4E}">
      <formula1>INDIRECT($W$13)</formula1>
    </dataValidation>
    <dataValidation type="list" allowBlank="1" showInputMessage="1" showErrorMessage="1" sqref="C8:K12" xr:uid="{9DB49B79-9646-4D75-97DE-3002A68B6B9E}">
      <formula1>INDIRECT($K$13)</formula1>
    </dataValidation>
  </dataValidations>
  <pageMargins left="0.7" right="0.7" top="0.75" bottom="0.75" header="0.3" footer="0.3"/>
  <pageSetup paperSize="9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E1828-EFB3-4328-97AF-E888C6CDFF32}">
  <sheetPr>
    <pageSetUpPr fitToPage="1"/>
  </sheetPr>
  <dimension ref="A1:Z119"/>
  <sheetViews>
    <sheetView workbookViewId="0">
      <selection activeCell="C110" sqref="C110:D110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8" width="4.7109375" customWidth="1"/>
    <col min="19" max="19" width="7.14062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45309</v>
      </c>
      <c r="F5" s="278"/>
      <c r="G5" s="278"/>
      <c r="H5" s="278"/>
      <c r="I5" s="278"/>
      <c r="J5" s="19" t="s">
        <v>30</v>
      </c>
      <c r="K5" s="19"/>
      <c r="L5" s="281">
        <v>0.66666666666666663</v>
      </c>
      <c r="M5" s="281"/>
      <c r="N5" s="19" t="s">
        <v>31</v>
      </c>
      <c r="O5" s="19"/>
      <c r="P5" s="19" t="s">
        <v>441</v>
      </c>
      <c r="Q5" s="19"/>
      <c r="R5" s="19"/>
      <c r="S5" s="19" t="s">
        <v>32</v>
      </c>
      <c r="T5" s="19">
        <v>1</v>
      </c>
      <c r="U5" s="19"/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237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231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422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557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421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336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425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337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423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338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 t="s">
        <v>340</v>
      </c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Meeskond7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Meeskond2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523</v>
      </c>
      <c r="F16" s="254"/>
      <c r="G16" s="255"/>
      <c r="H16" s="253" t="s">
        <v>515</v>
      </c>
      <c r="I16" s="254"/>
      <c r="J16" s="255"/>
      <c r="K16" s="253" t="s">
        <v>516</v>
      </c>
      <c r="L16" s="254"/>
      <c r="M16" s="255"/>
      <c r="N16" s="253" t="s">
        <v>524</v>
      </c>
      <c r="O16" s="254"/>
      <c r="P16" s="255"/>
      <c r="Q16" s="253" t="s">
        <v>531</v>
      </c>
      <c r="R16" s="254"/>
      <c r="S16" s="255"/>
      <c r="T16" s="123" t="str">
        <f>IF(ISBLANK(E16)=TRUE,"",VALUE(Y16)&amp;":"&amp;VALUE(Z16))</f>
        <v>2:3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2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501</v>
      </c>
      <c r="F17" s="254"/>
      <c r="G17" s="255"/>
      <c r="H17" s="253" t="s">
        <v>504</v>
      </c>
      <c r="I17" s="254"/>
      <c r="J17" s="255"/>
      <c r="K17" s="253" t="s">
        <v>521</v>
      </c>
      <c r="L17" s="254"/>
      <c r="M17" s="255"/>
      <c r="N17" s="253"/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3:0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0</v>
      </c>
    </row>
    <row r="18" spans="1:26">
      <c r="A18" s="18"/>
      <c r="B18" s="22">
        <v>3</v>
      </c>
      <c r="C18" s="276" t="s">
        <v>47</v>
      </c>
      <c r="D18" s="272"/>
      <c r="E18" s="253" t="s">
        <v>502</v>
      </c>
      <c r="F18" s="254"/>
      <c r="G18" s="255"/>
      <c r="H18" s="253" t="s">
        <v>516</v>
      </c>
      <c r="I18" s="254"/>
      <c r="J18" s="255"/>
      <c r="K18" s="253" t="s">
        <v>528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514</v>
      </c>
      <c r="D19" s="272"/>
      <c r="E19" s="253" t="s">
        <v>504</v>
      </c>
      <c r="F19" s="254"/>
      <c r="G19" s="255"/>
      <c r="H19" s="253" t="s">
        <v>521</v>
      </c>
      <c r="I19" s="254"/>
      <c r="J19" s="255"/>
      <c r="K19" s="253" t="s">
        <v>507</v>
      </c>
      <c r="L19" s="254"/>
      <c r="M19" s="255"/>
      <c r="N19" s="253" t="s">
        <v>510</v>
      </c>
      <c r="O19" s="254"/>
      <c r="P19" s="255"/>
      <c r="Q19" s="253" t="s">
        <v>528</v>
      </c>
      <c r="R19" s="254"/>
      <c r="S19" s="255"/>
      <c r="T19" s="123" t="str">
        <f t="shared" si="0"/>
        <v>3:2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2</v>
      </c>
    </row>
    <row r="20" spans="1:26">
      <c r="A20" s="18"/>
      <c r="B20" s="24">
        <v>5</v>
      </c>
      <c r="C20" s="271" t="s">
        <v>48</v>
      </c>
      <c r="D20" s="272"/>
      <c r="E20" s="253" t="s">
        <v>502</v>
      </c>
      <c r="F20" s="254"/>
      <c r="G20" s="255"/>
      <c r="H20" s="253" t="s">
        <v>503</v>
      </c>
      <c r="I20" s="254"/>
      <c r="J20" s="255"/>
      <c r="K20" s="253" t="s">
        <v>504</v>
      </c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>3:0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1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45309</v>
      </c>
      <c r="F35" s="278"/>
      <c r="G35" s="278"/>
      <c r="H35" s="278"/>
      <c r="I35" s="278"/>
      <c r="J35" s="19" t="s">
        <v>30</v>
      </c>
      <c r="K35" s="19"/>
      <c r="L35" s="281">
        <f>L5</f>
        <v>0.66666666666666663</v>
      </c>
      <c r="M35" s="281"/>
      <c r="N35" s="19" t="s">
        <v>31</v>
      </c>
      <c r="O35" s="19"/>
      <c r="P35" s="19" t="str">
        <f>P5</f>
        <v>III</v>
      </c>
      <c r="Q35" s="19"/>
      <c r="R35" s="19"/>
      <c r="S35" s="19" t="s">
        <v>32</v>
      </c>
      <c r="T35" s="19">
        <v>2</v>
      </c>
      <c r="U35" s="19"/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234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230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388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323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559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322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386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558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/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Meeskond5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Meeskond1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508</v>
      </c>
      <c r="F46" s="254"/>
      <c r="G46" s="255"/>
      <c r="H46" s="253" t="s">
        <v>507</v>
      </c>
      <c r="I46" s="254"/>
      <c r="J46" s="255"/>
      <c r="K46" s="253" t="s">
        <v>507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0:3</v>
      </c>
      <c r="U46" s="262">
        <f>IF(TYPE(IF(VALUE(LEFT(T46,1))&gt;VALUE(RIGHT(T46,1)),1,0))=1,IF(VALUE(LEFT(T46,1))&gt;VALUE(RIGHT(T46,1)),1,0),"")</f>
        <v>0</v>
      </c>
      <c r="V46" s="264"/>
      <c r="W46" s="262">
        <f>IF(TYPE(IF(VALUE(LEFT(T46,1))&lt;VALUE(RIGHT(T46,1)),1,0))=1,IF(VALUE(LEFT(T46,1))&lt;VALUE(RIGHT(T46,1)),1,0),"")</f>
        <v>1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0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3</v>
      </c>
    </row>
    <row r="47" spans="1:26">
      <c r="A47" s="18"/>
      <c r="B47" s="22">
        <v>2</v>
      </c>
      <c r="C47" s="276" t="s">
        <v>46</v>
      </c>
      <c r="D47" s="272"/>
      <c r="E47" s="253" t="s">
        <v>522</v>
      </c>
      <c r="F47" s="254"/>
      <c r="G47" s="255"/>
      <c r="H47" s="253" t="s">
        <v>523</v>
      </c>
      <c r="I47" s="254"/>
      <c r="J47" s="255"/>
      <c r="K47" s="253" t="s">
        <v>513</v>
      </c>
      <c r="L47" s="254"/>
      <c r="M47" s="255"/>
      <c r="N47" s="253" t="s">
        <v>507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1:3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1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515</v>
      </c>
      <c r="F48" s="254"/>
      <c r="G48" s="255"/>
      <c r="H48" s="253" t="s">
        <v>513</v>
      </c>
      <c r="I48" s="254"/>
      <c r="J48" s="255"/>
      <c r="K48" s="253" t="s">
        <v>516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533</v>
      </c>
      <c r="D49" s="272"/>
      <c r="E49" s="253" t="s">
        <v>532</v>
      </c>
      <c r="F49" s="254"/>
      <c r="G49" s="255"/>
      <c r="H49" s="253" t="s">
        <v>515</v>
      </c>
      <c r="I49" s="254"/>
      <c r="J49" s="255"/>
      <c r="K49" s="253" t="s">
        <v>519</v>
      </c>
      <c r="L49" s="254"/>
      <c r="M49" s="255"/>
      <c r="N49" s="253" t="s">
        <v>513</v>
      </c>
      <c r="O49" s="254"/>
      <c r="P49" s="255"/>
      <c r="Q49" s="253" t="s">
        <v>510</v>
      </c>
      <c r="R49" s="254"/>
      <c r="S49" s="255"/>
      <c r="T49" s="123" t="str">
        <f t="shared" si="5"/>
        <v>2:3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2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 t="s">
        <v>508</v>
      </c>
      <c r="F50" s="254"/>
      <c r="G50" s="255"/>
      <c r="H50" s="253" t="s">
        <v>510</v>
      </c>
      <c r="I50" s="254"/>
      <c r="J50" s="255"/>
      <c r="K50" s="253" t="s">
        <v>523</v>
      </c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>0:3</v>
      </c>
      <c r="U50" s="262">
        <f t="shared" si="6"/>
        <v>0</v>
      </c>
      <c r="V50" s="264"/>
      <c r="W50" s="262">
        <f t="shared" si="7"/>
        <v>1</v>
      </c>
      <c r="X50" s="264"/>
      <c r="Y50">
        <f t="shared" si="8"/>
        <v>0</v>
      </c>
      <c r="Z50" s="18">
        <f t="shared" si="9"/>
        <v>3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1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45309</v>
      </c>
      <c r="F65" s="278"/>
      <c r="G65" s="278"/>
      <c r="H65" s="278"/>
      <c r="I65" s="278"/>
      <c r="J65" s="19" t="s">
        <v>30</v>
      </c>
      <c r="K65" s="19"/>
      <c r="L65" s="281">
        <f>L5</f>
        <v>0.66666666666666663</v>
      </c>
      <c r="M65" s="281"/>
      <c r="N65" s="19" t="s">
        <v>31</v>
      </c>
      <c r="O65" s="19"/>
      <c r="P65" s="19" t="str">
        <f>P5</f>
        <v>III</v>
      </c>
      <c r="Q65" s="19"/>
      <c r="R65" s="19"/>
      <c r="S65" s="19" t="s">
        <v>32</v>
      </c>
      <c r="T65" s="19">
        <v>3</v>
      </c>
      <c r="U65" s="19"/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235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233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403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374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405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370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64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373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Meeskond6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Meeskond4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519</v>
      </c>
      <c r="F76" s="254"/>
      <c r="G76" s="255"/>
      <c r="H76" s="253" t="s">
        <v>508</v>
      </c>
      <c r="I76" s="254"/>
      <c r="J76" s="255"/>
      <c r="K76" s="253" t="s">
        <v>515</v>
      </c>
      <c r="L76" s="254"/>
      <c r="M76" s="255"/>
      <c r="N76" s="253" t="s">
        <v>522</v>
      </c>
      <c r="O76" s="254"/>
      <c r="P76" s="255"/>
      <c r="Q76" s="253"/>
      <c r="R76" s="254"/>
      <c r="S76" s="255"/>
      <c r="T76" s="123" t="str">
        <f>IF(ISBLANK(E76)=TRUE,"",VALUE(Y76)&amp;":"&amp;VALUE(Z76))</f>
        <v>1:3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1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531</v>
      </c>
      <c r="F77" s="254"/>
      <c r="G77" s="255"/>
      <c r="H77" s="253" t="s">
        <v>513</v>
      </c>
      <c r="I77" s="254"/>
      <c r="J77" s="255"/>
      <c r="K77" s="253" t="s">
        <v>528</v>
      </c>
      <c r="L77" s="254"/>
      <c r="M77" s="255"/>
      <c r="N77" s="253" t="s">
        <v>512</v>
      </c>
      <c r="O77" s="254"/>
      <c r="P77" s="255"/>
      <c r="Q77" s="253" t="s">
        <v>531</v>
      </c>
      <c r="R77" s="254"/>
      <c r="S77" s="255"/>
      <c r="T77" s="123" t="str">
        <f t="shared" ref="T77:T82" si="10">IF(ISBLANK(E77)=TRUE,"",VALUE(Y77)&amp;":"&amp;VALUE(Z77))</f>
        <v>2:3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2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512</v>
      </c>
      <c r="F78" s="254"/>
      <c r="G78" s="255"/>
      <c r="H78" s="253" t="s">
        <v>523</v>
      </c>
      <c r="I78" s="254"/>
      <c r="J78" s="255"/>
      <c r="K78" s="253" t="s">
        <v>507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0:3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0</v>
      </c>
      <c r="Z78" s="18">
        <f t="shared" si="14"/>
        <v>3</v>
      </c>
    </row>
    <row r="79" spans="1:26">
      <c r="A79" s="18"/>
      <c r="B79" s="22">
        <v>4</v>
      </c>
      <c r="C79" s="276" t="s">
        <v>537</v>
      </c>
      <c r="D79" s="272"/>
      <c r="E79" s="253" t="s">
        <v>522</v>
      </c>
      <c r="F79" s="254"/>
      <c r="G79" s="255"/>
      <c r="H79" s="253" t="s">
        <v>513</v>
      </c>
      <c r="I79" s="254"/>
      <c r="J79" s="255"/>
      <c r="K79" s="253" t="s">
        <v>519</v>
      </c>
      <c r="L79" s="254"/>
      <c r="M79" s="255"/>
      <c r="N79" s="253" t="s">
        <v>523</v>
      </c>
      <c r="O79" s="254"/>
      <c r="P79" s="255"/>
      <c r="Q79" s="253"/>
      <c r="R79" s="254"/>
      <c r="S79" s="255"/>
      <c r="T79" s="123" t="str">
        <f t="shared" si="10"/>
        <v>1:3</v>
      </c>
      <c r="U79" s="262">
        <f t="shared" si="11"/>
        <v>0</v>
      </c>
      <c r="V79" s="264"/>
      <c r="W79" s="262">
        <f t="shared" si="12"/>
        <v>1</v>
      </c>
      <c r="X79" s="264"/>
      <c r="Y79">
        <f t="shared" si="13"/>
        <v>1</v>
      </c>
      <c r="Z79" s="18">
        <f t="shared" si="14"/>
        <v>3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0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45309</v>
      </c>
      <c r="F95" s="278"/>
      <c r="G95" s="278"/>
      <c r="H95" s="278"/>
      <c r="I95" s="278"/>
      <c r="J95" s="19" t="s">
        <v>30</v>
      </c>
      <c r="K95" s="19"/>
      <c r="L95" s="281">
        <f>L5</f>
        <v>0.66666666666666663</v>
      </c>
      <c r="M95" s="281"/>
      <c r="N95" s="19" t="s">
        <v>31</v>
      </c>
      <c r="O95" s="19"/>
      <c r="P95" s="19" t="str">
        <f>P5</f>
        <v>III</v>
      </c>
      <c r="Q95" s="19"/>
      <c r="R95" s="19"/>
      <c r="S95" s="19" t="s">
        <v>32</v>
      </c>
      <c r="T95" s="19">
        <v>4</v>
      </c>
      <c r="U95" s="19"/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238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232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437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360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560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355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436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356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/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358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Meeskond8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Meeskond3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508</v>
      </c>
      <c r="F106" s="254"/>
      <c r="G106" s="255"/>
      <c r="H106" s="253" t="s">
        <v>503</v>
      </c>
      <c r="I106" s="254"/>
      <c r="J106" s="255"/>
      <c r="K106" s="253" t="s">
        <v>509</v>
      </c>
      <c r="L106" s="254"/>
      <c r="M106" s="255"/>
      <c r="N106" s="253" t="s">
        <v>513</v>
      </c>
      <c r="O106" s="254"/>
      <c r="P106" s="255"/>
      <c r="Q106" s="253" t="s">
        <v>508</v>
      </c>
      <c r="R106" s="254"/>
      <c r="S106" s="255"/>
      <c r="T106" s="123" t="str">
        <f>IF(ISBLANK(E106)=TRUE,"",VALUE(Y106)&amp;":"&amp;VALUE(Z106))</f>
        <v>2:3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2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507</v>
      </c>
      <c r="F107" s="254"/>
      <c r="G107" s="255"/>
      <c r="H107" s="253" t="s">
        <v>510</v>
      </c>
      <c r="I107" s="254"/>
      <c r="J107" s="255"/>
      <c r="K107" s="253" t="s">
        <v>512</v>
      </c>
      <c r="L107" s="254"/>
      <c r="M107" s="255"/>
      <c r="N107" s="253"/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0:3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0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509</v>
      </c>
      <c r="F108" s="254"/>
      <c r="G108" s="255"/>
      <c r="H108" s="253" t="s">
        <v>503</v>
      </c>
      <c r="I108" s="254"/>
      <c r="J108" s="255"/>
      <c r="K108" s="253" t="s">
        <v>509</v>
      </c>
      <c r="L108" s="254"/>
      <c r="M108" s="255"/>
      <c r="N108" s="253" t="s">
        <v>519</v>
      </c>
      <c r="O108" s="254"/>
      <c r="P108" s="255"/>
      <c r="Q108" s="253"/>
      <c r="R108" s="254"/>
      <c r="S108" s="255"/>
      <c r="T108" s="123" t="str">
        <f t="shared" si="15"/>
        <v>1:3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1</v>
      </c>
      <c r="Z108" s="18">
        <f t="shared" si="19"/>
        <v>3</v>
      </c>
    </row>
    <row r="109" spans="1:26">
      <c r="A109" s="18"/>
      <c r="B109" s="22">
        <v>4</v>
      </c>
      <c r="C109" s="276" t="s">
        <v>527</v>
      </c>
      <c r="D109" s="272"/>
      <c r="E109" s="253" t="s">
        <v>523</v>
      </c>
      <c r="F109" s="254"/>
      <c r="G109" s="255"/>
      <c r="H109" s="253" t="s">
        <v>508</v>
      </c>
      <c r="I109" s="254"/>
      <c r="J109" s="255"/>
      <c r="K109" s="253" t="s">
        <v>508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0:3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0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0</v>
      </c>
      <c r="V113" s="274"/>
      <c r="W113" s="273">
        <f>IF(ISBLANK(E106)=TRUE,"",SUM(W106:W112))</f>
        <v>4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30" priority="4" stopIfTrue="1">
      <formula>ISNA(C8)</formula>
    </cfRule>
  </conditionalFormatting>
  <conditionalFormatting sqref="C38:K42 N38:N42">
    <cfRule type="expression" dxfId="129" priority="3" stopIfTrue="1">
      <formula>ISNA(C38)</formula>
    </cfRule>
  </conditionalFormatting>
  <conditionalFormatting sqref="C68:K72 N68:W72">
    <cfRule type="expression" dxfId="128" priority="2" stopIfTrue="1">
      <formula>ISNA(C68)</formula>
    </cfRule>
  </conditionalFormatting>
  <conditionalFormatting sqref="C98:K102 N98:W102">
    <cfRule type="expression" dxfId="127" priority="1" stopIfTrue="1">
      <formula>ISNA(C98)</formula>
    </cfRule>
  </conditionalFormatting>
  <dataValidations count="9">
    <dataValidation type="list" allowBlank="1" showInputMessage="1" showErrorMessage="1" sqref="C8:K12" xr:uid="{FBD3B9EB-BBAD-401D-8566-80406DC4695A}">
      <formula1>INDIRECT($K$13)</formula1>
    </dataValidation>
    <dataValidation type="list" allowBlank="1" showInputMessage="1" showErrorMessage="1" sqref="N8:N12" xr:uid="{C9FCF332-FF2E-4C3F-AAA1-56618DD86FA5}">
      <formula1>INDIRECT($W$13)</formula1>
    </dataValidation>
    <dataValidation type="list" allowBlank="1" showInputMessage="1" showErrorMessage="1" sqref="G37:L37 R37:X37 R7:X7 R97:X97 G67:L67 R67:X67 G97:L97 G7:L7" xr:uid="{05AE8461-4A52-4517-ABB2-AAD24F76F022}">
      <formula1>Mansad</formula1>
    </dataValidation>
    <dataValidation type="list" allowBlank="1" showInputMessage="1" showErrorMessage="1" sqref="C98:K102" xr:uid="{57BA80B8-EB18-4A04-9E1B-0C3D933B404C}">
      <formula1>INDIRECT($K$103)</formula1>
    </dataValidation>
    <dataValidation type="list" allowBlank="1" showInputMessage="1" showErrorMessage="1" sqref="C68:K72" xr:uid="{1ECFEA22-3BB0-41D6-BF85-3052A0459968}">
      <formula1>INDIRECT($K$73)</formula1>
    </dataValidation>
    <dataValidation type="list" allowBlank="1" showInputMessage="1" showErrorMessage="1" sqref="C38:K42" xr:uid="{C29EE2E1-A416-42BD-AB5D-D707D7746641}">
      <formula1>INDIRECT($K$43)</formula1>
    </dataValidation>
    <dataValidation type="list" allowBlank="1" showInputMessage="1" showErrorMessage="1" sqref="N98:W102" xr:uid="{4723881F-6027-4954-88C7-7197D889EBA5}">
      <formula1>INDIRECT($W$103)</formula1>
    </dataValidation>
    <dataValidation type="list" allowBlank="1" showInputMessage="1" showErrorMessage="1" sqref="N68:W72" xr:uid="{20A849BE-A033-4E07-9860-B79D8FBE3664}">
      <formula1>INDIRECT($W$73)</formula1>
    </dataValidation>
    <dataValidation type="list" allowBlank="1" showInputMessage="1" showErrorMessage="1" sqref="N38:N42" xr:uid="{DE73EDD7-C99D-46DF-B623-31D9DF9152E1}">
      <formula1>INDIRECT($W$43)</formula1>
    </dataValidation>
  </dataValidations>
  <pageMargins left="0.7" right="0.7" top="0.75" bottom="0.75" header="0.3" footer="0.3"/>
  <pageSetup paperSize="9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4256B-166B-4517-9005-072F02770C85}">
  <sheetPr>
    <pageSetUpPr fitToPage="1"/>
  </sheetPr>
  <dimension ref="A1:Z119"/>
  <sheetViews>
    <sheetView topLeftCell="B3" workbookViewId="0">
      <selection sqref="A1:XFD1048576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45380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67</v>
      </c>
      <c r="Q5" s="19"/>
      <c r="R5" s="19"/>
      <c r="S5" s="19" t="s">
        <v>32</v>
      </c>
      <c r="T5" s="19"/>
      <c r="U5" s="19">
        <v>2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233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231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374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337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373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340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370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336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339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 t="s">
        <v>338</v>
      </c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Meeskond4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Meeskond2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508</v>
      </c>
      <c r="F16" s="254"/>
      <c r="G16" s="255"/>
      <c r="H16" s="253" t="s">
        <v>522</v>
      </c>
      <c r="I16" s="254"/>
      <c r="J16" s="255"/>
      <c r="K16" s="253" t="s">
        <v>522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0:3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0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522</v>
      </c>
      <c r="F17" s="254"/>
      <c r="G17" s="255"/>
      <c r="H17" s="253" t="s">
        <v>521</v>
      </c>
      <c r="I17" s="254"/>
      <c r="J17" s="255"/>
      <c r="K17" s="253" t="s">
        <v>510</v>
      </c>
      <c r="L17" s="254"/>
      <c r="M17" s="255"/>
      <c r="N17" s="253" t="s">
        <v>509</v>
      </c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1:3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1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522</v>
      </c>
      <c r="F18" s="254"/>
      <c r="G18" s="255"/>
      <c r="H18" s="253" t="s">
        <v>521</v>
      </c>
      <c r="I18" s="254"/>
      <c r="J18" s="255"/>
      <c r="K18" s="253" t="s">
        <v>528</v>
      </c>
      <c r="L18" s="254"/>
      <c r="M18" s="255"/>
      <c r="N18" s="253" t="s">
        <v>522</v>
      </c>
      <c r="O18" s="254"/>
      <c r="P18" s="255"/>
      <c r="Q18" s="253" t="s">
        <v>516</v>
      </c>
      <c r="R18" s="254"/>
      <c r="S18" s="255"/>
      <c r="T18" s="123" t="str">
        <f t="shared" si="0"/>
        <v>3:2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2</v>
      </c>
    </row>
    <row r="19" spans="1:26">
      <c r="A19" s="18"/>
      <c r="B19" s="22">
        <v>4</v>
      </c>
      <c r="C19" s="276" t="s">
        <v>533</v>
      </c>
      <c r="D19" s="272"/>
      <c r="E19" s="253" t="s">
        <v>508</v>
      </c>
      <c r="F19" s="254"/>
      <c r="G19" s="255"/>
      <c r="H19" s="253" t="s">
        <v>516</v>
      </c>
      <c r="I19" s="254"/>
      <c r="J19" s="255"/>
      <c r="K19" s="253" t="s">
        <v>513</v>
      </c>
      <c r="L19" s="254"/>
      <c r="M19" s="255"/>
      <c r="N19" s="253" t="s">
        <v>523</v>
      </c>
      <c r="O19" s="254"/>
      <c r="P19" s="255"/>
      <c r="Q19" s="253" t="s">
        <v>519</v>
      </c>
      <c r="R19" s="254"/>
      <c r="S19" s="255"/>
      <c r="T19" s="123" t="str">
        <f t="shared" si="0"/>
        <v>2:3</v>
      </c>
      <c r="U19" s="262">
        <f t="shared" si="1"/>
        <v>0</v>
      </c>
      <c r="V19" s="264"/>
      <c r="W19" s="262">
        <f t="shared" si="2"/>
        <v>1</v>
      </c>
      <c r="X19" s="264"/>
      <c r="Y19">
        <f t="shared" si="3"/>
        <v>2</v>
      </c>
      <c r="Z19" s="18">
        <f t="shared" si="4"/>
        <v>3</v>
      </c>
    </row>
    <row r="20" spans="1:26">
      <c r="A20" s="18"/>
      <c r="B20" s="24">
        <v>5</v>
      </c>
      <c r="C20" s="271" t="s">
        <v>48</v>
      </c>
      <c r="D20" s="272"/>
      <c r="E20" s="253" t="s">
        <v>515</v>
      </c>
      <c r="F20" s="254"/>
      <c r="G20" s="255"/>
      <c r="H20" s="253" t="s">
        <v>515</v>
      </c>
      <c r="I20" s="254"/>
      <c r="J20" s="255"/>
      <c r="K20" s="253" t="s">
        <v>523</v>
      </c>
      <c r="L20" s="254"/>
      <c r="M20" s="255"/>
      <c r="N20" s="253" t="s">
        <v>502</v>
      </c>
      <c r="O20" s="254"/>
      <c r="P20" s="255"/>
      <c r="Q20" s="253"/>
      <c r="R20" s="254"/>
      <c r="S20" s="255"/>
      <c r="T20" s="123" t="str">
        <f t="shared" si="0"/>
        <v>3:1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1</v>
      </c>
    </row>
    <row r="21" spans="1:26">
      <c r="A21" s="18"/>
      <c r="B21" s="24">
        <v>6</v>
      </c>
      <c r="C21" s="271" t="s">
        <v>49</v>
      </c>
      <c r="D21" s="272"/>
      <c r="E21" s="253" t="s">
        <v>522</v>
      </c>
      <c r="F21" s="254"/>
      <c r="G21" s="255"/>
      <c r="H21" s="253" t="s">
        <v>508</v>
      </c>
      <c r="I21" s="254"/>
      <c r="J21" s="255"/>
      <c r="K21" s="253" t="s">
        <v>507</v>
      </c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>0:3</v>
      </c>
      <c r="U21" s="262">
        <f t="shared" si="1"/>
        <v>0</v>
      </c>
      <c r="V21" s="264"/>
      <c r="W21" s="262">
        <f t="shared" si="2"/>
        <v>1</v>
      </c>
      <c r="X21" s="264"/>
      <c r="Y21">
        <f t="shared" si="3"/>
        <v>0</v>
      </c>
      <c r="Z21" s="18">
        <f t="shared" si="4"/>
        <v>3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2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45380</v>
      </c>
      <c r="F35" s="278"/>
      <c r="G35" s="278"/>
      <c r="H35" s="278"/>
      <c r="I35" s="278"/>
      <c r="J35" s="19" t="s">
        <v>30</v>
      </c>
      <c r="K35" s="19"/>
      <c r="L35" s="281" t="str">
        <f>L5</f>
        <v>10.00</v>
      </c>
      <c r="M35" s="281"/>
      <c r="N35" s="19" t="s">
        <v>31</v>
      </c>
      <c r="O35" s="19"/>
      <c r="P35" s="19" t="str">
        <f>P5</f>
        <v>I</v>
      </c>
      <c r="Q35" s="19"/>
      <c r="R35" s="19"/>
      <c r="S35" s="19" t="s">
        <v>32</v>
      </c>
      <c r="T35" s="19"/>
      <c r="U35" s="19">
        <v>1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232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230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355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539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359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321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356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322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357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325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Meeskond3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Meeskond1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504</v>
      </c>
      <c r="F46" s="254"/>
      <c r="G46" s="255"/>
      <c r="H46" s="253" t="s">
        <v>528</v>
      </c>
      <c r="I46" s="254"/>
      <c r="J46" s="255"/>
      <c r="K46" s="253" t="s">
        <v>501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3:0</v>
      </c>
      <c r="U46" s="262">
        <f>IF(TYPE(IF(VALUE(LEFT(T46,1))&gt;VALUE(RIGHT(T46,1)),1,0))=1,IF(VALUE(LEFT(T46,1))&gt;VALUE(RIGHT(T46,1)),1,0),"")</f>
        <v>1</v>
      </c>
      <c r="V46" s="264"/>
      <c r="W46" s="262">
        <f>IF(TYPE(IF(VALUE(LEFT(T46,1))&lt;VALUE(RIGHT(T46,1)),1,0))=1,IF(VALUE(LEFT(T46,1))&lt;VALUE(RIGHT(T46,1)),1,0),"")</f>
        <v>0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3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0</v>
      </c>
    </row>
    <row r="47" spans="1:26">
      <c r="A47" s="18"/>
      <c r="B47" s="22">
        <v>2</v>
      </c>
      <c r="C47" s="276" t="s">
        <v>46</v>
      </c>
      <c r="D47" s="272"/>
      <c r="E47" s="253" t="s">
        <v>508</v>
      </c>
      <c r="F47" s="254"/>
      <c r="G47" s="255"/>
      <c r="H47" s="253" t="s">
        <v>502</v>
      </c>
      <c r="I47" s="254"/>
      <c r="J47" s="255"/>
      <c r="K47" s="253" t="s">
        <v>523</v>
      </c>
      <c r="L47" s="254"/>
      <c r="M47" s="255"/>
      <c r="N47" s="253" t="s">
        <v>522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1:3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1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510</v>
      </c>
      <c r="F48" s="254"/>
      <c r="G48" s="255"/>
      <c r="H48" s="253" t="s">
        <v>521</v>
      </c>
      <c r="I48" s="254"/>
      <c r="J48" s="255"/>
      <c r="K48" s="253" t="s">
        <v>501</v>
      </c>
      <c r="L48" s="254"/>
      <c r="M48" s="255"/>
      <c r="N48" s="253" t="s">
        <v>513</v>
      </c>
      <c r="O48" s="254"/>
      <c r="P48" s="255"/>
      <c r="Q48" s="253"/>
      <c r="R48" s="254"/>
      <c r="S48" s="255"/>
      <c r="T48" s="123" t="str">
        <f t="shared" si="5"/>
        <v>3:1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1</v>
      </c>
    </row>
    <row r="49" spans="1:26">
      <c r="A49" s="18"/>
      <c r="B49" s="22">
        <v>4</v>
      </c>
      <c r="C49" s="276" t="s">
        <v>533</v>
      </c>
      <c r="D49" s="272"/>
      <c r="E49" s="253" t="s">
        <v>513</v>
      </c>
      <c r="F49" s="254"/>
      <c r="G49" s="255"/>
      <c r="H49" s="253" t="s">
        <v>507</v>
      </c>
      <c r="I49" s="254"/>
      <c r="J49" s="255"/>
      <c r="K49" s="253" t="s">
        <v>513</v>
      </c>
      <c r="L49" s="254"/>
      <c r="M49" s="255"/>
      <c r="N49" s="253" t="s">
        <v>521</v>
      </c>
      <c r="O49" s="254"/>
      <c r="P49" s="255"/>
      <c r="Q49" s="253"/>
      <c r="R49" s="254"/>
      <c r="S49" s="255"/>
      <c r="T49" s="123" t="str">
        <f t="shared" si="5"/>
        <v>3:1</v>
      </c>
      <c r="U49" s="262">
        <f t="shared" si="6"/>
        <v>1</v>
      </c>
      <c r="V49" s="264"/>
      <c r="W49" s="262">
        <f t="shared" si="7"/>
        <v>0</v>
      </c>
      <c r="X49" s="264"/>
      <c r="Y49">
        <f t="shared" si="8"/>
        <v>3</v>
      </c>
      <c r="Z49" s="18">
        <f t="shared" si="9"/>
        <v>1</v>
      </c>
    </row>
    <row r="50" spans="1:26">
      <c r="A50" s="18"/>
      <c r="B50" s="24">
        <v>5</v>
      </c>
      <c r="C50" s="271" t="s">
        <v>48</v>
      </c>
      <c r="D50" s="272"/>
      <c r="E50" s="253" t="s">
        <v>513</v>
      </c>
      <c r="F50" s="254"/>
      <c r="G50" s="255"/>
      <c r="H50" s="253" t="s">
        <v>528</v>
      </c>
      <c r="I50" s="254"/>
      <c r="J50" s="255"/>
      <c r="K50" s="253" t="s">
        <v>528</v>
      </c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>3:0</v>
      </c>
      <c r="U50" s="262">
        <f t="shared" si="6"/>
        <v>1</v>
      </c>
      <c r="V50" s="264"/>
      <c r="W50" s="262">
        <f t="shared" si="7"/>
        <v>0</v>
      </c>
      <c r="X50" s="264"/>
      <c r="Y50">
        <f t="shared" si="8"/>
        <v>3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4</v>
      </c>
      <c r="V53" s="274"/>
      <c r="W53" s="273">
        <f>IF(ISBLANK(E46)=TRUE,"",SUM(W46:W52))</f>
        <v>1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45380</v>
      </c>
      <c r="F65" s="278"/>
      <c r="G65" s="278"/>
      <c r="H65" s="278"/>
      <c r="I65" s="278"/>
      <c r="J65" s="19" t="s">
        <v>30</v>
      </c>
      <c r="K65" s="19"/>
      <c r="L65" s="281" t="str">
        <f>L5</f>
        <v>10.00</v>
      </c>
      <c r="M65" s="281"/>
      <c r="N65" s="19" t="s">
        <v>31</v>
      </c>
      <c r="O65" s="19"/>
      <c r="P65" s="19" t="str">
        <f>P5</f>
        <v>I</v>
      </c>
      <c r="Q65" s="19"/>
      <c r="R65" s="19"/>
      <c r="S65" s="19" t="s">
        <v>32</v>
      </c>
      <c r="T65" s="19"/>
      <c r="U65" s="19">
        <v>3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238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237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437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421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438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422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436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423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425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 t="s">
        <v>424</v>
      </c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Meeskond8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Meeskond7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522</v>
      </c>
      <c r="F76" s="254"/>
      <c r="G76" s="255"/>
      <c r="H76" s="253" t="s">
        <v>522</v>
      </c>
      <c r="I76" s="254"/>
      <c r="J76" s="255"/>
      <c r="K76" s="253" t="s">
        <v>509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0:3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0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523</v>
      </c>
      <c r="F77" s="254"/>
      <c r="G77" s="255"/>
      <c r="H77" s="253" t="s">
        <v>501</v>
      </c>
      <c r="I77" s="254"/>
      <c r="J77" s="255"/>
      <c r="K77" s="253" t="s">
        <v>508</v>
      </c>
      <c r="L77" s="254"/>
      <c r="M77" s="255"/>
      <c r="N77" s="253" t="s">
        <v>522</v>
      </c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1:3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1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510</v>
      </c>
      <c r="F78" s="254"/>
      <c r="G78" s="255"/>
      <c r="H78" s="253" t="s">
        <v>508</v>
      </c>
      <c r="I78" s="254"/>
      <c r="J78" s="255"/>
      <c r="K78" s="253" t="s">
        <v>510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0:3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0</v>
      </c>
      <c r="Z78" s="18">
        <f t="shared" si="14"/>
        <v>3</v>
      </c>
    </row>
    <row r="79" spans="1:26">
      <c r="A79" s="18"/>
      <c r="B79" s="22">
        <v>4</v>
      </c>
      <c r="C79" s="276" t="s">
        <v>574</v>
      </c>
      <c r="D79" s="272"/>
      <c r="E79" s="253" t="s">
        <v>502</v>
      </c>
      <c r="F79" s="254"/>
      <c r="G79" s="255"/>
      <c r="H79" s="253" t="s">
        <v>507</v>
      </c>
      <c r="I79" s="254"/>
      <c r="J79" s="255"/>
      <c r="K79" s="253" t="s">
        <v>515</v>
      </c>
      <c r="L79" s="254"/>
      <c r="M79" s="255"/>
      <c r="N79" s="253" t="s">
        <v>515</v>
      </c>
      <c r="O79" s="254"/>
      <c r="P79" s="255"/>
      <c r="Q79" s="253"/>
      <c r="R79" s="254"/>
      <c r="S79" s="255"/>
      <c r="T79" s="123" t="str">
        <f t="shared" si="10"/>
        <v>3:1</v>
      </c>
      <c r="U79" s="262">
        <f t="shared" si="11"/>
        <v>1</v>
      </c>
      <c r="V79" s="264"/>
      <c r="W79" s="262">
        <f t="shared" si="12"/>
        <v>0</v>
      </c>
      <c r="X79" s="264"/>
      <c r="Y79">
        <f t="shared" si="13"/>
        <v>3</v>
      </c>
      <c r="Z79" s="18">
        <f t="shared" si="14"/>
        <v>1</v>
      </c>
    </row>
    <row r="80" spans="1:26">
      <c r="A80" s="18"/>
      <c r="B80" s="24">
        <v>5</v>
      </c>
      <c r="C80" s="271" t="s">
        <v>48</v>
      </c>
      <c r="D80" s="272"/>
      <c r="E80" s="253" t="s">
        <v>508</v>
      </c>
      <c r="F80" s="254"/>
      <c r="G80" s="255"/>
      <c r="H80" s="253" t="s">
        <v>508</v>
      </c>
      <c r="I80" s="254"/>
      <c r="J80" s="255"/>
      <c r="K80" s="253" t="s">
        <v>522</v>
      </c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>0:3</v>
      </c>
      <c r="U80" s="262">
        <f t="shared" si="11"/>
        <v>0</v>
      </c>
      <c r="V80" s="264"/>
      <c r="W80" s="262">
        <f t="shared" si="12"/>
        <v>1</v>
      </c>
      <c r="X80" s="264"/>
      <c r="Y80">
        <f t="shared" si="13"/>
        <v>0</v>
      </c>
      <c r="Z80" s="18">
        <f t="shared" si="14"/>
        <v>3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1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45380</v>
      </c>
      <c r="F95" s="278"/>
      <c r="G95" s="278"/>
      <c r="H95" s="278"/>
      <c r="I95" s="278"/>
      <c r="J95" s="19" t="s">
        <v>30</v>
      </c>
      <c r="K95" s="19"/>
      <c r="L95" s="281" t="str">
        <f>L5</f>
        <v>10.00</v>
      </c>
      <c r="M95" s="281"/>
      <c r="N95" s="19" t="s">
        <v>31</v>
      </c>
      <c r="O95" s="19"/>
      <c r="P95" s="19" t="str">
        <f>P5</f>
        <v>I</v>
      </c>
      <c r="Q95" s="19"/>
      <c r="R95" s="19"/>
      <c r="S95" s="19" t="s">
        <v>32</v>
      </c>
      <c r="T95" s="19"/>
      <c r="U95" s="19">
        <v>4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235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234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408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388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405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385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403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386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64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Meeskond6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Meeskond5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534</v>
      </c>
      <c r="F106" s="254"/>
      <c r="G106" s="255"/>
      <c r="H106" s="253" t="s">
        <v>507</v>
      </c>
      <c r="I106" s="254"/>
      <c r="J106" s="255"/>
      <c r="K106" s="253" t="s">
        <v>513</v>
      </c>
      <c r="L106" s="254"/>
      <c r="M106" s="255"/>
      <c r="N106" s="253" t="s">
        <v>508</v>
      </c>
      <c r="O106" s="254"/>
      <c r="P106" s="255"/>
      <c r="Q106" s="253"/>
      <c r="R106" s="254"/>
      <c r="S106" s="255"/>
      <c r="T106" s="123" t="str">
        <f>IF(ISBLANK(E106)=TRUE,"",VALUE(Y106)&amp;":"&amp;VALUE(Z106))</f>
        <v>1:3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1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522</v>
      </c>
      <c r="F107" s="254"/>
      <c r="G107" s="255"/>
      <c r="H107" s="253" t="s">
        <v>515</v>
      </c>
      <c r="I107" s="254"/>
      <c r="J107" s="255"/>
      <c r="K107" s="253" t="s">
        <v>503</v>
      </c>
      <c r="L107" s="254"/>
      <c r="M107" s="255"/>
      <c r="N107" s="253" t="s">
        <v>522</v>
      </c>
      <c r="O107" s="254"/>
      <c r="P107" s="255"/>
      <c r="Q107" s="253" t="s">
        <v>522</v>
      </c>
      <c r="R107" s="254"/>
      <c r="S107" s="255"/>
      <c r="T107" s="123" t="str">
        <f t="shared" ref="T107:T112" si="15">IF(ISBLANK(E107)=TRUE,"",VALUE(Y107)&amp;":"&amp;VALUE(Z107))</f>
        <v>2:3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2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516</v>
      </c>
      <c r="F108" s="254"/>
      <c r="G108" s="255"/>
      <c r="H108" s="253" t="s">
        <v>503</v>
      </c>
      <c r="I108" s="254"/>
      <c r="J108" s="255"/>
      <c r="K108" s="253" t="s">
        <v>521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3:0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0</v>
      </c>
    </row>
    <row r="109" spans="1:26">
      <c r="A109" s="18"/>
      <c r="B109" s="22">
        <v>4</v>
      </c>
      <c r="C109" s="276" t="s">
        <v>533</v>
      </c>
      <c r="D109" s="272"/>
      <c r="E109" s="253" t="s">
        <v>503</v>
      </c>
      <c r="F109" s="254"/>
      <c r="G109" s="255"/>
      <c r="H109" s="253" t="s">
        <v>515</v>
      </c>
      <c r="I109" s="254"/>
      <c r="J109" s="255"/>
      <c r="K109" s="253" t="s">
        <v>501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 t="s">
        <v>531</v>
      </c>
      <c r="F110" s="254"/>
      <c r="G110" s="255"/>
      <c r="H110" s="253" t="s">
        <v>516</v>
      </c>
      <c r="I110" s="254"/>
      <c r="J110" s="255"/>
      <c r="K110" s="253" t="s">
        <v>501</v>
      </c>
      <c r="L110" s="254"/>
      <c r="M110" s="255"/>
      <c r="N110" s="253" t="s">
        <v>513</v>
      </c>
      <c r="O110" s="254"/>
      <c r="P110" s="255"/>
      <c r="Q110" s="253"/>
      <c r="R110" s="254"/>
      <c r="S110" s="255"/>
      <c r="T110" s="123" t="str">
        <f t="shared" si="15"/>
        <v>3:1</v>
      </c>
      <c r="U110" s="262">
        <f t="shared" si="16"/>
        <v>1</v>
      </c>
      <c r="V110" s="264"/>
      <c r="W110" s="262">
        <f t="shared" si="17"/>
        <v>0</v>
      </c>
      <c r="X110" s="264"/>
      <c r="Y110">
        <f t="shared" si="18"/>
        <v>3</v>
      </c>
      <c r="Z110" s="18">
        <f t="shared" si="19"/>
        <v>1</v>
      </c>
    </row>
    <row r="111" spans="1:26">
      <c r="A111" s="18"/>
      <c r="B111" s="24">
        <v>6</v>
      </c>
      <c r="C111" s="271" t="s">
        <v>49</v>
      </c>
      <c r="D111" s="272"/>
      <c r="E111" s="253" t="s">
        <v>509</v>
      </c>
      <c r="F111" s="254"/>
      <c r="G111" s="255"/>
      <c r="H111" s="253" t="s">
        <v>512</v>
      </c>
      <c r="I111" s="254"/>
      <c r="J111" s="255"/>
      <c r="K111" s="253" t="s">
        <v>519</v>
      </c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>0:3</v>
      </c>
      <c r="U111" s="262">
        <f t="shared" si="16"/>
        <v>0</v>
      </c>
      <c r="V111" s="264"/>
      <c r="W111" s="262">
        <f t="shared" si="17"/>
        <v>1</v>
      </c>
      <c r="X111" s="264"/>
      <c r="Y111">
        <f t="shared" si="18"/>
        <v>0</v>
      </c>
      <c r="Z111" s="18">
        <f t="shared" si="19"/>
        <v>3</v>
      </c>
    </row>
    <row r="112" spans="1:26">
      <c r="A112" s="18"/>
      <c r="B112" s="24">
        <v>7</v>
      </c>
      <c r="C112" s="266" t="s">
        <v>50</v>
      </c>
      <c r="D112" s="267"/>
      <c r="E112" s="253" t="s">
        <v>515</v>
      </c>
      <c r="F112" s="254"/>
      <c r="G112" s="255"/>
      <c r="H112" s="253" t="s">
        <v>503</v>
      </c>
      <c r="I112" s="254"/>
      <c r="J112" s="255"/>
      <c r="K112" s="253" t="s">
        <v>512</v>
      </c>
      <c r="L112" s="254"/>
      <c r="M112" s="255"/>
      <c r="N112" s="253" t="s">
        <v>516</v>
      </c>
      <c r="O112" s="254"/>
      <c r="P112" s="255"/>
      <c r="Q112" s="253"/>
      <c r="R112" s="254"/>
      <c r="S112" s="255"/>
      <c r="T112" s="123" t="str">
        <f t="shared" si="15"/>
        <v>3:1</v>
      </c>
      <c r="U112" s="262">
        <f t="shared" si="16"/>
        <v>1</v>
      </c>
      <c r="V112" s="264"/>
      <c r="W112" s="262">
        <f t="shared" si="17"/>
        <v>0</v>
      </c>
      <c r="X112" s="264"/>
      <c r="Y112">
        <f t="shared" si="18"/>
        <v>3</v>
      </c>
      <c r="Z112" s="18">
        <f t="shared" si="19"/>
        <v>1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3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26" priority="4" stopIfTrue="1">
      <formula>ISNA(C8)</formula>
    </cfRule>
  </conditionalFormatting>
  <conditionalFormatting sqref="C38:K42 N38:N42">
    <cfRule type="expression" dxfId="125" priority="3" stopIfTrue="1">
      <formula>ISNA(C38)</formula>
    </cfRule>
  </conditionalFormatting>
  <conditionalFormatting sqref="C68:K72 N68:W72">
    <cfRule type="expression" dxfId="124" priority="2" stopIfTrue="1">
      <formula>ISNA(C68)</formula>
    </cfRule>
  </conditionalFormatting>
  <conditionalFormatting sqref="C98:K102 N98:W102">
    <cfRule type="expression" dxfId="123" priority="1" stopIfTrue="1">
      <formula>ISNA(C98)</formula>
    </cfRule>
  </conditionalFormatting>
  <dataValidations count="9">
    <dataValidation type="list" allowBlank="1" showInputMessage="1" showErrorMessage="1" sqref="N38:N42" xr:uid="{00CBD667-265D-4F6C-8CF7-416DD6B26006}">
      <formula1>INDIRECT($W$43)</formula1>
    </dataValidation>
    <dataValidation type="list" allowBlank="1" showInputMessage="1" showErrorMessage="1" sqref="N68:W72" xr:uid="{393C1D59-9E74-405D-8BD1-505448F9FEC7}">
      <formula1>INDIRECT($W$73)</formula1>
    </dataValidation>
    <dataValidation type="list" allowBlank="1" showInputMessage="1" showErrorMessage="1" sqref="N98:W102" xr:uid="{7D3E5E41-D361-43ED-92C2-C5BDB01AAAF9}">
      <formula1>INDIRECT($W$103)</formula1>
    </dataValidation>
    <dataValidation type="list" allowBlank="1" showInputMessage="1" showErrorMessage="1" sqref="C38:K42" xr:uid="{7A6203F1-8F22-4438-9067-273ED9043250}">
      <formula1>INDIRECT($K$43)</formula1>
    </dataValidation>
    <dataValidation type="list" allowBlank="1" showInputMessage="1" showErrorMessage="1" sqref="C68:K72" xr:uid="{47AE58EE-84A3-4F76-93FB-054D77897CCA}">
      <formula1>INDIRECT($K$73)</formula1>
    </dataValidation>
    <dataValidation type="list" allowBlank="1" showInputMessage="1" showErrorMessage="1" sqref="C98:K102" xr:uid="{5B79A3D7-922A-4D71-8DBC-434E4AB85261}">
      <formula1>INDIRECT($K$103)</formula1>
    </dataValidation>
    <dataValidation type="list" allowBlank="1" showInputMessage="1" showErrorMessage="1" sqref="G37:L37 R37:X37 R7:X7 R97:X97 G67:L67 R67:X67 G97:L97 G7:L7" xr:uid="{41465AE2-D024-41CC-A275-7A72BA7561B3}">
      <formula1>Mansad</formula1>
    </dataValidation>
    <dataValidation type="list" allowBlank="1" showInputMessage="1" showErrorMessage="1" sqref="N8:N12" xr:uid="{F77FAA8F-12F7-483E-9974-5F87063C6E55}">
      <formula1>INDIRECT($W$13)</formula1>
    </dataValidation>
    <dataValidation type="list" allowBlank="1" showInputMessage="1" showErrorMessage="1" sqref="C8:K12" xr:uid="{87E53D01-0721-4F57-BBAF-96944E04D58E}">
      <formula1>INDIRECT($K$13)</formula1>
    </dataValidation>
  </dataValidations>
  <pageMargins left="0.7" right="0.7" top="0.75" bottom="0.75" header="0.3" footer="0.3"/>
  <pageSetup paperSize="11" scale="73" fitToHeight="0" orientation="landscape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68F1B-18E1-48EC-8F7C-FE4EFEBCD9CF}">
  <sheetPr>
    <pageSetUpPr fitToPage="1"/>
  </sheetPr>
  <dimension ref="A1:Z119"/>
  <sheetViews>
    <sheetView topLeftCell="B55" workbookViewId="0">
      <selection sqref="A1:XFD1048576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45380</v>
      </c>
      <c r="F5" s="278"/>
      <c r="G5" s="278"/>
      <c r="H5" s="278"/>
      <c r="I5" s="278"/>
      <c r="J5" s="19" t="s">
        <v>30</v>
      </c>
      <c r="K5" s="19"/>
      <c r="L5" s="281" t="s">
        <v>466</v>
      </c>
      <c r="M5" s="281"/>
      <c r="N5" s="19" t="s">
        <v>31</v>
      </c>
      <c r="O5" s="19"/>
      <c r="P5" s="19" t="s">
        <v>440</v>
      </c>
      <c r="Q5" s="19"/>
      <c r="R5" s="19"/>
      <c r="S5" s="19" t="s">
        <v>32</v>
      </c>
      <c r="T5" s="19"/>
      <c r="U5" s="19">
        <v>1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238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234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437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388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436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385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438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386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387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Meeskond8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Meeskond5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507</v>
      </c>
      <c r="F16" s="254"/>
      <c r="G16" s="255"/>
      <c r="H16" s="253" t="s">
        <v>523</v>
      </c>
      <c r="I16" s="254"/>
      <c r="J16" s="255"/>
      <c r="K16" s="253" t="s">
        <v>507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0:3</v>
      </c>
      <c r="U16" s="262">
        <f>IF(TYPE(IF(VALUE(LEFT(T16,1))&gt;VALUE(RIGHT(T16,1)),1,0))=1,IF(VALUE(LEFT(T16,1))&gt;VALUE(RIGHT(T16,1)),1,0),"")</f>
        <v>0</v>
      </c>
      <c r="V16" s="264"/>
      <c r="W16" s="262">
        <f>IF(TYPE(IF(VALUE(LEFT(T16,1))&lt;VALUE(RIGHT(T16,1)),1,0))=1,IF(VALUE(LEFT(T16,1))&lt;VALUE(RIGHT(T16,1)),1,0),"")</f>
        <v>1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0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3</v>
      </c>
    </row>
    <row r="17" spans="1:26">
      <c r="A17" s="18"/>
      <c r="B17" s="22">
        <v>2</v>
      </c>
      <c r="C17" s="276" t="s">
        <v>46</v>
      </c>
      <c r="D17" s="272"/>
      <c r="E17" s="253" t="s">
        <v>507</v>
      </c>
      <c r="F17" s="254"/>
      <c r="G17" s="255"/>
      <c r="H17" s="253" t="s">
        <v>528</v>
      </c>
      <c r="I17" s="254"/>
      <c r="J17" s="255"/>
      <c r="K17" s="253" t="s">
        <v>523</v>
      </c>
      <c r="L17" s="254"/>
      <c r="M17" s="255"/>
      <c r="N17" s="253" t="s">
        <v>515</v>
      </c>
      <c r="O17" s="254"/>
      <c r="P17" s="255"/>
      <c r="Q17" s="253" t="s">
        <v>531</v>
      </c>
      <c r="R17" s="254"/>
      <c r="S17" s="255"/>
      <c r="T17" s="123" t="str">
        <f t="shared" ref="T17:T22" si="0">IF(ISBLANK(E17)=TRUE,"",VALUE(Y17)&amp;":"&amp;VALUE(Z17))</f>
        <v>2:3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2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504</v>
      </c>
      <c r="F18" s="254"/>
      <c r="G18" s="255"/>
      <c r="H18" s="253" t="s">
        <v>512</v>
      </c>
      <c r="I18" s="254"/>
      <c r="J18" s="255"/>
      <c r="K18" s="253" t="s">
        <v>511</v>
      </c>
      <c r="L18" s="254"/>
      <c r="M18" s="255"/>
      <c r="N18" s="253" t="s">
        <v>523</v>
      </c>
      <c r="O18" s="254"/>
      <c r="P18" s="255"/>
      <c r="Q18" s="253"/>
      <c r="R18" s="254"/>
      <c r="S18" s="255"/>
      <c r="T18" s="123" t="str">
        <f t="shared" si="0"/>
        <v>1:3</v>
      </c>
      <c r="U18" s="262">
        <f t="shared" si="1"/>
        <v>0</v>
      </c>
      <c r="V18" s="264"/>
      <c r="W18" s="262">
        <f t="shared" si="2"/>
        <v>1</v>
      </c>
      <c r="X18" s="264"/>
      <c r="Y18">
        <f t="shared" si="3"/>
        <v>1</v>
      </c>
      <c r="Z18" s="18">
        <f t="shared" si="4"/>
        <v>3</v>
      </c>
    </row>
    <row r="19" spans="1:26">
      <c r="A19" s="18"/>
      <c r="B19" s="22">
        <v>4</v>
      </c>
      <c r="C19" s="276" t="s">
        <v>546</v>
      </c>
      <c r="D19" s="272"/>
      <c r="E19" s="253" t="s">
        <v>538</v>
      </c>
      <c r="F19" s="254"/>
      <c r="G19" s="255"/>
      <c r="H19" s="253" t="s">
        <v>513</v>
      </c>
      <c r="I19" s="254"/>
      <c r="J19" s="255"/>
      <c r="K19" s="253" t="s">
        <v>508</v>
      </c>
      <c r="L19" s="254"/>
      <c r="M19" s="255"/>
      <c r="N19" s="253" t="s">
        <v>522</v>
      </c>
      <c r="O19" s="254"/>
      <c r="P19" s="255"/>
      <c r="Q19" s="253" t="s">
        <v>503</v>
      </c>
      <c r="R19" s="254"/>
      <c r="S19" s="255"/>
      <c r="T19" s="123" t="str">
        <f t="shared" si="0"/>
        <v>3:2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2</v>
      </c>
    </row>
    <row r="20" spans="1:26">
      <c r="A20" s="18"/>
      <c r="B20" s="24">
        <v>5</v>
      </c>
      <c r="C20" s="271" t="s">
        <v>48</v>
      </c>
      <c r="D20" s="272"/>
      <c r="E20" s="253" t="s">
        <v>504</v>
      </c>
      <c r="F20" s="254"/>
      <c r="G20" s="255"/>
      <c r="H20" s="253" t="s">
        <v>509</v>
      </c>
      <c r="I20" s="254"/>
      <c r="J20" s="255"/>
      <c r="K20" s="253" t="s">
        <v>509</v>
      </c>
      <c r="L20" s="254"/>
      <c r="M20" s="255"/>
      <c r="N20" s="253" t="s">
        <v>511</v>
      </c>
      <c r="O20" s="254"/>
      <c r="P20" s="255"/>
      <c r="Q20" s="253"/>
      <c r="R20" s="254"/>
      <c r="S20" s="255"/>
      <c r="T20" s="123" t="str">
        <f t="shared" si="0"/>
        <v>1:3</v>
      </c>
      <c r="U20" s="262">
        <f t="shared" si="1"/>
        <v>0</v>
      </c>
      <c r="V20" s="264"/>
      <c r="W20" s="262">
        <f t="shared" si="2"/>
        <v>1</v>
      </c>
      <c r="X20" s="264"/>
      <c r="Y20">
        <f t="shared" si="3"/>
        <v>1</v>
      </c>
      <c r="Z20" s="18">
        <f t="shared" si="4"/>
        <v>3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1</v>
      </c>
      <c r="V23" s="274"/>
      <c r="W23" s="273">
        <f>IF(ISBLANK(E16)=TRUE,"",SUM(W16:W22))</f>
        <v>4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45380</v>
      </c>
      <c r="F35" s="278"/>
      <c r="G35" s="278"/>
      <c r="H35" s="278"/>
      <c r="I35" s="278"/>
      <c r="J35" s="19" t="s">
        <v>30</v>
      </c>
      <c r="K35" s="19"/>
      <c r="L35" s="281" t="str">
        <f>L5</f>
        <v>13.00</v>
      </c>
      <c r="M35" s="281"/>
      <c r="N35" s="19" t="s">
        <v>31</v>
      </c>
      <c r="O35" s="19"/>
      <c r="P35" s="19" t="str">
        <f>P5</f>
        <v>II</v>
      </c>
      <c r="Q35" s="19"/>
      <c r="R35" s="19"/>
      <c r="S35" s="19" t="s">
        <v>32</v>
      </c>
      <c r="T35" s="19"/>
      <c r="U35" s="19">
        <v>3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235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231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408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337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405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336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403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339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64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340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 t="s">
        <v>338</v>
      </c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Meeskond6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Meeskond2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501</v>
      </c>
      <c r="F46" s="254"/>
      <c r="G46" s="255"/>
      <c r="H46" s="253" t="s">
        <v>513</v>
      </c>
      <c r="I46" s="254"/>
      <c r="J46" s="255"/>
      <c r="K46" s="253" t="s">
        <v>523</v>
      </c>
      <c r="L46" s="254"/>
      <c r="M46" s="255"/>
      <c r="N46" s="253" t="s">
        <v>522</v>
      </c>
      <c r="O46" s="254"/>
      <c r="P46" s="255"/>
      <c r="Q46" s="253" t="s">
        <v>507</v>
      </c>
      <c r="R46" s="254"/>
      <c r="S46" s="255"/>
      <c r="T46" s="123" t="str">
        <f>IF(ISBLANK(E46)=TRUE,"",VALUE(Y46)&amp;":"&amp;VALUE(Z46))</f>
        <v>2:3</v>
      </c>
      <c r="U46" s="262">
        <f>IF(TYPE(IF(VALUE(LEFT(T46,1))&gt;VALUE(RIGHT(T46,1)),1,0))=1,IF(VALUE(LEFT(T46,1))&gt;VALUE(RIGHT(T46,1)),1,0),"")</f>
        <v>0</v>
      </c>
      <c r="V46" s="264"/>
      <c r="W46" s="262">
        <f>IF(TYPE(IF(VALUE(LEFT(T46,1))&lt;VALUE(RIGHT(T46,1)),1,0))=1,IF(VALUE(LEFT(T46,1))&lt;VALUE(RIGHT(T46,1)),1,0),"")</f>
        <v>1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2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3</v>
      </c>
    </row>
    <row r="47" spans="1:26">
      <c r="A47" s="18"/>
      <c r="B47" s="22">
        <v>2</v>
      </c>
      <c r="C47" s="276" t="s">
        <v>46</v>
      </c>
      <c r="D47" s="272"/>
      <c r="E47" s="253" t="s">
        <v>510</v>
      </c>
      <c r="F47" s="254"/>
      <c r="G47" s="255"/>
      <c r="H47" s="253" t="s">
        <v>507</v>
      </c>
      <c r="I47" s="254"/>
      <c r="J47" s="255"/>
      <c r="K47" s="253" t="s">
        <v>507</v>
      </c>
      <c r="L47" s="254"/>
      <c r="M47" s="255"/>
      <c r="N47" s="253"/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0:3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0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508</v>
      </c>
      <c r="F48" s="254"/>
      <c r="G48" s="255"/>
      <c r="H48" s="253" t="s">
        <v>502</v>
      </c>
      <c r="I48" s="254"/>
      <c r="J48" s="255"/>
      <c r="K48" s="253" t="s">
        <v>512</v>
      </c>
      <c r="L48" s="254"/>
      <c r="M48" s="255"/>
      <c r="N48" s="253" t="s">
        <v>534</v>
      </c>
      <c r="O48" s="254"/>
      <c r="P48" s="255"/>
      <c r="Q48" s="253"/>
      <c r="R48" s="254"/>
      <c r="S48" s="255"/>
      <c r="T48" s="123" t="str">
        <f t="shared" si="5"/>
        <v>1:3</v>
      </c>
      <c r="U48" s="262">
        <f t="shared" si="6"/>
        <v>0</v>
      </c>
      <c r="V48" s="264"/>
      <c r="W48" s="262">
        <f t="shared" si="7"/>
        <v>1</v>
      </c>
      <c r="X48" s="264"/>
      <c r="Y48">
        <f t="shared" si="8"/>
        <v>1</v>
      </c>
      <c r="Z48" s="18">
        <f t="shared" si="9"/>
        <v>3</v>
      </c>
    </row>
    <row r="49" spans="1:26">
      <c r="A49" s="18"/>
      <c r="B49" s="22">
        <v>4</v>
      </c>
      <c r="C49" s="276" t="s">
        <v>575</v>
      </c>
      <c r="D49" s="272"/>
      <c r="E49" s="253" t="s">
        <v>531</v>
      </c>
      <c r="F49" s="254"/>
      <c r="G49" s="255"/>
      <c r="H49" s="253" t="s">
        <v>509</v>
      </c>
      <c r="I49" s="254"/>
      <c r="J49" s="255"/>
      <c r="K49" s="253" t="s">
        <v>507</v>
      </c>
      <c r="L49" s="254"/>
      <c r="M49" s="255"/>
      <c r="N49" s="253"/>
      <c r="O49" s="254"/>
      <c r="P49" s="255"/>
      <c r="Q49" s="253"/>
      <c r="R49" s="254"/>
      <c r="S49" s="255"/>
      <c r="T49" s="123" t="str">
        <f t="shared" si="5"/>
        <v>0:3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0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/>
      <c r="F50" s="254"/>
      <c r="G50" s="255"/>
      <c r="H50" s="253"/>
      <c r="I50" s="254"/>
      <c r="J50" s="255"/>
      <c r="K50" s="253"/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/>
      </c>
      <c r="U50" s="262" t="str">
        <f t="shared" si="6"/>
        <v/>
      </c>
      <c r="V50" s="264"/>
      <c r="W50" s="262" t="str">
        <f t="shared" si="7"/>
        <v/>
      </c>
      <c r="X50" s="264"/>
      <c r="Y50">
        <f t="shared" si="8"/>
        <v>0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0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45380</v>
      </c>
      <c r="F65" s="278"/>
      <c r="G65" s="278"/>
      <c r="H65" s="278"/>
      <c r="I65" s="278"/>
      <c r="J65" s="19" t="s">
        <v>30</v>
      </c>
      <c r="K65" s="19"/>
      <c r="L65" s="281" t="str">
        <f>L5</f>
        <v>13.00</v>
      </c>
      <c r="M65" s="281"/>
      <c r="N65" s="19" t="s">
        <v>31</v>
      </c>
      <c r="O65" s="19"/>
      <c r="P65" s="19" t="str">
        <f>P5</f>
        <v>II</v>
      </c>
      <c r="Q65" s="19"/>
      <c r="R65" s="19"/>
      <c r="S65" s="19" t="s">
        <v>32</v>
      </c>
      <c r="T65" s="19"/>
      <c r="U65" s="19">
        <v>2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237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232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422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357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425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359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421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355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 t="s">
        <v>423</v>
      </c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356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Meeskond7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Meeskond3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510</v>
      </c>
      <c r="F76" s="254"/>
      <c r="G76" s="255"/>
      <c r="H76" s="253" t="s">
        <v>522</v>
      </c>
      <c r="I76" s="254"/>
      <c r="J76" s="255"/>
      <c r="K76" s="253" t="s">
        <v>523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0:3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0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503</v>
      </c>
      <c r="F77" s="254"/>
      <c r="G77" s="255"/>
      <c r="H77" s="253" t="s">
        <v>531</v>
      </c>
      <c r="I77" s="254"/>
      <c r="J77" s="255"/>
      <c r="K77" s="253" t="s">
        <v>576</v>
      </c>
      <c r="L77" s="254"/>
      <c r="M77" s="255"/>
      <c r="N77" s="253" t="s">
        <v>502</v>
      </c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3:1</v>
      </c>
      <c r="U77" s="262">
        <f t="shared" ref="U77:U82" si="11">IF(TYPE(IF(VALUE(LEFT(T77,1))&gt;VALUE(RIGHT(T77,1)),1,0))=1,IF(VALUE(LEFT(T77,1))&gt;VALUE(RIGHT(T77,1)),1,0),"")</f>
        <v>1</v>
      </c>
      <c r="V77" s="264"/>
      <c r="W77" s="262">
        <f t="shared" ref="W77:W82" si="12">IF(TYPE(IF(VALUE(LEFT(T77,1))&lt;VALUE(RIGHT(T77,1)),1,0))=1,IF(VALUE(LEFT(T77,1))&lt;VALUE(RIGHT(T77,1)),1,0),"")</f>
        <v>0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3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1</v>
      </c>
    </row>
    <row r="78" spans="1:26">
      <c r="A78" s="18"/>
      <c r="B78" s="22">
        <v>3</v>
      </c>
      <c r="C78" s="276" t="s">
        <v>47</v>
      </c>
      <c r="D78" s="272"/>
      <c r="E78" s="253" t="s">
        <v>501</v>
      </c>
      <c r="F78" s="254"/>
      <c r="G78" s="255"/>
      <c r="H78" s="253" t="s">
        <v>503</v>
      </c>
      <c r="I78" s="254"/>
      <c r="J78" s="255"/>
      <c r="K78" s="253" t="s">
        <v>502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3:0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0</v>
      </c>
    </row>
    <row r="79" spans="1:26">
      <c r="A79" s="18"/>
      <c r="B79" s="22">
        <v>4</v>
      </c>
      <c r="C79" s="276" t="s">
        <v>577</v>
      </c>
      <c r="D79" s="272"/>
      <c r="E79" s="253" t="s">
        <v>507</v>
      </c>
      <c r="F79" s="254"/>
      <c r="G79" s="255"/>
      <c r="H79" s="253" t="s">
        <v>507</v>
      </c>
      <c r="I79" s="254"/>
      <c r="J79" s="255"/>
      <c r="K79" s="253" t="s">
        <v>510</v>
      </c>
      <c r="L79" s="254"/>
      <c r="M79" s="255"/>
      <c r="N79" s="253"/>
      <c r="O79" s="254"/>
      <c r="P79" s="255"/>
      <c r="Q79" s="253"/>
      <c r="R79" s="254"/>
      <c r="S79" s="255"/>
      <c r="T79" s="123" t="str">
        <f t="shared" si="10"/>
        <v>0:3</v>
      </c>
      <c r="U79" s="262">
        <f t="shared" si="11"/>
        <v>0</v>
      </c>
      <c r="V79" s="264"/>
      <c r="W79" s="262">
        <f t="shared" si="12"/>
        <v>1</v>
      </c>
      <c r="X79" s="264"/>
      <c r="Y79">
        <f t="shared" si="13"/>
        <v>0</v>
      </c>
      <c r="Z79" s="18">
        <f t="shared" si="14"/>
        <v>3</v>
      </c>
    </row>
    <row r="80" spans="1:26">
      <c r="A80" s="18"/>
      <c r="B80" s="24">
        <v>5</v>
      </c>
      <c r="C80" s="271" t="s">
        <v>48</v>
      </c>
      <c r="D80" s="272"/>
      <c r="E80" s="253" t="s">
        <v>519</v>
      </c>
      <c r="F80" s="254"/>
      <c r="G80" s="255"/>
      <c r="H80" s="253" t="s">
        <v>503</v>
      </c>
      <c r="I80" s="254"/>
      <c r="J80" s="255"/>
      <c r="K80" s="253" t="s">
        <v>510</v>
      </c>
      <c r="L80" s="254"/>
      <c r="M80" s="255"/>
      <c r="N80" s="253" t="s">
        <v>519</v>
      </c>
      <c r="O80" s="254"/>
      <c r="P80" s="255"/>
      <c r="Q80" s="253"/>
      <c r="R80" s="254"/>
      <c r="S80" s="255"/>
      <c r="T80" s="123" t="str">
        <f t="shared" si="10"/>
        <v>1:3</v>
      </c>
      <c r="U80" s="262">
        <f t="shared" si="11"/>
        <v>0</v>
      </c>
      <c r="V80" s="264"/>
      <c r="W80" s="262">
        <f t="shared" si="12"/>
        <v>1</v>
      </c>
      <c r="X80" s="264"/>
      <c r="Y80">
        <f t="shared" si="13"/>
        <v>1</v>
      </c>
      <c r="Z80" s="18">
        <f t="shared" si="14"/>
        <v>3</v>
      </c>
    </row>
    <row r="81" spans="1:26">
      <c r="A81" s="18"/>
      <c r="B81" s="24">
        <v>6</v>
      </c>
      <c r="C81" s="271" t="s">
        <v>49</v>
      </c>
      <c r="D81" s="272"/>
      <c r="E81" s="253" t="s">
        <v>510</v>
      </c>
      <c r="F81" s="254"/>
      <c r="G81" s="255"/>
      <c r="H81" s="253" t="s">
        <v>532</v>
      </c>
      <c r="I81" s="254"/>
      <c r="J81" s="255"/>
      <c r="K81" s="253" t="s">
        <v>513</v>
      </c>
      <c r="L81" s="254"/>
      <c r="M81" s="255"/>
      <c r="N81" s="253" t="s">
        <v>502</v>
      </c>
      <c r="O81" s="254"/>
      <c r="P81" s="255"/>
      <c r="Q81" s="253" t="s">
        <v>502</v>
      </c>
      <c r="R81" s="254"/>
      <c r="S81" s="255"/>
      <c r="T81" s="123" t="str">
        <f t="shared" si="10"/>
        <v>3:2</v>
      </c>
      <c r="U81" s="262">
        <f t="shared" si="11"/>
        <v>1</v>
      </c>
      <c r="V81" s="264"/>
      <c r="W81" s="262">
        <f t="shared" si="12"/>
        <v>0</v>
      </c>
      <c r="X81" s="264"/>
      <c r="Y81">
        <f t="shared" si="13"/>
        <v>3</v>
      </c>
      <c r="Z81" s="18">
        <f t="shared" si="14"/>
        <v>2</v>
      </c>
    </row>
    <row r="82" spans="1:26">
      <c r="A82" s="18"/>
      <c r="B82" s="24">
        <v>7</v>
      </c>
      <c r="C82" s="266" t="s">
        <v>50</v>
      </c>
      <c r="D82" s="267"/>
      <c r="E82" s="253" t="s">
        <v>502</v>
      </c>
      <c r="F82" s="254"/>
      <c r="G82" s="255"/>
      <c r="H82" s="253" t="s">
        <v>502</v>
      </c>
      <c r="I82" s="254"/>
      <c r="J82" s="255"/>
      <c r="K82" s="253" t="s">
        <v>522</v>
      </c>
      <c r="L82" s="254"/>
      <c r="M82" s="255"/>
      <c r="N82" s="253" t="s">
        <v>525</v>
      </c>
      <c r="O82" s="254"/>
      <c r="P82" s="255"/>
      <c r="Q82" s="253"/>
      <c r="R82" s="254"/>
      <c r="S82" s="255"/>
      <c r="T82" s="123" t="str">
        <f t="shared" si="10"/>
        <v>3:1</v>
      </c>
      <c r="U82" s="262">
        <f t="shared" si="11"/>
        <v>1</v>
      </c>
      <c r="V82" s="264"/>
      <c r="W82" s="262">
        <f t="shared" si="12"/>
        <v>0</v>
      </c>
      <c r="X82" s="264"/>
      <c r="Y82">
        <f t="shared" si="13"/>
        <v>3</v>
      </c>
      <c r="Z82" s="18">
        <f t="shared" si="14"/>
        <v>1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4</v>
      </c>
      <c r="V83" s="274"/>
      <c r="W83" s="273">
        <f>IF(ISBLANK(E76)=TRUE,"",SUM(W76:W82))</f>
        <v>3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45380</v>
      </c>
      <c r="F95" s="278"/>
      <c r="G95" s="278"/>
      <c r="H95" s="278"/>
      <c r="I95" s="278"/>
      <c r="J95" s="19" t="s">
        <v>30</v>
      </c>
      <c r="K95" s="19"/>
      <c r="L95" s="281" t="str">
        <f>L5</f>
        <v>13.00</v>
      </c>
      <c r="M95" s="281"/>
      <c r="N95" s="19" t="s">
        <v>31</v>
      </c>
      <c r="O95" s="19"/>
      <c r="P95" s="19" t="str">
        <f>P5</f>
        <v>II</v>
      </c>
      <c r="Q95" s="19"/>
      <c r="R95" s="19"/>
      <c r="S95" s="19" t="s">
        <v>32</v>
      </c>
      <c r="T95" s="19"/>
      <c r="U95" s="19">
        <v>4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233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230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374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539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370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322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373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321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/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325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Meeskond4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Meeskond1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504</v>
      </c>
      <c r="F106" s="254"/>
      <c r="G106" s="255"/>
      <c r="H106" s="253" t="s">
        <v>521</v>
      </c>
      <c r="I106" s="254"/>
      <c r="J106" s="255"/>
      <c r="K106" s="253" t="s">
        <v>501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3:0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0</v>
      </c>
    </row>
    <row r="107" spans="1:26">
      <c r="A107" s="18"/>
      <c r="B107" s="22">
        <v>2</v>
      </c>
      <c r="C107" s="276" t="s">
        <v>46</v>
      </c>
      <c r="D107" s="272"/>
      <c r="E107" s="253" t="s">
        <v>515</v>
      </c>
      <c r="F107" s="254"/>
      <c r="G107" s="255"/>
      <c r="H107" s="253" t="s">
        <v>513</v>
      </c>
      <c r="I107" s="254"/>
      <c r="J107" s="255"/>
      <c r="K107" s="253" t="s">
        <v>523</v>
      </c>
      <c r="L107" s="254"/>
      <c r="M107" s="255"/>
      <c r="N107" s="253" t="s">
        <v>513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3:1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1</v>
      </c>
    </row>
    <row r="108" spans="1:26">
      <c r="A108" s="18"/>
      <c r="B108" s="22">
        <v>3</v>
      </c>
      <c r="C108" s="276" t="s">
        <v>47</v>
      </c>
      <c r="D108" s="272"/>
      <c r="E108" s="253" t="s">
        <v>502</v>
      </c>
      <c r="F108" s="254"/>
      <c r="G108" s="255"/>
      <c r="H108" s="253" t="s">
        <v>526</v>
      </c>
      <c r="I108" s="254"/>
      <c r="J108" s="255"/>
      <c r="K108" s="253" t="s">
        <v>522</v>
      </c>
      <c r="L108" s="254"/>
      <c r="M108" s="255"/>
      <c r="N108" s="253" t="s">
        <v>528</v>
      </c>
      <c r="O108" s="254"/>
      <c r="P108" s="255"/>
      <c r="Q108" s="253"/>
      <c r="R108" s="254"/>
      <c r="S108" s="255"/>
      <c r="T108" s="123" t="str">
        <f t="shared" si="15"/>
        <v>3:1</v>
      </c>
      <c r="U108" s="262">
        <f t="shared" si="16"/>
        <v>1</v>
      </c>
      <c r="V108" s="264"/>
      <c r="W108" s="262">
        <f t="shared" si="17"/>
        <v>0</v>
      </c>
      <c r="X108" s="264"/>
      <c r="Y108">
        <f t="shared" si="18"/>
        <v>3</v>
      </c>
      <c r="Z108" s="18">
        <f t="shared" si="19"/>
        <v>1</v>
      </c>
    </row>
    <row r="109" spans="1:26">
      <c r="A109" s="18"/>
      <c r="B109" s="22">
        <v>4</v>
      </c>
      <c r="C109" s="276" t="s">
        <v>552</v>
      </c>
      <c r="D109" s="272"/>
      <c r="E109" s="253" t="s">
        <v>515</v>
      </c>
      <c r="F109" s="254"/>
      <c r="G109" s="255"/>
      <c r="H109" s="253" t="s">
        <v>526</v>
      </c>
      <c r="I109" s="254"/>
      <c r="J109" s="255"/>
      <c r="K109" s="253" t="s">
        <v>503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0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22" priority="4" stopIfTrue="1">
      <formula>ISNA(C8)</formula>
    </cfRule>
  </conditionalFormatting>
  <conditionalFormatting sqref="C38:K42 N38:N42">
    <cfRule type="expression" dxfId="121" priority="3" stopIfTrue="1">
      <formula>ISNA(C38)</formula>
    </cfRule>
  </conditionalFormatting>
  <conditionalFormatting sqref="C68:K72 N68:W72">
    <cfRule type="expression" dxfId="120" priority="2" stopIfTrue="1">
      <formula>ISNA(C68)</formula>
    </cfRule>
  </conditionalFormatting>
  <conditionalFormatting sqref="C98:K102 N98:W102">
    <cfRule type="expression" dxfId="119" priority="1" stopIfTrue="1">
      <formula>ISNA(C98)</formula>
    </cfRule>
  </conditionalFormatting>
  <dataValidations count="9">
    <dataValidation type="list" allowBlank="1" showInputMessage="1" showErrorMessage="1" sqref="C8:K12" xr:uid="{32F39639-1E96-4FC4-8B74-E4BFE4F50E8B}">
      <formula1>INDIRECT($K$13)</formula1>
    </dataValidation>
    <dataValidation type="list" allowBlank="1" showInputMessage="1" showErrorMessage="1" sqref="N8:N12" xr:uid="{F372D6A8-7F37-4612-AF77-6E5D86D63E87}">
      <formula1>INDIRECT($W$13)</formula1>
    </dataValidation>
    <dataValidation type="list" allowBlank="1" showInputMessage="1" showErrorMessage="1" sqref="G37:L37 R37:X37 R7:X7 R97:X97 G67:L67 R67:X67 G97:L97 G7:L7" xr:uid="{1F805766-89DD-4C6A-BDD4-DF00F8795647}">
      <formula1>Mansad</formula1>
    </dataValidation>
    <dataValidation type="list" allowBlank="1" showInputMessage="1" showErrorMessage="1" sqref="C98:K102" xr:uid="{ED0BFAD0-B5F1-4DCA-9FD4-55EA48DCA79B}">
      <formula1>INDIRECT($K$103)</formula1>
    </dataValidation>
    <dataValidation type="list" allowBlank="1" showInputMessage="1" showErrorMessage="1" sqref="C68:K72" xr:uid="{8AB2BEFC-A1A2-47BC-A3D9-258585A87283}">
      <formula1>INDIRECT($K$73)</formula1>
    </dataValidation>
    <dataValidation type="list" allowBlank="1" showInputMessage="1" showErrorMessage="1" sqref="C38:K42" xr:uid="{4FDB36A1-692D-4E56-8581-B8FCF47B8B5B}">
      <formula1>INDIRECT($K$43)</formula1>
    </dataValidation>
    <dataValidation type="list" allowBlank="1" showInputMessage="1" showErrorMessage="1" sqref="N98:W102" xr:uid="{20F4B2F0-2259-4547-BB6F-CF6051780E73}">
      <formula1>INDIRECT($W$103)</formula1>
    </dataValidation>
    <dataValidation type="list" allowBlank="1" showInputMessage="1" showErrorMessage="1" sqref="N68:W72" xr:uid="{8826CE59-75A9-4430-AA79-A6934F180C50}">
      <formula1>INDIRECT($W$73)</formula1>
    </dataValidation>
    <dataValidation type="list" allowBlank="1" showInputMessage="1" showErrorMessage="1" sqref="N38:N42" xr:uid="{FEE66CA9-3C70-4DB0-A67E-7A1667FAA11F}">
      <formula1>INDIRECT($W$43)</formula1>
    </dataValidation>
  </dataValidations>
  <pageMargins left="0.7" right="0.7" top="0.75" bottom="0.75" header="0.3" footer="0.3"/>
  <pageSetup paperSize="11" scale="73" fitToHeight="0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39689-0006-4C08-9E44-274D307296C9}">
  <sheetPr>
    <pageSetUpPr fitToPage="1"/>
  </sheetPr>
  <dimension ref="A1:Z119"/>
  <sheetViews>
    <sheetView topLeftCell="B1" workbookViewId="0">
      <selection sqref="A1:XFD1048576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443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45380</v>
      </c>
      <c r="F5" s="278"/>
      <c r="G5" s="278"/>
      <c r="H5" s="278"/>
      <c r="I5" s="278"/>
      <c r="J5" s="19" t="s">
        <v>30</v>
      </c>
      <c r="K5" s="19"/>
      <c r="L5" s="281" t="s">
        <v>467</v>
      </c>
      <c r="M5" s="281"/>
      <c r="N5" s="19" t="s">
        <v>31</v>
      </c>
      <c r="O5" s="19"/>
      <c r="P5" s="19" t="s">
        <v>441</v>
      </c>
      <c r="Q5" s="19"/>
      <c r="R5" s="19"/>
      <c r="S5" s="19" t="s">
        <v>32</v>
      </c>
      <c r="T5" s="19"/>
      <c r="U5" s="19">
        <v>1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237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230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422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539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425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321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421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322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 t="s">
        <v>423</v>
      </c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 t="s">
        <v>323</v>
      </c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 t="s">
        <v>424</v>
      </c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 t="s">
        <v>325</v>
      </c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Meeskond7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Meeskond1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526</v>
      </c>
      <c r="F16" s="254"/>
      <c r="G16" s="255"/>
      <c r="H16" s="253" t="s">
        <v>521</v>
      </c>
      <c r="I16" s="254"/>
      <c r="J16" s="255"/>
      <c r="K16" s="253" t="s">
        <v>510</v>
      </c>
      <c r="L16" s="254"/>
      <c r="M16" s="255"/>
      <c r="N16" s="253" t="s">
        <v>519</v>
      </c>
      <c r="O16" s="254"/>
      <c r="P16" s="255"/>
      <c r="Q16" s="253" t="s">
        <v>504</v>
      </c>
      <c r="R16" s="254"/>
      <c r="S16" s="255"/>
      <c r="T16" s="123" t="str">
        <f>IF(ISBLANK(E16)=TRUE,"",VALUE(Y16)&amp;":"&amp;VALUE(Z16))</f>
        <v>3:2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2</v>
      </c>
    </row>
    <row r="17" spans="1:26">
      <c r="A17" s="18"/>
      <c r="B17" s="22">
        <v>2</v>
      </c>
      <c r="C17" s="276" t="s">
        <v>46</v>
      </c>
      <c r="D17" s="272"/>
      <c r="E17" s="253" t="s">
        <v>512</v>
      </c>
      <c r="F17" s="254"/>
      <c r="G17" s="255"/>
      <c r="H17" s="253" t="s">
        <v>503</v>
      </c>
      <c r="I17" s="254"/>
      <c r="J17" s="255"/>
      <c r="K17" s="253" t="s">
        <v>530</v>
      </c>
      <c r="L17" s="254"/>
      <c r="M17" s="255"/>
      <c r="N17" s="253" t="s">
        <v>503</v>
      </c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3:1</v>
      </c>
      <c r="U17" s="262">
        <f t="shared" ref="U17:U22" si="1">IF(TYPE(IF(VALUE(LEFT(T17,1))&gt;VALUE(RIGHT(T17,1)),1,0))=1,IF(VALUE(LEFT(T17,1))&gt;VALUE(RIGHT(T17,1)),1,0),"")</f>
        <v>1</v>
      </c>
      <c r="V17" s="264"/>
      <c r="W17" s="262">
        <f t="shared" ref="W17:W22" si="2">IF(TYPE(IF(VALUE(LEFT(T17,1))&lt;VALUE(RIGHT(T17,1)),1,0))=1,IF(VALUE(LEFT(T17,1))&lt;VALUE(RIGHT(T17,1)),1,0),"")</f>
        <v>0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3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1</v>
      </c>
    </row>
    <row r="18" spans="1:26">
      <c r="A18" s="18"/>
      <c r="B18" s="22">
        <v>3</v>
      </c>
      <c r="C18" s="276" t="s">
        <v>47</v>
      </c>
      <c r="D18" s="272"/>
      <c r="E18" s="253" t="s">
        <v>515</v>
      </c>
      <c r="F18" s="254"/>
      <c r="G18" s="255"/>
      <c r="H18" s="253" t="s">
        <v>513</v>
      </c>
      <c r="I18" s="254"/>
      <c r="J18" s="255"/>
      <c r="K18" s="253" t="s">
        <v>517</v>
      </c>
      <c r="L18" s="254"/>
      <c r="M18" s="255"/>
      <c r="N18" s="253"/>
      <c r="O18" s="254"/>
      <c r="P18" s="255"/>
      <c r="Q18" s="253"/>
      <c r="R18" s="254"/>
      <c r="S18" s="255"/>
      <c r="T18" s="123" t="str">
        <f t="shared" si="0"/>
        <v>3:0</v>
      </c>
      <c r="U18" s="262">
        <f t="shared" si="1"/>
        <v>1</v>
      </c>
      <c r="V18" s="264"/>
      <c r="W18" s="262">
        <f t="shared" si="2"/>
        <v>0</v>
      </c>
      <c r="X18" s="264"/>
      <c r="Y18">
        <f t="shared" si="3"/>
        <v>3</v>
      </c>
      <c r="Z18" s="18">
        <f t="shared" si="4"/>
        <v>0</v>
      </c>
    </row>
    <row r="19" spans="1:26">
      <c r="A19" s="18"/>
      <c r="B19" s="22">
        <v>4</v>
      </c>
      <c r="C19" s="276" t="s">
        <v>527</v>
      </c>
      <c r="D19" s="272"/>
      <c r="E19" s="253" t="s">
        <v>519</v>
      </c>
      <c r="F19" s="254"/>
      <c r="G19" s="255"/>
      <c r="H19" s="253" t="s">
        <v>515</v>
      </c>
      <c r="I19" s="254"/>
      <c r="J19" s="255"/>
      <c r="K19" s="253" t="s">
        <v>503</v>
      </c>
      <c r="L19" s="254"/>
      <c r="M19" s="255"/>
      <c r="N19" s="253" t="s">
        <v>515</v>
      </c>
      <c r="O19" s="254"/>
      <c r="P19" s="255"/>
      <c r="Q19" s="253"/>
      <c r="R19" s="254"/>
      <c r="S19" s="255"/>
      <c r="T19" s="123" t="str">
        <f t="shared" si="0"/>
        <v>3:1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1</v>
      </c>
    </row>
    <row r="20" spans="1:26">
      <c r="A20" s="18"/>
      <c r="B20" s="24">
        <v>5</v>
      </c>
      <c r="C20" s="271" t="s">
        <v>48</v>
      </c>
      <c r="D20" s="272"/>
      <c r="E20" s="253"/>
      <c r="F20" s="254"/>
      <c r="G20" s="255"/>
      <c r="H20" s="253"/>
      <c r="I20" s="254"/>
      <c r="J20" s="255"/>
      <c r="K20" s="253"/>
      <c r="L20" s="254"/>
      <c r="M20" s="255"/>
      <c r="N20" s="253"/>
      <c r="O20" s="254"/>
      <c r="P20" s="255"/>
      <c r="Q20" s="253"/>
      <c r="R20" s="254"/>
      <c r="S20" s="255"/>
      <c r="T20" s="123" t="str">
        <f t="shared" si="0"/>
        <v/>
      </c>
      <c r="U20" s="262" t="str">
        <f t="shared" si="1"/>
        <v/>
      </c>
      <c r="V20" s="264"/>
      <c r="W20" s="262" t="str">
        <f t="shared" si="2"/>
        <v/>
      </c>
      <c r="X20" s="264"/>
      <c r="Y20">
        <f t="shared" si="3"/>
        <v>0</v>
      </c>
      <c r="Z20" s="18">
        <f t="shared" si="4"/>
        <v>0</v>
      </c>
    </row>
    <row r="21" spans="1:26">
      <c r="A21" s="18"/>
      <c r="B21" s="24">
        <v>6</v>
      </c>
      <c r="C21" s="271" t="s">
        <v>49</v>
      </c>
      <c r="D21" s="272"/>
      <c r="E21" s="253"/>
      <c r="F21" s="254"/>
      <c r="G21" s="255"/>
      <c r="H21" s="253"/>
      <c r="I21" s="254"/>
      <c r="J21" s="255"/>
      <c r="K21" s="253"/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/>
      </c>
      <c r="U21" s="262" t="str">
        <f t="shared" si="1"/>
        <v/>
      </c>
      <c r="V21" s="264"/>
      <c r="W21" s="262" t="str">
        <f t="shared" si="2"/>
        <v/>
      </c>
      <c r="X21" s="264"/>
      <c r="Y21">
        <f t="shared" si="3"/>
        <v>0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0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45380</v>
      </c>
      <c r="F35" s="278"/>
      <c r="G35" s="278"/>
      <c r="H35" s="278"/>
      <c r="I35" s="278"/>
      <c r="J35" s="19" t="s">
        <v>30</v>
      </c>
      <c r="K35" s="19"/>
      <c r="L35" s="281" t="str">
        <f>L5</f>
        <v>16.00</v>
      </c>
      <c r="M35" s="281"/>
      <c r="N35" s="19" t="s">
        <v>31</v>
      </c>
      <c r="O35" s="19"/>
      <c r="P35" s="19" t="str">
        <f>P5</f>
        <v>III</v>
      </c>
      <c r="Q35" s="19"/>
      <c r="R35" s="19"/>
      <c r="S35" s="19" t="s">
        <v>32</v>
      </c>
      <c r="T35" s="19"/>
      <c r="U35" s="19">
        <v>2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235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232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64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355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408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356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403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357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405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/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/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/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Meeskond6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Meeskond3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522</v>
      </c>
      <c r="F46" s="254"/>
      <c r="G46" s="255"/>
      <c r="H46" s="253" t="s">
        <v>502</v>
      </c>
      <c r="I46" s="254"/>
      <c r="J46" s="255"/>
      <c r="K46" s="253" t="s">
        <v>507</v>
      </c>
      <c r="L46" s="254"/>
      <c r="M46" s="255"/>
      <c r="N46" s="253" t="s">
        <v>507</v>
      </c>
      <c r="O46" s="254"/>
      <c r="P46" s="255"/>
      <c r="Q46" s="253"/>
      <c r="R46" s="254"/>
      <c r="S46" s="255"/>
      <c r="T46" s="123" t="str">
        <f>IF(ISBLANK(E46)=TRUE,"",VALUE(Y46)&amp;":"&amp;VALUE(Z46))</f>
        <v>1:3</v>
      </c>
      <c r="U46" s="262">
        <f>IF(TYPE(IF(VALUE(LEFT(T46,1))&gt;VALUE(RIGHT(T46,1)),1,0))=1,IF(VALUE(LEFT(T46,1))&gt;VALUE(RIGHT(T46,1)),1,0),"")</f>
        <v>0</v>
      </c>
      <c r="V46" s="264"/>
      <c r="W46" s="262">
        <f>IF(TYPE(IF(VALUE(LEFT(T46,1))&lt;VALUE(RIGHT(T46,1)),1,0))=1,IF(VALUE(LEFT(T46,1))&lt;VALUE(RIGHT(T46,1)),1,0),"")</f>
        <v>1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1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3</v>
      </c>
    </row>
    <row r="47" spans="1:26">
      <c r="A47" s="18"/>
      <c r="B47" s="22">
        <v>2</v>
      </c>
      <c r="C47" s="276" t="s">
        <v>46</v>
      </c>
      <c r="D47" s="272"/>
      <c r="E47" s="253" t="s">
        <v>512</v>
      </c>
      <c r="F47" s="254"/>
      <c r="G47" s="255"/>
      <c r="H47" s="253" t="s">
        <v>512</v>
      </c>
      <c r="I47" s="254"/>
      <c r="J47" s="255"/>
      <c r="K47" s="253" t="s">
        <v>508</v>
      </c>
      <c r="L47" s="254"/>
      <c r="M47" s="255"/>
      <c r="N47" s="253"/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0:3</v>
      </c>
      <c r="U47" s="262">
        <f t="shared" ref="U47:U52" si="6">IF(TYPE(IF(VALUE(LEFT(T47,1))&gt;VALUE(RIGHT(T47,1)),1,0))=1,IF(VALUE(LEFT(T47,1))&gt;VALUE(RIGHT(T47,1)),1,0),"")</f>
        <v>0</v>
      </c>
      <c r="V47" s="264"/>
      <c r="W47" s="262">
        <f t="shared" ref="W47:W52" si="7">IF(TYPE(IF(VALUE(LEFT(T47,1))&lt;VALUE(RIGHT(T47,1)),1,0))=1,IF(VALUE(LEFT(T47,1))&lt;VALUE(RIGHT(T47,1)),1,0),"")</f>
        <v>1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0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3</v>
      </c>
    </row>
    <row r="48" spans="1:26">
      <c r="A48" s="18"/>
      <c r="B48" s="22">
        <v>3</v>
      </c>
      <c r="C48" s="276" t="s">
        <v>47</v>
      </c>
      <c r="D48" s="272"/>
      <c r="E48" s="253" t="s">
        <v>531</v>
      </c>
      <c r="F48" s="254"/>
      <c r="G48" s="255"/>
      <c r="H48" s="253" t="s">
        <v>523</v>
      </c>
      <c r="I48" s="254"/>
      <c r="J48" s="255"/>
      <c r="K48" s="253" t="s">
        <v>522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0:3</v>
      </c>
      <c r="U48" s="262">
        <f t="shared" si="6"/>
        <v>0</v>
      </c>
      <c r="V48" s="264"/>
      <c r="W48" s="262">
        <f t="shared" si="7"/>
        <v>1</v>
      </c>
      <c r="X48" s="264"/>
      <c r="Y48">
        <f t="shared" si="8"/>
        <v>0</v>
      </c>
      <c r="Z48" s="18">
        <f t="shared" si="9"/>
        <v>3</v>
      </c>
    </row>
    <row r="49" spans="1:26">
      <c r="A49" s="18"/>
      <c r="B49" s="22">
        <v>4</v>
      </c>
      <c r="C49" s="276" t="s">
        <v>533</v>
      </c>
      <c r="D49" s="272"/>
      <c r="E49" s="253" t="s">
        <v>523</v>
      </c>
      <c r="F49" s="254"/>
      <c r="G49" s="255"/>
      <c r="H49" s="253" t="s">
        <v>509</v>
      </c>
      <c r="I49" s="254"/>
      <c r="J49" s="255"/>
      <c r="K49" s="253" t="s">
        <v>526</v>
      </c>
      <c r="L49" s="254"/>
      <c r="M49" s="255"/>
      <c r="N49" s="253" t="s">
        <v>510</v>
      </c>
      <c r="O49" s="254"/>
      <c r="P49" s="255"/>
      <c r="Q49" s="253"/>
      <c r="R49" s="254"/>
      <c r="S49" s="255"/>
      <c r="T49" s="123" t="str">
        <f t="shared" si="5"/>
        <v>1:3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1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/>
      <c r="F50" s="254"/>
      <c r="G50" s="255"/>
      <c r="H50" s="253"/>
      <c r="I50" s="254"/>
      <c r="J50" s="255"/>
      <c r="K50" s="253"/>
      <c r="L50" s="254"/>
      <c r="M50" s="255"/>
      <c r="N50" s="253"/>
      <c r="O50" s="254"/>
      <c r="P50" s="255"/>
      <c r="Q50" s="253"/>
      <c r="R50" s="254"/>
      <c r="S50" s="255"/>
      <c r="T50" s="123" t="str">
        <f t="shared" si="5"/>
        <v/>
      </c>
      <c r="U50" s="262" t="str">
        <f t="shared" si="6"/>
        <v/>
      </c>
      <c r="V50" s="264"/>
      <c r="W50" s="262" t="str">
        <f t="shared" si="7"/>
        <v/>
      </c>
      <c r="X50" s="264"/>
      <c r="Y50">
        <f t="shared" si="8"/>
        <v>0</v>
      </c>
      <c r="Z50" s="18">
        <f t="shared" si="9"/>
        <v>0</v>
      </c>
    </row>
    <row r="51" spans="1:26">
      <c r="A51" s="18"/>
      <c r="B51" s="24">
        <v>6</v>
      </c>
      <c r="C51" s="271" t="s">
        <v>49</v>
      </c>
      <c r="D51" s="272"/>
      <c r="E51" s="253"/>
      <c r="F51" s="254"/>
      <c r="G51" s="255"/>
      <c r="H51" s="253"/>
      <c r="I51" s="254"/>
      <c r="J51" s="255"/>
      <c r="K51" s="253"/>
      <c r="L51" s="254"/>
      <c r="M51" s="255"/>
      <c r="N51" s="253"/>
      <c r="O51" s="254"/>
      <c r="P51" s="255"/>
      <c r="Q51" s="253"/>
      <c r="R51" s="254"/>
      <c r="S51" s="255"/>
      <c r="T51" s="123" t="str">
        <f t="shared" si="5"/>
        <v/>
      </c>
      <c r="U51" s="262" t="str">
        <f t="shared" si="6"/>
        <v/>
      </c>
      <c r="V51" s="264"/>
      <c r="W51" s="262" t="str">
        <f t="shared" si="7"/>
        <v/>
      </c>
      <c r="X51" s="264"/>
      <c r="Y51">
        <f t="shared" si="8"/>
        <v>0</v>
      </c>
      <c r="Z51" s="18">
        <f t="shared" si="9"/>
        <v>0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0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45380</v>
      </c>
      <c r="F65" s="278"/>
      <c r="G65" s="278"/>
      <c r="H65" s="278"/>
      <c r="I65" s="278"/>
      <c r="J65" s="19" t="s">
        <v>30</v>
      </c>
      <c r="K65" s="19"/>
      <c r="L65" s="281" t="str">
        <f>L5</f>
        <v>16.00</v>
      </c>
      <c r="M65" s="281"/>
      <c r="N65" s="19" t="s">
        <v>31</v>
      </c>
      <c r="O65" s="19"/>
      <c r="P65" s="19" t="str">
        <f>P5</f>
        <v>III</v>
      </c>
      <c r="Q65" s="19"/>
      <c r="R65" s="19"/>
      <c r="S65" s="19" t="s">
        <v>32</v>
      </c>
      <c r="T65" s="19"/>
      <c r="U65" s="19">
        <v>3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234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233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386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374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388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370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387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373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/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/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Meeskond5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Meeskond4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512</v>
      </c>
      <c r="F76" s="254"/>
      <c r="G76" s="255"/>
      <c r="H76" s="253" t="s">
        <v>511</v>
      </c>
      <c r="I76" s="254"/>
      <c r="J76" s="255"/>
      <c r="K76" s="253" t="s">
        <v>508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0:3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0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512</v>
      </c>
      <c r="F77" s="254"/>
      <c r="G77" s="255"/>
      <c r="H77" s="253" t="s">
        <v>531</v>
      </c>
      <c r="I77" s="254"/>
      <c r="J77" s="255"/>
      <c r="K77" s="253" t="s">
        <v>531</v>
      </c>
      <c r="L77" s="254"/>
      <c r="M77" s="255"/>
      <c r="N77" s="253"/>
      <c r="O77" s="254"/>
      <c r="P77" s="255"/>
      <c r="Q77" s="253"/>
      <c r="R77" s="254"/>
      <c r="S77" s="255"/>
      <c r="T77" s="123" t="str">
        <f t="shared" ref="T77:T82" si="10">IF(ISBLANK(E77)=TRUE,"",VALUE(Y77)&amp;":"&amp;VALUE(Z77))</f>
        <v>0:3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0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507</v>
      </c>
      <c r="F78" s="254"/>
      <c r="G78" s="255"/>
      <c r="H78" s="253" t="s">
        <v>522</v>
      </c>
      <c r="I78" s="254"/>
      <c r="J78" s="255"/>
      <c r="K78" s="253" t="s">
        <v>521</v>
      </c>
      <c r="L78" s="254"/>
      <c r="M78" s="255"/>
      <c r="N78" s="253" t="s">
        <v>501</v>
      </c>
      <c r="O78" s="254"/>
      <c r="P78" s="255"/>
      <c r="Q78" s="253" t="s">
        <v>507</v>
      </c>
      <c r="R78" s="254"/>
      <c r="S78" s="255"/>
      <c r="T78" s="123" t="str">
        <f t="shared" si="10"/>
        <v>2:3</v>
      </c>
      <c r="U78" s="262">
        <f t="shared" si="11"/>
        <v>0</v>
      </c>
      <c r="V78" s="264"/>
      <c r="W78" s="262">
        <f t="shared" si="12"/>
        <v>1</v>
      </c>
      <c r="X78" s="264"/>
      <c r="Y78">
        <f t="shared" si="13"/>
        <v>2</v>
      </c>
      <c r="Z78" s="18">
        <f t="shared" si="14"/>
        <v>3</v>
      </c>
    </row>
    <row r="79" spans="1:26">
      <c r="A79" s="18"/>
      <c r="B79" s="22">
        <v>4</v>
      </c>
      <c r="C79" s="276" t="s">
        <v>529</v>
      </c>
      <c r="D79" s="272"/>
      <c r="E79" s="253" t="s">
        <v>576</v>
      </c>
      <c r="F79" s="254"/>
      <c r="G79" s="255"/>
      <c r="H79" s="253" t="s">
        <v>522</v>
      </c>
      <c r="I79" s="254"/>
      <c r="J79" s="255"/>
      <c r="K79" s="253" t="s">
        <v>522</v>
      </c>
      <c r="L79" s="254"/>
      <c r="M79" s="255"/>
      <c r="N79" s="253" t="s">
        <v>522</v>
      </c>
      <c r="O79" s="254"/>
      <c r="P79" s="255"/>
      <c r="Q79" s="253"/>
      <c r="R79" s="254"/>
      <c r="S79" s="255"/>
      <c r="T79" s="123" t="str">
        <f t="shared" si="10"/>
        <v>1:3</v>
      </c>
      <c r="U79" s="262">
        <f t="shared" si="11"/>
        <v>0</v>
      </c>
      <c r="V79" s="264"/>
      <c r="W79" s="262">
        <f t="shared" si="12"/>
        <v>1</v>
      </c>
      <c r="X79" s="264"/>
      <c r="Y79">
        <f t="shared" si="13"/>
        <v>1</v>
      </c>
      <c r="Z79" s="18">
        <f t="shared" si="14"/>
        <v>3</v>
      </c>
    </row>
    <row r="80" spans="1:26">
      <c r="A80" s="18"/>
      <c r="B80" s="24">
        <v>5</v>
      </c>
      <c r="C80" s="271" t="s">
        <v>48</v>
      </c>
      <c r="D80" s="272"/>
      <c r="E80" s="253"/>
      <c r="F80" s="254"/>
      <c r="G80" s="255"/>
      <c r="H80" s="253"/>
      <c r="I80" s="254"/>
      <c r="J80" s="255"/>
      <c r="K80" s="253"/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/>
      </c>
      <c r="U80" s="262" t="str">
        <f t="shared" si="11"/>
        <v/>
      </c>
      <c r="V80" s="264"/>
      <c r="W80" s="262" t="str">
        <f t="shared" si="12"/>
        <v/>
      </c>
      <c r="X80" s="264"/>
      <c r="Y80">
        <f t="shared" si="13"/>
        <v>0</v>
      </c>
      <c r="Z80" s="18">
        <f t="shared" si="14"/>
        <v>0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0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45380</v>
      </c>
      <c r="F95" s="278"/>
      <c r="G95" s="278"/>
      <c r="H95" s="278"/>
      <c r="I95" s="278"/>
      <c r="J95" s="19" t="s">
        <v>30</v>
      </c>
      <c r="K95" s="19"/>
      <c r="L95" s="281" t="str">
        <f>L5</f>
        <v>16.00</v>
      </c>
      <c r="M95" s="281"/>
      <c r="N95" s="19" t="s">
        <v>31</v>
      </c>
      <c r="O95" s="19"/>
      <c r="P95" s="19" t="str">
        <f>P5</f>
        <v>III</v>
      </c>
      <c r="Q95" s="19"/>
      <c r="R95" s="19"/>
      <c r="S95" s="19" t="s">
        <v>32</v>
      </c>
      <c r="T95" s="19"/>
      <c r="U95" s="19">
        <v>4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238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231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437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337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438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340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436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339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/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 t="s">
        <v>336</v>
      </c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/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 t="s">
        <v>338</v>
      </c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Meeskond8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Meeskond2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508</v>
      </c>
      <c r="F106" s="254"/>
      <c r="G106" s="255"/>
      <c r="H106" s="253" t="s">
        <v>512</v>
      </c>
      <c r="I106" s="254"/>
      <c r="J106" s="255"/>
      <c r="K106" s="253" t="s">
        <v>509</v>
      </c>
      <c r="L106" s="254"/>
      <c r="M106" s="255"/>
      <c r="N106" s="253"/>
      <c r="O106" s="254"/>
      <c r="P106" s="255"/>
      <c r="Q106" s="253"/>
      <c r="R106" s="254"/>
      <c r="S106" s="255"/>
      <c r="T106" s="123" t="str">
        <f>IF(ISBLANK(E106)=TRUE,"",VALUE(Y106)&amp;":"&amp;VALUE(Z106))</f>
        <v>0:3</v>
      </c>
      <c r="U106" s="262">
        <f>IF(TYPE(IF(VALUE(LEFT(T106,1))&gt;VALUE(RIGHT(T106,1)),1,0))=1,IF(VALUE(LEFT(T106,1))&gt;VALUE(RIGHT(T106,1)),1,0),"")</f>
        <v>0</v>
      </c>
      <c r="V106" s="264"/>
      <c r="W106" s="262">
        <f>IF(TYPE(IF(VALUE(LEFT(T106,1))&lt;VALUE(RIGHT(T106,1)),1,0))=1,IF(VALUE(LEFT(T106,1))&lt;VALUE(RIGHT(T106,1)),1,0),"")</f>
        <v>1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0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3</v>
      </c>
    </row>
    <row r="107" spans="1:26">
      <c r="A107" s="18"/>
      <c r="B107" s="22">
        <v>2</v>
      </c>
      <c r="C107" s="276" t="s">
        <v>46</v>
      </c>
      <c r="D107" s="272"/>
      <c r="E107" s="253" t="s">
        <v>528</v>
      </c>
      <c r="F107" s="254"/>
      <c r="G107" s="255"/>
      <c r="H107" s="253" t="s">
        <v>534</v>
      </c>
      <c r="I107" s="254"/>
      <c r="J107" s="255"/>
      <c r="K107" s="253" t="s">
        <v>512</v>
      </c>
      <c r="L107" s="254"/>
      <c r="M107" s="255"/>
      <c r="N107" s="253" t="s">
        <v>510</v>
      </c>
      <c r="O107" s="254"/>
      <c r="P107" s="255"/>
      <c r="Q107" s="253"/>
      <c r="R107" s="254"/>
      <c r="S107" s="255"/>
      <c r="T107" s="123" t="str">
        <f t="shared" ref="T107:T112" si="15">IF(ISBLANK(E107)=TRUE,"",VALUE(Y107)&amp;":"&amp;VALUE(Z107))</f>
        <v>1:3</v>
      </c>
      <c r="U107" s="262">
        <f t="shared" ref="U107:U112" si="16">IF(TYPE(IF(VALUE(LEFT(T107,1))&gt;VALUE(RIGHT(T107,1)),1,0))=1,IF(VALUE(LEFT(T107,1))&gt;VALUE(RIGHT(T107,1)),1,0),"")</f>
        <v>0</v>
      </c>
      <c r="V107" s="264"/>
      <c r="W107" s="262">
        <f t="shared" ref="W107:W112" si="17">IF(TYPE(IF(VALUE(LEFT(T107,1))&lt;VALUE(RIGHT(T107,1)),1,0))=1,IF(VALUE(LEFT(T107,1))&lt;VALUE(RIGHT(T107,1)),1,0),"")</f>
        <v>1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1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3</v>
      </c>
    </row>
    <row r="108" spans="1:26">
      <c r="A108" s="18"/>
      <c r="B108" s="22">
        <v>3</v>
      </c>
      <c r="C108" s="276" t="s">
        <v>47</v>
      </c>
      <c r="D108" s="272"/>
      <c r="E108" s="253" t="s">
        <v>531</v>
      </c>
      <c r="F108" s="254"/>
      <c r="G108" s="255"/>
      <c r="H108" s="253" t="s">
        <v>507</v>
      </c>
      <c r="I108" s="254"/>
      <c r="J108" s="255"/>
      <c r="K108" s="253" t="s">
        <v>508</v>
      </c>
      <c r="L108" s="254"/>
      <c r="M108" s="255"/>
      <c r="N108" s="253"/>
      <c r="O108" s="254"/>
      <c r="P108" s="255"/>
      <c r="Q108" s="253"/>
      <c r="R108" s="254"/>
      <c r="S108" s="255"/>
      <c r="T108" s="123" t="str">
        <f t="shared" si="15"/>
        <v>0:3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0</v>
      </c>
      <c r="Z108" s="18">
        <f t="shared" si="19"/>
        <v>3</v>
      </c>
    </row>
    <row r="109" spans="1:26">
      <c r="A109" s="18"/>
      <c r="B109" s="22">
        <v>4</v>
      </c>
      <c r="C109" s="276" t="s">
        <v>533</v>
      </c>
      <c r="D109" s="272"/>
      <c r="E109" s="253" t="s">
        <v>522</v>
      </c>
      <c r="F109" s="254"/>
      <c r="G109" s="255"/>
      <c r="H109" s="253" t="s">
        <v>509</v>
      </c>
      <c r="I109" s="254"/>
      <c r="J109" s="255"/>
      <c r="K109" s="253" t="s">
        <v>522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0:3</v>
      </c>
      <c r="U109" s="262">
        <f t="shared" si="16"/>
        <v>0</v>
      </c>
      <c r="V109" s="264"/>
      <c r="W109" s="262">
        <f t="shared" si="17"/>
        <v>1</v>
      </c>
      <c r="X109" s="264"/>
      <c r="Y109">
        <f t="shared" si="18"/>
        <v>0</v>
      </c>
      <c r="Z109" s="18">
        <f t="shared" si="19"/>
        <v>3</v>
      </c>
    </row>
    <row r="110" spans="1:26">
      <c r="A110" s="18"/>
      <c r="B110" s="24">
        <v>5</v>
      </c>
      <c r="C110" s="271" t="s">
        <v>48</v>
      </c>
      <c r="D110" s="272"/>
      <c r="E110" s="253"/>
      <c r="F110" s="254"/>
      <c r="G110" s="255"/>
      <c r="H110" s="253"/>
      <c r="I110" s="254"/>
      <c r="J110" s="255"/>
      <c r="K110" s="253"/>
      <c r="L110" s="254"/>
      <c r="M110" s="255"/>
      <c r="N110" s="253"/>
      <c r="O110" s="254"/>
      <c r="P110" s="255"/>
      <c r="Q110" s="253"/>
      <c r="R110" s="254"/>
      <c r="S110" s="255"/>
      <c r="T110" s="123" t="str">
        <f t="shared" si="15"/>
        <v/>
      </c>
      <c r="U110" s="262" t="str">
        <f t="shared" si="16"/>
        <v/>
      </c>
      <c r="V110" s="264"/>
      <c r="W110" s="262" t="str">
        <f t="shared" si="17"/>
        <v/>
      </c>
      <c r="X110" s="264"/>
      <c r="Y110">
        <f t="shared" si="18"/>
        <v>0</v>
      </c>
      <c r="Z110" s="18">
        <f t="shared" si="19"/>
        <v>0</v>
      </c>
    </row>
    <row r="111" spans="1:26">
      <c r="A111" s="18"/>
      <c r="B111" s="24">
        <v>6</v>
      </c>
      <c r="C111" s="271" t="s">
        <v>49</v>
      </c>
      <c r="D111" s="272"/>
      <c r="E111" s="253"/>
      <c r="F111" s="254"/>
      <c r="G111" s="255"/>
      <c r="H111" s="253"/>
      <c r="I111" s="254"/>
      <c r="J111" s="255"/>
      <c r="K111" s="253"/>
      <c r="L111" s="254"/>
      <c r="M111" s="255"/>
      <c r="N111" s="253"/>
      <c r="O111" s="254"/>
      <c r="P111" s="255"/>
      <c r="Q111" s="253"/>
      <c r="R111" s="254"/>
      <c r="S111" s="255"/>
      <c r="T111" s="123" t="str">
        <f t="shared" si="15"/>
        <v/>
      </c>
      <c r="U111" s="262" t="str">
        <f t="shared" si="16"/>
        <v/>
      </c>
      <c r="V111" s="264"/>
      <c r="W111" s="262" t="str">
        <f t="shared" si="17"/>
        <v/>
      </c>
      <c r="X111" s="264"/>
      <c r="Y111">
        <f t="shared" si="18"/>
        <v>0</v>
      </c>
      <c r="Z111" s="18">
        <f t="shared" si="19"/>
        <v>0</v>
      </c>
    </row>
    <row r="112" spans="1:26">
      <c r="A112" s="18"/>
      <c r="B112" s="24">
        <v>7</v>
      </c>
      <c r="C112" s="266" t="s">
        <v>50</v>
      </c>
      <c r="D112" s="267"/>
      <c r="E112" s="253"/>
      <c r="F112" s="254"/>
      <c r="G112" s="255"/>
      <c r="H112" s="253"/>
      <c r="I112" s="254"/>
      <c r="J112" s="255"/>
      <c r="K112" s="253"/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/>
      </c>
      <c r="U112" s="262" t="str">
        <f t="shared" si="16"/>
        <v/>
      </c>
      <c r="V112" s="264"/>
      <c r="W112" s="262" t="str">
        <f t="shared" si="17"/>
        <v/>
      </c>
      <c r="X112" s="264"/>
      <c r="Y112">
        <f t="shared" si="18"/>
        <v>0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0</v>
      </c>
      <c r="V113" s="274"/>
      <c r="W113" s="273">
        <f>IF(ISBLANK(E106)=TRUE,"",SUM(W106:W112))</f>
        <v>4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4:D14"/>
    <mergeCell ref="E14:G14"/>
    <mergeCell ref="H14:J14"/>
    <mergeCell ref="K14:M14"/>
    <mergeCell ref="N14:P14"/>
    <mergeCell ref="Q14:S14"/>
    <mergeCell ref="U14:X14"/>
    <mergeCell ref="B15:D15"/>
    <mergeCell ref="U15:V15"/>
    <mergeCell ref="W15:X15"/>
    <mergeCell ref="T14:T15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3:V23"/>
    <mergeCell ref="W23:X23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U44:X44"/>
    <mergeCell ref="B45:D45"/>
    <mergeCell ref="U45:V45"/>
    <mergeCell ref="W45:X45"/>
    <mergeCell ref="C46:D46"/>
    <mergeCell ref="E46:G46"/>
    <mergeCell ref="H46:J46"/>
    <mergeCell ref="K46:M46"/>
    <mergeCell ref="N46:P46"/>
    <mergeCell ref="Q46:S46"/>
    <mergeCell ref="U46:V46"/>
    <mergeCell ref="W46:X46"/>
    <mergeCell ref="T44:T45"/>
    <mergeCell ref="C47:D47"/>
    <mergeCell ref="E47:G47"/>
    <mergeCell ref="H47:J47"/>
    <mergeCell ref="K47:M47"/>
    <mergeCell ref="N47:P47"/>
    <mergeCell ref="Q47:S47"/>
    <mergeCell ref="U47:V47"/>
    <mergeCell ref="W47:X47"/>
    <mergeCell ref="U48:V48"/>
    <mergeCell ref="W48:X48"/>
    <mergeCell ref="C49:D49"/>
    <mergeCell ref="E49:G49"/>
    <mergeCell ref="H49:J49"/>
    <mergeCell ref="K49:M49"/>
    <mergeCell ref="N49:P49"/>
    <mergeCell ref="Q49:S49"/>
    <mergeCell ref="U49:V49"/>
    <mergeCell ref="W49:X49"/>
    <mergeCell ref="C48:D48"/>
    <mergeCell ref="E48:G48"/>
    <mergeCell ref="H48:J48"/>
    <mergeCell ref="K48:M48"/>
    <mergeCell ref="N48:P48"/>
    <mergeCell ref="Q48:S48"/>
    <mergeCell ref="U50:V50"/>
    <mergeCell ref="W50:X50"/>
    <mergeCell ref="C51:D51"/>
    <mergeCell ref="E51:G51"/>
    <mergeCell ref="H51:J51"/>
    <mergeCell ref="K51:M51"/>
    <mergeCell ref="N51:P51"/>
    <mergeCell ref="Q51:S51"/>
    <mergeCell ref="U51:V51"/>
    <mergeCell ref="W51:X51"/>
    <mergeCell ref="C50:D50"/>
    <mergeCell ref="E50:G50"/>
    <mergeCell ref="H50:J50"/>
    <mergeCell ref="K50:M50"/>
    <mergeCell ref="N50:P50"/>
    <mergeCell ref="Q50:S50"/>
    <mergeCell ref="B58:D58"/>
    <mergeCell ref="J58:L58"/>
    <mergeCell ref="Q58:S58"/>
    <mergeCell ref="B61:G61"/>
    <mergeCell ref="B63:O63"/>
    <mergeCell ref="S63:W63"/>
    <mergeCell ref="U52:V52"/>
    <mergeCell ref="W52:X52"/>
    <mergeCell ref="E53:G53"/>
    <mergeCell ref="B55:D55"/>
    <mergeCell ref="J55:L55"/>
    <mergeCell ref="Q55:S55"/>
    <mergeCell ref="C52:D52"/>
    <mergeCell ref="E52:G52"/>
    <mergeCell ref="H52:J52"/>
    <mergeCell ref="K52:M52"/>
    <mergeCell ref="N52:P52"/>
    <mergeCell ref="Q52:S52"/>
    <mergeCell ref="U53:V53"/>
    <mergeCell ref="W53:X53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U74:X74"/>
    <mergeCell ref="B75:D75"/>
    <mergeCell ref="U75:V75"/>
    <mergeCell ref="W75:X75"/>
    <mergeCell ref="C76:D76"/>
    <mergeCell ref="E76:G76"/>
    <mergeCell ref="H76:J76"/>
    <mergeCell ref="K76:M76"/>
    <mergeCell ref="N76:P76"/>
    <mergeCell ref="Q76:S76"/>
    <mergeCell ref="U76:V76"/>
    <mergeCell ref="W76:X76"/>
    <mergeCell ref="T74:T75"/>
    <mergeCell ref="C77:D77"/>
    <mergeCell ref="E77:G77"/>
    <mergeCell ref="H77:J77"/>
    <mergeCell ref="K77:M77"/>
    <mergeCell ref="N77:P77"/>
    <mergeCell ref="Q77:S77"/>
    <mergeCell ref="U77:V77"/>
    <mergeCell ref="W77:X77"/>
    <mergeCell ref="U78:V78"/>
    <mergeCell ref="W78:X78"/>
    <mergeCell ref="C79:D79"/>
    <mergeCell ref="E79:G79"/>
    <mergeCell ref="H79:J79"/>
    <mergeCell ref="K79:M79"/>
    <mergeCell ref="N79:P79"/>
    <mergeCell ref="Q79:S79"/>
    <mergeCell ref="U79:V79"/>
    <mergeCell ref="W79:X79"/>
    <mergeCell ref="C78:D78"/>
    <mergeCell ref="E78:G78"/>
    <mergeCell ref="H78:J78"/>
    <mergeCell ref="K78:M78"/>
    <mergeCell ref="N78:P78"/>
    <mergeCell ref="Q78:S78"/>
    <mergeCell ref="U80:V80"/>
    <mergeCell ref="W80:X80"/>
    <mergeCell ref="C81:D81"/>
    <mergeCell ref="E81:G81"/>
    <mergeCell ref="H81:J81"/>
    <mergeCell ref="K81:M81"/>
    <mergeCell ref="N81:P81"/>
    <mergeCell ref="Q81:S81"/>
    <mergeCell ref="U81:V81"/>
    <mergeCell ref="W81:X81"/>
    <mergeCell ref="C80:D80"/>
    <mergeCell ref="E80:G80"/>
    <mergeCell ref="H80:J80"/>
    <mergeCell ref="K80:M80"/>
    <mergeCell ref="N80:P80"/>
    <mergeCell ref="Q80:S80"/>
    <mergeCell ref="B88:D88"/>
    <mergeCell ref="J88:L88"/>
    <mergeCell ref="Q88:S88"/>
    <mergeCell ref="B91:G91"/>
    <mergeCell ref="B93:O93"/>
    <mergeCell ref="S93:W93"/>
    <mergeCell ref="U82:V82"/>
    <mergeCell ref="W82:X82"/>
    <mergeCell ref="E83:G83"/>
    <mergeCell ref="B85:D85"/>
    <mergeCell ref="J85:L85"/>
    <mergeCell ref="Q85:S85"/>
    <mergeCell ref="C82:D82"/>
    <mergeCell ref="E82:G82"/>
    <mergeCell ref="H82:J82"/>
    <mergeCell ref="K82:M82"/>
    <mergeCell ref="N82:P82"/>
    <mergeCell ref="Q82:S82"/>
    <mergeCell ref="U83:V83"/>
    <mergeCell ref="W83:X83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U104:X104"/>
    <mergeCell ref="B105:D105"/>
    <mergeCell ref="U105:V105"/>
    <mergeCell ref="W105:X105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T104:T105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U108:V108"/>
    <mergeCell ref="W108:X108"/>
    <mergeCell ref="C109:D109"/>
    <mergeCell ref="E109:G109"/>
    <mergeCell ref="H109:J109"/>
    <mergeCell ref="K109:M109"/>
    <mergeCell ref="N109:P109"/>
    <mergeCell ref="Q109:S109"/>
    <mergeCell ref="U109:V109"/>
    <mergeCell ref="W109:X109"/>
    <mergeCell ref="C108:D108"/>
    <mergeCell ref="E108:G108"/>
    <mergeCell ref="H108:J108"/>
    <mergeCell ref="K108:M108"/>
    <mergeCell ref="N108:P108"/>
    <mergeCell ref="Q108:S108"/>
    <mergeCell ref="U110:V110"/>
    <mergeCell ref="W110:X110"/>
    <mergeCell ref="C111:D111"/>
    <mergeCell ref="E111:G111"/>
    <mergeCell ref="H111:J111"/>
    <mergeCell ref="K111:M111"/>
    <mergeCell ref="N111:P111"/>
    <mergeCell ref="Q111:S111"/>
    <mergeCell ref="U111:V111"/>
    <mergeCell ref="W111:X111"/>
    <mergeCell ref="C110:D110"/>
    <mergeCell ref="E110:G110"/>
    <mergeCell ref="H110:J110"/>
    <mergeCell ref="K110:M110"/>
    <mergeCell ref="N110:P110"/>
    <mergeCell ref="Q110:S110"/>
    <mergeCell ref="B118:D118"/>
    <mergeCell ref="J118:L118"/>
    <mergeCell ref="Q118:S118"/>
    <mergeCell ref="U112:V112"/>
    <mergeCell ref="W112:X112"/>
    <mergeCell ref="E113:G113"/>
    <mergeCell ref="B115:D115"/>
    <mergeCell ref="J115:L115"/>
    <mergeCell ref="Q115:S115"/>
    <mergeCell ref="C112:D112"/>
    <mergeCell ref="E112:G112"/>
    <mergeCell ref="H112:J112"/>
    <mergeCell ref="K112:M112"/>
    <mergeCell ref="N112:P112"/>
    <mergeCell ref="Q112:S112"/>
    <mergeCell ref="U113:V113"/>
    <mergeCell ref="W113:X113"/>
  </mergeCells>
  <conditionalFormatting sqref="C8:K12 N8:N12">
    <cfRule type="expression" dxfId="118" priority="4" stopIfTrue="1">
      <formula>ISNA(C8)</formula>
    </cfRule>
  </conditionalFormatting>
  <conditionalFormatting sqref="C38:K42 N38:N42">
    <cfRule type="expression" dxfId="117" priority="3" stopIfTrue="1">
      <formula>ISNA(C38)</formula>
    </cfRule>
  </conditionalFormatting>
  <conditionalFormatting sqref="C68:K72 N68:W72">
    <cfRule type="expression" dxfId="116" priority="2" stopIfTrue="1">
      <formula>ISNA(C68)</formula>
    </cfRule>
  </conditionalFormatting>
  <conditionalFormatting sqref="C98:K102 N98:W102">
    <cfRule type="expression" dxfId="115" priority="1" stopIfTrue="1">
      <formula>ISNA(C98)</formula>
    </cfRule>
  </conditionalFormatting>
  <dataValidations count="9">
    <dataValidation type="list" allowBlank="1" showInputMessage="1" showErrorMessage="1" sqref="N38:N42" xr:uid="{5F9696B2-3C15-4B5A-B895-5ABBECC4A145}">
      <formula1>INDIRECT($W$43)</formula1>
    </dataValidation>
    <dataValidation type="list" allowBlank="1" showInputMessage="1" showErrorMessage="1" sqref="N68:W72" xr:uid="{76F88003-5C59-4369-895A-7571DD0C5F64}">
      <formula1>INDIRECT($W$73)</formula1>
    </dataValidation>
    <dataValidation type="list" allowBlank="1" showInputMessage="1" showErrorMessage="1" sqref="N98:W102" xr:uid="{FD0C8D6E-15FC-4E4C-AEDF-1C64E4340E96}">
      <formula1>INDIRECT($W$103)</formula1>
    </dataValidation>
    <dataValidation type="list" allowBlank="1" showInputMessage="1" showErrorMessage="1" sqref="C38:K42" xr:uid="{188C32F4-BDFF-42B0-B307-38F0ADB97E25}">
      <formula1>INDIRECT($K$43)</formula1>
    </dataValidation>
    <dataValidation type="list" allowBlank="1" showInputMessage="1" showErrorMessage="1" sqref="C68:K72" xr:uid="{EB35247C-4F0A-484C-B52E-B11E4F128811}">
      <formula1>INDIRECT($K$73)</formula1>
    </dataValidation>
    <dataValidation type="list" allowBlank="1" showInputMessage="1" showErrorMessage="1" sqref="C98:K102" xr:uid="{6F4FC4D6-4BB6-4706-94B7-F90F17A9E1EA}">
      <formula1>INDIRECT($K$103)</formula1>
    </dataValidation>
    <dataValidation type="list" allowBlank="1" showInputMessage="1" showErrorMessage="1" sqref="G37:L37 R37:X37 R7:X7 R97:X97 G67:L67 R67:X67 G97:L97 G7:L7" xr:uid="{EC534738-4E9D-4685-AFB2-57A9B90262EB}">
      <formula1>Mansad</formula1>
    </dataValidation>
    <dataValidation type="list" allowBlank="1" showInputMessage="1" showErrorMessage="1" sqref="N8:N12" xr:uid="{D3EFC23D-6054-4669-8859-40A9B2B32EAC}">
      <formula1>INDIRECT($W$13)</formula1>
    </dataValidation>
    <dataValidation type="list" allowBlank="1" showInputMessage="1" showErrorMessage="1" sqref="C8:K12" xr:uid="{7CFD3440-FF18-4F15-9930-31D4F88DC6B1}">
      <formula1>INDIRECT($K$13)</formula1>
    </dataValidation>
  </dataValidations>
  <pageMargins left="0.7" right="0.7" top="0.75" bottom="0.75" header="0.3" footer="0.3"/>
  <pageSetup paperSize="11" scale="73" fitToHeight="0" orientation="landscape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R126"/>
  <sheetViews>
    <sheetView zoomScale="85" zoomScaleNormal="85" workbookViewId="0">
      <selection activeCell="E32" sqref="E32"/>
    </sheetView>
  </sheetViews>
  <sheetFormatPr defaultColWidth="9.28515625" defaultRowHeight="12.75"/>
  <cols>
    <col min="1" max="1" width="13.710937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hidden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462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463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0</v>
      </c>
      <c r="C7" s="4" t="str">
        <f>I_voor_1p!G7</f>
        <v>Tiim FORUS - Maardu LTK</v>
      </c>
      <c r="D7" s="3">
        <f>IF(K8="","",SUM(M8:M15))</f>
        <v>4</v>
      </c>
      <c r="E7" s="4" t="str">
        <f>I_voor_1p!R7</f>
        <v>Viimsi PINX</v>
      </c>
      <c r="F7" s="5" t="s">
        <v>2</v>
      </c>
      <c r="G7" s="5" t="s">
        <v>3</v>
      </c>
      <c r="H7" s="5" t="s">
        <v>4</v>
      </c>
      <c r="I7" s="5" t="s">
        <v>5</v>
      </c>
      <c r="J7" s="5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128</v>
      </c>
      <c r="B8" s="9" t="s">
        <v>9</v>
      </c>
      <c r="C8" s="8" t="str">
        <f>VLOOKUP(B8,I_voor_1p!$B$8:$K$12,2,FALSE)</f>
        <v>Lauri LAANE</v>
      </c>
      <c r="D8" s="9" t="s">
        <v>10</v>
      </c>
      <c r="E8" s="8" t="str">
        <f>VLOOKUP(D8,I_voor_1p!$M$8:$W$12,2,FALSE)</f>
        <v>Daniel KOSIBA</v>
      </c>
      <c r="F8" s="9" t="str">
        <f>IF(I_voor_1p!E16=0,"",I_voor_1p!E16)</f>
        <v>7:11</v>
      </c>
      <c r="G8" s="9" t="str">
        <f>IF(I_voor_1p!H16=0,"",I_voor_1p!H16)</f>
        <v>7:11</v>
      </c>
      <c r="H8" s="9" t="str">
        <f>IF(I_voor_1p!K16=0,"",I_voor_1p!K16)</f>
        <v>6:11</v>
      </c>
      <c r="I8" s="9" t="str">
        <f>IF(I_voor_1p!N16=0,"",I_voor_1p!N16)</f>
        <v/>
      </c>
      <c r="J8" s="9" t="str">
        <f>IF(I_voor_1p!Q16=0,"",I_voor_1p!Q16)</f>
        <v/>
      </c>
      <c r="K8" s="53" t="str">
        <f>IF(F8="","",CONCATENATE(Abitabel2!G2,":",Abitabel2!N2))</f>
        <v>0:3</v>
      </c>
      <c r="L8" s="35">
        <f>IF(K8="","",IF(LEFT(K8,1)&lt;RIGHT(K8,1),0,1))</f>
        <v>0</v>
      </c>
      <c r="M8" s="35">
        <f>IF(K8="","",IF(LEFT(K8,1)&gt;RIGHT(K8,1),0,1))</f>
        <v>1</v>
      </c>
      <c r="Q8" s="1" t="str">
        <f>IF(OR(LEFT(K8,1)="3",RIGHT(K8,1)="3"),"","ERROR")</f>
        <v/>
      </c>
    </row>
    <row r="9" spans="1:18">
      <c r="A9" s="7" t="s">
        <v>80</v>
      </c>
      <c r="B9" s="9" t="s">
        <v>11</v>
      </c>
      <c r="C9" s="8" t="str">
        <f>VLOOKUP(B9,I_voor_1p!$B$8:$K$12,2,FALSE)</f>
        <v>Sergei DANILOV</v>
      </c>
      <c r="D9" s="9" t="s">
        <v>12</v>
      </c>
      <c r="E9" s="8" t="str">
        <f>VLOOKUP(D9,I_voor_1p!$M$8:$W$12,2,FALSE)</f>
        <v>Maksim VUHKA</v>
      </c>
      <c r="F9" s="9" t="str">
        <f>IF(I_voor_1p!E17=0,"",I_voor_1p!E17)</f>
        <v>3:11</v>
      </c>
      <c r="G9" s="9" t="str">
        <f>IF(I_voor_1p!H17=0,"",I_voor_1p!H17)</f>
        <v>5:11</v>
      </c>
      <c r="H9" s="9" t="str">
        <f>IF(I_voor_1p!K17=0,"",I_voor_1p!K17)</f>
        <v>2:11</v>
      </c>
      <c r="I9" s="9" t="str">
        <f>IF(I_voor_1p!N17=0,"",I_voor_1p!N17)</f>
        <v/>
      </c>
      <c r="J9" s="9" t="str">
        <f>IF(I_voor_1p!Q17=0,"",I_voor_1p!Q17)</f>
        <v/>
      </c>
      <c r="K9" s="53" t="str">
        <f>IF(F9="","",CONCATENATE(Abitabel2!G3,":",Abitabel2!N3))</f>
        <v>0:3</v>
      </c>
      <c r="L9" s="35">
        <f t="shared" ref="L9:L10" si="0">IF(K9="","",IF(LEFT(K9,1)&lt;RIGHT(K9,1),0,1))</f>
        <v>0</v>
      </c>
      <c r="M9" s="35">
        <f t="shared" ref="M9:M10" si="1">IF(K9="","",IF(LEFT(K9,1)&gt;RIGHT(K9,1),0,1))</f>
        <v>1</v>
      </c>
      <c r="Q9" s="1" t="str">
        <f t="shared" ref="Q9:Q71" si="2">IF(OR(LEFT(K9,1)="3",RIGHT(K9,1)="3"),"","ERROR")</f>
        <v/>
      </c>
    </row>
    <row r="10" spans="1:18">
      <c r="A10" s="7"/>
      <c r="B10" s="9" t="s">
        <v>13</v>
      </c>
      <c r="C10" s="8" t="str">
        <f>VLOOKUP(B10,I_voor_1p!$B$8:$K$12,2,FALSE)</f>
        <v>Artjom HIISKU</v>
      </c>
      <c r="D10" s="9" t="s">
        <v>14</v>
      </c>
      <c r="E10" s="8" t="str">
        <f>VLOOKUP(D10,I_voor_1p!$M$8:$W$12,2,FALSE)</f>
        <v>Toomas LIBENE</v>
      </c>
      <c r="F10" s="9" t="str">
        <f>IF(I_voor_1p!E18=0,"",I_voor_1p!E18)</f>
        <v>6:11</v>
      </c>
      <c r="G10" s="9" t="str">
        <f>IF(I_voor_1p!H18=0,"",I_voor_1p!H18)</f>
        <v>2:11</v>
      </c>
      <c r="H10" s="9" t="str">
        <f>IF(I_voor_1p!K18=0,"",I_voor_1p!K18)</f>
        <v>4:11</v>
      </c>
      <c r="I10" s="9" t="str">
        <f>IF(I_voor_1p!N18=0,"",I_voor_1p!N18)</f>
        <v/>
      </c>
      <c r="J10" s="9" t="str">
        <f>IF(I_voor_1p!Q18=0,"",I_voor_1p!Q18)</f>
        <v/>
      </c>
      <c r="K10" s="53" t="str">
        <f>IF(F10="","",CONCATENATE(Abitabel2!G4,":",Abitabel2!N4))</f>
        <v>0:3</v>
      </c>
      <c r="L10" s="35">
        <f t="shared" si="0"/>
        <v>0</v>
      </c>
      <c r="M10" s="35">
        <f t="shared" si="1"/>
        <v>1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IF(ISBLANK(I_voor_1p!C19), "", INDEX(I_voor_1p!C8:C12, MATCH(MID(I_voor_1p!C19,1,1), I_voor_1p!B8:B12, 0)))</f>
        <v>Sergei DANILOV</v>
      </c>
      <c r="D11" s="290" t="s">
        <v>15</v>
      </c>
      <c r="E11" s="8" t="str">
        <f>IF(ISBLANK(I_voor_1p!C19), "", INDEX(I_voor_1p!N8:N12, MATCH(MID(I_voor_1p!C19,4,1), I_voor_1p!M8:M12, 0)))</f>
        <v>Maksim VUHKA</v>
      </c>
      <c r="F11" s="292" t="str">
        <f>IF(I_voor_1p!E19=0,"",I_voor_1p!E19)</f>
        <v>6:11</v>
      </c>
      <c r="G11" s="292" t="str">
        <f>IF(I_voor_1p!H19=0,"",I_voor_1p!H19)</f>
        <v>11:9</v>
      </c>
      <c r="H11" s="292" t="str">
        <f>IF(I_voor_1p!K19=0,"",I_voor_1p!K19)</f>
        <v>7:11</v>
      </c>
      <c r="I11" s="292" t="str">
        <f>IF(I_voor_1p!N19=0,"",I_voor_1p!N19)</f>
        <v>2:11</v>
      </c>
      <c r="J11" s="292" t="str">
        <f>IF(I_voor_1p!Q19=0,"",I_voor_1p!Q19)</f>
        <v/>
      </c>
      <c r="K11" s="294" t="str">
        <f>IF(F11="","",CONCATENATE(Abitabel2!G5,":",Abitabel2!N5))</f>
        <v>1:3</v>
      </c>
      <c r="L11" s="295">
        <f>IF(K11="","",IF(LEFT(K11,1)&lt;RIGHT(K11,1),0,1))</f>
        <v>0</v>
      </c>
      <c r="M11" s="295">
        <f>IF(K11="","",IF(LEFT(K11,1)&gt;RIGHT(K11,1),0,1))</f>
        <v>1</v>
      </c>
      <c r="Q11" s="1" t="str">
        <f t="shared" si="2"/>
        <v/>
      </c>
    </row>
    <row r="12" spans="1:18">
      <c r="A12" s="7"/>
      <c r="B12" s="291"/>
      <c r="C12" s="8" t="str">
        <f>IF(ISBLANK(I_voor_1p!C19), "", INDEX(I_voor_1p!C8:C12, MATCH(MID(I_voor_1p!C19,2,1), I_voor_1p!B8:B12, 0)))</f>
        <v>Artjom HIISKU</v>
      </c>
      <c r="D12" s="291"/>
      <c r="E12" s="8" t="str">
        <f>IF(ISBLANK(I_voor_1p!C19), "", INDEX(I_voor_1p!N8:N12, MATCH(MID(I_voor_1p!C19,5,1), I_voor_1p!M8:M12, 0)))</f>
        <v>Sergei PETROV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VLOOKUP(B13,I_voor_1p!$B$8:$K$12,2,FALSE)</f>
        <v>Lauri LAANE</v>
      </c>
      <c r="D13" s="9" t="s">
        <v>12</v>
      </c>
      <c r="E13" s="8" t="str">
        <f>VLOOKUP(D13,I_voor_1p!$M$8:$W$12,2,FALSE)</f>
        <v>Maksim VUHKA</v>
      </c>
      <c r="F13" s="82" t="str">
        <f>IF(I_voor_1p!E20=0,"",I_voor_1p!E20)</f>
        <v/>
      </c>
      <c r="G13" s="82" t="str">
        <f>IF(I_voor_1p!H20=0,"",I_voor_1p!H20)</f>
        <v/>
      </c>
      <c r="H13" s="82" t="str">
        <f>IF(I_voor_1p!K20=0,"",I_voor_1p!K20)</f>
        <v/>
      </c>
      <c r="I13" s="82" t="str">
        <f>IF(I_voor_1p!N20=0,"",I_voor_1p!N20)</f>
        <v/>
      </c>
      <c r="J13" s="82" t="str">
        <f>IF(I_voor_1p!Q20=0,"",I_voor_1p!Q20)</f>
        <v/>
      </c>
      <c r="K13" s="53" t="str">
        <f>IF(F13="","",CONCATENATE(Abitabel2!G7,":",Abitabel2!N7))</f>
        <v/>
      </c>
      <c r="L13" s="35" t="str">
        <f>IF(K13="","",IF(LEFT(K13,1)&lt;RIGHT(K13,1),0,1))</f>
        <v/>
      </c>
      <c r="M13" s="35" t="str">
        <f>IF(K13="","",IF(LEFT(K13,1)&gt;RIGHT(K13,1),0,1))</f>
        <v/>
      </c>
      <c r="Q13" s="1" t="str">
        <f t="shared" si="2"/>
        <v>ERROR</v>
      </c>
    </row>
    <row r="14" spans="1:18">
      <c r="A14" s="7"/>
      <c r="B14" s="9" t="s">
        <v>13</v>
      </c>
      <c r="C14" s="8" t="str">
        <f>VLOOKUP(B14,I_voor_1p!$B$8:$K$12,2,FALSE)</f>
        <v>Artjom HIISKU</v>
      </c>
      <c r="D14" s="9" t="s">
        <v>10</v>
      </c>
      <c r="E14" s="8" t="str">
        <f>VLOOKUP(D14,I_voor_1p!$M$8:$W$12,2,FALSE)</f>
        <v>Daniel KOSIBA</v>
      </c>
      <c r="F14" s="82" t="str">
        <f>IF(I_voor_1p!E21=0,"",I_voor_1p!E21)</f>
        <v/>
      </c>
      <c r="G14" s="82" t="str">
        <f>IF(I_voor_1p!H21=0,"",I_voor_1p!H21)</f>
        <v/>
      </c>
      <c r="H14" s="82" t="str">
        <f>IF(I_voor_1p!K21=0,"",I_voor_1p!K21)</f>
        <v/>
      </c>
      <c r="I14" s="82" t="str">
        <f>IF(I_voor_1p!N21=0,"",I_voor_1p!N21)</f>
        <v/>
      </c>
      <c r="J14" s="82" t="str">
        <f>IF(I_voor_1p!Q21=0,"",I_voor_1p!Q21)</f>
        <v/>
      </c>
      <c r="K14" s="53" t="str">
        <f>IF(F14="","",CONCATENATE(Abitabel2!G8,":",Abitabel2!N8))</f>
        <v/>
      </c>
      <c r="L14" s="35" t="str">
        <f>IF(K14="","",IF(LEFT(K14,1)&lt;RIGHT(K14,1),0,1))</f>
        <v/>
      </c>
      <c r="M14" s="35" t="str">
        <f>IF(L14="","",IF(LEFT(K14,1)&gt;RIGHT(K14,1),0,1))</f>
        <v/>
      </c>
      <c r="Q14" s="1" t="str">
        <f t="shared" si="2"/>
        <v>ERROR</v>
      </c>
    </row>
    <row r="15" spans="1:18">
      <c r="A15" s="7"/>
      <c r="B15" s="9" t="s">
        <v>11</v>
      </c>
      <c r="C15" s="8" t="str">
        <f>VLOOKUP(B15,I_voor_1p!$B$8:$K$12,2,FALSE)</f>
        <v>Sergei DANILOV</v>
      </c>
      <c r="D15" s="9" t="s">
        <v>14</v>
      </c>
      <c r="E15" s="8" t="str">
        <f>VLOOKUP(D15,I_voor_1p!$M$8:$W$12,2,FALSE)</f>
        <v>Toomas LIBENE</v>
      </c>
      <c r="F15" s="82" t="str">
        <f>IF(I_voor_1p!E22=0,"",I_voor_1p!E22)</f>
        <v/>
      </c>
      <c r="G15" s="82" t="str">
        <f>IF(I_voor_1p!H22=0,"",I_voor_1p!H22)</f>
        <v/>
      </c>
      <c r="H15" s="82" t="str">
        <f>IF(I_voor_1p!K22=0,"",I_voor_1p!K22)</f>
        <v/>
      </c>
      <c r="I15" s="82" t="str">
        <f>IF(I_voor_1p!N22=0,"",I_voor_1p!N22)</f>
        <v/>
      </c>
      <c r="J15" s="82" t="str">
        <f>IF(I_voor_1p!Q22=0,"",I_voor_1p!Q22)</f>
        <v/>
      </c>
      <c r="K15" s="53" t="str">
        <f>IF(F15="","",CONCATENATE(Abitabel2!G9,":",Abitabel2!N9))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Meeskond1</v>
      </c>
      <c r="D16" s="10"/>
      <c r="E16" s="33" t="str">
        <f>VLOOKUP(E7,Koosseisud!A:B,2,FALSE)</f>
        <v>Meeskond2</v>
      </c>
      <c r="F16" s="10"/>
      <c r="G16" s="10"/>
      <c r="H16" s="10"/>
      <c r="I16" s="10"/>
      <c r="J16" s="11"/>
      <c r="K16" s="12"/>
      <c r="L16" s="129">
        <f>SUM(L8:L15)</f>
        <v>0</v>
      </c>
      <c r="M16" s="129">
        <f>SUM(M8:M15)</f>
        <v>4</v>
      </c>
    </row>
    <row r="17" spans="1:18" ht="15">
      <c r="A17" s="2" t="s">
        <v>69</v>
      </c>
      <c r="B17" s="3">
        <f>IF(K18="","",SUM(L18:L25))</f>
        <v>4</v>
      </c>
      <c r="C17" s="4" t="str">
        <f>I_voor_1p!G37</f>
        <v>TalTech Spordiklubi</v>
      </c>
      <c r="D17" s="3">
        <f>IF(K18="","",SUM(M18:M25))</f>
        <v>0</v>
      </c>
      <c r="E17" s="4" t="str">
        <f>I_voor_1p!R37</f>
        <v>LTK Kalev/Radiaatorikeskus</v>
      </c>
      <c r="F17" s="5" t="s">
        <v>2</v>
      </c>
      <c r="G17" s="5" t="s">
        <v>3</v>
      </c>
      <c r="H17" s="5" t="s">
        <v>4</v>
      </c>
      <c r="I17" s="5" t="s">
        <v>5</v>
      </c>
      <c r="J17" s="5" t="s">
        <v>6</v>
      </c>
      <c r="K17" s="6" t="s">
        <v>7</v>
      </c>
      <c r="L17" s="287" t="s">
        <v>8</v>
      </c>
      <c r="M17" s="287"/>
      <c r="R17" s="1" t="str">
        <f>IF(OR(B17=4,D17=4),"","ERROR")</f>
        <v/>
      </c>
    </row>
    <row r="18" spans="1:18">
      <c r="A18" s="7" t="s">
        <v>128</v>
      </c>
      <c r="B18" s="9" t="s">
        <v>9</v>
      </c>
      <c r="C18" s="8" t="str">
        <f>VLOOKUP(B18,I_voor_1p!$B$38:$K$42,2,FALSE)</f>
        <v>Stanislav STROGOV</v>
      </c>
      <c r="D18" s="9" t="s">
        <v>10</v>
      </c>
      <c r="E18" s="8" t="str">
        <f>VLOOKUP(D18,I_voor_1p!$M$38:$W$42,2,FALSE)</f>
        <v>Jorma LAHTINEN</v>
      </c>
      <c r="F18" s="9" t="str">
        <f>IF(I_voor_1p!E46=0,"",I_voor_1p!E46)</f>
        <v>11:4</v>
      </c>
      <c r="G18" s="9" t="str">
        <f>IF(I_voor_1p!H46=0,"",I_voor_1p!H46)</f>
        <v>11:6</v>
      </c>
      <c r="H18" s="9" t="str">
        <f>IF(I_voor_1p!K46=0,"",I_voor_1p!K46)</f>
        <v>11:7</v>
      </c>
      <c r="I18" s="9" t="str">
        <f>IF(I_voor_1p!N46=0,"",I_voor_1p!N46)</f>
        <v/>
      </c>
      <c r="J18" s="9" t="str">
        <f>IF(I_voor_1p!Q46=0,"",I_voor_1p!Q46)</f>
        <v/>
      </c>
      <c r="K18" s="53" t="str">
        <f>IF(F18="","",CONCATENATE(Abitabel2!G12,":",Abitabel2!N12))</f>
        <v>3:0</v>
      </c>
      <c r="L18" s="35">
        <f>IF(K18="","",IF(LEFT(K18,1)&lt;RIGHT(K18,1),0,1))</f>
        <v>1</v>
      </c>
      <c r="M18" s="35">
        <f>IF(K18="","",IF(LEFT(K18,1)&gt;RIGHT(K18,1),0,1))</f>
        <v>0</v>
      </c>
      <c r="Q18" s="1" t="str">
        <f t="shared" si="2"/>
        <v/>
      </c>
    </row>
    <row r="19" spans="1:18">
      <c r="A19" s="7" t="s">
        <v>464</v>
      </c>
      <c r="B19" s="9" t="s">
        <v>11</v>
      </c>
      <c r="C19" s="8" t="str">
        <f>VLOOKUP(B19,I_voor_1p!$B$38:$K$42,2,FALSE)</f>
        <v>Andrei MALTIZOV</v>
      </c>
      <c r="D19" s="9" t="s">
        <v>12</v>
      </c>
      <c r="E19" s="8" t="str">
        <f>VLOOKUP(D19,I_voor_1p!$M$38:$W$42,2,FALSE)</f>
        <v>Allan KOTTISE</v>
      </c>
      <c r="F19" s="9" t="str">
        <f>IF(I_voor_1p!E47=0,"",I_voor_1p!E47)</f>
        <v>11:3</v>
      </c>
      <c r="G19" s="9" t="str">
        <f>IF(I_voor_1p!H47=0,"",I_voor_1p!H47)</f>
        <v>11:4</v>
      </c>
      <c r="H19" s="9" t="str">
        <f>IF(I_voor_1p!K47=0,"",I_voor_1p!K47)</f>
        <v>11:6</v>
      </c>
      <c r="I19" s="9" t="str">
        <f>IF(I_voor_1p!N47=0,"",I_voor_1p!N47)</f>
        <v/>
      </c>
      <c r="J19" s="9" t="str">
        <f>IF(I_voor_1p!Q47=0,"",I_voor_1p!Q47)</f>
        <v/>
      </c>
      <c r="K19" s="53" t="str">
        <f>IF(F19="","",CONCATENATE(Abitabel2!G13,":",Abitabel2!N13))</f>
        <v>3:0</v>
      </c>
      <c r="L19" s="35">
        <f t="shared" ref="L19:L20" si="3">IF(K19="","",IF(LEFT(K19,1)&lt;RIGHT(K19,1),0,1))</f>
        <v>1</v>
      </c>
      <c r="M19" s="35">
        <f t="shared" ref="M19:M20" si="4">IF(K19="","",IF(LEFT(K19,1)&gt;RIGHT(K19,1),0,1))</f>
        <v>0</v>
      </c>
      <c r="Q19" s="1" t="str">
        <f t="shared" si="2"/>
        <v/>
      </c>
    </row>
    <row r="20" spans="1:18">
      <c r="A20" s="7"/>
      <c r="B20" s="9" t="s">
        <v>13</v>
      </c>
      <c r="C20" s="8" t="str">
        <f>VLOOKUP(B20,I_voor_1p!$B$38:$K$42,2,FALSE)</f>
        <v>Vallot VAINULA</v>
      </c>
      <c r="D20" s="9" t="s">
        <v>14</v>
      </c>
      <c r="E20" s="8" t="str">
        <f>VLOOKUP(D20,I_voor_1p!$M$38:$W$42,2,FALSE)</f>
        <v>Kristjan KANT</v>
      </c>
      <c r="F20" s="9" t="str">
        <f>IF(I_voor_1p!E48=0,"",I_voor_1p!E48)</f>
        <v>11:7</v>
      </c>
      <c r="G20" s="9" t="str">
        <f>IF(I_voor_1p!H48=0,"",I_voor_1p!H48)</f>
        <v>11:6</v>
      </c>
      <c r="H20" s="9" t="str">
        <f>IF(I_voor_1p!K48=0,"",I_voor_1p!K48)</f>
        <v>11:6</v>
      </c>
      <c r="I20" s="9" t="str">
        <f>IF(I_voor_1p!N48=0,"",I_voor_1p!N48)</f>
        <v/>
      </c>
      <c r="J20" s="9" t="str">
        <f>IF(I_voor_1p!Q48=0,"",I_voor_1p!Q48)</f>
        <v/>
      </c>
      <c r="K20" s="53" t="str">
        <f>IF(F20="","",CONCATENATE(Abitabel2!G14,":",Abitabel2!N14))</f>
        <v>3:0</v>
      </c>
      <c r="L20" s="35">
        <f t="shared" si="3"/>
        <v>1</v>
      </c>
      <c r="M20" s="35">
        <f t="shared" si="4"/>
        <v>0</v>
      </c>
      <c r="Q20" s="1" t="str">
        <f t="shared" si="2"/>
        <v/>
      </c>
    </row>
    <row r="21" spans="1:18">
      <c r="A21" s="7"/>
      <c r="B21" s="290" t="s">
        <v>15</v>
      </c>
      <c r="C21" s="8" t="str">
        <f>IF(ISBLANK(I_voor_1p!C49), "", INDEX(I_voor_1p!C38:C42, MATCH(MID(I_voor_1p!C49,1,1), I_voor_1p!B38:B42, 0)))</f>
        <v>Stanislav STROGOV</v>
      </c>
      <c r="D21" s="290" t="s">
        <v>15</v>
      </c>
      <c r="E21" s="8" t="str">
        <f>IF(ISBLANK(I_voor_1p!C49), "", INDEX(I_voor_1p!N38:N42, MATCH(MID(I_voor_1p!C49,4,1), I_voor_1p!M38:M42, 0)))</f>
        <v>Jorma LAHTINEN</v>
      </c>
      <c r="F21" s="292" t="str">
        <f>IF(I_voor_1p!E49=0,"",I_voor_1p!E49)</f>
        <v>11:7</v>
      </c>
      <c r="G21" s="292" t="str">
        <f>IF(I_voor_1p!H49=0,"",I_voor_1p!H49)</f>
        <v>11:7</v>
      </c>
      <c r="H21" s="292" t="str">
        <f>IF(I_voor_1p!K49=0,"",I_voor_1p!K49)</f>
        <v>11:6</v>
      </c>
      <c r="I21" s="292" t="str">
        <f>IF(I_voor_1p!N49=0,"",I_voor_1p!N49)</f>
        <v/>
      </c>
      <c r="J21" s="292" t="str">
        <f>IF(I_voor_1p!Q49=0,"",I_voor_1p!Q49)</f>
        <v/>
      </c>
      <c r="K21" s="294" t="str">
        <f>IF(F21="","",CONCATENATE(Abitabel2!G15,":",Abitabel2!N15))</f>
        <v>3:0</v>
      </c>
      <c r="L21" s="295">
        <f>IF(K21="","",IF(LEFT(K21,1)&lt;RIGHT(K21,1),0,1))</f>
        <v>1</v>
      </c>
      <c r="M21" s="295">
        <f>IF(K21="","",IF(LEFT(K21,1)&gt;RIGHT(K21,1),0,1))</f>
        <v>0</v>
      </c>
      <c r="Q21" s="1" t="str">
        <f t="shared" si="2"/>
        <v/>
      </c>
    </row>
    <row r="22" spans="1:18">
      <c r="A22" s="7"/>
      <c r="B22" s="291"/>
      <c r="C22" s="8" t="str">
        <f>IF(ISBLANK(I_voor_1p!C49), "", INDEX(I_voor_1p!C38:C42, MATCH(MID(I_voor_1p!C49,2,1), I_voor_1p!B38:B42, 0)))</f>
        <v>Madis MOOS</v>
      </c>
      <c r="D22" s="291"/>
      <c r="E22" s="8" t="str">
        <f>IF(ISBLANK(I_voor_1p!C49), "", INDEX(I_voor_1p!N38:N42, MATCH(MID(I_voor_1p!C49,5,1), I_voor_1p!M38:M42, 0)))</f>
        <v>Kristjan KANT</v>
      </c>
      <c r="F22" s="293"/>
      <c r="G22" s="293"/>
      <c r="H22" s="293"/>
      <c r="I22" s="293"/>
      <c r="J22" s="293"/>
      <c r="K22" s="294"/>
      <c r="L22" s="295"/>
      <c r="M22" s="295"/>
    </row>
    <row r="23" spans="1:18">
      <c r="A23" s="7"/>
      <c r="B23" s="9" t="s">
        <v>9</v>
      </c>
      <c r="C23" s="8" t="str">
        <f>VLOOKUP(B23,I_voor_1p!$B$38:$K$42,2,FALSE)</f>
        <v>Stanislav STROGOV</v>
      </c>
      <c r="D23" s="9" t="s">
        <v>12</v>
      </c>
      <c r="E23" s="8" t="str">
        <f>VLOOKUP(D23,I_voor_1p!$M$38:$W$42,2,FALSE)</f>
        <v>Allan KOTTISE</v>
      </c>
      <c r="F23" s="82" t="str">
        <f>IF(I_voor_1p!E50=0,"",I_voor_1p!E50)</f>
        <v/>
      </c>
      <c r="G23" s="82" t="str">
        <f>IF(I_voor_1p!H50=0,"",I_voor_1p!H50)</f>
        <v/>
      </c>
      <c r="H23" s="82" t="str">
        <f>IF(I_voor_1p!K50=0,"",I_voor_1p!K50)</f>
        <v/>
      </c>
      <c r="I23" s="82" t="str">
        <f>IF(I_voor_1p!N50=0,"",I_voor_1p!N50)</f>
        <v/>
      </c>
      <c r="J23" s="82" t="str">
        <f>IF(I_voor_1p!Q50=0,"",I_voor_1p!Q50)</f>
        <v/>
      </c>
      <c r="K23" s="53" t="str">
        <f>IF(F23="","",CONCATENATE(Abitabel2!G17,":",Abitabel2!N17))</f>
        <v/>
      </c>
      <c r="L23" s="35" t="str">
        <f>IF(K23="","",IF(LEFT(K23,1)&lt;RIGHT(K23,1),0,1))</f>
        <v/>
      </c>
      <c r="M23" s="35" t="str">
        <f>IF(K23="","",IF(LEFT(K23,1)&gt;RIGHT(K23,1),0,1))</f>
        <v/>
      </c>
      <c r="Q23" s="1" t="str">
        <f t="shared" si="2"/>
        <v>ERROR</v>
      </c>
    </row>
    <row r="24" spans="1:18">
      <c r="A24" s="7"/>
      <c r="B24" s="9" t="s">
        <v>13</v>
      </c>
      <c r="C24" s="8" t="str">
        <f>VLOOKUP(B24,I_voor_1p!$B$38:$K$42,2,FALSE)</f>
        <v>Vallot VAINULA</v>
      </c>
      <c r="D24" s="9" t="s">
        <v>10</v>
      </c>
      <c r="E24" s="8" t="str">
        <f>VLOOKUP(D24,I_voor_1p!$M$38:$W$42,2,FALSE)</f>
        <v>Jorma LAHTINEN</v>
      </c>
      <c r="F24" s="82" t="str">
        <f>IF(I_voor_1p!E51=0,"",I_voor_1p!E51)</f>
        <v/>
      </c>
      <c r="G24" s="82" t="str">
        <f>IF(I_voor_1p!H51=0,"",I_voor_1p!H51)</f>
        <v/>
      </c>
      <c r="H24" s="82" t="str">
        <f>IF(I_voor_1p!K51=0,"",I_voor_1p!K51)</f>
        <v/>
      </c>
      <c r="I24" s="82" t="str">
        <f>IF(I_voor_1p!N51=0,"",I_voor_1p!N51)</f>
        <v/>
      </c>
      <c r="J24" s="82" t="str">
        <f>IF(I_voor_1p!Q51=0,"",I_voor_1p!Q51)</f>
        <v/>
      </c>
      <c r="K24" s="53" t="str">
        <f>IF(F24="","",CONCATENATE(Abitabel2!G18,":",Abitabel2!N18))</f>
        <v/>
      </c>
      <c r="L24" s="35" t="str">
        <f>IF(K24="","",IF(LEFT(K24,1)&lt;RIGHT(K24,1),0,1))</f>
        <v/>
      </c>
      <c r="M24" s="35" t="str">
        <f>IF(L24="","",IF(LEFT(K24,1)&gt;RIGHT(K24,1),0,1))</f>
        <v/>
      </c>
      <c r="Q24" s="1" t="str">
        <f t="shared" si="2"/>
        <v>ERROR</v>
      </c>
    </row>
    <row r="25" spans="1:18">
      <c r="A25" s="7"/>
      <c r="B25" s="9" t="s">
        <v>11</v>
      </c>
      <c r="C25" s="8" t="str">
        <f>VLOOKUP(B25,I_voor_1p!$B$38:$K$42,2,FALSE)</f>
        <v>Andrei MALTIZOV</v>
      </c>
      <c r="D25" s="9" t="s">
        <v>14</v>
      </c>
      <c r="E25" s="8" t="str">
        <f>VLOOKUP(D25,I_voor_1p!$M$38:$W$42,2,FALSE)</f>
        <v>Kristjan KANT</v>
      </c>
      <c r="F25" s="82" t="str">
        <f>IF(I_voor_1p!E52=0,"",I_voor_1p!E52)</f>
        <v/>
      </c>
      <c r="G25" s="82" t="str">
        <f>IF(I_voor_1p!H52=0,"",I_voor_1p!H52)</f>
        <v/>
      </c>
      <c r="H25" s="82" t="str">
        <f>IF(I_voor_1p!K52=0,"",I_voor_1p!K52)</f>
        <v/>
      </c>
      <c r="I25" s="82" t="str">
        <f>IF(I_voor_1p!N52=0,"",I_voor_1p!N52)</f>
        <v/>
      </c>
      <c r="J25" s="82" t="str">
        <f>IF(I_voor_1p!Q52=0,"",I_voor_1p!Q52)</f>
        <v/>
      </c>
      <c r="K25" s="53" t="str">
        <f>IF(F25="","",CONCATENATE(Abitabel2!G19,":",Abitabel2!N19))</f>
        <v/>
      </c>
      <c r="L25" s="35" t="str">
        <f>IF(K25="","",IF(LEFT(K25,1)&lt;RIGHT(K25,1),0,1))</f>
        <v/>
      </c>
      <c r="M25" s="35" t="str">
        <f>IF(L25="","",IF(LEFT(K25,1)&gt;RIGHT(K25,1),0,1))</f>
        <v/>
      </c>
      <c r="Q25" s="1" t="str">
        <f t="shared" si="2"/>
        <v>ERROR</v>
      </c>
    </row>
    <row r="26" spans="1:18">
      <c r="A26" s="7"/>
      <c r="B26" s="10"/>
      <c r="C26" s="33" t="str">
        <f>VLOOKUP(C17,Koosseisud!A:B,2,FALSE )</f>
        <v>Meeskond3</v>
      </c>
      <c r="D26" s="10"/>
      <c r="E26" s="33" t="str">
        <f>VLOOKUP(E17,Koosseisud!A:B,2,FALSE)</f>
        <v>Meeskond8</v>
      </c>
      <c r="F26" s="10"/>
      <c r="G26" s="10"/>
      <c r="H26" s="10"/>
      <c r="I26" s="10"/>
      <c r="J26" s="11"/>
      <c r="K26" s="12"/>
      <c r="L26" s="129">
        <f>SUM(L18:L25)</f>
        <v>4</v>
      </c>
      <c r="M26" s="129">
        <f>SUM(M18:M25)</f>
        <v>0</v>
      </c>
    </row>
    <row r="27" spans="1:18" ht="15">
      <c r="A27" s="2" t="s">
        <v>70</v>
      </c>
      <c r="B27" s="3">
        <f>IF(K28="","",SUM(L28:L35))</f>
        <v>4</v>
      </c>
      <c r="C27" s="4" t="str">
        <f>I_voor_1p!G67</f>
        <v>Tartu SS Kalev</v>
      </c>
      <c r="D27" s="3">
        <f>IF(K28="","",SUM(M28:M35))</f>
        <v>2</v>
      </c>
      <c r="E27" s="4" t="str">
        <f>I_voor_1p!R67</f>
        <v>Viimsi LTK/EM-SERV</v>
      </c>
      <c r="F27" s="5" t="s">
        <v>2</v>
      </c>
      <c r="G27" s="5" t="s">
        <v>3</v>
      </c>
      <c r="H27" s="5" t="s">
        <v>4</v>
      </c>
      <c r="I27" s="5" t="s">
        <v>5</v>
      </c>
      <c r="J27" s="5" t="s">
        <v>6</v>
      </c>
      <c r="K27" s="6" t="s">
        <v>7</v>
      </c>
      <c r="L27" s="287" t="s">
        <v>8</v>
      </c>
      <c r="M27" s="287"/>
      <c r="R27" s="1" t="str">
        <f>IF(OR(B27=4,D27=4),"","ERROR")</f>
        <v/>
      </c>
    </row>
    <row r="28" spans="1:18">
      <c r="A28" s="7" t="s">
        <v>128</v>
      </c>
      <c r="B28" s="9" t="s">
        <v>9</v>
      </c>
      <c r="C28" s="8" t="str">
        <f>VLOOKUP(B28,I_voor_1p!$B$68:$K$72,2,FALSE)</f>
        <v>Markkos PUKK</v>
      </c>
      <c r="D28" s="9" t="s">
        <v>10</v>
      </c>
      <c r="E28" s="8" t="str">
        <f>VLOOKUP(D28,I_voor_1p!$M$68:$W$72,2,FALSE)</f>
        <v>Ilmar VUHKA</v>
      </c>
      <c r="F28" s="9" t="str">
        <f>IF(I_voor_1p!E76=0,"",I_voor_1p!E76)</f>
        <v>11:1</v>
      </c>
      <c r="G28" s="9" t="str">
        <f>IF(I_voor_1p!H76=0,"",I_voor_1p!H76)</f>
        <v>11:5</v>
      </c>
      <c r="H28" s="9" t="str">
        <f>IF(I_voor_1p!K76=0,"",I_voor_1p!K76)</f>
        <v>11:7</v>
      </c>
      <c r="I28" s="9" t="str">
        <f>IF(I_voor_1p!N76=0,"",I_voor_1p!N76)</f>
        <v/>
      </c>
      <c r="J28" s="9" t="str">
        <f>IF(I_voor_1p!Q76=0,"",I_voor_1p!Q76)</f>
        <v/>
      </c>
      <c r="K28" s="53" t="str">
        <f>IF(F28="","",CONCATENATE(Abitabel2!G22,":",Abitabel2!N22))</f>
        <v>3:0</v>
      </c>
      <c r="L28" s="35">
        <f>IF(K28="","",IF(LEFT(K28,1)&lt;RIGHT(K28,1),0,1))</f>
        <v>1</v>
      </c>
      <c r="M28" s="35">
        <f>IF(K28="","",IF(LEFT(K28,1)&gt;RIGHT(K28,1),0,1))</f>
        <v>0</v>
      </c>
      <c r="Q28" s="1" t="str">
        <f t="shared" si="2"/>
        <v/>
      </c>
    </row>
    <row r="29" spans="1:18">
      <c r="A29" s="7" t="s">
        <v>465</v>
      </c>
      <c r="B29" s="9" t="s">
        <v>11</v>
      </c>
      <c r="C29" s="8" t="str">
        <f>VLOOKUP(B29,I_voor_1p!$B$68:$K$72,2,FALSE)</f>
        <v>Mart LUUK</v>
      </c>
      <c r="D29" s="9" t="s">
        <v>12</v>
      </c>
      <c r="E29" s="8" t="str">
        <f>VLOOKUP(D29,I_voor_1p!$M$68:$W$72,2,FALSE)</f>
        <v>Pert Marten LEHTLAAN</v>
      </c>
      <c r="F29" s="9" t="str">
        <f>IF(I_voor_1p!E77=0,"",I_voor_1p!E77)</f>
        <v>9:11</v>
      </c>
      <c r="G29" s="9" t="str">
        <f>IF(I_voor_1p!H77=0,"",I_voor_1p!H77)</f>
        <v>11:9</v>
      </c>
      <c r="H29" s="9" t="str">
        <f>IF(I_voor_1p!K77=0,"",I_voor_1p!K77)</f>
        <v>8:11</v>
      </c>
      <c r="I29" s="9" t="str">
        <f>IF(I_voor_1p!N77=0,"",I_voor_1p!N77)</f>
        <v>9:11</v>
      </c>
      <c r="J29" s="9" t="str">
        <f>IF(I_voor_1p!Q77=0,"",I_voor_1p!Q77)</f>
        <v/>
      </c>
      <c r="K29" s="53" t="str">
        <f>IF(F29="","",CONCATENATE(Abitabel2!G23,":",Abitabel2!N23))</f>
        <v>1:3</v>
      </c>
      <c r="L29" s="35">
        <f t="shared" ref="L29:L30" si="5">IF(K29="","",IF(LEFT(K29,1)&lt;RIGHT(K29,1),0,1))</f>
        <v>0</v>
      </c>
      <c r="M29" s="35">
        <f t="shared" ref="M29:M30" si="6">IF(K29="","",IF(LEFT(K29,1)&gt;RIGHT(K29,1),0,1))</f>
        <v>1</v>
      </c>
      <c r="Q29" s="1" t="str">
        <f t="shared" si="2"/>
        <v/>
      </c>
    </row>
    <row r="30" spans="1:18">
      <c r="A30" s="7"/>
      <c r="B30" s="9" t="s">
        <v>13</v>
      </c>
      <c r="C30" s="8" t="str">
        <f>VLOOKUP(B30,I_voor_1p!$B$68:$K$72,2,FALSE)</f>
        <v>Osqar PUKK</v>
      </c>
      <c r="D30" s="9" t="s">
        <v>14</v>
      </c>
      <c r="E30" s="8" t="str">
        <f>VLOOKUP(D30,I_voor_1p!$M$68:$W$72,2,FALSE)</f>
        <v>Aleksei NIKONOROV</v>
      </c>
      <c r="F30" s="9" t="str">
        <f>IF(I_voor_1p!E78=0,"",I_voor_1p!E78)</f>
        <v>11:4</v>
      </c>
      <c r="G30" s="9" t="str">
        <f>IF(I_voor_1p!H78=0,"",I_voor_1p!H78)</f>
        <v>5:11</v>
      </c>
      <c r="H30" s="9" t="str">
        <f>IF(I_voor_1p!K78=0,"",I_voor_1p!K78)</f>
        <v>10:12</v>
      </c>
      <c r="I30" s="9" t="str">
        <f>IF(I_voor_1p!N78=0,"",I_voor_1p!N78)</f>
        <v>11:9</v>
      </c>
      <c r="J30" s="9" t="str">
        <f>IF(I_voor_1p!Q78=0,"",I_voor_1p!Q78)</f>
        <v>11:8</v>
      </c>
      <c r="K30" s="53" t="str">
        <f>IF(F30="","",CONCATENATE(Abitabel2!G24,":",Abitabel2!N24))</f>
        <v>3:2</v>
      </c>
      <c r="L30" s="35">
        <f t="shared" si="5"/>
        <v>1</v>
      </c>
      <c r="M30" s="35">
        <f t="shared" si="6"/>
        <v>0</v>
      </c>
      <c r="Q30" s="1" t="str">
        <f t="shared" si="2"/>
        <v/>
      </c>
    </row>
    <row r="31" spans="1:18">
      <c r="A31" s="7"/>
      <c r="B31" s="290" t="s">
        <v>15</v>
      </c>
      <c r="C31" s="8" t="str">
        <f>IF(ISBLANK(I_voor_1p!C79), "", INDEX(I_voor_1p!C68:C72, MATCH(MID(I_voor_1p!C79,1,1), I_voor_1p!B68:B72, 0)))</f>
        <v>Markkos PUKK</v>
      </c>
      <c r="D31" s="290" t="s">
        <v>15</v>
      </c>
      <c r="E31" s="8" t="str">
        <f>IF(ISBLANK(I_voor_1p!C79), "", INDEX(I_voor_1p!N68:N72, MATCH(MID(I_voor_1p!C79,4,1), I_voor_1p!M68:M72, 0)))</f>
        <v>Pert Marten LEHTLAAN</v>
      </c>
      <c r="F31" s="292" t="str">
        <f>IF(I_voor_1p!E79=0,"",I_voor_1p!E79)</f>
        <v>8:11</v>
      </c>
      <c r="G31" s="292" t="str">
        <f>IF(I_voor_1p!H79=0,"",I_voor_1p!H79)</f>
        <v>13:15</v>
      </c>
      <c r="H31" s="292" t="str">
        <f>IF(I_voor_1p!K79=0,"",I_voor_1p!K79)</f>
        <v>11:9</v>
      </c>
      <c r="I31" s="292" t="str">
        <f>IF(I_voor_1p!N79=0,"",I_voor_1p!N79)</f>
        <v>11:9</v>
      </c>
      <c r="J31" s="292" t="str">
        <f>IF(I_voor_1p!Q79=0,"",I_voor_1p!Q79)</f>
        <v>4:11</v>
      </c>
      <c r="K31" s="294" t="str">
        <f>IF(F31="","",CONCATENATE(Abitabel2!G25,":",Abitabel2!N25))</f>
        <v>2:3</v>
      </c>
      <c r="L31" s="295">
        <f>IF(K31="","",IF(LEFT(K31,1)&lt;RIGHT(K31,1),0,1))</f>
        <v>0</v>
      </c>
      <c r="M31" s="295">
        <f>IF(K31="","",IF(LEFT(K31,1)&gt;RIGHT(K31,1),0,1))</f>
        <v>1</v>
      </c>
      <c r="Q31" s="1" t="str">
        <f t="shared" si="2"/>
        <v/>
      </c>
    </row>
    <row r="32" spans="1:18">
      <c r="A32" s="7"/>
      <c r="B32" s="291"/>
      <c r="C32" s="8" t="str">
        <f>IF(ISBLANK(I_voor_1p!C79), "", INDEX(I_voor_1p!C68:C72, MATCH(MID(I_voor_1p!C79,2,1), I_voor_1p!B68:B72, 0)))</f>
        <v>Mart LUUK</v>
      </c>
      <c r="D32" s="291"/>
      <c r="E32" s="8" t="str">
        <f>IF(ISBLANK(I_voor_1p!C79), "", INDEX(I_voor_1p!N68:N72, MATCH(MID(I_voor_1p!C79,5,1), I_voor_1p!M68:M72, 0)))</f>
        <v>Ilmar VUHKA</v>
      </c>
      <c r="F32" s="293"/>
      <c r="G32" s="293"/>
      <c r="H32" s="293"/>
      <c r="I32" s="293"/>
      <c r="J32" s="293"/>
      <c r="K32" s="294"/>
      <c r="L32" s="295"/>
      <c r="M32" s="295"/>
    </row>
    <row r="33" spans="1:18">
      <c r="A33" s="7"/>
      <c r="B33" s="9" t="s">
        <v>9</v>
      </c>
      <c r="C33" s="8" t="str">
        <f>VLOOKUP(B33,I_voor_1p!$B$68:$K$72,2,FALSE)</f>
        <v>Markkos PUKK</v>
      </c>
      <c r="D33" s="9" t="s">
        <v>12</v>
      </c>
      <c r="E33" s="8" t="str">
        <f>VLOOKUP(D33,I_voor_1p!$M$68:$W$72,2,FALSE)</f>
        <v>Pert Marten LEHTLAAN</v>
      </c>
      <c r="F33" s="82" t="str">
        <f>IF(I_voor_1p!E80=0,"",I_voor_1p!E80)</f>
        <v>11:8</v>
      </c>
      <c r="G33" s="82" t="str">
        <f>IF(I_voor_1p!H80=0,"",I_voor_1p!H80)</f>
        <v>11:7</v>
      </c>
      <c r="H33" s="82" t="str">
        <f>IF(I_voor_1p!K80=0,"",I_voor_1p!K80)</f>
        <v>13:11</v>
      </c>
      <c r="I33" s="82" t="str">
        <f>IF(I_voor_1p!N80=0,"",I_voor_1p!N80)</f>
        <v/>
      </c>
      <c r="J33" s="82" t="str">
        <f>IF(I_voor_1p!Q80=0,"",I_voor_1p!Q80)</f>
        <v/>
      </c>
      <c r="K33" s="53" t="str">
        <f>IF(F33="","",CONCATENATE(Abitabel2!G27,":",Abitabel2!N27))</f>
        <v>3:0</v>
      </c>
      <c r="L33" s="35">
        <f>IF(K33="","",IF(LEFT(K33,1)&lt;RIGHT(K33,1),0,1))</f>
        <v>1</v>
      </c>
      <c r="M33" s="35">
        <f>IF(K33="","",IF(LEFT(K33,1)&gt;RIGHT(K33,1),0,1))</f>
        <v>0</v>
      </c>
      <c r="Q33" s="1" t="str">
        <f t="shared" si="2"/>
        <v/>
      </c>
    </row>
    <row r="34" spans="1:18">
      <c r="A34" s="7"/>
      <c r="B34" s="9" t="s">
        <v>13</v>
      </c>
      <c r="C34" s="8" t="str">
        <f>VLOOKUP(B34,I_voor_1p!$B$68:$K$72,2,FALSE)</f>
        <v>Osqar PUKK</v>
      </c>
      <c r="D34" s="9" t="s">
        <v>10</v>
      </c>
      <c r="E34" s="8" t="str">
        <f>VLOOKUP(D34,I_voor_1p!$M$68:$W$72,2,FALSE)</f>
        <v>Ilmar VUHKA</v>
      </c>
      <c r="F34" s="82" t="str">
        <f>IF(I_voor_1p!E81=0,"",I_voor_1p!E81)</f>
        <v>15:13</v>
      </c>
      <c r="G34" s="82" t="str">
        <f>IF(I_voor_1p!H81=0,"",I_voor_1p!H81)</f>
        <v>14:12</v>
      </c>
      <c r="H34" s="82" t="str">
        <f>IF(I_voor_1p!K81=0,"",I_voor_1p!K81)</f>
        <v>4:11</v>
      </c>
      <c r="I34" s="82" t="str">
        <f>IF(I_voor_1p!N81=0,"",I_voor_1p!N81)</f>
        <v>11:5</v>
      </c>
      <c r="J34" s="82" t="str">
        <f>IF(I_voor_1p!Q81=0,"",I_voor_1p!Q81)</f>
        <v/>
      </c>
      <c r="K34" s="53" t="str">
        <f>IF(F34="","",CONCATENATE(Abitabel2!G28,":",Abitabel2!N28))</f>
        <v>3:1</v>
      </c>
      <c r="L34" s="35">
        <f>IF(K34="","",IF(LEFT(K34,1)&lt;RIGHT(K34,1),0,1))</f>
        <v>1</v>
      </c>
      <c r="M34" s="35">
        <f>IF(L34="","",IF(LEFT(K34,1)&gt;RIGHT(K34,1),0,1))</f>
        <v>0</v>
      </c>
      <c r="Q34" s="1" t="str">
        <f t="shared" si="2"/>
        <v/>
      </c>
    </row>
    <row r="35" spans="1:18">
      <c r="A35" s="7"/>
      <c r="B35" s="9" t="s">
        <v>11</v>
      </c>
      <c r="C35" s="8" t="str">
        <f>VLOOKUP(B35,I_voor_1p!$B$68:$K$72,2,FALSE)</f>
        <v>Mart LUUK</v>
      </c>
      <c r="D35" s="9" t="s">
        <v>14</v>
      </c>
      <c r="E35" s="8" t="str">
        <f>VLOOKUP(D35,I_voor_1p!$M$68:$W$72,2,FALSE)</f>
        <v>Aleksei NIKONOROV</v>
      </c>
      <c r="F35" s="82" t="str">
        <f>IF(I_voor_1p!E82=0,"",I_voor_1p!E82)</f>
        <v/>
      </c>
      <c r="G35" s="82" t="str">
        <f>IF(I_voor_1p!H82=0,"",I_voor_1p!H82)</f>
        <v/>
      </c>
      <c r="H35" s="82" t="str">
        <f>IF(I_voor_1p!K82=0,"",I_voor_1p!K82)</f>
        <v/>
      </c>
      <c r="I35" s="82" t="str">
        <f>IF(I_voor_1p!N82=0,"",I_voor_1p!N82)</f>
        <v/>
      </c>
      <c r="J35" s="82" t="str">
        <f>IF(I_voor_1p!Q82=0,"",I_voor_1p!Q82)</f>
        <v/>
      </c>
      <c r="K35" s="53" t="str">
        <f>IF(F35="","",CONCATENATE(Abitabel2!G29,":",Abitabel2!N29))</f>
        <v/>
      </c>
      <c r="L35" s="35" t="str">
        <f>IF(K35="","",IF(LEFT(K35,1)&lt;RIGHT(K35,1),0,1))</f>
        <v/>
      </c>
      <c r="M35" s="35" t="str">
        <f>IF(L35="","",IF(LEFT(K35,1)&gt;RIGHT(K35,1),0,1))</f>
        <v/>
      </c>
      <c r="Q35" s="1" t="str">
        <f t="shared" si="2"/>
        <v>ERROR</v>
      </c>
    </row>
    <row r="36" spans="1:18">
      <c r="A36" s="7"/>
      <c r="B36" s="10"/>
      <c r="C36" s="33" t="str">
        <f>VLOOKUP(C27,Koosseisud!A:B,2,FALSE )</f>
        <v>Meeskond4</v>
      </c>
      <c r="D36" s="10"/>
      <c r="E36" s="33" t="str">
        <f>VLOOKUP(E27,Koosseisud!A:B,2,FALSE)</f>
        <v>Meeskond7</v>
      </c>
      <c r="F36" s="10"/>
      <c r="G36" s="10"/>
      <c r="H36" s="10"/>
      <c r="I36" s="10"/>
      <c r="J36" s="11"/>
      <c r="K36" s="12"/>
      <c r="L36" s="129">
        <f>SUM(L28:L35)</f>
        <v>4</v>
      </c>
      <c r="M36" s="129">
        <f>SUM(M28:M35)</f>
        <v>2</v>
      </c>
    </row>
    <row r="37" spans="1:18" ht="15">
      <c r="A37" s="2" t="s">
        <v>71</v>
      </c>
      <c r="B37" s="3">
        <f>IF(K38="","",SUM(L38:L45))</f>
        <v>4</v>
      </c>
      <c r="C37" s="4" t="str">
        <f>I_voor_1p!G97</f>
        <v>Viljandi LTK Sakala</v>
      </c>
      <c r="D37" s="3">
        <f>IF(K38="","",SUM(M38:M45))</f>
        <v>0</v>
      </c>
      <c r="E37" s="4" t="str">
        <f>I_voor_1p!R97</f>
        <v>SPINMASTER</v>
      </c>
      <c r="F37" s="5" t="s">
        <v>2</v>
      </c>
      <c r="G37" s="5" t="s">
        <v>3</v>
      </c>
      <c r="H37" s="5" t="s">
        <v>4</v>
      </c>
      <c r="I37" s="5" t="s">
        <v>5</v>
      </c>
      <c r="J37" s="5" t="s">
        <v>6</v>
      </c>
      <c r="K37" s="6" t="s">
        <v>7</v>
      </c>
      <c r="L37" s="287" t="s">
        <v>8</v>
      </c>
      <c r="M37" s="287"/>
      <c r="R37" s="1" t="str">
        <f>IF(OR(B37=4,D37=4),"","ERROR")</f>
        <v/>
      </c>
    </row>
    <row r="38" spans="1:18">
      <c r="A38" s="7" t="s">
        <v>128</v>
      </c>
      <c r="B38" s="9" t="s">
        <v>9</v>
      </c>
      <c r="C38" s="8" t="str">
        <f>VLOOKUP(B38,I_voor_1p!$B$98:$K$102,2,FALSE)</f>
        <v>Valdas  MARTINKUS</v>
      </c>
      <c r="D38" s="9" t="s">
        <v>10</v>
      </c>
      <c r="E38" s="8" t="str">
        <f>VLOOKUP(D38,I_voor_1p!$M$98:$W$102,2,FALSE)</f>
        <v>Kevin KUKK</v>
      </c>
      <c r="F38" s="9" t="str">
        <f>IF(I_voor_1p!E106=0,"",I_voor_1p!E106)</f>
        <v>11:9</v>
      </c>
      <c r="G38" s="9" t="str">
        <f>IF(I_voor_1p!H106=0,"",I_voor_1p!H106)</f>
        <v>11:7</v>
      </c>
      <c r="H38" s="9" t="str">
        <f>IF(I_voor_1p!K106=0,"",I_voor_1p!K106)</f>
        <v>11:6</v>
      </c>
      <c r="I38" s="9" t="str">
        <f>IF(I_voor_1p!N106=0,"",I_voor_1p!N106)</f>
        <v/>
      </c>
      <c r="J38" s="9" t="str">
        <f>IF(I_voor_1p!Q106=0,"",I_voor_1p!Q106)</f>
        <v/>
      </c>
      <c r="K38" s="53" t="str">
        <f>IF(F38="","",CONCATENATE(Abitabel2!G32,":",Abitabel2!N32))</f>
        <v>3:0</v>
      </c>
      <c r="L38" s="35">
        <f>IF(K38="","",IF(LEFT(K38,1)&lt;RIGHT(K38,1),0,1))</f>
        <v>1</v>
      </c>
      <c r="M38" s="35">
        <f>IF(K38="","",IF(LEFT(K38,1)&gt;RIGHT(K38,1),0,1))</f>
        <v>0</v>
      </c>
      <c r="Q38" s="1" t="str">
        <f t="shared" si="2"/>
        <v/>
      </c>
    </row>
    <row r="39" spans="1:18">
      <c r="A39" s="7" t="s">
        <v>81</v>
      </c>
      <c r="B39" s="9" t="s">
        <v>11</v>
      </c>
      <c r="C39" s="8" t="str">
        <f>VLOOKUP(B39,I_voor_1p!$B$98:$K$102,2,FALSE)</f>
        <v>Erik NÜÜD</v>
      </c>
      <c r="D39" s="9" t="s">
        <v>12</v>
      </c>
      <c r="E39" s="8" t="str">
        <f>VLOOKUP(D39,I_voor_1p!$M$98:$W$102,2,FALSE)</f>
        <v>Jan Kenneth TOMING</v>
      </c>
      <c r="F39" s="9" t="str">
        <f>IF(I_voor_1p!E107=0,"",I_voor_1p!E107)</f>
        <v>11:8</v>
      </c>
      <c r="G39" s="9" t="str">
        <f>IF(I_voor_1p!H107=0,"",I_voor_1p!H107)</f>
        <v>13:11</v>
      </c>
      <c r="H39" s="9" t="str">
        <f>IF(I_voor_1p!K107=0,"",I_voor_1p!K107)</f>
        <v>11:1</v>
      </c>
      <c r="I39" s="9" t="str">
        <f>IF(I_voor_1p!N107=0,"",I_voor_1p!N107)</f>
        <v/>
      </c>
      <c r="J39" s="9" t="str">
        <f>IF(I_voor_1p!Q107=0,"",I_voor_1p!Q107)</f>
        <v/>
      </c>
      <c r="K39" s="53" t="str">
        <f>IF(F39="","",CONCATENATE(Abitabel2!G33,":",Abitabel2!N33))</f>
        <v>3:0</v>
      </c>
      <c r="L39" s="35">
        <f t="shared" ref="L39:L40" si="7">IF(K39="","",IF(LEFT(K39,1)&lt;RIGHT(K39,1),0,1))</f>
        <v>1</v>
      </c>
      <c r="M39" s="35">
        <f t="shared" ref="M39:M40" si="8">IF(K39="","",IF(LEFT(K39,1)&gt;RIGHT(K39,1),0,1))</f>
        <v>0</v>
      </c>
      <c r="Q39" s="1" t="str">
        <f t="shared" si="2"/>
        <v/>
      </c>
    </row>
    <row r="40" spans="1:18">
      <c r="A40" s="7"/>
      <c r="B40" s="9" t="s">
        <v>13</v>
      </c>
      <c r="C40" s="8" t="str">
        <f>VLOOKUP(B40,I_voor_1p!$B$98:$K$102,2,FALSE)</f>
        <v>Robi TOOMING</v>
      </c>
      <c r="D40" s="9" t="s">
        <v>14</v>
      </c>
      <c r="E40" s="8" t="str">
        <f>VLOOKUP(D40,I_voor_1p!$M$98:$W$102,2,FALSE)</f>
        <v>Filat ANDREEV</v>
      </c>
      <c r="F40" s="9" t="str">
        <f>IF(I_voor_1p!E108=0,"",I_voor_1p!E108)</f>
        <v>13:11</v>
      </c>
      <c r="G40" s="9" t="str">
        <f>IF(I_voor_1p!H108=0,"",I_voor_1p!H108)</f>
        <v>11:6</v>
      </c>
      <c r="H40" s="9" t="str">
        <f>IF(I_voor_1p!K108=0,"",I_voor_1p!K108)</f>
        <v>5:11</v>
      </c>
      <c r="I40" s="9" t="str">
        <f>IF(I_voor_1p!N108=0,"",I_voor_1p!N108)</f>
        <v>6:11</v>
      </c>
      <c r="J40" s="9" t="str">
        <f>IF(I_voor_1p!Q108=0,"",I_voor_1p!Q108)</f>
        <v>11:8</v>
      </c>
      <c r="K40" s="53" t="str">
        <f>IF(F40="","",CONCATENATE(Abitabel2!G34,":",Abitabel2!N34))</f>
        <v>3:2</v>
      </c>
      <c r="L40" s="35">
        <f t="shared" si="7"/>
        <v>1</v>
      </c>
      <c r="M40" s="35">
        <f t="shared" si="8"/>
        <v>0</v>
      </c>
      <c r="Q40" s="1" t="str">
        <f t="shared" si="2"/>
        <v/>
      </c>
    </row>
    <row r="41" spans="1:18">
      <c r="A41" s="7"/>
      <c r="B41" s="290" t="s">
        <v>15</v>
      </c>
      <c r="C41" s="8" t="str">
        <f>IF(ISBLANK(I_voor_1p!C109), "", INDEX(I_voor_1p!C98:C102, MATCH(MID(I_voor_1p!C109,1,1), I_voor_1p!B98:B102, 0)))</f>
        <v>Valdas  MARTINKUS</v>
      </c>
      <c r="D41" s="290" t="s">
        <v>15</v>
      </c>
      <c r="E41" s="8" t="str">
        <f>IF(ISBLANK(I_voor_1p!C109), "", INDEX(I_voor_1p!N98:N102, MATCH(MID(I_voor_1p!C109,4,1), I_voor_1p!M98:M102, 0)))</f>
        <v>Jan Kenneth TOMING</v>
      </c>
      <c r="F41" s="292" t="str">
        <f>IF(I_voor_1p!E109=0,"",I_voor_1p!E109)</f>
        <v>14:16</v>
      </c>
      <c r="G41" s="292" t="str">
        <f>IF(I_voor_1p!H109=0,"",I_voor_1p!H109)</f>
        <v>11:9</v>
      </c>
      <c r="H41" s="292" t="str">
        <f>IF(I_voor_1p!K109=0,"",I_voor_1p!K109)</f>
        <v>11:6</v>
      </c>
      <c r="I41" s="292" t="str">
        <f>IF(I_voor_1p!N109=0,"",I_voor_1p!N109)</f>
        <v>10:12</v>
      </c>
      <c r="J41" s="292" t="str">
        <f>IF(I_voor_1p!Q109=0,"",I_voor_1p!Q109)</f>
        <v>11:7</v>
      </c>
      <c r="K41" s="294" t="str">
        <f>IF(F41="","",CONCATENATE(Abitabel2!G35,":",Abitabel2!N35))</f>
        <v>3:2</v>
      </c>
      <c r="L41" s="295">
        <f>IF(K41="","",IF(LEFT(K41,1)&lt;RIGHT(K41,1),0,1))</f>
        <v>1</v>
      </c>
      <c r="M41" s="295">
        <f>IF(K41="","",IF(LEFT(K41,1)&gt;RIGHT(K41,1),0,1))</f>
        <v>0</v>
      </c>
      <c r="Q41" s="1" t="str">
        <f t="shared" si="2"/>
        <v/>
      </c>
    </row>
    <row r="42" spans="1:18">
      <c r="A42" s="7"/>
      <c r="B42" s="291"/>
      <c r="C42" s="8" t="str">
        <f>IF(ISBLANK(I_voor_1p!C109), "", INDEX(I_voor_1p!C98:C102, MATCH(MID(I_voor_1p!C109,2,1), I_voor_1p!B98:B102, 0)))</f>
        <v>Märt KURVET</v>
      </c>
      <c r="D42" s="291"/>
      <c r="E42" s="8" t="str">
        <f>IF(ISBLANK(I_voor_1p!C109), "", INDEX(I_voor_1p!N98:N102, MATCH(MID(I_voor_1p!C109,5,1), I_voor_1p!M98:M102, 0)))</f>
        <v>Kevin KUKK</v>
      </c>
      <c r="F42" s="293"/>
      <c r="G42" s="293"/>
      <c r="H42" s="293"/>
      <c r="I42" s="293"/>
      <c r="J42" s="293"/>
      <c r="K42" s="294"/>
      <c r="L42" s="295"/>
      <c r="M42" s="295"/>
    </row>
    <row r="43" spans="1:18">
      <c r="A43" s="7"/>
      <c r="B43" s="9" t="s">
        <v>9</v>
      </c>
      <c r="C43" s="8" t="str">
        <f>VLOOKUP(B43,I_voor_1p!$B$98:$K$102,2,FALSE)</f>
        <v>Valdas  MARTINKUS</v>
      </c>
      <c r="D43" s="9" t="s">
        <v>12</v>
      </c>
      <c r="E43" s="8" t="str">
        <f>VLOOKUP(D43,I_voor_1p!$M$98:$W$102,2,FALSE)</f>
        <v>Jan Kenneth TOMING</v>
      </c>
      <c r="F43" s="82" t="str">
        <f>IF(I_voor_1p!E110=0,"",I_voor_1p!E110)</f>
        <v/>
      </c>
      <c r="G43" s="82" t="str">
        <f>IF(I_voor_1p!H110=0,"",I_voor_1p!H110)</f>
        <v/>
      </c>
      <c r="H43" s="82" t="str">
        <f>IF(I_voor_1p!K110=0,"",I_voor_1p!K110)</f>
        <v/>
      </c>
      <c r="I43" s="82" t="str">
        <f>IF(I_voor_1p!N110=0,"",I_voor_1p!N110)</f>
        <v/>
      </c>
      <c r="J43" s="82" t="str">
        <f>IF(I_voor_1p!Q110=0,"",I_voor_1p!Q110)</f>
        <v/>
      </c>
      <c r="K43" s="53" t="str">
        <f>IF(F43="","",CONCATENATE(Abitabel2!G37,":",Abitabel2!N37))</f>
        <v/>
      </c>
      <c r="L43" s="35" t="str">
        <f>IF(K43="","",IF(LEFT(K43,1)&lt;RIGHT(K43,1),0,1))</f>
        <v/>
      </c>
      <c r="M43" s="35" t="str">
        <f>IF(K43="","",IF(LEFT(K43,1)&gt;RIGHT(K43,1),0,1))</f>
        <v/>
      </c>
      <c r="Q43" s="1" t="str">
        <f t="shared" si="2"/>
        <v>ERROR</v>
      </c>
    </row>
    <row r="44" spans="1:18">
      <c r="A44" s="7"/>
      <c r="B44" s="9" t="s">
        <v>13</v>
      </c>
      <c r="C44" s="8" t="str">
        <f>VLOOKUP(B44,I_voor_1p!$B$98:$K$102,2,FALSE)</f>
        <v>Robi TOOMING</v>
      </c>
      <c r="D44" s="9" t="s">
        <v>10</v>
      </c>
      <c r="E44" s="8" t="str">
        <f>VLOOKUP(D44,I_voor_1p!$M$98:$W$102,2,FALSE)</f>
        <v>Kevin KUKK</v>
      </c>
      <c r="F44" s="82" t="str">
        <f>IF(I_voor_1p!E111=0,"",I_voor_1p!E111)</f>
        <v/>
      </c>
      <c r="G44" s="82" t="str">
        <f>IF(I_voor_1p!H111=0,"",I_voor_1p!H111)</f>
        <v/>
      </c>
      <c r="H44" s="82" t="str">
        <f>IF(I_voor_1p!K111=0,"",I_voor_1p!K111)</f>
        <v/>
      </c>
      <c r="I44" s="82" t="str">
        <f>IF(I_voor_1p!N111=0,"",I_voor_1p!N111)</f>
        <v/>
      </c>
      <c r="J44" s="82" t="str">
        <f>IF(I_voor_1p!Q111=0,"",I_voor_1p!Q111)</f>
        <v/>
      </c>
      <c r="K44" s="53" t="str">
        <f>IF(F44="","",CONCATENATE(Abitabel2!G38,":",Abitabel2!N38))</f>
        <v/>
      </c>
      <c r="L44" s="35" t="str">
        <f>IF(K44="","",IF(LEFT(K44,1)&lt;RIGHT(K44,1),0,1))</f>
        <v/>
      </c>
      <c r="M44" s="35" t="str">
        <f>IF(L44="","",IF(LEFT(K44,1)&gt;RIGHT(K44,1),0,1))</f>
        <v/>
      </c>
      <c r="Q44" s="1" t="str">
        <f t="shared" si="2"/>
        <v>ERROR</v>
      </c>
    </row>
    <row r="45" spans="1:18">
      <c r="A45" s="7"/>
      <c r="B45" s="9" t="s">
        <v>11</v>
      </c>
      <c r="C45" s="8" t="str">
        <f>VLOOKUP(B45,I_voor_1p!$B$98:$K$102,2,FALSE)</f>
        <v>Erik NÜÜD</v>
      </c>
      <c r="D45" s="9" t="s">
        <v>14</v>
      </c>
      <c r="E45" s="8" t="str">
        <f>VLOOKUP(D45,I_voor_1p!$M$98:$W$102,2,FALSE)</f>
        <v>Filat ANDREEV</v>
      </c>
      <c r="F45" s="82" t="str">
        <f>IF(I_voor_1p!E112=0,"",I_voor_1p!E112)</f>
        <v/>
      </c>
      <c r="G45" s="82" t="str">
        <f>IF(I_voor_1p!H112=0,"",I_voor_1p!H112)</f>
        <v/>
      </c>
      <c r="H45" s="82" t="str">
        <f>IF(I_voor_1p!K112=0,"",I_voor_1p!K112)</f>
        <v/>
      </c>
      <c r="I45" s="82" t="str">
        <f>IF(I_voor_1p!N112=0,"",I_voor_1p!N112)</f>
        <v/>
      </c>
      <c r="J45" s="82" t="str">
        <f>IF(I_voor_1p!Q112=0,"",I_voor_1p!Q112)</f>
        <v/>
      </c>
      <c r="K45" s="53" t="str">
        <f>IF(F45="","",CONCATENATE(Abitabel2!G39,":",Abitabel2!N39))</f>
        <v/>
      </c>
      <c r="L45" s="35" t="str">
        <f>IF(K45="","",IF(LEFT(K45,1)&lt;RIGHT(K45,1),0,1))</f>
        <v/>
      </c>
      <c r="M45" s="35" t="str">
        <f>IF(L45="","",IF(LEFT(K45,1)&gt;RIGHT(K45,1),0,1))</f>
        <v/>
      </c>
      <c r="Q45" s="1" t="str">
        <f t="shared" si="2"/>
        <v>ERROR</v>
      </c>
    </row>
    <row r="46" spans="1:18">
      <c r="A46" s="7"/>
      <c r="B46" s="10"/>
      <c r="C46" s="33" t="str">
        <f>VLOOKUP(C37,Koosseisud!A:B,2,FALSE )</f>
        <v>Meeskond5</v>
      </c>
      <c r="D46" s="10"/>
      <c r="E46" s="33" t="str">
        <f>VLOOKUP(E37,Koosseisud!A:B,2,FALSE)</f>
        <v>Meeskond6</v>
      </c>
      <c r="F46" s="10"/>
      <c r="G46" s="10"/>
      <c r="H46" s="10"/>
      <c r="I46" s="10"/>
      <c r="J46" s="11"/>
      <c r="K46" s="12"/>
      <c r="L46" s="129">
        <f>SUM(L38:L45)</f>
        <v>4</v>
      </c>
      <c r="M46" s="129">
        <f>SUM(M38:M45)</f>
        <v>0</v>
      </c>
    </row>
    <row r="47" spans="1:18" ht="15">
      <c r="A47" s="2" t="s">
        <v>72</v>
      </c>
      <c r="B47" s="3">
        <f>IF(K48="","",SUM(L48:L55))</f>
        <v>4</v>
      </c>
      <c r="C47" s="4" t="str">
        <f>II_voor_1p!G7</f>
        <v>Tiim FORUS - Maardu LTK</v>
      </c>
      <c r="D47" s="3">
        <f>IF(K48="","",SUM(M48:M55))</f>
        <v>1</v>
      </c>
      <c r="E47" s="4" t="str">
        <f>II_voor_1p!R7</f>
        <v>SPINMASTER</v>
      </c>
      <c r="F47" s="5" t="s">
        <v>2</v>
      </c>
      <c r="G47" s="5" t="s">
        <v>3</v>
      </c>
      <c r="H47" s="5" t="s">
        <v>4</v>
      </c>
      <c r="I47" s="5" t="s">
        <v>5</v>
      </c>
      <c r="J47" s="5" t="s">
        <v>6</v>
      </c>
      <c r="K47" s="6" t="s">
        <v>7</v>
      </c>
      <c r="L47" s="287" t="s">
        <v>8</v>
      </c>
      <c r="M47" s="287"/>
      <c r="R47" s="1" t="str">
        <f>IF(OR(B47=4,D47=4),"","ERROR")</f>
        <v/>
      </c>
    </row>
    <row r="48" spans="1:18">
      <c r="A48" s="7" t="s">
        <v>468</v>
      </c>
      <c r="B48" s="9" t="s">
        <v>9</v>
      </c>
      <c r="C48" s="8" t="str">
        <f>VLOOKUP(B48,II_voor_1p!$B$8:$K$12,2,FALSE)</f>
        <v>Lauri LAANE</v>
      </c>
      <c r="D48" s="9" t="s">
        <v>10</v>
      </c>
      <c r="E48" s="8" t="str">
        <f>VLOOKUP(D48,II_voor_1p!$M$8:$W$12,2,FALSE)</f>
        <v>Jan Kenneth TOMING</v>
      </c>
      <c r="F48" s="9" t="str">
        <f>IF(II_voor_1p!E16=0,"",II_voor_1p!E16)</f>
        <v>11:8</v>
      </c>
      <c r="G48" s="9" t="str">
        <f>IF(II_voor_1p!H16=0,"",II_voor_1p!H16)</f>
        <v>7:11</v>
      </c>
      <c r="H48" s="9" t="str">
        <f>IF(II_voor_1p!K16=0,"",II_voor_1p!K16)</f>
        <v>11:9</v>
      </c>
      <c r="I48" s="9" t="str">
        <f>IF(II_voor_1p!N16=0,"",II_voor_1p!N16)</f>
        <v>11:2</v>
      </c>
      <c r="J48" s="9" t="str">
        <f>IF(II_voor_1p!Q16=0,"",II_voor_1p!Q16)</f>
        <v/>
      </c>
      <c r="K48" s="53" t="str">
        <f>IF(F48="","",CONCATENATE(Abitabel2!G42,":",Abitabel2!N42))</f>
        <v>3:1</v>
      </c>
      <c r="L48" s="35">
        <f>IF(K48="","",IF(LEFT(K48,1)&lt;RIGHT(K48,1),0,1))</f>
        <v>1</v>
      </c>
      <c r="M48" s="35">
        <f>IF(K48="","",IF(LEFT(K48,1)&gt;RIGHT(K48,1),0,1))</f>
        <v>0</v>
      </c>
      <c r="Q48" s="1" t="str">
        <f t="shared" si="2"/>
        <v/>
      </c>
    </row>
    <row r="49" spans="1:18">
      <c r="A49" s="7" t="s">
        <v>59</v>
      </c>
      <c r="B49" s="9" t="s">
        <v>11</v>
      </c>
      <c r="C49" s="8" t="str">
        <f>VLOOKUP(B49,II_voor_1p!$B$8:$K$12,2,FALSE)</f>
        <v>Sergei DANILOV</v>
      </c>
      <c r="D49" s="9" t="s">
        <v>12</v>
      </c>
      <c r="E49" s="8" t="str">
        <f>VLOOKUP(D49,II_voor_1p!$M$8:$W$12,2,FALSE)</f>
        <v>Kevin KUKK</v>
      </c>
      <c r="F49" s="9" t="str">
        <f>IF(II_voor_1p!E17=0,"",II_voor_1p!E17)</f>
        <v>11:8</v>
      </c>
      <c r="G49" s="9" t="str">
        <f>IF(II_voor_1p!H17=0,"",II_voor_1p!H17)</f>
        <v>11:7</v>
      </c>
      <c r="H49" s="9" t="str">
        <f>IF(II_voor_1p!K17=0,"",II_voor_1p!K17)</f>
        <v>11:8</v>
      </c>
      <c r="I49" s="9" t="str">
        <f>IF(II_voor_1p!N17=0,"",II_voor_1p!N17)</f>
        <v/>
      </c>
      <c r="J49" s="9" t="str">
        <f>IF(II_voor_1p!Q17=0,"",II_voor_1p!Q17)</f>
        <v/>
      </c>
      <c r="K49" s="53" t="str">
        <f>IF(F49="","",CONCATENATE(Abitabel2!G43,":",Abitabel2!N43))</f>
        <v>3:0</v>
      </c>
      <c r="L49" s="35">
        <f t="shared" ref="L49:L50" si="9">IF(K49="","",IF(LEFT(K49,1)&lt;RIGHT(K49,1),0,1))</f>
        <v>1</v>
      </c>
      <c r="M49" s="35">
        <f t="shared" ref="M49:M50" si="10">IF(K49="","",IF(LEFT(K49,1)&gt;RIGHT(K49,1),0,1))</f>
        <v>0</v>
      </c>
      <c r="Q49" s="1" t="str">
        <f t="shared" si="2"/>
        <v/>
      </c>
    </row>
    <row r="50" spans="1:18">
      <c r="A50" s="7"/>
      <c r="B50" s="9" t="s">
        <v>13</v>
      </c>
      <c r="C50" s="8" t="str">
        <f>VLOOKUP(B50,II_voor_1p!$B$8:$K$12,2,FALSE)</f>
        <v>Artjom HIISKU</v>
      </c>
      <c r="D50" s="9" t="s">
        <v>14</v>
      </c>
      <c r="E50" s="8" t="str">
        <f>VLOOKUP(D50,II_voor_1p!$M$8:$W$12,2,FALSE)</f>
        <v>Filat ANDREEV</v>
      </c>
      <c r="F50" s="9" t="str">
        <f>IF(II_voor_1p!E18=0,"",II_voor_1p!E18)</f>
        <v>8:11</v>
      </c>
      <c r="G50" s="9" t="str">
        <f>IF(II_voor_1p!H18=0,"",II_voor_1p!H18)</f>
        <v>11:13</v>
      </c>
      <c r="H50" s="9" t="str">
        <f>IF(II_voor_1p!K18=0,"",II_voor_1p!K18)</f>
        <v>9:11</v>
      </c>
      <c r="I50" s="9" t="str">
        <f>IF(II_voor_1p!N18=0,"",II_voor_1p!N18)</f>
        <v/>
      </c>
      <c r="J50" s="9" t="str">
        <f>IF(II_voor_1p!Q18=0,"",II_voor_1p!Q18)</f>
        <v/>
      </c>
      <c r="K50" s="53" t="str">
        <f>IF(F50="","",CONCATENATE(Abitabel2!G44,":",Abitabel2!N44))</f>
        <v>0:3</v>
      </c>
      <c r="L50" s="35">
        <f t="shared" si="9"/>
        <v>0</v>
      </c>
      <c r="M50" s="35">
        <f t="shared" si="10"/>
        <v>1</v>
      </c>
      <c r="Q50" s="1" t="str">
        <f t="shared" si="2"/>
        <v/>
      </c>
    </row>
    <row r="51" spans="1:18">
      <c r="A51" s="7"/>
      <c r="B51" s="290" t="s">
        <v>15</v>
      </c>
      <c r="C51" s="8" t="str">
        <f>IF(ISBLANK(II_voor_1p!C19), "", INDEX(II_voor_1p!C8:C12, MATCH(MID(II_voor_1p!C19,1,1), II_voor_1p!B8:B12, 0)))</f>
        <v>Sergei DANILOV</v>
      </c>
      <c r="D51" s="290" t="s">
        <v>15</v>
      </c>
      <c r="E51" s="1" t="str">
        <f>IF(ISBLANK(II_voor_1p!C19), "", INDEX(II_voor_1p!N8:N12, MATCH(MID(II_voor_1p!C19,4,1), II_voor_1p!M8:M12, 0)))</f>
        <v>Kevin KUKK</v>
      </c>
      <c r="F51" s="292" t="str">
        <f>IF(II_voor_1p!E19=0,"",II_voor_1p!E19)</f>
        <v>11:7</v>
      </c>
      <c r="G51" s="292" t="str">
        <f>IF(II_voor_1p!H19=0,"",II_voor_1p!H19)</f>
        <v>11:9</v>
      </c>
      <c r="H51" s="292" t="str">
        <f>IF(II_voor_1p!K19=0,"",II_voor_1p!K19)</f>
        <v>8:11</v>
      </c>
      <c r="I51" s="292" t="str">
        <f>IF(II_voor_1p!N19=0,"",II_voor_1p!N19)</f>
        <v>11:4</v>
      </c>
      <c r="J51" s="292" t="str">
        <f>IF(II_voor_1p!Q19=0,"",II_voor_1p!Q19)</f>
        <v/>
      </c>
      <c r="K51" s="294" t="str">
        <f>IF(F51="","",CONCATENATE(Abitabel2!G45,":",Abitabel2!N45))</f>
        <v>3:1</v>
      </c>
      <c r="L51" s="295">
        <f>IF(K51="","",IF(LEFT(K51,1)&lt;RIGHT(K51,1),0,1))</f>
        <v>1</v>
      </c>
      <c r="M51" s="295">
        <f>IF(K51="","",IF(LEFT(K51,1)&gt;RIGHT(K51,1),0,1))</f>
        <v>0</v>
      </c>
      <c r="Q51" s="1" t="str">
        <f t="shared" si="2"/>
        <v/>
      </c>
    </row>
    <row r="52" spans="1:18">
      <c r="A52" s="7"/>
      <c r="B52" s="291"/>
      <c r="C52" s="8" t="str">
        <f>IF(ISBLANK(II_voor_1p!C19), "", INDEX(II_voor_1p!C8:C12, MATCH(MID(II_voor_1p!C19,2,1), II_voor_1p!B8:B12, 0)))</f>
        <v>Artjom HIISKU</v>
      </c>
      <c r="D52" s="291"/>
      <c r="E52" s="1" t="str">
        <f>IF(ISBLANK(II_voor_1p!C19), "", INDEX(II_voor_1p!N8:N12, MATCH(MID(II_voor_1p!C19,5,1), II_voor_1p!M8:M12, 0)))</f>
        <v>Jan Kenneth TOMING</v>
      </c>
      <c r="F52" s="293"/>
      <c r="G52" s="293"/>
      <c r="H52" s="293"/>
      <c r="I52" s="293"/>
      <c r="J52" s="293"/>
      <c r="K52" s="294"/>
      <c r="L52" s="295"/>
      <c r="M52" s="295"/>
    </row>
    <row r="53" spans="1:18">
      <c r="A53" s="7"/>
      <c r="B53" s="9" t="s">
        <v>9</v>
      </c>
      <c r="C53" s="8" t="str">
        <f>VLOOKUP(B53,II_voor_1p!$B$8:$K$12,2,FALSE)</f>
        <v>Lauri LAANE</v>
      </c>
      <c r="D53" s="9" t="s">
        <v>12</v>
      </c>
      <c r="E53" s="8" t="str">
        <f>VLOOKUP(D53,II_voor_1p!$M$8:$W$12,2,FALSE)</f>
        <v>Kevin KUKK</v>
      </c>
      <c r="F53" s="9" t="str">
        <f>IF(II_voor_1p!E20=0,"",II_voor_1p!E20)</f>
        <v>11:8</v>
      </c>
      <c r="G53" s="9" t="str">
        <f>IF(II_voor_1p!H20=0,"",II_voor_1p!H20)</f>
        <v>12:14</v>
      </c>
      <c r="H53" s="9" t="str">
        <f>IF(II_voor_1p!K20=0,"",II_voor_1p!K20)</f>
        <v>11:9</v>
      </c>
      <c r="I53" s="9" t="str">
        <f>IF(II_voor_1p!N20=0,"",II_voor_1p!N20)</f>
        <v>11:6</v>
      </c>
      <c r="J53" s="9" t="str">
        <f>IF(II_voor_1p!Q20=0,"",II_voor_1p!Q20)</f>
        <v/>
      </c>
      <c r="K53" s="53" t="str">
        <f>IF(F53="","",CONCATENATE(Abitabel2!G47,":",Abitabel2!N47))</f>
        <v>3:1</v>
      </c>
      <c r="L53" s="35">
        <f>IF(K53="","",IF(LEFT(K53,1)&lt;RIGHT(K53,1),0,1))</f>
        <v>1</v>
      </c>
      <c r="M53" s="35">
        <f>IF(K53="","",IF(LEFT(K53,1)&gt;RIGHT(K53,1),0,1))</f>
        <v>0</v>
      </c>
      <c r="Q53" s="1" t="str">
        <f t="shared" si="2"/>
        <v/>
      </c>
    </row>
    <row r="54" spans="1:18">
      <c r="A54" s="7"/>
      <c r="B54" s="9" t="s">
        <v>13</v>
      </c>
      <c r="C54" s="8" t="str">
        <f>VLOOKUP(B54,II_voor_1p!$B$8:$K$12,2,FALSE)</f>
        <v>Artjom HIISKU</v>
      </c>
      <c r="D54" s="9" t="s">
        <v>10</v>
      </c>
      <c r="E54" s="8" t="str">
        <f>VLOOKUP(D54,II_voor_1p!$M$8:$W$12,2,FALSE)</f>
        <v>Jan Kenneth TOMING</v>
      </c>
      <c r="F54" s="9" t="str">
        <f>IF(II_voor_1p!E21=0,"",II_voor_1p!E21)</f>
        <v/>
      </c>
      <c r="G54" s="9" t="str">
        <f>IF(II_voor_1p!H21=0,"",II_voor_1p!H21)</f>
        <v/>
      </c>
      <c r="H54" s="9" t="str">
        <f>IF(II_voor_1p!K21=0,"",II_voor_1p!K21)</f>
        <v/>
      </c>
      <c r="I54" s="9" t="str">
        <f>IF(II_voor_1p!N21=0,"",II_voor_1p!N21)</f>
        <v/>
      </c>
      <c r="J54" s="9" t="str">
        <f>IF(II_voor_1p!Q21=0,"",II_voor_1p!Q21)</f>
        <v/>
      </c>
      <c r="K54" s="53" t="str">
        <f>IF(F54="","",CONCATENATE(Abitabel2!G48,":",Abitabel2!N48))</f>
        <v/>
      </c>
      <c r="L54" s="35" t="str">
        <f>IF(K54="","",IF(LEFT(K54,1)&lt;RIGHT(K54,1),0,1))</f>
        <v/>
      </c>
      <c r="M54" s="35" t="str">
        <f>IF(L54="","",IF(LEFT(K54,1)&gt;RIGHT(K54,1),0,1))</f>
        <v/>
      </c>
      <c r="Q54" s="1" t="str">
        <f t="shared" si="2"/>
        <v>ERROR</v>
      </c>
    </row>
    <row r="55" spans="1:18">
      <c r="A55" s="7"/>
      <c r="B55" s="9" t="s">
        <v>11</v>
      </c>
      <c r="C55" s="8" t="str">
        <f>VLOOKUP(B55,II_voor_1p!$B$8:$K$12,2,FALSE)</f>
        <v>Sergei DANILOV</v>
      </c>
      <c r="D55" s="9" t="s">
        <v>14</v>
      </c>
      <c r="E55" s="8" t="str">
        <f>VLOOKUP(D55,II_voor_1p!$M$8:$W$12,2,FALSE)</f>
        <v>Filat ANDREEV</v>
      </c>
      <c r="F55" s="9" t="str">
        <f>IF(II_voor_1p!E22=0,"",II_voor_1p!E22)</f>
        <v/>
      </c>
      <c r="G55" s="9" t="str">
        <f>IF(II_voor_1p!H22=0,"",II_voor_1p!H22)</f>
        <v/>
      </c>
      <c r="H55" s="9" t="str">
        <f>IF(II_voor_1p!K22=0,"",II_voor_1p!K22)</f>
        <v/>
      </c>
      <c r="I55" s="9" t="str">
        <f>IF(II_voor_1p!N22=0,"",II_voor_1p!N22)</f>
        <v/>
      </c>
      <c r="J55" s="9" t="str">
        <f>IF(II_voor_1p!Q22=0,"",II_voor_1p!Q22)</f>
        <v/>
      </c>
      <c r="K55" s="53" t="str">
        <f>IF(F55="","",CONCATENATE(Abitabel2!G49,":",Abitabel2!N49))</f>
        <v/>
      </c>
      <c r="L55" s="35" t="str">
        <f>IF(K55="","",IF(LEFT(K55,1)&lt;RIGHT(K55,1),0,1))</f>
        <v/>
      </c>
      <c r="M55" s="35" t="str">
        <f>IF(L55="","",IF(LEFT(K55,1)&gt;RIGHT(K55,1),0,1))</f>
        <v/>
      </c>
      <c r="Q55" s="1" t="str">
        <f t="shared" si="2"/>
        <v>ERROR</v>
      </c>
    </row>
    <row r="56" spans="1:18">
      <c r="A56" s="7"/>
      <c r="B56" s="10"/>
      <c r="C56" s="33" t="str">
        <f>VLOOKUP(C47,Koosseisud!A:B,2,FALSE )</f>
        <v>Meeskond1</v>
      </c>
      <c r="D56" s="10"/>
      <c r="E56" s="33" t="str">
        <f>VLOOKUP(E47,Koosseisud!A:B,2,FALSE)</f>
        <v>Meeskond6</v>
      </c>
      <c r="F56" s="10"/>
      <c r="G56" s="10"/>
      <c r="H56" s="10"/>
      <c r="I56" s="10"/>
      <c r="J56" s="11"/>
      <c r="K56" s="12"/>
      <c r="L56" s="129">
        <f>SUM(L48:L55)</f>
        <v>4</v>
      </c>
      <c r="M56" s="129">
        <f>SUM(M48:M55)</f>
        <v>1</v>
      </c>
    </row>
    <row r="57" spans="1:18" ht="15">
      <c r="A57" s="2" t="s">
        <v>73</v>
      </c>
      <c r="B57" s="3">
        <f>IF(K58="","",SUM(L58:L65))</f>
        <v>4</v>
      </c>
      <c r="C57" s="83" t="str">
        <f>II_voor_1p!G37</f>
        <v>Viimsi PINX</v>
      </c>
      <c r="D57" s="3">
        <f>IF(K58="","",SUM(M58:M65))</f>
        <v>2</v>
      </c>
      <c r="E57" s="83" t="str">
        <f>II_voor_1p!R37</f>
        <v>TalTech Spordiklubi</v>
      </c>
      <c r="F57" s="5" t="s">
        <v>2</v>
      </c>
      <c r="G57" s="5" t="s">
        <v>3</v>
      </c>
      <c r="H57" s="5" t="s">
        <v>4</v>
      </c>
      <c r="I57" s="5" t="s">
        <v>5</v>
      </c>
      <c r="J57" s="5" t="s">
        <v>6</v>
      </c>
      <c r="K57" s="6" t="s">
        <v>7</v>
      </c>
      <c r="L57" s="287" t="s">
        <v>8</v>
      </c>
      <c r="M57" s="287"/>
      <c r="R57" s="1" t="str">
        <f>IF(OR(B57=4,D57=4),"","ERROR")</f>
        <v/>
      </c>
    </row>
    <row r="58" spans="1:18">
      <c r="A58" s="7" t="s">
        <v>468</v>
      </c>
      <c r="B58" s="9" t="s">
        <v>9</v>
      </c>
      <c r="C58" s="8" t="str">
        <f>VLOOKUP(B58,II_voor_1p!$B$38:$K$42,2,FALSE)</f>
        <v>Maksim VUHKA</v>
      </c>
      <c r="D58" s="9" t="s">
        <v>10</v>
      </c>
      <c r="E58" s="8" t="str">
        <f>VLOOKUP(D58,II_voor_1p!$M$38:$W$42,2,FALSE)</f>
        <v>Andrei MALTIZOV</v>
      </c>
      <c r="F58" s="86" t="str">
        <f>IF(II_voor_1p!E46=0,"",II_voor_1p!E46)</f>
        <v>9:11</v>
      </c>
      <c r="G58" s="86" t="str">
        <f>IF(II_voor_1p!H46=0,"",II_voor_1p!H46)</f>
        <v>11:8</v>
      </c>
      <c r="H58" s="86" t="str">
        <f>IF(II_voor_1p!K46=0,"",II_voor_1p!K46)</f>
        <v>11:5</v>
      </c>
      <c r="I58" s="86" t="str">
        <f>IF(II_voor_1p!N46=0,"",II_voor_1p!N46)</f>
        <v>11:3</v>
      </c>
      <c r="J58" s="86" t="str">
        <f>IF(II_voor_1p!Q46=0,"",II_voor_1p!Q46)</f>
        <v/>
      </c>
      <c r="K58" s="53" t="str">
        <f>IF(F58="","",CONCATENATE(Abitabel2!G52,":",Abitabel2!N52))</f>
        <v>3:1</v>
      </c>
      <c r="L58" s="35">
        <f>IF(K58="","",IF(LEFT(K58,1)&lt;RIGHT(K58,1),0,1))</f>
        <v>1</v>
      </c>
      <c r="M58" s="35">
        <f>IF(K58="","",IF(LEFT(K58,1)&gt;RIGHT(K58,1),0,1))</f>
        <v>0</v>
      </c>
      <c r="Q58" s="1" t="str">
        <f t="shared" si="2"/>
        <v/>
      </c>
    </row>
    <row r="59" spans="1:18">
      <c r="A59" s="7" t="s">
        <v>59</v>
      </c>
      <c r="B59" s="9" t="s">
        <v>11</v>
      </c>
      <c r="C59" s="8" t="str">
        <f>VLOOKUP(B59,II_voor_1p!$B$38:$K$42,2,FALSE)</f>
        <v>Toomas LIBENE</v>
      </c>
      <c r="D59" s="9" t="s">
        <v>12</v>
      </c>
      <c r="E59" s="8" t="str">
        <f>VLOOKUP(D59,II_voor_1p!$M$38:$W$42,2,FALSE)</f>
        <v>Madis MOOS</v>
      </c>
      <c r="F59" s="86" t="str">
        <f>IF(II_voor_1p!E47=0,"",II_voor_1p!E47)</f>
        <v>11:5</v>
      </c>
      <c r="G59" s="86" t="str">
        <f>IF(II_voor_1p!H47=0,"",II_voor_1p!H47)</f>
        <v>11:9</v>
      </c>
      <c r="H59" s="86" t="str">
        <f>IF(II_voor_1p!K47=0,"",II_voor_1p!K47)</f>
        <v>6:11</v>
      </c>
      <c r="I59" s="86" t="str">
        <f>IF(II_voor_1p!N47=0,"",II_voor_1p!N47)</f>
        <v>11:9</v>
      </c>
      <c r="J59" s="86" t="str">
        <f>IF(II_voor_1p!Q47=0,"",II_voor_1p!Q47)</f>
        <v/>
      </c>
      <c r="K59" s="53" t="str">
        <f>IF(F59="","",CONCATENATE(Abitabel2!G53,":",Abitabel2!N53))</f>
        <v>3:1</v>
      </c>
      <c r="L59" s="35">
        <f t="shared" ref="L59:L60" si="11">IF(K59="","",IF(LEFT(K59,1)&lt;RIGHT(K59,1),0,1))</f>
        <v>1</v>
      </c>
      <c r="M59" s="35">
        <f t="shared" ref="M59:M60" si="12">IF(K59="","",IF(LEFT(K59,1)&gt;RIGHT(K59,1),0,1))</f>
        <v>0</v>
      </c>
      <c r="Q59" s="1" t="str">
        <f t="shared" si="2"/>
        <v/>
      </c>
    </row>
    <row r="60" spans="1:18">
      <c r="A60" s="7"/>
      <c r="B60" s="9" t="s">
        <v>13</v>
      </c>
      <c r="C60" s="8" t="str">
        <f>VLOOKUP(B60,II_voor_1p!$B$38:$K$42,2,FALSE)</f>
        <v>Daniel KOSIBA</v>
      </c>
      <c r="D60" s="9" t="s">
        <v>14</v>
      </c>
      <c r="E60" s="8" t="str">
        <f>VLOOKUP(D60,II_voor_1p!$M$38:$W$42,2,FALSE)</f>
        <v>Stanislav STROGOV</v>
      </c>
      <c r="F60" s="86" t="str">
        <f>IF(II_voor_1p!E48=0,"",II_voor_1p!E48)</f>
        <v>11:3</v>
      </c>
      <c r="G60" s="86" t="str">
        <f>IF(II_voor_1p!H48=0,"",II_voor_1p!H48)</f>
        <v>11:6</v>
      </c>
      <c r="H60" s="86" t="str">
        <f>IF(II_voor_1p!K48=0,"",II_voor_1p!K48)</f>
        <v>12:10</v>
      </c>
      <c r="I60" s="86" t="str">
        <f>IF(II_voor_1p!N48=0,"",II_voor_1p!N48)</f>
        <v/>
      </c>
      <c r="J60" s="86" t="str">
        <f>IF(II_voor_1p!Q48=0,"",II_voor_1p!Q48)</f>
        <v/>
      </c>
      <c r="K60" s="53" t="str">
        <f>IF(F60="","",CONCATENATE(Abitabel2!G54,":",Abitabel2!N54))</f>
        <v>3:0</v>
      </c>
      <c r="L60" s="35">
        <f t="shared" si="11"/>
        <v>1</v>
      </c>
      <c r="M60" s="35">
        <f t="shared" si="12"/>
        <v>0</v>
      </c>
      <c r="Q60" s="1" t="str">
        <f t="shared" si="2"/>
        <v/>
      </c>
    </row>
    <row r="61" spans="1:18">
      <c r="A61" s="7"/>
      <c r="B61" s="290" t="s">
        <v>15</v>
      </c>
      <c r="C61" s="1" t="str">
        <f>IF(ISBLANK(II_voor_1p!C49), "", INDEX(II_voor_1p!C38:C42, MATCH(MID(II_voor_1p!C49,1,1), II_voor_1p!B38:B42, 0)))</f>
        <v>Toomas LIBENE</v>
      </c>
      <c r="D61" s="290" t="s">
        <v>15</v>
      </c>
      <c r="E61" s="1" t="str">
        <f>IF(ISBLANK(II_voor_1p!C49), "", INDEX(II_voor_1p!N38:N42, MATCH(MID(II_voor_1p!C49,4,1), II_voor_1p!M38:M42, 0)))</f>
        <v>Madis MOOS</v>
      </c>
      <c r="F61" s="296" t="str">
        <f>IF(II_voor_1p!E49=0,"",II_voor_1p!E49)</f>
        <v>5:11</v>
      </c>
      <c r="G61" s="296" t="str">
        <f>IF(II_voor_1p!H49=0,"",II_voor_1p!H49)</f>
        <v>11:7</v>
      </c>
      <c r="H61" s="296" t="str">
        <f>IF(II_voor_1p!K49=0,"",II_voor_1p!K49)</f>
        <v>5:11</v>
      </c>
      <c r="I61" s="296" t="str">
        <f>IF(II_voor_1p!N49=0,"",II_voor_1p!N49)</f>
        <v>12:10</v>
      </c>
      <c r="J61" s="296" t="str">
        <f>IF(II_voor_1p!Q49=0,"",II_voor_1p!Q49)</f>
        <v>6:11</v>
      </c>
      <c r="K61" s="294" t="str">
        <f>IF(F61="","",CONCATENATE(Abitabel2!G55,":",Abitabel2!N55))</f>
        <v>2:3</v>
      </c>
      <c r="L61" s="295">
        <f>IF(K61="","",IF(LEFT(K61,1)&lt;RIGHT(K61,1),0,1))</f>
        <v>0</v>
      </c>
      <c r="M61" s="295">
        <f>IF(K61="","",IF(LEFT(K61,1)&gt;RIGHT(K61,1),0,1))</f>
        <v>1</v>
      </c>
      <c r="Q61" s="1" t="str">
        <f t="shared" si="2"/>
        <v/>
      </c>
    </row>
    <row r="62" spans="1:18">
      <c r="A62" s="7"/>
      <c r="B62" s="291"/>
      <c r="C62" s="1" t="str">
        <f>IF(ISBLANK(II_voor_1p!C49), "", INDEX(II_voor_1p!C38:C42, MATCH(MID(II_voor_1p!C49,2,1), II_voor_1p!B38:B42, 0)))</f>
        <v>Daniel KOSIBA</v>
      </c>
      <c r="D62" s="291"/>
      <c r="E62" s="1" t="str">
        <f>IF(ISBLANK(II_voor_1p!C49), "", INDEX(II_voor_1p!N38:N42, MATCH(MID(II_voor_1p!C49,5,1), II_voor_1p!M38:M42, 0)))</f>
        <v>Stanislav STROGOV</v>
      </c>
      <c r="F62" s="296"/>
      <c r="G62" s="296"/>
      <c r="H62" s="296"/>
      <c r="I62" s="296"/>
      <c r="J62" s="296"/>
      <c r="K62" s="294"/>
      <c r="L62" s="295"/>
      <c r="M62" s="295"/>
    </row>
    <row r="63" spans="1:18">
      <c r="A63" s="7"/>
      <c r="B63" s="9" t="s">
        <v>9</v>
      </c>
      <c r="C63" s="8" t="str">
        <f>VLOOKUP(B63,II_voor_1p!$B$38:$K$42,2,FALSE)</f>
        <v>Maksim VUHKA</v>
      </c>
      <c r="D63" s="9" t="s">
        <v>12</v>
      </c>
      <c r="E63" s="8" t="str">
        <f>VLOOKUP(D63,II_voor_1p!$M$38:$W$42,2,FALSE)</f>
        <v>Madis MOOS</v>
      </c>
      <c r="F63" s="86" t="str">
        <f>IF(II_voor_1p!E50=0,"",II_voor_1p!E50)</f>
        <v>12:10</v>
      </c>
      <c r="G63" s="86" t="str">
        <f>IF(II_voor_1p!H50=0,"",II_voor_1p!H50)</f>
        <v>8:11</v>
      </c>
      <c r="H63" s="86" t="str">
        <f>IF(II_voor_1p!K50=0,"",II_voor_1p!K50)</f>
        <v>6:11</v>
      </c>
      <c r="I63" s="86" t="str">
        <f>IF(II_voor_1p!N50=0,"",II_voor_1p!N50)</f>
        <v>4:11</v>
      </c>
      <c r="J63" s="86" t="str">
        <f>IF(II_voor_1p!Q50=0,"",II_voor_1p!Q50)</f>
        <v/>
      </c>
      <c r="K63" s="53" t="str">
        <f>IF(F63="","",CONCATENATE(Abitabel2!G57,":",Abitabel2!N57))</f>
        <v>1:3</v>
      </c>
      <c r="L63" s="35">
        <f>IF(K63="","",IF(LEFT(K63,1)&lt;RIGHT(K63,1),0,1))</f>
        <v>0</v>
      </c>
      <c r="M63" s="35">
        <f>IF(K63="","",IF(LEFT(K63,1)&gt;RIGHT(K63,1),0,1))</f>
        <v>1</v>
      </c>
      <c r="Q63" s="1" t="str">
        <f t="shared" si="2"/>
        <v/>
      </c>
    </row>
    <row r="64" spans="1:18">
      <c r="A64" s="7"/>
      <c r="B64" s="9" t="s">
        <v>13</v>
      </c>
      <c r="C64" s="8" t="str">
        <f>VLOOKUP(B64,II_voor_1p!$B$38:$K$42,2,FALSE)</f>
        <v>Daniel KOSIBA</v>
      </c>
      <c r="D64" s="9" t="s">
        <v>10</v>
      </c>
      <c r="E64" s="8" t="str">
        <f>VLOOKUP(D64,II_voor_1p!$M$38:$W$42,2,FALSE)</f>
        <v>Andrei MALTIZOV</v>
      </c>
      <c r="F64" s="86" t="str">
        <f>IF(II_voor_1p!E51=0,"",II_voor_1p!E51)</f>
        <v>11:5</v>
      </c>
      <c r="G64" s="86" t="str">
        <f>IF(II_voor_1p!H51=0,"",II_voor_1p!H51)</f>
        <v>11:4</v>
      </c>
      <c r="H64" s="86" t="str">
        <f>IF(II_voor_1p!K51=0,"",II_voor_1p!K51)</f>
        <v>11:8</v>
      </c>
      <c r="I64" s="86" t="str">
        <f>IF(II_voor_1p!N51=0,"",II_voor_1p!N51)</f>
        <v/>
      </c>
      <c r="J64" s="86" t="str">
        <f>IF(II_voor_1p!Q51=0,"",II_voor_1p!Q51)</f>
        <v/>
      </c>
      <c r="K64" s="53" t="str">
        <f>IF(F64="","",CONCATENATE(Abitabel2!G58,":",Abitabel2!N58))</f>
        <v>3:0</v>
      </c>
      <c r="L64" s="35">
        <f>IF(K64="","",IF(LEFT(K64,1)&lt;RIGHT(K64,1),0,1))</f>
        <v>1</v>
      </c>
      <c r="M64" s="35">
        <f>IF(L64="","",IF(LEFT(K64,1)&gt;RIGHT(K64,1),0,1))</f>
        <v>0</v>
      </c>
      <c r="Q64" s="1" t="str">
        <f t="shared" si="2"/>
        <v/>
      </c>
    </row>
    <row r="65" spans="1:18">
      <c r="A65" s="7"/>
      <c r="B65" s="9" t="s">
        <v>11</v>
      </c>
      <c r="C65" s="8" t="str">
        <f>VLOOKUP(B65,II_voor_1p!$B$38:$K$42,2,FALSE)</f>
        <v>Toomas LIBENE</v>
      </c>
      <c r="D65" s="9" t="s">
        <v>14</v>
      </c>
      <c r="E65" s="8" t="str">
        <f>VLOOKUP(D65,II_voor_1p!$M$38:$W$42,2,FALSE)</f>
        <v>Stanislav STROGOV</v>
      </c>
      <c r="F65" s="86" t="str">
        <f>IF(II_voor_1p!E52=0,"",II_voor_1p!E52)</f>
        <v/>
      </c>
      <c r="G65" s="86" t="str">
        <f>IF(II_voor_1p!H52=0,"",II_voor_1p!H52)</f>
        <v/>
      </c>
      <c r="H65" s="86" t="str">
        <f>IF(II_voor_1p!K52=0,"",II_voor_1p!K52)</f>
        <v/>
      </c>
      <c r="I65" s="86" t="str">
        <f>IF(II_voor_1p!N52=0,"",II_voor_1p!N52)</f>
        <v/>
      </c>
      <c r="J65" s="86" t="str">
        <f>IF(II_voor_1p!Q52=0,"",II_voor_1p!Q52)</f>
        <v/>
      </c>
      <c r="K65" s="53" t="str">
        <f>IF(F65="","",CONCATENATE(Abitabel2!G59,":",Abitabel2!N59))</f>
        <v/>
      </c>
      <c r="L65" s="35" t="str">
        <f>IF(K65="","",IF(LEFT(K65,1)&lt;RIGHT(K65,1),0,1))</f>
        <v/>
      </c>
      <c r="M65" s="35" t="str">
        <f>IF(L65="","",IF(LEFT(K65,1)&gt;RIGHT(K65,1),0,1))</f>
        <v/>
      </c>
      <c r="Q65" s="1" t="str">
        <f t="shared" si="2"/>
        <v>ERROR</v>
      </c>
    </row>
    <row r="66" spans="1:18">
      <c r="A66" s="7"/>
      <c r="B66" s="10"/>
      <c r="C66" s="33" t="str">
        <f>VLOOKUP(C57,Koosseisud!A:B,2,FALSE )</f>
        <v>Meeskond2</v>
      </c>
      <c r="D66" s="10"/>
      <c r="E66" s="33" t="str">
        <f>VLOOKUP(E57,Koosseisud!A:B,2,FALSE)</f>
        <v>Meeskond3</v>
      </c>
      <c r="F66" s="10"/>
      <c r="G66" s="10"/>
      <c r="H66" s="10"/>
      <c r="I66" s="10"/>
      <c r="J66" s="11"/>
      <c r="K66" s="12"/>
      <c r="L66" s="129">
        <f>SUM(L58:L65)</f>
        <v>4</v>
      </c>
      <c r="M66" s="129">
        <f>SUM(M58:M65)</f>
        <v>2</v>
      </c>
    </row>
    <row r="67" spans="1:18" ht="15">
      <c r="A67" s="2" t="s">
        <v>74</v>
      </c>
      <c r="B67" s="3">
        <f>IF(K68="","",SUM(L68:L75))</f>
        <v>4</v>
      </c>
      <c r="C67" s="83" t="str">
        <f>II_voor_1p!G67</f>
        <v>Tartu SS Kalev</v>
      </c>
      <c r="D67" s="3">
        <f>IF(K68="","",SUM(M68:M75))</f>
        <v>0</v>
      </c>
      <c r="E67" s="83" t="str">
        <f>II_voor_1p!R67</f>
        <v>LTK Kalev/Radiaatorikeskus</v>
      </c>
      <c r="F67" s="5" t="s">
        <v>2</v>
      </c>
      <c r="G67" s="5" t="s">
        <v>3</v>
      </c>
      <c r="H67" s="5" t="s">
        <v>4</v>
      </c>
      <c r="I67" s="5" t="s">
        <v>5</v>
      </c>
      <c r="J67" s="5" t="s">
        <v>6</v>
      </c>
      <c r="K67" s="6" t="s">
        <v>7</v>
      </c>
      <c r="L67" s="287" t="s">
        <v>8</v>
      </c>
      <c r="M67" s="287"/>
      <c r="R67" s="1" t="str">
        <f>IF(OR(B67=4,D67=4),"","ERROR")</f>
        <v/>
      </c>
    </row>
    <row r="68" spans="1:18">
      <c r="A68" s="7" t="s">
        <v>468</v>
      </c>
      <c r="B68" s="9" t="s">
        <v>9</v>
      </c>
      <c r="C68" s="8" t="str">
        <f>VLOOKUP(B68,II_voor_1p!$B$68:$K$72,2,FALSE)</f>
        <v>Markkos PUKK</v>
      </c>
      <c r="D68" s="9" t="s">
        <v>10</v>
      </c>
      <c r="E68" s="8" t="str">
        <f>VLOOKUP(D68,II_voor_1p!$M$68:$W$72,2,FALSE)</f>
        <v>Jorma LAHTINEN</v>
      </c>
      <c r="F68" s="126" t="str">
        <f>IF(II_voor_1p!E76=0,"",II_voor_1p!E76)</f>
        <v>11:4</v>
      </c>
      <c r="G68" s="126" t="str">
        <f>IF(II_voor_1p!H76=0,"",II_voor_1p!H76)</f>
        <v>11:5</v>
      </c>
      <c r="H68" s="126" t="str">
        <f>IF(II_voor_1p!K76=0,"",II_voor_1p!K76)</f>
        <v>7:11</v>
      </c>
      <c r="I68" s="126" t="str">
        <f>IF(II_voor_1p!N76=0,"",II_voor_1p!N76)</f>
        <v>8:11</v>
      </c>
      <c r="J68" s="126" t="str">
        <f>IF(II_voor_1p!Q76=0,"",II_voor_1p!Q76)</f>
        <v>11:8</v>
      </c>
      <c r="K68" s="53" t="str">
        <f>IF(F68="","",CONCATENATE(Abitabel2!G62,":",Abitabel2!N62))</f>
        <v>3:2</v>
      </c>
      <c r="L68" s="35">
        <f>IF(K68="","",IF(LEFT(K68,1)&lt;RIGHT(K68,1),0,1))</f>
        <v>1</v>
      </c>
      <c r="M68" s="35">
        <f>IF(K68="","",IF(LEFT(K68,1)&gt;RIGHT(K68,1),0,1))</f>
        <v>0</v>
      </c>
      <c r="Q68" s="1" t="str">
        <f t="shared" si="2"/>
        <v/>
      </c>
    </row>
    <row r="69" spans="1:18">
      <c r="A69" s="7" t="s">
        <v>59</v>
      </c>
      <c r="B69" s="9" t="s">
        <v>11</v>
      </c>
      <c r="C69" s="8" t="str">
        <f>VLOOKUP(B69,II_voor_1p!$B$68:$K$72,2,FALSE)</f>
        <v>Mart LUUK</v>
      </c>
      <c r="D69" s="9" t="s">
        <v>12</v>
      </c>
      <c r="E69" s="8" t="str">
        <f>VLOOKUP(D69,II_voor_1p!$M$68:$W$72,2,FALSE)</f>
        <v>Kristjan KANT</v>
      </c>
      <c r="F69" s="126" t="str">
        <f>IF(II_voor_1p!E77=0,"",II_voor_1p!E77)</f>
        <v>11:3</v>
      </c>
      <c r="G69" s="126" t="str">
        <f>IF(II_voor_1p!H77=0,"",II_voor_1p!H77)</f>
        <v>11:5</v>
      </c>
      <c r="H69" s="126" t="str">
        <f>IF(II_voor_1p!K77=0,"",II_voor_1p!K77)</f>
        <v>11:4</v>
      </c>
      <c r="I69" s="126" t="str">
        <f>IF(II_voor_1p!N77=0,"",II_voor_1p!N77)</f>
        <v/>
      </c>
      <c r="J69" s="126" t="str">
        <f>IF(II_voor_1p!Q77=0,"",II_voor_1p!Q77)</f>
        <v/>
      </c>
      <c r="K69" s="53" t="str">
        <f>IF(F69="","",CONCATENATE(Abitabel2!G63,":",Abitabel2!N63))</f>
        <v>3:0</v>
      </c>
      <c r="L69" s="35">
        <f t="shared" ref="L69:L70" si="13">IF(K69="","",IF(LEFT(K69,1)&lt;RIGHT(K69,1),0,1))</f>
        <v>1</v>
      </c>
      <c r="M69" s="35">
        <f t="shared" ref="M69:M70" si="14">IF(K69="","",IF(LEFT(K69,1)&gt;RIGHT(K69,1),0,1))</f>
        <v>0</v>
      </c>
      <c r="Q69" s="1" t="str">
        <f t="shared" si="2"/>
        <v/>
      </c>
    </row>
    <row r="70" spans="1:18">
      <c r="A70" s="7"/>
      <c r="B70" s="9" t="s">
        <v>13</v>
      </c>
      <c r="C70" s="8" t="str">
        <f>VLOOKUP(B70,II_voor_1p!$B$68:$K$72,2,FALSE)</f>
        <v>Osqar PUKK</v>
      </c>
      <c r="D70" s="9" t="s">
        <v>14</v>
      </c>
      <c r="E70" s="8" t="str">
        <f>VLOOKUP(D70,II_voor_1p!$M$68:$W$72,2,FALSE)</f>
        <v>Allan KOTTISE</v>
      </c>
      <c r="F70" s="126" t="str">
        <f>IF(II_voor_1p!E78=0,"",II_voor_1p!E78)</f>
        <v>11:8</v>
      </c>
      <c r="G70" s="126" t="str">
        <f>IF(II_voor_1p!H78=0,"",II_voor_1p!H78)</f>
        <v>11:5</v>
      </c>
      <c r="H70" s="126" t="str">
        <f>IF(II_voor_1p!K78=0,"",II_voor_1p!K78)</f>
        <v>11:8</v>
      </c>
      <c r="I70" s="126" t="str">
        <f>IF(II_voor_1p!N78=0,"",II_voor_1p!N78)</f>
        <v/>
      </c>
      <c r="J70" s="126" t="str">
        <f>IF(II_voor_1p!Q78=0,"",II_voor_1p!Q78)</f>
        <v/>
      </c>
      <c r="K70" s="53" t="str">
        <f>IF(F70="","",CONCATENATE(Abitabel2!G64,":",Abitabel2!N64))</f>
        <v>3:0</v>
      </c>
      <c r="L70" s="35">
        <f t="shared" si="13"/>
        <v>1</v>
      </c>
      <c r="M70" s="35">
        <f t="shared" si="14"/>
        <v>0</v>
      </c>
      <c r="Q70" s="1" t="str">
        <f t="shared" si="2"/>
        <v/>
      </c>
    </row>
    <row r="71" spans="1:18">
      <c r="A71" s="7"/>
      <c r="B71" s="290" t="s">
        <v>15</v>
      </c>
      <c r="C71" s="1" t="str">
        <f>IF(ISBLANK(II_voor_1p!C79), "", INDEX(II_voor_1p!C68:C72, MATCH(MID(II_voor_1p!C79,1,1), II_voor_1p!B68:B72, 0)))</f>
        <v>Markkos PUKK</v>
      </c>
      <c r="D71" s="290" t="s">
        <v>15</v>
      </c>
      <c r="E71" s="1" t="str">
        <f>IF(ISBLANK(II_voor_1p!C79), "", INDEX(II_voor_1p!N68:N72, MATCH(MID(II_voor_1p!C79,4,1), II_voor_1p!M68:M72, 0)))</f>
        <v>Kristjan KANT</v>
      </c>
      <c r="F71" s="297" t="str">
        <f>IF(II_voor_1p!E79=0,"",II_voor_1p!E79)</f>
        <v>11:7</v>
      </c>
      <c r="G71" s="297" t="str">
        <f>IF(II_voor_1p!H79=0,"",II_voor_1p!H79)</f>
        <v>12:10</v>
      </c>
      <c r="H71" s="297" t="str">
        <f>IF(II_voor_1p!K79=0,"",II_voor_1p!K79)</f>
        <v>11:8</v>
      </c>
      <c r="I71" s="297" t="str">
        <f>IF(II_voor_1p!N79=0,"",II_voor_1p!N79)</f>
        <v/>
      </c>
      <c r="J71" s="298" t="str">
        <f>IF(II_voor_1p!Q79=0,"",II_voor_1p!Q79)</f>
        <v/>
      </c>
      <c r="K71" s="294" t="str">
        <f>IF(F71="","",CONCATENATE(Abitabel2!G65,":",Abitabel2!N65))</f>
        <v>3:0</v>
      </c>
      <c r="L71" s="295">
        <f>IF(K71="","",IF(LEFT(K71,1)&lt;RIGHT(K71,1),0,1))</f>
        <v>1</v>
      </c>
      <c r="M71" s="295">
        <f>IF(K71="","",IF(LEFT(K71,1)&gt;RIGHT(K71,1),0,1))</f>
        <v>0</v>
      </c>
      <c r="Q71" s="1" t="str">
        <f t="shared" si="2"/>
        <v/>
      </c>
    </row>
    <row r="72" spans="1:18">
      <c r="A72" s="7"/>
      <c r="B72" s="291"/>
      <c r="C72" s="1" t="str">
        <f>IF(ISBLANK(II_voor_1p!C79), "", INDEX(II_voor_1p!C68:C72, MATCH(MID(II_voor_1p!C79,2,1), II_voor_1p!B68:B72, 0)))</f>
        <v>Osqar PUKK</v>
      </c>
      <c r="D72" s="291"/>
      <c r="E72" s="1" t="str">
        <f>IF(ISBLANK(II_voor_1p!C79), "", INDEX(II_voor_1p!N68:N72, MATCH(MID(II_voor_1p!C79,5,1), II_voor_1p!M68:M72, 0)))</f>
        <v>Allan KOTTISE</v>
      </c>
      <c r="F72" s="297"/>
      <c r="G72" s="297"/>
      <c r="H72" s="297"/>
      <c r="I72" s="297"/>
      <c r="J72" s="298"/>
      <c r="K72" s="294"/>
      <c r="L72" s="295"/>
      <c r="M72" s="295"/>
    </row>
    <row r="73" spans="1:18">
      <c r="A73" s="7"/>
      <c r="B73" s="9" t="s">
        <v>9</v>
      </c>
      <c r="C73" s="8" t="str">
        <f>VLOOKUP(B73,II_voor_1p!$B$68:$K$72,2,FALSE)</f>
        <v>Markkos PUKK</v>
      </c>
      <c r="D73" s="9" t="s">
        <v>12</v>
      </c>
      <c r="E73" s="8" t="str">
        <f>VLOOKUP(D73,II_voor_1p!$M$68:$W$72,2,FALSE)</f>
        <v>Kristjan KANT</v>
      </c>
      <c r="F73" s="126" t="str">
        <f>IF(II_voor_1p!E80=0,"",II_voor_1p!E80)</f>
        <v/>
      </c>
      <c r="G73" s="126" t="str">
        <f>IF(II_voor_1p!H80=0,"",II_voor_1p!H80)</f>
        <v/>
      </c>
      <c r="H73" s="126" t="str">
        <f>IF(II_voor_1p!K80=0,"",II_voor_1p!K80)</f>
        <v/>
      </c>
      <c r="I73" s="126" t="str">
        <f>IF(II_voor_1p!N80=0,"",II_voor_1p!N80)</f>
        <v/>
      </c>
      <c r="J73" s="126" t="str">
        <f>IF(II_voor_1p!Q80=0,"",II_voor_1p!Q80)</f>
        <v/>
      </c>
      <c r="K73" s="53" t="str">
        <f>IF(F73="","",CONCATENATE(Abitabel2!G67,":",Abitabel2!N67))</f>
        <v/>
      </c>
      <c r="L73" s="35" t="str">
        <f>IF(K73="","",IF(LEFT(K73,1)&lt;RIGHT(K73,1),0,1))</f>
        <v/>
      </c>
      <c r="M73" s="35" t="str">
        <f>IF(K73="","",IF(LEFT(K73,1)&gt;RIGHT(K73,1),0,1))</f>
        <v/>
      </c>
      <c r="Q73" s="1" t="str">
        <f t="shared" ref="Q73:Q125" si="15">IF(OR(LEFT(K73,1)="3",RIGHT(K73,1)="3"),"","ERROR")</f>
        <v>ERROR</v>
      </c>
    </row>
    <row r="74" spans="1:18">
      <c r="A74" s="7"/>
      <c r="B74" s="9" t="s">
        <v>13</v>
      </c>
      <c r="C74" s="8" t="str">
        <f>VLOOKUP(B74,II_voor_1p!$B$68:$K$72,2,FALSE)</f>
        <v>Osqar PUKK</v>
      </c>
      <c r="D74" s="9" t="s">
        <v>10</v>
      </c>
      <c r="E74" s="8" t="str">
        <f>VLOOKUP(D74,II_voor_1p!$M$68:$W$72,2,FALSE)</f>
        <v>Jorma LAHTINEN</v>
      </c>
      <c r="F74" s="126" t="str">
        <f>IF(II_voor_1p!E81=0,"",II_voor_1p!E81)</f>
        <v/>
      </c>
      <c r="G74" s="126" t="str">
        <f>IF(II_voor_1p!H81=0,"",II_voor_1p!H81)</f>
        <v/>
      </c>
      <c r="H74" s="126" t="str">
        <f>IF(II_voor_1p!K81=0,"",II_voor_1p!K81)</f>
        <v/>
      </c>
      <c r="I74" s="126" t="str">
        <f>IF(II_voor_1p!N81=0,"",II_voor_1p!N81)</f>
        <v/>
      </c>
      <c r="J74" s="126" t="str">
        <f>IF(II_voor_1p!Q81=0,"",II_voor_1p!Q81)</f>
        <v/>
      </c>
      <c r="K74" s="53" t="str">
        <f>IF(F74="","",CONCATENATE(Abitabel2!G68,":",Abitabel2!N68))</f>
        <v/>
      </c>
      <c r="L74" s="35" t="str">
        <f>IF(K74="","",IF(LEFT(K74,1)&lt;RIGHT(K74,1),0,1))</f>
        <v/>
      </c>
      <c r="M74" s="35" t="str">
        <f>IF(L74="","",IF(LEFT(K74,1)&gt;RIGHT(K74,1),0,1))</f>
        <v/>
      </c>
      <c r="Q74" s="1" t="str">
        <f t="shared" si="15"/>
        <v>ERROR</v>
      </c>
    </row>
    <row r="75" spans="1:18">
      <c r="A75" s="7"/>
      <c r="B75" s="9" t="s">
        <v>11</v>
      </c>
      <c r="C75" s="8" t="str">
        <f>VLOOKUP(B75,II_voor_1p!$B$68:$K$72,2,FALSE)</f>
        <v>Mart LUUK</v>
      </c>
      <c r="D75" s="9" t="s">
        <v>14</v>
      </c>
      <c r="E75" s="8" t="str">
        <f>VLOOKUP(D75,II_voor_1p!$M$68:$W$72,2,FALSE)</f>
        <v>Allan KOTTISE</v>
      </c>
      <c r="F75" s="126" t="str">
        <f>IF(II_voor_1p!E82=0,"",II_voor_1p!E82)</f>
        <v/>
      </c>
      <c r="G75" s="126" t="str">
        <f>IF(II_voor_1p!H82=0,"",II_voor_1p!H82)</f>
        <v/>
      </c>
      <c r="H75" s="126" t="str">
        <f>IF(II_voor_1p!K82=0,"",II_voor_1p!K82)</f>
        <v/>
      </c>
      <c r="I75" s="126" t="str">
        <f>IF(II_voor_1p!N82=0,"",II_voor_1p!N82)</f>
        <v/>
      </c>
      <c r="J75" s="126" t="str">
        <f>IF(II_voor_1p!Q82=0,"",II_voor_1p!Q82)</f>
        <v/>
      </c>
      <c r="K75" s="53" t="str">
        <f>IF(F75="","",CONCATENATE(Abitabel2!G69,":",Abitabel2!N69))</f>
        <v/>
      </c>
      <c r="L75" s="35" t="str">
        <f>IF(K75="","",IF(LEFT(K75,1)&lt;RIGHT(K75,1),0,1))</f>
        <v/>
      </c>
      <c r="M75" s="35" t="str">
        <f>IF(L75="","",IF(LEFT(K75,1)&gt;RIGHT(K75,1),0,1))</f>
        <v/>
      </c>
      <c r="Q75" s="1" t="str">
        <f t="shared" si="15"/>
        <v>ERROR</v>
      </c>
    </row>
    <row r="76" spans="1:18">
      <c r="A76" s="7"/>
      <c r="B76" s="10"/>
      <c r="C76" s="33" t="str">
        <f>VLOOKUP(C67,Koosseisud!A:B,2,FALSE )</f>
        <v>Meeskond4</v>
      </c>
      <c r="D76" s="10"/>
      <c r="E76" s="33" t="str">
        <f>VLOOKUP(E67,Koosseisud!A:B,2,FALSE)</f>
        <v>Meeskond8</v>
      </c>
      <c r="F76" s="127"/>
      <c r="G76" s="127"/>
      <c r="H76" s="127"/>
      <c r="I76" s="127"/>
      <c r="J76" s="128"/>
      <c r="K76" s="12"/>
      <c r="L76" s="129">
        <f>SUM(L68:L75)</f>
        <v>4</v>
      </c>
      <c r="M76" s="129">
        <f>SUM(M68:M75)</f>
        <v>0</v>
      </c>
    </row>
    <row r="77" spans="1:18" ht="15">
      <c r="A77" s="2" t="s">
        <v>75</v>
      </c>
      <c r="B77" s="3">
        <f>IF(K78="","",SUM(L78:L85))</f>
        <v>2</v>
      </c>
      <c r="C77" s="83" t="str">
        <f>II_voor_1p!G97</f>
        <v>Viljandi LTK Sakala</v>
      </c>
      <c r="D77" s="3">
        <f>IF(K78="","",SUM(M78:M85))</f>
        <v>4</v>
      </c>
      <c r="E77" s="83" t="str">
        <f>II_voor_1p!R97</f>
        <v>Viimsi LTK/EM-SERV</v>
      </c>
      <c r="F77" s="5" t="s">
        <v>2</v>
      </c>
      <c r="G77" s="5" t="s">
        <v>3</v>
      </c>
      <c r="H77" s="5" t="s">
        <v>4</v>
      </c>
      <c r="I77" s="5" t="s">
        <v>5</v>
      </c>
      <c r="J77" s="5" t="s">
        <v>6</v>
      </c>
      <c r="K77" s="6" t="s">
        <v>7</v>
      </c>
      <c r="L77" s="287" t="s">
        <v>8</v>
      </c>
      <c r="M77" s="287"/>
      <c r="R77" s="1" t="str">
        <f>IF(OR(B77=4,D77=4),"","ERROR")</f>
        <v/>
      </c>
    </row>
    <row r="78" spans="1:18">
      <c r="A78" s="7" t="s">
        <v>468</v>
      </c>
      <c r="B78" s="9" t="s">
        <v>9</v>
      </c>
      <c r="C78" s="8" t="str">
        <f>VLOOKUP(B78,II_voor_1p!$B$98:$K$102,2,FALSE)</f>
        <v>Valdas  MARTINKUS</v>
      </c>
      <c r="D78" s="9" t="s">
        <v>10</v>
      </c>
      <c r="E78" s="8" t="str">
        <f>VLOOKUP(D78,II_voor_1p!$M$98:$W$102,2,FALSE)</f>
        <v>Pert Marten LEHTLAAN</v>
      </c>
      <c r="F78" s="126" t="str">
        <f>IF(II_voor_1p!E106=0,"",II_voor_1p!E106)</f>
        <v>11:13</v>
      </c>
      <c r="G78" s="126" t="str">
        <f>IF(II_voor_1p!H106=0,"",II_voor_1p!H106)</f>
        <v>3:11</v>
      </c>
      <c r="H78" s="126" t="str">
        <f>IF(II_voor_1p!K106=0,"",II_voor_1p!K106)</f>
        <v>12:14</v>
      </c>
      <c r="I78" s="126" t="str">
        <f>IF(II_voor_1p!N106=0,"",II_voor_1p!N106)</f>
        <v/>
      </c>
      <c r="J78" s="126" t="str">
        <f>IF(II_voor_1p!Q106=0,"",II_voor_1p!Q106)</f>
        <v/>
      </c>
      <c r="K78" s="53" t="str">
        <f>IF(F78="","",CONCATENATE(Abitabel2!G72,":",Abitabel2!N72))</f>
        <v>0:3</v>
      </c>
      <c r="L78" s="35">
        <f>IF(K78="","",IF(LEFT(K78,1)&lt;RIGHT(K78,1),0,1))</f>
        <v>0</v>
      </c>
      <c r="M78" s="35">
        <f>IF(K78="","",IF(LEFT(K78,1)&gt;RIGHT(K78,1),0,1))</f>
        <v>1</v>
      </c>
      <c r="Q78" s="1" t="str">
        <f t="shared" si="15"/>
        <v/>
      </c>
    </row>
    <row r="79" spans="1:18">
      <c r="A79" s="7" t="s">
        <v>59</v>
      </c>
      <c r="B79" s="9" t="s">
        <v>11</v>
      </c>
      <c r="C79" s="8" t="str">
        <f>VLOOKUP(B79,II_voor_1p!$B$98:$K$102,2,FALSE)</f>
        <v>Erik NÜÜD</v>
      </c>
      <c r="D79" s="9" t="s">
        <v>12</v>
      </c>
      <c r="E79" s="8" t="str">
        <f>VLOOKUP(D79,II_voor_1p!$M$98:$W$102,2,FALSE)</f>
        <v>Ilmar VUHKA</v>
      </c>
      <c r="F79" s="126" t="str">
        <f>IF(II_voor_1p!E107=0,"",II_voor_1p!E107)</f>
        <v>8:11</v>
      </c>
      <c r="G79" s="126" t="str">
        <f>IF(II_voor_1p!H107=0,"",II_voor_1p!H107)</f>
        <v>8:11</v>
      </c>
      <c r="H79" s="126" t="str">
        <f>IF(II_voor_1p!K107=0,"",II_voor_1p!K107)</f>
        <v>11:8</v>
      </c>
      <c r="I79" s="126" t="str">
        <f>IF(II_voor_1p!N107=0,"",II_voor_1p!N107)</f>
        <v>11:9</v>
      </c>
      <c r="J79" s="126" t="str">
        <f>IF(II_voor_1p!Q107=0,"",II_voor_1p!Q107)</f>
        <v>6:11</v>
      </c>
      <c r="K79" s="53" t="str">
        <f>IF(F79="","",CONCATENATE(Abitabel2!G73,":",Abitabel2!N73))</f>
        <v>2:3</v>
      </c>
      <c r="L79" s="35">
        <f t="shared" ref="L79:L80" si="16">IF(K79="","",IF(LEFT(K79,1)&lt;RIGHT(K79,1),0,1))</f>
        <v>0</v>
      </c>
      <c r="M79" s="35">
        <f t="shared" ref="M79:M80" si="17">IF(K79="","",IF(LEFT(K79,1)&gt;RIGHT(K79,1),0,1))</f>
        <v>1</v>
      </c>
      <c r="Q79" s="1" t="str">
        <f t="shared" si="15"/>
        <v/>
      </c>
    </row>
    <row r="80" spans="1:18">
      <c r="A80" s="7"/>
      <c r="B80" s="9" t="s">
        <v>13</v>
      </c>
      <c r="C80" s="8" t="str">
        <f>VLOOKUP(B80,II_voor_1p!$B$98:$K$102,2,FALSE)</f>
        <v>Robi TOOMING</v>
      </c>
      <c r="D80" s="9" t="s">
        <v>14</v>
      </c>
      <c r="E80" s="8" t="str">
        <f>VLOOKUP(D80,II_voor_1p!$M$98:$W$102,2,FALSE)</f>
        <v>Aleksei NIKONOROV</v>
      </c>
      <c r="F80" s="126" t="str">
        <f>IF(II_voor_1p!E108=0,"",II_voor_1p!E108)</f>
        <v>11:3</v>
      </c>
      <c r="G80" s="126" t="str">
        <f>IF(II_voor_1p!H108=0,"",II_voor_1p!H108)</f>
        <v>6:11</v>
      </c>
      <c r="H80" s="126" t="str">
        <f>IF(II_voor_1p!K108=0,"",II_voor_1p!K108)</f>
        <v>7:11</v>
      </c>
      <c r="I80" s="126" t="str">
        <f>IF(II_voor_1p!N108=0,"",II_voor_1p!N108)</f>
        <v>9:11</v>
      </c>
      <c r="J80" s="126" t="str">
        <f>IF(II_voor_1p!Q108=0,"",II_voor_1p!Q108)</f>
        <v/>
      </c>
      <c r="K80" s="53" t="str">
        <f>IF(F80="","",CONCATENATE(Abitabel2!G74,":",Abitabel2!N74))</f>
        <v>1:3</v>
      </c>
      <c r="L80" s="35">
        <f t="shared" si="16"/>
        <v>0</v>
      </c>
      <c r="M80" s="35">
        <f t="shared" si="17"/>
        <v>1</v>
      </c>
      <c r="Q80" s="1" t="str">
        <f t="shared" si="15"/>
        <v/>
      </c>
    </row>
    <row r="81" spans="1:18">
      <c r="A81" s="7"/>
      <c r="B81" s="290" t="s">
        <v>15</v>
      </c>
      <c r="C81" s="1" t="str">
        <f>IF(ISBLANK(II_voor_1p!C109), "", INDEX(II_voor_1p!C98:C102, MATCH(MID(II_voor_1p!C109,1,1), II_voor_1p!B98:B102, 0)))</f>
        <v>Valdas  MARTINKUS</v>
      </c>
      <c r="D81" s="290" t="s">
        <v>15</v>
      </c>
      <c r="E81" s="1" t="str">
        <f>IF(ISBLANK(II_voor_1p!C109), "", INDEX(II_voor_1p!N98:N102, MATCH(MID(II_voor_1p!C109,4,1), II_voor_1p!M98:M102, 0)))</f>
        <v>Ilmar VUHKA</v>
      </c>
      <c r="F81" s="297" t="str">
        <f>IF(II_voor_1p!E109=0,"",II_voor_1p!E109)</f>
        <v>9:11</v>
      </c>
      <c r="G81" s="297" t="str">
        <f>IF(II_voor_1p!H109=0,"",II_voor_1p!H109)</f>
        <v>14:12</v>
      </c>
      <c r="H81" s="297" t="str">
        <f>IF(II_voor_1p!K109=0,"",II_voor_1p!K109)</f>
        <v>11:4</v>
      </c>
      <c r="I81" s="297" t="str">
        <f>IF(II_voor_1p!N109=0,"",II_voor_1p!N109)</f>
        <v>11:5</v>
      </c>
      <c r="J81" s="298" t="str">
        <f>IF(II_voor_1p!Q109=0,"",II_voor_1p!Q109)</f>
        <v/>
      </c>
      <c r="K81" s="294" t="str">
        <f>IF(F81="","",CONCATENATE(Abitabel2!G75,":",Abitabel2!N75))</f>
        <v>3:1</v>
      </c>
      <c r="L81" s="295">
        <f>IF(K81="","",IF(LEFT(K81,1)&lt;RIGHT(K81,1),0,1))</f>
        <v>1</v>
      </c>
      <c r="M81" s="295">
        <f>IF(K81="","",IF(LEFT(K81,1)&gt;RIGHT(K81,1),0,1))</f>
        <v>0</v>
      </c>
      <c r="Q81" s="1" t="str">
        <f t="shared" si="15"/>
        <v/>
      </c>
    </row>
    <row r="82" spans="1:18">
      <c r="A82" s="7"/>
      <c r="B82" s="291"/>
      <c r="C82" s="1" t="str">
        <f>IF(ISBLANK(II_voor_1p!C109), "", INDEX(II_voor_1p!C98:C102, MATCH(MID(II_voor_1p!C109,2,1), II_voor_1p!B98:B102, 0)))</f>
        <v>Robi TOOMING</v>
      </c>
      <c r="D82" s="291"/>
      <c r="E82" s="1" t="str">
        <f>IF(ISBLANK(II_voor_1p!C109), "", INDEX(II_voor_1p!N98:N102, MATCH(MID(II_voor_1p!C109,5,1), II_voor_1p!M98:M102, 0)))</f>
        <v>Pert Marten LEHTLAAN</v>
      </c>
      <c r="F82" s="297"/>
      <c r="G82" s="297"/>
      <c r="H82" s="297"/>
      <c r="I82" s="297"/>
      <c r="J82" s="298"/>
      <c r="K82" s="294"/>
      <c r="L82" s="295"/>
      <c r="M82" s="295"/>
    </row>
    <row r="83" spans="1:18">
      <c r="A83" s="7"/>
      <c r="B83" s="9" t="s">
        <v>9</v>
      </c>
      <c r="C83" s="8" t="str">
        <f>VLOOKUP(B83,II_voor_1p!$B$98:$K$102,2,FALSE)</f>
        <v>Valdas  MARTINKUS</v>
      </c>
      <c r="D83" s="9" t="s">
        <v>12</v>
      </c>
      <c r="E83" s="8" t="str">
        <f>VLOOKUP(D83,II_voor_1p!$M$98:$W$102,2,FALSE)</f>
        <v>Ilmar VUHKA</v>
      </c>
      <c r="F83" s="126" t="str">
        <f>IF(II_voor_1p!E110=0,"",II_voor_1p!E110)</f>
        <v>13:11</v>
      </c>
      <c r="G83" s="126" t="str">
        <f>IF(II_voor_1p!H110=0,"",II_voor_1p!H110)</f>
        <v>11:8</v>
      </c>
      <c r="H83" s="126" t="str">
        <f>IF(II_voor_1p!K110=0,"",II_voor_1p!K110)</f>
        <v>11:6</v>
      </c>
      <c r="I83" s="126" t="str">
        <f>IF(II_voor_1p!N110=0,"",II_voor_1p!N110)</f>
        <v/>
      </c>
      <c r="J83" s="126" t="str">
        <f>IF(II_voor_1p!Q110=0,"",II_voor_1p!Q110)</f>
        <v/>
      </c>
      <c r="K83" s="53" t="str">
        <f>IF(F83="","",CONCATENATE(Abitabel2!G77,":",Abitabel2!N77))</f>
        <v>3:0</v>
      </c>
      <c r="L83" s="35">
        <f>IF(K83="","",IF(LEFT(K83,1)&lt;RIGHT(K83,1),0,1))</f>
        <v>1</v>
      </c>
      <c r="M83" s="35">
        <f>IF(K83="","",IF(LEFT(K83,1)&gt;RIGHT(K83,1),0,1))</f>
        <v>0</v>
      </c>
      <c r="Q83" s="1" t="str">
        <f t="shared" si="15"/>
        <v/>
      </c>
    </row>
    <row r="84" spans="1:18">
      <c r="A84" s="7"/>
      <c r="B84" s="9" t="s">
        <v>13</v>
      </c>
      <c r="C84" s="8" t="str">
        <f>VLOOKUP(B84,II_voor_1p!$B$98:$K$102,2,FALSE)</f>
        <v>Robi TOOMING</v>
      </c>
      <c r="D84" s="9" t="s">
        <v>10</v>
      </c>
      <c r="E84" s="8" t="str">
        <f>VLOOKUP(D84,II_voor_1p!$M$98:$W$102,2,FALSE)</f>
        <v>Pert Marten LEHTLAAN</v>
      </c>
      <c r="F84" s="126" t="str">
        <f>IF(II_voor_1p!E111=0,"",II_voor_1p!E111)</f>
        <v>11:13</v>
      </c>
      <c r="G84" s="126" t="str">
        <f>IF(II_voor_1p!H111=0,"",II_voor_1p!H111)</f>
        <v>10:12</v>
      </c>
      <c r="H84" s="126" t="str">
        <f>IF(II_voor_1p!K111=0,"",II_voor_1p!K111)</f>
        <v>1:11</v>
      </c>
      <c r="I84" s="126" t="str">
        <f>IF(II_voor_1p!N111=0,"",II_voor_1p!N111)</f>
        <v/>
      </c>
      <c r="J84" s="126" t="str">
        <f>IF(II_voor_1p!Q111=0,"",II_voor_1p!Q111)</f>
        <v/>
      </c>
      <c r="K84" s="53" t="str">
        <f>IF(F84="","",CONCATENATE(Abitabel2!G78,":",Abitabel2!N78))</f>
        <v>0:3</v>
      </c>
      <c r="L84" s="35">
        <f>IF(K84="","",IF(LEFT(K84,1)&lt;RIGHT(K84,1),0,1))</f>
        <v>0</v>
      </c>
      <c r="M84" s="35">
        <f>IF(L84="","",IF(LEFT(K84,1)&gt;RIGHT(K84,1),0,1))</f>
        <v>1</v>
      </c>
      <c r="Q84" s="1" t="str">
        <f t="shared" si="15"/>
        <v/>
      </c>
    </row>
    <row r="85" spans="1:18">
      <c r="A85" s="7"/>
      <c r="B85" s="9" t="s">
        <v>11</v>
      </c>
      <c r="C85" s="8" t="str">
        <f>VLOOKUP(B85,II_voor_1p!$B$98:$K$102,2,FALSE)</f>
        <v>Erik NÜÜD</v>
      </c>
      <c r="D85" s="9" t="s">
        <v>14</v>
      </c>
      <c r="E85" s="8" t="str">
        <f>VLOOKUP(D85,II_voor_1p!$M$98:$W$102,2,FALSE)</f>
        <v>Aleksei NIKONOROV</v>
      </c>
      <c r="F85" s="126" t="str">
        <f>IF(II_voor_1p!E112=0,"",II_voor_1p!E112)</f>
        <v/>
      </c>
      <c r="G85" s="126" t="str">
        <f>IF(II_voor_1p!H112=0,"",II_voor_1p!H112)</f>
        <v/>
      </c>
      <c r="H85" s="126" t="str">
        <f>IF(II_voor_1p!K112=0,"",II_voor_1p!K112)</f>
        <v/>
      </c>
      <c r="I85" s="126" t="str">
        <f>IF(II_voor_1p!N112=0,"",II_voor_1p!N112)</f>
        <v/>
      </c>
      <c r="J85" s="126" t="str">
        <f>IF(II_voor_1p!Q112=0,"",II_voor_1p!Q112)</f>
        <v/>
      </c>
      <c r="K85" s="53" t="str">
        <f>IF(F85="","",CONCATENATE(Abitabel2!G79,":",Abitabel2!N79))</f>
        <v/>
      </c>
      <c r="L85" s="35" t="str">
        <f>IF(K85="","",IF(LEFT(K85,1)&lt;RIGHT(K85,1),0,1))</f>
        <v/>
      </c>
      <c r="M85" s="35" t="str">
        <f>IF(L85="","",IF(LEFT(K85,1)&gt;RIGHT(K85,1),0,1))</f>
        <v/>
      </c>
      <c r="Q85" s="1" t="str">
        <f t="shared" si="15"/>
        <v>ERROR</v>
      </c>
    </row>
    <row r="86" spans="1:18">
      <c r="A86" s="7"/>
      <c r="B86" s="10"/>
      <c r="C86" s="33" t="str">
        <f>VLOOKUP(C77,Koosseisud!A:B,2,FALSE )</f>
        <v>Meeskond5</v>
      </c>
      <c r="D86" s="10"/>
      <c r="E86" s="33" t="str">
        <f>VLOOKUP(E77,Koosseisud!A:B,2,FALSE)</f>
        <v>Meeskond7</v>
      </c>
      <c r="F86" s="10"/>
      <c r="G86" s="10"/>
      <c r="H86" s="10"/>
      <c r="I86" s="10"/>
      <c r="J86" s="11"/>
      <c r="K86" s="12"/>
      <c r="L86" s="129">
        <f>SUM(L78:L85)</f>
        <v>2</v>
      </c>
      <c r="M86" s="129">
        <f>SUM(M78:M85)</f>
        <v>4</v>
      </c>
    </row>
    <row r="87" spans="1:18" ht="15">
      <c r="A87" s="2" t="s">
        <v>76</v>
      </c>
      <c r="B87" s="3">
        <f>IF(K88="","",SUM(L88:L95))</f>
        <v>1</v>
      </c>
      <c r="C87" s="4" t="str">
        <f>III_voor_1p!G7</f>
        <v>Tiim FORUS - Maardu LTK</v>
      </c>
      <c r="D87" s="3">
        <f>IF(K88="","",SUM(M88:M95))</f>
        <v>4</v>
      </c>
      <c r="E87" s="4" t="str">
        <f>III_voor_1p!R7</f>
        <v>Tartu SS Kalev</v>
      </c>
      <c r="F87" s="5" t="s">
        <v>2</v>
      </c>
      <c r="G87" s="5" t="s">
        <v>3</v>
      </c>
      <c r="H87" s="5" t="s">
        <v>4</v>
      </c>
      <c r="I87" s="5" t="s">
        <v>5</v>
      </c>
      <c r="J87" s="5" t="s">
        <v>6</v>
      </c>
      <c r="K87" s="6" t="s">
        <v>7</v>
      </c>
      <c r="L87" s="287" t="s">
        <v>8</v>
      </c>
      <c r="M87" s="287"/>
      <c r="R87" s="1" t="str">
        <f>IF(OR(B87=4,D87=4),"","ERROR")</f>
        <v/>
      </c>
    </row>
    <row r="88" spans="1:18">
      <c r="A88" s="7" t="s">
        <v>469</v>
      </c>
      <c r="B88" s="9" t="s">
        <v>9</v>
      </c>
      <c r="C88" s="8" t="str">
        <f>VLOOKUP(B88,III_voor_1p!$B$8:$K$12,2,FALSE)</f>
        <v>Sergei DANILOV</v>
      </c>
      <c r="D88" s="9" t="s">
        <v>10</v>
      </c>
      <c r="E88" s="8" t="str">
        <f>VLOOKUP(D88,III_voor_1p!$M$8:$W$12,2,FALSE)</f>
        <v>Markkos PUKK</v>
      </c>
      <c r="F88" s="85" t="str">
        <f>IF(III_voor_1p!E16=0,"",III_voor_1p!E16)</f>
        <v>4:11</v>
      </c>
      <c r="G88" s="85" t="str">
        <f>IF(III_voor_1p!H16=0,"",III_voor_1p!H16)</f>
        <v>4:11</v>
      </c>
      <c r="H88" s="85" t="str">
        <f>IF(III_voor_1p!K16=0,"",III_voor_1p!K16)</f>
        <v>11:8</v>
      </c>
      <c r="I88" s="85" t="str">
        <f>IF(III_voor_1p!N16=0,"",III_voor_1p!N16)</f>
        <v>13:11</v>
      </c>
      <c r="J88" s="85" t="str">
        <f>IF(III_voor_1p!Q16=0,"",III_voor_1p!Q16)</f>
        <v>9:11</v>
      </c>
      <c r="K88" s="53" t="str">
        <f>IF(F88="","",CONCATENATE(Abitabel2!G82,":",Abitabel2!N82))</f>
        <v>2:3</v>
      </c>
      <c r="L88" s="35">
        <f>IF(K88="","",IF(LEFT(K88,1)&lt;RIGHT(K88,1),0,1))</f>
        <v>0</v>
      </c>
      <c r="M88" s="35">
        <f>IF(K88="","",IF(LEFT(K88,1)&gt;RIGHT(K88,1),0,1))</f>
        <v>1</v>
      </c>
      <c r="Q88" s="1" t="str">
        <f t="shared" si="15"/>
        <v/>
      </c>
    </row>
    <row r="89" spans="1:18">
      <c r="A89" s="7" t="s">
        <v>59</v>
      </c>
      <c r="B89" s="9" t="s">
        <v>11</v>
      </c>
      <c r="C89" s="8" t="str">
        <f>VLOOKUP(B89,III_voor_1p!$B$8:$K$12,2,FALSE)</f>
        <v>Artjom HIISKU</v>
      </c>
      <c r="D89" s="9" t="s">
        <v>12</v>
      </c>
      <c r="E89" s="8" t="str">
        <f>VLOOKUP(D89,III_voor_1p!$M$8:$W$12,2,FALSE)</f>
        <v>Mart LUUK</v>
      </c>
      <c r="F89" s="85" t="str">
        <f>IF(III_voor_1p!E17=0,"",III_voor_1p!E17)</f>
        <v>6:11</v>
      </c>
      <c r="G89" s="85" t="str">
        <f>IF(III_voor_1p!H17=0,"",III_voor_1p!H17)</f>
        <v>11:13</v>
      </c>
      <c r="H89" s="85" t="str">
        <f>IF(III_voor_1p!K17=0,"",III_voor_1p!K17)</f>
        <v>7:11</v>
      </c>
      <c r="I89" s="85" t="str">
        <f>IF(III_voor_1p!N17=0,"",III_voor_1p!N17)</f>
        <v/>
      </c>
      <c r="J89" s="85" t="str">
        <f>IF(III_voor_1p!Q17=0,"",III_voor_1p!Q17)</f>
        <v/>
      </c>
      <c r="K89" s="53" t="str">
        <f>IF(F89="","",CONCATENATE(Abitabel2!G83,":",Abitabel2!N83))</f>
        <v>0:3</v>
      </c>
      <c r="L89" s="35">
        <f t="shared" ref="L89:L90" si="18">IF(K89="","",IF(LEFT(K89,1)&lt;RIGHT(K89,1),0,1))</f>
        <v>0</v>
      </c>
      <c r="M89" s="35">
        <f t="shared" ref="M89:M90" si="19">IF(K89="","",IF(LEFT(K89,1)&gt;RIGHT(K89,1),0,1))</f>
        <v>1</v>
      </c>
      <c r="Q89" s="1" t="str">
        <f t="shared" si="15"/>
        <v/>
      </c>
    </row>
    <row r="90" spans="1:18">
      <c r="A90" s="7"/>
      <c r="B90" s="9" t="s">
        <v>13</v>
      </c>
      <c r="C90" s="8" t="str">
        <f>VLOOKUP(B90,III_voor_1p!$B$8:$K$12,2,FALSE)</f>
        <v>Lauri LAANE</v>
      </c>
      <c r="D90" s="9" t="s">
        <v>14</v>
      </c>
      <c r="E90" s="8" t="str">
        <f>VLOOKUP(D90,III_voor_1p!$M$8:$W$12,2,FALSE)</f>
        <v>Osqar PUKK</v>
      </c>
      <c r="F90" s="85" t="str">
        <f>IF(III_voor_1p!E18=0,"",III_voor_1p!E18)</f>
        <v>11:8</v>
      </c>
      <c r="G90" s="85" t="str">
        <f>IF(III_voor_1p!H18=0,"",III_voor_1p!H18)</f>
        <v>11:8</v>
      </c>
      <c r="H90" s="85" t="str">
        <f>IF(III_voor_1p!K18=0,"",III_voor_1p!K18)</f>
        <v>11:9</v>
      </c>
      <c r="I90" s="85" t="str">
        <f>IF(III_voor_1p!N18=0,"",III_voor_1p!N18)</f>
        <v/>
      </c>
      <c r="J90" s="85" t="str">
        <f>IF(III_voor_1p!Q18=0,"",III_voor_1p!Q18)</f>
        <v/>
      </c>
      <c r="K90" s="53" t="str">
        <f>IF(F90="","",CONCATENATE(Abitabel2!G84,":",Abitabel2!N84))</f>
        <v>3:0</v>
      </c>
      <c r="L90" s="35">
        <f t="shared" si="18"/>
        <v>1</v>
      </c>
      <c r="M90" s="35">
        <f t="shared" si="19"/>
        <v>0</v>
      </c>
      <c r="Q90" s="1" t="str">
        <f t="shared" si="15"/>
        <v/>
      </c>
    </row>
    <row r="91" spans="1:18">
      <c r="A91" s="7"/>
      <c r="B91" s="290" t="s">
        <v>15</v>
      </c>
      <c r="C91" s="1" t="str">
        <f>IF(ISBLANK(III_voor_1p!C19), "", INDEX(III_voor_1p!C8:C12, MATCH(MID(III_voor_1p!C19,1,1), III_voor_1p!B8:B12, 0)))</f>
        <v>Sergei DANILOV</v>
      </c>
      <c r="D91" s="290" t="s">
        <v>15</v>
      </c>
      <c r="E91" s="1" t="str">
        <f>IF(ISBLANK(III_voor_1p!C19), "", INDEX(III_voor_1p!N8:N12, MATCH(MID(III_voor_1p!C19,4,1), III_voor_1p!M8:M12, 0)))</f>
        <v>Mart LUUK</v>
      </c>
      <c r="F91" s="299" t="str">
        <f>IF(III_voor_1p!E19=0,"",III_voor_1p!E19)</f>
        <v>5:11</v>
      </c>
      <c r="G91" s="299" t="str">
        <f>IF(III_voor_1p!H19=0,"",III_voor_1p!H19)</f>
        <v>5:11</v>
      </c>
      <c r="H91" s="299" t="str">
        <f>IF(III_voor_1p!K19=0,"",III_voor_1p!K19)</f>
        <v>13:11</v>
      </c>
      <c r="I91" s="299" t="str">
        <f>IF(III_voor_1p!N19=0,"",III_voor_1p!N19)</f>
        <v>11:9</v>
      </c>
      <c r="J91" s="299" t="str">
        <f>IF(III_voor_1p!Q19=0,"",III_voor_1p!Q19)</f>
        <v>11:13</v>
      </c>
      <c r="K91" s="294" t="str">
        <f>IF(F91="","",CONCATENATE(Abitabel2!G85,":",Abitabel2!N85))</f>
        <v>2:3</v>
      </c>
      <c r="L91" s="295">
        <f>IF(K91="","",IF(LEFT(K91,1)&lt;RIGHT(K91,1),0,1))</f>
        <v>0</v>
      </c>
      <c r="M91" s="295">
        <f>IF(K91="","",IF(LEFT(K91,1)&gt;RIGHT(K91,1),0,1))</f>
        <v>1</v>
      </c>
      <c r="Q91" s="1" t="str">
        <f t="shared" si="15"/>
        <v/>
      </c>
    </row>
    <row r="92" spans="1:18">
      <c r="A92" s="7"/>
      <c r="B92" s="291"/>
      <c r="C92" s="1" t="str">
        <f>IF(ISBLANK(III_voor_1p!C19), "", INDEX(III_voor_1p!C8:C12, MATCH(MID(III_voor_1p!C19,2,1), III_voor_1p!B8:B12, 0)))</f>
        <v>Lauri LAANE</v>
      </c>
      <c r="D92" s="291"/>
      <c r="E92" s="1" t="str">
        <f>IF(ISBLANK(III_voor_1p!C19), "", INDEX(III_voor_1p!N8:N12, MATCH(MID(III_voor_1p!C19,5,1), III_voor_1p!M8:M12, 0)))</f>
        <v>Markkos PUKK</v>
      </c>
      <c r="F92" s="299"/>
      <c r="G92" s="299"/>
      <c r="H92" s="299"/>
      <c r="I92" s="299"/>
      <c r="J92" s="299"/>
      <c r="K92" s="294"/>
      <c r="L92" s="295"/>
      <c r="M92" s="295"/>
    </row>
    <row r="93" spans="1:18">
      <c r="A93" s="7"/>
      <c r="B93" s="9" t="s">
        <v>9</v>
      </c>
      <c r="C93" s="8" t="str">
        <f>VLOOKUP(B93,III_voor_1p!$B$8:$K$12,2,FALSE)</f>
        <v>Sergei DANILOV</v>
      </c>
      <c r="D93" s="9" t="s">
        <v>12</v>
      </c>
      <c r="E93" s="8" t="str">
        <f>VLOOKUP(D93,III_voor_1p!$M$8:$W$12,2,FALSE)</f>
        <v>Mart LUUK</v>
      </c>
      <c r="F93" s="85" t="str">
        <f>IF(III_voor_1p!E20=0,"",III_voor_1p!E20)</f>
        <v>3:11</v>
      </c>
      <c r="G93" s="85" t="str">
        <f>IF(III_voor_1p!H20=0,"",III_voor_1p!H20)</f>
        <v>3:11</v>
      </c>
      <c r="H93" s="85" t="str">
        <f>IF(III_voor_1p!K20=0,"",III_voor_1p!K20)</f>
        <v>8:11</v>
      </c>
      <c r="I93" s="85" t="str">
        <f>IF(III_voor_1p!N20=0,"",III_voor_1p!N20)</f>
        <v/>
      </c>
      <c r="J93" s="85" t="str">
        <f>IF(III_voor_1p!Q20=0,"",III_voor_1p!Q20)</f>
        <v/>
      </c>
      <c r="K93" s="53" t="str">
        <f>IF(F93="","",CONCATENATE(Abitabel2!G87,":",Abitabel2!N87))</f>
        <v>0:3</v>
      </c>
      <c r="L93" s="35">
        <f>IF(K93="","",IF(LEFT(K93,1)&lt;RIGHT(K93,1),0,1))</f>
        <v>0</v>
      </c>
      <c r="M93" s="35">
        <f>IF(K93="","",IF(LEFT(K93,1)&gt;RIGHT(K93,1),0,1))</f>
        <v>1</v>
      </c>
      <c r="Q93" s="1" t="str">
        <f t="shared" si="15"/>
        <v/>
      </c>
    </row>
    <row r="94" spans="1:18">
      <c r="A94" s="7"/>
      <c r="B94" s="9" t="s">
        <v>13</v>
      </c>
      <c r="C94" s="8" t="str">
        <f>VLOOKUP(B94,III_voor_1p!$B$8:$K$12,2,FALSE)</f>
        <v>Lauri LAANE</v>
      </c>
      <c r="D94" s="9" t="s">
        <v>10</v>
      </c>
      <c r="E94" s="8" t="str">
        <f>VLOOKUP(D94,III_voor_1p!$M$8:$W$12,2,FALSE)</f>
        <v>Markkos PUKK</v>
      </c>
      <c r="F94" s="85" t="str">
        <f>IF(III_voor_1p!E21=0,"",III_voor_1p!E21)</f>
        <v/>
      </c>
      <c r="G94" s="85" t="str">
        <f>IF(III_voor_1p!H21=0,"",III_voor_1p!H21)</f>
        <v/>
      </c>
      <c r="H94" s="85" t="str">
        <f>IF(III_voor_1p!K21=0,"",III_voor_1p!K21)</f>
        <v/>
      </c>
      <c r="I94" s="85" t="str">
        <f>IF(III_voor_1p!N21=0,"",III_voor_1p!N21)</f>
        <v/>
      </c>
      <c r="J94" s="85" t="str">
        <f>IF(III_voor_1p!Q21=0,"",III_voor_1p!Q21)</f>
        <v/>
      </c>
      <c r="K94" s="53" t="str">
        <f>IF(F94="","",CONCATENATE(Abitabel2!G88,":",Abitabel2!N88))</f>
        <v/>
      </c>
      <c r="L94" s="35" t="str">
        <f>IF(K94="","",IF(LEFT(K94,1)&lt;RIGHT(K94,1),0,1))</f>
        <v/>
      </c>
      <c r="M94" s="35" t="str">
        <f>IF(L94="","",IF(LEFT(K94,1)&gt;RIGHT(K94,1),0,1))</f>
        <v/>
      </c>
      <c r="Q94" s="1" t="str">
        <f t="shared" si="15"/>
        <v>ERROR</v>
      </c>
    </row>
    <row r="95" spans="1:18">
      <c r="A95" s="7"/>
      <c r="B95" s="9" t="s">
        <v>11</v>
      </c>
      <c r="C95" s="8" t="str">
        <f>VLOOKUP(B95,III_voor_1p!$B$8:$K$12,2,FALSE)</f>
        <v>Artjom HIISKU</v>
      </c>
      <c r="D95" s="9" t="s">
        <v>14</v>
      </c>
      <c r="E95" s="8" t="str">
        <f>VLOOKUP(D95,III_voor_1p!$M$8:$W$12,2,FALSE)</f>
        <v>Osqar PUKK</v>
      </c>
      <c r="F95" s="85" t="str">
        <f>IF(III_voor_1p!E22=0,"",III_voor_1p!E22)</f>
        <v/>
      </c>
      <c r="G95" s="85" t="str">
        <f>IF(III_voor_1p!H22=0,"",III_voor_1p!H22)</f>
        <v/>
      </c>
      <c r="H95" s="85" t="str">
        <f>IF(III_voor_1p!K22=0,"",III_voor_1p!K22)</f>
        <v/>
      </c>
      <c r="I95" s="85" t="str">
        <f>IF(III_voor_1p!N22=0,"",III_voor_1p!N22)</f>
        <v/>
      </c>
      <c r="J95" s="85" t="str">
        <f>IF(III_voor_1p!Q22=0,"",III_voor_1p!Q22)</f>
        <v/>
      </c>
      <c r="K95" s="53" t="str">
        <f>IF(F95="","",CONCATENATE(Abitabel2!G89,":",Abitabel2!N89))</f>
        <v/>
      </c>
      <c r="L95" s="35" t="str">
        <f>IF(K95="","",IF(LEFT(K95,1)&lt;RIGHT(K95,1),0,1))</f>
        <v/>
      </c>
      <c r="M95" s="35" t="str">
        <f>IF(L95="","",IF(LEFT(K95,1)&gt;RIGHT(K95,1),0,1))</f>
        <v/>
      </c>
      <c r="Q95" s="1" t="str">
        <f t="shared" si="15"/>
        <v>ERROR</v>
      </c>
    </row>
    <row r="96" spans="1:18">
      <c r="A96" s="7"/>
      <c r="B96" s="10"/>
      <c r="C96" s="33" t="str">
        <f>VLOOKUP(C87,Koosseisud!A:B,2,FALSE )</f>
        <v>Meeskond1</v>
      </c>
      <c r="D96" s="10"/>
      <c r="E96" s="33" t="str">
        <f>VLOOKUP(E87,Koosseisud!A:B,2,FALSE)</f>
        <v>Meeskond4</v>
      </c>
      <c r="F96" s="10"/>
      <c r="G96" s="10"/>
      <c r="H96" s="10"/>
      <c r="I96" s="10"/>
      <c r="J96" s="11"/>
      <c r="K96" s="12"/>
      <c r="L96" s="129">
        <f>SUM(L88:L95)</f>
        <v>1</v>
      </c>
      <c r="M96" s="129">
        <f>SUM(M88:M95)</f>
        <v>4</v>
      </c>
    </row>
    <row r="97" spans="1:18" ht="15">
      <c r="A97" s="2" t="s">
        <v>77</v>
      </c>
      <c r="B97" s="3">
        <f>IF(K98="","",SUM(L98:L105))</f>
        <v>4</v>
      </c>
      <c r="C97" s="4" t="str">
        <f>III_voor_1p!G37</f>
        <v>Viimsi PINX</v>
      </c>
      <c r="D97" s="3">
        <f>IF(K98="","",SUM(M98:M105))</f>
        <v>1</v>
      </c>
      <c r="E97" s="4" t="str">
        <f>III_voor_1p!R37</f>
        <v>SPINMASTER</v>
      </c>
      <c r="F97" s="5" t="s">
        <v>2</v>
      </c>
      <c r="G97" s="5" t="s">
        <v>3</v>
      </c>
      <c r="H97" s="5" t="s">
        <v>4</v>
      </c>
      <c r="I97" s="5" t="s">
        <v>5</v>
      </c>
      <c r="J97" s="5" t="s">
        <v>6</v>
      </c>
      <c r="K97" s="6" t="s">
        <v>7</v>
      </c>
      <c r="L97" s="287" t="s">
        <v>8</v>
      </c>
      <c r="M97" s="287"/>
      <c r="R97" s="1" t="str">
        <f>IF(OR(B97=4,D97=4),"","ERROR")</f>
        <v/>
      </c>
    </row>
    <row r="98" spans="1:18">
      <c r="A98" s="7" t="s">
        <v>469</v>
      </c>
      <c r="B98" s="9" t="s">
        <v>9</v>
      </c>
      <c r="C98" s="8" t="str">
        <f>VLOOKUP(B98,III_voor_1p!$B$38:$K$42,2,FALSE)</f>
        <v>Sergei PETROV</v>
      </c>
      <c r="D98" s="9" t="s">
        <v>10</v>
      </c>
      <c r="E98" s="8" t="str">
        <f>VLOOKUP(D98,III_voor_1p!$M$38:$W$42,2,FALSE)</f>
        <v>Kevin KUKK</v>
      </c>
      <c r="F98" s="85" t="str">
        <f>IF(III_voor_1p!E46=0,"",III_voor_1p!E46)</f>
        <v>11:5</v>
      </c>
      <c r="G98" s="85" t="str">
        <f>IF(III_voor_1p!H46=0,"",III_voor_1p!H46)</f>
        <v>11:5</v>
      </c>
      <c r="H98" s="85" t="str">
        <f>IF(III_voor_1p!K46=0,"",III_voor_1p!K46)</f>
        <v>11:7</v>
      </c>
      <c r="I98" s="85" t="str">
        <f>IF(III_voor_1p!N46=0,"",III_voor_1p!N46)</f>
        <v/>
      </c>
      <c r="J98" s="85" t="str">
        <f>IF(III_voor_1p!Q46=0,"",III_voor_1p!Q46)</f>
        <v/>
      </c>
      <c r="K98" s="53" t="str">
        <f>IF(F98="","",CONCATENATE(Abitabel2!G92,":",Abitabel2!N92))</f>
        <v>3:0</v>
      </c>
      <c r="L98" s="35">
        <f>IF(K98="","",IF(LEFT(K98,1)&lt;RIGHT(K98,1),0,1))</f>
        <v>1</v>
      </c>
      <c r="M98" s="35">
        <f>IF(K98="","",IF(LEFT(K98,1)&gt;RIGHT(K98,1),0,1))</f>
        <v>0</v>
      </c>
      <c r="Q98" s="1" t="str">
        <f t="shared" si="15"/>
        <v/>
      </c>
    </row>
    <row r="99" spans="1:18">
      <c r="A99" s="7" t="s">
        <v>59</v>
      </c>
      <c r="B99" s="9" t="s">
        <v>11</v>
      </c>
      <c r="C99" s="8" t="str">
        <f>VLOOKUP(B99,III_voor_1p!$B$38:$K$42,2,FALSE)</f>
        <v>Carlo ACCORSI</v>
      </c>
      <c r="D99" s="9" t="s">
        <v>12</v>
      </c>
      <c r="E99" s="8" t="str">
        <f>VLOOKUP(D99,III_voor_1p!$M$38:$W$42,2,FALSE)</f>
        <v>Jan Kenneth TOMING</v>
      </c>
      <c r="F99" s="85" t="str">
        <f>IF(III_voor_1p!E47=0,"",III_voor_1p!E47)</f>
        <v>8:11</v>
      </c>
      <c r="G99" s="85" t="str">
        <f>IF(III_voor_1p!H47=0,"",III_voor_1p!H47)</f>
        <v>11:5</v>
      </c>
      <c r="H99" s="85" t="str">
        <f>IF(III_voor_1p!K47=0,"",III_voor_1p!K47)</f>
        <v>11:13</v>
      </c>
      <c r="I99" s="85" t="str">
        <f>IF(III_voor_1p!N47=0,"",III_voor_1p!N47)</f>
        <v>11:5</v>
      </c>
      <c r="J99" s="85" t="str">
        <f>IF(III_voor_1p!Q47=0,"",III_voor_1p!Q47)</f>
        <v>10:12</v>
      </c>
      <c r="K99" s="53" t="str">
        <f>IF(F99="","",CONCATENATE(Abitabel2!G93,":",Abitabel2!N93))</f>
        <v>2:3</v>
      </c>
      <c r="L99" s="35">
        <f t="shared" ref="L99:L100" si="20">IF(K99="","",IF(LEFT(K99,1)&lt;RIGHT(K99,1),0,1))</f>
        <v>0</v>
      </c>
      <c r="M99" s="35">
        <f t="shared" ref="M99:M100" si="21">IF(K99="","",IF(LEFT(K99,1)&gt;RIGHT(K99,1),0,1))</f>
        <v>1</v>
      </c>
      <c r="Q99" s="1" t="str">
        <f t="shared" si="15"/>
        <v/>
      </c>
    </row>
    <row r="100" spans="1:18">
      <c r="A100" s="7"/>
      <c r="B100" s="9" t="s">
        <v>13</v>
      </c>
      <c r="C100" s="8" t="str">
        <f>VLOOKUP(B100,III_voor_1p!$B$38:$K$42,2,FALSE)</f>
        <v>Maksim VUHKA</v>
      </c>
      <c r="D100" s="9" t="s">
        <v>14</v>
      </c>
      <c r="E100" s="8" t="str">
        <f>VLOOKUP(D100,III_voor_1p!$M$38:$W$42,2,FALSE)</f>
        <v>Filat ANDREEV</v>
      </c>
      <c r="F100" s="85" t="str">
        <f>IF(III_voor_1p!E48=0,"",III_voor_1p!E48)</f>
        <v>11:7</v>
      </c>
      <c r="G100" s="85" t="str">
        <f>IF(III_voor_1p!H48=0,"",III_voor_1p!H48)</f>
        <v>11:3</v>
      </c>
      <c r="H100" s="85" t="str">
        <f>IF(III_voor_1p!K48=0,"",III_voor_1p!K48)</f>
        <v>11:9</v>
      </c>
      <c r="I100" s="85" t="str">
        <f>IF(III_voor_1p!N48=0,"",III_voor_1p!N48)</f>
        <v/>
      </c>
      <c r="J100" s="85" t="str">
        <f>IF(III_voor_1p!Q48=0,"",III_voor_1p!Q48)</f>
        <v/>
      </c>
      <c r="K100" s="53" t="str">
        <f>IF(F100="","",CONCATENATE(Abitabel2!G94,":",Abitabel2!N94))</f>
        <v>3:0</v>
      </c>
      <c r="L100" s="35">
        <f t="shared" si="20"/>
        <v>1</v>
      </c>
      <c r="M100" s="35">
        <f t="shared" si="21"/>
        <v>0</v>
      </c>
      <c r="Q100" s="1" t="str">
        <f t="shared" si="15"/>
        <v/>
      </c>
    </row>
    <row r="101" spans="1:18">
      <c r="A101" s="7"/>
      <c r="B101" s="290" t="s">
        <v>15</v>
      </c>
      <c r="C101" s="1" t="str">
        <f>IF(ISBLANK(III_voor_1p!C49), "", INDEX(III_voor_1p!C38:C42, MATCH(MID(III_voor_1p!C49,1,1), III_voor_1p!B38:B42, 0)))</f>
        <v>Sergei PETROV</v>
      </c>
      <c r="D101" s="290" t="s">
        <v>15</v>
      </c>
      <c r="E101" s="1" t="str">
        <f>IF(ISBLANK(III_voor_1p!C49), "", INDEX(III_voor_1p!N38:N42, MATCH(MID(III_voor_1p!C49,4,1), III_voor_1p!M38:M42, 0)))</f>
        <v>Jan Kenneth TOMING</v>
      </c>
      <c r="F101" s="300" t="str">
        <f>IF(III_voor_1p!E49=0,"",III_voor_1p!E49)</f>
        <v>11:8</v>
      </c>
      <c r="G101" s="300" t="str">
        <f>IF(III_voor_1p!H49=0,"",III_voor_1p!H49)</f>
        <v>11:7</v>
      </c>
      <c r="H101" s="300" t="str">
        <f>IF(III_voor_1p!K49=0,"",III_voor_1p!K49)</f>
        <v>12:10</v>
      </c>
      <c r="I101" s="300" t="str">
        <f>IF(III_voor_1p!N49=0,"",III_voor_1p!N49)</f>
        <v/>
      </c>
      <c r="J101" s="300" t="str">
        <f>IF(III_voor_1p!Q49=0,"",III_voor_1p!Q49)</f>
        <v/>
      </c>
      <c r="K101" s="294" t="str">
        <f>IF(F101="","",CONCATENATE(Abitabel2!G95,":",Abitabel2!N95))</f>
        <v>3:0</v>
      </c>
      <c r="L101" s="295">
        <f>IF(K101="","",IF(LEFT(K101,1)&lt;RIGHT(K101,1),0,1))</f>
        <v>1</v>
      </c>
      <c r="M101" s="295">
        <f>IF(K101="","",IF(LEFT(K101,1)&gt;RIGHT(K101,1),0,1))</f>
        <v>0</v>
      </c>
      <c r="Q101" s="1" t="str">
        <f t="shared" si="15"/>
        <v/>
      </c>
    </row>
    <row r="102" spans="1:18">
      <c r="A102" s="7"/>
      <c r="B102" s="291"/>
      <c r="C102" s="1" t="str">
        <f>IF(ISBLANK(III_voor_1p!C49), "", INDEX(III_voor_1p!C38:C42, MATCH(MID(III_voor_1p!C49,2,1), III_voor_1p!B38:B42, 0)))</f>
        <v>Maksim VUHKA</v>
      </c>
      <c r="D102" s="291"/>
      <c r="E102" s="1" t="str">
        <f>IF(ISBLANK(III_voor_1p!C49), "", INDEX(III_voor_1p!N38:N42, MATCH(MID(III_voor_1p!C49,5,1), III_voor_1p!M38:M42, 0)))</f>
        <v>Kevin KUKK</v>
      </c>
      <c r="F102" s="300"/>
      <c r="G102" s="300"/>
      <c r="H102" s="300"/>
      <c r="I102" s="300"/>
      <c r="J102" s="300"/>
      <c r="K102" s="294"/>
      <c r="L102" s="295"/>
      <c r="M102" s="295"/>
    </row>
    <row r="103" spans="1:18">
      <c r="A103" s="7"/>
      <c r="B103" s="9" t="s">
        <v>9</v>
      </c>
      <c r="C103" s="8" t="str">
        <f>VLOOKUP(B103,III_voor_1p!$B$38:$K$42,2,FALSE)</f>
        <v>Sergei PETROV</v>
      </c>
      <c r="D103" s="9" t="s">
        <v>12</v>
      </c>
      <c r="E103" s="8" t="str">
        <f>VLOOKUP(D103,III_voor_1p!$M$38:$W$42,2,FALSE)</f>
        <v>Jan Kenneth TOMING</v>
      </c>
      <c r="F103" s="85" t="str">
        <f>IF(III_voor_1p!E50=0,"",III_voor_1p!E50)</f>
        <v>11:6</v>
      </c>
      <c r="G103" s="85" t="str">
        <f>IF(III_voor_1p!H50=0,"",III_voor_1p!H50)</f>
        <v>11:5</v>
      </c>
      <c r="H103" s="85" t="str">
        <f>IF(III_voor_1p!K50=0,"",III_voor_1p!K50)</f>
        <v>9:11</v>
      </c>
      <c r="I103" s="85" t="str">
        <f>IF(III_voor_1p!N50=0,"",III_voor_1p!N50)</f>
        <v>11:7</v>
      </c>
      <c r="J103" s="85" t="str">
        <f>IF(III_voor_1p!Q50=0,"",III_voor_1p!Q50)</f>
        <v/>
      </c>
      <c r="K103" s="53" t="str">
        <f>IF(F103="","",CONCATENATE(Abitabel2!G97,":",Abitabel2!N97))</f>
        <v>3:1</v>
      </c>
      <c r="L103" s="35">
        <f>IF(K103="","",IF(LEFT(K103,1)&lt;RIGHT(K103,1),0,1))</f>
        <v>1</v>
      </c>
      <c r="M103" s="35">
        <f>IF(K103="","",IF(LEFT(K103,1)&gt;RIGHT(K103,1),0,1))</f>
        <v>0</v>
      </c>
      <c r="Q103" s="1" t="str">
        <f t="shared" si="15"/>
        <v/>
      </c>
    </row>
    <row r="104" spans="1:18">
      <c r="A104" s="7"/>
      <c r="B104" s="9" t="s">
        <v>13</v>
      </c>
      <c r="C104" s="8" t="str">
        <f>VLOOKUP(B104,III_voor_1p!$B$38:$K$42,2,FALSE)</f>
        <v>Maksim VUHKA</v>
      </c>
      <c r="D104" s="9" t="s">
        <v>10</v>
      </c>
      <c r="E104" s="8" t="str">
        <f>VLOOKUP(D104,III_voor_1p!$M$38:$W$42,2,FALSE)</f>
        <v>Kevin KUKK</v>
      </c>
      <c r="F104" s="85" t="str">
        <f>IF(III_voor_1p!E51=0,"",III_voor_1p!E51)</f>
        <v/>
      </c>
      <c r="G104" s="85" t="str">
        <f>IF(III_voor_1p!H51=0,"",III_voor_1p!H51)</f>
        <v/>
      </c>
      <c r="H104" s="85" t="str">
        <f>IF(III_voor_1p!K51=0,"",III_voor_1p!K51)</f>
        <v/>
      </c>
      <c r="I104" s="85" t="str">
        <f>IF(III_voor_1p!N51=0,"",III_voor_1p!N51)</f>
        <v/>
      </c>
      <c r="J104" s="85" t="str">
        <f>IF(III_voor_1p!Q51=0,"",III_voor_1p!Q51)</f>
        <v/>
      </c>
      <c r="K104" s="53" t="str">
        <f>IF(F104="","",CONCATENATE(Abitabel2!G98,":",Abitabel2!N98))</f>
        <v/>
      </c>
      <c r="L104" s="35" t="str">
        <f>IF(K104="","",IF(LEFT(K104,1)&lt;RIGHT(K104,1),0,1))</f>
        <v/>
      </c>
      <c r="M104" s="35" t="str">
        <f>IF(L104="","",IF(LEFT(K104,1)&gt;RIGHT(K104,1),0,1))</f>
        <v/>
      </c>
      <c r="Q104" s="1" t="str">
        <f t="shared" si="15"/>
        <v>ERROR</v>
      </c>
    </row>
    <row r="105" spans="1:18">
      <c r="A105" s="7"/>
      <c r="B105" s="9" t="s">
        <v>11</v>
      </c>
      <c r="C105" s="8" t="str">
        <f>VLOOKUP(B105,III_voor_1p!$B$38:$K$42,2,FALSE)</f>
        <v>Carlo ACCORSI</v>
      </c>
      <c r="D105" s="9" t="s">
        <v>14</v>
      </c>
      <c r="E105" s="8" t="str">
        <f>VLOOKUP(D105,III_voor_1p!$M$38:$W$42,2,FALSE)</f>
        <v>Filat ANDREEV</v>
      </c>
      <c r="F105" s="85" t="str">
        <f>IF(III_voor_1p!E52=0,"",III_voor_1p!E52)</f>
        <v/>
      </c>
      <c r="G105" s="85" t="str">
        <f>IF(III_voor_1p!H52=0,"",III_voor_1p!H52)</f>
        <v/>
      </c>
      <c r="H105" s="85" t="str">
        <f>IF(III_voor_1p!K52=0,"",III_voor_1p!K52)</f>
        <v/>
      </c>
      <c r="I105" s="85" t="str">
        <f>IF(III_voor_1p!N52=0,"",III_voor_1p!N52)</f>
        <v/>
      </c>
      <c r="J105" s="85" t="str">
        <f>IF(III_voor_1p!Q52=0,"",III_voor_1p!Q52)</f>
        <v/>
      </c>
      <c r="K105" s="53" t="str">
        <f>IF(F105="","",CONCATENATE(Abitabel2!G99,":",Abitabel2!N99))</f>
        <v/>
      </c>
      <c r="L105" s="35" t="str">
        <f>IF(K105="","",IF(LEFT(K105,1)&lt;RIGHT(K105,1),0,1))</f>
        <v/>
      </c>
      <c r="M105" s="35" t="str">
        <f>IF(L105="","",IF(LEFT(K105,1)&gt;RIGHT(K105,1),0,1))</f>
        <v/>
      </c>
      <c r="Q105" s="1" t="str">
        <f t="shared" si="15"/>
        <v>ERROR</v>
      </c>
    </row>
    <row r="106" spans="1:18">
      <c r="A106" s="7"/>
      <c r="B106" s="10"/>
      <c r="C106" s="33" t="str">
        <f>VLOOKUP(C97,Koosseisud!A:B,2,FALSE )</f>
        <v>Meeskond2</v>
      </c>
      <c r="D106" s="10"/>
      <c r="E106" s="33" t="str">
        <f>VLOOKUP(E97,Koosseisud!A:B,2,FALSE)</f>
        <v>Meeskond6</v>
      </c>
      <c r="F106" s="10"/>
      <c r="G106" s="10"/>
      <c r="H106" s="10"/>
      <c r="I106" s="10"/>
      <c r="J106" s="11"/>
      <c r="K106" s="12"/>
      <c r="L106" s="129">
        <f>SUM(L98:L105)</f>
        <v>4</v>
      </c>
      <c r="M106" s="129">
        <f>SUM(M98:M105)</f>
        <v>1</v>
      </c>
    </row>
    <row r="107" spans="1:18" ht="15">
      <c r="A107" s="2" t="s">
        <v>78</v>
      </c>
      <c r="B107" s="3">
        <f>IF(K108="","",SUM(L108:L115))</f>
        <v>4</v>
      </c>
      <c r="C107" s="4" t="str">
        <f>III_voor_1p!G67</f>
        <v>TalTech Spordiklubi</v>
      </c>
      <c r="D107" s="3">
        <f>IF(K108="","",SUM(M108:M115))</f>
        <v>0</v>
      </c>
      <c r="E107" s="4" t="str">
        <f>III_voor_1p!R67</f>
        <v>Viljandi LTK Sakala</v>
      </c>
      <c r="F107" s="5" t="s">
        <v>2</v>
      </c>
      <c r="G107" s="5" t="s">
        <v>3</v>
      </c>
      <c r="H107" s="5" t="s">
        <v>4</v>
      </c>
      <c r="I107" s="5" t="s">
        <v>5</v>
      </c>
      <c r="J107" s="5" t="s">
        <v>6</v>
      </c>
      <c r="K107" s="6" t="s">
        <v>7</v>
      </c>
      <c r="L107" s="287" t="s">
        <v>8</v>
      </c>
      <c r="M107" s="287"/>
      <c r="R107" s="1" t="str">
        <f>IF(OR(B107=4,D107=4),"","ERROR")</f>
        <v/>
      </c>
    </row>
    <row r="108" spans="1:18">
      <c r="A108" s="7" t="s">
        <v>469</v>
      </c>
      <c r="B108" s="9" t="s">
        <v>9</v>
      </c>
      <c r="C108" s="8" t="str">
        <f>VLOOKUP(B108,III_voor_1p!$B$68:$K$72,2,FALSE)</f>
        <v>Madis MOOS</v>
      </c>
      <c r="D108" s="9" t="s">
        <v>10</v>
      </c>
      <c r="E108" s="8" t="str">
        <f>VLOOKUP(D108,III_voor_1p!$M$68:$W$72,2,FALSE)</f>
        <v>Robi TOOMING</v>
      </c>
      <c r="F108" s="85" t="str">
        <f>IF(III_voor_1p!E76=0,"",III_voor_1p!E76)</f>
        <v>11:3</v>
      </c>
      <c r="G108" s="85" t="str">
        <f>IF(III_voor_1p!H76=0,"",III_voor_1p!H76)</f>
        <v>11:7</v>
      </c>
      <c r="H108" s="85" t="str">
        <f>IF(III_voor_1p!K76=0,"",III_voor_1p!K76)</f>
        <v>11:7</v>
      </c>
      <c r="I108" s="85" t="str">
        <f>IF(III_voor_1p!N76=0,"",III_voor_1p!N76)</f>
        <v/>
      </c>
      <c r="J108" s="85" t="str">
        <f>IF(III_voor_1p!Q76=0,"",III_voor_1p!Q76)</f>
        <v/>
      </c>
      <c r="K108" s="53" t="str">
        <f>IF(F108="","",CONCATENATE(Abitabel2!G102,":",Abitabel2!N102))</f>
        <v>3:0</v>
      </c>
      <c r="L108" s="35">
        <f>IF(K108="","",IF(LEFT(K108,1)&lt;RIGHT(K108,1),0,1))</f>
        <v>1</v>
      </c>
      <c r="M108" s="35">
        <f>IF(K108="","",IF(LEFT(K108,1)&gt;RIGHT(K108,1),0,1))</f>
        <v>0</v>
      </c>
      <c r="Q108" s="1" t="str">
        <f t="shared" si="15"/>
        <v/>
      </c>
    </row>
    <row r="109" spans="1:18">
      <c r="A109" s="7" t="s">
        <v>59</v>
      </c>
      <c r="B109" s="9" t="s">
        <v>11</v>
      </c>
      <c r="C109" s="8" t="str">
        <f>VLOOKUP(B109,III_voor_1p!$B$68:$K$72,2,FALSE)</f>
        <v>Stanislav STROGOV</v>
      </c>
      <c r="D109" s="9" t="s">
        <v>12</v>
      </c>
      <c r="E109" s="8" t="str">
        <f>VLOOKUP(D109,III_voor_1p!$M$68:$W$72,2,FALSE)</f>
        <v>Märt KURVET</v>
      </c>
      <c r="F109" s="85" t="str">
        <f>IF(III_voor_1p!E77=0,"",III_voor_1p!E77)</f>
        <v>11:9</v>
      </c>
      <c r="G109" s="85" t="str">
        <f>IF(III_voor_1p!H77=0,"",III_voor_1p!H77)</f>
        <v>11:8</v>
      </c>
      <c r="H109" s="85" t="str">
        <f>IF(III_voor_1p!K77=0,"",III_voor_1p!K77)</f>
        <v>11:5</v>
      </c>
      <c r="I109" s="85" t="str">
        <f>IF(III_voor_1p!N77=0,"",III_voor_1p!N77)</f>
        <v/>
      </c>
      <c r="J109" s="85" t="str">
        <f>IF(III_voor_1p!Q77=0,"",III_voor_1p!Q77)</f>
        <v/>
      </c>
      <c r="K109" s="53" t="str">
        <f>IF(F109="","",CONCATENATE(Abitabel2!G103,":",Abitabel2!N103))</f>
        <v>3:0</v>
      </c>
      <c r="L109" s="35">
        <f t="shared" ref="L109:L110" si="22">IF(K109="","",IF(LEFT(K109,1)&lt;RIGHT(K109,1),0,1))</f>
        <v>1</v>
      </c>
      <c r="M109" s="35">
        <f t="shared" ref="M109:M110" si="23">IF(K109="","",IF(LEFT(K109,1)&gt;RIGHT(K109,1),0,1))</f>
        <v>0</v>
      </c>
      <c r="Q109" s="1" t="str">
        <f t="shared" si="15"/>
        <v/>
      </c>
    </row>
    <row r="110" spans="1:18">
      <c r="A110" s="7"/>
      <c r="B110" s="9" t="s">
        <v>13</v>
      </c>
      <c r="C110" s="8" t="str">
        <f>VLOOKUP(B110,III_voor_1p!$B$68:$K$72,2,FALSE)</f>
        <v>Andrei MALTIZOV</v>
      </c>
      <c r="D110" s="9" t="s">
        <v>14</v>
      </c>
      <c r="E110" s="8" t="str">
        <f>VLOOKUP(D110,III_voor_1p!$M$68:$W$72,2,FALSE)</f>
        <v>Erik NÜÜD</v>
      </c>
      <c r="F110" s="85" t="str">
        <f>IF(III_voor_1p!E78=0,"",III_voor_1p!E78)</f>
        <v>11:9</v>
      </c>
      <c r="G110" s="85" t="str">
        <f>IF(III_voor_1p!H78=0,"",III_voor_1p!H78)</f>
        <v>11:3</v>
      </c>
      <c r="H110" s="85" t="str">
        <f>IF(III_voor_1p!K78=0,"",III_voor_1p!K78)</f>
        <v>11:7</v>
      </c>
      <c r="I110" s="85" t="str">
        <f>IF(III_voor_1p!N78=0,"",III_voor_1p!N78)</f>
        <v/>
      </c>
      <c r="J110" s="85" t="str">
        <f>IF(III_voor_1p!Q78=0,"",III_voor_1p!Q78)</f>
        <v/>
      </c>
      <c r="K110" s="53" t="str">
        <f>IF(F110="","",CONCATENATE(Abitabel2!G104,":",Abitabel2!N104))</f>
        <v>3:0</v>
      </c>
      <c r="L110" s="35">
        <f t="shared" si="22"/>
        <v>1</v>
      </c>
      <c r="M110" s="35">
        <f t="shared" si="23"/>
        <v>0</v>
      </c>
      <c r="Q110" s="1" t="str">
        <f t="shared" si="15"/>
        <v/>
      </c>
    </row>
    <row r="111" spans="1:18">
      <c r="A111" s="7"/>
      <c r="B111" s="290" t="s">
        <v>15</v>
      </c>
      <c r="C111" s="1" t="str">
        <f>IF(ISBLANK(III_voor_1p!C79), "", INDEX(III_voor_1p!C68:C72, MATCH(MID(III_voor_1p!C79,1,1), III_voor_1p!B68:B72, 0)))</f>
        <v>Madis MOOS</v>
      </c>
      <c r="D111" s="290" t="s">
        <v>15</v>
      </c>
      <c r="E111" s="1" t="str">
        <f>IF(ISBLANK(III_voor_1p!C79), "", INDEX(III_voor_1p!N68:N72, MATCH(MID(III_voor_1p!C79,4,1), III_voor_1p!M68:M72, 0)))</f>
        <v>Robi TOOMING</v>
      </c>
      <c r="F111" s="300" t="str">
        <f>IF(III_voor_1p!E79=0,"",III_voor_1p!E79)</f>
        <v>11:9</v>
      </c>
      <c r="G111" s="300" t="str">
        <f>IF(III_voor_1p!H79=0,"",III_voor_1p!H79)</f>
        <v>11:8</v>
      </c>
      <c r="H111" s="300" t="str">
        <f>IF(III_voor_1p!K79=0,"",III_voor_1p!K79)</f>
        <v>11:6</v>
      </c>
      <c r="I111" s="300" t="str">
        <f>IF(III_voor_1p!N79=0,"",III_voor_1p!N79)</f>
        <v/>
      </c>
      <c r="J111" s="300" t="str">
        <f>IF(III_voor_1p!Q79=0,"",III_voor_1p!Q79)</f>
        <v/>
      </c>
      <c r="K111" s="294" t="str">
        <f>IF(F111="","",CONCATENATE(Abitabel2!G105,":",Abitabel2!N105))</f>
        <v>3:0</v>
      </c>
      <c r="L111" s="295">
        <f>IF(K111="","",IF(LEFT(K111,1)&lt;RIGHT(K111,1),0,1))</f>
        <v>1</v>
      </c>
      <c r="M111" s="295">
        <f>IF(K111="","",IF(LEFT(K111,1)&gt;RIGHT(K111,1),0,1))</f>
        <v>0</v>
      </c>
      <c r="Q111" s="1" t="str">
        <f t="shared" si="15"/>
        <v/>
      </c>
    </row>
    <row r="112" spans="1:18">
      <c r="A112" s="7"/>
      <c r="B112" s="291"/>
      <c r="C112" s="1" t="str">
        <f>IF(ISBLANK(III_voor_1p!C79), "", INDEX(III_voor_1p!C68:C72, MATCH(MID(III_voor_1p!C79,2,1), III_voor_1p!B68:B72, 0)))</f>
        <v>Stanislav STROGOV</v>
      </c>
      <c r="D112" s="291"/>
      <c r="E112" s="1" t="str">
        <f>IF(ISBLANK(III_voor_1p!C79), "", INDEX(III_voor_1p!N68:N72, MATCH(MID(III_voor_1p!C79,5,1), III_voor_1p!M68:M72, 0)))</f>
        <v>Erik NÜÜD</v>
      </c>
      <c r="F112" s="300"/>
      <c r="G112" s="300"/>
      <c r="H112" s="300"/>
      <c r="I112" s="300"/>
      <c r="J112" s="300"/>
      <c r="K112" s="294"/>
      <c r="L112" s="295"/>
      <c r="M112" s="295"/>
    </row>
    <row r="113" spans="1:18">
      <c r="A113" s="7"/>
      <c r="B113" s="9" t="s">
        <v>9</v>
      </c>
      <c r="C113" s="8" t="str">
        <f>VLOOKUP(B113,III_voor_1p!$B$68:$K$72,2,FALSE)</f>
        <v>Madis MOOS</v>
      </c>
      <c r="D113" s="9" t="s">
        <v>12</v>
      </c>
      <c r="E113" s="8" t="str">
        <f>VLOOKUP(D113,III_voor_1p!$M$68:$W$72,2,FALSE)</f>
        <v>Märt KURVET</v>
      </c>
      <c r="F113" s="85" t="str">
        <f>IF(III_voor_1p!E80=0,"",III_voor_1p!E80)</f>
        <v/>
      </c>
      <c r="G113" s="85" t="str">
        <f>IF(III_voor_1p!H80=0,"",III_voor_1p!H80)</f>
        <v/>
      </c>
      <c r="H113" s="85" t="str">
        <f>IF(III_voor_1p!K80=0,"",III_voor_1p!K80)</f>
        <v/>
      </c>
      <c r="I113" s="85" t="str">
        <f>IF(III_voor_1p!N80=0,"",III_voor_1p!N80)</f>
        <v/>
      </c>
      <c r="J113" s="85" t="str">
        <f>IF(III_voor_1p!Q80=0,"",III_voor_1p!Q80)</f>
        <v/>
      </c>
      <c r="K113" s="53" t="str">
        <f>IF(F113="","",CONCATENATE(Abitabel2!G107,":",Abitabel2!N107))</f>
        <v/>
      </c>
      <c r="L113" s="35" t="str">
        <f>IF(K113="","",IF(LEFT(K113,1)&lt;RIGHT(K113,1),0,1))</f>
        <v/>
      </c>
      <c r="M113" s="35" t="str">
        <f>IF(K113="","",IF(LEFT(K113,1)&gt;RIGHT(K113,1),0,1))</f>
        <v/>
      </c>
      <c r="Q113" s="1" t="str">
        <f t="shared" si="15"/>
        <v>ERROR</v>
      </c>
    </row>
    <row r="114" spans="1:18">
      <c r="A114" s="7"/>
      <c r="B114" s="9" t="s">
        <v>13</v>
      </c>
      <c r="C114" s="8" t="str">
        <f>VLOOKUP(B114,III_voor_1p!$B$68:$K$72,2,FALSE)</f>
        <v>Andrei MALTIZOV</v>
      </c>
      <c r="D114" s="9" t="s">
        <v>10</v>
      </c>
      <c r="E114" s="8" t="str">
        <f>VLOOKUP(D114,III_voor_1p!$M$68:$W$72,2,FALSE)</f>
        <v>Robi TOOMING</v>
      </c>
      <c r="F114" s="85" t="str">
        <f>IF(III_voor_1p!E81=0,"",III_voor_1p!E81)</f>
        <v/>
      </c>
      <c r="G114" s="85" t="str">
        <f>IF(III_voor_1p!H81=0,"",III_voor_1p!H81)</f>
        <v/>
      </c>
      <c r="H114" s="85" t="str">
        <f>IF(III_voor_1p!K81=0,"",III_voor_1p!K81)</f>
        <v/>
      </c>
      <c r="I114" s="85" t="str">
        <f>IF(III_voor_1p!N81=0,"",III_voor_1p!N81)</f>
        <v/>
      </c>
      <c r="J114" s="85" t="str">
        <f>IF(III_voor_1p!Q81=0,"",III_voor_1p!Q81)</f>
        <v/>
      </c>
      <c r="K114" s="53" t="str">
        <f>IF(F114="","",CONCATENATE(Abitabel2!G108,":",Abitabel2!N108))</f>
        <v/>
      </c>
      <c r="L114" s="35" t="str">
        <f t="shared" ref="L114:L115" si="24">IF(K114="","",IF(LEFT(K114,1)&lt;RIGHT(K114,1),0,1))</f>
        <v/>
      </c>
      <c r="M114" s="35" t="str">
        <f t="shared" ref="M114:M115" si="25">IF(K114="","",IF(LEFT(K114,1)&gt;RIGHT(K114,1),0,1))</f>
        <v/>
      </c>
      <c r="Q114" s="1" t="str">
        <f t="shared" si="15"/>
        <v>ERROR</v>
      </c>
    </row>
    <row r="115" spans="1:18">
      <c r="A115" s="7"/>
      <c r="B115" s="9" t="s">
        <v>11</v>
      </c>
      <c r="C115" s="8" t="str">
        <f>VLOOKUP(B115,III_voor_1p!$B$68:$K$72,2,FALSE)</f>
        <v>Stanislav STROGOV</v>
      </c>
      <c r="D115" s="9" t="s">
        <v>14</v>
      </c>
      <c r="E115" s="8" t="str">
        <f>VLOOKUP(D115,III_voor_1p!$M$68:$W$72,2,FALSE)</f>
        <v>Erik NÜÜD</v>
      </c>
      <c r="F115" s="85" t="str">
        <f>IF(III_voor_1p!E82=0,"",III_voor_1p!E82)</f>
        <v/>
      </c>
      <c r="G115" s="85" t="str">
        <f>IF(III_voor_1p!H82=0,"",III_voor_1p!H82)</f>
        <v/>
      </c>
      <c r="H115" s="85" t="str">
        <f>IF(III_voor_1p!K82=0,"",III_voor_1p!K82)</f>
        <v/>
      </c>
      <c r="I115" s="85" t="str">
        <f>IF(III_voor_1p!N82=0,"",III_voor_1p!N82)</f>
        <v/>
      </c>
      <c r="J115" s="85" t="str">
        <f>IF(III_voor_1p!Q82=0,"",III_voor_1p!Q82)</f>
        <v/>
      </c>
      <c r="K115" s="53" t="str">
        <f>IF(F115="","",CONCATENATE(Abitabel2!G109,":",Abitabel2!N109))</f>
        <v/>
      </c>
      <c r="L115" s="35" t="str">
        <f t="shared" si="24"/>
        <v/>
      </c>
      <c r="M115" s="35" t="str">
        <f t="shared" si="25"/>
        <v/>
      </c>
      <c r="Q115" s="1" t="str">
        <f t="shared" si="15"/>
        <v>ERROR</v>
      </c>
    </row>
    <row r="116" spans="1:18">
      <c r="A116" s="7"/>
      <c r="B116" s="10"/>
      <c r="C116" s="33" t="str">
        <f>VLOOKUP(C107,Koosseisud!A:B,2,FALSE )</f>
        <v>Meeskond3</v>
      </c>
      <c r="D116" s="10"/>
      <c r="E116" s="33" t="str">
        <f>VLOOKUP(E107,Koosseisud!A:B,2,FALSE)</f>
        <v>Meeskond5</v>
      </c>
      <c r="F116" s="10"/>
      <c r="G116" s="10"/>
      <c r="H116" s="10"/>
      <c r="I116" s="10"/>
      <c r="J116" s="11"/>
      <c r="K116" s="12"/>
      <c r="L116" s="129">
        <f>SUM(L108:L115)</f>
        <v>4</v>
      </c>
      <c r="M116" s="129">
        <f>SUM(M108:M115)</f>
        <v>0</v>
      </c>
      <c r="N116" s="129"/>
      <c r="O116" s="129"/>
    </row>
    <row r="117" spans="1:18" ht="15">
      <c r="A117" s="2" t="s">
        <v>79</v>
      </c>
      <c r="B117" s="3">
        <f>IF(K118="","",SUM(L118:L125))</f>
        <v>4</v>
      </c>
      <c r="C117" s="4" t="str">
        <f>III_voor_1p!G97</f>
        <v>Viimsi LTK/EM-SERV</v>
      </c>
      <c r="D117" s="3">
        <f>IF(K118="","",SUM(M118:M125))</f>
        <v>0</v>
      </c>
      <c r="E117" s="4" t="str">
        <f>III_voor_1p!R97</f>
        <v>LTK Kalev/Radiaatorikeskus</v>
      </c>
      <c r="F117" s="5" t="s">
        <v>2</v>
      </c>
      <c r="G117" s="5" t="s">
        <v>3</v>
      </c>
      <c r="H117" s="5" t="s">
        <v>4</v>
      </c>
      <c r="I117" s="5" t="s">
        <v>5</v>
      </c>
      <c r="J117" s="5" t="s">
        <v>6</v>
      </c>
      <c r="K117" s="6" t="s">
        <v>7</v>
      </c>
      <c r="L117" s="287" t="s">
        <v>8</v>
      </c>
      <c r="M117" s="287"/>
      <c r="R117" s="1" t="str">
        <f>IF(OR(B117=4,D117=4),"","ERROR")</f>
        <v/>
      </c>
    </row>
    <row r="118" spans="1:18">
      <c r="A118" s="7" t="s">
        <v>469</v>
      </c>
      <c r="B118" s="9" t="s">
        <v>9</v>
      </c>
      <c r="C118" s="8" t="str">
        <f>VLOOKUP(B118,III_voor_1p!$B$98:$K$102,2,FALSE)</f>
        <v>Ilmar VUHKA</v>
      </c>
      <c r="D118" s="9" t="s">
        <v>10</v>
      </c>
      <c r="E118" s="8" t="str">
        <f>VLOOKUP(D118,III_voor_1p!$M$98:$W$102,2,FALSE)</f>
        <v>Allan KOTTISE</v>
      </c>
      <c r="F118" s="85" t="str">
        <f>IF(III_voor_1p!E106=0,"",III_voor_1p!E106)</f>
        <v>11:4</v>
      </c>
      <c r="G118" s="85" t="str">
        <f>IF(III_voor_1p!H106=0,"",III_voor_1p!H106)</f>
        <v>11:7</v>
      </c>
      <c r="H118" s="85" t="str">
        <f>IF(III_voor_1p!K106=0,"",III_voor_1p!K106)</f>
        <v>11:8</v>
      </c>
      <c r="I118" s="85" t="str">
        <f>IF(III_voor_1p!N106=0,"",III_voor_1p!N106)</f>
        <v/>
      </c>
      <c r="J118" s="85" t="str">
        <f>IF(III_voor_1p!Q106=0,"",III_voor_1p!Q106)</f>
        <v/>
      </c>
      <c r="K118" s="53" t="str">
        <f>IF(F118="","",CONCATENATE(Abitabel2!G112,":",Abitabel2!N112))</f>
        <v>3:0</v>
      </c>
      <c r="L118" s="35">
        <f>IF(K118="","",IF(LEFT(K118,1)&lt;RIGHT(K118,1),0,1))</f>
        <v>1</v>
      </c>
      <c r="M118" s="35">
        <f>IF(K118="","",IF(LEFT(K118,1)&gt;RIGHT(K118,1),0,1))</f>
        <v>0</v>
      </c>
      <c r="Q118" s="1" t="str">
        <f t="shared" si="15"/>
        <v/>
      </c>
    </row>
    <row r="119" spans="1:18">
      <c r="A119" s="7" t="s">
        <v>59</v>
      </c>
      <c r="B119" s="9" t="s">
        <v>11</v>
      </c>
      <c r="C119" s="8" t="str">
        <f>VLOOKUP(B119,III_voor_1p!$B$98:$K$102,2,FALSE)</f>
        <v>Aleksei NIKONOROV</v>
      </c>
      <c r="D119" s="9" t="s">
        <v>12</v>
      </c>
      <c r="E119" s="8" t="str">
        <f>VLOOKUP(D119,III_voor_1p!$M$98:$W$102,2,FALSE)</f>
        <v>Kristjan KANT</v>
      </c>
      <c r="F119" s="85" t="str">
        <f>IF(III_voor_1p!E107=0,"",III_voor_1p!E107)</f>
        <v>11:9</v>
      </c>
      <c r="G119" s="85" t="str">
        <f>IF(III_voor_1p!H107=0,"",III_voor_1p!H107)</f>
        <v>11:8</v>
      </c>
      <c r="H119" s="85" t="str">
        <f>IF(III_voor_1p!K107=0,"",III_voor_1p!K107)</f>
        <v>10:12</v>
      </c>
      <c r="I119" s="85" t="str">
        <f>IF(III_voor_1p!N107=0,"",III_voor_1p!N107)</f>
        <v>11:6</v>
      </c>
      <c r="J119" s="85" t="str">
        <f>IF(III_voor_1p!Q107=0,"",III_voor_1p!Q107)</f>
        <v/>
      </c>
      <c r="K119" s="53" t="str">
        <f>IF(F119="","",CONCATENATE(Abitabel2!G113,":",Abitabel2!N113))</f>
        <v>3:1</v>
      </c>
      <c r="L119" s="35">
        <f t="shared" ref="L119:L120" si="26">IF(K119="","",IF(LEFT(K119,1)&lt;RIGHT(K119,1),0,1))</f>
        <v>1</v>
      </c>
      <c r="M119" s="35">
        <f t="shared" ref="M119:M120" si="27">IF(K119="","",IF(LEFT(K119,1)&gt;RIGHT(K119,1),0,1))</f>
        <v>0</v>
      </c>
      <c r="Q119" s="1" t="str">
        <f t="shared" si="15"/>
        <v/>
      </c>
    </row>
    <row r="120" spans="1:18">
      <c r="A120" s="7"/>
      <c r="B120" s="9" t="s">
        <v>13</v>
      </c>
      <c r="C120" s="8" t="str">
        <f>VLOOKUP(B120,III_voor_1p!$B$98:$K$102,2,FALSE)</f>
        <v>Pert Marten LEHTLAAN</v>
      </c>
      <c r="D120" s="9" t="s">
        <v>14</v>
      </c>
      <c r="E120" s="8" t="str">
        <f>VLOOKUP(D120,III_voor_1p!$M$98:$W$102,2,FALSE)</f>
        <v>Jorma LAHTINEN</v>
      </c>
      <c r="F120" s="85" t="str">
        <f>IF(III_voor_1p!E108=0,"",III_voor_1p!E108)</f>
        <v>12:10</v>
      </c>
      <c r="G120" s="85" t="str">
        <f>IF(III_voor_1p!H108=0,"",III_voor_1p!H108)</f>
        <v>5:11</v>
      </c>
      <c r="H120" s="85" t="str">
        <f>IF(III_voor_1p!K108=0,"",III_voor_1p!K108)</f>
        <v>11:6</v>
      </c>
      <c r="I120" s="85" t="str">
        <f>IF(III_voor_1p!N108=0,"",III_voor_1p!N108)</f>
        <v>11:4</v>
      </c>
      <c r="J120" s="85" t="str">
        <f>IF(III_voor_1p!Q108=0,"",III_voor_1p!Q108)</f>
        <v/>
      </c>
      <c r="K120" s="53" t="str">
        <f>IF(F120="","",CONCATENATE(Abitabel2!G114,":",Abitabel2!N114))</f>
        <v>3:1</v>
      </c>
      <c r="L120" s="35">
        <f t="shared" si="26"/>
        <v>1</v>
      </c>
      <c r="M120" s="35">
        <f t="shared" si="27"/>
        <v>0</v>
      </c>
      <c r="Q120" s="1" t="str">
        <f t="shared" si="15"/>
        <v/>
      </c>
    </row>
    <row r="121" spans="1:18">
      <c r="A121" s="7"/>
      <c r="B121" s="290" t="s">
        <v>15</v>
      </c>
      <c r="C121" s="1" t="str">
        <f>IF(ISBLANK(III_voor_1p!C109), "", INDEX(III_voor_1p!C98:C102, MATCH(MID(III_voor_1p!C109,1,1), III_voor_1p!B98:B102, 0)))</f>
        <v>Ilmar VUHKA</v>
      </c>
      <c r="D121" s="290" t="s">
        <v>15</v>
      </c>
      <c r="E121" s="1" t="str">
        <f>IF(ISBLANK(III_voor_1p!C109), "", INDEX(III_voor_1p!N98:N102, MATCH(MID(III_voor_1p!C109,4,1), III_voor_1p!M98:M102, 0)))</f>
        <v>Allan KOTTISE</v>
      </c>
      <c r="F121" s="300" t="str">
        <f>IF(III_voor_1p!E109=0,"",III_voor_1p!E109)</f>
        <v>16:14</v>
      </c>
      <c r="G121" s="300" t="str">
        <f>IF(III_voor_1p!H109=0,"",III_voor_1p!H109)</f>
        <v>11:5</v>
      </c>
      <c r="H121" s="300" t="str">
        <f>IF(III_voor_1p!K109=0,"",III_voor_1p!K109)</f>
        <v>11:6</v>
      </c>
      <c r="I121" s="300" t="str">
        <f>IF(III_voor_1p!N109=0,"",III_voor_1p!N109)</f>
        <v/>
      </c>
      <c r="J121" s="300" t="str">
        <f>IF(III_voor_1p!Q109=0,"",III_voor_1p!Q109)</f>
        <v/>
      </c>
      <c r="K121" s="294" t="str">
        <f>IF(F121="","",CONCATENATE(Abitabel2!G115,":",Abitabel2!N115))</f>
        <v>3:0</v>
      </c>
      <c r="L121" s="295">
        <f>IF(K121="","",IF(LEFT(K121,1)&lt;RIGHT(K121,1),0,1))</f>
        <v>1</v>
      </c>
      <c r="M121" s="295">
        <f>IF(K121="","",IF(LEFT(K121,1)&gt;RIGHT(K121,1),0,1))</f>
        <v>0</v>
      </c>
      <c r="Q121" s="1" t="str">
        <f t="shared" si="15"/>
        <v/>
      </c>
    </row>
    <row r="122" spans="1:18">
      <c r="A122" s="7"/>
      <c r="B122" s="291"/>
      <c r="C122" s="1" t="str">
        <f>IF(ISBLANK(III_voor_1p!C109), "", INDEX(III_voor_1p!C98:C102, MATCH(MID(III_voor_1p!C109,2,1), III_voor_1p!B98:B102, 0)))</f>
        <v>Pert Marten LEHTLAAN</v>
      </c>
      <c r="D122" s="291"/>
      <c r="E122" s="1" t="str">
        <f>IF(ISBLANK(III_voor_1p!C109), "", INDEX(III_voor_1p!N98:N102, MATCH(MID(III_voor_1p!C109,5,1), III_voor_1p!M98:M102, 0)))</f>
        <v>Jorma LAHTINEN</v>
      </c>
      <c r="F122" s="300"/>
      <c r="G122" s="300"/>
      <c r="H122" s="300"/>
      <c r="I122" s="300"/>
      <c r="J122" s="300"/>
      <c r="K122" s="294"/>
      <c r="L122" s="295"/>
      <c r="M122" s="295"/>
    </row>
    <row r="123" spans="1:18">
      <c r="A123" s="7"/>
      <c r="B123" s="9" t="s">
        <v>9</v>
      </c>
      <c r="C123" s="8" t="str">
        <f>VLOOKUP(B123,III_voor_1p!$B$98:$K$102,2,FALSE)</f>
        <v>Ilmar VUHKA</v>
      </c>
      <c r="D123" s="9" t="s">
        <v>12</v>
      </c>
      <c r="E123" s="8" t="str">
        <f>VLOOKUP(D123,III_voor_1p!$M$98:$W$102,2,FALSE)</f>
        <v>Kristjan KANT</v>
      </c>
      <c r="F123" s="85" t="str">
        <f>IF(III_voor_1p!E110=0,"",III_voor_1p!E110)</f>
        <v/>
      </c>
      <c r="G123" s="85" t="str">
        <f>IF(III_voor_1p!H110=0,"",III_voor_1p!H110)</f>
        <v/>
      </c>
      <c r="H123" s="85" t="str">
        <f>IF(III_voor_1p!K110=0,"",III_voor_1p!K110)</f>
        <v/>
      </c>
      <c r="I123" s="85" t="str">
        <f>IF(III_voor_1p!N110=0,"",III_voor_1p!N110)</f>
        <v/>
      </c>
      <c r="J123" s="85" t="str">
        <f>IF(III_voor_1p!Q110=0,"",III_voor_1p!Q110)</f>
        <v/>
      </c>
      <c r="K123" s="53" t="str">
        <f>IF(F123="","",CONCATENATE(Abitabel2!G117,":",Abitabel2!N117))</f>
        <v/>
      </c>
      <c r="L123" s="35" t="str">
        <f t="shared" ref="L123:L125" si="28">IF(K123="","",IF(LEFT(K123,1)&lt;RIGHT(K123,1),0,1))</f>
        <v/>
      </c>
      <c r="M123" s="35" t="str">
        <f t="shared" ref="M123:M125" si="29">IF(K123="","",IF(LEFT(K123,1)&gt;RIGHT(K123,1),0,1))</f>
        <v/>
      </c>
      <c r="Q123" s="1" t="str">
        <f t="shared" si="15"/>
        <v>ERROR</v>
      </c>
    </row>
    <row r="124" spans="1:18">
      <c r="A124" s="7"/>
      <c r="B124" s="9" t="s">
        <v>13</v>
      </c>
      <c r="C124" s="8" t="str">
        <f>VLOOKUP(B124,III_voor_1p!$B$98:$K$102,2,FALSE)</f>
        <v>Pert Marten LEHTLAAN</v>
      </c>
      <c r="D124" s="9" t="s">
        <v>10</v>
      </c>
      <c r="E124" s="8" t="str">
        <f>VLOOKUP(D124,III_voor_1p!$M$98:$W$102,2,FALSE)</f>
        <v>Allan KOTTISE</v>
      </c>
      <c r="F124" s="85" t="str">
        <f>IF(III_voor_1p!E111=0,"",III_voor_1p!E111)</f>
        <v/>
      </c>
      <c r="G124" s="85" t="str">
        <f>IF(III_voor_1p!H111=0,"",III_voor_1p!H111)</f>
        <v/>
      </c>
      <c r="H124" s="85" t="str">
        <f>IF(III_voor_1p!K111=0,"",III_voor_1p!K111)</f>
        <v/>
      </c>
      <c r="I124" s="85" t="str">
        <f>IF(III_voor_1p!N111=0,"",III_voor_1p!N111)</f>
        <v/>
      </c>
      <c r="J124" s="85" t="str">
        <f>IF(III_voor_1p!Q111=0,"",III_voor_1p!Q111)</f>
        <v/>
      </c>
      <c r="K124" s="53" t="str">
        <f>IF(F124="","",CONCATENATE(Abitabel2!G118,":",Abitabel2!N118))</f>
        <v/>
      </c>
      <c r="L124" s="35" t="str">
        <f t="shared" si="28"/>
        <v/>
      </c>
      <c r="M124" s="35" t="str">
        <f t="shared" si="29"/>
        <v/>
      </c>
      <c r="Q124" s="1" t="str">
        <f t="shared" si="15"/>
        <v>ERROR</v>
      </c>
    </row>
    <row r="125" spans="1:18">
      <c r="A125" s="7"/>
      <c r="B125" s="9" t="s">
        <v>11</v>
      </c>
      <c r="C125" s="8" t="str">
        <f>VLOOKUP(B125,III_voor_1p!$B$98:$K$102,2,FALSE)</f>
        <v>Aleksei NIKONOROV</v>
      </c>
      <c r="D125" s="9" t="s">
        <v>14</v>
      </c>
      <c r="E125" s="8" t="str">
        <f>VLOOKUP(D125,III_voor_1p!$M$98:$W$102,2,FALSE)</f>
        <v>Jorma LAHTINEN</v>
      </c>
      <c r="F125" s="85" t="str">
        <f>IF(III_voor_1p!E112=0,"",III_voor_1p!E112)</f>
        <v/>
      </c>
      <c r="G125" s="85" t="str">
        <f>IF(III_voor_1p!H112=0,"",III_voor_1p!H112)</f>
        <v/>
      </c>
      <c r="H125" s="85" t="str">
        <f>IF(III_voor_1p!K112=0,"",III_voor_1p!K112)</f>
        <v/>
      </c>
      <c r="I125" s="85" t="str">
        <f>IF(III_voor_1p!N112=0,"",III_voor_1p!N112)</f>
        <v/>
      </c>
      <c r="J125" s="85" t="str">
        <f>IF(III_voor_1p!Q112=0,"",III_voor_1p!Q112)</f>
        <v/>
      </c>
      <c r="K125" s="53" t="str">
        <f>IF(F125="","",CONCATENATE(Abitabel2!G119,":",Abitabel2!N119))</f>
        <v/>
      </c>
      <c r="L125" s="35" t="str">
        <f t="shared" si="28"/>
        <v/>
      </c>
      <c r="M125" s="35" t="str">
        <f t="shared" si="29"/>
        <v/>
      </c>
      <c r="Q125" s="1" t="str">
        <f t="shared" si="15"/>
        <v>ERROR</v>
      </c>
    </row>
    <row r="126" spans="1:18">
      <c r="C126" s="34" t="str">
        <f>VLOOKUP(C117,Koosseisud!A:B,2,FALSE)</f>
        <v>Meeskond7</v>
      </c>
      <c r="E126" s="34" t="str">
        <f>VLOOKUP(E117,Koosseisud!A:B,2,FALSE)</f>
        <v>Meeskond8</v>
      </c>
      <c r="L126" s="129">
        <f>SUM(L118:L125)</f>
        <v>4</v>
      </c>
      <c r="M126" s="129">
        <f>SUM(M118:M125)</f>
        <v>0</v>
      </c>
    </row>
  </sheetData>
  <dataConsolidate/>
  <mergeCells count="137">
    <mergeCell ref="A3:N3"/>
    <mergeCell ref="A4:N4"/>
    <mergeCell ref="A5:N5"/>
    <mergeCell ref="L97:M97"/>
    <mergeCell ref="M121:M122"/>
    <mergeCell ref="L117:M117"/>
    <mergeCell ref="B121:B122"/>
    <mergeCell ref="D121:D122"/>
    <mergeCell ref="F121:F122"/>
    <mergeCell ref="G121:G122"/>
    <mergeCell ref="H121:H122"/>
    <mergeCell ref="I121:I122"/>
    <mergeCell ref="J121:J122"/>
    <mergeCell ref="K121:K122"/>
    <mergeCell ref="L121:L122"/>
    <mergeCell ref="J101:J102"/>
    <mergeCell ref="K101:K102"/>
    <mergeCell ref="L101:L102"/>
    <mergeCell ref="M101:M102"/>
    <mergeCell ref="B101:B102"/>
    <mergeCell ref="D101:D102"/>
    <mergeCell ref="F101:F102"/>
    <mergeCell ref="G101:G102"/>
    <mergeCell ref="H101:H102"/>
    <mergeCell ref="I101:I102"/>
    <mergeCell ref="L107:M107"/>
    <mergeCell ref="B111:B112"/>
    <mergeCell ref="D111:D112"/>
    <mergeCell ref="F111:F112"/>
    <mergeCell ref="G111:G112"/>
    <mergeCell ref="H111:H112"/>
    <mergeCell ref="I111:I112"/>
    <mergeCell ref="J111:J112"/>
    <mergeCell ref="K111:K112"/>
    <mergeCell ref="L111:L112"/>
    <mergeCell ref="M111:M112"/>
    <mergeCell ref="L87:M87"/>
    <mergeCell ref="B91:B92"/>
    <mergeCell ref="D91:D92"/>
    <mergeCell ref="F91:F92"/>
    <mergeCell ref="G91:G92"/>
    <mergeCell ref="H91:H92"/>
    <mergeCell ref="I91:I92"/>
    <mergeCell ref="J91:J92"/>
    <mergeCell ref="K91:K92"/>
    <mergeCell ref="L91:L92"/>
    <mergeCell ref="M91:M92"/>
    <mergeCell ref="L77:M77"/>
    <mergeCell ref="B81:B82"/>
    <mergeCell ref="D81:D82"/>
    <mergeCell ref="F81:F82"/>
    <mergeCell ref="G81:G82"/>
    <mergeCell ref="H81:H82"/>
    <mergeCell ref="I81:I82"/>
    <mergeCell ref="J81:J82"/>
    <mergeCell ref="K81:K82"/>
    <mergeCell ref="L81:L82"/>
    <mergeCell ref="M81:M82"/>
    <mergeCell ref="L67:M67"/>
    <mergeCell ref="B71:B72"/>
    <mergeCell ref="D71:D72"/>
    <mergeCell ref="F71:F72"/>
    <mergeCell ref="G71:G72"/>
    <mergeCell ref="H71:H72"/>
    <mergeCell ref="I71:I72"/>
    <mergeCell ref="J71:J72"/>
    <mergeCell ref="K71:K72"/>
    <mergeCell ref="L71:L72"/>
    <mergeCell ref="M71:M72"/>
    <mergeCell ref="L57:M57"/>
    <mergeCell ref="B61:B62"/>
    <mergeCell ref="D61:D62"/>
    <mergeCell ref="F61:F62"/>
    <mergeCell ref="G61:G62"/>
    <mergeCell ref="H61:H62"/>
    <mergeCell ref="I61:I62"/>
    <mergeCell ref="J61:J62"/>
    <mergeCell ref="K61:K62"/>
    <mergeCell ref="L61:L62"/>
    <mergeCell ref="M61:M62"/>
    <mergeCell ref="L47:M47"/>
    <mergeCell ref="B51:B52"/>
    <mergeCell ref="D51:D52"/>
    <mergeCell ref="F51:F52"/>
    <mergeCell ref="G51:G52"/>
    <mergeCell ref="H51:H52"/>
    <mergeCell ref="I51:I52"/>
    <mergeCell ref="J51:J52"/>
    <mergeCell ref="K51:K52"/>
    <mergeCell ref="L51:L52"/>
    <mergeCell ref="M51:M52"/>
    <mergeCell ref="L37:M37"/>
    <mergeCell ref="B41:B42"/>
    <mergeCell ref="D41:D42"/>
    <mergeCell ref="F41:F42"/>
    <mergeCell ref="G41:G42"/>
    <mergeCell ref="H41:H42"/>
    <mergeCell ref="I41:I42"/>
    <mergeCell ref="J41:J42"/>
    <mergeCell ref="K41:K42"/>
    <mergeCell ref="L41:L42"/>
    <mergeCell ref="M41:M42"/>
    <mergeCell ref="L27:M27"/>
    <mergeCell ref="B31:B32"/>
    <mergeCell ref="D31:D32"/>
    <mergeCell ref="F31:F32"/>
    <mergeCell ref="G31:G32"/>
    <mergeCell ref="H31:H32"/>
    <mergeCell ref="I31:I32"/>
    <mergeCell ref="J31:J32"/>
    <mergeCell ref="K31:K32"/>
    <mergeCell ref="L31:L32"/>
    <mergeCell ref="M31:M32"/>
    <mergeCell ref="A1:N1"/>
    <mergeCell ref="L17:M17"/>
    <mergeCell ref="L7:M7"/>
    <mergeCell ref="B11:B12"/>
    <mergeCell ref="D11:D12"/>
    <mergeCell ref="F11:F12"/>
    <mergeCell ref="G11:G12"/>
    <mergeCell ref="H11:H12"/>
    <mergeCell ref="J21:J22"/>
    <mergeCell ref="K21:K22"/>
    <mergeCell ref="L21:L22"/>
    <mergeCell ref="M21:M22"/>
    <mergeCell ref="B21:B22"/>
    <mergeCell ref="D21:D22"/>
    <mergeCell ref="F21:F22"/>
    <mergeCell ref="G21:G22"/>
    <mergeCell ref="H21:H22"/>
    <mergeCell ref="I21:I22"/>
    <mergeCell ref="I11:I12"/>
    <mergeCell ref="J11:J12"/>
    <mergeCell ref="K11:K12"/>
    <mergeCell ref="L11:L12"/>
    <mergeCell ref="M11:M12"/>
    <mergeCell ref="A2:N2"/>
  </mergeCells>
  <phoneticPr fontId="31" type="noConversion"/>
  <conditionalFormatting sqref="D8:D10 B8:B10 B13:B16 D18:D20 B18:B20 D13:D16 B23:B70 B103:B125 D23:D30 D103:D125 B72:B100 D72:D100 D33:D40 D43:D50 D53:D70">
    <cfRule type="expression" dxfId="114" priority="111" stopIfTrue="1">
      <formula>#REF!=3</formula>
    </cfRule>
  </conditionalFormatting>
  <conditionalFormatting sqref="C58:C60 E58:E60 C68:C70 E68:E70 C78:C80 E78:E80 E7:E50 C7:C56 E53:E56 C63:C66 E63:E66 C73:C76 E73:E76 C83:C90 E83:E90 C93:C100 E93:E100 C103:C110 E103:E110 C113:C120 E113:E120 C123:C125 E123:E125">
    <cfRule type="cellIs" dxfId="113" priority="109" stopIfTrue="1" operator="equal">
      <formula>0</formula>
    </cfRule>
  </conditionalFormatting>
  <conditionalFormatting sqref="D11 B11 B36 D36 B45 D45 D55 B55 B63 D63 B78 D78 D87 B87 B94 D94 B108 D108 D118 B118 D39 B39 D48 B48 D57 B57 B21 B29:B31 B41 B51 D61 B61 D70:D71 B70:B71 D81 B81 D91 B91 D101 B101 D111 B111 D121 B121 D21 D29:D31 D41 D51">
    <cfRule type="expression" dxfId="112" priority="107" stopIfTrue="1">
      <formula>#REF!=3</formula>
    </cfRule>
  </conditionalFormatting>
  <printOptions horizontalCentered="1"/>
  <pageMargins left="0.19685039370078741" right="0.19685039370078741" top="0.15748031496062992" bottom="0.55118110236220474" header="0.31496062992125984" footer="0.31496062992125984"/>
  <pageSetup paperSize="9" fitToHeight="0" orientation="landscape" r:id="rId1"/>
  <headerFooter>
    <oddFooter>&amp;RLk &amp;P</oddFooter>
  </headerFooter>
  <rowBreaks count="3" manualBreakCount="3">
    <brk id="36" max="16383" man="1"/>
    <brk id="76" max="16383" man="1"/>
    <brk id="116" max="16383" man="1"/>
  </rowBreaks>
  <ignoredErrors>
    <ignoredError sqref="H1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4C4FAB-5229-4673-99EC-F63ED8F5A2CF}">
          <x14:formula1>
            <xm:f>Abitabel!$J$1:$J$20</xm:f>
          </x14:formula1>
          <xm:sqref>K8:K15 K18:K25 K28:K35 K38:K45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F1CBC-7206-4BC4-89D9-6F31B3EA8932}">
  <sheetPr>
    <pageSetUpPr fitToPage="1"/>
  </sheetPr>
  <dimension ref="A1:R126"/>
  <sheetViews>
    <sheetView topLeftCell="A99" zoomScale="85" zoomScaleNormal="85" workbookViewId="0">
      <selection activeCell="E32" sqref="E32"/>
    </sheetView>
  </sheetViews>
  <sheetFormatPr defaultColWidth="9.28515625" defaultRowHeight="12.75"/>
  <cols>
    <col min="1" max="1" width="13.710937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hidden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470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471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4</v>
      </c>
      <c r="C7" s="4" t="str">
        <f>I_voor_2p!G7</f>
        <v>Tiim FORUS - Maardu LTK</v>
      </c>
      <c r="D7" s="3">
        <f>IF(K8="","",SUM(M8:M15))</f>
        <v>0</v>
      </c>
      <c r="E7" s="4" t="str">
        <f>I_voor_2p!R7</f>
        <v>Viljandi LTK Sakala</v>
      </c>
      <c r="F7" s="5" t="s">
        <v>2</v>
      </c>
      <c r="G7" s="5" t="s">
        <v>3</v>
      </c>
      <c r="H7" s="5" t="s">
        <v>4</v>
      </c>
      <c r="I7" s="5" t="s">
        <v>5</v>
      </c>
      <c r="J7" s="5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128</v>
      </c>
      <c r="B8" s="9" t="s">
        <v>9</v>
      </c>
      <c r="C8" s="8" t="str">
        <f>VLOOKUP(B8,I_voor_2p!$B$8:$K$12,2,FALSE)</f>
        <v>Antoni WITKOWSKI</v>
      </c>
      <c r="D8" s="9" t="s">
        <v>10</v>
      </c>
      <c r="E8" s="8" t="str">
        <f>VLOOKUP(D8,I_voor_2p!$M$8:$W$12,2,FALSE)</f>
        <v>Valdas  MARTINKUS</v>
      </c>
      <c r="F8" s="9" t="str">
        <f>IF(I_voor_2p!E16=0,"",I_voor_2p!E16)</f>
        <v>11:8</v>
      </c>
      <c r="G8" s="9" t="str">
        <f>IF(I_voor_2p!H16=0,"",I_voor_2p!H16)</f>
        <v>11:5</v>
      </c>
      <c r="H8" s="9" t="str">
        <f>IF(I_voor_2p!K16=0,"",I_voor_2p!K16)</f>
        <v>11:6</v>
      </c>
      <c r="I8" s="9" t="str">
        <f>IF(I_voor_2p!N16=0,"",I_voor_2p!N16)</f>
        <v/>
      </c>
      <c r="J8" s="9" t="str">
        <f>IF(I_voor_2p!Q16=0,"",I_voor_2p!Q16)</f>
        <v/>
      </c>
      <c r="K8" s="53" t="str">
        <f>IF(F8="","",CONCATENATE(Abitabel3!G2,":",Abitabel3!N2))</f>
        <v>3:0</v>
      </c>
      <c r="L8" s="35">
        <f>IF(K8="","",IF(LEFT(K8,1)&lt;RIGHT(K8,1),0,1))</f>
        <v>1</v>
      </c>
      <c r="M8" s="35">
        <f>IF(K8="","",IF(LEFT(K8,1)&gt;RIGHT(K8,1),0,1))</f>
        <v>0</v>
      </c>
      <c r="Q8" s="1" t="str">
        <f>IF(OR(LEFT(K8,1)="3",RIGHT(K8,1)="3"),"","ERROR")</f>
        <v/>
      </c>
    </row>
    <row r="9" spans="1:18">
      <c r="A9" s="7" t="s">
        <v>59</v>
      </c>
      <c r="B9" s="9" t="s">
        <v>11</v>
      </c>
      <c r="C9" s="8" t="str">
        <f>VLOOKUP(B9,I_voor_2p!$B$8:$K$12,2,FALSE)</f>
        <v>Aleksandr LUŠIN</v>
      </c>
      <c r="D9" s="9" t="s">
        <v>12</v>
      </c>
      <c r="E9" s="8" t="str">
        <f>VLOOKUP(D9,I_voor_2p!$M$8:$W$12,2,FALSE)</f>
        <v>Robi TOOMING</v>
      </c>
      <c r="F9" s="9" t="str">
        <f>IF(I_voor_2p!E17=0,"",I_voor_2p!E17)</f>
        <v>9:11</v>
      </c>
      <c r="G9" s="9" t="str">
        <f>IF(I_voor_2p!H17=0,"",I_voor_2p!H17)</f>
        <v>7:11</v>
      </c>
      <c r="H9" s="9" t="str">
        <f>IF(I_voor_2p!K17=0,"",I_voor_2p!K17)</f>
        <v>11:8</v>
      </c>
      <c r="I9" s="9" t="str">
        <f>IF(I_voor_2p!N17=0,"",I_voor_2p!N17)</f>
        <v>11:8</v>
      </c>
      <c r="J9" s="9" t="str">
        <f>IF(I_voor_2p!Q17=0,"",I_voor_2p!Q17)</f>
        <v>11:7</v>
      </c>
      <c r="K9" s="53" t="str">
        <f>IF(F9="","",CONCATENATE(Abitabel3!G3,":",Abitabel3!N3))</f>
        <v>3:2</v>
      </c>
      <c r="L9" s="35">
        <f t="shared" ref="L9:L10" si="0">IF(K9="","",IF(LEFT(K9,1)&lt;RIGHT(K9,1),0,1))</f>
        <v>1</v>
      </c>
      <c r="M9" s="35">
        <f t="shared" ref="M9:M10" si="1">IF(K9="","",IF(LEFT(K9,1)&gt;RIGHT(K9,1),0,1))</f>
        <v>0</v>
      </c>
      <c r="Q9" s="1" t="str">
        <f t="shared" ref="Q9:Q71" si="2">IF(OR(LEFT(K9,1)="3",RIGHT(K9,1)="3"),"","ERROR")</f>
        <v/>
      </c>
    </row>
    <row r="10" spans="1:18">
      <c r="A10" s="7"/>
      <c r="B10" s="9" t="s">
        <v>13</v>
      </c>
      <c r="C10" s="8" t="str">
        <f>VLOOKUP(B10,I_voor_2p!$B$8:$K$12,2,FALSE)</f>
        <v>Aleksandr SMIRNOV</v>
      </c>
      <c r="D10" s="9" t="s">
        <v>14</v>
      </c>
      <c r="E10" s="8" t="str">
        <f>VLOOKUP(D10,I_voor_2p!$M$8:$W$12,2,FALSE)</f>
        <v>Märt KURVET</v>
      </c>
      <c r="F10" s="9" t="str">
        <f>IF(I_voor_2p!E18=0,"",I_voor_2p!E18)</f>
        <v>11:5</v>
      </c>
      <c r="G10" s="9" t="str">
        <f>IF(I_voor_2p!H18=0,"",I_voor_2p!H18)</f>
        <v>11:4</v>
      </c>
      <c r="H10" s="9" t="str">
        <f>IF(I_voor_2p!K18=0,"",I_voor_2p!K18)</f>
        <v>11:6</v>
      </c>
      <c r="I10" s="9" t="str">
        <f>IF(I_voor_2p!N18=0,"",I_voor_2p!N18)</f>
        <v/>
      </c>
      <c r="J10" s="9" t="str">
        <f>IF(I_voor_2p!Q18=0,"",I_voor_2p!Q18)</f>
        <v/>
      </c>
      <c r="K10" s="53" t="str">
        <f>IF(F10="","",CONCATENATE(Abitabel3!G4,":",Abitabel3!N4))</f>
        <v>3:0</v>
      </c>
      <c r="L10" s="35">
        <f t="shared" si="0"/>
        <v>1</v>
      </c>
      <c r="M10" s="35">
        <f t="shared" si="1"/>
        <v>0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IF(ISBLANK(I_voor_2p!C19), "", INDEX(I_voor_2p!C8:C12, MATCH(MID(I_voor_2p!C19,1,1), I_voor_2p!B8:B12, 0)))</f>
        <v>Antoni WITKOWSKI</v>
      </c>
      <c r="D11" s="290" t="s">
        <v>15</v>
      </c>
      <c r="E11" s="8" t="str">
        <f>IF(ISBLANK(I_voor_2p!C19), "", INDEX(I_voor_2p!N8:N12, MATCH(MID(I_voor_2p!C19,4,1), I_voor_2p!M8:M12, 0)))</f>
        <v>Robi TOOMING</v>
      </c>
      <c r="F11" s="292" t="str">
        <f>IF(I_voor_2p!E19=0,"",I_voor_2p!E19)</f>
        <v>9:11</v>
      </c>
      <c r="G11" s="292" t="str">
        <f>IF(I_voor_2p!H19=0,"",I_voor_2p!H19)</f>
        <v>11:4</v>
      </c>
      <c r="H11" s="292" t="str">
        <f>IF(I_voor_2p!K19=0,"",I_voor_2p!K19)</f>
        <v>11:8</v>
      </c>
      <c r="I11" s="292" t="str">
        <f>IF(I_voor_2p!N19=0,"",I_voor_2p!N19)</f>
        <v>9:11</v>
      </c>
      <c r="J11" s="292" t="str">
        <f>IF(I_voor_2p!Q19=0,"",I_voor_2p!Q19)</f>
        <v>13:11</v>
      </c>
      <c r="K11" s="294" t="str">
        <f>IF(F11="","",CONCATENATE(Abitabel3!G5,":",Abitabel3!N5))</f>
        <v>3:2</v>
      </c>
      <c r="L11" s="295">
        <f>IF(K11="","",IF(LEFT(K11,1)&lt;RIGHT(K11,1),0,1))</f>
        <v>1</v>
      </c>
      <c r="M11" s="295">
        <f>IF(K11="","",IF(LEFT(K11,1)&gt;RIGHT(K11,1),0,1))</f>
        <v>0</v>
      </c>
      <c r="Q11" s="1" t="str">
        <f t="shared" si="2"/>
        <v/>
      </c>
    </row>
    <row r="12" spans="1:18">
      <c r="A12" s="7"/>
      <c r="B12" s="291"/>
      <c r="C12" s="8" t="str">
        <f>IF(ISBLANK(I_voor_2p!C19), "", INDEX(I_voor_2p!C8:C12, MATCH(MID(I_voor_2p!C19,2,1), I_voor_2p!B8:B12, 0)))</f>
        <v>Aleksandr SMIRNOV</v>
      </c>
      <c r="D12" s="291"/>
      <c r="E12" s="8" t="str">
        <f>IF(ISBLANK(I_voor_2p!C19), "", INDEX(I_voor_2p!N8:N12, MATCH(MID(I_voor_2p!C19,5,1), I_voor_2p!M8:M12, 0)))</f>
        <v>Valdas  MARTINKUS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VLOOKUP(B13,I_voor_2p!$B$8:$K$12,2,FALSE)</f>
        <v>Antoni WITKOWSKI</v>
      </c>
      <c r="D13" s="9" t="s">
        <v>12</v>
      </c>
      <c r="E13" s="8" t="str">
        <f>VLOOKUP(D13,I_voor_2p!$M$8:$W$12,2,FALSE)</f>
        <v>Robi TOOMING</v>
      </c>
      <c r="F13" s="82" t="str">
        <f>IF(I_voor_2p!E20=0,"",I_voor_2p!E20)</f>
        <v/>
      </c>
      <c r="G13" s="82" t="str">
        <f>IF(I_voor_2p!H20=0,"",I_voor_2p!H20)</f>
        <v/>
      </c>
      <c r="H13" s="82" t="str">
        <f>IF(I_voor_2p!K20=0,"",I_voor_2p!K20)</f>
        <v/>
      </c>
      <c r="I13" s="82" t="str">
        <f>IF(I_voor_2p!N20=0,"",I_voor_2p!N20)</f>
        <v/>
      </c>
      <c r="J13" s="82" t="str">
        <f>IF(I_voor_2p!Q20=0,"",I_voor_2p!Q20)</f>
        <v/>
      </c>
      <c r="K13" s="53" t="str">
        <f>IF(F13="","",CONCATENATE(Abitabel3!G7,":",Abitabel3!N7))</f>
        <v/>
      </c>
      <c r="L13" s="35" t="str">
        <f>IF(K13="","",IF(LEFT(K13,1)&lt;RIGHT(K13,1),0,1))</f>
        <v/>
      </c>
      <c r="M13" s="35" t="str">
        <f>IF(K13="","",IF(LEFT(K13,1)&gt;RIGHT(K13,1),0,1))</f>
        <v/>
      </c>
      <c r="Q13" s="1" t="str">
        <f t="shared" si="2"/>
        <v>ERROR</v>
      </c>
    </row>
    <row r="14" spans="1:18">
      <c r="A14" s="7"/>
      <c r="B14" s="9" t="s">
        <v>13</v>
      </c>
      <c r="C14" s="8" t="str">
        <f>VLOOKUP(B14,I_voor_2p!$B$8:$K$12,2,FALSE)</f>
        <v>Aleksandr SMIRNOV</v>
      </c>
      <c r="D14" s="9" t="s">
        <v>10</v>
      </c>
      <c r="E14" s="8" t="str">
        <f>VLOOKUP(D14,I_voor_2p!$M$8:$W$12,2,FALSE)</f>
        <v>Valdas  MARTINKUS</v>
      </c>
      <c r="F14" s="82" t="str">
        <f>IF(I_voor_2p!E21=0,"",I_voor_2p!E21)</f>
        <v/>
      </c>
      <c r="G14" s="82" t="str">
        <f>IF(I_voor_2p!H21=0,"",I_voor_2p!H21)</f>
        <v/>
      </c>
      <c r="H14" s="82" t="str">
        <f>IF(I_voor_2p!K21=0,"",I_voor_2p!K21)</f>
        <v/>
      </c>
      <c r="I14" s="82" t="str">
        <f>IF(I_voor_2p!N21=0,"",I_voor_2p!N21)</f>
        <v/>
      </c>
      <c r="J14" s="82" t="str">
        <f>IF(I_voor_2p!Q21=0,"",I_voor_2p!Q21)</f>
        <v/>
      </c>
      <c r="K14" s="53" t="str">
        <f>IF(F14="","",CONCATENATE(Abitabel3!G8,":",Abitabel3!N8))</f>
        <v/>
      </c>
      <c r="L14" s="35" t="str">
        <f>IF(K14="","",IF(LEFT(K14,1)&lt;RIGHT(K14,1),0,1))</f>
        <v/>
      </c>
      <c r="M14" s="35" t="str">
        <f>IF(L14="","",IF(LEFT(K14,1)&gt;RIGHT(K14,1),0,1))</f>
        <v/>
      </c>
      <c r="Q14" s="1" t="str">
        <f t="shared" si="2"/>
        <v>ERROR</v>
      </c>
    </row>
    <row r="15" spans="1:18">
      <c r="A15" s="7"/>
      <c r="B15" s="9" t="s">
        <v>11</v>
      </c>
      <c r="C15" s="8" t="str">
        <f>VLOOKUP(B15,I_voor_2p!$B$8:$K$12,2,FALSE)</f>
        <v>Aleksandr LUŠIN</v>
      </c>
      <c r="D15" s="9" t="s">
        <v>14</v>
      </c>
      <c r="E15" s="8" t="str">
        <f>VLOOKUP(D15,I_voor_2p!$M$8:$W$12,2,FALSE)</f>
        <v>Märt KURVET</v>
      </c>
      <c r="F15" s="82" t="str">
        <f>IF(I_voor_2p!E22=0,"",I_voor_2p!E22)</f>
        <v/>
      </c>
      <c r="G15" s="82" t="str">
        <f>IF(I_voor_2p!H22=0,"",I_voor_2p!H22)</f>
        <v/>
      </c>
      <c r="H15" s="82" t="str">
        <f>IF(I_voor_2p!K22=0,"",I_voor_2p!K22)</f>
        <v/>
      </c>
      <c r="I15" s="82" t="str">
        <f>IF(I_voor_2p!N22=0,"",I_voor_2p!N22)</f>
        <v/>
      </c>
      <c r="J15" s="82" t="str">
        <f>IF(I_voor_2p!Q22=0,"",I_voor_2p!Q22)</f>
        <v/>
      </c>
      <c r="K15" s="53" t="str">
        <f>IF(F15="","",CONCATENATE(Abitabel3!G9,":",Abitabel3!N9))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Meeskond1</v>
      </c>
      <c r="D16" s="10"/>
      <c r="E16" s="33" t="str">
        <f>VLOOKUP(E7,Koosseisud!A:B,2,FALSE)</f>
        <v>Meeskond5</v>
      </c>
      <c r="F16" s="10"/>
      <c r="G16" s="10"/>
      <c r="H16" s="10"/>
      <c r="I16" s="10"/>
      <c r="J16" s="11"/>
      <c r="K16" s="12"/>
      <c r="L16" s="13"/>
      <c r="M16" s="13"/>
    </row>
    <row r="17" spans="1:18" ht="15">
      <c r="A17" s="2" t="s">
        <v>69</v>
      </c>
      <c r="B17" s="3">
        <f>IF(K18="","",SUM(L18:L25))</f>
        <v>4</v>
      </c>
      <c r="C17" s="4" t="str">
        <f>I_voor_2p!G37</f>
        <v>Viimsi PINX</v>
      </c>
      <c r="D17" s="3">
        <f>IF(K18="","",SUM(M18:M25))</f>
        <v>0</v>
      </c>
      <c r="E17" s="4" t="str">
        <f>I_voor_2p!R37</f>
        <v>LTK Kalev/Radiaatorikeskus</v>
      </c>
      <c r="F17" s="5" t="s">
        <v>2</v>
      </c>
      <c r="G17" s="5" t="s">
        <v>3</v>
      </c>
      <c r="H17" s="5" t="s">
        <v>4</v>
      </c>
      <c r="I17" s="5" t="s">
        <v>5</v>
      </c>
      <c r="J17" s="5" t="s">
        <v>6</v>
      </c>
      <c r="K17" s="6" t="s">
        <v>7</v>
      </c>
      <c r="L17" s="287" t="s">
        <v>8</v>
      </c>
      <c r="M17" s="287"/>
      <c r="R17" s="1" t="str">
        <f>IF(OR(B17=4,D17=4),"","ERROR")</f>
        <v/>
      </c>
    </row>
    <row r="18" spans="1:18">
      <c r="A18" s="7" t="s">
        <v>128</v>
      </c>
      <c r="B18" s="9" t="s">
        <v>9</v>
      </c>
      <c r="C18" s="8" t="str">
        <f>VLOOKUP(B18,I_voor_2p!$B$38:$K$42,2,FALSE)</f>
        <v>Toomas LIBENE</v>
      </c>
      <c r="D18" s="9" t="s">
        <v>10</v>
      </c>
      <c r="E18" s="8" t="str">
        <f>VLOOKUP(D18,I_voor_2p!$M$38:$W$42,2,FALSE)</f>
        <v xml:space="preserve">Martin KRAIKO </v>
      </c>
      <c r="F18" s="9" t="str">
        <f>IF(I_voor_2p!E46=0,"",I_voor_2p!E46)</f>
        <v>11:5</v>
      </c>
      <c r="G18" s="9" t="str">
        <f>IF(I_voor_2p!H46=0,"",I_voor_2p!H46)</f>
        <v>11:5</v>
      </c>
      <c r="H18" s="9" t="str">
        <f>IF(I_voor_2p!K46=0,"",I_voor_2p!K46)</f>
        <v>11:2</v>
      </c>
      <c r="I18" s="9" t="str">
        <f>IF(I_voor_2p!N46=0,"",I_voor_2p!N46)</f>
        <v/>
      </c>
      <c r="J18" s="9" t="str">
        <f>IF(I_voor_2p!Q46=0,"",I_voor_2p!Q46)</f>
        <v/>
      </c>
      <c r="K18" s="53" t="str">
        <f>IF(F18="","",CONCATENATE(Abitabel3!G12,":",Abitabel3!N12))</f>
        <v>3:0</v>
      </c>
      <c r="L18" s="35">
        <f>IF(K18="","",IF(LEFT(K18,1)&lt;RIGHT(K18,1),0,1))</f>
        <v>1</v>
      </c>
      <c r="M18" s="35">
        <f>IF(K18="","",IF(LEFT(K18,1)&gt;RIGHT(K18,1),0,1))</f>
        <v>0</v>
      </c>
      <c r="Q18" s="1" t="str">
        <f t="shared" si="2"/>
        <v/>
      </c>
    </row>
    <row r="19" spans="1:18">
      <c r="A19" s="7" t="s">
        <v>59</v>
      </c>
      <c r="B19" s="9" t="s">
        <v>11</v>
      </c>
      <c r="C19" s="8" t="str">
        <f>VLOOKUP(B19,I_voor_2p!$B$38:$K$42,2,FALSE)</f>
        <v>Sergei PETROV</v>
      </c>
      <c r="D19" s="9" t="s">
        <v>12</v>
      </c>
      <c r="E19" s="8" t="str">
        <f>VLOOKUP(D19,I_voor_2p!$M$38:$W$42,2,FALSE)</f>
        <v>Allan KOTTISE</v>
      </c>
      <c r="F19" s="9" t="str">
        <f>IF(I_voor_2p!E47=0,"",I_voor_2p!E47)</f>
        <v>11:7</v>
      </c>
      <c r="G19" s="9" t="str">
        <f>IF(I_voor_2p!H47=0,"",I_voor_2p!H47)</f>
        <v>8:11</v>
      </c>
      <c r="H19" s="9" t="str">
        <f>IF(I_voor_2p!K47=0,"",I_voor_2p!K47)</f>
        <v>11:9</v>
      </c>
      <c r="I19" s="9" t="str">
        <f>IF(I_voor_2p!N47=0,"",I_voor_2p!N47)</f>
        <v>11:5</v>
      </c>
      <c r="J19" s="9" t="str">
        <f>IF(I_voor_2p!Q47=0,"",I_voor_2p!Q47)</f>
        <v/>
      </c>
      <c r="K19" s="53" t="str">
        <f>IF(F19="","",CONCATENATE(Abitabel3!G13,":",Abitabel3!N13))</f>
        <v>3:1</v>
      </c>
      <c r="L19" s="35">
        <f t="shared" ref="L19:L20" si="3">IF(K19="","",IF(LEFT(K19,1)&lt;RIGHT(K19,1),0,1))</f>
        <v>1</v>
      </c>
      <c r="M19" s="35">
        <f t="shared" ref="M19:M20" si="4">IF(K19="","",IF(LEFT(K19,1)&gt;RIGHT(K19,1),0,1))</f>
        <v>0</v>
      </c>
      <c r="Q19" s="1" t="str">
        <f t="shared" si="2"/>
        <v/>
      </c>
    </row>
    <row r="20" spans="1:18">
      <c r="A20" s="7"/>
      <c r="B20" s="9" t="s">
        <v>13</v>
      </c>
      <c r="C20" s="8" t="str">
        <f>VLOOKUP(B20,I_voor_2p!$B$38:$K$42,2,FALSE)</f>
        <v>Daniel KOSIBA</v>
      </c>
      <c r="D20" s="9" t="s">
        <v>14</v>
      </c>
      <c r="E20" s="8" t="str">
        <f>VLOOKUP(D20,I_voor_2p!$M$38:$W$42,2,FALSE)</f>
        <v>Kristjan KANT</v>
      </c>
      <c r="F20" s="9" t="str">
        <f>IF(I_voor_2p!E48=0,"",I_voor_2p!E48)</f>
        <v>11:8</v>
      </c>
      <c r="G20" s="9" t="str">
        <f>IF(I_voor_2p!H48=0,"",I_voor_2p!H48)</f>
        <v>11:1</v>
      </c>
      <c r="H20" s="9" t="str">
        <f>IF(I_voor_2p!K48=0,"",I_voor_2p!K48)</f>
        <v>11:7</v>
      </c>
      <c r="I20" s="9" t="str">
        <f>IF(I_voor_2p!N48=0,"",I_voor_2p!N48)</f>
        <v/>
      </c>
      <c r="J20" s="9" t="str">
        <f>IF(I_voor_2p!Q48=0,"",I_voor_2p!Q48)</f>
        <v/>
      </c>
      <c r="K20" s="53" t="str">
        <f>IF(F20="","",CONCATENATE(Abitabel3!G14,":",Abitabel3!N14))</f>
        <v>3:0</v>
      </c>
      <c r="L20" s="35">
        <f t="shared" si="3"/>
        <v>1</v>
      </c>
      <c r="M20" s="35">
        <f t="shared" si="4"/>
        <v>0</v>
      </c>
      <c r="Q20" s="1" t="str">
        <f t="shared" si="2"/>
        <v/>
      </c>
    </row>
    <row r="21" spans="1:18">
      <c r="A21" s="7"/>
      <c r="B21" s="290" t="s">
        <v>15</v>
      </c>
      <c r="C21" s="8" t="str">
        <f>IF(ISBLANK(I_voor_2p!C49), "", INDEX(I_voor_2p!C38:C42, MATCH(MID(I_voor_2p!C49,1,1), I_voor_2p!B38:B42, 0)))</f>
        <v>Carlo ACCORSI</v>
      </c>
      <c r="D21" s="290" t="s">
        <v>15</v>
      </c>
      <c r="E21" s="8" t="str">
        <f>IF(ISBLANK(I_voor_2p!C49), "", INDEX(I_voor_2p!N38:N42, MATCH(MID(I_voor_2p!C49,4,1), I_voor_2p!M38:M42, 0)))</f>
        <v xml:space="preserve">Martin KRAIKO </v>
      </c>
      <c r="F21" s="292" t="str">
        <f>IF(I_voor_2p!E49=0,"",I_voor_2p!E49)</f>
        <v>6:11</v>
      </c>
      <c r="G21" s="292" t="str">
        <f>IF(I_voor_2p!H49=0,"",I_voor_2p!H49)</f>
        <v>12:10</v>
      </c>
      <c r="H21" s="292" t="str">
        <f>IF(I_voor_2p!K49=0,"",I_voor_2p!K49)</f>
        <v>9:11</v>
      </c>
      <c r="I21" s="292" t="str">
        <f>IF(I_voor_2p!N49=0,"",I_voor_2p!N49)</f>
        <v>11:5</v>
      </c>
      <c r="J21" s="292" t="str">
        <f>IF(I_voor_2p!Q49=0,"",I_voor_2p!Q49)</f>
        <v>11:7</v>
      </c>
      <c r="K21" s="294" t="str">
        <f>IF(F21="","",CONCATENATE(Abitabel3!G15,":",Abitabel3!N15))</f>
        <v>3:2</v>
      </c>
      <c r="L21" s="295">
        <f>IF(K21="","",IF(LEFT(K21,1)&lt;RIGHT(K21,1),0,1))</f>
        <v>1</v>
      </c>
      <c r="M21" s="295">
        <f>IF(K21="","",IF(LEFT(K21,1)&gt;RIGHT(K21,1),0,1))</f>
        <v>0</v>
      </c>
      <c r="Q21" s="1" t="str">
        <f t="shared" si="2"/>
        <v/>
      </c>
    </row>
    <row r="22" spans="1:18">
      <c r="A22" s="7"/>
      <c r="B22" s="291"/>
      <c r="C22" s="8" t="str">
        <f>IF(ISBLANK(I_voor_2p!C49), "", INDEX(I_voor_2p!C38:C42, MATCH(MID(I_voor_2p!C49,2,1), I_voor_2p!B38:B42, 0)))</f>
        <v>Maksim VUHKA</v>
      </c>
      <c r="D22" s="291"/>
      <c r="E22" s="8" t="str">
        <f>IF(ISBLANK(I_voor_2p!C49), "", INDEX(I_voor_2p!N38:N42, MATCH(MID(I_voor_2p!C49,5,1), I_voor_2p!M38:M42, 0)))</f>
        <v>Kristjan KANT</v>
      </c>
      <c r="F22" s="293"/>
      <c r="G22" s="293"/>
      <c r="H22" s="293"/>
      <c r="I22" s="293"/>
      <c r="J22" s="293"/>
      <c r="K22" s="294"/>
      <c r="L22" s="295"/>
      <c r="M22" s="295"/>
    </row>
    <row r="23" spans="1:18">
      <c r="A23" s="7"/>
      <c r="B23" s="9" t="s">
        <v>9</v>
      </c>
      <c r="C23" s="8" t="str">
        <f>VLOOKUP(B23,I_voor_2p!$B$38:$K$42,2,FALSE)</f>
        <v>Toomas LIBENE</v>
      </c>
      <c r="D23" s="9" t="s">
        <v>12</v>
      </c>
      <c r="E23" s="8" t="str">
        <f>VLOOKUP(D23,I_voor_2p!$M$38:$W$42,2,FALSE)</f>
        <v>Allan KOTTISE</v>
      </c>
      <c r="F23" s="82" t="str">
        <f>IF(I_voor_2p!E50=0,"",I_voor_2p!E50)</f>
        <v/>
      </c>
      <c r="G23" s="82" t="str">
        <f>IF(I_voor_2p!H50=0,"",I_voor_2p!H50)</f>
        <v/>
      </c>
      <c r="H23" s="82" t="str">
        <f>IF(I_voor_2p!K50=0,"",I_voor_2p!K50)</f>
        <v/>
      </c>
      <c r="I23" s="82" t="str">
        <f>IF(I_voor_2p!N50=0,"",I_voor_2p!N50)</f>
        <v/>
      </c>
      <c r="J23" s="82" t="str">
        <f>IF(I_voor_2p!Q50=0,"",I_voor_2p!Q50)</f>
        <v/>
      </c>
      <c r="K23" s="53" t="str">
        <f>IF(F23="","",CONCATENATE(Abitabel3!G17,":",Abitabel3!N17))</f>
        <v/>
      </c>
      <c r="L23" s="35" t="str">
        <f>IF(K23="","",IF(LEFT(K23,1)&lt;RIGHT(K23,1),0,1))</f>
        <v/>
      </c>
      <c r="M23" s="35" t="str">
        <f>IF(K23="","",IF(LEFT(K23,1)&gt;RIGHT(K23,1),0,1))</f>
        <v/>
      </c>
      <c r="Q23" s="1" t="str">
        <f t="shared" si="2"/>
        <v>ERROR</v>
      </c>
    </row>
    <row r="24" spans="1:18">
      <c r="A24" s="7"/>
      <c r="B24" s="9" t="s">
        <v>13</v>
      </c>
      <c r="C24" s="8" t="str">
        <f>VLOOKUP(B24,I_voor_2p!$B$38:$K$42,2,FALSE)</f>
        <v>Daniel KOSIBA</v>
      </c>
      <c r="D24" s="9" t="s">
        <v>10</v>
      </c>
      <c r="E24" s="8" t="str">
        <f>VLOOKUP(D24,I_voor_2p!$M$38:$W$42,2,FALSE)</f>
        <v xml:space="preserve">Martin KRAIKO </v>
      </c>
      <c r="F24" s="82" t="str">
        <f>IF(I_voor_2p!E51=0,"",I_voor_2p!E51)</f>
        <v/>
      </c>
      <c r="G24" s="82" t="str">
        <f>IF(I_voor_2p!H51=0,"",I_voor_2p!H51)</f>
        <v/>
      </c>
      <c r="H24" s="82" t="str">
        <f>IF(I_voor_2p!K51=0,"",I_voor_2p!K51)</f>
        <v/>
      </c>
      <c r="I24" s="82" t="str">
        <f>IF(I_voor_2p!N51=0,"",I_voor_2p!N51)</f>
        <v/>
      </c>
      <c r="J24" s="82" t="str">
        <f>IF(I_voor_2p!Q51=0,"",I_voor_2p!Q51)</f>
        <v/>
      </c>
      <c r="K24" s="53" t="str">
        <f>IF(F24="","",CONCATENATE(Abitabel3!G18,":",Abitabel3!N18))</f>
        <v/>
      </c>
      <c r="L24" s="35" t="str">
        <f>IF(K24="","",IF(LEFT(K24,1)&lt;RIGHT(K24,1),0,1))</f>
        <v/>
      </c>
      <c r="M24" s="35" t="str">
        <f>IF(L24="","",IF(LEFT(K24,1)&gt;RIGHT(K24,1),0,1))</f>
        <v/>
      </c>
      <c r="Q24" s="1" t="str">
        <f t="shared" si="2"/>
        <v>ERROR</v>
      </c>
    </row>
    <row r="25" spans="1:18">
      <c r="A25" s="7"/>
      <c r="B25" s="9" t="s">
        <v>11</v>
      </c>
      <c r="C25" s="8" t="str">
        <f>VLOOKUP(B25,I_voor_2p!$B$38:$K$42,2,FALSE)</f>
        <v>Sergei PETROV</v>
      </c>
      <c r="D25" s="9" t="s">
        <v>14</v>
      </c>
      <c r="E25" s="8" t="str">
        <f>VLOOKUP(D25,I_voor_2p!$M$38:$W$42,2,FALSE)</f>
        <v>Kristjan KANT</v>
      </c>
      <c r="F25" s="82" t="str">
        <f>IF(I_voor_2p!E52=0,"",I_voor_2p!E52)</f>
        <v/>
      </c>
      <c r="G25" s="82" t="str">
        <f>IF(I_voor_2p!H52=0,"",I_voor_2p!H52)</f>
        <v/>
      </c>
      <c r="H25" s="82" t="str">
        <f>IF(I_voor_2p!K52=0,"",I_voor_2p!K52)</f>
        <v/>
      </c>
      <c r="I25" s="82" t="str">
        <f>IF(I_voor_2p!N52=0,"",I_voor_2p!N52)</f>
        <v/>
      </c>
      <c r="J25" s="82" t="str">
        <f>IF(I_voor_2p!Q52=0,"",I_voor_2p!Q52)</f>
        <v/>
      </c>
      <c r="K25" s="53" t="str">
        <f>IF(F25="","",CONCATENATE(Abitabel3!G19,":",Abitabel3!N19))</f>
        <v/>
      </c>
      <c r="L25" s="35" t="str">
        <f>IF(K25="","",IF(LEFT(K25,1)&lt;RIGHT(K25,1),0,1))</f>
        <v/>
      </c>
      <c r="M25" s="35" t="str">
        <f>IF(L25="","",IF(LEFT(K25,1)&gt;RIGHT(K25,1),0,1))</f>
        <v/>
      </c>
      <c r="Q25" s="1" t="str">
        <f t="shared" si="2"/>
        <v>ERROR</v>
      </c>
    </row>
    <row r="26" spans="1:18">
      <c r="A26" s="7"/>
      <c r="B26" s="10"/>
      <c r="C26" s="33" t="str">
        <f>VLOOKUP(C17,Koosseisud!A:B,2,FALSE )</f>
        <v>Meeskond2</v>
      </c>
      <c r="D26" s="10"/>
      <c r="E26" s="33" t="str">
        <f>VLOOKUP(E17,Koosseisud!A:B,2,FALSE)</f>
        <v>Meeskond8</v>
      </c>
      <c r="F26" s="10"/>
      <c r="G26" s="10"/>
      <c r="H26" s="10"/>
      <c r="I26" s="10"/>
      <c r="J26" s="11"/>
      <c r="K26" s="12"/>
      <c r="L26" s="13"/>
      <c r="M26" s="13"/>
    </row>
    <row r="27" spans="1:18" ht="15">
      <c r="A27" s="2" t="s">
        <v>70</v>
      </c>
      <c r="B27" s="3">
        <f>IF(K28="","",SUM(L28:L35))</f>
        <v>4</v>
      </c>
      <c r="C27" s="4" t="str">
        <f>I_voor_2p!G67</f>
        <v>TalTech Spordiklubi</v>
      </c>
      <c r="D27" s="3">
        <f>IF(K28="","",SUM(M28:M35))</f>
        <v>1</v>
      </c>
      <c r="E27" s="4" t="str">
        <f>I_voor_2p!R67</f>
        <v>Viimsi LTK/EM-SERV</v>
      </c>
      <c r="F27" s="5" t="s">
        <v>2</v>
      </c>
      <c r="G27" s="5" t="s">
        <v>3</v>
      </c>
      <c r="H27" s="5" t="s">
        <v>4</v>
      </c>
      <c r="I27" s="5" t="s">
        <v>5</v>
      </c>
      <c r="J27" s="5" t="s">
        <v>6</v>
      </c>
      <c r="K27" s="6" t="s">
        <v>7</v>
      </c>
      <c r="L27" s="287" t="s">
        <v>8</v>
      </c>
      <c r="M27" s="287"/>
      <c r="R27" s="1" t="str">
        <f>IF(OR(B27=4,D27=4),"","ERROR")</f>
        <v/>
      </c>
    </row>
    <row r="28" spans="1:18">
      <c r="A28" s="7" t="s">
        <v>128</v>
      </c>
      <c r="B28" s="9" t="s">
        <v>9</v>
      </c>
      <c r="C28" s="8" t="str">
        <f>VLOOKUP(B28,I_voor_2p!$B$68:$K$72,2,FALSE)</f>
        <v>Madis MOOS</v>
      </c>
      <c r="D28" s="9" t="s">
        <v>10</v>
      </c>
      <c r="E28" s="8" t="str">
        <f>VLOOKUP(D28,I_voor_2p!$M$68:$W$72,2,FALSE)</f>
        <v>Ilmar VUHKA</v>
      </c>
      <c r="F28" s="9" t="str">
        <f>IF(I_voor_2p!E76=0,"",I_voor_2p!E76)</f>
        <v>11:3</v>
      </c>
      <c r="G28" s="9" t="str">
        <f>IF(I_voor_2p!H76=0,"",I_voor_2p!H76)</f>
        <v>11:5</v>
      </c>
      <c r="H28" s="9" t="str">
        <f>IF(I_voor_2p!K76=0,"",I_voor_2p!K76)</f>
        <v>11:5</v>
      </c>
      <c r="I28" s="9" t="str">
        <f>IF(I_voor_2p!N76=0,"",I_voor_2p!N76)</f>
        <v/>
      </c>
      <c r="J28" s="9" t="str">
        <f>IF(I_voor_2p!Q76=0,"",I_voor_2p!Q76)</f>
        <v/>
      </c>
      <c r="K28" s="53" t="str">
        <f>IF(F28="","",CONCATENATE(Abitabel3!G22,":",Abitabel3!N22))</f>
        <v>3:0</v>
      </c>
      <c r="L28" s="35">
        <f>IF(K28="","",IF(LEFT(K28,1)&lt;RIGHT(K28,1),0,1))</f>
        <v>1</v>
      </c>
      <c r="M28" s="35">
        <f>IF(K28="","",IF(LEFT(K28,1)&gt;RIGHT(K28,1),0,1))</f>
        <v>0</v>
      </c>
      <c r="Q28" s="1" t="str">
        <f t="shared" si="2"/>
        <v/>
      </c>
    </row>
    <row r="29" spans="1:18">
      <c r="A29" s="7" t="s">
        <v>59</v>
      </c>
      <c r="B29" s="9" t="s">
        <v>11</v>
      </c>
      <c r="C29" s="8" t="str">
        <f>VLOOKUP(B29,I_voor_2p!$B$68:$K$72,2,FALSE)</f>
        <v>Samuli SOINE</v>
      </c>
      <c r="D29" s="9" t="s">
        <v>12</v>
      </c>
      <c r="E29" s="8" t="str">
        <f>VLOOKUP(D29,I_voor_2p!$M$68:$W$72,2,FALSE)</f>
        <v>Daniels KOGANS</v>
      </c>
      <c r="F29" s="9" t="str">
        <f>IF(I_voor_2p!E77=0,"",I_voor_2p!E77)</f>
        <v>11:5</v>
      </c>
      <c r="G29" s="9" t="str">
        <f>IF(I_voor_2p!H77=0,"",I_voor_2p!H77)</f>
        <v>14:12</v>
      </c>
      <c r="H29" s="9" t="str">
        <f>IF(I_voor_2p!K77=0,"",I_voor_2p!K77)</f>
        <v>11:3</v>
      </c>
      <c r="I29" s="9" t="str">
        <f>IF(I_voor_2p!N77=0,"",I_voor_2p!N77)</f>
        <v/>
      </c>
      <c r="J29" s="9" t="str">
        <f>IF(I_voor_2p!Q77=0,"",I_voor_2p!Q77)</f>
        <v/>
      </c>
      <c r="K29" s="53" t="str">
        <f>IF(F29="","",CONCATENATE(Abitabel3!G23,":",Abitabel3!N23))</f>
        <v>3:0</v>
      </c>
      <c r="L29" s="35">
        <f t="shared" ref="L29:L30" si="5">IF(K29="","",IF(LEFT(K29,1)&lt;RIGHT(K29,1),0,1))</f>
        <v>1</v>
      </c>
      <c r="M29" s="35">
        <f t="shared" ref="M29:M30" si="6">IF(K29="","",IF(LEFT(K29,1)&gt;RIGHT(K29,1),0,1))</f>
        <v>0</v>
      </c>
      <c r="Q29" s="1" t="str">
        <f t="shared" si="2"/>
        <v/>
      </c>
    </row>
    <row r="30" spans="1:18">
      <c r="A30" s="7"/>
      <c r="B30" s="9" t="s">
        <v>13</v>
      </c>
      <c r="C30" s="8" t="str">
        <f>VLOOKUP(B30,I_voor_2p!$B$68:$K$72,2,FALSE)</f>
        <v>Andrei MALTIZOV</v>
      </c>
      <c r="D30" s="9" t="s">
        <v>14</v>
      </c>
      <c r="E30" s="8" t="str">
        <f>VLOOKUP(D30,I_voor_2p!$M$68:$W$72,2,FALSE)</f>
        <v>Pert Marten LEHTLAAN</v>
      </c>
      <c r="F30" s="9" t="str">
        <f>IF(I_voor_2p!E78=0,"",I_voor_2p!E78)</f>
        <v>8:11</v>
      </c>
      <c r="G30" s="9" t="str">
        <f>IF(I_voor_2p!H78=0,"",I_voor_2p!H78)</f>
        <v>4:11</v>
      </c>
      <c r="H30" s="9" t="str">
        <f>IF(I_voor_2p!K78=0,"",I_voor_2p!K78)</f>
        <v>9:11</v>
      </c>
      <c r="I30" s="9" t="str">
        <f>IF(I_voor_2p!N78=0,"",I_voor_2p!N78)</f>
        <v/>
      </c>
      <c r="J30" s="9" t="str">
        <f>IF(I_voor_2p!Q78=0,"",I_voor_2p!Q78)</f>
        <v/>
      </c>
      <c r="K30" s="53" t="str">
        <f>IF(F30="","",CONCATENATE(Abitabel3!G24,":",Abitabel3!N24))</f>
        <v>0:3</v>
      </c>
      <c r="L30" s="35">
        <f t="shared" si="5"/>
        <v>0</v>
      </c>
      <c r="M30" s="35">
        <f t="shared" si="6"/>
        <v>1</v>
      </c>
      <c r="Q30" s="1" t="str">
        <f t="shared" si="2"/>
        <v/>
      </c>
    </row>
    <row r="31" spans="1:18">
      <c r="A31" s="7"/>
      <c r="B31" s="290" t="s">
        <v>15</v>
      </c>
      <c r="C31" s="8" t="str">
        <f>IF(ISBLANK(I_voor_2p!C79), "", INDEX(I_voor_2p!C68:C72, MATCH(MID(I_voor_2p!C79,1,1), I_voor_2p!B68:B72, 0)))</f>
        <v>Madis MOOS</v>
      </c>
      <c r="D31" s="290" t="s">
        <v>15</v>
      </c>
      <c r="E31" s="8" t="str">
        <f>IF(ISBLANK(I_voor_2p!C79), "", INDEX(I_voor_2p!N68:N72, MATCH(MID(I_voor_2p!C79,4,1), I_voor_2p!M68:M72, 0)))</f>
        <v>Daniels KOGANS</v>
      </c>
      <c r="F31" s="292" t="str">
        <f>IF(I_voor_2p!E79=0,"",I_voor_2p!E79)</f>
        <v>7:11</v>
      </c>
      <c r="G31" s="292" t="str">
        <f>IF(I_voor_2p!H79=0,"",I_voor_2p!H79)</f>
        <v>11:4</v>
      </c>
      <c r="H31" s="292" t="str">
        <f>IF(I_voor_2p!K79=0,"",I_voor_2p!K79)</f>
        <v>11:4</v>
      </c>
      <c r="I31" s="292" t="str">
        <f>IF(I_voor_2p!N79=0,"",I_voor_2p!N79)</f>
        <v>13:11</v>
      </c>
      <c r="J31" s="292" t="str">
        <f>IF(I_voor_2p!Q79=0,"",I_voor_2p!Q79)</f>
        <v/>
      </c>
      <c r="K31" s="294" t="str">
        <f>IF(F31="","",CONCATENATE(Abitabel3!G25,":",Abitabel3!N25))</f>
        <v>3:1</v>
      </c>
      <c r="L31" s="295">
        <f>IF(K31="","",IF(LEFT(K31,1)&lt;RIGHT(K31,1),0,1))</f>
        <v>1</v>
      </c>
      <c r="M31" s="295">
        <f>IF(K31="","",IF(LEFT(K31,1)&gt;RIGHT(K31,1),0,1))</f>
        <v>0</v>
      </c>
      <c r="Q31" s="1" t="str">
        <f t="shared" si="2"/>
        <v/>
      </c>
    </row>
    <row r="32" spans="1:18">
      <c r="A32" s="7"/>
      <c r="B32" s="291"/>
      <c r="C32" s="8" t="str">
        <f>IF(ISBLANK(I_voor_2p!C79), "", INDEX(I_voor_2p!C68:C72, MATCH(MID(I_voor_2p!C79,2,1), I_voor_2p!B68:B72, 0)))</f>
        <v>Stanislav STROGOV</v>
      </c>
      <c r="D32" s="291"/>
      <c r="E32" s="8" t="str">
        <f>IF(ISBLANK(I_voor_2p!C79), "", INDEX(I_voor_2p!N68:N72, MATCH(MID(I_voor_2p!C79,5,1), I_voor_2p!M68:M72, 0)))</f>
        <v>Pert Marten LEHTLAAN</v>
      </c>
      <c r="F32" s="293"/>
      <c r="G32" s="293"/>
      <c r="H32" s="293"/>
      <c r="I32" s="293"/>
      <c r="J32" s="293"/>
      <c r="K32" s="294"/>
      <c r="L32" s="295"/>
      <c r="M32" s="295"/>
    </row>
    <row r="33" spans="1:18">
      <c r="A33" s="7"/>
      <c r="B33" s="9" t="s">
        <v>9</v>
      </c>
      <c r="C33" s="8" t="str">
        <f>VLOOKUP(B33,I_voor_2p!$B$68:$K$72,2,FALSE)</f>
        <v>Madis MOOS</v>
      </c>
      <c r="D33" s="9" t="s">
        <v>12</v>
      </c>
      <c r="E33" s="8" t="str">
        <f>VLOOKUP(D33,I_voor_2p!$M$68:$W$72,2,FALSE)</f>
        <v>Daniels KOGANS</v>
      </c>
      <c r="F33" s="82" t="str">
        <f>IF(I_voor_2p!E80=0,"",I_voor_2p!E80)</f>
        <v>11:7</v>
      </c>
      <c r="G33" s="82" t="str">
        <f>IF(I_voor_2p!H80=0,"",I_voor_2p!H80)</f>
        <v>4:11</v>
      </c>
      <c r="H33" s="82" t="str">
        <f>IF(I_voor_2p!K80=0,"",I_voor_2p!K80)</f>
        <v>8:11</v>
      </c>
      <c r="I33" s="82" t="str">
        <f>IF(I_voor_2p!N80=0,"",I_voor_2p!N80)</f>
        <v>13:11</v>
      </c>
      <c r="J33" s="82" t="str">
        <f>IF(I_voor_2p!Q80=0,"",I_voor_2p!Q80)</f>
        <v>11:2</v>
      </c>
      <c r="K33" s="53" t="str">
        <f>IF(F33="","",CONCATENATE(Abitabel3!G27,":",Abitabel3!N27))</f>
        <v>3:2</v>
      </c>
      <c r="L33" s="35">
        <f>IF(K33="","",IF(LEFT(K33,1)&lt;RIGHT(K33,1),0,1))</f>
        <v>1</v>
      </c>
      <c r="M33" s="35">
        <f>IF(K33="","",IF(LEFT(K33,1)&gt;RIGHT(K33,1),0,1))</f>
        <v>0</v>
      </c>
      <c r="Q33" s="1" t="str">
        <f t="shared" si="2"/>
        <v/>
      </c>
    </row>
    <row r="34" spans="1:18">
      <c r="A34" s="7"/>
      <c r="B34" s="9" t="s">
        <v>13</v>
      </c>
      <c r="C34" s="8" t="str">
        <f>VLOOKUP(B34,I_voor_2p!$B$68:$K$72,2,FALSE)</f>
        <v>Andrei MALTIZOV</v>
      </c>
      <c r="D34" s="9" t="s">
        <v>10</v>
      </c>
      <c r="E34" s="8" t="str">
        <f>VLOOKUP(D34,I_voor_2p!$M$68:$W$72,2,FALSE)</f>
        <v>Ilmar VUHKA</v>
      </c>
      <c r="F34" s="82" t="str">
        <f>IF(I_voor_2p!E81=0,"",I_voor_2p!E81)</f>
        <v/>
      </c>
      <c r="G34" s="82" t="str">
        <f>IF(I_voor_2p!H81=0,"",I_voor_2p!H81)</f>
        <v/>
      </c>
      <c r="H34" s="82" t="str">
        <f>IF(I_voor_2p!K81=0,"",I_voor_2p!K81)</f>
        <v/>
      </c>
      <c r="I34" s="82" t="str">
        <f>IF(I_voor_2p!N81=0,"",I_voor_2p!N81)</f>
        <v/>
      </c>
      <c r="J34" s="82" t="str">
        <f>IF(I_voor_2p!Q81=0,"",I_voor_2p!Q81)</f>
        <v/>
      </c>
      <c r="K34" s="53" t="str">
        <f>IF(F34="","",CONCATENATE(Abitabel3!G28,":",Abitabel3!N28))</f>
        <v/>
      </c>
      <c r="L34" s="35" t="str">
        <f>IF(K34="","",IF(LEFT(K34,1)&lt;RIGHT(K34,1),0,1))</f>
        <v/>
      </c>
      <c r="M34" s="35" t="str">
        <f>IF(L34="","",IF(LEFT(K34,1)&gt;RIGHT(K34,1),0,1))</f>
        <v/>
      </c>
      <c r="Q34" s="1" t="str">
        <f t="shared" si="2"/>
        <v>ERROR</v>
      </c>
    </row>
    <row r="35" spans="1:18">
      <c r="A35" s="7"/>
      <c r="B35" s="9" t="s">
        <v>11</v>
      </c>
      <c r="C35" s="8" t="str">
        <f>VLOOKUP(B35,I_voor_2p!$B$68:$K$72,2,FALSE)</f>
        <v>Samuli SOINE</v>
      </c>
      <c r="D35" s="9" t="s">
        <v>14</v>
      </c>
      <c r="E35" s="8" t="str">
        <f>VLOOKUP(D35,I_voor_2p!$M$68:$W$72,2,FALSE)</f>
        <v>Pert Marten LEHTLAAN</v>
      </c>
      <c r="F35" s="82" t="str">
        <f>IF(I_voor_2p!E82=0,"",I_voor_2p!E82)</f>
        <v/>
      </c>
      <c r="G35" s="82" t="str">
        <f>IF(I_voor_2p!H82=0,"",I_voor_2p!H82)</f>
        <v/>
      </c>
      <c r="H35" s="82" t="str">
        <f>IF(I_voor_2p!K82=0,"",I_voor_2p!K82)</f>
        <v/>
      </c>
      <c r="I35" s="82" t="str">
        <f>IF(I_voor_2p!N82=0,"",I_voor_2p!N82)</f>
        <v/>
      </c>
      <c r="J35" s="82" t="str">
        <f>IF(I_voor_2p!Q82=0,"",I_voor_2p!Q82)</f>
        <v/>
      </c>
      <c r="K35" s="53" t="str">
        <f>IF(F35="","",CONCATENATE(Abitabel3!G29,":",Abitabel3!N29))</f>
        <v/>
      </c>
      <c r="L35" s="35" t="str">
        <f>IF(K35="","",IF(LEFT(K35,1)&lt;RIGHT(K35,1),0,1))</f>
        <v/>
      </c>
      <c r="M35" s="35" t="str">
        <f>IF(L35="","",IF(LEFT(K35,1)&gt;RIGHT(K35,1),0,1))</f>
        <v/>
      </c>
      <c r="Q35" s="1" t="str">
        <f t="shared" si="2"/>
        <v>ERROR</v>
      </c>
    </row>
    <row r="36" spans="1:18">
      <c r="A36" s="7"/>
      <c r="B36" s="10"/>
      <c r="C36" s="33" t="str">
        <f>VLOOKUP(C27,Koosseisud!A:B,2,FALSE )</f>
        <v>Meeskond3</v>
      </c>
      <c r="D36" s="10"/>
      <c r="E36" s="33" t="str">
        <f>VLOOKUP(E27,Koosseisud!A:B,2,FALSE)</f>
        <v>Meeskond7</v>
      </c>
      <c r="F36" s="10"/>
      <c r="G36" s="10"/>
      <c r="H36" s="10"/>
      <c r="I36" s="10"/>
      <c r="J36" s="11"/>
      <c r="K36" s="12"/>
      <c r="L36" s="13"/>
      <c r="M36" s="13"/>
    </row>
    <row r="37" spans="1:18" ht="15">
      <c r="A37" s="2" t="s">
        <v>71</v>
      </c>
      <c r="B37" s="3">
        <f>IF(K38="","",SUM(L38:L45))</f>
        <v>4</v>
      </c>
      <c r="C37" s="4" t="str">
        <f>I_voor_2p!G97</f>
        <v>Tartu SS Kalev</v>
      </c>
      <c r="D37" s="3">
        <f>IF(K38="","",SUM(M38:M45))</f>
        <v>0</v>
      </c>
      <c r="E37" s="4" t="str">
        <f>I_voor_2p!R97</f>
        <v>SPINMASTER</v>
      </c>
      <c r="F37" s="5" t="s">
        <v>2</v>
      </c>
      <c r="G37" s="5" t="s">
        <v>3</v>
      </c>
      <c r="H37" s="5" t="s">
        <v>4</v>
      </c>
      <c r="I37" s="5" t="s">
        <v>5</v>
      </c>
      <c r="J37" s="5" t="s">
        <v>6</v>
      </c>
      <c r="K37" s="6" t="s">
        <v>7</v>
      </c>
      <c r="L37" s="287" t="s">
        <v>8</v>
      </c>
      <c r="M37" s="287"/>
      <c r="R37" s="1" t="str">
        <f>IF(OR(B37=4,D37=4),"","ERROR")</f>
        <v/>
      </c>
    </row>
    <row r="38" spans="1:18">
      <c r="A38" s="7" t="s">
        <v>128</v>
      </c>
      <c r="B38" s="9" t="s">
        <v>9</v>
      </c>
      <c r="C38" s="8" t="str">
        <f>VLOOKUP(B38,I_voor_2p!$B$98:$K$102,2,FALSE)</f>
        <v>Markkos PUKK</v>
      </c>
      <c r="D38" s="9" t="s">
        <v>10</v>
      </c>
      <c r="E38" s="8" t="str">
        <f>VLOOKUP(D38,I_voor_2p!$M$98:$W$102,2,FALSE)</f>
        <v>Kevin KUKK</v>
      </c>
      <c r="F38" s="9" t="str">
        <f>IF(I_voor_2p!E106=0,"",I_voor_2p!E106)</f>
        <v>11:7</v>
      </c>
      <c r="G38" s="9" t="str">
        <f>IF(I_voor_2p!H106=0,"",I_voor_2p!H106)</f>
        <v>11:4</v>
      </c>
      <c r="H38" s="9" t="str">
        <f>IF(I_voor_2p!K106=0,"",I_voor_2p!K106)</f>
        <v>11:8</v>
      </c>
      <c r="I38" s="9" t="str">
        <f>IF(I_voor_2p!N106=0,"",I_voor_2p!N106)</f>
        <v/>
      </c>
      <c r="J38" s="9" t="str">
        <f>IF(I_voor_2p!Q106=0,"",I_voor_2p!Q106)</f>
        <v/>
      </c>
      <c r="K38" s="53" t="str">
        <f>IF(F38="","",CONCATENATE(Abitabel3!G32,":",Abitabel3!N32))</f>
        <v>3:0</v>
      </c>
      <c r="L38" s="35">
        <f>IF(K38="","",IF(LEFT(K38,1)&lt;RIGHT(K38,1),0,1))</f>
        <v>1</v>
      </c>
      <c r="M38" s="35">
        <f>IF(K38="","",IF(LEFT(K38,1)&gt;RIGHT(K38,1),0,1))</f>
        <v>0</v>
      </c>
      <c r="Q38" s="1" t="str">
        <f t="shared" si="2"/>
        <v/>
      </c>
    </row>
    <row r="39" spans="1:18">
      <c r="A39" s="7" t="s">
        <v>59</v>
      </c>
      <c r="B39" s="9" t="s">
        <v>11</v>
      </c>
      <c r="C39" s="8" t="str">
        <f>VLOOKUP(B39,I_voor_2p!$B$98:$K$102,2,FALSE)</f>
        <v>Mart LUUK</v>
      </c>
      <c r="D39" s="9" t="s">
        <v>12</v>
      </c>
      <c r="E39" s="8" t="str">
        <f>VLOOKUP(D39,I_voor_2p!$M$98:$W$102,2,FALSE)</f>
        <v>Arturs RUDNIKOVS</v>
      </c>
      <c r="F39" s="9" t="str">
        <f>IF(I_voor_2p!E107=0,"",I_voor_2p!E107)</f>
        <v>11:6</v>
      </c>
      <c r="G39" s="9" t="str">
        <f>IF(I_voor_2p!H107=0,"",I_voor_2p!H107)</f>
        <v>11:8</v>
      </c>
      <c r="H39" s="9" t="str">
        <f>IF(I_voor_2p!K107=0,"",I_voor_2p!K107)</f>
        <v>11:7</v>
      </c>
      <c r="I39" s="9" t="str">
        <f>IF(I_voor_2p!N107=0,"",I_voor_2p!N107)</f>
        <v/>
      </c>
      <c r="J39" s="9" t="str">
        <f>IF(I_voor_2p!Q107=0,"",I_voor_2p!Q107)</f>
        <v/>
      </c>
      <c r="K39" s="53" t="str">
        <f>IF(F39="","",CONCATENATE(Abitabel3!G33,":",Abitabel3!N33))</f>
        <v>3:0</v>
      </c>
      <c r="L39" s="35">
        <f t="shared" ref="L39:L40" si="7">IF(K39="","",IF(LEFT(K39,1)&lt;RIGHT(K39,1),0,1))</f>
        <v>1</v>
      </c>
      <c r="M39" s="35">
        <f t="shared" ref="M39:M40" si="8">IF(K39="","",IF(LEFT(K39,1)&gt;RIGHT(K39,1),0,1))</f>
        <v>0</v>
      </c>
      <c r="Q39" s="1" t="str">
        <f t="shared" si="2"/>
        <v/>
      </c>
    </row>
    <row r="40" spans="1:18">
      <c r="A40" s="7"/>
      <c r="B40" s="9" t="s">
        <v>13</v>
      </c>
      <c r="C40" s="8" t="str">
        <f>VLOOKUP(B40,I_voor_2p!$B$98:$K$102,2,FALSE)</f>
        <v>Arttu Antero PIHKALA</v>
      </c>
      <c r="D40" s="9" t="s">
        <v>14</v>
      </c>
      <c r="E40" s="8" t="str">
        <f>VLOOKUP(D40,I_voor_2p!$M$98:$W$102,2,FALSE)</f>
        <v>Jan Kenneth TOMING</v>
      </c>
      <c r="F40" s="9" t="str">
        <f>IF(I_voor_2p!E108=0,"",I_voor_2p!E108)</f>
        <v>11:9</v>
      </c>
      <c r="G40" s="9" t="str">
        <f>IF(I_voor_2p!H108=0,"",I_voor_2p!H108)</f>
        <v>11:2</v>
      </c>
      <c r="H40" s="9" t="str">
        <f>IF(I_voor_2p!K108=0,"",I_voor_2p!K108)</f>
        <v>11:6</v>
      </c>
      <c r="I40" s="9" t="str">
        <f>IF(I_voor_2p!N108=0,"",I_voor_2p!N108)</f>
        <v/>
      </c>
      <c r="J40" s="9" t="str">
        <f>IF(I_voor_2p!Q108=0,"",I_voor_2p!Q108)</f>
        <v/>
      </c>
      <c r="K40" s="53" t="str">
        <f>IF(F40="","",CONCATENATE(Abitabel3!G34,":",Abitabel3!N34))</f>
        <v>3:0</v>
      </c>
      <c r="L40" s="35">
        <f t="shared" si="7"/>
        <v>1</v>
      </c>
      <c r="M40" s="35">
        <f t="shared" si="8"/>
        <v>0</v>
      </c>
      <c r="Q40" s="1" t="str">
        <f t="shared" si="2"/>
        <v/>
      </c>
    </row>
    <row r="41" spans="1:18">
      <c r="A41" s="7"/>
      <c r="B41" s="290" t="s">
        <v>15</v>
      </c>
      <c r="C41" s="8" t="str">
        <f>IF(ISBLANK(I_voor_2p!C109), "", INDEX(I_voor_2p!C98:C102, MATCH(MID(I_voor_2p!C109,1,1), I_voor_2p!B98:B102, 0)))</f>
        <v>Mart LUUK</v>
      </c>
      <c r="D41" s="290" t="s">
        <v>15</v>
      </c>
      <c r="E41" s="8" t="str">
        <f>IF(ISBLANK(I_voor_2p!C109), "", INDEX(I_voor_2p!N98:N102, MATCH(MID(I_voor_2p!C109,4,1), I_voor_2p!M98:M102, 0)))</f>
        <v>Arturs RUDNIKOVS</v>
      </c>
      <c r="F41" s="292" t="str">
        <f>IF(I_voor_2p!E109=0,"",I_voor_2p!E109)</f>
        <v>11:9</v>
      </c>
      <c r="G41" s="292" t="str">
        <f>IF(I_voor_2p!H109=0,"",I_voor_2p!H109)</f>
        <v>11:4</v>
      </c>
      <c r="H41" s="292" t="str">
        <f>IF(I_voor_2p!K109=0,"",I_voor_2p!K109)</f>
        <v>11:8</v>
      </c>
      <c r="I41" s="292" t="str">
        <f>IF(I_voor_2p!N109=0,"",I_voor_2p!N109)</f>
        <v/>
      </c>
      <c r="J41" s="292" t="str">
        <f>IF(I_voor_2p!Q109=0,"",I_voor_2p!Q109)</f>
        <v/>
      </c>
      <c r="K41" s="294" t="str">
        <f>IF(F41="","",CONCATENATE(Abitabel3!G35,":",Abitabel3!N35))</f>
        <v>3:0</v>
      </c>
      <c r="L41" s="295">
        <f>IF(K41="","",IF(LEFT(K41,1)&lt;RIGHT(K41,1),0,1))</f>
        <v>1</v>
      </c>
      <c r="M41" s="295">
        <f>IF(K41="","",IF(LEFT(K41,1)&gt;RIGHT(K41,1),0,1))</f>
        <v>0</v>
      </c>
      <c r="Q41" s="1" t="str">
        <f t="shared" si="2"/>
        <v/>
      </c>
    </row>
    <row r="42" spans="1:18">
      <c r="A42" s="7"/>
      <c r="B42" s="291"/>
      <c r="C42" s="8" t="str">
        <f>IF(ISBLANK(I_voor_2p!C109), "", INDEX(I_voor_2p!C98:C102, MATCH(MID(I_voor_2p!C109,2,1), I_voor_2p!B98:B102, 0)))</f>
        <v>Arttu Antero PIHKALA</v>
      </c>
      <c r="D42" s="291"/>
      <c r="E42" s="8" t="str">
        <f>IF(ISBLANK(I_voor_2p!C109), "", INDEX(I_voor_2p!N98:N102, MATCH(MID(I_voor_2p!C109,5,1), I_voor_2p!M98:M102, 0)))</f>
        <v>Jan Kenneth TOMING</v>
      </c>
      <c r="F42" s="293"/>
      <c r="G42" s="293"/>
      <c r="H42" s="293"/>
      <c r="I42" s="293"/>
      <c r="J42" s="293"/>
      <c r="K42" s="294"/>
      <c r="L42" s="295"/>
      <c r="M42" s="295"/>
    </row>
    <row r="43" spans="1:18">
      <c r="A43" s="7"/>
      <c r="B43" s="9" t="s">
        <v>9</v>
      </c>
      <c r="C43" s="8" t="str">
        <f>VLOOKUP(B43,I_voor_2p!$B$98:$K$102,2,FALSE)</f>
        <v>Markkos PUKK</v>
      </c>
      <c r="D43" s="9" t="s">
        <v>12</v>
      </c>
      <c r="E43" s="8" t="str">
        <f>VLOOKUP(D43,I_voor_2p!$M$98:$W$102,2,FALSE)</f>
        <v>Arturs RUDNIKOVS</v>
      </c>
      <c r="F43" s="82" t="str">
        <f>IF(I_voor_2p!E110=0,"",I_voor_2p!E110)</f>
        <v/>
      </c>
      <c r="G43" s="82" t="str">
        <f>IF(I_voor_2p!H110=0,"",I_voor_2p!H110)</f>
        <v/>
      </c>
      <c r="H43" s="82" t="str">
        <f>IF(I_voor_2p!K110=0,"",I_voor_2p!K110)</f>
        <v/>
      </c>
      <c r="I43" s="82" t="str">
        <f>IF(I_voor_2p!N110=0,"",I_voor_2p!N110)</f>
        <v/>
      </c>
      <c r="J43" s="82" t="str">
        <f>IF(I_voor_2p!Q110=0,"",I_voor_2p!Q110)</f>
        <v/>
      </c>
      <c r="K43" s="53" t="str">
        <f>IF(F43="","",CONCATENATE(Abitabel3!G37,":",Abitabel3!N37))</f>
        <v/>
      </c>
      <c r="L43" s="35" t="str">
        <f>IF(K43="","",IF(LEFT(K43,1)&lt;RIGHT(K43,1),0,1))</f>
        <v/>
      </c>
      <c r="M43" s="35" t="str">
        <f>IF(K43="","",IF(LEFT(K43,1)&gt;RIGHT(K43,1),0,1))</f>
        <v/>
      </c>
      <c r="Q43" s="1" t="str">
        <f t="shared" si="2"/>
        <v>ERROR</v>
      </c>
    </row>
    <row r="44" spans="1:18">
      <c r="A44" s="7"/>
      <c r="B44" s="9" t="s">
        <v>13</v>
      </c>
      <c r="C44" s="8" t="str">
        <f>VLOOKUP(B44,I_voor_2p!$B$98:$K$102,2,FALSE)</f>
        <v>Arttu Antero PIHKALA</v>
      </c>
      <c r="D44" s="9" t="s">
        <v>10</v>
      </c>
      <c r="E44" s="8" t="str">
        <f>VLOOKUP(D44,I_voor_2p!$M$98:$W$102,2,FALSE)</f>
        <v>Kevin KUKK</v>
      </c>
      <c r="F44" s="82" t="str">
        <f>IF(I_voor_2p!E111=0,"",I_voor_2p!E111)</f>
        <v/>
      </c>
      <c r="G44" s="82" t="str">
        <f>IF(I_voor_2p!H111=0,"",I_voor_2p!H111)</f>
        <v/>
      </c>
      <c r="H44" s="82" t="str">
        <f>IF(I_voor_2p!K111=0,"",I_voor_2p!K111)</f>
        <v/>
      </c>
      <c r="I44" s="82" t="str">
        <f>IF(I_voor_2p!N111=0,"",I_voor_2p!N111)</f>
        <v/>
      </c>
      <c r="J44" s="82" t="str">
        <f>IF(I_voor_2p!Q111=0,"",I_voor_2p!Q111)</f>
        <v/>
      </c>
      <c r="K44" s="53" t="str">
        <f>IF(F44="","",CONCATENATE(Abitabel3!G38,":",Abitabel3!N38))</f>
        <v/>
      </c>
      <c r="L44" s="35" t="str">
        <f>IF(K44="","",IF(LEFT(K44,1)&lt;RIGHT(K44,1),0,1))</f>
        <v/>
      </c>
      <c r="M44" s="35" t="str">
        <f>IF(L44="","",IF(LEFT(K44,1)&gt;RIGHT(K44,1),0,1))</f>
        <v/>
      </c>
      <c r="Q44" s="1" t="str">
        <f t="shared" si="2"/>
        <v>ERROR</v>
      </c>
    </row>
    <row r="45" spans="1:18">
      <c r="A45" s="7"/>
      <c r="B45" s="9" t="s">
        <v>11</v>
      </c>
      <c r="C45" s="8" t="str">
        <f>VLOOKUP(B45,I_voor_2p!$B$98:$K$102,2,FALSE)</f>
        <v>Mart LUUK</v>
      </c>
      <c r="D45" s="9" t="s">
        <v>14</v>
      </c>
      <c r="E45" s="8" t="str">
        <f>VLOOKUP(D45,I_voor_2p!$M$98:$W$102,2,FALSE)</f>
        <v>Jan Kenneth TOMING</v>
      </c>
      <c r="F45" s="82" t="str">
        <f>IF(I_voor_2p!E112=0,"",I_voor_2p!E112)</f>
        <v/>
      </c>
      <c r="G45" s="82" t="str">
        <f>IF(I_voor_2p!H112=0,"",I_voor_2p!H112)</f>
        <v/>
      </c>
      <c r="H45" s="82" t="str">
        <f>IF(I_voor_2p!K112=0,"",I_voor_2p!K112)</f>
        <v/>
      </c>
      <c r="I45" s="82" t="str">
        <f>IF(I_voor_2p!N112=0,"",I_voor_2p!N112)</f>
        <v/>
      </c>
      <c r="J45" s="82" t="str">
        <f>IF(I_voor_2p!Q112=0,"",I_voor_2p!Q112)</f>
        <v/>
      </c>
      <c r="K45" s="53" t="str">
        <f>IF(F45="","",CONCATENATE(Abitabel3!G39,":",Abitabel3!N39))</f>
        <v/>
      </c>
      <c r="L45" s="35" t="str">
        <f>IF(K45="","",IF(LEFT(K45,1)&lt;RIGHT(K45,1),0,1))</f>
        <v/>
      </c>
      <c r="M45" s="35" t="str">
        <f>IF(L45="","",IF(LEFT(K45,1)&gt;RIGHT(K45,1),0,1))</f>
        <v/>
      </c>
      <c r="Q45" s="1" t="str">
        <f t="shared" si="2"/>
        <v>ERROR</v>
      </c>
    </row>
    <row r="46" spans="1:18">
      <c r="A46" s="7"/>
      <c r="B46" s="10"/>
      <c r="C46" s="33" t="str">
        <f>VLOOKUP(C37,Koosseisud!A:B,2,FALSE )</f>
        <v>Meeskond4</v>
      </c>
      <c r="D46" s="10"/>
      <c r="E46" s="33" t="str">
        <f>VLOOKUP(E37,Koosseisud!A:B,2,FALSE)</f>
        <v>Meeskond6</v>
      </c>
      <c r="F46" s="10"/>
      <c r="G46" s="10"/>
      <c r="H46" s="10"/>
      <c r="I46" s="10"/>
      <c r="J46" s="11"/>
      <c r="K46" s="12"/>
      <c r="L46" s="13"/>
      <c r="M46" s="13"/>
    </row>
    <row r="47" spans="1:18" ht="15">
      <c r="A47" s="2" t="s">
        <v>72</v>
      </c>
      <c r="B47" s="3">
        <f>IF(K48="","",SUM(L48:L55))</f>
        <v>4</v>
      </c>
      <c r="C47" s="4" t="str">
        <f>II_voor_2p!G7</f>
        <v>Tiim FORUS - Maardu LTK</v>
      </c>
      <c r="D47" s="3">
        <f>IF(K48="","",SUM(M48:M55))</f>
        <v>2</v>
      </c>
      <c r="E47" s="4" t="str">
        <f>II_voor_2p!R7</f>
        <v>TalTech Spordiklubi</v>
      </c>
      <c r="F47" s="5" t="s">
        <v>2</v>
      </c>
      <c r="G47" s="5" t="s">
        <v>3</v>
      </c>
      <c r="H47" s="5" t="s">
        <v>4</v>
      </c>
      <c r="I47" s="5" t="s">
        <v>5</v>
      </c>
      <c r="J47" s="5" t="s">
        <v>6</v>
      </c>
      <c r="K47" s="6" t="s">
        <v>7</v>
      </c>
      <c r="L47" s="287" t="s">
        <v>8</v>
      </c>
      <c r="M47" s="287"/>
      <c r="R47" s="1" t="str">
        <f>IF(OR(B47=4,D47=4),"","ERROR")</f>
        <v/>
      </c>
    </row>
    <row r="48" spans="1:18">
      <c r="A48" s="7" t="s">
        <v>468</v>
      </c>
      <c r="B48" s="9" t="s">
        <v>9</v>
      </c>
      <c r="C48" s="8" t="str">
        <f>VLOOKUP(B48,II_voor_2p!$B$8:$K$12,2,FALSE)</f>
        <v>Aleksandr LUŠIN</v>
      </c>
      <c r="D48" s="9" t="s">
        <v>10</v>
      </c>
      <c r="E48" s="8" t="str">
        <f>VLOOKUP(D48,II_voor_2p!$M$8:$W$12,2,FALSE)</f>
        <v>Samuli SOINE</v>
      </c>
      <c r="F48" s="9" t="str">
        <f>IF(II_voor_2p!E16=0,"",II_voor_2p!E16)</f>
        <v>11:8</v>
      </c>
      <c r="G48" s="9" t="str">
        <f>IF(II_voor_2p!H16=0,"",II_voor_2p!H16)</f>
        <v>9:11</v>
      </c>
      <c r="H48" s="9" t="str">
        <f>IF(II_voor_2p!K16=0,"",II_voor_2p!K16)</f>
        <v>11:7</v>
      </c>
      <c r="I48" s="9" t="str">
        <f>IF(II_voor_2p!N16=0,"",II_voor_2p!N16)</f>
        <v>11:5</v>
      </c>
      <c r="J48" s="9" t="str">
        <f>IF(II_voor_2p!Q16=0,"",II_voor_2p!Q16)</f>
        <v/>
      </c>
      <c r="K48" s="53" t="str">
        <f>IF(F48="","",CONCATENATE(Abitabel3!G42,":",Abitabel3!N42))</f>
        <v>3:1</v>
      </c>
      <c r="L48" s="35">
        <f>IF(K48="","",IF(LEFT(K48,1)&lt;RIGHT(K48,1),0,1))</f>
        <v>1</v>
      </c>
      <c r="M48" s="35">
        <f>IF(K48="","",IF(LEFT(K48,1)&gt;RIGHT(K48,1),0,1))</f>
        <v>0</v>
      </c>
      <c r="Q48" s="1" t="str">
        <f t="shared" si="2"/>
        <v/>
      </c>
    </row>
    <row r="49" spans="1:18">
      <c r="A49" s="7" t="s">
        <v>59</v>
      </c>
      <c r="B49" s="9" t="s">
        <v>11</v>
      </c>
      <c r="C49" s="8" t="str">
        <f>VLOOKUP(B49,II_voor_2p!$B$8:$K$12,2,FALSE)</f>
        <v>Aleksandr SMIRNOV</v>
      </c>
      <c r="D49" s="9" t="s">
        <v>12</v>
      </c>
      <c r="E49" s="8" t="str">
        <f>VLOOKUP(D49,II_voor_2p!$M$8:$W$12,2,FALSE)</f>
        <v>Madis MOOS</v>
      </c>
      <c r="F49" s="9" t="str">
        <f>IF(II_voor_2p!E17=0,"",II_voor_2p!E17)</f>
        <v>9:11</v>
      </c>
      <c r="G49" s="9" t="str">
        <f>IF(II_voor_2p!H17=0,"",II_voor_2p!H17)</f>
        <v>7:11</v>
      </c>
      <c r="H49" s="9" t="str">
        <f>IF(II_voor_2p!K17=0,"",II_voor_2p!K17)</f>
        <v>10:12</v>
      </c>
      <c r="I49" s="9" t="str">
        <f>IF(II_voor_2p!N17=0,"",II_voor_2p!N17)</f>
        <v/>
      </c>
      <c r="J49" s="9" t="str">
        <f>IF(II_voor_2p!Q17=0,"",II_voor_2p!Q17)</f>
        <v/>
      </c>
      <c r="K49" s="53" t="str">
        <f>IF(F49="","",CONCATENATE(Abitabel3!G43,":",Abitabel3!N43))</f>
        <v>0:3</v>
      </c>
      <c r="L49" s="35">
        <f t="shared" ref="L49:L50" si="9">IF(K49="","",IF(LEFT(K49,1)&lt;RIGHT(K49,1),0,1))</f>
        <v>0</v>
      </c>
      <c r="M49" s="35">
        <f t="shared" ref="M49:M50" si="10">IF(K49="","",IF(LEFT(K49,1)&gt;RIGHT(K49,1),0,1))</f>
        <v>1</v>
      </c>
      <c r="Q49" s="1" t="str">
        <f t="shared" si="2"/>
        <v/>
      </c>
    </row>
    <row r="50" spans="1:18">
      <c r="A50" s="7"/>
      <c r="B50" s="9" t="s">
        <v>13</v>
      </c>
      <c r="C50" s="8" t="str">
        <f>VLOOKUP(B50,II_voor_2p!$B$8:$K$12,2,FALSE)</f>
        <v>Antoni WITKOWSKI</v>
      </c>
      <c r="D50" s="9" t="s">
        <v>14</v>
      </c>
      <c r="E50" s="8" t="str">
        <f>VLOOKUP(D50,II_voor_2p!$M$8:$W$12,2,FALSE)</f>
        <v>Stanislav STROGOV</v>
      </c>
      <c r="F50" s="9" t="str">
        <f>IF(II_voor_2p!E18=0,"",II_voor_2p!E18)</f>
        <v>11:4</v>
      </c>
      <c r="G50" s="9" t="str">
        <f>IF(II_voor_2p!H18=0,"",II_voor_2p!H18)</f>
        <v>11:5</v>
      </c>
      <c r="H50" s="9" t="str">
        <f>IF(II_voor_2p!K18=0,"",II_voor_2p!K18)</f>
        <v>11:4</v>
      </c>
      <c r="I50" s="9" t="str">
        <f>IF(II_voor_2p!N18=0,"",II_voor_2p!N18)</f>
        <v/>
      </c>
      <c r="J50" s="9" t="str">
        <f>IF(II_voor_2p!Q18=0,"",II_voor_2p!Q18)</f>
        <v/>
      </c>
      <c r="K50" s="53" t="str">
        <f>IF(F50="","",CONCATENATE(Abitabel3!G44,":",Abitabel3!N44))</f>
        <v>3:0</v>
      </c>
      <c r="L50" s="35">
        <f t="shared" si="9"/>
        <v>1</v>
      </c>
      <c r="M50" s="35">
        <f t="shared" si="10"/>
        <v>0</v>
      </c>
      <c r="Q50" s="1" t="str">
        <f t="shared" si="2"/>
        <v/>
      </c>
    </row>
    <row r="51" spans="1:18">
      <c r="A51" s="7"/>
      <c r="B51" s="290" t="s">
        <v>15</v>
      </c>
      <c r="C51" s="8" t="str">
        <f>IF(ISBLANK(II_voor_2p!C19), "", INDEX(II_voor_2p!C8:C12, MATCH(MID(II_voor_2p!C19,1,1), II_voor_2p!B8:B12, 0)))</f>
        <v>Aleksandr SMIRNOV</v>
      </c>
      <c r="D51" s="290" t="s">
        <v>15</v>
      </c>
      <c r="E51" s="1" t="str">
        <f>IF(ISBLANK(II_voor_2p!C19), "", INDEX(II_voor_2p!N8:N12, MATCH(MID(II_voor_2p!C19,4,1), II_voor_2p!M8:M12, 0)))</f>
        <v>Madis MOOS</v>
      </c>
      <c r="F51" s="292" t="str">
        <f>IF(II_voor_2p!E19=0,"",II_voor_2p!E19)</f>
        <v>11:5</v>
      </c>
      <c r="G51" s="292" t="str">
        <f>IF(II_voor_2p!H19=0,"",II_voor_2p!H19)</f>
        <v>11:7</v>
      </c>
      <c r="H51" s="292" t="str">
        <f>IF(II_voor_2p!K19=0,"",II_voor_2p!K19)</f>
        <v>11:8</v>
      </c>
      <c r="I51" s="292" t="str">
        <f>IF(II_voor_2p!N19=0,"",II_voor_2p!N19)</f>
        <v/>
      </c>
      <c r="J51" s="292" t="str">
        <f>IF(II_voor_2p!Q19=0,"",II_voor_2p!Q19)</f>
        <v/>
      </c>
      <c r="K51" s="294" t="str">
        <f>IF(F51="","",CONCATENATE(Abitabel3!G45,":",Abitabel3!N45))</f>
        <v>3:0</v>
      </c>
      <c r="L51" s="295">
        <f>IF(K51="","",IF(LEFT(K51,1)&lt;RIGHT(K51,1),0,1))</f>
        <v>1</v>
      </c>
      <c r="M51" s="295">
        <f>IF(K51="","",IF(LEFT(K51,1)&gt;RIGHT(K51,1),0,1))</f>
        <v>0</v>
      </c>
      <c r="Q51" s="1" t="str">
        <f t="shared" si="2"/>
        <v/>
      </c>
    </row>
    <row r="52" spans="1:18">
      <c r="A52" s="7"/>
      <c r="B52" s="291"/>
      <c r="C52" s="8" t="str">
        <f>IF(ISBLANK(II_voor_2p!C19), "", INDEX(II_voor_2p!C8:C12, MATCH(MID(II_voor_2p!C19,2,1), II_voor_2p!B8:B12, 0)))</f>
        <v>Antoni WITKOWSKI</v>
      </c>
      <c r="D52" s="291"/>
      <c r="E52" s="1" t="str">
        <f>IF(ISBLANK(II_voor_2p!C19), "", INDEX(II_voor_2p!N8:N12, MATCH(MID(II_voor_2p!C19,5,1), II_voor_2p!M8:M12, 0)))</f>
        <v>Stanislav STROGOV</v>
      </c>
      <c r="F52" s="293"/>
      <c r="G52" s="293"/>
      <c r="H52" s="293"/>
      <c r="I52" s="293"/>
      <c r="J52" s="293"/>
      <c r="K52" s="294"/>
      <c r="L52" s="295"/>
      <c r="M52" s="295"/>
    </row>
    <row r="53" spans="1:18">
      <c r="A53" s="7"/>
      <c r="B53" s="9" t="s">
        <v>9</v>
      </c>
      <c r="C53" s="8" t="str">
        <f>VLOOKUP(B53,II_voor_2p!$B$8:$K$12,2,FALSE)</f>
        <v>Aleksandr LUŠIN</v>
      </c>
      <c r="D53" s="9" t="s">
        <v>12</v>
      </c>
      <c r="E53" s="8" t="str">
        <f>VLOOKUP(D53,II_voor_2p!$M$8:$W$12,2,FALSE)</f>
        <v>Madis MOOS</v>
      </c>
      <c r="F53" s="9" t="str">
        <f>IF(II_voor_2p!E20=0,"",II_voor_2p!E20)</f>
        <v>4:11</v>
      </c>
      <c r="G53" s="9" t="str">
        <f>IF(II_voor_2p!H20=0,"",II_voor_2p!H20)</f>
        <v>8:11</v>
      </c>
      <c r="H53" s="9" t="str">
        <f>IF(II_voor_2p!K20=0,"",II_voor_2p!K20)</f>
        <v>6:11</v>
      </c>
      <c r="I53" s="9" t="str">
        <f>IF(II_voor_2p!N20=0,"",II_voor_2p!N20)</f>
        <v/>
      </c>
      <c r="J53" s="9" t="str">
        <f>IF(II_voor_2p!Q20=0,"",II_voor_2p!Q20)</f>
        <v/>
      </c>
      <c r="K53" s="53" t="str">
        <f>IF(F53="","",CONCATENATE(Abitabel3!G47,":",Abitabel3!N47))</f>
        <v>0:3</v>
      </c>
      <c r="L53" s="35">
        <f>IF(K53="","",IF(LEFT(K53,1)&lt;RIGHT(K53,1),0,1))</f>
        <v>0</v>
      </c>
      <c r="M53" s="35">
        <f>IF(K53="","",IF(LEFT(K53,1)&gt;RIGHT(K53,1),0,1))</f>
        <v>1</v>
      </c>
      <c r="Q53" s="1" t="str">
        <f t="shared" si="2"/>
        <v/>
      </c>
    </row>
    <row r="54" spans="1:18">
      <c r="A54" s="7"/>
      <c r="B54" s="9" t="s">
        <v>13</v>
      </c>
      <c r="C54" s="8" t="str">
        <f>VLOOKUP(B54,II_voor_2p!$B$8:$K$12,2,FALSE)</f>
        <v>Antoni WITKOWSKI</v>
      </c>
      <c r="D54" s="9" t="s">
        <v>10</v>
      </c>
      <c r="E54" s="8" t="str">
        <f>VLOOKUP(D54,II_voor_2p!$M$8:$W$12,2,FALSE)</f>
        <v>Samuli SOINE</v>
      </c>
      <c r="F54" s="9" t="str">
        <f>IF(II_voor_2p!E21=0,"",II_voor_2p!E21)</f>
        <v>11:5</v>
      </c>
      <c r="G54" s="9" t="str">
        <f>IF(II_voor_2p!H21=0,"",II_voor_2p!H21)</f>
        <v>11:4</v>
      </c>
      <c r="H54" s="9" t="str">
        <f>IF(II_voor_2p!K21=0,"",II_voor_2p!K21)</f>
        <v>12:10</v>
      </c>
      <c r="I54" s="9" t="str">
        <f>IF(II_voor_2p!N21=0,"",II_voor_2p!N21)</f>
        <v/>
      </c>
      <c r="J54" s="9" t="str">
        <f>IF(II_voor_2p!Q21=0,"",II_voor_2p!Q21)</f>
        <v/>
      </c>
      <c r="K54" s="53" t="str">
        <f>IF(F54="","",CONCATENATE(Abitabel3!G48,":",Abitabel3!N48))</f>
        <v>3:0</v>
      </c>
      <c r="L54" s="35">
        <f>IF(K54="","",IF(LEFT(K54,1)&lt;RIGHT(K54,1),0,1))</f>
        <v>1</v>
      </c>
      <c r="M54" s="35">
        <f>IF(L54="","",IF(LEFT(K54,1)&gt;RIGHT(K54,1),0,1))</f>
        <v>0</v>
      </c>
      <c r="Q54" s="1" t="str">
        <f t="shared" si="2"/>
        <v/>
      </c>
    </row>
    <row r="55" spans="1:18">
      <c r="A55" s="7"/>
      <c r="B55" s="9" t="s">
        <v>11</v>
      </c>
      <c r="C55" s="8" t="str">
        <f>VLOOKUP(B55,II_voor_2p!$B$8:$K$12,2,FALSE)</f>
        <v>Aleksandr SMIRNOV</v>
      </c>
      <c r="D55" s="9" t="s">
        <v>14</v>
      </c>
      <c r="E55" s="8" t="str">
        <f>VLOOKUP(D55,II_voor_2p!$M$8:$W$12,2,FALSE)</f>
        <v>Stanislav STROGOV</v>
      </c>
      <c r="F55" s="9" t="str">
        <f>IF(II_voor_2p!E22=0,"",II_voor_2p!E22)</f>
        <v/>
      </c>
      <c r="G55" s="9" t="str">
        <f>IF(II_voor_2p!H22=0,"",II_voor_2p!H22)</f>
        <v/>
      </c>
      <c r="H55" s="9" t="str">
        <f>IF(II_voor_2p!K22=0,"",II_voor_2p!K22)</f>
        <v/>
      </c>
      <c r="I55" s="9" t="str">
        <f>IF(II_voor_2p!N22=0,"",II_voor_2p!N22)</f>
        <v/>
      </c>
      <c r="J55" s="9" t="str">
        <f>IF(II_voor_2p!Q22=0,"",II_voor_2p!Q22)</f>
        <v/>
      </c>
      <c r="K55" s="53" t="str">
        <f>IF(F55="","",CONCATENATE(Abitabel3!G49,":",Abitabel3!N49))</f>
        <v/>
      </c>
      <c r="L55" s="35" t="str">
        <f>IF(K55="","",IF(LEFT(K55,1)&lt;RIGHT(K55,1),0,1))</f>
        <v/>
      </c>
      <c r="M55" s="35" t="str">
        <f>IF(L55="","",IF(LEFT(K55,1)&gt;RIGHT(K55,1),0,1))</f>
        <v/>
      </c>
      <c r="Q55" s="1" t="str">
        <f t="shared" si="2"/>
        <v>ERROR</v>
      </c>
    </row>
    <row r="56" spans="1:18">
      <c r="A56" s="7"/>
      <c r="B56" s="10"/>
      <c r="C56" s="33" t="str">
        <f>VLOOKUP(C47,Koosseisud!A:B,2,FALSE )</f>
        <v>Meeskond1</v>
      </c>
      <c r="D56" s="10"/>
      <c r="E56" s="33" t="str">
        <f>VLOOKUP(E47,Koosseisud!A:B,2,FALSE)</f>
        <v>Meeskond3</v>
      </c>
      <c r="F56" s="10"/>
      <c r="G56" s="10"/>
      <c r="H56" s="10"/>
      <c r="I56" s="10"/>
      <c r="J56" s="11"/>
      <c r="K56" s="12"/>
      <c r="L56" s="13"/>
      <c r="M56" s="13"/>
    </row>
    <row r="57" spans="1:18" ht="15">
      <c r="A57" s="2" t="s">
        <v>73</v>
      </c>
      <c r="B57" s="3">
        <f>IF(K58="","",SUM(L58:L65))</f>
        <v>4</v>
      </c>
      <c r="C57" s="83" t="str">
        <f>II_voor_2p!G37</f>
        <v>Viimsi PINX</v>
      </c>
      <c r="D57" s="3">
        <f>IF(K58="","",SUM(M58:M65))</f>
        <v>1</v>
      </c>
      <c r="E57" s="83" t="str">
        <f>II_voor_2p!R37</f>
        <v>Tartu SS Kalev</v>
      </c>
      <c r="F57" s="5" t="s">
        <v>2</v>
      </c>
      <c r="G57" s="5" t="s">
        <v>3</v>
      </c>
      <c r="H57" s="5" t="s">
        <v>4</v>
      </c>
      <c r="I57" s="5" t="s">
        <v>5</v>
      </c>
      <c r="J57" s="5" t="s">
        <v>6</v>
      </c>
      <c r="K57" s="6" t="s">
        <v>7</v>
      </c>
      <c r="L57" s="287" t="s">
        <v>8</v>
      </c>
      <c r="M57" s="287"/>
      <c r="R57" s="1" t="str">
        <f>IF(OR(B57=4,D57=4),"","ERROR")</f>
        <v/>
      </c>
    </row>
    <row r="58" spans="1:18">
      <c r="A58" s="7" t="s">
        <v>468</v>
      </c>
      <c r="B58" s="9" t="s">
        <v>9</v>
      </c>
      <c r="C58" s="8" t="str">
        <f>VLOOKUP(B58,II_voor_2p!$B$38:$K$42,2,FALSE)</f>
        <v>Daniel KOSIBA</v>
      </c>
      <c r="D58" s="9" t="s">
        <v>10</v>
      </c>
      <c r="E58" s="8" t="str">
        <f>VLOOKUP(D58,II_voor_2p!$M$38:$W$42,2,FALSE)</f>
        <v>Osqar PUKK</v>
      </c>
      <c r="F58" s="86" t="str">
        <f>IF(II_voor_2p!E46=0,"",II_voor_2p!E46)</f>
        <v>11:13</v>
      </c>
      <c r="G58" s="86" t="str">
        <f>IF(II_voor_2p!H46=0,"",II_voor_2p!H46)</f>
        <v>11:3</v>
      </c>
      <c r="H58" s="86" t="str">
        <f>IF(II_voor_2p!K46=0,"",II_voor_2p!K46)</f>
        <v>11:1</v>
      </c>
      <c r="I58" s="86" t="str">
        <f>IF(II_voor_2p!N46=0,"",II_voor_2p!N46)</f>
        <v>11:3</v>
      </c>
      <c r="J58" s="86" t="str">
        <f>IF(II_voor_2p!Q46=0,"",II_voor_2p!Q46)</f>
        <v/>
      </c>
      <c r="K58" s="53" t="str">
        <f>IF(F58="","",CONCATENATE(Abitabel3!G52,":",Abitabel3!N52))</f>
        <v>3:1</v>
      </c>
      <c r="L58" s="35">
        <f>IF(K58="","",IF(LEFT(K58,1)&lt;RIGHT(K58,1),0,1))</f>
        <v>1</v>
      </c>
      <c r="M58" s="35">
        <f>IF(K58="","",IF(LEFT(K58,1)&gt;RIGHT(K58,1),0,1))</f>
        <v>0</v>
      </c>
      <c r="Q58" s="1" t="str">
        <f t="shared" si="2"/>
        <v/>
      </c>
    </row>
    <row r="59" spans="1:18">
      <c r="A59" s="7" t="s">
        <v>59</v>
      </c>
      <c r="B59" s="9" t="s">
        <v>11</v>
      </c>
      <c r="C59" s="8" t="str">
        <f>VLOOKUP(B59,II_voor_2p!$B$38:$K$42,2,FALSE)</f>
        <v>Sergei PETROV</v>
      </c>
      <c r="D59" s="9" t="s">
        <v>12</v>
      </c>
      <c r="E59" s="8" t="str">
        <f>VLOOKUP(D59,II_voor_2p!$M$38:$W$42,2,FALSE)</f>
        <v>Markkos PUKK</v>
      </c>
      <c r="F59" s="86" t="str">
        <f>IF(II_voor_2p!E47=0,"",II_voor_2p!E47)</f>
        <v>6:11</v>
      </c>
      <c r="G59" s="86" t="str">
        <f>IF(II_voor_2p!H47=0,"",II_voor_2p!H47)</f>
        <v>8:11</v>
      </c>
      <c r="H59" s="86" t="str">
        <f>IF(II_voor_2p!K47=0,"",II_voor_2p!K47)</f>
        <v>8:11</v>
      </c>
      <c r="I59" s="86" t="str">
        <f>IF(II_voor_2p!N47=0,"",II_voor_2p!N47)</f>
        <v/>
      </c>
      <c r="J59" s="86" t="str">
        <f>IF(II_voor_2p!Q47=0,"",II_voor_2p!Q47)</f>
        <v/>
      </c>
      <c r="K59" s="53" t="str">
        <f>IF(F59="","",CONCATENATE(Abitabel3!G53,":",Abitabel3!N53))</f>
        <v>0:3</v>
      </c>
      <c r="L59" s="35">
        <f t="shared" ref="L59:L60" si="11">IF(K59="","",IF(LEFT(K59,1)&lt;RIGHT(K59,1),0,1))</f>
        <v>0</v>
      </c>
      <c r="M59" s="35">
        <f t="shared" ref="M59:M60" si="12">IF(K59="","",IF(LEFT(K59,1)&gt;RIGHT(K59,1),0,1))</f>
        <v>1</v>
      </c>
      <c r="Q59" s="1" t="str">
        <f t="shared" si="2"/>
        <v/>
      </c>
    </row>
    <row r="60" spans="1:18">
      <c r="A60" s="7"/>
      <c r="B60" s="9" t="s">
        <v>13</v>
      </c>
      <c r="C60" s="8" t="str">
        <f>VLOOKUP(B60,II_voor_2p!$B$38:$K$42,2,FALSE)</f>
        <v>Toomas LIBENE</v>
      </c>
      <c r="D60" s="9" t="s">
        <v>14</v>
      </c>
      <c r="E60" s="8" t="str">
        <f>VLOOKUP(D60,II_voor_2p!$M$38:$W$42,2,FALSE)</f>
        <v>Arttu Antero PIHKALA</v>
      </c>
      <c r="F60" s="86" t="str">
        <f>IF(II_voor_2p!E48=0,"",II_voor_2p!E48)</f>
        <v>11:6</v>
      </c>
      <c r="G60" s="86" t="str">
        <f>IF(II_voor_2p!H48=0,"",II_voor_2p!H48)</f>
        <v>11:5</v>
      </c>
      <c r="H60" s="86" t="str">
        <f>IF(II_voor_2p!K48=0,"",II_voor_2p!K48)</f>
        <v>11:7</v>
      </c>
      <c r="I60" s="86" t="str">
        <f>IF(II_voor_2p!N48=0,"",II_voor_2p!N48)</f>
        <v/>
      </c>
      <c r="J60" s="86" t="str">
        <f>IF(II_voor_2p!Q48=0,"",II_voor_2p!Q48)</f>
        <v/>
      </c>
      <c r="K60" s="53" t="str">
        <f>IF(F60="","",CONCATENATE(Abitabel3!G54,":",Abitabel3!N54))</f>
        <v>3:0</v>
      </c>
      <c r="L60" s="35">
        <f t="shared" si="11"/>
        <v>1</v>
      </c>
      <c r="M60" s="35">
        <f t="shared" si="12"/>
        <v>0</v>
      </c>
      <c r="Q60" s="1" t="str">
        <f t="shared" si="2"/>
        <v/>
      </c>
    </row>
    <row r="61" spans="1:18">
      <c r="A61" s="7"/>
      <c r="B61" s="290" t="s">
        <v>15</v>
      </c>
      <c r="C61" s="1" t="str">
        <f>IF(ISBLANK(II_voor_2p!C49), "", INDEX(II_voor_2p!C38:C42, MATCH(MID(II_voor_2p!C49,1,1), II_voor_2p!B38:B42, 0)))</f>
        <v>Daniel KOSIBA</v>
      </c>
      <c r="D61" s="290" t="s">
        <v>15</v>
      </c>
      <c r="E61" s="1" t="str">
        <f>IF(ISBLANK(II_voor_2p!C49), "", INDEX(II_voor_2p!N38:N42, MATCH(MID(II_voor_2p!C49,4,1), II_voor_2p!M38:M42, 0)))</f>
        <v>Markkos PUKK</v>
      </c>
      <c r="F61" s="304" t="str">
        <f>IF(II_voor_2p!E49=0,"",II_voor_2p!E49)</f>
        <v>11:7</v>
      </c>
      <c r="G61" s="304" t="str">
        <f>IF(II_voor_2p!H49=0,"",II_voor_2p!H49)</f>
        <v>11:9</v>
      </c>
      <c r="H61" s="304" t="str">
        <f>IF(II_voor_2p!K49=0,"",II_voor_2p!K49)</f>
        <v>11:5</v>
      </c>
      <c r="I61" s="304" t="str">
        <f>IF(II_voor_2p!N49=0,"",II_voor_2p!N49)</f>
        <v/>
      </c>
      <c r="J61" s="304" t="str">
        <f>IF(II_voor_2p!Q49=0,"",II_voor_2p!Q49)</f>
        <v/>
      </c>
      <c r="K61" s="294" t="str">
        <f>IF(F61="","",CONCATENATE(Abitabel3!G55,":",Abitabel3!N55))</f>
        <v>3:0</v>
      </c>
      <c r="L61" s="295">
        <f>IF(K61="","",IF(LEFT(K61,1)&lt;RIGHT(K61,1),0,1))</f>
        <v>1</v>
      </c>
      <c r="M61" s="295">
        <f>IF(K61="","",IF(LEFT(K61,1)&gt;RIGHT(K61,1),0,1))</f>
        <v>0</v>
      </c>
      <c r="Q61" s="1" t="str">
        <f t="shared" si="2"/>
        <v/>
      </c>
    </row>
    <row r="62" spans="1:18">
      <c r="A62" s="7"/>
      <c r="B62" s="291"/>
      <c r="C62" s="1" t="str">
        <f>IF(ISBLANK(II_voor_2p!C49), "", INDEX(II_voor_2p!C38:C42, MATCH(MID(II_voor_2p!C49,2,1), II_voor_2p!B38:B42, 0)))</f>
        <v>Toomas LIBENE</v>
      </c>
      <c r="D62" s="291"/>
      <c r="E62" s="1" t="str">
        <f>IF(ISBLANK(II_voor_2p!C49), "", INDEX(II_voor_2p!N38:N42, MATCH(MID(II_voor_2p!C49,5,1), II_voor_2p!M38:M42, 0)))</f>
        <v>Osqar PUKK</v>
      </c>
      <c r="F62" s="304"/>
      <c r="G62" s="304"/>
      <c r="H62" s="304"/>
      <c r="I62" s="304"/>
      <c r="J62" s="304"/>
      <c r="K62" s="294"/>
      <c r="L62" s="295"/>
      <c r="M62" s="295"/>
    </row>
    <row r="63" spans="1:18">
      <c r="A63" s="7"/>
      <c r="B63" s="9" t="s">
        <v>9</v>
      </c>
      <c r="C63" s="8" t="str">
        <f>VLOOKUP(B63,II_voor_2p!$B$38:$K$42,2,FALSE)</f>
        <v>Daniel KOSIBA</v>
      </c>
      <c r="D63" s="9" t="s">
        <v>12</v>
      </c>
      <c r="E63" s="8" t="str">
        <f>VLOOKUP(D63,II_voor_2p!$M$38:$W$42,2,FALSE)</f>
        <v>Markkos PUKK</v>
      </c>
      <c r="F63" s="86" t="str">
        <f>IF(II_voor_2p!E50=0,"",II_voor_2p!E50)</f>
        <v>11:5</v>
      </c>
      <c r="G63" s="86" t="str">
        <f>IF(II_voor_2p!H50=0,"",II_voor_2p!H50)</f>
        <v>15:13</v>
      </c>
      <c r="H63" s="86" t="str">
        <f>IF(II_voor_2p!K50=0,"",II_voor_2p!K50)</f>
        <v>11:4</v>
      </c>
      <c r="I63" s="86" t="str">
        <f>IF(II_voor_2p!N50=0,"",II_voor_2p!N50)</f>
        <v/>
      </c>
      <c r="J63" s="86" t="str">
        <f>IF(II_voor_2p!Q50=0,"",II_voor_2p!Q50)</f>
        <v/>
      </c>
      <c r="K63" s="53" t="str">
        <f>IF(F63="","",CONCATENATE(Abitabel3!G57,":",Abitabel3!N57))</f>
        <v>3:0</v>
      </c>
      <c r="L63" s="35">
        <f>IF(K63="","",IF(LEFT(K63,1)&lt;RIGHT(K63,1),0,1))</f>
        <v>1</v>
      </c>
      <c r="M63" s="35">
        <f>IF(K63="","",IF(LEFT(K63,1)&gt;RIGHT(K63,1),0,1))</f>
        <v>0</v>
      </c>
      <c r="Q63" s="1" t="str">
        <f t="shared" si="2"/>
        <v/>
      </c>
    </row>
    <row r="64" spans="1:18">
      <c r="A64" s="7"/>
      <c r="B64" s="9" t="s">
        <v>13</v>
      </c>
      <c r="C64" s="8" t="str">
        <f>VLOOKUP(B64,II_voor_2p!$B$38:$K$42,2,FALSE)</f>
        <v>Toomas LIBENE</v>
      </c>
      <c r="D64" s="9" t="s">
        <v>10</v>
      </c>
      <c r="E64" s="8" t="str">
        <f>VLOOKUP(D64,II_voor_2p!$M$38:$W$42,2,FALSE)</f>
        <v>Osqar PUKK</v>
      </c>
      <c r="F64" s="86" t="str">
        <f>IF(II_voor_2p!E51=0,"",II_voor_2p!E51)</f>
        <v/>
      </c>
      <c r="G64" s="86" t="str">
        <f>IF(II_voor_2p!H51=0,"",II_voor_2p!H51)</f>
        <v/>
      </c>
      <c r="H64" s="86" t="str">
        <f>IF(II_voor_2p!K51=0,"",II_voor_2p!K51)</f>
        <v/>
      </c>
      <c r="I64" s="86" t="str">
        <f>IF(II_voor_2p!N51=0,"",II_voor_2p!N51)</f>
        <v/>
      </c>
      <c r="J64" s="86" t="str">
        <f>IF(II_voor_2p!Q51=0,"",II_voor_2p!Q51)</f>
        <v/>
      </c>
      <c r="K64" s="53" t="str">
        <f>IF(F64="","",CONCATENATE(Abitabel3!G58,":",Abitabel3!N58))</f>
        <v/>
      </c>
      <c r="L64" s="35" t="str">
        <f>IF(K64="","",IF(LEFT(K64,1)&lt;RIGHT(K64,1),0,1))</f>
        <v/>
      </c>
      <c r="M64" s="35" t="str">
        <f>IF(L64="","",IF(LEFT(K64,1)&gt;RIGHT(K64,1),0,1))</f>
        <v/>
      </c>
      <c r="Q64" s="1" t="str">
        <f t="shared" si="2"/>
        <v>ERROR</v>
      </c>
    </row>
    <row r="65" spans="1:18">
      <c r="A65" s="7"/>
      <c r="B65" s="9" t="s">
        <v>11</v>
      </c>
      <c r="C65" s="8" t="str">
        <f>VLOOKUP(B65,II_voor_2p!$B$38:$K$42,2,FALSE)</f>
        <v>Sergei PETROV</v>
      </c>
      <c r="D65" s="9" t="s">
        <v>14</v>
      </c>
      <c r="E65" s="8" t="str">
        <f>VLOOKUP(D65,II_voor_2p!$M$38:$W$42,2,FALSE)</f>
        <v>Arttu Antero PIHKALA</v>
      </c>
      <c r="F65" s="86" t="str">
        <f>IF(II_voor_2p!E52=0,"",II_voor_2p!E52)</f>
        <v/>
      </c>
      <c r="G65" s="86" t="str">
        <f>IF(II_voor_2p!H52=0,"",II_voor_2p!H52)</f>
        <v/>
      </c>
      <c r="H65" s="86" t="str">
        <f>IF(II_voor_2p!K52=0,"",II_voor_2p!K52)</f>
        <v/>
      </c>
      <c r="I65" s="86" t="str">
        <f>IF(II_voor_2p!N52=0,"",II_voor_2p!N52)</f>
        <v/>
      </c>
      <c r="J65" s="86" t="str">
        <f>IF(II_voor_2p!Q52=0,"",II_voor_2p!Q52)</f>
        <v/>
      </c>
      <c r="K65" s="53" t="str">
        <f>IF(F65="","",CONCATENATE(Abitabel3!G59,":",Abitabel3!N59))</f>
        <v/>
      </c>
      <c r="L65" s="35" t="str">
        <f>IF(K65="","",IF(LEFT(K65,1)&lt;RIGHT(K65,1),0,1))</f>
        <v/>
      </c>
      <c r="M65" s="35" t="str">
        <f>IF(L65="","",IF(LEFT(K65,1)&gt;RIGHT(K65,1),0,1))</f>
        <v/>
      </c>
      <c r="Q65" s="1" t="str">
        <f t="shared" si="2"/>
        <v>ERROR</v>
      </c>
    </row>
    <row r="66" spans="1:18">
      <c r="A66" s="7"/>
      <c r="B66" s="10"/>
      <c r="C66" s="33" t="str">
        <f>VLOOKUP(C57,Koosseisud!A:B,2,FALSE )</f>
        <v>Meeskond2</v>
      </c>
      <c r="D66" s="10"/>
      <c r="E66" s="33" t="str">
        <f>VLOOKUP(E57,Koosseisud!A:B,2,FALSE)</f>
        <v>Meeskond4</v>
      </c>
      <c r="F66" s="10"/>
      <c r="G66" s="10"/>
      <c r="H66" s="10"/>
      <c r="I66" s="10"/>
      <c r="J66" s="11"/>
      <c r="K66" s="12"/>
      <c r="L66" s="13"/>
      <c r="M66" s="13"/>
    </row>
    <row r="67" spans="1:18" ht="15">
      <c r="A67" s="2" t="s">
        <v>74</v>
      </c>
      <c r="B67" s="3">
        <f>IF(K68="","",SUM(L68:L75))</f>
        <v>4</v>
      </c>
      <c r="C67" s="83" t="str">
        <f>II_voor_2p!G67</f>
        <v>Viljandi LTK Sakala</v>
      </c>
      <c r="D67" s="3">
        <f>IF(K68="","",SUM(M68:M75))</f>
        <v>0</v>
      </c>
      <c r="E67" s="83" t="str">
        <f>II_voor_2p!R67</f>
        <v>LTK Kalev/Radiaatorikeskus</v>
      </c>
      <c r="F67" s="5" t="s">
        <v>2</v>
      </c>
      <c r="G67" s="5" t="s">
        <v>3</v>
      </c>
      <c r="H67" s="5" t="s">
        <v>4</v>
      </c>
      <c r="I67" s="5" t="s">
        <v>5</v>
      </c>
      <c r="J67" s="5" t="s">
        <v>6</v>
      </c>
      <c r="K67" s="6" t="s">
        <v>7</v>
      </c>
      <c r="L67" s="287" t="s">
        <v>8</v>
      </c>
      <c r="M67" s="287"/>
      <c r="R67" s="1" t="str">
        <f>IF(OR(B67=4,D67=4),"","ERROR")</f>
        <v/>
      </c>
    </row>
    <row r="68" spans="1:18">
      <c r="A68" s="7" t="s">
        <v>468</v>
      </c>
      <c r="B68" s="9" t="s">
        <v>9</v>
      </c>
      <c r="C68" s="8" t="str">
        <f>VLOOKUP(B68,II_voor_2p!$B$68:$K$72,2,FALSE)</f>
        <v>Valdas  MARTINKUS</v>
      </c>
      <c r="D68" s="9" t="s">
        <v>10</v>
      </c>
      <c r="E68" s="8" t="str">
        <f>VLOOKUP(D68,II_voor_2p!$M$68:$W$72,2,FALSE)</f>
        <v xml:space="preserve">Martin KRAIKO </v>
      </c>
      <c r="F68" s="85" t="str">
        <f>IF(II_voor_2p!E76=0,"",II_voor_2p!E76)</f>
        <v>12:10</v>
      </c>
      <c r="G68" s="85" t="str">
        <f>IF(II_voor_2p!H76=0,"",II_voor_2p!H76)</f>
        <v>9:11</v>
      </c>
      <c r="H68" s="85" t="str">
        <f>IF(II_voor_2p!K76=0,"",II_voor_2p!K76)</f>
        <v>11:6</v>
      </c>
      <c r="I68" s="85" t="str">
        <f>IF(II_voor_2p!N76=0,"",II_voor_2p!N76)</f>
        <v>12:10</v>
      </c>
      <c r="J68" s="85" t="str">
        <f>IF(II_voor_2p!Q76=0,"",II_voor_2p!Q76)</f>
        <v/>
      </c>
      <c r="K68" s="53" t="str">
        <f>IF(F68="","",CONCATENATE(Abitabel3!G62,":",Abitabel3!N62))</f>
        <v>3:1</v>
      </c>
      <c r="L68" s="35">
        <f>IF(K68="","",IF(LEFT(K68,1)&lt;RIGHT(K68,1),0,1))</f>
        <v>1</v>
      </c>
      <c r="M68" s="35">
        <f>IF(K68="","",IF(LEFT(K68,1)&gt;RIGHT(K68,1),0,1))</f>
        <v>0</v>
      </c>
      <c r="Q68" s="1" t="str">
        <f t="shared" si="2"/>
        <v/>
      </c>
    </row>
    <row r="69" spans="1:18">
      <c r="A69" s="7" t="s">
        <v>59</v>
      </c>
      <c r="B69" s="9" t="s">
        <v>11</v>
      </c>
      <c r="C69" s="8" t="str">
        <f>VLOOKUP(B69,II_voor_2p!$B$68:$K$72,2,FALSE)</f>
        <v>Robi TOOMING</v>
      </c>
      <c r="D69" s="9" t="s">
        <v>12</v>
      </c>
      <c r="E69" s="8" t="str">
        <f>VLOOKUP(D69,II_voor_2p!$M$68:$W$72,2,FALSE)</f>
        <v>Kristjan KANT</v>
      </c>
      <c r="F69" s="85" t="str">
        <f>IF(II_voor_2p!E77=0,"",II_voor_2p!E77)</f>
        <v>11:9</v>
      </c>
      <c r="G69" s="85" t="str">
        <f>IF(II_voor_2p!H77=0,"",II_voor_2p!H77)</f>
        <v>11:4</v>
      </c>
      <c r="H69" s="85" t="str">
        <f>IF(II_voor_2p!K77=0,"",II_voor_2p!K77)</f>
        <v>11:9</v>
      </c>
      <c r="I69" s="85" t="str">
        <f>IF(II_voor_2p!N77=0,"",II_voor_2p!N77)</f>
        <v/>
      </c>
      <c r="J69" s="85" t="str">
        <f>IF(II_voor_2p!Q77=0,"",II_voor_2p!Q77)</f>
        <v/>
      </c>
      <c r="K69" s="53" t="str">
        <f>IF(F69="","",CONCATENATE(Abitabel3!G63,":",Abitabel3!N63))</f>
        <v>3:0</v>
      </c>
      <c r="L69" s="35">
        <f t="shared" ref="L69:L70" si="13">IF(K69="","",IF(LEFT(K69,1)&lt;RIGHT(K69,1),0,1))</f>
        <v>1</v>
      </c>
      <c r="M69" s="35">
        <f t="shared" ref="M69:M70" si="14">IF(K69="","",IF(LEFT(K69,1)&gt;RIGHT(K69,1),0,1))</f>
        <v>0</v>
      </c>
      <c r="Q69" s="1" t="str">
        <f t="shared" si="2"/>
        <v/>
      </c>
    </row>
    <row r="70" spans="1:18">
      <c r="A70" s="7"/>
      <c r="B70" s="9" t="s">
        <v>13</v>
      </c>
      <c r="C70" s="8" t="str">
        <f>VLOOKUP(B70,II_voor_2p!$B$68:$K$72,2,FALSE)</f>
        <v>Erik NÜÜD</v>
      </c>
      <c r="D70" s="9" t="s">
        <v>14</v>
      </c>
      <c r="E70" s="8" t="str">
        <f>VLOOKUP(D70,II_voor_2p!$M$68:$W$72,2,FALSE)</f>
        <v>Allan KOTTISE</v>
      </c>
      <c r="F70" s="85" t="str">
        <f>IF(II_voor_2p!E78=0,"",II_voor_2p!E78)</f>
        <v>9:11</v>
      </c>
      <c r="G70" s="85" t="str">
        <f>IF(II_voor_2p!H78=0,"",II_voor_2p!H78)</f>
        <v>15:13</v>
      </c>
      <c r="H70" s="85" t="str">
        <f>IF(II_voor_2p!K78=0,"",II_voor_2p!K78)</f>
        <v>8:11</v>
      </c>
      <c r="I70" s="85" t="str">
        <f>IF(II_voor_2p!N78=0,"",II_voor_2p!N78)</f>
        <v>12:10</v>
      </c>
      <c r="J70" s="85" t="str">
        <f>IF(II_voor_2p!Q78=0,"",II_voor_2p!Q78)</f>
        <v>11:9</v>
      </c>
      <c r="K70" s="53" t="str">
        <f>IF(F70="","",CONCATENATE(Abitabel3!G64,":",Abitabel3!N64))</f>
        <v>3:2</v>
      </c>
      <c r="L70" s="35">
        <f t="shared" si="13"/>
        <v>1</v>
      </c>
      <c r="M70" s="35">
        <f t="shared" si="14"/>
        <v>0</v>
      </c>
      <c r="Q70" s="1" t="str">
        <f t="shared" si="2"/>
        <v/>
      </c>
    </row>
    <row r="71" spans="1:18">
      <c r="A71" s="7"/>
      <c r="B71" s="290" t="s">
        <v>15</v>
      </c>
      <c r="C71" s="1" t="str">
        <f>IF(ISBLANK(II_voor_2p!C79), "", INDEX(II_voor_2p!C68:C72, MATCH(MID(II_voor_2p!C79,1,1), II_voor_2p!B68:B72, 0)))</f>
        <v>Erik NÜÜD</v>
      </c>
      <c r="D71" s="290" t="s">
        <v>15</v>
      </c>
      <c r="E71" s="1" t="str">
        <f>IF(ISBLANK(II_voor_2p!C79), "", INDEX(II_voor_2p!N68:N72, MATCH(MID(II_voor_2p!C79,4,1), II_voor_2p!M68:M72, 0)))</f>
        <v xml:space="preserve">Martin KRAIKO </v>
      </c>
      <c r="F71" s="300" t="str">
        <f>IF(II_voor_2p!E79=0,"",II_voor_2p!E79)</f>
        <v>12:10</v>
      </c>
      <c r="G71" s="300" t="str">
        <f>IF(II_voor_2p!H79=0,"",II_voor_2p!H79)</f>
        <v>13:11</v>
      </c>
      <c r="H71" s="300" t="str">
        <f>IF(II_voor_2p!K79=0,"",II_voor_2p!K79)</f>
        <v>16:18</v>
      </c>
      <c r="I71" s="300" t="str">
        <f>IF(II_voor_2p!N79=0,"",II_voor_2p!N79)</f>
        <v>5:11</v>
      </c>
      <c r="J71" s="300" t="str">
        <f>IF(II_voor_2p!Q79=0,"",II_voor_2p!Q79)</f>
        <v>11:8</v>
      </c>
      <c r="K71" s="294" t="str">
        <f>IF(F71="","",CONCATENATE(Abitabel3!G65,":",Abitabel3!N65))</f>
        <v>3:2</v>
      </c>
      <c r="L71" s="295">
        <f>IF(K71="","",IF(LEFT(K71,1)&lt;RIGHT(K71,1),0,1))</f>
        <v>1</v>
      </c>
      <c r="M71" s="295">
        <f>IF(K71="","",IF(LEFT(K71,1)&gt;RIGHT(K71,1),0,1))</f>
        <v>0</v>
      </c>
      <c r="Q71" s="1" t="str">
        <f t="shared" si="2"/>
        <v/>
      </c>
    </row>
    <row r="72" spans="1:18">
      <c r="A72" s="7"/>
      <c r="B72" s="291"/>
      <c r="C72" s="1" t="str">
        <f>IF(ISBLANK(II_voor_2p!C79), "", INDEX(II_voor_2p!C68:C72, MATCH(MID(II_voor_2p!C79,2,1), II_voor_2p!B68:B72, 0)))</f>
        <v>Märt KURVET</v>
      </c>
      <c r="D72" s="291"/>
      <c r="E72" s="1" t="str">
        <f>IF(ISBLANK(II_voor_2p!C79), "", INDEX(II_voor_2p!N68:N72, MATCH(MID(II_voor_2p!C79,5,1), II_voor_2p!M68:M72, 0)))</f>
        <v>Allan KOTTISE</v>
      </c>
      <c r="F72" s="300"/>
      <c r="G72" s="300"/>
      <c r="H72" s="300"/>
      <c r="I72" s="300"/>
      <c r="J72" s="300"/>
      <c r="K72" s="294"/>
      <c r="L72" s="295"/>
      <c r="M72" s="295"/>
    </row>
    <row r="73" spans="1:18">
      <c r="A73" s="7"/>
      <c r="B73" s="9" t="s">
        <v>9</v>
      </c>
      <c r="C73" s="8" t="str">
        <f>VLOOKUP(B73,II_voor_2p!$B$68:$K$72,2,FALSE)</f>
        <v>Valdas  MARTINKUS</v>
      </c>
      <c r="D73" s="9" t="s">
        <v>12</v>
      </c>
      <c r="E73" s="8" t="str">
        <f>VLOOKUP(D73,II_voor_2p!$M$68:$W$72,2,FALSE)</f>
        <v>Kristjan KANT</v>
      </c>
      <c r="F73" s="84" t="str">
        <f>IF(II_voor_2p!E80=0,"",II_voor_2p!E80)</f>
        <v/>
      </c>
      <c r="G73" s="84" t="str">
        <f>IF(II_voor_2p!H80=0,"",II_voor_2p!H80)</f>
        <v/>
      </c>
      <c r="H73" s="84" t="str">
        <f>IF(II_voor_2p!K80=0,"",II_voor_2p!K80)</f>
        <v/>
      </c>
      <c r="I73" s="84" t="str">
        <f>IF(II_voor_2p!N80=0,"",II_voor_2p!N80)</f>
        <v/>
      </c>
      <c r="J73" s="84" t="str">
        <f>IF(II_voor_2p!Q80=0,"",II_voor_2p!Q80)</f>
        <v/>
      </c>
      <c r="K73" s="53" t="str">
        <f>IF(F73="","",CONCATENATE(Abitabel3!G67,":",Abitabel3!N67))</f>
        <v/>
      </c>
      <c r="L73" s="35" t="str">
        <f>IF(K73="","",IF(LEFT(K73,1)&lt;RIGHT(K73,1),0,1))</f>
        <v/>
      </c>
      <c r="M73" s="35" t="str">
        <f>IF(K73="","",IF(LEFT(K73,1)&gt;RIGHT(K73,1),0,1))</f>
        <v/>
      </c>
      <c r="Q73" s="1" t="str">
        <f t="shared" ref="Q73:Q125" si="15">IF(OR(LEFT(K73,1)="3",RIGHT(K73,1)="3"),"","ERROR")</f>
        <v>ERROR</v>
      </c>
    </row>
    <row r="74" spans="1:18">
      <c r="A74" s="7"/>
      <c r="B74" s="9" t="s">
        <v>13</v>
      </c>
      <c r="C74" s="8" t="str">
        <f>VLOOKUP(B74,II_voor_2p!$B$68:$K$72,2,FALSE)</f>
        <v>Erik NÜÜD</v>
      </c>
      <c r="D74" s="9" t="s">
        <v>10</v>
      </c>
      <c r="E74" s="8" t="str">
        <f>VLOOKUP(D74,II_voor_2p!$M$68:$W$72,2,FALSE)</f>
        <v xml:space="preserve">Martin KRAIKO </v>
      </c>
      <c r="F74" s="84" t="str">
        <f>IF(II_voor_2p!E81=0,"",II_voor_2p!E81)</f>
        <v/>
      </c>
      <c r="G74" s="84" t="str">
        <f>IF(II_voor_2p!H81=0,"",II_voor_2p!H81)</f>
        <v/>
      </c>
      <c r="H74" s="84" t="str">
        <f>IF(II_voor_2p!K81=0,"",II_voor_2p!K81)</f>
        <v/>
      </c>
      <c r="I74" s="84" t="str">
        <f>IF(II_voor_2p!N81=0,"",II_voor_2p!N81)</f>
        <v/>
      </c>
      <c r="J74" s="84" t="str">
        <f>IF(II_voor_2p!Q81=0,"",II_voor_2p!Q81)</f>
        <v/>
      </c>
      <c r="K74" s="53" t="str">
        <f>IF(F74="","",CONCATENATE(Abitabel3!G68,":",Abitabel3!N68))</f>
        <v/>
      </c>
      <c r="L74" s="35" t="str">
        <f>IF(K74="","",IF(LEFT(K74,1)&lt;RIGHT(K74,1),0,1))</f>
        <v/>
      </c>
      <c r="M74" s="35" t="str">
        <f>IF(L74="","",IF(LEFT(K74,1)&gt;RIGHT(K74,1),0,1))</f>
        <v/>
      </c>
      <c r="Q74" s="1" t="str">
        <f t="shared" si="15"/>
        <v>ERROR</v>
      </c>
    </row>
    <row r="75" spans="1:18">
      <c r="A75" s="7"/>
      <c r="B75" s="9" t="s">
        <v>11</v>
      </c>
      <c r="C75" s="8" t="str">
        <f>VLOOKUP(B75,II_voor_2p!$B$68:$K$72,2,FALSE)</f>
        <v>Robi TOOMING</v>
      </c>
      <c r="D75" s="9" t="s">
        <v>14</v>
      </c>
      <c r="E75" s="8" t="str">
        <f>VLOOKUP(D75,II_voor_2p!$M$68:$W$72,2,FALSE)</f>
        <v>Allan KOTTISE</v>
      </c>
      <c r="F75" s="84" t="str">
        <f>IF(II_voor_2p!E82=0,"",II_voor_2p!E82)</f>
        <v/>
      </c>
      <c r="G75" s="84" t="str">
        <f>IF(II_voor_2p!H82=0,"",II_voor_2p!H82)</f>
        <v/>
      </c>
      <c r="H75" s="84" t="str">
        <f>IF(II_voor_2p!K82=0,"",II_voor_2p!K82)</f>
        <v/>
      </c>
      <c r="I75" s="84" t="str">
        <f>IF(II_voor_2p!N82=0,"",II_voor_2p!N82)</f>
        <v/>
      </c>
      <c r="J75" s="84" t="str">
        <f>IF(II_voor_2p!Q82=0,"",II_voor_2p!Q82)</f>
        <v/>
      </c>
      <c r="K75" s="53" t="str">
        <f>IF(F75="","",CONCATENATE(Abitabel3!G69,":",Abitabel3!N69))</f>
        <v/>
      </c>
      <c r="L75" s="35" t="str">
        <f>IF(K75="","",IF(LEFT(K75,1)&lt;RIGHT(K75,1),0,1))</f>
        <v/>
      </c>
      <c r="M75" s="35" t="str">
        <f>IF(L75="","",IF(LEFT(K75,1)&gt;RIGHT(K75,1),0,1))</f>
        <v/>
      </c>
      <c r="Q75" s="1" t="str">
        <f t="shared" si="15"/>
        <v>ERROR</v>
      </c>
    </row>
    <row r="76" spans="1:18">
      <c r="A76" s="7"/>
      <c r="B76" s="10"/>
      <c r="C76" s="33" t="str">
        <f>VLOOKUP(C67,Koosseisud!A:B,2,FALSE )</f>
        <v>Meeskond5</v>
      </c>
      <c r="D76" s="10"/>
      <c r="E76" s="33" t="str">
        <f>VLOOKUP(E67,Koosseisud!A:B,2,FALSE)</f>
        <v>Meeskond8</v>
      </c>
      <c r="F76" s="10"/>
      <c r="G76" s="10"/>
      <c r="H76" s="10"/>
      <c r="I76" s="10"/>
      <c r="J76" s="11"/>
      <c r="K76" s="12"/>
      <c r="L76" s="13"/>
      <c r="M76" s="13"/>
    </row>
    <row r="77" spans="1:18" ht="15">
      <c r="A77" s="2" t="s">
        <v>75</v>
      </c>
      <c r="B77" s="3">
        <f>IF(K78="","",SUM(L78:L85))</f>
        <v>0</v>
      </c>
      <c r="C77" s="83" t="str">
        <f>II_voor_2p!G97</f>
        <v>SPINMASTER</v>
      </c>
      <c r="D77" s="3">
        <f>IF(K78="","",SUM(M78:M85))</f>
        <v>4</v>
      </c>
      <c r="E77" s="83" t="str">
        <f>II_voor_2p!R97</f>
        <v>Viimsi LTK/EM-SERV</v>
      </c>
      <c r="F77" s="5" t="s">
        <v>2</v>
      </c>
      <c r="G77" s="5" t="s">
        <v>3</v>
      </c>
      <c r="H77" s="5" t="s">
        <v>4</v>
      </c>
      <c r="I77" s="5" t="s">
        <v>5</v>
      </c>
      <c r="J77" s="5" t="s">
        <v>6</v>
      </c>
      <c r="K77" s="6" t="s">
        <v>7</v>
      </c>
      <c r="L77" s="287" t="s">
        <v>8</v>
      </c>
      <c r="M77" s="287"/>
      <c r="R77" s="1" t="str">
        <f>IF(OR(B77=4,D77=4),"","ERROR")</f>
        <v/>
      </c>
    </row>
    <row r="78" spans="1:18">
      <c r="A78" s="7" t="s">
        <v>468</v>
      </c>
      <c r="B78" s="9" t="s">
        <v>9</v>
      </c>
      <c r="C78" s="8" t="str">
        <f>VLOOKUP(B78,II_voor_2p!$B$98:$K$102,2,FALSE)</f>
        <v>Arturs RUDNIKOVS</v>
      </c>
      <c r="D78" s="9" t="s">
        <v>10</v>
      </c>
      <c r="E78" s="8" t="str">
        <f>VLOOKUP(D78,II_voor_2p!$M$98:$W$102,2,FALSE)</f>
        <v>Daniels KOGANS</v>
      </c>
      <c r="F78" s="85" t="str">
        <f>IF(II_voor_2p!E106=0,"",II_voor_2p!E106)</f>
        <v>3:11</v>
      </c>
      <c r="G78" s="85" t="str">
        <f>IF(II_voor_2p!H106=0,"",II_voor_2p!H106)</f>
        <v>11:4</v>
      </c>
      <c r="H78" s="85" t="str">
        <f>IF(II_voor_2p!K106=0,"",II_voor_2p!K106)</f>
        <v>7:11</v>
      </c>
      <c r="I78" s="85" t="str">
        <f>IF(II_voor_2p!N106=0,"",II_voor_2p!N106)</f>
        <v>11:7</v>
      </c>
      <c r="J78" s="85" t="str">
        <f>IF(II_voor_2p!Q106=0,"",II_voor_2p!Q106)</f>
        <v>9:11</v>
      </c>
      <c r="K78" s="53" t="str">
        <f>IF(F78="","",CONCATENATE(Abitabel3!G72,":",Abitabel3!N72))</f>
        <v>2:3</v>
      </c>
      <c r="L78" s="35">
        <f>IF(K78="","",IF(LEFT(K78,1)&lt;RIGHT(K78,1),0,1))</f>
        <v>0</v>
      </c>
      <c r="M78" s="35">
        <f>IF(K78="","",IF(LEFT(K78,1)&gt;RIGHT(K78,1),0,1))</f>
        <v>1</v>
      </c>
      <c r="Q78" s="1" t="str">
        <f t="shared" si="15"/>
        <v/>
      </c>
    </row>
    <row r="79" spans="1:18">
      <c r="A79" s="7" t="s">
        <v>59</v>
      </c>
      <c r="B79" s="9" t="s">
        <v>11</v>
      </c>
      <c r="C79" s="8" t="str">
        <f>VLOOKUP(B79,II_voor_2p!$B$98:$K$102,2,FALSE)</f>
        <v>Filat ANDREEV</v>
      </c>
      <c r="D79" s="9" t="s">
        <v>12</v>
      </c>
      <c r="E79" s="8" t="str">
        <f>VLOOKUP(D79,II_voor_2p!$M$98:$W$102,2,FALSE)</f>
        <v>Aleksei NIKONOROV</v>
      </c>
      <c r="F79" s="85" t="str">
        <f>IF(II_voor_2p!E107=0,"",II_voor_2p!E107)</f>
        <v>7:11</v>
      </c>
      <c r="G79" s="85" t="str">
        <f>IF(II_voor_2p!H107=0,"",II_voor_2p!H107)</f>
        <v>10:12</v>
      </c>
      <c r="H79" s="85" t="str">
        <f>IF(II_voor_2p!K107=0,"",II_voor_2p!K107)</f>
        <v>6:11</v>
      </c>
      <c r="I79" s="85" t="str">
        <f>IF(II_voor_2p!N107=0,"",II_voor_2p!N107)</f>
        <v/>
      </c>
      <c r="J79" s="85" t="str">
        <f>IF(II_voor_2p!Q107=0,"",II_voor_2p!Q107)</f>
        <v/>
      </c>
      <c r="K79" s="53" t="str">
        <f>IF(F79="","",CONCATENATE(Abitabel3!G73,":",Abitabel3!N73))</f>
        <v>0:3</v>
      </c>
      <c r="L79" s="35">
        <f t="shared" ref="L79:L80" si="16">IF(K79="","",IF(LEFT(K79,1)&lt;RIGHT(K79,1),0,1))</f>
        <v>0</v>
      </c>
      <c r="M79" s="35">
        <f t="shared" ref="M79:M80" si="17">IF(K79="","",IF(LEFT(K79,1)&gt;RIGHT(K79,1),0,1))</f>
        <v>1</v>
      </c>
      <c r="Q79" s="1" t="str">
        <f t="shared" si="15"/>
        <v/>
      </c>
    </row>
    <row r="80" spans="1:18">
      <c r="A80" s="7"/>
      <c r="B80" s="9" t="s">
        <v>13</v>
      </c>
      <c r="C80" s="8" t="str">
        <f>VLOOKUP(B80,II_voor_2p!$B$98:$K$102,2,FALSE)</f>
        <v>Jan Kenneth TOMING</v>
      </c>
      <c r="D80" s="9" t="s">
        <v>14</v>
      </c>
      <c r="E80" s="8" t="str">
        <f>VLOOKUP(D80,II_voor_2p!$M$98:$W$102,2,FALSE)</f>
        <v>Ilmar VUHKA</v>
      </c>
      <c r="F80" s="85" t="str">
        <f>IF(II_voor_2p!E108=0,"",II_voor_2p!E108)</f>
        <v>11:6</v>
      </c>
      <c r="G80" s="85" t="str">
        <f>IF(II_voor_2p!H108=0,"",II_voor_2p!H108)</f>
        <v>10:12</v>
      </c>
      <c r="H80" s="85" t="str">
        <f>IF(II_voor_2p!K108=0,"",II_voor_2p!K108)</f>
        <v>2:11</v>
      </c>
      <c r="I80" s="85" t="str">
        <f>IF(II_voor_2p!N108=0,"",II_voor_2p!N108)</f>
        <v>11:6</v>
      </c>
      <c r="J80" s="85" t="str">
        <f>IF(II_voor_2p!Q108=0,"",II_voor_2p!Q108)</f>
        <v>8:11</v>
      </c>
      <c r="K80" s="53" t="str">
        <f>IF(F80="","",CONCATENATE(Abitabel3!G74,":",Abitabel3!N74))</f>
        <v>2:3</v>
      </c>
      <c r="L80" s="35">
        <f t="shared" si="16"/>
        <v>0</v>
      </c>
      <c r="M80" s="35">
        <f t="shared" si="17"/>
        <v>1</v>
      </c>
      <c r="Q80" s="1" t="str">
        <f t="shared" si="15"/>
        <v/>
      </c>
    </row>
    <row r="81" spans="1:18">
      <c r="A81" s="7"/>
      <c r="B81" s="290" t="s">
        <v>15</v>
      </c>
      <c r="C81" s="1" t="str">
        <f>IF(ISBLANK(II_voor_2p!C109), "", INDEX(II_voor_2p!C98:C102, MATCH(MID(II_voor_2p!C109,1,1), II_voor_2p!B98:B102, 0)))</f>
        <v>Arturs RUDNIKOVS</v>
      </c>
      <c r="D81" s="290" t="s">
        <v>15</v>
      </c>
      <c r="E81" s="1" t="str">
        <f>IF(ISBLANK(II_voor_2p!C109), "", INDEX(II_voor_2p!N98:N102, MATCH(MID(II_voor_2p!C109,4,1), II_voor_2p!M98:M102, 0)))</f>
        <v>Daniels KOGANS</v>
      </c>
      <c r="F81" s="300" t="str">
        <f>IF(II_voor_2p!E109=0,"",II_voor_2p!E109)</f>
        <v>7:11</v>
      </c>
      <c r="G81" s="300" t="str">
        <f>IF(II_voor_2p!H109=0,"",II_voor_2p!H109)</f>
        <v>11:9</v>
      </c>
      <c r="H81" s="300" t="str">
        <f>IF(II_voor_2p!K109=0,"",II_voor_2p!K109)</f>
        <v>13:15</v>
      </c>
      <c r="I81" s="300" t="str">
        <f>IF(II_voor_2p!N109=0,"",II_voor_2p!N109)</f>
        <v>6:11</v>
      </c>
      <c r="J81" s="300" t="str">
        <f>IF(II_voor_2p!Q109=0,"",II_voor_2p!Q109)</f>
        <v/>
      </c>
      <c r="K81" s="294" t="str">
        <f>IF(F81="","",CONCATENATE(Abitabel3!G75,":",Abitabel3!N75))</f>
        <v>1:3</v>
      </c>
      <c r="L81" s="295">
        <f>IF(K81="","",IF(LEFT(K81,1)&lt;RIGHT(K81,1),0,1))</f>
        <v>0</v>
      </c>
      <c r="M81" s="295">
        <f>IF(K81="","",IF(LEFT(K81,1)&gt;RIGHT(K81,1),0,1))</f>
        <v>1</v>
      </c>
      <c r="Q81" s="1" t="str">
        <f t="shared" si="15"/>
        <v/>
      </c>
    </row>
    <row r="82" spans="1:18">
      <c r="A82" s="7"/>
      <c r="B82" s="291"/>
      <c r="C82" s="1" t="str">
        <f>IF(ISBLANK(II_voor_2p!C109), "", INDEX(II_voor_2p!C98:C102, MATCH(MID(II_voor_2p!C109,2,1), II_voor_2p!B98:B102, 0)))</f>
        <v>Filat ANDREEV</v>
      </c>
      <c r="D82" s="291"/>
      <c r="E82" s="1" t="str">
        <f>IF(ISBLANK(II_voor_2p!C109), "", INDEX(II_voor_2p!N98:N102, MATCH(MID(II_voor_2p!C109,5,1), II_voor_2p!M98:M102, 0)))</f>
        <v>Pert Marten LEHTLAAN</v>
      </c>
      <c r="F82" s="300"/>
      <c r="G82" s="300"/>
      <c r="H82" s="300"/>
      <c r="I82" s="300"/>
      <c r="J82" s="300"/>
      <c r="K82" s="294"/>
      <c r="L82" s="295"/>
      <c r="M82" s="295"/>
    </row>
    <row r="83" spans="1:18">
      <c r="A83" s="7"/>
      <c r="B83" s="9" t="s">
        <v>9</v>
      </c>
      <c r="C83" s="8" t="str">
        <f>VLOOKUP(B83,II_voor_2p!$B$98:$K$102,2,FALSE)</f>
        <v>Arturs RUDNIKOVS</v>
      </c>
      <c r="D83" s="9" t="s">
        <v>12</v>
      </c>
      <c r="E83" s="8" t="str">
        <f>VLOOKUP(D83,II_voor_2p!$M$98:$W$102,2,FALSE)</f>
        <v>Aleksei NIKONOROV</v>
      </c>
      <c r="F83" s="85" t="str">
        <f>IF(II_voor_2p!E110=0,"",II_voor_2p!E110)</f>
        <v/>
      </c>
      <c r="G83" s="85" t="str">
        <f>IF(II_voor_2p!H110=0,"",II_voor_2p!H110)</f>
        <v/>
      </c>
      <c r="H83" s="85" t="str">
        <f>IF(II_voor_2p!K110=0,"",II_voor_2p!K110)</f>
        <v/>
      </c>
      <c r="I83" s="85" t="str">
        <f>IF(II_voor_2p!N110=0,"",II_voor_2p!N110)</f>
        <v/>
      </c>
      <c r="J83" s="85" t="str">
        <f>IF(II_voor_2p!Q110=0,"",II_voor_2p!Q110)</f>
        <v/>
      </c>
      <c r="K83" s="53" t="str">
        <f>IF(F83="","",CONCATENATE(Abitabel3!G77,":",Abitabel3!N77))</f>
        <v/>
      </c>
      <c r="L83" s="35" t="str">
        <f>IF(K83="","",IF(LEFT(K83,1)&lt;RIGHT(K83,1),0,1))</f>
        <v/>
      </c>
      <c r="M83" s="35" t="str">
        <f>IF(K83="","",IF(LEFT(K83,1)&gt;RIGHT(K83,1),0,1))</f>
        <v/>
      </c>
      <c r="Q83" s="1" t="str">
        <f t="shared" si="15"/>
        <v>ERROR</v>
      </c>
    </row>
    <row r="84" spans="1:18">
      <c r="A84" s="7"/>
      <c r="B84" s="9" t="s">
        <v>13</v>
      </c>
      <c r="C84" s="8" t="str">
        <f>VLOOKUP(B84,II_voor_2p!$B$98:$K$102,2,FALSE)</f>
        <v>Jan Kenneth TOMING</v>
      </c>
      <c r="D84" s="9" t="s">
        <v>10</v>
      </c>
      <c r="E84" s="8" t="str">
        <f>VLOOKUP(D84,II_voor_2p!$M$98:$W$102,2,FALSE)</f>
        <v>Daniels KOGANS</v>
      </c>
      <c r="F84" s="84" t="str">
        <f>IF(II_voor_2p!E111=0,"",II_voor_2p!E111)</f>
        <v/>
      </c>
      <c r="G84" s="84" t="str">
        <f>IF(II_voor_2p!H111=0,"",II_voor_2p!H111)</f>
        <v/>
      </c>
      <c r="H84" s="84" t="str">
        <f>IF(II_voor_2p!K111=0,"",II_voor_2p!K111)</f>
        <v/>
      </c>
      <c r="I84" s="84" t="str">
        <f>IF(II_voor_2p!N111=0,"",II_voor_2p!N111)</f>
        <v/>
      </c>
      <c r="J84" s="84" t="str">
        <f>IF(II_voor_2p!Q111=0,"",II_voor_2p!Q111)</f>
        <v/>
      </c>
      <c r="K84" s="53" t="str">
        <f>IF(F84="","",CONCATENATE(Abitabel3!G78,":",Abitabel3!N78))</f>
        <v/>
      </c>
      <c r="L84" s="35" t="str">
        <f>IF(K84="","",IF(LEFT(K84,1)&lt;RIGHT(K84,1),0,1))</f>
        <v/>
      </c>
      <c r="M84" s="35" t="str">
        <f>IF(L84="","",IF(LEFT(K84,1)&gt;RIGHT(K84,1),0,1))</f>
        <v/>
      </c>
      <c r="Q84" s="1" t="str">
        <f t="shared" si="15"/>
        <v>ERROR</v>
      </c>
    </row>
    <row r="85" spans="1:18">
      <c r="A85" s="7"/>
      <c r="B85" s="9" t="s">
        <v>11</v>
      </c>
      <c r="C85" s="8" t="str">
        <f>VLOOKUP(B85,II_voor_2p!$B$98:$K$102,2,FALSE)</f>
        <v>Filat ANDREEV</v>
      </c>
      <c r="D85" s="9" t="s">
        <v>14</v>
      </c>
      <c r="E85" s="8" t="str">
        <f>VLOOKUP(D85,II_voor_2p!$M$98:$W$102,2,FALSE)</f>
        <v>Ilmar VUHKA</v>
      </c>
      <c r="F85" s="84" t="str">
        <f>IF(II_voor_2p!E112=0,"",II_voor_2p!E112)</f>
        <v/>
      </c>
      <c r="G85" s="84" t="str">
        <f>IF(II_voor_2p!H112=0,"",II_voor_2p!H112)</f>
        <v/>
      </c>
      <c r="H85" s="84" t="str">
        <f>IF(II_voor_2p!K112=0,"",II_voor_2p!K112)</f>
        <v/>
      </c>
      <c r="I85" s="84" t="str">
        <f>IF(II_voor_2p!N112=0,"",II_voor_2p!N112)</f>
        <v/>
      </c>
      <c r="J85" s="84" t="str">
        <f>IF(II_voor_2p!Q112=0,"",II_voor_2p!Q112)</f>
        <v/>
      </c>
      <c r="K85" s="53" t="str">
        <f>IF(F85="","",CONCATENATE(Abitabel3!G79,":",Abitabel3!N79))</f>
        <v/>
      </c>
      <c r="L85" s="35" t="str">
        <f>IF(K85="","",IF(LEFT(K85,1)&lt;RIGHT(K85,1),0,1))</f>
        <v/>
      </c>
      <c r="M85" s="35" t="str">
        <f>IF(L85="","",IF(LEFT(K85,1)&gt;RIGHT(K85,1),0,1))</f>
        <v/>
      </c>
      <c r="Q85" s="1" t="str">
        <f t="shared" si="15"/>
        <v>ERROR</v>
      </c>
    </row>
    <row r="86" spans="1:18">
      <c r="A86" s="7"/>
      <c r="B86" s="10"/>
      <c r="C86" s="33" t="str">
        <f>VLOOKUP(C77,Koosseisud!A:B,2,FALSE )</f>
        <v>Meeskond6</v>
      </c>
      <c r="D86" s="10"/>
      <c r="E86" s="33" t="str">
        <f>VLOOKUP(E77,Koosseisud!A:B,2,FALSE)</f>
        <v>Meeskond7</v>
      </c>
      <c r="F86" s="10"/>
      <c r="G86" s="10"/>
      <c r="H86" s="10"/>
      <c r="I86" s="10"/>
      <c r="J86" s="11"/>
      <c r="K86" s="12"/>
      <c r="L86" s="13"/>
      <c r="M86" s="13"/>
    </row>
    <row r="87" spans="1:18" ht="15">
      <c r="A87" s="2" t="s">
        <v>76</v>
      </c>
      <c r="B87" s="3">
        <f>IF(K88="","",SUM(L88:L95))</f>
        <v>4</v>
      </c>
      <c r="C87" s="4" t="str">
        <f>III_voor_2p!G7</f>
        <v>Tiim FORUS - Maardu LTK</v>
      </c>
      <c r="D87" s="3">
        <f>IF(K88="","",SUM(M88:M95))</f>
        <v>3</v>
      </c>
      <c r="E87" s="4" t="str">
        <f>III_voor_2p!R7</f>
        <v>Viimsi LTK/EM-SERV</v>
      </c>
      <c r="F87" s="5" t="s">
        <v>2</v>
      </c>
      <c r="G87" s="5" t="s">
        <v>3</v>
      </c>
      <c r="H87" s="5" t="s">
        <v>4</v>
      </c>
      <c r="I87" s="5" t="s">
        <v>5</v>
      </c>
      <c r="J87" s="5" t="s">
        <v>6</v>
      </c>
      <c r="K87" s="6" t="s">
        <v>7</v>
      </c>
      <c r="L87" s="287" t="s">
        <v>8</v>
      </c>
      <c r="M87" s="287"/>
      <c r="R87" s="1" t="str">
        <f>IF(OR(B87=4,D87=4),"","ERROR")</f>
        <v/>
      </c>
    </row>
    <row r="88" spans="1:18">
      <c r="A88" s="7" t="s">
        <v>469</v>
      </c>
      <c r="B88" s="9" t="s">
        <v>9</v>
      </c>
      <c r="C88" s="8" t="str">
        <f>VLOOKUP(B88,III_voor_2p!$B$8:$K$12,2,FALSE)</f>
        <v>Antoni WITKOWSKI</v>
      </c>
      <c r="D88" s="9" t="s">
        <v>10</v>
      </c>
      <c r="E88" s="8" t="str">
        <f>VLOOKUP(D88,III_voor_2p!$M$8:$W$12,2,FALSE)</f>
        <v>Pert Marten LEHTLAAN</v>
      </c>
      <c r="F88" s="85" t="str">
        <f>IF(III_voor_2p!E16=0,"",III_voor_2p!E16)</f>
        <v>11:2</v>
      </c>
      <c r="G88" s="85" t="str">
        <f>IF(III_voor_2p!H16=0,"",III_voor_2p!H16)</f>
        <v>11:6</v>
      </c>
      <c r="H88" s="85" t="str">
        <f>IF(III_voor_2p!K16=0,"",III_voor_2p!K16)</f>
        <v>11:4</v>
      </c>
      <c r="I88" s="85" t="str">
        <f>IF(III_voor_2p!N16=0,"",III_voor_2p!N16)</f>
        <v/>
      </c>
      <c r="J88" s="85" t="str">
        <f>IF(III_voor_2p!Q16=0,"",III_voor_2p!Q16)</f>
        <v/>
      </c>
      <c r="K88" s="53" t="str">
        <f>IF(F88="","",CONCATENATE(Abitabel3!G82,":",Abitabel3!N82))</f>
        <v>3:0</v>
      </c>
      <c r="L88" s="35">
        <f>IF(K88="","",IF(LEFT(K88,1)&lt;RIGHT(K88,1),0,1))</f>
        <v>1</v>
      </c>
      <c r="M88" s="35">
        <f>IF(K88="","",IF(LEFT(K88,1)&gt;RIGHT(K88,1),0,1))</f>
        <v>0</v>
      </c>
      <c r="Q88" s="1" t="str">
        <f t="shared" si="15"/>
        <v/>
      </c>
    </row>
    <row r="89" spans="1:18">
      <c r="A89" s="7" t="s">
        <v>59</v>
      </c>
      <c r="B89" s="9" t="s">
        <v>11</v>
      </c>
      <c r="C89" s="8" t="str">
        <f>VLOOKUP(B89,III_voor_2p!$B$8:$K$12,2,FALSE)</f>
        <v>Aleksandr SMIRNOV</v>
      </c>
      <c r="D89" s="9" t="s">
        <v>12</v>
      </c>
      <c r="E89" s="8" t="str">
        <f>VLOOKUP(D89,III_voor_2p!$M$8:$W$12,2,FALSE)</f>
        <v>Daniels KOGANS</v>
      </c>
      <c r="F89" s="85" t="str">
        <f>IF(III_voor_2p!E17=0,"",III_voor_2p!E17)</f>
        <v>3:11</v>
      </c>
      <c r="G89" s="85" t="str">
        <f>IF(III_voor_2p!H17=0,"",III_voor_2p!H17)</f>
        <v>8:11</v>
      </c>
      <c r="H89" s="85" t="str">
        <f>IF(III_voor_2p!K17=0,"",III_voor_2p!K17)</f>
        <v>11:8</v>
      </c>
      <c r="I89" s="85" t="str">
        <f>IF(III_voor_2p!N17=0,"",III_voor_2p!N17)</f>
        <v>5:11</v>
      </c>
      <c r="J89" s="85" t="str">
        <f>IF(III_voor_2p!Q17=0,"",III_voor_2p!Q17)</f>
        <v/>
      </c>
      <c r="K89" s="53" t="str">
        <f>IF(F89="","",CONCATENATE(Abitabel3!G83,":",Abitabel3!N83))</f>
        <v>1:3</v>
      </c>
      <c r="L89" s="35">
        <f t="shared" ref="L89:L90" si="18">IF(K89="","",IF(LEFT(K89,1)&lt;RIGHT(K89,1),0,1))</f>
        <v>0</v>
      </c>
      <c r="M89" s="35">
        <f t="shared" ref="M89:M90" si="19">IF(K89="","",IF(LEFT(K89,1)&gt;RIGHT(K89,1),0,1))</f>
        <v>1</v>
      </c>
      <c r="Q89" s="1" t="str">
        <f t="shared" si="15"/>
        <v/>
      </c>
    </row>
    <row r="90" spans="1:18">
      <c r="A90" s="7"/>
      <c r="B90" s="9" t="s">
        <v>13</v>
      </c>
      <c r="C90" s="8" t="str">
        <f>VLOOKUP(B90,III_voor_2p!$B$8:$K$12,2,FALSE)</f>
        <v>Aleksandr LUŠIN</v>
      </c>
      <c r="D90" s="9" t="s">
        <v>14</v>
      </c>
      <c r="E90" s="8" t="str">
        <f>VLOOKUP(D90,III_voor_2p!$M$8:$W$12,2,FALSE)</f>
        <v>Aleksei NIKONOROV</v>
      </c>
      <c r="F90" s="85" t="str">
        <f>IF(III_voor_2p!E18=0,"",III_voor_2p!E18)</f>
        <v>11:7</v>
      </c>
      <c r="G90" s="85" t="str">
        <f>IF(III_voor_2p!H18=0,"",III_voor_2p!H18)</f>
        <v>11:9</v>
      </c>
      <c r="H90" s="85" t="str">
        <f>IF(III_voor_2p!K18=0,"",III_voor_2p!K18)</f>
        <v>11:8</v>
      </c>
      <c r="I90" s="85" t="str">
        <f>IF(III_voor_2p!N18=0,"",III_voor_2p!N18)</f>
        <v/>
      </c>
      <c r="J90" s="85" t="str">
        <f>IF(III_voor_2p!Q18=0,"",III_voor_2p!Q18)</f>
        <v/>
      </c>
      <c r="K90" s="53" t="str">
        <f>IF(F90="","",CONCATENATE(Abitabel3!G84,":",Abitabel3!N84))</f>
        <v>3:0</v>
      </c>
      <c r="L90" s="35">
        <f t="shared" si="18"/>
        <v>1</v>
      </c>
      <c r="M90" s="35">
        <f t="shared" si="19"/>
        <v>0</v>
      </c>
      <c r="Q90" s="1" t="str">
        <f t="shared" si="15"/>
        <v/>
      </c>
    </row>
    <row r="91" spans="1:18">
      <c r="A91" s="7"/>
      <c r="B91" s="290" t="s">
        <v>15</v>
      </c>
      <c r="C91" s="1" t="str">
        <f>IF(ISBLANK(III_voor_2p!C19), "", INDEX(III_voor_2p!C8:C12, MATCH(MID(III_voor_2p!C19,1,1), III_voor_2p!B8:B12, 0)))</f>
        <v>Antoni WITKOWSKI</v>
      </c>
      <c r="D91" s="290" t="s">
        <v>15</v>
      </c>
      <c r="E91" s="1" t="str">
        <f>IF(ISBLANK(III_voor_2p!C19), "", INDEX(III_voor_2p!N8:N12, MATCH(MID(III_voor_2p!C19,4,1), III_voor_2p!M8:M12, 0)))</f>
        <v>Daniels KOGANS</v>
      </c>
      <c r="F91" s="300" t="str">
        <f>IF(III_voor_2p!E19=0,"",III_voor_2p!E19)</f>
        <v>11:7</v>
      </c>
      <c r="G91" s="300" t="str">
        <f>IF(III_voor_2p!H19=0,"",III_voor_2p!H19)</f>
        <v>11:2</v>
      </c>
      <c r="H91" s="300" t="str">
        <f>IF(III_voor_2p!K19=0,"",III_voor_2p!K19)</f>
        <v>9:11</v>
      </c>
      <c r="I91" s="300" t="str">
        <f>IF(III_voor_2p!N19=0,"",III_voor_2p!N19)</f>
        <v>10:12</v>
      </c>
      <c r="J91" s="300" t="str">
        <f>IF(III_voor_2p!Q19=0,"",III_voor_2p!Q19)</f>
        <v>8:11</v>
      </c>
      <c r="K91" s="294" t="str">
        <f>IF(F91="","",CONCATENATE(Abitabel3!G85,":",Abitabel3!N85))</f>
        <v>2:3</v>
      </c>
      <c r="L91" s="295">
        <f>IF(K91="","",IF(LEFT(K91,1)&lt;RIGHT(K91,1),0,1))</f>
        <v>0</v>
      </c>
      <c r="M91" s="295">
        <f>IF(K91="","",IF(LEFT(K91,1)&gt;RIGHT(K91,1),0,1))</f>
        <v>1</v>
      </c>
      <c r="Q91" s="1" t="str">
        <f t="shared" si="15"/>
        <v/>
      </c>
    </row>
    <row r="92" spans="1:18">
      <c r="A92" s="7"/>
      <c r="B92" s="291"/>
      <c r="C92" s="1" t="str">
        <f>IF(ISBLANK(III_voor_2p!C19), "", INDEX(III_voor_2p!C8:C12, MATCH(MID(III_voor_2p!C19,2,1), III_voor_2p!B8:B12, 0)))</f>
        <v>Aleksandr SMIRNOV</v>
      </c>
      <c r="D92" s="291"/>
      <c r="E92" s="1" t="str">
        <f>IF(ISBLANK(III_voor_2p!C19), "", INDEX(III_voor_2p!N8:N12, MATCH(MID(III_voor_2p!C19,5,1), III_voor_2p!M8:M12, 0)))</f>
        <v>Pert Marten LEHTLAAN</v>
      </c>
      <c r="F92" s="300"/>
      <c r="G92" s="300"/>
      <c r="H92" s="300"/>
      <c r="I92" s="300"/>
      <c r="J92" s="300"/>
      <c r="K92" s="294"/>
      <c r="L92" s="295"/>
      <c r="M92" s="295"/>
    </row>
    <row r="93" spans="1:18">
      <c r="A93" s="7"/>
      <c r="B93" s="9" t="s">
        <v>9</v>
      </c>
      <c r="C93" s="8" t="str">
        <f>VLOOKUP(B93,III_voor_2p!$B$8:$K$12,2,FALSE)</f>
        <v>Antoni WITKOWSKI</v>
      </c>
      <c r="D93" s="9" t="s">
        <v>12</v>
      </c>
      <c r="E93" s="8" t="str">
        <f>VLOOKUP(D93,III_voor_2p!$M$8:$W$12,2,FALSE)</f>
        <v>Daniels KOGANS</v>
      </c>
      <c r="F93" s="85" t="str">
        <f>IF(III_voor_2p!E20=0,"",III_voor_2p!E20)</f>
        <v>11:6</v>
      </c>
      <c r="G93" s="85" t="str">
        <f>IF(III_voor_2p!H20=0,"",III_voor_2p!H20)</f>
        <v>11:7</v>
      </c>
      <c r="H93" s="85" t="str">
        <f>IF(III_voor_2p!K20=0,"",III_voor_2p!K20)</f>
        <v>11:5</v>
      </c>
      <c r="I93" s="85" t="str">
        <f>IF(III_voor_2p!N20=0,"",III_voor_2p!N20)</f>
        <v/>
      </c>
      <c r="J93" s="85" t="str">
        <f>IF(III_voor_2p!Q20=0,"",III_voor_2p!Q20)</f>
        <v/>
      </c>
      <c r="K93" s="53" t="str">
        <f>IF(F93="","",CONCATENATE(Abitabel3!G87,":",Abitabel3!N87))</f>
        <v>3:0</v>
      </c>
      <c r="L93" s="35">
        <f>IF(K93="","",IF(LEFT(K93,1)&lt;RIGHT(K93,1),0,1))</f>
        <v>1</v>
      </c>
      <c r="M93" s="35">
        <f>IF(K93="","",IF(LEFT(K93,1)&gt;RIGHT(K93,1),0,1))</f>
        <v>0</v>
      </c>
      <c r="Q93" s="1" t="str">
        <f t="shared" si="15"/>
        <v/>
      </c>
    </row>
    <row r="94" spans="1:18">
      <c r="A94" s="7"/>
      <c r="B94" s="9" t="s">
        <v>13</v>
      </c>
      <c r="C94" s="8" t="str">
        <f>VLOOKUP(B94,III_voor_2p!$B$8:$K$12,2,FALSE)</f>
        <v>Aleksandr LUŠIN</v>
      </c>
      <c r="D94" s="9" t="s">
        <v>10</v>
      </c>
      <c r="E94" s="8" t="str">
        <f>VLOOKUP(D94,III_voor_2p!$M$8:$W$12,2,FALSE)</f>
        <v>Pert Marten LEHTLAAN</v>
      </c>
      <c r="F94" s="85" t="str">
        <f>IF(III_voor_2p!E21=0,"",III_voor_2p!E21)</f>
        <v>11:8</v>
      </c>
      <c r="G94" s="85" t="str">
        <f>IF(III_voor_2p!H21=0,"",III_voor_2p!H21)</f>
        <v>9:11</v>
      </c>
      <c r="H94" s="85" t="str">
        <f>IF(III_voor_2p!K21=0,"",III_voor_2p!K21)</f>
        <v>6:11</v>
      </c>
      <c r="I94" s="85" t="str">
        <f>IF(III_voor_2p!N21=0,"",III_voor_2p!N21)</f>
        <v>11:13</v>
      </c>
      <c r="J94" s="85" t="str">
        <f>IF(III_voor_2p!Q21=0,"",III_voor_2p!Q21)</f>
        <v/>
      </c>
      <c r="K94" s="53" t="str">
        <f>IF(F94="","",CONCATENATE(Abitabel3!G88,":",Abitabel3!N88))</f>
        <v>1:3</v>
      </c>
      <c r="L94" s="35">
        <f>IF(K94="","",IF(LEFT(K94,1)&lt;RIGHT(K94,1),0,1))</f>
        <v>0</v>
      </c>
      <c r="M94" s="35">
        <f>IF(L94="","",IF(LEFT(K94,1)&gt;RIGHT(K94,1),0,1))</f>
        <v>1</v>
      </c>
      <c r="Q94" s="1" t="str">
        <f t="shared" si="15"/>
        <v/>
      </c>
    </row>
    <row r="95" spans="1:18">
      <c r="A95" s="7"/>
      <c r="B95" s="9" t="s">
        <v>11</v>
      </c>
      <c r="C95" s="8" t="str">
        <f>VLOOKUP(B95,III_voor_2p!$B$8:$K$12,2,FALSE)</f>
        <v>Aleksandr SMIRNOV</v>
      </c>
      <c r="D95" s="9" t="s">
        <v>14</v>
      </c>
      <c r="E95" s="8" t="str">
        <f>VLOOKUP(D95,III_voor_2p!$M$8:$W$12,2,FALSE)</f>
        <v>Aleksei NIKONOROV</v>
      </c>
      <c r="F95" s="85" t="str">
        <f>IF(III_voor_2p!E22=0,"",III_voor_2p!E22)</f>
        <v>11:7</v>
      </c>
      <c r="G95" s="85" t="str">
        <f>IF(III_voor_2p!H22=0,"",III_voor_2p!H22)</f>
        <v>11:4</v>
      </c>
      <c r="H95" s="85" t="str">
        <f>IF(III_voor_2p!K22=0,"",III_voor_2p!K22)</f>
        <v>14:12</v>
      </c>
      <c r="I95" s="85" t="str">
        <f>IF(III_voor_2p!N22=0,"",III_voor_2p!N22)</f>
        <v/>
      </c>
      <c r="J95" s="85" t="str">
        <f>IF(III_voor_2p!Q22=0,"",III_voor_2p!Q22)</f>
        <v/>
      </c>
      <c r="K95" s="53" t="str">
        <f>IF(F95="","",CONCATENATE(Abitabel3!G89,":",Abitabel3!N89))</f>
        <v>3:0</v>
      </c>
      <c r="L95" s="35">
        <f>IF(K95="","",IF(LEFT(K95,1)&lt;RIGHT(K95,1),0,1))</f>
        <v>1</v>
      </c>
      <c r="M95" s="35">
        <f>IF(L95="","",IF(LEFT(K95,1)&gt;RIGHT(K95,1),0,1))</f>
        <v>0</v>
      </c>
      <c r="Q95" s="1" t="str">
        <f t="shared" si="15"/>
        <v/>
      </c>
    </row>
    <row r="96" spans="1:18">
      <c r="A96" s="7"/>
      <c r="B96" s="10"/>
      <c r="C96" s="33" t="str">
        <f>VLOOKUP(C87,Koosseisud!A:B,2,FALSE )</f>
        <v>Meeskond1</v>
      </c>
      <c r="D96" s="10"/>
      <c r="E96" s="33" t="str">
        <f>VLOOKUP(E87,Koosseisud!A:B,2,FALSE)</f>
        <v>Meeskond7</v>
      </c>
      <c r="F96" s="10"/>
      <c r="G96" s="10"/>
      <c r="H96" s="10"/>
      <c r="I96" s="10"/>
      <c r="J96" s="11"/>
      <c r="K96" s="12"/>
      <c r="L96" s="13"/>
      <c r="M96" s="13"/>
    </row>
    <row r="97" spans="1:18" ht="15">
      <c r="A97" s="2" t="s">
        <v>77</v>
      </c>
      <c r="B97" s="3">
        <f>IF(K98="","",SUM(L98:L105))</f>
        <v>4</v>
      </c>
      <c r="C97" s="4" t="str">
        <f>III_voor_2p!G37</f>
        <v>Viimsi PINX</v>
      </c>
      <c r="D97" s="3">
        <f>IF(K98="","",SUM(M98:M105))</f>
        <v>2</v>
      </c>
      <c r="E97" s="4" t="str">
        <f>III_voor_2p!R37</f>
        <v>Viljandi LTK Sakala</v>
      </c>
      <c r="F97" s="5" t="s">
        <v>2</v>
      </c>
      <c r="G97" s="5" t="s">
        <v>3</v>
      </c>
      <c r="H97" s="5" t="s">
        <v>4</v>
      </c>
      <c r="I97" s="5" t="s">
        <v>5</v>
      </c>
      <c r="J97" s="5" t="s">
        <v>6</v>
      </c>
      <c r="K97" s="6" t="s">
        <v>7</v>
      </c>
      <c r="L97" s="287" t="s">
        <v>8</v>
      </c>
      <c r="M97" s="287"/>
      <c r="R97" s="1" t="str">
        <f>IF(OR(B97=4,D97=4),"","ERROR")</f>
        <v/>
      </c>
    </row>
    <row r="98" spans="1:18">
      <c r="A98" s="7" t="s">
        <v>469</v>
      </c>
      <c r="B98" s="9" t="s">
        <v>9</v>
      </c>
      <c r="C98" s="8" t="str">
        <f>VLOOKUP(B98,III_voor_2p!$B$38:$K$42,2,FALSE)</f>
        <v>Toomas LIBENE</v>
      </c>
      <c r="D98" s="9" t="s">
        <v>10</v>
      </c>
      <c r="E98" s="8" t="str">
        <f>VLOOKUP(D98,III_voor_2p!$M$38:$W$42,2,FALSE)</f>
        <v>Märt KURVET</v>
      </c>
      <c r="F98" s="85" t="str">
        <f>IF(III_voor_2p!E46=0,"",III_voor_2p!E46)</f>
        <v>11:9</v>
      </c>
      <c r="G98" s="85" t="str">
        <f>IF(III_voor_2p!H46=0,"",III_voor_2p!H46)</f>
        <v>11:5</v>
      </c>
      <c r="H98" s="85" t="str">
        <f>IF(III_voor_2p!K46=0,"",III_voor_2p!K46)</f>
        <v>11:6</v>
      </c>
      <c r="I98" s="85" t="str">
        <f>IF(III_voor_2p!N46=0,"",III_voor_2p!N46)</f>
        <v/>
      </c>
      <c r="J98" s="85" t="str">
        <f>IF(III_voor_2p!Q46=0,"",III_voor_2p!Q46)</f>
        <v/>
      </c>
      <c r="K98" s="53" t="str">
        <f>IF(F98="","",CONCATENATE(Abitabel3!G92,":",Abitabel3!N92))</f>
        <v>3:0</v>
      </c>
      <c r="L98" s="35">
        <f>IF(K98="","",IF(LEFT(K98,1)&lt;RIGHT(K98,1),0,1))</f>
        <v>1</v>
      </c>
      <c r="M98" s="35">
        <f>IF(K98="","",IF(LEFT(K98,1)&gt;RIGHT(K98,1),0,1))</f>
        <v>0</v>
      </c>
      <c r="Q98" s="1" t="str">
        <f t="shared" si="15"/>
        <v/>
      </c>
    </row>
    <row r="99" spans="1:18">
      <c r="A99" s="7" t="s">
        <v>59</v>
      </c>
      <c r="B99" s="9" t="s">
        <v>11</v>
      </c>
      <c r="C99" s="8" t="str">
        <f>VLOOKUP(B99,III_voor_2p!$B$38:$K$42,2,FALSE)</f>
        <v>Daniel KOSIBA</v>
      </c>
      <c r="D99" s="9" t="s">
        <v>12</v>
      </c>
      <c r="E99" s="8" t="str">
        <f>VLOOKUP(D99,III_voor_2p!$M$38:$W$42,2,FALSE)</f>
        <v>Valdas  MARTINKUS</v>
      </c>
      <c r="F99" s="85" t="str">
        <f>IF(III_voor_2p!E47=0,"",III_voor_2p!E47)</f>
        <v>11:6</v>
      </c>
      <c r="G99" s="85" t="str">
        <f>IF(III_voor_2p!H47=0,"",III_voor_2p!H47)</f>
        <v>11:5</v>
      </c>
      <c r="H99" s="85" t="str">
        <f>IF(III_voor_2p!K47=0,"",III_voor_2p!K47)</f>
        <v>9:11</v>
      </c>
      <c r="I99" s="85" t="str">
        <f>IF(III_voor_2p!N47=0,"",III_voor_2p!N47)</f>
        <v>11:2</v>
      </c>
      <c r="J99" s="85" t="str">
        <f>IF(III_voor_2p!Q47=0,"",III_voor_2p!Q47)</f>
        <v/>
      </c>
      <c r="K99" s="53" t="str">
        <f>IF(F99="","",CONCATENATE(Abitabel3!G93,":",Abitabel3!N93))</f>
        <v>3:1</v>
      </c>
      <c r="L99" s="35">
        <f t="shared" ref="L99:L100" si="20">IF(K99="","",IF(LEFT(K99,1)&lt;RIGHT(K99,1),0,1))</f>
        <v>1</v>
      </c>
      <c r="M99" s="35">
        <f t="shared" ref="M99:M100" si="21">IF(K99="","",IF(LEFT(K99,1)&gt;RIGHT(K99,1),0,1))</f>
        <v>0</v>
      </c>
      <c r="Q99" s="1" t="str">
        <f t="shared" si="15"/>
        <v/>
      </c>
    </row>
    <row r="100" spans="1:18">
      <c r="A100" s="7"/>
      <c r="B100" s="9" t="s">
        <v>13</v>
      </c>
      <c r="C100" s="8" t="str">
        <f>VLOOKUP(B100,III_voor_2p!$B$38:$K$42,2,FALSE)</f>
        <v>Sergei PETROV</v>
      </c>
      <c r="D100" s="9" t="s">
        <v>14</v>
      </c>
      <c r="E100" s="8" t="str">
        <f>VLOOKUP(D100,III_voor_2p!$M$38:$W$42,2,FALSE)</f>
        <v>Erik NÜÜD</v>
      </c>
      <c r="F100" s="85" t="str">
        <f>IF(III_voor_2p!E48=0,"",III_voor_2p!E48)</f>
        <v>8:11</v>
      </c>
      <c r="G100" s="85" t="str">
        <f>IF(III_voor_2p!H48=0,"",III_voor_2p!H48)</f>
        <v>7:11</v>
      </c>
      <c r="H100" s="85" t="str">
        <f>IF(III_voor_2p!K48=0,"",III_voor_2p!K48)</f>
        <v>8:11</v>
      </c>
      <c r="I100" s="85" t="str">
        <f>IF(III_voor_2p!N48=0,"",III_voor_2p!N48)</f>
        <v/>
      </c>
      <c r="J100" s="85" t="str">
        <f>IF(III_voor_2p!Q48=0,"",III_voor_2p!Q48)</f>
        <v/>
      </c>
      <c r="K100" s="53" t="str">
        <f>IF(F100="","",CONCATENATE(Abitabel3!G94,":",Abitabel3!N94))</f>
        <v>0:3</v>
      </c>
      <c r="L100" s="35">
        <f t="shared" si="20"/>
        <v>0</v>
      </c>
      <c r="M100" s="35">
        <f t="shared" si="21"/>
        <v>1</v>
      </c>
      <c r="Q100" s="1" t="str">
        <f t="shared" si="15"/>
        <v/>
      </c>
    </row>
    <row r="101" spans="1:18">
      <c r="A101" s="7"/>
      <c r="B101" s="290" t="s">
        <v>15</v>
      </c>
      <c r="C101" s="1" t="str">
        <f>IF(ISBLANK(III_voor_2p!C49), "", INDEX(III_voor_2p!C38:C42, MATCH(MID(III_voor_2p!C49,1,1), III_voor_2p!B38:B42, 0)))</f>
        <v>Toomas LIBENE</v>
      </c>
      <c r="D101" s="290" t="s">
        <v>15</v>
      </c>
      <c r="E101" s="1" t="str">
        <f>IF(ISBLANK(III_voor_2p!C49), "", INDEX(III_voor_2p!N38:N42, MATCH(MID(III_voor_2p!C49,4,1), III_voor_2p!M38:M42, 0)))</f>
        <v>Valdas  MARTINKUS</v>
      </c>
      <c r="F101" s="300" t="str">
        <f>IF(III_voor_2p!E49=0,"",III_voor_2p!E49)</f>
        <v>11:5</v>
      </c>
      <c r="G101" s="300" t="str">
        <f>IF(III_voor_2p!H49=0,"",III_voor_2p!H49)</f>
        <v>11:5</v>
      </c>
      <c r="H101" s="300" t="str">
        <f>IF(III_voor_2p!K49=0,"",III_voor_2p!K49)</f>
        <v>11:9</v>
      </c>
      <c r="I101" s="300" t="str">
        <f>IF(III_voor_2p!N49=0,"",III_voor_2p!N49)</f>
        <v/>
      </c>
      <c r="J101" s="300" t="str">
        <f>IF(III_voor_2p!Q49=0,"",III_voor_2p!Q49)</f>
        <v/>
      </c>
      <c r="K101" s="294" t="str">
        <f>IF(F101="","",CONCATENATE(Abitabel3!G95,":",Abitabel3!N95))</f>
        <v>3:0</v>
      </c>
      <c r="L101" s="295">
        <f>IF(K101="","",IF(LEFT(K101,1)&lt;RIGHT(K101,1),0,1))</f>
        <v>1</v>
      </c>
      <c r="M101" s="295">
        <f>IF(K101="","",IF(LEFT(K101,1)&gt;RIGHT(K101,1),0,1))</f>
        <v>0</v>
      </c>
      <c r="Q101" s="1" t="str">
        <f t="shared" si="15"/>
        <v/>
      </c>
    </row>
    <row r="102" spans="1:18">
      <c r="A102" s="7"/>
      <c r="B102" s="291"/>
      <c r="C102" s="1" t="str">
        <f>IF(ISBLANK(III_voor_2p!C49), "", INDEX(III_voor_2p!C38:C42, MATCH(MID(III_voor_2p!C49,2,1), III_voor_2p!B38:B42, 0)))</f>
        <v>Maksim VUHKA</v>
      </c>
      <c r="D102" s="291"/>
      <c r="E102" s="1" t="str">
        <f>IF(ISBLANK(III_voor_2p!C49), "", INDEX(III_voor_2p!N38:N42, MATCH(MID(III_voor_2p!C49,5,1), III_voor_2p!M38:M42, 0)))</f>
        <v>Robi TOOMING</v>
      </c>
      <c r="F102" s="300"/>
      <c r="G102" s="300"/>
      <c r="H102" s="300"/>
      <c r="I102" s="300"/>
      <c r="J102" s="300"/>
      <c r="K102" s="294"/>
      <c r="L102" s="295"/>
      <c r="M102" s="295"/>
    </row>
    <row r="103" spans="1:18">
      <c r="A103" s="7"/>
      <c r="B103" s="9" t="s">
        <v>9</v>
      </c>
      <c r="C103" s="8" t="str">
        <f>VLOOKUP(B103,III_voor_2p!$B$38:$K$42,2,FALSE)</f>
        <v>Toomas LIBENE</v>
      </c>
      <c r="D103" s="9" t="s">
        <v>12</v>
      </c>
      <c r="E103" s="8" t="str">
        <f>VLOOKUP(D103,III_voor_2p!$M$38:$W$42,2,FALSE)</f>
        <v>Valdas  MARTINKUS</v>
      </c>
      <c r="F103" s="85" t="str">
        <f>IF(III_voor_2p!E50=0,"",III_voor_2p!E50)</f>
        <v>6:11</v>
      </c>
      <c r="G103" s="85" t="str">
        <f>IF(III_voor_2p!H50=0,"",III_voor_2p!H50)</f>
        <v>11:7</v>
      </c>
      <c r="H103" s="85" t="str">
        <f>IF(III_voor_2p!K50=0,"",III_voor_2p!K50)</f>
        <v>6:11</v>
      </c>
      <c r="I103" s="85" t="str">
        <f>IF(III_voor_2p!N50=0,"",III_voor_2p!N50)</f>
        <v>12:10</v>
      </c>
      <c r="J103" s="85" t="str">
        <f>IF(III_voor_2p!Q50=0,"",III_voor_2p!Q50)</f>
        <v>9:11</v>
      </c>
      <c r="K103" s="53" t="str">
        <f>IF(F103="","",CONCATENATE(Abitabel3!G97,":",Abitabel3!N97))</f>
        <v>2:3</v>
      </c>
      <c r="L103" s="35">
        <f>IF(K103="","",IF(LEFT(K103,1)&lt;RIGHT(K103,1),0,1))</f>
        <v>0</v>
      </c>
      <c r="M103" s="35">
        <f>IF(K103="","",IF(LEFT(K103,1)&gt;RIGHT(K103,1),0,1))</f>
        <v>1</v>
      </c>
      <c r="Q103" s="1" t="str">
        <f t="shared" si="15"/>
        <v/>
      </c>
    </row>
    <row r="104" spans="1:18">
      <c r="A104" s="7"/>
      <c r="B104" s="9" t="s">
        <v>13</v>
      </c>
      <c r="C104" s="8" t="str">
        <f>VLOOKUP(B104,III_voor_2p!$B$38:$K$42,2,FALSE)</f>
        <v>Sergei PETROV</v>
      </c>
      <c r="D104" s="9" t="s">
        <v>10</v>
      </c>
      <c r="E104" s="8" t="str">
        <f>VLOOKUP(D104,III_voor_2p!$M$38:$W$42,2,FALSE)</f>
        <v>Märt KURVET</v>
      </c>
      <c r="F104" s="85" t="str">
        <f>IF(III_voor_2p!E51=0,"",III_voor_2p!E51)</f>
        <v>11:7</v>
      </c>
      <c r="G104" s="85" t="str">
        <f>IF(III_voor_2p!H51=0,"",III_voor_2p!H51)</f>
        <v>11:9</v>
      </c>
      <c r="H104" s="85" t="str">
        <f>IF(III_voor_2p!K51=0,"",III_voor_2p!K51)</f>
        <v>11:4</v>
      </c>
      <c r="I104" s="85" t="str">
        <f>IF(III_voor_2p!N51=0,"",III_voor_2p!N51)</f>
        <v/>
      </c>
      <c r="J104" s="85" t="str">
        <f>IF(III_voor_2p!Q51=0,"",III_voor_2p!Q51)</f>
        <v/>
      </c>
      <c r="K104" s="53" t="str">
        <f>IF(F104="","",CONCATENATE(Abitabel3!G98,":",Abitabel3!N98))</f>
        <v>3:0</v>
      </c>
      <c r="L104" s="35">
        <f>IF(K104="","",IF(LEFT(K104,1)&lt;RIGHT(K104,1),0,1))</f>
        <v>1</v>
      </c>
      <c r="M104" s="35">
        <f>IF(L104="","",IF(LEFT(K104,1)&gt;RIGHT(K104,1),0,1))</f>
        <v>0</v>
      </c>
      <c r="Q104" s="1" t="str">
        <f t="shared" si="15"/>
        <v/>
      </c>
    </row>
    <row r="105" spans="1:18">
      <c r="A105" s="7"/>
      <c r="B105" s="9" t="s">
        <v>11</v>
      </c>
      <c r="C105" s="8" t="str">
        <f>VLOOKUP(B105,III_voor_2p!$B$38:$K$42,2,FALSE)</f>
        <v>Daniel KOSIBA</v>
      </c>
      <c r="D105" s="9" t="s">
        <v>14</v>
      </c>
      <c r="E105" s="8" t="str">
        <f>VLOOKUP(D105,III_voor_2p!$M$38:$W$42,2,FALSE)</f>
        <v>Erik NÜÜD</v>
      </c>
      <c r="F105" s="85" t="str">
        <f>IF(III_voor_2p!E52=0,"",III_voor_2p!E52)</f>
        <v/>
      </c>
      <c r="G105" s="85" t="str">
        <f>IF(III_voor_2p!H52=0,"",III_voor_2p!H52)</f>
        <v/>
      </c>
      <c r="H105" s="85" t="str">
        <f>IF(III_voor_2p!K52=0,"",III_voor_2p!K52)</f>
        <v/>
      </c>
      <c r="I105" s="85" t="str">
        <f>IF(III_voor_2p!N52=0,"",III_voor_2p!N52)</f>
        <v/>
      </c>
      <c r="J105" s="85" t="str">
        <f>IF(III_voor_2p!Q52=0,"",III_voor_2p!Q52)</f>
        <v/>
      </c>
      <c r="K105" s="53" t="str">
        <f>IF(F105="","",CONCATENATE(Abitabel3!G99,":",Abitabel3!N99))</f>
        <v/>
      </c>
      <c r="L105" s="35" t="str">
        <f>IF(K105="","",IF(LEFT(K105,1)&lt;RIGHT(K105,1),0,1))</f>
        <v/>
      </c>
      <c r="M105" s="35" t="str">
        <f>IF(L105="","",IF(LEFT(K105,1)&gt;RIGHT(K105,1),0,1))</f>
        <v/>
      </c>
      <c r="Q105" s="1" t="str">
        <f t="shared" si="15"/>
        <v>ERROR</v>
      </c>
    </row>
    <row r="106" spans="1:18">
      <c r="A106" s="7"/>
      <c r="B106" s="10"/>
      <c r="C106" s="33" t="str">
        <f>VLOOKUP(C97,Koosseisud!A:B,2,FALSE )</f>
        <v>Meeskond2</v>
      </c>
      <c r="D106" s="10"/>
      <c r="E106" s="33" t="str">
        <f>VLOOKUP(E97,Koosseisud!A:B,2,FALSE)</f>
        <v>Meeskond5</v>
      </c>
      <c r="F106" s="10"/>
      <c r="G106" s="10"/>
      <c r="H106" s="10"/>
      <c r="I106" s="10"/>
      <c r="J106" s="11"/>
      <c r="K106" s="12"/>
      <c r="L106" s="13"/>
      <c r="M106" s="13"/>
    </row>
    <row r="107" spans="1:18" ht="15">
      <c r="A107" s="2" t="s">
        <v>78</v>
      </c>
      <c r="B107" s="3">
        <f>IF(K108="","",SUM(L108:L115))</f>
        <v>4</v>
      </c>
      <c r="C107" s="4" t="str">
        <f>III_voor_2p!G67</f>
        <v>TalTech Spordiklubi</v>
      </c>
      <c r="D107" s="3">
        <f>IF(K108="","",SUM(M108:M115))</f>
        <v>1</v>
      </c>
      <c r="E107" s="4" t="str">
        <f>III_voor_2p!R67</f>
        <v>Tartu SS Kalev</v>
      </c>
      <c r="F107" s="5" t="s">
        <v>2</v>
      </c>
      <c r="G107" s="5" t="s">
        <v>3</v>
      </c>
      <c r="H107" s="5" t="s">
        <v>4</v>
      </c>
      <c r="I107" s="5" t="s">
        <v>5</v>
      </c>
      <c r="J107" s="5" t="s">
        <v>6</v>
      </c>
      <c r="K107" s="6" t="s">
        <v>7</v>
      </c>
      <c r="L107" s="287" t="s">
        <v>8</v>
      </c>
      <c r="M107" s="287"/>
      <c r="R107" s="1" t="str">
        <f>IF(OR(B107=4,D107=4),"","ERROR")</f>
        <v/>
      </c>
    </row>
    <row r="108" spans="1:18">
      <c r="A108" s="7" t="s">
        <v>469</v>
      </c>
      <c r="B108" s="9" t="s">
        <v>9</v>
      </c>
      <c r="C108" s="8" t="str">
        <f>VLOOKUP(B108,III_voor_2p!$B$68:$K$72,2,FALSE)</f>
        <v>Madis MOOS</v>
      </c>
      <c r="D108" s="9" t="s">
        <v>10</v>
      </c>
      <c r="E108" s="8" t="str">
        <f>VLOOKUP(D108,III_voor_2p!$M$68:$W$72,2,FALSE)</f>
        <v>Markkos PUKK</v>
      </c>
      <c r="F108" s="85" t="str">
        <f>IF(III_voor_2p!E76=0,"",III_voor_2p!E76)</f>
        <v>7:11</v>
      </c>
      <c r="G108" s="85" t="str">
        <f>IF(III_voor_2p!H76=0,"",III_voor_2p!H76)</f>
        <v>11:8</v>
      </c>
      <c r="H108" s="85" t="str">
        <f>IF(III_voor_2p!K76=0,"",III_voor_2p!K76)</f>
        <v>11:7</v>
      </c>
      <c r="I108" s="85" t="str">
        <f>IF(III_voor_2p!N76=0,"",III_voor_2p!N76)</f>
        <v>11:9</v>
      </c>
      <c r="J108" s="85" t="str">
        <f>IF(III_voor_2p!Q76=0,"",III_voor_2p!Q76)</f>
        <v/>
      </c>
      <c r="K108" s="53" t="str">
        <f>IF(F108="","",CONCATENATE(Abitabel3!G102,":",Abitabel3!N102))</f>
        <v>3:1</v>
      </c>
      <c r="L108" s="35">
        <f>IF(K108="","",IF(LEFT(K108,1)&lt;RIGHT(K108,1),0,1))</f>
        <v>1</v>
      </c>
      <c r="M108" s="35">
        <f>IF(K108="","",IF(LEFT(K108,1)&gt;RIGHT(K108,1),0,1))</f>
        <v>0</v>
      </c>
      <c r="Q108" s="1" t="str">
        <f t="shared" si="15"/>
        <v/>
      </c>
    </row>
    <row r="109" spans="1:18">
      <c r="A109" s="7" t="s">
        <v>59</v>
      </c>
      <c r="B109" s="9" t="s">
        <v>11</v>
      </c>
      <c r="C109" s="8" t="str">
        <f>VLOOKUP(B109,III_voor_2p!$B$68:$K$72,2,FALSE)</f>
        <v>Samuli SOINE</v>
      </c>
      <c r="D109" s="9" t="s">
        <v>12</v>
      </c>
      <c r="E109" s="8" t="str">
        <f>VLOOKUP(D109,III_voor_2p!$M$68:$W$72,2,FALSE)</f>
        <v>Mart LUUK</v>
      </c>
      <c r="F109" s="85" t="str">
        <f>IF(III_voor_2p!E77=0,"",III_voor_2p!E77)</f>
        <v>11:4</v>
      </c>
      <c r="G109" s="85" t="str">
        <f>IF(III_voor_2p!H77=0,"",III_voor_2p!H77)</f>
        <v>11:7</v>
      </c>
      <c r="H109" s="85" t="str">
        <f>IF(III_voor_2p!K77=0,"",III_voor_2p!K77)</f>
        <v>11:5</v>
      </c>
      <c r="I109" s="85" t="str">
        <f>IF(III_voor_2p!N77=0,"",III_voor_2p!N77)</f>
        <v/>
      </c>
      <c r="J109" s="85" t="str">
        <f>IF(III_voor_2p!Q77=0,"",III_voor_2p!Q77)</f>
        <v/>
      </c>
      <c r="K109" s="53" t="str">
        <f>IF(F109="","",CONCATENATE(Abitabel3!G103,":",Abitabel3!N103))</f>
        <v>3:0</v>
      </c>
      <c r="L109" s="35">
        <f t="shared" ref="L109:L110" si="22">IF(K109="","",IF(LEFT(K109,1)&lt;RIGHT(K109,1),0,1))</f>
        <v>1</v>
      </c>
      <c r="M109" s="35">
        <f t="shared" ref="M109:M110" si="23">IF(K109="","",IF(LEFT(K109,1)&gt;RIGHT(K109,1),0,1))</f>
        <v>0</v>
      </c>
      <c r="Q109" s="1" t="str">
        <f t="shared" si="15"/>
        <v/>
      </c>
    </row>
    <row r="110" spans="1:18">
      <c r="A110" s="7"/>
      <c r="B110" s="9" t="s">
        <v>13</v>
      </c>
      <c r="C110" s="8" t="str">
        <f>VLOOKUP(B110,III_voor_2p!$B$68:$K$72,2,FALSE)</f>
        <v>Stanislav STROGOV</v>
      </c>
      <c r="D110" s="9" t="s">
        <v>14</v>
      </c>
      <c r="E110" s="8" t="str">
        <f>VLOOKUP(D110,III_voor_2p!$M$68:$W$72,2,FALSE)</f>
        <v>Osqar PUKK</v>
      </c>
      <c r="F110" s="85" t="str">
        <f>IF(III_voor_2p!E78=0,"",III_voor_2p!E78)</f>
        <v>11:9</v>
      </c>
      <c r="G110" s="85" t="str">
        <f>IF(III_voor_2p!H78=0,"",III_voor_2p!H78)</f>
        <v>5:11</v>
      </c>
      <c r="H110" s="85" t="str">
        <f>IF(III_voor_2p!K78=0,"",III_voor_2p!K78)</f>
        <v>8:11</v>
      </c>
      <c r="I110" s="85" t="str">
        <f>IF(III_voor_2p!N78=0,"",III_voor_2p!N78)</f>
        <v>8:11</v>
      </c>
      <c r="J110" s="85" t="str">
        <f>IF(III_voor_2p!Q78=0,"",III_voor_2p!Q78)</f>
        <v/>
      </c>
      <c r="K110" s="53" t="str">
        <f>IF(F110="","",CONCATENATE(Abitabel3!G104,":",Abitabel3!N104))</f>
        <v>1:3</v>
      </c>
      <c r="L110" s="35">
        <f t="shared" si="22"/>
        <v>0</v>
      </c>
      <c r="M110" s="35">
        <f t="shared" si="23"/>
        <v>1</v>
      </c>
      <c r="Q110" s="1" t="str">
        <f t="shared" si="15"/>
        <v/>
      </c>
    </row>
    <row r="111" spans="1:18">
      <c r="A111" s="7"/>
      <c r="B111" s="290" t="s">
        <v>15</v>
      </c>
      <c r="C111" s="1" t="str">
        <f>IF(ISBLANK(III_voor_2p!C79), "", INDEX(III_voor_2p!C68:C72, MATCH(MID(III_voor_2p!C79,1,1), III_voor_2p!B68:B72, 0)))</f>
        <v>Madis MOOS</v>
      </c>
      <c r="D111" s="290" t="s">
        <v>15</v>
      </c>
      <c r="E111" s="1" t="str">
        <f>IF(ISBLANK(III_voor_2p!C79), "", INDEX(III_voor_2p!N68:N72, MATCH(MID(III_voor_2p!C79,4,1), III_voor_2p!M68:M72, 0)))</f>
        <v>Markkos PUKK</v>
      </c>
      <c r="F111" s="300" t="str">
        <f>IF(III_voor_2p!E79=0,"",III_voor_2p!E79)</f>
        <v>11:9</v>
      </c>
      <c r="G111" s="300" t="str">
        <f>IF(III_voor_2p!H79=0,"",III_voor_2p!H79)</f>
        <v>11:9</v>
      </c>
      <c r="H111" s="300" t="str">
        <f>IF(III_voor_2p!K79=0,"",III_voor_2p!K79)</f>
        <v>3:11</v>
      </c>
      <c r="I111" s="300" t="str">
        <f>IF(III_voor_2p!N79=0,"",III_voor_2p!N79)</f>
        <v>9:11</v>
      </c>
      <c r="J111" s="300" t="str">
        <f>IF(III_voor_2p!Q79=0,"",III_voor_2p!Q79)</f>
        <v>11:4</v>
      </c>
      <c r="K111" s="294" t="str">
        <f>IF(F111="","",CONCATENATE(Abitabel3!G105,":",Abitabel3!N105))</f>
        <v>3:2</v>
      </c>
      <c r="L111" s="295">
        <f>IF(K111="","",IF(LEFT(K111,1)&lt;RIGHT(K111,1),0,1))</f>
        <v>1</v>
      </c>
      <c r="M111" s="295">
        <f>IF(K111="","",IF(LEFT(K111,1)&gt;RIGHT(K111,1),0,1))</f>
        <v>0</v>
      </c>
      <c r="Q111" s="1" t="str">
        <f t="shared" si="15"/>
        <v/>
      </c>
    </row>
    <row r="112" spans="1:18">
      <c r="A112" s="7"/>
      <c r="B112" s="291"/>
      <c r="C112" s="1" t="str">
        <f>IF(ISBLANK(III_voor_2p!C79), "", INDEX(III_voor_2p!C68:C72, MATCH(MID(III_voor_2p!C79,2,1), III_voor_2p!B68:B72, 0)))</f>
        <v>Stanislav STROGOV</v>
      </c>
      <c r="D112" s="291"/>
      <c r="E112" s="1" t="str">
        <f>IF(ISBLANK(III_voor_2p!C79), "", INDEX(III_voor_2p!N68:N72, MATCH(MID(III_voor_2p!C79,5,1), III_voor_2p!M68:M72, 0)))</f>
        <v>Arttu Antero PIHKALA</v>
      </c>
      <c r="F112" s="300"/>
      <c r="G112" s="300"/>
      <c r="H112" s="300"/>
      <c r="I112" s="300"/>
      <c r="J112" s="300"/>
      <c r="K112" s="294"/>
      <c r="L112" s="295"/>
      <c r="M112" s="295"/>
    </row>
    <row r="113" spans="1:18">
      <c r="A113" s="7"/>
      <c r="B113" s="9" t="s">
        <v>9</v>
      </c>
      <c r="C113" s="8" t="str">
        <f>VLOOKUP(B113,III_voor_2p!$B$68:$K$72,2,FALSE)</f>
        <v>Madis MOOS</v>
      </c>
      <c r="D113" s="9" t="s">
        <v>12</v>
      </c>
      <c r="E113" s="8" t="str">
        <f>VLOOKUP(D113,III_voor_2p!$M$68:$W$72,2,FALSE)</f>
        <v>Mart LUUK</v>
      </c>
      <c r="F113" s="85" t="str">
        <f>IF(III_voor_2p!E80=0,"",III_voor_2p!E80)</f>
        <v>11:7</v>
      </c>
      <c r="G113" s="85" t="str">
        <f>IF(III_voor_2p!H80=0,"",III_voor_2p!H80)</f>
        <v>10:12</v>
      </c>
      <c r="H113" s="85" t="str">
        <f>IF(III_voor_2p!K80=0,"",III_voor_2p!K80)</f>
        <v>11:6</v>
      </c>
      <c r="I113" s="85" t="str">
        <f>IF(III_voor_2p!N80=0,"",III_voor_2p!N80)</f>
        <v>11:6</v>
      </c>
      <c r="J113" s="85" t="str">
        <f>IF(III_voor_2p!Q80=0,"",III_voor_2p!Q80)</f>
        <v/>
      </c>
      <c r="K113" s="53" t="str">
        <f>IF(F113="","",CONCATENATE(Abitabel3!G107,":",Abitabel3!N107))</f>
        <v>3:1</v>
      </c>
      <c r="L113" s="35">
        <f>IF(K113="","",IF(LEFT(K113,1)&lt;RIGHT(K113,1),0,1))</f>
        <v>1</v>
      </c>
      <c r="M113" s="35">
        <f>IF(K113="","",IF(LEFT(K113,1)&gt;RIGHT(K113,1),0,1))</f>
        <v>0</v>
      </c>
      <c r="Q113" s="1" t="str">
        <f t="shared" si="15"/>
        <v/>
      </c>
    </row>
    <row r="114" spans="1:18">
      <c r="A114" s="7"/>
      <c r="B114" s="9" t="s">
        <v>13</v>
      </c>
      <c r="C114" s="8" t="str">
        <f>VLOOKUP(B114,III_voor_2p!$B$68:$K$72,2,FALSE)</f>
        <v>Stanislav STROGOV</v>
      </c>
      <c r="D114" s="9" t="s">
        <v>10</v>
      </c>
      <c r="E114" s="8" t="str">
        <f>VLOOKUP(D114,III_voor_2p!$M$68:$W$72,2,FALSE)</f>
        <v>Markkos PUKK</v>
      </c>
      <c r="F114" s="85" t="str">
        <f>IF(III_voor_2p!E81=0,"",III_voor_2p!E81)</f>
        <v/>
      </c>
      <c r="G114" s="85" t="str">
        <f>IF(III_voor_2p!H81=0,"",III_voor_2p!H81)</f>
        <v/>
      </c>
      <c r="H114" s="85" t="str">
        <f>IF(III_voor_2p!K81=0,"",III_voor_2p!K81)</f>
        <v/>
      </c>
      <c r="I114" s="85" t="str">
        <f>IF(III_voor_2p!N81=0,"",III_voor_2p!N81)</f>
        <v/>
      </c>
      <c r="J114" s="85" t="str">
        <f>IF(III_voor_2p!Q81=0,"",III_voor_2p!Q81)</f>
        <v/>
      </c>
      <c r="K114" s="53" t="str">
        <f>IF(F114="","",CONCATENATE(Abitabel3!G108,":",Abitabel3!N108))</f>
        <v/>
      </c>
      <c r="L114" s="35" t="str">
        <f t="shared" ref="L114:L115" si="24">IF(K114="","",IF(LEFT(K114,1)&lt;RIGHT(K114,1),0,1))</f>
        <v/>
      </c>
      <c r="M114" s="35" t="str">
        <f t="shared" ref="M114:M115" si="25">IF(K114="","",IF(LEFT(K114,1)&gt;RIGHT(K114,1),0,1))</f>
        <v/>
      </c>
      <c r="Q114" s="1" t="str">
        <f t="shared" si="15"/>
        <v>ERROR</v>
      </c>
    </row>
    <row r="115" spans="1:18">
      <c r="A115" s="7"/>
      <c r="B115" s="9" t="s">
        <v>11</v>
      </c>
      <c r="C115" s="8" t="str">
        <f>VLOOKUP(B115,III_voor_2p!$B$68:$K$72,2,FALSE)</f>
        <v>Samuli SOINE</v>
      </c>
      <c r="D115" s="9" t="s">
        <v>14</v>
      </c>
      <c r="E115" s="8" t="str">
        <f>VLOOKUP(D115,III_voor_2p!$M$68:$W$72,2,FALSE)</f>
        <v>Osqar PUKK</v>
      </c>
      <c r="F115" s="85" t="str">
        <f>IF(III_voor_2p!E82=0,"",III_voor_2p!E82)</f>
        <v/>
      </c>
      <c r="G115" s="85" t="str">
        <f>IF(III_voor_2p!H82=0,"",III_voor_2p!H82)</f>
        <v/>
      </c>
      <c r="H115" s="85" t="str">
        <f>IF(III_voor_2p!K82=0,"",III_voor_2p!K82)</f>
        <v/>
      </c>
      <c r="I115" s="85" t="str">
        <f>IF(III_voor_2p!N82=0,"",III_voor_2p!N82)</f>
        <v/>
      </c>
      <c r="J115" s="85" t="str">
        <f>IF(III_voor_2p!Q82=0,"",III_voor_2p!Q82)</f>
        <v/>
      </c>
      <c r="K115" s="53" t="str">
        <f>IF(F115="","",CONCATENATE(Abitabel3!G109,":",Abitabel3!N109))</f>
        <v/>
      </c>
      <c r="L115" s="35" t="str">
        <f t="shared" si="24"/>
        <v/>
      </c>
      <c r="M115" s="35" t="str">
        <f t="shared" si="25"/>
        <v/>
      </c>
      <c r="Q115" s="1" t="str">
        <f t="shared" si="15"/>
        <v>ERROR</v>
      </c>
    </row>
    <row r="116" spans="1:18">
      <c r="A116" s="7"/>
      <c r="B116" s="10"/>
      <c r="C116" s="33" t="str">
        <f>VLOOKUP(C107,Koosseisud!A:B,2,FALSE )</f>
        <v>Meeskond3</v>
      </c>
      <c r="D116" s="10"/>
      <c r="E116" s="33" t="str">
        <f>VLOOKUP(E107,Koosseisud!A:B,2,FALSE)</f>
        <v>Meeskond4</v>
      </c>
      <c r="F116" s="10"/>
      <c r="G116" s="10"/>
      <c r="H116" s="10"/>
      <c r="I116" s="10"/>
      <c r="J116" s="11"/>
      <c r="K116" s="12"/>
      <c r="L116" s="13"/>
      <c r="M116" s="13"/>
    </row>
    <row r="117" spans="1:18" ht="15">
      <c r="A117" s="2" t="s">
        <v>79</v>
      </c>
      <c r="B117" s="3">
        <f>IF(K118="","",SUM(L118:L125))</f>
        <v>4</v>
      </c>
      <c r="C117" s="4" t="str">
        <f>III_voor_2p!G97</f>
        <v>SPINMASTER</v>
      </c>
      <c r="D117" s="3">
        <f>IF(K118="","",SUM(M118:M125))</f>
        <v>3</v>
      </c>
      <c r="E117" s="4" t="str">
        <f>III_voor_2p!R97</f>
        <v>LTK Kalev/Radiaatorikeskus</v>
      </c>
      <c r="F117" s="5" t="s">
        <v>2</v>
      </c>
      <c r="G117" s="5" t="s">
        <v>3</v>
      </c>
      <c r="H117" s="5" t="s">
        <v>4</v>
      </c>
      <c r="I117" s="5" t="s">
        <v>5</v>
      </c>
      <c r="J117" s="5" t="s">
        <v>6</v>
      </c>
      <c r="K117" s="6" t="s">
        <v>7</v>
      </c>
      <c r="L117" s="287" t="s">
        <v>8</v>
      </c>
      <c r="M117" s="287"/>
      <c r="R117" s="1" t="str">
        <f>IF(OR(B117=4,D117=4),"","ERROR")</f>
        <v/>
      </c>
    </row>
    <row r="118" spans="1:18">
      <c r="A118" s="7" t="s">
        <v>469</v>
      </c>
      <c r="B118" s="9" t="s">
        <v>9</v>
      </c>
      <c r="C118" s="8" t="str">
        <f>VLOOKUP(B118,III_voor_2p!$B$98:$K$102,2,FALSE)</f>
        <v>Arturs RUDNIKOVS</v>
      </c>
      <c r="D118" s="9" t="s">
        <v>10</v>
      </c>
      <c r="E118" s="8" t="str">
        <f>VLOOKUP(D118,III_voor_2p!$M$98:$W$102,2,FALSE)</f>
        <v>Kristjan KANT</v>
      </c>
      <c r="F118" s="85" t="str">
        <f>IF(III_voor_2p!E106=0,"",III_voor_2p!E106)</f>
        <v>12:10</v>
      </c>
      <c r="G118" s="85" t="str">
        <f>IF(III_voor_2p!H106=0,"",III_voor_2p!H106)</f>
        <v>11:4</v>
      </c>
      <c r="H118" s="85" t="str">
        <f>IF(III_voor_2p!K106=0,"",III_voor_2p!K106)</f>
        <v>11:6</v>
      </c>
      <c r="I118" s="85" t="str">
        <f>IF(III_voor_2p!N106=0,"",III_voor_2p!N106)</f>
        <v/>
      </c>
      <c r="J118" s="85" t="str">
        <f>IF(III_voor_2p!Q106=0,"",III_voor_2p!Q106)</f>
        <v/>
      </c>
      <c r="K118" s="53" t="str">
        <f>IF(F118="","",CONCATENATE(Abitabel3!G112,":",Abitabel3!N112))</f>
        <v>3:0</v>
      </c>
      <c r="L118" s="35">
        <f>IF(K118="","",IF(LEFT(K118,1)&lt;RIGHT(K118,1),0,1))</f>
        <v>1</v>
      </c>
      <c r="M118" s="35">
        <f>IF(K118="","",IF(LEFT(K118,1)&gt;RIGHT(K118,1),0,1))</f>
        <v>0</v>
      </c>
      <c r="Q118" s="1" t="str">
        <f t="shared" si="15"/>
        <v/>
      </c>
    </row>
    <row r="119" spans="1:18">
      <c r="A119" s="7" t="s">
        <v>59</v>
      </c>
      <c r="B119" s="9" t="s">
        <v>11</v>
      </c>
      <c r="C119" s="8" t="str">
        <f>VLOOKUP(B119,III_voor_2p!$B$98:$K$102,2,FALSE)</f>
        <v>Filat ANDREEV</v>
      </c>
      <c r="D119" s="9" t="s">
        <v>12</v>
      </c>
      <c r="E119" s="8" t="str">
        <f>VLOOKUP(D119,III_voor_2p!$M$98:$W$102,2,FALSE)</f>
        <v>Allan KOTTISE</v>
      </c>
      <c r="F119" s="85" t="str">
        <f>IF(III_voor_2p!E107=0,"",III_voor_2p!E107)</f>
        <v>11:9</v>
      </c>
      <c r="G119" s="85" t="str">
        <f>IF(III_voor_2p!H107=0,"",III_voor_2p!H107)</f>
        <v>12:10</v>
      </c>
      <c r="H119" s="85" t="str">
        <f>IF(III_voor_2p!K107=0,"",III_voor_2p!K107)</f>
        <v>5:11</v>
      </c>
      <c r="I119" s="85" t="str">
        <f>IF(III_voor_2p!N107=0,"",III_voor_2p!N107)</f>
        <v>11:1</v>
      </c>
      <c r="J119" s="85" t="str">
        <f>IF(III_voor_2p!Q107=0,"",III_voor_2p!Q107)</f>
        <v/>
      </c>
      <c r="K119" s="53" t="str">
        <f>IF(F119="","",CONCATENATE(Abitabel3!G113,":",Abitabel3!N113))</f>
        <v>3:1</v>
      </c>
      <c r="L119" s="35">
        <f t="shared" ref="L119:L120" si="26">IF(K119="","",IF(LEFT(K119,1)&lt;RIGHT(K119,1),0,1))</f>
        <v>1</v>
      </c>
      <c r="M119" s="35">
        <f t="shared" ref="M119:M120" si="27">IF(K119="","",IF(LEFT(K119,1)&gt;RIGHT(K119,1),0,1))</f>
        <v>0</v>
      </c>
      <c r="Q119" s="1" t="str">
        <f t="shared" si="15"/>
        <v/>
      </c>
    </row>
    <row r="120" spans="1:18">
      <c r="A120" s="7"/>
      <c r="B120" s="9" t="s">
        <v>13</v>
      </c>
      <c r="C120" s="8" t="str">
        <f>VLOOKUP(B120,III_voor_2p!$B$98:$K$102,2,FALSE)</f>
        <v>Kevin KUKK</v>
      </c>
      <c r="D120" s="9" t="s">
        <v>14</v>
      </c>
      <c r="E120" s="8" t="str">
        <f>VLOOKUP(D120,III_voor_2p!$M$98:$W$102,2,FALSE)</f>
        <v xml:space="preserve">Martin KRAIKO </v>
      </c>
      <c r="F120" s="85" t="str">
        <f>IF(III_voor_2p!E108=0,"",III_voor_2p!E108)</f>
        <v>7:11</v>
      </c>
      <c r="G120" s="85" t="str">
        <f>IF(III_voor_2p!H108=0,"",III_voor_2p!H108)</f>
        <v>11:7</v>
      </c>
      <c r="H120" s="85" t="str">
        <f>IF(III_voor_2p!K108=0,"",III_voor_2p!K108)</f>
        <v>3:11</v>
      </c>
      <c r="I120" s="85" t="str">
        <f>IF(III_voor_2p!N108=0,"",III_voor_2p!N108)</f>
        <v>11:4</v>
      </c>
      <c r="J120" s="85" t="str">
        <f>IF(III_voor_2p!Q108=0,"",III_voor_2p!Q108)</f>
        <v>6:11</v>
      </c>
      <c r="K120" s="53" t="str">
        <f>IF(F120="","",CONCATENATE(Abitabel3!G114,":",Abitabel3!N114))</f>
        <v>2:3</v>
      </c>
      <c r="L120" s="35">
        <f t="shared" si="26"/>
        <v>0</v>
      </c>
      <c r="M120" s="35">
        <f t="shared" si="27"/>
        <v>1</v>
      </c>
      <c r="Q120" s="1" t="str">
        <f t="shared" si="15"/>
        <v/>
      </c>
    </row>
    <row r="121" spans="1:18">
      <c r="A121" s="7"/>
      <c r="B121" s="290" t="s">
        <v>15</v>
      </c>
      <c r="C121" s="1" t="str">
        <f>IF(ISBLANK(III_voor_2p!C109), "", INDEX(III_voor_2p!C98:C102, MATCH(MID(III_voor_2p!C109,1,1), III_voor_2p!B98:B102, 0)))</f>
        <v>Arturs RUDNIKOVS</v>
      </c>
      <c r="D121" s="290" t="s">
        <v>15</v>
      </c>
      <c r="E121" s="1" t="str">
        <f>IF(ISBLANK(III_voor_2p!C109), "", INDEX(III_voor_2p!N98:N102, MATCH(MID(III_voor_2p!C109,4,1), III_voor_2p!M98:M102, 0)))</f>
        <v>Kristjan KANT</v>
      </c>
      <c r="F121" s="300" t="str">
        <f>IF(III_voor_2p!E109=0,"",III_voor_2p!E109)</f>
        <v>11:13</v>
      </c>
      <c r="G121" s="300" t="str">
        <f>IF(III_voor_2p!H109=0,"",III_voor_2p!H109)</f>
        <v>8:11</v>
      </c>
      <c r="H121" s="300" t="str">
        <f>IF(III_voor_2p!K109=0,"",III_voor_2p!K109)</f>
        <v>6:11</v>
      </c>
      <c r="I121" s="300" t="str">
        <f>IF(III_voor_2p!N109=0,"",III_voor_2p!N109)</f>
        <v/>
      </c>
      <c r="J121" s="300" t="str">
        <f>IF(III_voor_2p!Q109=0,"",III_voor_2p!Q109)</f>
        <v/>
      </c>
      <c r="K121" s="294" t="str">
        <f>IF(F121="","",CONCATENATE(Abitabel3!G115,":",Abitabel3!N115))</f>
        <v>0:3</v>
      </c>
      <c r="L121" s="295">
        <f>IF(K121="","",IF(LEFT(K121,1)&lt;RIGHT(K121,1),0,1))</f>
        <v>0</v>
      </c>
      <c r="M121" s="295">
        <f>IF(K121="","",IF(LEFT(K121,1)&gt;RIGHT(K121,1),0,1))</f>
        <v>1</v>
      </c>
      <c r="Q121" s="1" t="str">
        <f t="shared" si="15"/>
        <v/>
      </c>
    </row>
    <row r="122" spans="1:18">
      <c r="A122" s="7"/>
      <c r="B122" s="291"/>
      <c r="C122" s="1" t="str">
        <f>IF(ISBLANK(III_voor_2p!C109), "", INDEX(III_voor_2p!C98:C102, MATCH(MID(III_voor_2p!C109,2,1), III_voor_2p!B98:B102, 0)))</f>
        <v>Filat ANDREEV</v>
      </c>
      <c r="D122" s="291"/>
      <c r="E122" s="1" t="str">
        <f>IF(ISBLANK(III_voor_2p!C109), "", INDEX(III_voor_2p!N98:N102, MATCH(MID(III_voor_2p!C109,5,1), III_voor_2p!M98:M102, 0)))</f>
        <v xml:space="preserve">Martin KRAIKO </v>
      </c>
      <c r="F122" s="300"/>
      <c r="G122" s="300"/>
      <c r="H122" s="300"/>
      <c r="I122" s="300"/>
      <c r="J122" s="300"/>
      <c r="K122" s="294"/>
      <c r="L122" s="295"/>
      <c r="M122" s="295"/>
    </row>
    <row r="123" spans="1:18">
      <c r="A123" s="7"/>
      <c r="B123" s="9" t="s">
        <v>9</v>
      </c>
      <c r="C123" s="8" t="str">
        <f>VLOOKUP(B123,III_voor_2p!$B$98:$K$102,2,FALSE)</f>
        <v>Arturs RUDNIKOVS</v>
      </c>
      <c r="D123" s="9" t="s">
        <v>12</v>
      </c>
      <c r="E123" s="8" t="str">
        <f>VLOOKUP(D123,III_voor_2p!$M$98:$W$102,2,FALSE)</f>
        <v>Allan KOTTISE</v>
      </c>
      <c r="F123" s="85" t="str">
        <f>IF(III_voor_2p!E110=0,"",III_voor_2p!E110)</f>
        <v>11:7</v>
      </c>
      <c r="G123" s="85" t="str">
        <f>IF(III_voor_2p!H110=0,"",III_voor_2p!H110)</f>
        <v>12:10</v>
      </c>
      <c r="H123" s="85" t="str">
        <f>IF(III_voor_2p!K110=0,"",III_voor_2p!K110)</f>
        <v>11:7</v>
      </c>
      <c r="I123" s="85" t="str">
        <f>IF(III_voor_2p!N110=0,"",III_voor_2p!N110)</f>
        <v/>
      </c>
      <c r="J123" s="85" t="str">
        <f>IF(III_voor_2p!Q110=0,"",III_voor_2p!Q110)</f>
        <v/>
      </c>
      <c r="K123" s="53" t="str">
        <f>IF(F123="","",CONCATENATE(Abitabel3!G117,":",Abitabel3!N117))</f>
        <v>3:0</v>
      </c>
      <c r="L123" s="35">
        <f t="shared" ref="L123:L125" si="28">IF(K123="","",IF(LEFT(K123,1)&lt;RIGHT(K123,1),0,1))</f>
        <v>1</v>
      </c>
      <c r="M123" s="35">
        <f t="shared" ref="M123:M125" si="29">IF(K123="","",IF(LEFT(K123,1)&gt;RIGHT(K123,1),0,1))</f>
        <v>0</v>
      </c>
      <c r="Q123" s="1" t="str">
        <f t="shared" si="15"/>
        <v/>
      </c>
    </row>
    <row r="124" spans="1:18">
      <c r="A124" s="7"/>
      <c r="B124" s="9" t="s">
        <v>13</v>
      </c>
      <c r="C124" s="8" t="str">
        <f>VLOOKUP(B124,III_voor_2p!$B$98:$K$102,2,FALSE)</f>
        <v>Kevin KUKK</v>
      </c>
      <c r="D124" s="9" t="s">
        <v>10</v>
      </c>
      <c r="E124" s="8" t="str">
        <f>VLOOKUP(D124,III_voor_2p!$M$98:$W$102,2,FALSE)</f>
        <v>Kristjan KANT</v>
      </c>
      <c r="F124" s="85" t="str">
        <f>IF(III_voor_2p!E111=0,"",III_voor_2p!E111)</f>
        <v>5:11</v>
      </c>
      <c r="G124" s="85" t="str">
        <f>IF(III_voor_2p!H111=0,"",III_voor_2p!H111)</f>
        <v>8:11</v>
      </c>
      <c r="H124" s="85" t="str">
        <f>IF(III_voor_2p!K111=0,"",III_voor_2p!K111)</f>
        <v>4:11</v>
      </c>
      <c r="I124" s="85" t="str">
        <f>IF(III_voor_2p!N111=0,"",III_voor_2p!N111)</f>
        <v/>
      </c>
      <c r="J124" s="85" t="str">
        <f>IF(III_voor_2p!Q111=0,"",III_voor_2p!Q111)</f>
        <v/>
      </c>
      <c r="K124" s="53" t="str">
        <f>IF(F124="","",CONCATENATE(Abitabel3!G118,":",Abitabel3!N118))</f>
        <v>0:3</v>
      </c>
      <c r="L124" s="35">
        <f t="shared" si="28"/>
        <v>0</v>
      </c>
      <c r="M124" s="35">
        <f t="shared" si="29"/>
        <v>1</v>
      </c>
      <c r="Q124" s="1" t="str">
        <f t="shared" si="15"/>
        <v/>
      </c>
    </row>
    <row r="125" spans="1:18">
      <c r="A125" s="7"/>
      <c r="B125" s="9" t="s">
        <v>11</v>
      </c>
      <c r="C125" s="8" t="str">
        <f>VLOOKUP(B125,III_voor_2p!$B$98:$K$102,2,FALSE)</f>
        <v>Filat ANDREEV</v>
      </c>
      <c r="D125" s="9" t="s">
        <v>14</v>
      </c>
      <c r="E125" s="8" t="str">
        <f>VLOOKUP(D125,III_voor_2p!$M$98:$W$102,2,FALSE)</f>
        <v xml:space="preserve">Martin KRAIKO </v>
      </c>
      <c r="F125" s="85" t="str">
        <f>IF(III_voor_2p!E112=0,"",III_voor_2p!E112)</f>
        <v>11:8</v>
      </c>
      <c r="G125" s="85" t="str">
        <f>IF(III_voor_2p!H112=0,"",III_voor_2p!H112)</f>
        <v>11:9</v>
      </c>
      <c r="H125" s="85" t="str">
        <f>IF(III_voor_2p!K112=0,"",III_voor_2p!K112)</f>
        <v>9:11</v>
      </c>
      <c r="I125" s="85" t="str">
        <f>IF(III_voor_2p!N112=0,"",III_voor_2p!N112)</f>
        <v>11:9</v>
      </c>
      <c r="J125" s="85" t="str">
        <f>IF(III_voor_2p!Q112=0,"",III_voor_2p!Q112)</f>
        <v/>
      </c>
      <c r="K125" s="53" t="str">
        <f>IF(F125="","",CONCATENATE(Abitabel3!G119,":",Abitabel3!N119))</f>
        <v>3:1</v>
      </c>
      <c r="L125" s="35">
        <f t="shared" si="28"/>
        <v>1</v>
      </c>
      <c r="M125" s="35">
        <f t="shared" si="29"/>
        <v>0</v>
      </c>
      <c r="Q125" s="1" t="str">
        <f t="shared" si="15"/>
        <v/>
      </c>
    </row>
    <row r="126" spans="1:18">
      <c r="C126" s="34" t="str">
        <f>VLOOKUP(C117,Koosseisud!A:B,2,FALSE)</f>
        <v>Meeskond6</v>
      </c>
      <c r="E126" s="34" t="str">
        <f>VLOOKUP(E117,Koosseisud!A:B,2,FALSE)</f>
        <v>Meeskond8</v>
      </c>
    </row>
  </sheetData>
  <mergeCells count="137">
    <mergeCell ref="A1:N1"/>
    <mergeCell ref="A2:N2"/>
    <mergeCell ref="A3:N3"/>
    <mergeCell ref="A4:N4"/>
    <mergeCell ref="A5:N5"/>
    <mergeCell ref="L7:M7"/>
    <mergeCell ref="B21:B22"/>
    <mergeCell ref="D21:D22"/>
    <mergeCell ref="F21:F22"/>
    <mergeCell ref="G21:G22"/>
    <mergeCell ref="H21:H22"/>
    <mergeCell ref="B11:B12"/>
    <mergeCell ref="D11:D12"/>
    <mergeCell ref="F11:F12"/>
    <mergeCell ref="G11:G12"/>
    <mergeCell ref="H11:H12"/>
    <mergeCell ref="I21:I22"/>
    <mergeCell ref="J21:J22"/>
    <mergeCell ref="K21:K22"/>
    <mergeCell ref="L21:L22"/>
    <mergeCell ref="M21:M22"/>
    <mergeCell ref="L27:M27"/>
    <mergeCell ref="J11:J12"/>
    <mergeCell ref="K11:K12"/>
    <mergeCell ref="L11:L12"/>
    <mergeCell ref="M11:M12"/>
    <mergeCell ref="L17:M17"/>
    <mergeCell ref="I11:I12"/>
    <mergeCell ref="B41:B42"/>
    <mergeCell ref="D41:D42"/>
    <mergeCell ref="F41:F42"/>
    <mergeCell ref="G41:G42"/>
    <mergeCell ref="H41:H42"/>
    <mergeCell ref="B31:B32"/>
    <mergeCell ref="D31:D32"/>
    <mergeCell ref="F31:F32"/>
    <mergeCell ref="G31:G32"/>
    <mergeCell ref="H31:H32"/>
    <mergeCell ref="I41:I42"/>
    <mergeCell ref="J41:J42"/>
    <mergeCell ref="K41:K42"/>
    <mergeCell ref="L41:L42"/>
    <mergeCell ref="M41:M42"/>
    <mergeCell ref="L47:M47"/>
    <mergeCell ref="J31:J32"/>
    <mergeCell ref="K31:K32"/>
    <mergeCell ref="L31:L32"/>
    <mergeCell ref="M31:M32"/>
    <mergeCell ref="L37:M37"/>
    <mergeCell ref="I31:I32"/>
    <mergeCell ref="B61:B62"/>
    <mergeCell ref="D61:D62"/>
    <mergeCell ref="F61:F62"/>
    <mergeCell ref="G61:G62"/>
    <mergeCell ref="H61:H62"/>
    <mergeCell ref="B51:B52"/>
    <mergeCell ref="D51:D52"/>
    <mergeCell ref="F51:F52"/>
    <mergeCell ref="G51:G52"/>
    <mergeCell ref="H51:H52"/>
    <mergeCell ref="I61:I62"/>
    <mergeCell ref="J61:J62"/>
    <mergeCell ref="K61:K62"/>
    <mergeCell ref="L61:L62"/>
    <mergeCell ref="M61:M62"/>
    <mergeCell ref="L67:M67"/>
    <mergeCell ref="J51:J52"/>
    <mergeCell ref="K51:K52"/>
    <mergeCell ref="L51:L52"/>
    <mergeCell ref="M51:M52"/>
    <mergeCell ref="L57:M57"/>
    <mergeCell ref="I51:I52"/>
    <mergeCell ref="B81:B82"/>
    <mergeCell ref="D81:D82"/>
    <mergeCell ref="F81:F82"/>
    <mergeCell ref="G81:G82"/>
    <mergeCell ref="H81:H82"/>
    <mergeCell ref="B71:B72"/>
    <mergeCell ref="D71:D72"/>
    <mergeCell ref="F71:F72"/>
    <mergeCell ref="G71:G72"/>
    <mergeCell ref="H71:H72"/>
    <mergeCell ref="I81:I82"/>
    <mergeCell ref="J81:J82"/>
    <mergeCell ref="L107:M107"/>
    <mergeCell ref="B101:B102"/>
    <mergeCell ref="D101:D102"/>
    <mergeCell ref="F101:F102"/>
    <mergeCell ref="G101:G102"/>
    <mergeCell ref="H101:H102"/>
    <mergeCell ref="B91:B92"/>
    <mergeCell ref="D91:D92"/>
    <mergeCell ref="F91:F92"/>
    <mergeCell ref="G91:G92"/>
    <mergeCell ref="H91:H92"/>
    <mergeCell ref="L87:M87"/>
    <mergeCell ref="J71:J72"/>
    <mergeCell ref="K71:K72"/>
    <mergeCell ref="L71:L72"/>
    <mergeCell ref="M71:M72"/>
    <mergeCell ref="L77:M77"/>
    <mergeCell ref="I71:I72"/>
    <mergeCell ref="I101:I102"/>
    <mergeCell ref="J101:J102"/>
    <mergeCell ref="K101:K102"/>
    <mergeCell ref="L101:L102"/>
    <mergeCell ref="M101:M102"/>
    <mergeCell ref="K81:K82"/>
    <mergeCell ref="L81:L82"/>
    <mergeCell ref="M81:M82"/>
    <mergeCell ref="J91:J92"/>
    <mergeCell ref="K91:K92"/>
    <mergeCell ref="L91:L92"/>
    <mergeCell ref="M91:M92"/>
    <mergeCell ref="L97:M97"/>
    <mergeCell ref="I91:I92"/>
    <mergeCell ref="I121:I122"/>
    <mergeCell ref="J121:J122"/>
    <mergeCell ref="K121:K122"/>
    <mergeCell ref="L121:L122"/>
    <mergeCell ref="M121:M122"/>
    <mergeCell ref="J111:J112"/>
    <mergeCell ref="K111:K112"/>
    <mergeCell ref="L111:L112"/>
    <mergeCell ref="B121:B122"/>
    <mergeCell ref="D121:D122"/>
    <mergeCell ref="F121:F122"/>
    <mergeCell ref="G121:G122"/>
    <mergeCell ref="H121:H122"/>
    <mergeCell ref="B111:B112"/>
    <mergeCell ref="D111:D112"/>
    <mergeCell ref="F111:F112"/>
    <mergeCell ref="G111:G112"/>
    <mergeCell ref="H111:H112"/>
    <mergeCell ref="M111:M112"/>
    <mergeCell ref="L117:M117"/>
    <mergeCell ref="I111:I112"/>
  </mergeCells>
  <conditionalFormatting sqref="D8:D10 B8:B10 B13:B16 D18:D20 B18:B20 D13:D16 B23:B70 B103:B125 D23:D30 D103:D110 B72:B100 D73:D80 D43:D50 D33:D40 D53:D60 D63:D70 D83:D90 D93:D100 D113:D120 D123:D125">
    <cfRule type="expression" dxfId="111" priority="30" stopIfTrue="1">
      <formula>#REF!=3</formula>
    </cfRule>
  </conditionalFormatting>
  <conditionalFormatting sqref="E7:E10 C7:C10 C58:C60 E58:E60 C68:C70 E68:E70 C78:C80 E78:E80 C13:C20 E13:E20 E23:E30 C23:C30 C43:C50 E43:E50 C33:C40 E33:E40 E53:E56 C53:C56 E63:E66 C63:C66 E83:E90 C83:C90 E73:E76 C73:C76 C93:C100 E93:E100 E103:E110 C103:C110 C113:C120 E113:E120 E123:E125 C123:C125">
    <cfRule type="cellIs" dxfId="110" priority="29" stopIfTrue="1" operator="equal">
      <formula>0</formula>
    </cfRule>
  </conditionalFormatting>
  <conditionalFormatting sqref="B11 B36 D36 B45 D45 D55 B55 B63 D63 B78 D78 D87 B87 B94 D94 B108 D108 D118 B118 D39 B39 D48 B48 D57 B57 B21 D29:D30 B29:B31 B41 B51 B61 D70 B70:B71 B81 B91 B101 B111 B121">
    <cfRule type="expression" dxfId="109" priority="28" stopIfTrue="1">
      <formula>#REF!=3</formula>
    </cfRule>
  </conditionalFormatting>
  <conditionalFormatting sqref="E11:E12 C11:C12">
    <cfRule type="cellIs" dxfId="108" priority="27" stopIfTrue="1" operator="equal">
      <formula>0</formula>
    </cfRule>
  </conditionalFormatting>
  <conditionalFormatting sqref="D11">
    <cfRule type="expression" dxfId="107" priority="26" stopIfTrue="1">
      <formula>#REF!=3</formula>
    </cfRule>
  </conditionalFormatting>
  <conditionalFormatting sqref="E21:E22 C21:C22">
    <cfRule type="cellIs" dxfId="106" priority="25" stopIfTrue="1" operator="equal">
      <formula>0</formula>
    </cfRule>
  </conditionalFormatting>
  <conditionalFormatting sqref="D21">
    <cfRule type="expression" dxfId="105" priority="24" stopIfTrue="1">
      <formula>#REF!=3</formula>
    </cfRule>
  </conditionalFormatting>
  <conditionalFormatting sqref="E31:E32 C31:C32">
    <cfRule type="cellIs" dxfId="104" priority="21" stopIfTrue="1" operator="equal">
      <formula>0</formula>
    </cfRule>
  </conditionalFormatting>
  <conditionalFormatting sqref="D31">
    <cfRule type="expression" dxfId="103" priority="20" stopIfTrue="1">
      <formula>#REF!=3</formula>
    </cfRule>
  </conditionalFormatting>
  <conditionalFormatting sqref="E41:E42 C41:C42">
    <cfRule type="cellIs" dxfId="102" priority="19" stopIfTrue="1" operator="equal">
      <formula>0</formula>
    </cfRule>
  </conditionalFormatting>
  <conditionalFormatting sqref="D41">
    <cfRule type="expression" dxfId="101" priority="18" stopIfTrue="1">
      <formula>#REF!=3</formula>
    </cfRule>
  </conditionalFormatting>
  <conditionalFormatting sqref="C51:C52">
    <cfRule type="cellIs" dxfId="100" priority="17" stopIfTrue="1" operator="equal">
      <formula>0</formula>
    </cfRule>
  </conditionalFormatting>
  <conditionalFormatting sqref="D51">
    <cfRule type="expression" dxfId="99" priority="16" stopIfTrue="1">
      <formula>#REF!=3</formula>
    </cfRule>
  </conditionalFormatting>
  <conditionalFormatting sqref="D61:D62">
    <cfRule type="expression" dxfId="98" priority="15" stopIfTrue="1">
      <formula>#REF!=3</formula>
    </cfRule>
  </conditionalFormatting>
  <conditionalFormatting sqref="D61">
    <cfRule type="expression" dxfId="97" priority="14" stopIfTrue="1">
      <formula>#REF!=3</formula>
    </cfRule>
  </conditionalFormatting>
  <conditionalFormatting sqref="D72">
    <cfRule type="expression" dxfId="96" priority="11" stopIfTrue="1">
      <formula>#REF!=3</formula>
    </cfRule>
  </conditionalFormatting>
  <conditionalFormatting sqref="D71">
    <cfRule type="expression" dxfId="95" priority="10" stopIfTrue="1">
      <formula>#REF!=3</formula>
    </cfRule>
  </conditionalFormatting>
  <conditionalFormatting sqref="D81:D82">
    <cfRule type="expression" dxfId="94" priority="9" stopIfTrue="1">
      <formula>#REF!=3</formula>
    </cfRule>
  </conditionalFormatting>
  <conditionalFormatting sqref="D81">
    <cfRule type="expression" dxfId="93" priority="8" stopIfTrue="1">
      <formula>#REF!=3</formula>
    </cfRule>
  </conditionalFormatting>
  <conditionalFormatting sqref="D91:D92">
    <cfRule type="expression" dxfId="92" priority="7" stopIfTrue="1">
      <formula>#REF!=3</formula>
    </cfRule>
  </conditionalFormatting>
  <conditionalFormatting sqref="D91">
    <cfRule type="expression" dxfId="91" priority="6" stopIfTrue="1">
      <formula>#REF!=3</formula>
    </cfRule>
  </conditionalFormatting>
  <conditionalFormatting sqref="D101">
    <cfRule type="expression" dxfId="90" priority="5" stopIfTrue="1">
      <formula>#REF!=3</formula>
    </cfRule>
  </conditionalFormatting>
  <conditionalFormatting sqref="D111:D112">
    <cfRule type="expression" dxfId="89" priority="4" stopIfTrue="1">
      <formula>#REF!=3</formula>
    </cfRule>
  </conditionalFormatting>
  <conditionalFormatting sqref="D111">
    <cfRule type="expression" dxfId="88" priority="3" stopIfTrue="1">
      <formula>#REF!=3</formula>
    </cfRule>
  </conditionalFormatting>
  <conditionalFormatting sqref="D121:D122">
    <cfRule type="expression" dxfId="87" priority="2" stopIfTrue="1">
      <formula>#REF!=3</formula>
    </cfRule>
  </conditionalFormatting>
  <conditionalFormatting sqref="D121">
    <cfRule type="expression" dxfId="86" priority="1" stopIfTrue="1">
      <formula>#REF!=3</formula>
    </cfRule>
  </conditionalFormatting>
  <pageMargins left="0.7" right="0.7" top="0.75" bottom="0.75" header="0.3" footer="0.3"/>
  <pageSetup paperSize="9" scale="63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5C20E1-14BC-444D-9015-4079B44FCDE3}">
          <x14:formula1>
            <xm:f>Abitabel!$J$1:$J$20</xm:f>
          </x14:formula1>
          <xm:sqref>K38:K45 K18:K25 K28:K35 K8:K15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AB8D4-6533-4345-8A8E-D122EA719C01}">
  <sheetPr>
    <pageSetUpPr fitToPage="1"/>
  </sheetPr>
  <dimension ref="A1:R86"/>
  <sheetViews>
    <sheetView topLeftCell="A6" zoomScale="85" zoomScaleNormal="85" workbookViewId="0">
      <selection activeCell="E32" sqref="E32"/>
    </sheetView>
  </sheetViews>
  <sheetFormatPr defaultColWidth="9.28515625" defaultRowHeight="12.75"/>
  <cols>
    <col min="1" max="1" width="13.710937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hidden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493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492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4</v>
      </c>
      <c r="C7" s="4" t="str">
        <f>I_voor_3p!G7</f>
        <v>Tiim FORUS - Maardu LTK</v>
      </c>
      <c r="D7" s="3">
        <f>IF(K8="","",SUM(M8:M15))</f>
        <v>0</v>
      </c>
      <c r="E7" s="4" t="str">
        <f>I_voor_3p!R7</f>
        <v>LTK Kalev/Radiaatorikeskus</v>
      </c>
      <c r="F7" s="5" t="s">
        <v>2</v>
      </c>
      <c r="G7" s="5" t="s">
        <v>3</v>
      </c>
      <c r="H7" s="5" t="s">
        <v>4</v>
      </c>
      <c r="I7" s="5" t="s">
        <v>5</v>
      </c>
      <c r="J7" s="5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128</v>
      </c>
      <c r="B8" s="9" t="s">
        <v>9</v>
      </c>
      <c r="C8" s="8" t="str">
        <f>VLOOKUP(B8,I_voor_3p!$B$8:$K$12,2,FALSE)</f>
        <v>Antoni WITKOWSKI</v>
      </c>
      <c r="D8" s="9" t="s">
        <v>10</v>
      </c>
      <c r="E8" s="8" t="str">
        <f>VLOOKUP(D8,I_voor_3p!$M$8:$W$12,2,FALSE)</f>
        <v xml:space="preserve">Martin KRAIKO </v>
      </c>
      <c r="F8" s="9" t="str">
        <f>IF(I_voor_3p!E16=0,"",I_voor_3p!E16)</f>
        <v>11:6</v>
      </c>
      <c r="G8" s="9" t="str">
        <f>IF(I_voor_3p!H16=0,"",I_voor_3p!H16)</f>
        <v>9:11</v>
      </c>
      <c r="H8" s="9" t="str">
        <f>IF(I_voor_3p!K16=0,"",I_voor_3p!K16)</f>
        <v>11:7</v>
      </c>
      <c r="I8" s="9" t="str">
        <f>IF(I_voor_3p!N16=0,"",I_voor_3p!N16)</f>
        <v>11:9</v>
      </c>
      <c r="J8" s="9" t="str">
        <f>IF(I_voor_3p!Q16=0,"",I_voor_3p!Q16)</f>
        <v/>
      </c>
      <c r="K8" s="53" t="str">
        <f>IF(F8="","",CONCATENATE(Abitabel4!G2,":",Abitabel4!N2))</f>
        <v>3:1</v>
      </c>
      <c r="L8" s="35">
        <f>IF(K8="","",IF(LEFT(K8,1)&lt;RIGHT(K8,1),0,1))</f>
        <v>1</v>
      </c>
      <c r="M8" s="35">
        <f>IF(K8="","",IF(LEFT(K8,1)&gt;RIGHT(K8,1),0,1))</f>
        <v>0</v>
      </c>
      <c r="Q8" s="1" t="str">
        <f>IF(OR(LEFT(K8,1)="3",RIGHT(K8,1)="3"),"","ERROR")</f>
        <v/>
      </c>
    </row>
    <row r="9" spans="1:18">
      <c r="A9" s="7" t="s">
        <v>59</v>
      </c>
      <c r="B9" s="9" t="s">
        <v>11</v>
      </c>
      <c r="C9" s="8" t="str">
        <f>VLOOKUP(B9,I_voor_3p!$B$8:$K$12,2,FALSE)</f>
        <v>Lauri LAANE</v>
      </c>
      <c r="D9" s="9" t="s">
        <v>12</v>
      </c>
      <c r="E9" s="8" t="str">
        <f>VLOOKUP(D9,I_voor_3p!$M$8:$W$12,2,FALSE)</f>
        <v>Allan KOTTISE</v>
      </c>
      <c r="F9" s="9" t="str">
        <f>IF(I_voor_3p!E17=0,"",I_voor_3p!E17)</f>
        <v>11:9</v>
      </c>
      <c r="G9" s="9" t="str">
        <f>IF(I_voor_3p!H17=0,"",I_voor_3p!H17)</f>
        <v>11:7</v>
      </c>
      <c r="H9" s="9" t="str">
        <f>IF(I_voor_3p!K17=0,"",I_voor_3p!K17)</f>
        <v>11:4</v>
      </c>
      <c r="I9" s="9" t="str">
        <f>IF(I_voor_3p!N17=0,"",I_voor_3p!N17)</f>
        <v/>
      </c>
      <c r="J9" s="9" t="str">
        <f>IF(I_voor_3p!Q17=0,"",I_voor_3p!Q17)</f>
        <v/>
      </c>
      <c r="K9" s="53" t="str">
        <f>IF(F9="","",CONCATENATE(Abitabel4!G3,":",Abitabel4!N3))</f>
        <v>3:0</v>
      </c>
      <c r="L9" s="35">
        <f t="shared" ref="L9:L10" si="0">IF(K9="","",IF(LEFT(K9,1)&lt;RIGHT(K9,1),0,1))</f>
        <v>1</v>
      </c>
      <c r="M9" s="35">
        <f t="shared" ref="M9:M10" si="1">IF(K9="","",IF(LEFT(K9,1)&gt;RIGHT(K9,1),0,1))</f>
        <v>0</v>
      </c>
      <c r="Q9" s="1" t="str">
        <f t="shared" ref="Q9:Q71" si="2">IF(OR(LEFT(K9,1)="3",RIGHT(K9,1)="3"),"","ERROR")</f>
        <v/>
      </c>
    </row>
    <row r="10" spans="1:18">
      <c r="A10" s="7"/>
      <c r="B10" s="9" t="s">
        <v>13</v>
      </c>
      <c r="C10" s="8" t="str">
        <f>VLOOKUP(B10,I_voor_3p!$B$8:$K$12,2,FALSE)</f>
        <v>Aleksandr SMIRNOV</v>
      </c>
      <c r="D10" s="9" t="s">
        <v>14</v>
      </c>
      <c r="E10" s="8" t="str">
        <f>VLOOKUP(D10,I_voor_3p!$M$8:$W$12,2,FALSE)</f>
        <v>Kristjan KANT</v>
      </c>
      <c r="F10" s="9" t="str">
        <f>IF(I_voor_3p!E18=0,"",I_voor_3p!E18)</f>
        <v>11:6</v>
      </c>
      <c r="G10" s="9" t="str">
        <f>IF(I_voor_3p!H18=0,"",I_voor_3p!H18)</f>
        <v>11:13</v>
      </c>
      <c r="H10" s="9" t="str">
        <f>IF(I_voor_3p!K18=0,"",I_voor_3p!K18)</f>
        <v>11:5</v>
      </c>
      <c r="I10" s="9" t="str">
        <f>IF(I_voor_3p!N18=0,"",I_voor_3p!N18)</f>
        <v>11:5</v>
      </c>
      <c r="J10" s="9" t="str">
        <f>IF(I_voor_3p!Q18=0,"",I_voor_3p!Q18)</f>
        <v/>
      </c>
      <c r="K10" s="53" t="str">
        <f>IF(F10="","",CONCATENATE(Abitabel4!G4,":",Abitabel4!N4))</f>
        <v>3:1</v>
      </c>
      <c r="L10" s="35">
        <f t="shared" si="0"/>
        <v>1</v>
      </c>
      <c r="M10" s="35">
        <f t="shared" si="1"/>
        <v>0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IF(ISBLANK(I_voor_3p!C19), "", INDEX(I_voor_3p!C8:C12, MATCH(MID(I_voor_3p!C19,1,1), I_voor_3p!B8:B12, 0)))</f>
        <v>Lauri LAANE</v>
      </c>
      <c r="D11" s="290" t="s">
        <v>15</v>
      </c>
      <c r="E11" s="8" t="str">
        <f>IF(ISBLANK(I_voor_3p!C19), "", INDEX(I_voor_3p!N8:N12, MATCH(MID(I_voor_3p!C19,4,1), I_voor_3p!M8:M12, 0)))</f>
        <v xml:space="preserve">Martin KRAIKO </v>
      </c>
      <c r="F11" s="292" t="str">
        <f>IF(I_voor_3p!E19=0,"",I_voor_3p!E19)</f>
        <v>11:6</v>
      </c>
      <c r="G11" s="292" t="str">
        <f>IF(I_voor_3p!H19=0,"",I_voor_3p!H19)</f>
        <v>11:2</v>
      </c>
      <c r="H11" s="292" t="str">
        <f>IF(I_voor_3p!K19=0,"",I_voor_3p!K19)</f>
        <v>11:4</v>
      </c>
      <c r="I11" s="292" t="str">
        <f>IF(I_voor_3p!N19=0,"",I_voor_3p!N19)</f>
        <v/>
      </c>
      <c r="J11" s="292" t="str">
        <f>IF(I_voor_3p!Q19=0,"",I_voor_3p!Q19)</f>
        <v/>
      </c>
      <c r="K11" s="294" t="str">
        <f>IF(F11="","",CONCATENATE(Abitabel4!G5,":",Abitabel4!N5))</f>
        <v>3:0</v>
      </c>
      <c r="L11" s="295">
        <f>IF(K11="","",IF(LEFT(K11,1)&lt;RIGHT(K11,1),0,1))</f>
        <v>1</v>
      </c>
      <c r="M11" s="295">
        <f>IF(K11="","",IF(LEFT(K11,1)&gt;RIGHT(K11,1),0,1))</f>
        <v>0</v>
      </c>
      <c r="Q11" s="1" t="str">
        <f t="shared" si="2"/>
        <v/>
      </c>
    </row>
    <row r="12" spans="1:18">
      <c r="A12" s="7"/>
      <c r="B12" s="291"/>
      <c r="C12" s="8" t="str">
        <f>IF(ISBLANK(I_voor_3p!C19), "", INDEX(I_voor_3p!C8:C12, MATCH(MID(I_voor_3p!C19,2,1), I_voor_3p!B8:B12, 0)))</f>
        <v>Aleksandr SMIRNOV</v>
      </c>
      <c r="D12" s="291"/>
      <c r="E12" s="8" t="str">
        <f>IF(ISBLANK(I_voor_3p!C19), "", INDEX(I_voor_3p!N8:N12, MATCH(MID(I_voor_3p!C19,5,1), I_voor_3p!M8:M12, 0)))</f>
        <v>Kristjan KANT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VLOOKUP(B13,I_voor_3p!$B$8:$K$12,2,FALSE)</f>
        <v>Antoni WITKOWSKI</v>
      </c>
      <c r="D13" s="9" t="s">
        <v>12</v>
      </c>
      <c r="E13" s="8" t="str">
        <f>VLOOKUP(D13,I_voor_3p!$M$8:$W$12,2,FALSE)</f>
        <v>Allan KOTTISE</v>
      </c>
      <c r="F13" s="82" t="str">
        <f>IF(I_voor_3p!E20=0,"",I_voor_3p!E20)</f>
        <v/>
      </c>
      <c r="G13" s="82" t="str">
        <f>IF(I_voor_3p!H20=0,"",I_voor_3p!H20)</f>
        <v/>
      </c>
      <c r="H13" s="82" t="str">
        <f>IF(I_voor_3p!K20=0,"",I_voor_3p!K20)</f>
        <v/>
      </c>
      <c r="I13" s="82" t="str">
        <f>IF(I_voor_3p!N20=0,"",I_voor_3p!N20)</f>
        <v/>
      </c>
      <c r="J13" s="82" t="str">
        <f>IF(I_voor_3p!Q20=0,"",I_voor_3p!Q20)</f>
        <v/>
      </c>
      <c r="K13" s="53" t="str">
        <f>IF(F13="","",CONCATENATE(Abitabel4!G7,":",Abitabel4!N7))</f>
        <v/>
      </c>
      <c r="L13" s="35" t="str">
        <f>IF(K13="","",IF(LEFT(K13,1)&lt;RIGHT(K13,1),0,1))</f>
        <v/>
      </c>
      <c r="M13" s="35" t="str">
        <f>IF(K13="","",IF(LEFT(K13,1)&gt;RIGHT(K13,1),0,1))</f>
        <v/>
      </c>
      <c r="Q13" s="1" t="str">
        <f t="shared" si="2"/>
        <v>ERROR</v>
      </c>
    </row>
    <row r="14" spans="1:18">
      <c r="A14" s="7"/>
      <c r="B14" s="9" t="s">
        <v>13</v>
      </c>
      <c r="C14" s="8" t="str">
        <f>VLOOKUP(B14,I_voor_3p!$B$8:$K$12,2,FALSE)</f>
        <v>Aleksandr SMIRNOV</v>
      </c>
      <c r="D14" s="9" t="s">
        <v>10</v>
      </c>
      <c r="E14" s="8" t="str">
        <f>VLOOKUP(D14,I_voor_3p!$M$8:$W$12,2,FALSE)</f>
        <v xml:space="preserve">Martin KRAIKO </v>
      </c>
      <c r="F14" s="82" t="str">
        <f>IF(I_voor_3p!E21=0,"",I_voor_3p!E21)</f>
        <v/>
      </c>
      <c r="G14" s="82" t="str">
        <f>IF(I_voor_3p!H21=0,"",I_voor_3p!H21)</f>
        <v/>
      </c>
      <c r="H14" s="82" t="str">
        <f>IF(I_voor_3p!K21=0,"",I_voor_3p!K21)</f>
        <v/>
      </c>
      <c r="I14" s="82" t="str">
        <f>IF(I_voor_3p!N21=0,"",I_voor_3p!N21)</f>
        <v/>
      </c>
      <c r="J14" s="82" t="str">
        <f>IF(I_voor_3p!Q21=0,"",I_voor_3p!Q21)</f>
        <v/>
      </c>
      <c r="K14" s="53" t="str">
        <f>IF(F14="","",CONCATENATE(Abitabel4!G8,":",Abitabel4!N8))</f>
        <v/>
      </c>
      <c r="L14" s="35" t="str">
        <f>IF(K14="","",IF(LEFT(K14,1)&lt;RIGHT(K14,1),0,1))</f>
        <v/>
      </c>
      <c r="M14" s="35" t="str">
        <f>IF(L14="","",IF(LEFT(K14,1)&gt;RIGHT(K14,1),0,1))</f>
        <v/>
      </c>
      <c r="Q14" s="1" t="str">
        <f t="shared" si="2"/>
        <v>ERROR</v>
      </c>
    </row>
    <row r="15" spans="1:18">
      <c r="A15" s="7"/>
      <c r="B15" s="9" t="s">
        <v>11</v>
      </c>
      <c r="C15" s="8" t="str">
        <f>VLOOKUP(B15,I_voor_3p!$B$8:$K$12,2,FALSE)</f>
        <v>Lauri LAANE</v>
      </c>
      <c r="D15" s="9" t="s">
        <v>14</v>
      </c>
      <c r="E15" s="8" t="str">
        <f>VLOOKUP(D15,I_voor_3p!$M$8:$W$12,2,FALSE)</f>
        <v>Kristjan KANT</v>
      </c>
      <c r="F15" s="82" t="str">
        <f>IF(I_voor_3p!E22=0,"",I_voor_3p!E22)</f>
        <v/>
      </c>
      <c r="G15" s="82" t="str">
        <f>IF(I_voor_3p!H22=0,"",I_voor_3p!H22)</f>
        <v/>
      </c>
      <c r="H15" s="82" t="str">
        <f>IF(I_voor_3p!K22=0,"",I_voor_3p!K22)</f>
        <v/>
      </c>
      <c r="I15" s="82" t="str">
        <f>IF(I_voor_3p!N22=0,"",I_voor_3p!N22)</f>
        <v/>
      </c>
      <c r="J15" s="82" t="str">
        <f>IF(I_voor_3p!Q22=0,"",I_voor_3p!Q22)</f>
        <v/>
      </c>
      <c r="K15" s="53" t="str">
        <f>IF(F15="","",CONCATENATE(Abitabel4!G9,":",Abitabel4!N9))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Meeskond1</v>
      </c>
      <c r="D16" s="10"/>
      <c r="E16" s="33" t="str">
        <f>VLOOKUP(E7,Koosseisud!A:B,2,FALSE)</f>
        <v>Meeskond8</v>
      </c>
      <c r="F16" s="10"/>
      <c r="G16" s="10"/>
      <c r="H16" s="10"/>
      <c r="I16" s="10"/>
      <c r="J16" s="11"/>
      <c r="K16" s="12"/>
      <c r="L16" s="13"/>
      <c r="M16" s="13"/>
    </row>
    <row r="17" spans="1:18" ht="15">
      <c r="A17" s="2" t="s">
        <v>69</v>
      </c>
      <c r="B17" s="3">
        <f>IF(K18="","",SUM(L18:L25))</f>
        <v>3</v>
      </c>
      <c r="C17" s="4" t="str">
        <f>I_voor_3p!G37</f>
        <v>Viimsi PINX</v>
      </c>
      <c r="D17" s="3">
        <f>IF(K18="","",SUM(M18:M25))</f>
        <v>4</v>
      </c>
      <c r="E17" s="4" t="str">
        <f>I_voor_3p!R37</f>
        <v>Viimsi LTK/EM-SERV</v>
      </c>
      <c r="F17" s="5" t="s">
        <v>2</v>
      </c>
      <c r="G17" s="5" t="s">
        <v>3</v>
      </c>
      <c r="H17" s="5" t="s">
        <v>4</v>
      </c>
      <c r="I17" s="5" t="s">
        <v>5</v>
      </c>
      <c r="J17" s="5" t="s">
        <v>6</v>
      </c>
      <c r="K17" s="6" t="s">
        <v>7</v>
      </c>
      <c r="L17" s="287" t="s">
        <v>8</v>
      </c>
      <c r="M17" s="287"/>
      <c r="R17" s="1" t="str">
        <f>IF(OR(B17=4,D17=4),"","ERROR")</f>
        <v/>
      </c>
    </row>
    <row r="18" spans="1:18">
      <c r="A18" s="7" t="s">
        <v>128</v>
      </c>
      <c r="B18" s="9" t="s">
        <v>9</v>
      </c>
      <c r="C18" s="8" t="str">
        <f>VLOOKUP(B18,I_voor_3p!$B$38:$K$42,2,FALSE)</f>
        <v>Toomas LIBENE</v>
      </c>
      <c r="D18" s="9" t="s">
        <v>10</v>
      </c>
      <c r="E18" s="8" t="str">
        <f>VLOOKUP(D18,I_voor_3p!$M$38:$W$42,2,FALSE)</f>
        <v>Ilmar VUHKA</v>
      </c>
      <c r="F18" s="9" t="str">
        <f>IF(I_voor_3p!E46=0,"",I_voor_3p!E46)</f>
        <v>11:6</v>
      </c>
      <c r="G18" s="9" t="str">
        <f>IF(I_voor_3p!H46=0,"",I_voor_3p!H46)</f>
        <v>11:1</v>
      </c>
      <c r="H18" s="9" t="str">
        <f>IF(I_voor_3p!K46=0,"",I_voor_3p!K46)</f>
        <v>11:5</v>
      </c>
      <c r="I18" s="9" t="str">
        <f>IF(I_voor_3p!N46=0,"",I_voor_3p!N46)</f>
        <v/>
      </c>
      <c r="J18" s="9" t="str">
        <f>IF(I_voor_3p!Q46=0,"",I_voor_3p!Q46)</f>
        <v/>
      </c>
      <c r="K18" s="53" t="str">
        <f>IF(F18="","",CONCATENATE(Abitabel4!G12,":",Abitabel4!N12))</f>
        <v>3:0</v>
      </c>
      <c r="L18" s="35">
        <f>IF(K18="","",IF(LEFT(K18,1)&lt;RIGHT(K18,1),0,1))</f>
        <v>1</v>
      </c>
      <c r="M18" s="35">
        <f>IF(K18="","",IF(LEFT(K18,1)&gt;RIGHT(K18,1),0,1))</f>
        <v>0</v>
      </c>
      <c r="Q18" s="1" t="str">
        <f t="shared" si="2"/>
        <v/>
      </c>
    </row>
    <row r="19" spans="1:18">
      <c r="A19" s="7" t="s">
        <v>59</v>
      </c>
      <c r="B19" s="9" t="s">
        <v>11</v>
      </c>
      <c r="C19" s="8" t="str">
        <f>VLOOKUP(B19,I_voor_3p!$B$38:$K$42,2,FALSE)</f>
        <v>Sergei PETROV</v>
      </c>
      <c r="D19" s="9" t="s">
        <v>12</v>
      </c>
      <c r="E19" s="8" t="str">
        <f>VLOOKUP(D19,I_voor_3p!$M$38:$W$42,2,FALSE)</f>
        <v>Pert Marten LEHTLAAN</v>
      </c>
      <c r="F19" s="9" t="str">
        <f>IF(I_voor_3p!E47=0,"",I_voor_3p!E47)</f>
        <v>11:13</v>
      </c>
      <c r="G19" s="9" t="str">
        <f>IF(I_voor_3p!H47=0,"",I_voor_3p!H47)</f>
        <v>6:11</v>
      </c>
      <c r="H19" s="9" t="str">
        <f>IF(I_voor_3p!K47=0,"",I_voor_3p!K47)</f>
        <v>11:7</v>
      </c>
      <c r="I19" s="9" t="str">
        <f>IF(I_voor_3p!N47=0,"",I_voor_3p!N47)</f>
        <v>6:11</v>
      </c>
      <c r="J19" s="9" t="str">
        <f>IF(I_voor_3p!Q47=0,"",I_voor_3p!Q47)</f>
        <v/>
      </c>
      <c r="K19" s="53" t="str">
        <f>IF(F19="","",CONCATENATE(Abitabel4!G13,":",Abitabel4!N13))</f>
        <v>1:3</v>
      </c>
      <c r="L19" s="35">
        <f t="shared" ref="L19:L20" si="3">IF(K19="","",IF(LEFT(K19,1)&lt;RIGHT(K19,1),0,1))</f>
        <v>0</v>
      </c>
      <c r="M19" s="35">
        <f t="shared" ref="M19:M20" si="4">IF(K19="","",IF(LEFT(K19,1)&gt;RIGHT(K19,1),0,1))</f>
        <v>1</v>
      </c>
      <c r="Q19" s="1" t="str">
        <f t="shared" si="2"/>
        <v/>
      </c>
    </row>
    <row r="20" spans="1:18">
      <c r="A20" s="7"/>
      <c r="B20" s="9" t="s">
        <v>13</v>
      </c>
      <c r="C20" s="8" t="str">
        <f>VLOOKUP(B20,I_voor_3p!$B$38:$K$42,2,FALSE)</f>
        <v>Carlo ACCORSI</v>
      </c>
      <c r="D20" s="9" t="s">
        <v>14</v>
      </c>
      <c r="E20" s="8" t="str">
        <f>VLOOKUP(D20,I_voor_3p!$M$38:$W$42,2,FALSE)</f>
        <v>Daniels KOGANS</v>
      </c>
      <c r="F20" s="9" t="str">
        <f>IF(I_voor_3p!E48=0,"",I_voor_3p!E48)</f>
        <v>9:11</v>
      </c>
      <c r="G20" s="9" t="str">
        <f>IF(I_voor_3p!H48=0,"",I_voor_3p!H48)</f>
        <v>4:11</v>
      </c>
      <c r="H20" s="9" t="str">
        <f>IF(I_voor_3p!K48=0,"",I_voor_3p!K48)</f>
        <v>11:8</v>
      </c>
      <c r="I20" s="9" t="str">
        <f>IF(I_voor_3p!N48=0,"",I_voor_3p!N48)</f>
        <v>8:11</v>
      </c>
      <c r="J20" s="9" t="str">
        <f>IF(I_voor_3p!Q48=0,"",I_voor_3p!Q48)</f>
        <v/>
      </c>
      <c r="K20" s="53" t="str">
        <f>IF(F20="","",CONCATENATE(Abitabel4!G14,":",Abitabel4!N14))</f>
        <v>1:3</v>
      </c>
      <c r="L20" s="35">
        <f t="shared" si="3"/>
        <v>0</v>
      </c>
      <c r="M20" s="35">
        <f t="shared" si="4"/>
        <v>1</v>
      </c>
      <c r="Q20" s="1" t="str">
        <f t="shared" si="2"/>
        <v/>
      </c>
    </row>
    <row r="21" spans="1:18">
      <c r="A21" s="7"/>
      <c r="B21" s="290" t="s">
        <v>15</v>
      </c>
      <c r="C21" s="8" t="str">
        <f>IF(ISBLANK(I_voor_3p!C49), "", INDEX(I_voor_3p!C38:C42, MATCH(MID(I_voor_3p!C49,1,1), I_voor_3p!B38:B42, 0)))</f>
        <v>Toomas LIBENE</v>
      </c>
      <c r="D21" s="290" t="s">
        <v>15</v>
      </c>
      <c r="E21" s="8" t="str">
        <f>IF(ISBLANK(I_voor_3p!C49), "", INDEX(I_voor_3p!N38:N42, MATCH(MID(I_voor_3p!C49,4,1), I_voor_3p!M38:M42, 0)))</f>
        <v>Pert Marten LEHTLAAN</v>
      </c>
      <c r="F21" s="292" t="str">
        <f>IF(I_voor_3p!E49=0,"",I_voor_3p!E49)</f>
        <v>11:8</v>
      </c>
      <c r="G21" s="292" t="str">
        <f>IF(I_voor_3p!H49=0,"",I_voor_3p!H49)</f>
        <v>11:9</v>
      </c>
      <c r="H21" s="292" t="str">
        <f>IF(I_voor_3p!K49=0,"",I_voor_3p!K49)</f>
        <v>8:11</v>
      </c>
      <c r="I21" s="292" t="str">
        <f>IF(I_voor_3p!N49=0,"",I_voor_3p!N49)</f>
        <v>2:11</v>
      </c>
      <c r="J21" s="292" t="str">
        <f>IF(I_voor_3p!Q49=0,"",I_voor_3p!Q49)</f>
        <v>11:8</v>
      </c>
      <c r="K21" s="294" t="str">
        <f>IF(F21="","",CONCATENATE(Abitabel4!G15,":",Abitabel4!N15))</f>
        <v>3:2</v>
      </c>
      <c r="L21" s="295">
        <f>IF(K21="","",IF(LEFT(K21,1)&lt;RIGHT(K21,1),0,1))</f>
        <v>1</v>
      </c>
      <c r="M21" s="295">
        <f>IF(K21="","",IF(LEFT(K21,1)&gt;RIGHT(K21,1),0,1))</f>
        <v>0</v>
      </c>
      <c r="Q21" s="1" t="str">
        <f t="shared" si="2"/>
        <v/>
      </c>
    </row>
    <row r="22" spans="1:18">
      <c r="A22" s="7"/>
      <c r="B22" s="291"/>
      <c r="C22" s="8" t="str">
        <f>IF(ISBLANK(I_voor_3p!C49), "", INDEX(I_voor_3p!C38:C42, MATCH(MID(I_voor_3p!C49,2,1), I_voor_3p!B38:B42, 0)))</f>
        <v>Carlo ACCORSI</v>
      </c>
      <c r="D22" s="291"/>
      <c r="E22" s="8" t="str">
        <f>IF(ISBLANK(I_voor_3p!C49), "", INDEX(I_voor_3p!N38:N42, MATCH(MID(I_voor_3p!C49,5,1), I_voor_3p!M38:M42, 0)))</f>
        <v>Ilmar VUHKA</v>
      </c>
      <c r="F22" s="293"/>
      <c r="G22" s="293"/>
      <c r="H22" s="293"/>
      <c r="I22" s="293"/>
      <c r="J22" s="293"/>
      <c r="K22" s="294"/>
      <c r="L22" s="295"/>
      <c r="M22" s="295"/>
    </row>
    <row r="23" spans="1:18">
      <c r="A23" s="7"/>
      <c r="B23" s="9" t="s">
        <v>9</v>
      </c>
      <c r="C23" s="8" t="str">
        <f>VLOOKUP(B23,I_voor_3p!$B$38:$K$42,2,FALSE)</f>
        <v>Toomas LIBENE</v>
      </c>
      <c r="D23" s="9" t="s">
        <v>12</v>
      </c>
      <c r="E23" s="8" t="str">
        <f>VLOOKUP(D23,I_voor_3p!$M$38:$W$42,2,FALSE)</f>
        <v>Pert Marten LEHTLAAN</v>
      </c>
      <c r="F23" s="82" t="str">
        <f>IF(I_voor_3p!E50=0,"",I_voor_3p!E50)</f>
        <v>15:17</v>
      </c>
      <c r="G23" s="82" t="str">
        <f>IF(I_voor_3p!H50=0,"",I_voor_3p!H50)</f>
        <v>12:10</v>
      </c>
      <c r="H23" s="82" t="str">
        <f>IF(I_voor_3p!K50=0,"",I_voor_3p!K50)</f>
        <v>11:8</v>
      </c>
      <c r="I23" s="82" t="str">
        <f>IF(I_voor_3p!N50=0,"",I_voor_3p!N50)</f>
        <v>12:10</v>
      </c>
      <c r="J23" s="82" t="str">
        <f>IF(I_voor_3p!Q50=0,"",I_voor_3p!Q50)</f>
        <v/>
      </c>
      <c r="K23" s="53" t="str">
        <f>IF(F23="","",CONCATENATE(Abitabel4!G17,":",Abitabel4!N17))</f>
        <v>3:1</v>
      </c>
      <c r="L23" s="35">
        <f>IF(K23="","",IF(LEFT(K23,1)&lt;RIGHT(K23,1),0,1))</f>
        <v>1</v>
      </c>
      <c r="M23" s="35">
        <f>IF(K23="","",IF(LEFT(K23,1)&gt;RIGHT(K23,1),0,1))</f>
        <v>0</v>
      </c>
      <c r="Q23" s="1" t="str">
        <f t="shared" si="2"/>
        <v/>
      </c>
    </row>
    <row r="24" spans="1:18">
      <c r="A24" s="7"/>
      <c r="B24" s="9" t="s">
        <v>13</v>
      </c>
      <c r="C24" s="8" t="str">
        <f>VLOOKUP(B24,I_voor_3p!$B$38:$K$42,2,FALSE)</f>
        <v>Carlo ACCORSI</v>
      </c>
      <c r="D24" s="9" t="s">
        <v>10</v>
      </c>
      <c r="E24" s="8" t="str">
        <f>VLOOKUP(D24,I_voor_3p!$M$38:$W$42,2,FALSE)</f>
        <v>Ilmar VUHKA</v>
      </c>
      <c r="F24" s="82" t="str">
        <f>IF(I_voor_3p!E51=0,"",I_voor_3p!E51)</f>
        <v>14:12</v>
      </c>
      <c r="G24" s="82" t="str">
        <f>IF(I_voor_3p!H51=0,"",I_voor_3p!H51)</f>
        <v>10:12</v>
      </c>
      <c r="H24" s="82" t="str">
        <f>IF(I_voor_3p!K51=0,"",I_voor_3p!K51)</f>
        <v>5:11</v>
      </c>
      <c r="I24" s="82" t="str">
        <f>IF(I_voor_3p!N51=0,"",I_voor_3p!N51)</f>
        <v>9:11</v>
      </c>
      <c r="J24" s="82" t="str">
        <f>IF(I_voor_3p!Q51=0,"",I_voor_3p!Q51)</f>
        <v/>
      </c>
      <c r="K24" s="53" t="str">
        <f>IF(F24="","",CONCATENATE(Abitabel4!G18,":",Abitabel4!N18))</f>
        <v>1:3</v>
      </c>
      <c r="L24" s="35">
        <f>IF(K24="","",IF(LEFT(K24,1)&lt;RIGHT(K24,1),0,1))</f>
        <v>0</v>
      </c>
      <c r="M24" s="35">
        <f>IF(L24="","",IF(LEFT(K24,1)&gt;RIGHT(K24,1),0,1))</f>
        <v>1</v>
      </c>
      <c r="Q24" s="1" t="str">
        <f t="shared" si="2"/>
        <v/>
      </c>
    </row>
    <row r="25" spans="1:18">
      <c r="A25" s="7"/>
      <c r="B25" s="9" t="s">
        <v>11</v>
      </c>
      <c r="C25" s="8" t="str">
        <f>VLOOKUP(B25,I_voor_3p!$B$38:$K$42,2,FALSE)</f>
        <v>Sergei PETROV</v>
      </c>
      <c r="D25" s="9" t="s">
        <v>14</v>
      </c>
      <c r="E25" s="8" t="str">
        <f>VLOOKUP(D25,I_voor_3p!$M$38:$W$42,2,FALSE)</f>
        <v>Daniels KOGANS</v>
      </c>
      <c r="F25" s="82" t="str">
        <f>IF(I_voor_3p!E52=0,"",I_voor_3p!E52)</f>
        <v>6:11</v>
      </c>
      <c r="G25" s="82" t="str">
        <f>IF(I_voor_3p!H52=0,"",I_voor_3p!H52)</f>
        <v>6:11</v>
      </c>
      <c r="H25" s="82" t="str">
        <f>IF(I_voor_3p!K52=0,"",I_voor_3p!K52)</f>
        <v>9:11</v>
      </c>
      <c r="I25" s="82" t="str">
        <f>IF(I_voor_3p!N52=0,"",I_voor_3p!N52)</f>
        <v/>
      </c>
      <c r="J25" s="82" t="str">
        <f>IF(I_voor_3p!Q52=0,"",I_voor_3p!Q52)</f>
        <v/>
      </c>
      <c r="K25" s="53" t="str">
        <f>IF(F25="","",CONCATENATE(Abitabel4!G19,":",Abitabel4!N19))</f>
        <v>0:3</v>
      </c>
      <c r="L25" s="35">
        <f>IF(K25="","",IF(LEFT(K25,1)&lt;RIGHT(K25,1),0,1))</f>
        <v>0</v>
      </c>
      <c r="M25" s="35">
        <f>IF(L25="","",IF(LEFT(K25,1)&gt;RIGHT(K25,1),0,1))</f>
        <v>1</v>
      </c>
      <c r="Q25" s="1" t="str">
        <f t="shared" si="2"/>
        <v/>
      </c>
    </row>
    <row r="26" spans="1:18">
      <c r="A26" s="7"/>
      <c r="B26" s="10"/>
      <c r="C26" s="33" t="str">
        <f>VLOOKUP(C17,Koosseisud!A:B,2,FALSE )</f>
        <v>Meeskond2</v>
      </c>
      <c r="D26" s="10"/>
      <c r="E26" s="33" t="str">
        <f>VLOOKUP(E17,Koosseisud!A:B,2,FALSE)</f>
        <v>Meeskond7</v>
      </c>
      <c r="F26" s="10"/>
      <c r="G26" s="10"/>
      <c r="H26" s="10"/>
      <c r="I26" s="10"/>
      <c r="J26" s="11"/>
      <c r="K26" s="12"/>
      <c r="L26" s="13"/>
      <c r="M26" s="13"/>
    </row>
    <row r="27" spans="1:18" ht="15">
      <c r="A27" s="2" t="s">
        <v>70</v>
      </c>
      <c r="B27" s="3">
        <f>IF(K28="","",SUM(L28:L35))</f>
        <v>4</v>
      </c>
      <c r="C27" s="4" t="str">
        <f>I_voor_3p!G67</f>
        <v>TalTech Spordiklubi</v>
      </c>
      <c r="D27" s="3">
        <f>IF(K28="","",SUM(M28:M35))</f>
        <v>0</v>
      </c>
      <c r="E27" s="4" t="str">
        <f>I_voor_3p!R67</f>
        <v>SPINMASTER</v>
      </c>
      <c r="F27" s="5" t="s">
        <v>2</v>
      </c>
      <c r="G27" s="5" t="s">
        <v>3</v>
      </c>
      <c r="H27" s="5" t="s">
        <v>4</v>
      </c>
      <c r="I27" s="5" t="s">
        <v>5</v>
      </c>
      <c r="J27" s="5" t="s">
        <v>6</v>
      </c>
      <c r="K27" s="6" t="s">
        <v>7</v>
      </c>
      <c r="L27" s="287" t="s">
        <v>8</v>
      </c>
      <c r="M27" s="287"/>
      <c r="R27" s="1" t="str">
        <f>IF(OR(B27=4,D27=4),"","ERROR")</f>
        <v/>
      </c>
    </row>
    <row r="28" spans="1:18">
      <c r="A28" s="7" t="s">
        <v>128</v>
      </c>
      <c r="B28" s="9" t="s">
        <v>9</v>
      </c>
      <c r="C28" s="8" t="str">
        <f>VLOOKUP(B28,I_voor_3p!$B$68:$K$72,2,FALSE)</f>
        <v>Andrei MALTIZOV</v>
      </c>
      <c r="D28" s="9" t="s">
        <v>10</v>
      </c>
      <c r="E28" s="8" t="str">
        <f>VLOOKUP(D28,I_voor_3p!$M$68:$W$72,2,FALSE)</f>
        <v>Jan Kenneth TOMING</v>
      </c>
      <c r="F28" s="9" t="str">
        <f>IF(I_voor_3p!E76=0,"",I_voor_3p!E76)</f>
        <v>11:5</v>
      </c>
      <c r="G28" s="9" t="str">
        <f>IF(I_voor_3p!H76=0,"",I_voor_3p!H76)</f>
        <v>12:10</v>
      </c>
      <c r="H28" s="9" t="str">
        <f>IF(I_voor_3p!K76=0,"",I_voor_3p!K76)</f>
        <v>11:6</v>
      </c>
      <c r="I28" s="9" t="str">
        <f>IF(I_voor_3p!N76=0,"",I_voor_3p!N76)</f>
        <v/>
      </c>
      <c r="J28" s="9" t="str">
        <f>IF(I_voor_3p!Q76=0,"",I_voor_3p!Q76)</f>
        <v/>
      </c>
      <c r="K28" s="53" t="str">
        <f>IF(F28="","",CONCATENATE(Abitabel4!G22,":",Abitabel4!N22))</f>
        <v>3:0</v>
      </c>
      <c r="L28" s="35">
        <f>IF(K28="","",IF(LEFT(K28,1)&lt;RIGHT(K28,1),0,1))</f>
        <v>1</v>
      </c>
      <c r="M28" s="35">
        <f>IF(K28="","",IF(LEFT(K28,1)&gt;RIGHT(K28,1),0,1))</f>
        <v>0</v>
      </c>
      <c r="Q28" s="1" t="str">
        <f t="shared" si="2"/>
        <v/>
      </c>
    </row>
    <row r="29" spans="1:18">
      <c r="A29" s="7" t="s">
        <v>59</v>
      </c>
      <c r="B29" s="9" t="s">
        <v>11</v>
      </c>
      <c r="C29" s="8" t="str">
        <f>VLOOKUP(B29,I_voor_3p!$B$68:$K$72,2,FALSE)</f>
        <v>Madis MOOS</v>
      </c>
      <c r="D29" s="9" t="s">
        <v>12</v>
      </c>
      <c r="E29" s="8" t="str">
        <f>VLOOKUP(D29,I_voor_3p!$M$68:$W$72,2,FALSE)</f>
        <v>Kevin KUKK</v>
      </c>
      <c r="F29" s="9" t="str">
        <f>IF(I_voor_3p!E77=0,"",I_voor_3p!E77)</f>
        <v>11:5</v>
      </c>
      <c r="G29" s="9" t="str">
        <f>IF(I_voor_3p!H77=0,"",I_voor_3p!H77)</f>
        <v>11:5</v>
      </c>
      <c r="H29" s="9" t="str">
        <f>IF(I_voor_3p!K77=0,"",I_voor_3p!K77)</f>
        <v>11:4</v>
      </c>
      <c r="I29" s="9" t="str">
        <f>IF(I_voor_3p!N77=0,"",I_voor_3p!N77)</f>
        <v/>
      </c>
      <c r="J29" s="9" t="str">
        <f>IF(I_voor_3p!Q77=0,"",I_voor_3p!Q77)</f>
        <v/>
      </c>
      <c r="K29" s="53" t="str">
        <f>IF(F29="","",CONCATENATE(Abitabel4!G23,":",Abitabel4!N23))</f>
        <v>3:0</v>
      </c>
      <c r="L29" s="35">
        <f t="shared" ref="L29:L30" si="5">IF(K29="","",IF(LEFT(K29,1)&lt;RIGHT(K29,1),0,1))</f>
        <v>1</v>
      </c>
      <c r="M29" s="35">
        <f t="shared" ref="M29:M30" si="6">IF(K29="","",IF(LEFT(K29,1)&gt;RIGHT(K29,1),0,1))</f>
        <v>0</v>
      </c>
      <c r="Q29" s="1" t="str">
        <f t="shared" si="2"/>
        <v/>
      </c>
    </row>
    <row r="30" spans="1:18">
      <c r="A30" s="7"/>
      <c r="B30" s="9" t="s">
        <v>13</v>
      </c>
      <c r="C30" s="8" t="str">
        <f>VLOOKUP(B30,I_voor_3p!$B$68:$K$72,2,FALSE)</f>
        <v>Stanislav STROGOV</v>
      </c>
      <c r="D30" s="9" t="s">
        <v>14</v>
      </c>
      <c r="E30" s="8" t="str">
        <f>VLOOKUP(D30,I_voor_3p!$M$68:$W$72,2,FALSE)</f>
        <v>Filat ANDREEV</v>
      </c>
      <c r="F30" s="9" t="str">
        <f>IF(I_voor_3p!E78=0,"",I_voor_3p!E78)</f>
        <v>11:13</v>
      </c>
      <c r="G30" s="9" t="str">
        <f>IF(I_voor_3p!H78=0,"",I_voor_3p!H78)</f>
        <v>11:4</v>
      </c>
      <c r="H30" s="9" t="str">
        <f>IF(I_voor_3p!K78=0,"",I_voor_3p!K78)</f>
        <v>11:4</v>
      </c>
      <c r="I30" s="9" t="str">
        <f>IF(I_voor_3p!N78=0,"",I_voor_3p!N78)</f>
        <v>11:6</v>
      </c>
      <c r="J30" s="9" t="str">
        <f>IF(I_voor_3p!Q78=0,"",I_voor_3p!Q78)</f>
        <v/>
      </c>
      <c r="K30" s="53" t="str">
        <f>IF(F30="","",CONCATENATE(Abitabel4!G24,":",Abitabel4!N24))</f>
        <v>3:1</v>
      </c>
      <c r="L30" s="35">
        <f t="shared" si="5"/>
        <v>1</v>
      </c>
      <c r="M30" s="35">
        <f t="shared" si="6"/>
        <v>0</v>
      </c>
      <c r="Q30" s="1" t="str">
        <f t="shared" si="2"/>
        <v/>
      </c>
    </row>
    <row r="31" spans="1:18">
      <c r="A31" s="7"/>
      <c r="B31" s="290" t="s">
        <v>15</v>
      </c>
      <c r="C31" s="8" t="str">
        <f>IF(ISBLANK(I_voor_3p!C79), "", INDEX(I_voor_3p!C68:C72, MATCH(MID(I_voor_3p!C79,1,1), I_voor_3p!B68:B72, 0)))</f>
        <v>Andrei MALTIZOV</v>
      </c>
      <c r="D31" s="290" t="s">
        <v>15</v>
      </c>
      <c r="E31" s="8" t="str">
        <f>IF(ISBLANK(I_voor_3p!C79), "", INDEX(I_voor_3p!N68:N72, MATCH(MID(I_voor_3p!C79,4,1), I_voor_3p!M68:M72, 0)))</f>
        <v>Jan Kenneth TOMING</v>
      </c>
      <c r="F31" s="292" t="str">
        <f>IF(I_voor_3p!E79=0,"",I_voor_3p!E79)</f>
        <v>6:11</v>
      </c>
      <c r="G31" s="292" t="str">
        <f>IF(I_voor_3p!H79=0,"",I_voor_3p!H79)</f>
        <v>9:11</v>
      </c>
      <c r="H31" s="292" t="str">
        <f>IF(I_voor_3p!K79=0,"",I_voor_3p!K79)</f>
        <v>11:4</v>
      </c>
      <c r="I31" s="292" t="str">
        <f>IF(I_voor_3p!N79=0,"",I_voor_3p!N79)</f>
        <v>11:5</v>
      </c>
      <c r="J31" s="292" t="str">
        <f>IF(I_voor_3p!Q79=0,"",I_voor_3p!Q79)</f>
        <v>11:4</v>
      </c>
      <c r="K31" s="294" t="str">
        <f>IF(F31="","",CONCATENATE(Abitabel4!G25,":",Abitabel4!N25))</f>
        <v>3:2</v>
      </c>
      <c r="L31" s="295">
        <f>IF(K31="","",IF(LEFT(K31,1)&lt;RIGHT(K31,1),0,1))</f>
        <v>1</v>
      </c>
      <c r="M31" s="295">
        <f>IF(K31="","",IF(LEFT(K31,1)&gt;RIGHT(K31,1),0,1))</f>
        <v>0</v>
      </c>
      <c r="Q31" s="1" t="str">
        <f t="shared" si="2"/>
        <v/>
      </c>
    </row>
    <row r="32" spans="1:18">
      <c r="A32" s="7"/>
      <c r="B32" s="291"/>
      <c r="C32" s="8" t="str">
        <f>IF(ISBLANK(I_voor_3p!C79), "", INDEX(I_voor_3p!C68:C72, MATCH(MID(I_voor_3p!C79,2,1), I_voor_3p!B68:B72, 0)))</f>
        <v>Stanislav STROGOV</v>
      </c>
      <c r="D32" s="291"/>
      <c r="E32" s="8" t="str">
        <f>IF(ISBLANK(I_voor_3p!C79), "", INDEX(I_voor_3p!N68:N72, MATCH(MID(I_voor_3p!C79,5,1), I_voor_3p!M68:M72, 0)))</f>
        <v>Filat ANDREEV</v>
      </c>
      <c r="F32" s="293"/>
      <c r="G32" s="293"/>
      <c r="H32" s="293"/>
      <c r="I32" s="293"/>
      <c r="J32" s="293"/>
      <c r="K32" s="294"/>
      <c r="L32" s="295"/>
      <c r="M32" s="295"/>
    </row>
    <row r="33" spans="1:18">
      <c r="A33" s="7"/>
      <c r="B33" s="9" t="s">
        <v>9</v>
      </c>
      <c r="C33" s="8" t="str">
        <f>VLOOKUP(B33,I_voor_3p!$B$68:$K$72,2,FALSE)</f>
        <v>Andrei MALTIZOV</v>
      </c>
      <c r="D33" s="9" t="s">
        <v>12</v>
      </c>
      <c r="E33" s="8" t="str">
        <f>VLOOKUP(D33,I_voor_3p!$M$68:$W$72,2,FALSE)</f>
        <v>Kevin KUKK</v>
      </c>
      <c r="F33" s="82" t="str">
        <f>IF(I_voor_3p!E80=0,"",I_voor_3p!E80)</f>
        <v/>
      </c>
      <c r="G33" s="82" t="str">
        <f>IF(I_voor_3p!H80=0,"",I_voor_3p!H80)</f>
        <v/>
      </c>
      <c r="H33" s="82" t="str">
        <f>IF(I_voor_3p!K80=0,"",I_voor_3p!K80)</f>
        <v/>
      </c>
      <c r="I33" s="82" t="str">
        <f>IF(I_voor_3p!N80=0,"",I_voor_3p!N80)</f>
        <v/>
      </c>
      <c r="J33" s="82" t="str">
        <f>IF(I_voor_3p!Q80=0,"",I_voor_3p!Q80)</f>
        <v/>
      </c>
      <c r="K33" s="53" t="str">
        <f>IF(F33="","",CONCATENATE(Abitabel4!G27,":",Abitabel4!N27))</f>
        <v/>
      </c>
      <c r="L33" s="35" t="str">
        <f>IF(K33="","",IF(LEFT(K33,1)&lt;RIGHT(K33,1),0,1))</f>
        <v/>
      </c>
      <c r="M33" s="35" t="str">
        <f>IF(K33="","",IF(LEFT(K33,1)&gt;RIGHT(K33,1),0,1))</f>
        <v/>
      </c>
      <c r="Q33" s="1" t="str">
        <f t="shared" si="2"/>
        <v>ERROR</v>
      </c>
    </row>
    <row r="34" spans="1:18">
      <c r="A34" s="7"/>
      <c r="B34" s="9" t="s">
        <v>13</v>
      </c>
      <c r="C34" s="8" t="str">
        <f>VLOOKUP(B34,I_voor_3p!$B$68:$K$72,2,FALSE)</f>
        <v>Stanislav STROGOV</v>
      </c>
      <c r="D34" s="9" t="s">
        <v>10</v>
      </c>
      <c r="E34" s="8" t="str">
        <f>VLOOKUP(D34,I_voor_3p!$M$68:$W$72,2,FALSE)</f>
        <v>Jan Kenneth TOMING</v>
      </c>
      <c r="F34" s="82" t="str">
        <f>IF(I_voor_3p!E81=0,"",I_voor_3p!E81)</f>
        <v/>
      </c>
      <c r="G34" s="82" t="str">
        <f>IF(I_voor_3p!H81=0,"",I_voor_3p!H81)</f>
        <v/>
      </c>
      <c r="H34" s="82" t="str">
        <f>IF(I_voor_3p!K81=0,"",I_voor_3p!K81)</f>
        <v/>
      </c>
      <c r="I34" s="82" t="str">
        <f>IF(I_voor_3p!N81=0,"",I_voor_3p!N81)</f>
        <v/>
      </c>
      <c r="J34" s="82" t="str">
        <f>IF(I_voor_3p!Q81=0,"",I_voor_3p!Q81)</f>
        <v/>
      </c>
      <c r="K34" s="53" t="str">
        <f>IF(F34="","",CONCATENATE(Abitabel4!G28,":",Abitabel4!N28))</f>
        <v/>
      </c>
      <c r="L34" s="35" t="str">
        <f>IF(K34="","",IF(LEFT(K34,1)&lt;RIGHT(K34,1),0,1))</f>
        <v/>
      </c>
      <c r="M34" s="35" t="str">
        <f>IF(L34="","",IF(LEFT(K34,1)&gt;RIGHT(K34,1),0,1))</f>
        <v/>
      </c>
      <c r="Q34" s="1" t="str">
        <f t="shared" si="2"/>
        <v>ERROR</v>
      </c>
    </row>
    <row r="35" spans="1:18">
      <c r="A35" s="7"/>
      <c r="B35" s="9" t="s">
        <v>11</v>
      </c>
      <c r="C35" s="8" t="str">
        <f>VLOOKUP(B35,I_voor_3p!$B$68:$K$72,2,FALSE)</f>
        <v>Madis MOOS</v>
      </c>
      <c r="D35" s="9" t="s">
        <v>14</v>
      </c>
      <c r="E35" s="8" t="str">
        <f>VLOOKUP(D35,I_voor_3p!$M$68:$W$72,2,FALSE)</f>
        <v>Filat ANDREEV</v>
      </c>
      <c r="F35" s="82" t="str">
        <f>IF(I_voor_3p!E82=0,"",I_voor_3p!E82)</f>
        <v/>
      </c>
      <c r="G35" s="82" t="str">
        <f>IF(I_voor_3p!H82=0,"",I_voor_3p!H82)</f>
        <v/>
      </c>
      <c r="H35" s="82" t="str">
        <f>IF(I_voor_3p!K82=0,"",I_voor_3p!K82)</f>
        <v/>
      </c>
      <c r="I35" s="82" t="str">
        <f>IF(I_voor_3p!N82=0,"",I_voor_3p!N82)</f>
        <v/>
      </c>
      <c r="J35" s="82" t="str">
        <f>IF(I_voor_3p!Q82=0,"",I_voor_3p!Q82)</f>
        <v/>
      </c>
      <c r="K35" s="53" t="str">
        <f>IF(F35="","",CONCATENATE(Abitabel4!G29,":",Abitabel4!N29))</f>
        <v/>
      </c>
      <c r="L35" s="35" t="str">
        <f>IF(K35="","",IF(LEFT(K35,1)&lt;RIGHT(K35,1),0,1))</f>
        <v/>
      </c>
      <c r="M35" s="35" t="str">
        <f>IF(L35="","",IF(LEFT(K35,1)&gt;RIGHT(K35,1),0,1))</f>
        <v/>
      </c>
      <c r="Q35" s="1" t="str">
        <f t="shared" si="2"/>
        <v>ERROR</v>
      </c>
    </row>
    <row r="36" spans="1:18">
      <c r="A36" s="7"/>
      <c r="B36" s="10"/>
      <c r="C36" s="33" t="str">
        <f>VLOOKUP(C27,Koosseisud!A:B,2,FALSE )</f>
        <v>Meeskond3</v>
      </c>
      <c r="D36" s="10"/>
      <c r="E36" s="33" t="str">
        <f>VLOOKUP(E27,Koosseisud!A:B,2,FALSE)</f>
        <v>Meeskond6</v>
      </c>
      <c r="F36" s="10"/>
      <c r="G36" s="10"/>
      <c r="H36" s="10"/>
      <c r="I36" s="10"/>
      <c r="J36" s="11"/>
      <c r="K36" s="12"/>
      <c r="L36" s="13"/>
      <c r="M36" s="13"/>
    </row>
    <row r="37" spans="1:18" ht="15">
      <c r="A37" s="2" t="s">
        <v>71</v>
      </c>
      <c r="B37" s="3">
        <f>IF(K38="","",SUM(L38:L45))</f>
        <v>4</v>
      </c>
      <c r="C37" s="4" t="str">
        <f>I_voor_3p!G97</f>
        <v>Tartu SS Kalev</v>
      </c>
      <c r="D37" s="3">
        <f>IF(K38="","",SUM(M38:M45))</f>
        <v>1</v>
      </c>
      <c r="E37" s="4" t="str">
        <f>I_voor_3p!R97</f>
        <v>Viljandi LTK Sakala</v>
      </c>
      <c r="F37" s="5" t="s">
        <v>2</v>
      </c>
      <c r="G37" s="5" t="s">
        <v>3</v>
      </c>
      <c r="H37" s="5" t="s">
        <v>4</v>
      </c>
      <c r="I37" s="5" t="s">
        <v>5</v>
      </c>
      <c r="J37" s="5" t="s">
        <v>6</v>
      </c>
      <c r="K37" s="6" t="s">
        <v>7</v>
      </c>
      <c r="L37" s="287" t="s">
        <v>8</v>
      </c>
      <c r="M37" s="287"/>
      <c r="R37" s="1" t="str">
        <f>IF(OR(B37=4,D37=4),"","ERROR")</f>
        <v/>
      </c>
    </row>
    <row r="38" spans="1:18">
      <c r="A38" s="7" t="s">
        <v>128</v>
      </c>
      <c r="B38" s="9" t="s">
        <v>9</v>
      </c>
      <c r="C38" s="8" t="str">
        <f>VLOOKUP(B38,I_voor_3p!$B$98:$K$102,2,FALSE)</f>
        <v>Markkos PUKK</v>
      </c>
      <c r="D38" s="9" t="s">
        <v>10</v>
      </c>
      <c r="E38" s="8" t="str">
        <f>VLOOKUP(D38,I_voor_3p!$M$98:$W$102,2,FALSE)</f>
        <v>Valdas  MARTINKUS</v>
      </c>
      <c r="F38" s="9" t="str">
        <f>IF(I_voor_3p!E106=0,"",I_voor_3p!E106)</f>
        <v>6:11</v>
      </c>
      <c r="G38" s="9" t="str">
        <f>IF(I_voor_3p!H106=0,"",I_voor_3p!H106)</f>
        <v>4:11</v>
      </c>
      <c r="H38" s="9" t="str">
        <f>IF(I_voor_3p!K106=0,"",I_voor_3p!K106)</f>
        <v>1:11</v>
      </c>
      <c r="I38" s="9" t="str">
        <f>IF(I_voor_3p!N106=0,"",I_voor_3p!N106)</f>
        <v/>
      </c>
      <c r="J38" s="9" t="str">
        <f>IF(I_voor_3p!Q106=0,"",I_voor_3p!Q106)</f>
        <v/>
      </c>
      <c r="K38" s="53" t="str">
        <f>IF(F38="","",CONCATENATE(Abitabel4!G32,":",Abitabel4!N32))</f>
        <v>0:3</v>
      </c>
      <c r="L38" s="35">
        <f>IF(K38="","",IF(LEFT(K38,1)&lt;RIGHT(K38,1),0,1))</f>
        <v>0</v>
      </c>
      <c r="M38" s="35">
        <f>IF(K38="","",IF(LEFT(K38,1)&gt;RIGHT(K38,1),0,1))</f>
        <v>1</v>
      </c>
      <c r="Q38" s="1" t="str">
        <f t="shared" si="2"/>
        <v/>
      </c>
    </row>
    <row r="39" spans="1:18">
      <c r="A39" s="7" t="s">
        <v>59</v>
      </c>
      <c r="B39" s="9" t="s">
        <v>11</v>
      </c>
      <c r="C39" s="8" t="str">
        <f>VLOOKUP(B39,I_voor_3p!$B$98:$K$102,2,FALSE)</f>
        <v>Mart LUUK</v>
      </c>
      <c r="D39" s="9" t="s">
        <v>12</v>
      </c>
      <c r="E39" s="8" t="str">
        <f>VLOOKUP(D39,I_voor_3p!$M$98:$W$102,2,FALSE)</f>
        <v>Erik NÜÜD</v>
      </c>
      <c r="F39" s="9" t="str">
        <f>IF(I_voor_3p!E107=0,"",I_voor_3p!E107)</f>
        <v>11:4</v>
      </c>
      <c r="G39" s="9" t="str">
        <f>IF(I_voor_3p!H107=0,"",I_voor_3p!H107)</f>
        <v>11:8</v>
      </c>
      <c r="H39" s="9" t="str">
        <f>IF(I_voor_3p!K107=0,"",I_voor_3p!K107)</f>
        <v>11:4</v>
      </c>
      <c r="I39" s="9" t="str">
        <f>IF(I_voor_3p!N107=0,"",I_voor_3p!N107)</f>
        <v/>
      </c>
      <c r="J39" s="9" t="str">
        <f>IF(I_voor_3p!Q107=0,"",I_voor_3p!Q107)</f>
        <v/>
      </c>
      <c r="K39" s="53" t="str">
        <f>IF(F39="","",CONCATENATE(Abitabel4!G33,":",Abitabel4!N33))</f>
        <v>3:0</v>
      </c>
      <c r="L39" s="35">
        <f t="shared" ref="L39:L40" si="7">IF(K39="","",IF(LEFT(K39,1)&lt;RIGHT(K39,1),0,1))</f>
        <v>1</v>
      </c>
      <c r="M39" s="35">
        <f t="shared" ref="M39:M40" si="8">IF(K39="","",IF(LEFT(K39,1)&gt;RIGHT(K39,1),0,1))</f>
        <v>0</v>
      </c>
      <c r="Q39" s="1" t="str">
        <f t="shared" si="2"/>
        <v/>
      </c>
    </row>
    <row r="40" spans="1:18">
      <c r="A40" s="7"/>
      <c r="B40" s="9" t="s">
        <v>13</v>
      </c>
      <c r="C40" s="8" t="str">
        <f>VLOOKUP(B40,I_voor_3p!$B$98:$K$102,2,FALSE)</f>
        <v>Arttu Antero PIHKALA</v>
      </c>
      <c r="D40" s="9" t="s">
        <v>14</v>
      </c>
      <c r="E40" s="8" t="str">
        <f>VLOOKUP(D40,I_voor_3p!$M$98:$W$102,2,FALSE)</f>
        <v>Robi TOOMING</v>
      </c>
      <c r="F40" s="9" t="str">
        <f>IF(I_voor_3p!E108=0,"",I_voor_3p!E108)</f>
        <v>11:8</v>
      </c>
      <c r="G40" s="9" t="str">
        <f>IF(I_voor_3p!H108=0,"",I_voor_3p!H108)</f>
        <v>11:7</v>
      </c>
      <c r="H40" s="9" t="str">
        <f>IF(I_voor_3p!K108=0,"",I_voor_3p!K108)</f>
        <v>11:3</v>
      </c>
      <c r="I40" s="9" t="str">
        <f>IF(I_voor_3p!N108=0,"",I_voor_3p!N108)</f>
        <v/>
      </c>
      <c r="J40" s="9" t="str">
        <f>IF(I_voor_3p!Q108=0,"",I_voor_3p!Q108)</f>
        <v/>
      </c>
      <c r="K40" s="53" t="str">
        <f>IF(F40="","",CONCATENATE(Abitabel4!G34,":",Abitabel4!N34))</f>
        <v>3:0</v>
      </c>
      <c r="L40" s="35">
        <f t="shared" si="7"/>
        <v>1</v>
      </c>
      <c r="M40" s="35">
        <f t="shared" si="8"/>
        <v>0</v>
      </c>
      <c r="Q40" s="1" t="str">
        <f t="shared" si="2"/>
        <v/>
      </c>
    </row>
    <row r="41" spans="1:18">
      <c r="A41" s="7"/>
      <c r="B41" s="290" t="s">
        <v>15</v>
      </c>
      <c r="C41" s="8" t="str">
        <f>IF(ISBLANK(I_voor_3p!C109), "", INDEX(I_voor_3p!C98:C102, MATCH(MID(I_voor_3p!C109,1,1), I_voor_3p!B98:B102, 0)))</f>
        <v>Mart LUUK</v>
      </c>
      <c r="D41" s="290" t="s">
        <v>15</v>
      </c>
      <c r="E41" s="8" t="str">
        <f>IF(ISBLANK(I_voor_3p!C109), "", INDEX(I_voor_3p!N98:N102, MATCH(MID(I_voor_3p!C109,4,1), I_voor_3p!M98:M102, 0)))</f>
        <v>Valdas  MARTINKUS</v>
      </c>
      <c r="F41" s="292" t="str">
        <f>IF(I_voor_3p!E109=0,"",I_voor_3p!E109)</f>
        <v>14:12</v>
      </c>
      <c r="G41" s="292" t="str">
        <f>IF(I_voor_3p!H109=0,"",I_voor_3p!H109)</f>
        <v>11:3</v>
      </c>
      <c r="H41" s="292" t="str">
        <f>IF(I_voor_3p!K109=0,"",I_voor_3p!K109)</f>
        <v>11:4</v>
      </c>
      <c r="I41" s="292" t="str">
        <f>IF(I_voor_3p!N109=0,"",I_voor_3p!N109)</f>
        <v/>
      </c>
      <c r="J41" s="292" t="str">
        <f>IF(I_voor_3p!Q109=0,"",I_voor_3p!Q109)</f>
        <v/>
      </c>
      <c r="K41" s="294" t="str">
        <f>IF(F41="","",CONCATENATE(Abitabel4!G35,":",Abitabel4!N35))</f>
        <v>3:0</v>
      </c>
      <c r="L41" s="295">
        <f>IF(K41="","",IF(LEFT(K41,1)&lt;RIGHT(K41,1),0,1))</f>
        <v>1</v>
      </c>
      <c r="M41" s="295">
        <f>IF(K41="","",IF(LEFT(K41,1)&gt;RIGHT(K41,1),0,1))</f>
        <v>0</v>
      </c>
      <c r="Q41" s="1" t="str">
        <f t="shared" si="2"/>
        <v/>
      </c>
    </row>
    <row r="42" spans="1:18">
      <c r="A42" s="7"/>
      <c r="B42" s="291"/>
      <c r="C42" s="8" t="str">
        <f>IF(ISBLANK(I_voor_3p!C109), "", INDEX(I_voor_3p!C98:C102, MATCH(MID(I_voor_3p!C109,2,1), I_voor_3p!B98:B102, 0)))</f>
        <v>Osqar PUKK</v>
      </c>
      <c r="D42" s="291"/>
      <c r="E42" s="8" t="str">
        <f>IF(ISBLANK(I_voor_3p!C109), "", INDEX(I_voor_3p!N98:N102, MATCH(MID(I_voor_3p!C109,5,1), I_voor_3p!M98:M102, 0)))</f>
        <v>Robi TOOMING</v>
      </c>
      <c r="F42" s="293"/>
      <c r="G42" s="293"/>
      <c r="H42" s="293"/>
      <c r="I42" s="293"/>
      <c r="J42" s="293"/>
      <c r="K42" s="294"/>
      <c r="L42" s="295"/>
      <c r="M42" s="295"/>
    </row>
    <row r="43" spans="1:18">
      <c r="A43" s="7"/>
      <c r="B43" s="9" t="s">
        <v>9</v>
      </c>
      <c r="C43" s="8" t="str">
        <f>VLOOKUP(B43,I_voor_3p!$B$98:$K$102,2,FALSE)</f>
        <v>Markkos PUKK</v>
      </c>
      <c r="D43" s="9" t="s">
        <v>12</v>
      </c>
      <c r="E43" s="8" t="str">
        <f>VLOOKUP(D43,I_voor_3p!$M$98:$W$102,2,FALSE)</f>
        <v>Erik NÜÜD</v>
      </c>
      <c r="F43" s="82" t="str">
        <f>IF(I_voor_3p!E110=0,"",I_voor_3p!E110)</f>
        <v>11:7</v>
      </c>
      <c r="G43" s="82" t="str">
        <f>IF(I_voor_3p!H110=0,"",I_voor_3p!H110)</f>
        <v>11:8</v>
      </c>
      <c r="H43" s="82" t="str">
        <f>IF(I_voor_3p!K110=0,"",I_voor_3p!K110)</f>
        <v>11:7</v>
      </c>
      <c r="I43" s="82" t="str">
        <f>IF(I_voor_3p!N110=0,"",I_voor_3p!N110)</f>
        <v/>
      </c>
      <c r="J43" s="82" t="str">
        <f>IF(I_voor_3p!Q110=0,"",I_voor_3p!Q110)</f>
        <v/>
      </c>
      <c r="K43" s="53" t="str">
        <f>IF(F43="","",CONCATENATE(Abitabel4!G37,":",Abitabel4!N37))</f>
        <v>3:0</v>
      </c>
      <c r="L43" s="35">
        <f>IF(K43="","",IF(LEFT(K43,1)&lt;RIGHT(K43,1),0,1))</f>
        <v>1</v>
      </c>
      <c r="M43" s="35">
        <f>IF(K43="","",IF(LEFT(K43,1)&gt;RIGHT(K43,1),0,1))</f>
        <v>0</v>
      </c>
      <c r="Q43" s="1" t="str">
        <f t="shared" si="2"/>
        <v/>
      </c>
    </row>
    <row r="44" spans="1:18">
      <c r="A44" s="7"/>
      <c r="B44" s="9" t="s">
        <v>13</v>
      </c>
      <c r="C44" s="8" t="str">
        <f>VLOOKUP(B44,I_voor_3p!$B$98:$K$102,2,FALSE)</f>
        <v>Arttu Antero PIHKALA</v>
      </c>
      <c r="D44" s="9" t="s">
        <v>10</v>
      </c>
      <c r="E44" s="8" t="str">
        <f>VLOOKUP(D44,I_voor_3p!$M$98:$W$102,2,FALSE)</f>
        <v>Valdas  MARTINKUS</v>
      </c>
      <c r="F44" s="82" t="str">
        <f>IF(I_voor_3p!E111=0,"",I_voor_3p!E111)</f>
        <v/>
      </c>
      <c r="G44" s="82" t="str">
        <f>IF(I_voor_3p!H111=0,"",I_voor_3p!H111)</f>
        <v/>
      </c>
      <c r="H44" s="82" t="str">
        <f>IF(I_voor_3p!K111=0,"",I_voor_3p!K111)</f>
        <v/>
      </c>
      <c r="I44" s="82" t="str">
        <f>IF(I_voor_3p!N111=0,"",I_voor_3p!N111)</f>
        <v/>
      </c>
      <c r="J44" s="82" t="str">
        <f>IF(I_voor_3p!Q111=0,"",I_voor_3p!Q111)</f>
        <v/>
      </c>
      <c r="K44" s="53" t="str">
        <f>IF(F44="","",CONCATENATE(Abitabel4!G38,":",Abitabel4!N38))</f>
        <v/>
      </c>
      <c r="L44" s="35" t="str">
        <f>IF(K44="","",IF(LEFT(K44,1)&lt;RIGHT(K44,1),0,1))</f>
        <v/>
      </c>
      <c r="M44" s="35" t="str">
        <f>IF(L44="","",IF(LEFT(K44,1)&gt;RIGHT(K44,1),0,1))</f>
        <v/>
      </c>
      <c r="Q44" s="1" t="str">
        <f t="shared" si="2"/>
        <v>ERROR</v>
      </c>
    </row>
    <row r="45" spans="1:18">
      <c r="A45" s="7"/>
      <c r="B45" s="9" t="s">
        <v>11</v>
      </c>
      <c r="C45" s="8" t="str">
        <f>VLOOKUP(B45,I_voor_3p!$B$98:$K$102,2,FALSE)</f>
        <v>Mart LUUK</v>
      </c>
      <c r="D45" s="9" t="s">
        <v>14</v>
      </c>
      <c r="E45" s="8" t="str">
        <f>VLOOKUP(D45,I_voor_3p!$M$98:$W$102,2,FALSE)</f>
        <v>Robi TOOMING</v>
      </c>
      <c r="F45" s="82" t="str">
        <f>IF(I_voor_3p!E112=0,"",I_voor_3p!E112)</f>
        <v/>
      </c>
      <c r="G45" s="82" t="str">
        <f>IF(I_voor_3p!H112=0,"",I_voor_3p!H112)</f>
        <v/>
      </c>
      <c r="H45" s="82" t="str">
        <f>IF(I_voor_3p!K112=0,"",I_voor_3p!K112)</f>
        <v/>
      </c>
      <c r="I45" s="82" t="str">
        <f>IF(I_voor_3p!N112=0,"",I_voor_3p!N112)</f>
        <v/>
      </c>
      <c r="J45" s="82" t="str">
        <f>IF(I_voor_3p!Q112=0,"",I_voor_3p!Q112)</f>
        <v/>
      </c>
      <c r="K45" s="53" t="str">
        <f>IF(F45="","",CONCATENATE(Abitabel4!G39,":",Abitabel4!N39))</f>
        <v/>
      </c>
      <c r="L45" s="35" t="str">
        <f>IF(K45="","",IF(LEFT(K45,1)&lt;RIGHT(K45,1),0,1))</f>
        <v/>
      </c>
      <c r="M45" s="35" t="str">
        <f>IF(L45="","",IF(LEFT(K45,1)&gt;RIGHT(K45,1),0,1))</f>
        <v/>
      </c>
      <c r="Q45" s="1" t="str">
        <f t="shared" si="2"/>
        <v>ERROR</v>
      </c>
    </row>
    <row r="46" spans="1:18">
      <c r="A46" s="7"/>
      <c r="B46" s="10"/>
      <c r="C46" s="33" t="str">
        <f>VLOOKUP(C37,Koosseisud!A:B,2,FALSE )</f>
        <v>Meeskond4</v>
      </c>
      <c r="D46" s="10"/>
      <c r="E46" s="33" t="str">
        <f>VLOOKUP(E37,Koosseisud!A:B,2,FALSE)</f>
        <v>Meeskond5</v>
      </c>
      <c r="F46" s="10"/>
      <c r="G46" s="10"/>
      <c r="H46" s="10"/>
      <c r="I46" s="10"/>
      <c r="J46" s="11"/>
      <c r="K46" s="12"/>
      <c r="L46" s="13"/>
      <c r="M46" s="13"/>
    </row>
    <row r="47" spans="1:18" ht="15">
      <c r="A47" s="2" t="s">
        <v>72</v>
      </c>
      <c r="B47" s="3">
        <f>IF(K48="","",SUM(L48:L55))</f>
        <v>2</v>
      </c>
      <c r="C47" s="4" t="str">
        <f>II_voor_3p!G7</f>
        <v>TalTech Spordiklubi</v>
      </c>
      <c r="D47" s="3">
        <f>IF(K48="","",SUM(M48:M55))</f>
        <v>4</v>
      </c>
      <c r="E47" s="4" t="str">
        <f>II_voor_3p!R7</f>
        <v>Viimsi PINX</v>
      </c>
      <c r="F47" s="5" t="s">
        <v>2</v>
      </c>
      <c r="G47" s="5" t="s">
        <v>3</v>
      </c>
      <c r="H47" s="5" t="s">
        <v>4</v>
      </c>
      <c r="I47" s="5" t="s">
        <v>5</v>
      </c>
      <c r="J47" s="5" t="s">
        <v>6</v>
      </c>
      <c r="K47" s="6" t="s">
        <v>7</v>
      </c>
      <c r="L47" s="287" t="s">
        <v>8</v>
      </c>
      <c r="M47" s="287"/>
      <c r="R47" s="1" t="str">
        <f>IF(OR(B47=4,D47=4),"","ERROR")</f>
        <v/>
      </c>
    </row>
    <row r="48" spans="1:18">
      <c r="A48" s="7" t="s">
        <v>468</v>
      </c>
      <c r="B48" s="9" t="s">
        <v>9</v>
      </c>
      <c r="C48" s="8" t="str">
        <f>VLOOKUP(B48,II_voor_3p!$B$8:$K$12,2,FALSE)</f>
        <v>Stanislav STROGOV</v>
      </c>
      <c r="D48" s="9" t="s">
        <v>10</v>
      </c>
      <c r="E48" s="8" t="str">
        <f>VLOOKUP(D48,II_voor_3p!$M$8:$W$12,2,FALSE)</f>
        <v>Daniel KOSIBA</v>
      </c>
      <c r="F48" s="9" t="str">
        <f>IF(II_voor_3p!E16=0,"",II_voor_3p!E16)</f>
        <v>11:7</v>
      </c>
      <c r="G48" s="9" t="str">
        <f>IF(II_voor_3p!H16=0,"",II_voor_3p!H16)</f>
        <v>6:11</v>
      </c>
      <c r="H48" s="9" t="str">
        <f>IF(II_voor_3p!K16=0,"",II_voor_3p!K16)</f>
        <v>11:7</v>
      </c>
      <c r="I48" s="9" t="str">
        <f>IF(II_voor_3p!N16=0,"",II_voor_3p!N16)</f>
        <v>2:11</v>
      </c>
      <c r="J48" s="9" t="str">
        <f>IF(II_voor_3p!Q16=0,"",II_voor_3p!Q16)</f>
        <v>7:11</v>
      </c>
      <c r="K48" s="53" t="str">
        <f>IF(F48="","",CONCATENATE(Abitabel4!G42,":",Abitabel4!N42))</f>
        <v>2:3</v>
      </c>
      <c r="L48" s="35">
        <f>IF(K48="","",IF(LEFT(K48,1)&lt;RIGHT(K48,1),0,1))</f>
        <v>0</v>
      </c>
      <c r="M48" s="35">
        <f>IF(K48="","",IF(LEFT(K48,1)&gt;RIGHT(K48,1),0,1))</f>
        <v>1</v>
      </c>
      <c r="Q48" s="1" t="str">
        <f t="shared" si="2"/>
        <v/>
      </c>
    </row>
    <row r="49" spans="1:18">
      <c r="A49" s="7" t="s">
        <v>59</v>
      </c>
      <c r="B49" s="9" t="s">
        <v>11</v>
      </c>
      <c r="C49" s="8" t="str">
        <f>VLOOKUP(B49,II_voor_3p!$B$8:$K$12,2,FALSE)</f>
        <v>Samuli SOINE</v>
      </c>
      <c r="D49" s="9" t="s">
        <v>12</v>
      </c>
      <c r="E49" s="8" t="str">
        <f>VLOOKUP(D49,II_voor_3p!$M$8:$W$12,2,FALSE)</f>
        <v>Toomas LIBENE</v>
      </c>
      <c r="F49" s="9" t="str">
        <f>IF(II_voor_3p!E17=0,"",II_voor_3p!E17)</f>
        <v>11:6</v>
      </c>
      <c r="G49" s="9" t="str">
        <f>IF(II_voor_3p!H17=0,"",II_voor_3p!H17)</f>
        <v>12:10</v>
      </c>
      <c r="H49" s="9" t="str">
        <f>IF(II_voor_3p!K17=0,"",II_voor_3p!K17)</f>
        <v>5:11</v>
      </c>
      <c r="I49" s="9" t="str">
        <f>IF(II_voor_3p!N17=0,"",II_voor_3p!N17)</f>
        <v>4:11</v>
      </c>
      <c r="J49" s="9" t="str">
        <f>IF(II_voor_3p!Q17=0,"",II_voor_3p!Q17)</f>
        <v>9:11</v>
      </c>
      <c r="K49" s="53" t="str">
        <f>IF(F49="","",CONCATENATE(Abitabel4!G43,":",Abitabel4!N43))</f>
        <v>2:3</v>
      </c>
      <c r="L49" s="35">
        <f t="shared" ref="L49:L50" si="9">IF(K49="","",IF(LEFT(K49,1)&lt;RIGHT(K49,1),0,1))</f>
        <v>0</v>
      </c>
      <c r="M49" s="35">
        <f t="shared" ref="M49:M50" si="10">IF(K49="","",IF(LEFT(K49,1)&gt;RIGHT(K49,1),0,1))</f>
        <v>1</v>
      </c>
      <c r="Q49" s="1" t="str">
        <f t="shared" si="2"/>
        <v/>
      </c>
    </row>
    <row r="50" spans="1:18">
      <c r="A50" s="7"/>
      <c r="B50" s="9" t="s">
        <v>13</v>
      </c>
      <c r="C50" s="8" t="str">
        <f>VLOOKUP(B50,II_voor_3p!$B$8:$K$12,2,FALSE)</f>
        <v>Madis MOOS</v>
      </c>
      <c r="D50" s="9" t="s">
        <v>14</v>
      </c>
      <c r="E50" s="8" t="str">
        <f>VLOOKUP(D50,II_voor_3p!$M$8:$W$12,2,FALSE)</f>
        <v>Sergei PETROV</v>
      </c>
      <c r="F50" s="9" t="str">
        <f>IF(II_voor_3p!E18=0,"",II_voor_3p!E18)</f>
        <v>11:8</v>
      </c>
      <c r="G50" s="9" t="str">
        <f>IF(II_voor_3p!H18=0,"",II_voor_3p!H18)</f>
        <v>11:7</v>
      </c>
      <c r="H50" s="9" t="str">
        <f>IF(II_voor_3p!K18=0,"",II_voor_3p!K18)</f>
        <v>11:9</v>
      </c>
      <c r="I50" s="9" t="str">
        <f>IF(II_voor_3p!N18=0,"",II_voor_3p!N18)</f>
        <v/>
      </c>
      <c r="J50" s="9" t="str">
        <f>IF(II_voor_3p!Q18=0,"",II_voor_3p!Q18)</f>
        <v/>
      </c>
      <c r="K50" s="53" t="str">
        <f>IF(F50="","",CONCATENATE(Abitabel4!G44,":",Abitabel4!N44))</f>
        <v>3:0</v>
      </c>
      <c r="L50" s="35">
        <f t="shared" si="9"/>
        <v>1</v>
      </c>
      <c r="M50" s="35">
        <f t="shared" si="10"/>
        <v>0</v>
      </c>
      <c r="Q50" s="1" t="str">
        <f t="shared" si="2"/>
        <v/>
      </c>
    </row>
    <row r="51" spans="1:18">
      <c r="A51" s="7"/>
      <c r="B51" s="290" t="s">
        <v>15</v>
      </c>
      <c r="C51" s="8" t="str">
        <f>IF(ISBLANK(II_voor_3p!C19), "", INDEX(II_voor_3p!C8:C12, MATCH(MID(II_voor_3p!C19,1,1), II_voor_3p!B8:B12, 0)))</f>
        <v>Stanislav STROGOV</v>
      </c>
      <c r="D51" s="290" t="s">
        <v>15</v>
      </c>
      <c r="E51" s="1" t="str">
        <f>IF(ISBLANK(II_voor_3p!C19), "", INDEX(II_voor_3p!N8:N12, MATCH(MID(II_voor_3p!C19,4,1), II_voor_3p!M8:M12, 0)))</f>
        <v>Toomas LIBENE</v>
      </c>
      <c r="F51" s="292" t="str">
        <f>IF(II_voor_3p!E19=0,"",II_voor_3p!E19)</f>
        <v>7:11</v>
      </c>
      <c r="G51" s="292" t="str">
        <f>IF(II_voor_3p!H19=0,"",II_voor_3p!H19)</f>
        <v>5:11</v>
      </c>
      <c r="H51" s="292" t="str">
        <f>IF(II_voor_3p!K19=0,"",II_voor_3p!K19)</f>
        <v>11:7</v>
      </c>
      <c r="I51" s="292" t="str">
        <f>IF(II_voor_3p!N19=0,"",II_voor_3p!N19)</f>
        <v>7:11</v>
      </c>
      <c r="J51" s="292" t="str">
        <f>IF(II_voor_3p!Q19=0,"",II_voor_3p!Q19)</f>
        <v/>
      </c>
      <c r="K51" s="294" t="str">
        <f>IF(F51="","",CONCATENATE(Abitabel4!G45,":",Abitabel4!N45))</f>
        <v>1:3</v>
      </c>
      <c r="L51" s="295">
        <f>IF(K51="","",IF(LEFT(K51,1)&lt;RIGHT(K51,1),0,1))</f>
        <v>0</v>
      </c>
      <c r="M51" s="295">
        <f>IF(K51="","",IF(LEFT(K51,1)&gt;RIGHT(K51,1),0,1))</f>
        <v>1</v>
      </c>
      <c r="Q51" s="1" t="str">
        <f t="shared" si="2"/>
        <v/>
      </c>
    </row>
    <row r="52" spans="1:18">
      <c r="A52" s="7"/>
      <c r="B52" s="291"/>
      <c r="C52" s="8" t="str">
        <f>IF(ISBLANK(II_voor_3p!C19), "", INDEX(II_voor_3p!C8:C12, MATCH(MID(II_voor_3p!C19,2,1), II_voor_3p!B8:B12, 0)))</f>
        <v>Madis MOOS</v>
      </c>
      <c r="D52" s="291"/>
      <c r="E52" s="1" t="str">
        <f>IF(ISBLANK(II_voor_3p!C19), "", INDEX(II_voor_3p!N8:N12, MATCH(MID(II_voor_3p!C19,5,1), II_voor_3p!M8:M12, 0)))</f>
        <v>Daniel KOSIBA</v>
      </c>
      <c r="F52" s="293"/>
      <c r="G52" s="293"/>
      <c r="H52" s="293"/>
      <c r="I52" s="293"/>
      <c r="J52" s="293"/>
      <c r="K52" s="294"/>
      <c r="L52" s="295"/>
      <c r="M52" s="295"/>
    </row>
    <row r="53" spans="1:18">
      <c r="A53" s="7"/>
      <c r="B53" s="9" t="s">
        <v>9</v>
      </c>
      <c r="C53" s="8" t="str">
        <f>VLOOKUP(B53,II_voor_3p!$B$8:$K$12,2,FALSE)</f>
        <v>Stanislav STROGOV</v>
      </c>
      <c r="D53" s="9" t="s">
        <v>12</v>
      </c>
      <c r="E53" s="8" t="str">
        <f>VLOOKUP(D53,II_voor_3p!$M$8:$W$12,2,FALSE)</f>
        <v>Toomas LIBENE</v>
      </c>
      <c r="F53" s="9" t="str">
        <f>IF(II_voor_3p!E20=0,"",II_voor_3p!E20)</f>
        <v>9:11</v>
      </c>
      <c r="G53" s="9" t="str">
        <f>IF(II_voor_3p!H20=0,"",II_voor_3p!H20)</f>
        <v>11:5</v>
      </c>
      <c r="H53" s="9" t="str">
        <f>IF(II_voor_3p!K20=0,"",II_voor_3p!K20)</f>
        <v>11:8</v>
      </c>
      <c r="I53" s="9" t="str">
        <f>IF(II_voor_3p!N20=0,"",II_voor_3p!N20)</f>
        <v>11:6</v>
      </c>
      <c r="J53" s="9" t="str">
        <f>IF(II_voor_3p!Q20=0,"",II_voor_3p!Q20)</f>
        <v/>
      </c>
      <c r="K53" s="53" t="str">
        <f>IF(F53="","",CONCATENATE(Abitabel4!G47,":",Abitabel4!N47))</f>
        <v>3:1</v>
      </c>
      <c r="L53" s="35">
        <f>IF(K53="","",IF(LEFT(K53,1)&lt;RIGHT(K53,1),0,1))</f>
        <v>1</v>
      </c>
      <c r="M53" s="35">
        <f>IF(K53="","",IF(LEFT(K53,1)&gt;RIGHT(K53,1),0,1))</f>
        <v>0</v>
      </c>
      <c r="Q53" s="1" t="str">
        <f t="shared" si="2"/>
        <v/>
      </c>
    </row>
    <row r="54" spans="1:18">
      <c r="A54" s="7"/>
      <c r="B54" s="9" t="s">
        <v>13</v>
      </c>
      <c r="C54" s="8" t="str">
        <f>VLOOKUP(B54,II_voor_3p!$B$8:$K$12,2,FALSE)</f>
        <v>Madis MOOS</v>
      </c>
      <c r="D54" s="9" t="s">
        <v>10</v>
      </c>
      <c r="E54" s="8" t="str">
        <f>VLOOKUP(D54,II_voor_3p!$M$8:$W$12,2,FALSE)</f>
        <v>Daniel KOSIBA</v>
      </c>
      <c r="F54" s="9" t="str">
        <f>IF(II_voor_3p!E21=0,"",II_voor_3p!E21)</f>
        <v>11:7</v>
      </c>
      <c r="G54" s="9" t="str">
        <f>IF(II_voor_3p!H21=0,"",II_voor_3p!H21)</f>
        <v>9:11</v>
      </c>
      <c r="H54" s="9" t="str">
        <f>IF(II_voor_3p!K21=0,"",II_voor_3p!K21)</f>
        <v>5:11</v>
      </c>
      <c r="I54" s="9" t="str">
        <f>IF(II_voor_3p!N21=0,"",II_voor_3p!N21)</f>
        <v>5:11</v>
      </c>
      <c r="J54" s="9" t="str">
        <f>IF(II_voor_3p!Q21=0,"",II_voor_3p!Q21)</f>
        <v/>
      </c>
      <c r="K54" s="53" t="str">
        <f>IF(F54="","",CONCATENATE(Abitabel4!G48,":",Abitabel4!N48))</f>
        <v>1:3</v>
      </c>
      <c r="L54" s="35">
        <f>IF(K54="","",IF(LEFT(K54,1)&lt;RIGHT(K54,1),0,1))</f>
        <v>0</v>
      </c>
      <c r="M54" s="35">
        <f>IF(L54="","",IF(LEFT(K54,1)&gt;RIGHT(K54,1),0,1))</f>
        <v>1</v>
      </c>
      <c r="Q54" s="1" t="str">
        <f t="shared" si="2"/>
        <v/>
      </c>
    </row>
    <row r="55" spans="1:18">
      <c r="A55" s="7"/>
      <c r="B55" s="9" t="s">
        <v>11</v>
      </c>
      <c r="C55" s="8" t="str">
        <f>VLOOKUP(B55,II_voor_3p!$B$8:$K$12,2,FALSE)</f>
        <v>Samuli SOINE</v>
      </c>
      <c r="D55" s="9" t="s">
        <v>14</v>
      </c>
      <c r="E55" s="8" t="str">
        <f>VLOOKUP(D55,II_voor_3p!$M$8:$W$12,2,FALSE)</f>
        <v>Sergei PETROV</v>
      </c>
      <c r="F55" s="9" t="str">
        <f>IF(II_voor_3p!E22=0,"",II_voor_3p!E22)</f>
        <v/>
      </c>
      <c r="G55" s="9" t="str">
        <f>IF(II_voor_3p!H22=0,"",II_voor_3p!H22)</f>
        <v/>
      </c>
      <c r="H55" s="9" t="str">
        <f>IF(II_voor_3p!K22=0,"",II_voor_3p!K22)</f>
        <v/>
      </c>
      <c r="I55" s="9" t="str">
        <f>IF(II_voor_3p!N22=0,"",II_voor_3p!N22)</f>
        <v/>
      </c>
      <c r="J55" s="9" t="str">
        <f>IF(II_voor_3p!Q22=0,"",II_voor_3p!Q22)</f>
        <v/>
      </c>
      <c r="K55" s="53" t="str">
        <f>IF(F55="","",CONCATENATE(Abitabel4!G49,":",Abitabel4!N49))</f>
        <v/>
      </c>
      <c r="L55" s="35" t="str">
        <f>IF(K55="","",IF(LEFT(K55,1)&lt;RIGHT(K55,1),0,1))</f>
        <v/>
      </c>
      <c r="M55" s="35" t="str">
        <f>IF(L55="","",IF(LEFT(K55,1)&gt;RIGHT(K55,1),0,1))</f>
        <v/>
      </c>
      <c r="Q55" s="1" t="str">
        <f t="shared" si="2"/>
        <v>ERROR</v>
      </c>
    </row>
    <row r="56" spans="1:18">
      <c r="A56" s="7"/>
      <c r="B56" s="10"/>
      <c r="C56" s="33" t="str">
        <f>VLOOKUP(C47,Koosseisud!A:B,2,FALSE )</f>
        <v>Meeskond3</v>
      </c>
      <c r="D56" s="10"/>
      <c r="E56" s="33" t="str">
        <f>VLOOKUP(E47,Koosseisud!A:B,2,FALSE)</f>
        <v>Meeskond2</v>
      </c>
      <c r="F56" s="10"/>
      <c r="G56" s="10"/>
      <c r="H56" s="10"/>
      <c r="I56" s="10"/>
      <c r="J56" s="11"/>
      <c r="K56" s="12"/>
      <c r="L56" s="13"/>
      <c r="M56" s="13"/>
    </row>
    <row r="57" spans="1:18" ht="15">
      <c r="A57" s="2" t="s">
        <v>73</v>
      </c>
      <c r="B57" s="3">
        <f>IF(K58="","",SUM(L58:L65))</f>
        <v>1</v>
      </c>
      <c r="C57" s="83" t="str">
        <f>II_voor_3p!G37</f>
        <v>LTK Kalev/Radiaatorikeskus</v>
      </c>
      <c r="D57" s="3">
        <f>IF(K58="","",SUM(M58:M65))</f>
        <v>4</v>
      </c>
      <c r="E57" s="83" t="str">
        <f>II_voor_3p!R37</f>
        <v>Tartu SS Kalev</v>
      </c>
      <c r="F57" s="5" t="s">
        <v>2</v>
      </c>
      <c r="G57" s="5" t="s">
        <v>3</v>
      </c>
      <c r="H57" s="5" t="s">
        <v>4</v>
      </c>
      <c r="I57" s="5" t="s">
        <v>5</v>
      </c>
      <c r="J57" s="5" t="s">
        <v>6</v>
      </c>
      <c r="K57" s="6" t="s">
        <v>7</v>
      </c>
      <c r="L57" s="287" t="s">
        <v>8</v>
      </c>
      <c r="M57" s="287"/>
      <c r="R57" s="1" t="str">
        <f>IF(OR(B57=4,D57=4),"","ERROR")</f>
        <v/>
      </c>
    </row>
    <row r="58" spans="1:18">
      <c r="A58" s="7" t="s">
        <v>468</v>
      </c>
      <c r="B58" s="9" t="s">
        <v>9</v>
      </c>
      <c r="C58" s="8" t="str">
        <f>VLOOKUP(B58,II_voor_3p!$B$38:$K$42,2,FALSE)</f>
        <v xml:space="preserve">Martin KRAIKO </v>
      </c>
      <c r="D58" s="9" t="s">
        <v>10</v>
      </c>
      <c r="E58" s="8" t="str">
        <f>VLOOKUP(D58,II_voor_3p!$M$38:$W$42,2,FALSE)</f>
        <v>Arttu Antero PIHKALA</v>
      </c>
      <c r="F58" s="86" t="str">
        <f>IF(II_voor_3p!E46=0,"",II_voor_3p!E46)</f>
        <v>8:11</v>
      </c>
      <c r="G58" s="86" t="str">
        <f>IF(II_voor_3p!H46=0,"",II_voor_3p!H46)</f>
        <v>11:7</v>
      </c>
      <c r="H58" s="86" t="str">
        <f>IF(II_voor_3p!K46=0,"",II_voor_3p!K46)</f>
        <v>11:9</v>
      </c>
      <c r="I58" s="86" t="str">
        <f>IF(II_voor_3p!N46=0,"",II_voor_3p!N46)</f>
        <v>6:11</v>
      </c>
      <c r="J58" s="86" t="str">
        <f>IF(II_voor_3p!Q46=0,"",II_voor_3p!Q46)</f>
        <v>11:6</v>
      </c>
      <c r="K58" s="53" t="str">
        <f>IF(F58="","",CONCATENATE(Abitabel4!G52,":",Abitabel4!N52))</f>
        <v>3:2</v>
      </c>
      <c r="L58" s="35">
        <f>IF(K58="","",IF(LEFT(K58,1)&lt;RIGHT(K58,1),0,1))</f>
        <v>1</v>
      </c>
      <c r="M58" s="35">
        <f>IF(K58="","",IF(LEFT(K58,1)&gt;RIGHT(K58,1),0,1))</f>
        <v>0</v>
      </c>
      <c r="Q58" s="1" t="str">
        <f t="shared" si="2"/>
        <v/>
      </c>
    </row>
    <row r="59" spans="1:18">
      <c r="A59" s="7" t="s">
        <v>59</v>
      </c>
      <c r="B59" s="9" t="s">
        <v>11</v>
      </c>
      <c r="C59" s="8" t="str">
        <f>VLOOKUP(B59,II_voor_3p!$B$38:$K$42,2,FALSE)</f>
        <v>Kristjan KANT</v>
      </c>
      <c r="D59" s="9" t="s">
        <v>12</v>
      </c>
      <c r="E59" s="8" t="str">
        <f>VLOOKUP(D59,II_voor_3p!$M$38:$W$42,2,FALSE)</f>
        <v>Osqar PUKK</v>
      </c>
      <c r="F59" s="86" t="str">
        <f>IF(II_voor_3p!E47=0,"",II_voor_3p!E47)</f>
        <v>0:11</v>
      </c>
      <c r="G59" s="86" t="str">
        <f>IF(II_voor_3p!H47=0,"",II_voor_3p!H47)</f>
        <v>11:6</v>
      </c>
      <c r="H59" s="86" t="str">
        <f>IF(II_voor_3p!K47=0,"",II_voor_3p!K47)</f>
        <v>3:11</v>
      </c>
      <c r="I59" s="86" t="str">
        <f>IF(II_voor_3p!N47=0,"",II_voor_3p!N47)</f>
        <v>6:11</v>
      </c>
      <c r="J59" s="86" t="str">
        <f>IF(II_voor_3p!Q47=0,"",II_voor_3p!Q47)</f>
        <v/>
      </c>
      <c r="K59" s="53" t="str">
        <f>IF(F59="","",CONCATENATE(Abitabel4!G53,":",Abitabel4!N53))</f>
        <v>1:3</v>
      </c>
      <c r="L59" s="35">
        <f t="shared" ref="L59:L60" si="11">IF(K59="","",IF(LEFT(K59,1)&lt;RIGHT(K59,1),0,1))</f>
        <v>0</v>
      </c>
      <c r="M59" s="35">
        <f t="shared" ref="M59:M60" si="12">IF(K59="","",IF(LEFT(K59,1)&gt;RIGHT(K59,1),0,1))</f>
        <v>1</v>
      </c>
      <c r="Q59" s="1" t="str">
        <f t="shared" si="2"/>
        <v/>
      </c>
    </row>
    <row r="60" spans="1:18">
      <c r="A60" s="7"/>
      <c r="B60" s="9" t="s">
        <v>13</v>
      </c>
      <c r="C60" s="8" t="str">
        <f>VLOOKUP(B60,II_voor_3p!$B$38:$K$42,2,FALSE)</f>
        <v>Allan KOTTISE</v>
      </c>
      <c r="D60" s="9" t="s">
        <v>14</v>
      </c>
      <c r="E60" s="8" t="str">
        <f>VLOOKUP(D60,II_voor_3p!$M$38:$W$42,2,FALSE)</f>
        <v>Mart LUUK</v>
      </c>
      <c r="F60" s="86"/>
      <c r="G60" s="86" t="str">
        <f>IF(II_voor_3p!H48=0,"",II_voor_3p!H48)</f>
        <v/>
      </c>
      <c r="H60" s="86" t="str">
        <f>IF(II_voor_3p!K48=0,"",II_voor_3p!K48)</f>
        <v/>
      </c>
      <c r="I60" s="86" t="str">
        <f>IF(II_voor_3p!N48=0,"",II_voor_3p!N48)</f>
        <v/>
      </c>
      <c r="J60" s="86" t="str">
        <f>IF(II_voor_3p!Q48=0,"",II_voor_3p!Q48)</f>
        <v/>
      </c>
      <c r="K60" s="53" t="s">
        <v>551</v>
      </c>
      <c r="L60" s="35">
        <f t="shared" si="11"/>
        <v>0</v>
      </c>
      <c r="M60" s="35">
        <f t="shared" si="12"/>
        <v>1</v>
      </c>
      <c r="Q60" s="1" t="str">
        <f t="shared" si="2"/>
        <v>ERROR</v>
      </c>
    </row>
    <row r="61" spans="1:18">
      <c r="A61" s="7"/>
      <c r="B61" s="290" t="s">
        <v>15</v>
      </c>
      <c r="C61" s="1" t="str">
        <f>IF(ISBLANK(II_voor_3p!C49), "", INDEX(II_voor_3p!C38:C42, MATCH(MID(II_voor_3p!C49,1,1), II_voor_3p!B38:B42, 0)))</f>
        <v xml:space="preserve">Martin KRAIKO </v>
      </c>
      <c r="D61" s="290" t="s">
        <v>15</v>
      </c>
      <c r="E61" s="1" t="str">
        <f>IF(ISBLANK(II_voor_3p!C49), "", INDEX(II_voor_3p!N38:N42, MATCH(MID(II_voor_3p!C49,4,1), II_voor_3p!M38:M42, 0)))</f>
        <v>Osqar PUKK</v>
      </c>
      <c r="F61" s="304" t="str">
        <f>IF(II_voor_3p!E49=0,"",II_voor_3p!E49)</f>
        <v>8:11</v>
      </c>
      <c r="G61" s="304" t="str">
        <f>IF(II_voor_3p!H49=0,"",II_voor_3p!H49)</f>
        <v>11:9</v>
      </c>
      <c r="H61" s="304" t="str">
        <f>IF(II_voor_3p!K49=0,"",II_voor_3p!K49)</f>
        <v>8:11</v>
      </c>
      <c r="I61" s="304" t="str">
        <f>IF(II_voor_3p!N49=0,"",II_voor_3p!N49)</f>
        <v>11:9</v>
      </c>
      <c r="J61" s="304" t="str">
        <f>IF(II_voor_3p!Q49=0,"",II_voor_3p!Q49)</f>
        <v>8:11</v>
      </c>
      <c r="K61" s="294" t="str">
        <f>IF(F61="","",CONCATENATE(Abitabel4!G55,":",Abitabel4!N55))</f>
        <v>2:3</v>
      </c>
      <c r="L61" s="295">
        <f>IF(K61="","",IF(LEFT(K61,1)&lt;RIGHT(K61,1),0,1))</f>
        <v>0</v>
      </c>
      <c r="M61" s="295">
        <f>IF(K61="","",IF(LEFT(K61,1)&gt;RIGHT(K61,1),0,1))</f>
        <v>1</v>
      </c>
      <c r="Q61" s="1" t="str">
        <f t="shared" si="2"/>
        <v/>
      </c>
    </row>
    <row r="62" spans="1:18">
      <c r="A62" s="7"/>
      <c r="B62" s="291"/>
      <c r="C62" s="1" t="str">
        <f>IF(ISBLANK(II_voor_3p!C49), "", INDEX(II_voor_3p!C38:C42, MATCH(MID(II_voor_3p!C49,2,1), II_voor_3p!B38:B42, 0)))</f>
        <v>Kristjan KANT</v>
      </c>
      <c r="D62" s="291"/>
      <c r="E62" s="1" t="str">
        <f>IF(ISBLANK(II_voor_3p!C49), "", INDEX(II_voor_3p!N38:N42, MATCH(MID(II_voor_3p!C49,5,1), II_voor_3p!M38:M42, 0)))</f>
        <v>Mart LUUK</v>
      </c>
      <c r="F62" s="304"/>
      <c r="G62" s="304"/>
      <c r="H62" s="304"/>
      <c r="I62" s="304"/>
      <c r="J62" s="304"/>
      <c r="K62" s="294"/>
      <c r="L62" s="295"/>
      <c r="M62" s="295"/>
    </row>
    <row r="63" spans="1:18">
      <c r="A63" s="7"/>
      <c r="B63" s="9" t="s">
        <v>9</v>
      </c>
      <c r="C63" s="8" t="str">
        <f>VLOOKUP(B63,II_voor_3p!$B$38:$K$42,2,FALSE)</f>
        <v xml:space="preserve">Martin KRAIKO </v>
      </c>
      <c r="D63" s="9" t="s">
        <v>12</v>
      </c>
      <c r="E63" s="8" t="str">
        <f>VLOOKUP(D63,II_voor_3p!$M$38:$W$42,2,FALSE)</f>
        <v>Osqar PUKK</v>
      </c>
      <c r="F63" s="86" t="str">
        <f>IF(II_voor_3p!E50=0,"",II_voor_3p!E50)</f>
        <v>11:3</v>
      </c>
      <c r="G63" s="86" t="str">
        <f>IF(II_voor_3p!H50=0,"",II_voor_3p!H50)</f>
        <v>6:11</v>
      </c>
      <c r="H63" s="86" t="str">
        <f>IF(II_voor_3p!K50=0,"",II_voor_3p!K50)</f>
        <v>6:11</v>
      </c>
      <c r="I63" s="86" t="str">
        <f>IF(II_voor_3p!N50=0,"",II_voor_3p!N50)</f>
        <v>11:8</v>
      </c>
      <c r="J63" s="86" t="str">
        <f>IF(II_voor_3p!Q50=0,"",II_voor_3p!Q50)</f>
        <v>9:11</v>
      </c>
      <c r="K63" s="53" t="str">
        <f>IF(F63="","",CONCATENATE(Abitabel4!G57,":",Abitabel4!N57))</f>
        <v>2:3</v>
      </c>
      <c r="L63" s="35">
        <f>IF(K63="","",IF(LEFT(K63,1)&lt;RIGHT(K63,1),0,1))</f>
        <v>0</v>
      </c>
      <c r="M63" s="35">
        <f>IF(K63="","",IF(LEFT(K63,1)&gt;RIGHT(K63,1),0,1))</f>
        <v>1</v>
      </c>
      <c r="Q63" s="1" t="str">
        <f t="shared" si="2"/>
        <v/>
      </c>
    </row>
    <row r="64" spans="1:18">
      <c r="A64" s="7"/>
      <c r="B64" s="9" t="s">
        <v>13</v>
      </c>
      <c r="C64" s="8" t="str">
        <f>VLOOKUP(B64,II_voor_3p!$B$38:$K$42,2,FALSE)</f>
        <v>Allan KOTTISE</v>
      </c>
      <c r="D64" s="9" t="s">
        <v>10</v>
      </c>
      <c r="E64" s="8" t="str">
        <f>VLOOKUP(D64,II_voor_3p!$M$38:$W$42,2,FALSE)</f>
        <v>Arttu Antero PIHKALA</v>
      </c>
      <c r="F64" s="86" t="str">
        <f>IF(II_voor_3p!E51=0,"",II_voor_3p!E51)</f>
        <v/>
      </c>
      <c r="G64" s="86" t="str">
        <f>IF(II_voor_3p!H51=0,"",II_voor_3p!H51)</f>
        <v/>
      </c>
      <c r="H64" s="86" t="str">
        <f>IF(II_voor_3p!K51=0,"",II_voor_3p!K51)</f>
        <v/>
      </c>
      <c r="I64" s="86" t="str">
        <f>IF(II_voor_3p!N51=0,"",II_voor_3p!N51)</f>
        <v/>
      </c>
      <c r="J64" s="86" t="str">
        <f>IF(II_voor_3p!Q51=0,"",II_voor_3p!Q51)</f>
        <v/>
      </c>
      <c r="K64" s="53" t="str">
        <f>IF(F64="","",CONCATENATE(Abitabel4!G58,":",Abitabel4!N58))</f>
        <v/>
      </c>
      <c r="L64" s="35" t="str">
        <f>IF(K64="","",IF(LEFT(K64,1)&lt;RIGHT(K64,1),0,1))</f>
        <v/>
      </c>
      <c r="M64" s="35" t="str">
        <f>IF(L64="","",IF(LEFT(K64,1)&gt;RIGHT(K64,1),0,1))</f>
        <v/>
      </c>
      <c r="Q64" s="1" t="str">
        <f t="shared" si="2"/>
        <v>ERROR</v>
      </c>
    </row>
    <row r="65" spans="1:18">
      <c r="A65" s="7"/>
      <c r="B65" s="9" t="s">
        <v>11</v>
      </c>
      <c r="C65" s="8" t="str">
        <f>VLOOKUP(B65,II_voor_3p!$B$38:$K$42,2,FALSE)</f>
        <v>Kristjan KANT</v>
      </c>
      <c r="D65" s="9" t="s">
        <v>14</v>
      </c>
      <c r="E65" s="8" t="str">
        <f>VLOOKUP(D65,II_voor_3p!$M$38:$W$42,2,FALSE)</f>
        <v>Mart LUUK</v>
      </c>
      <c r="F65" s="86" t="str">
        <f>IF(II_voor_3p!E52=0,"",II_voor_3p!E52)</f>
        <v/>
      </c>
      <c r="G65" s="86" t="str">
        <f>IF(II_voor_3p!H52=0,"",II_voor_3p!H52)</f>
        <v/>
      </c>
      <c r="H65" s="86" t="str">
        <f>IF(II_voor_3p!K52=0,"",II_voor_3p!K52)</f>
        <v/>
      </c>
      <c r="I65" s="86" t="str">
        <f>IF(II_voor_3p!N52=0,"",II_voor_3p!N52)</f>
        <v/>
      </c>
      <c r="J65" s="86" t="str">
        <f>IF(II_voor_3p!Q52=0,"",II_voor_3p!Q52)</f>
        <v/>
      </c>
      <c r="K65" s="53" t="str">
        <f>IF(F65="","",CONCATENATE(Abitabel4!G59,":",Abitabel4!N59))</f>
        <v/>
      </c>
      <c r="L65" s="35" t="str">
        <f>IF(K65="","",IF(LEFT(K65,1)&lt;RIGHT(K65,1),0,1))</f>
        <v/>
      </c>
      <c r="M65" s="35" t="str">
        <f>IF(L65="","",IF(LEFT(K65,1)&gt;RIGHT(K65,1),0,1))</f>
        <v/>
      </c>
      <c r="Q65" s="1" t="str">
        <f t="shared" si="2"/>
        <v>ERROR</v>
      </c>
    </row>
    <row r="66" spans="1:18">
      <c r="A66" s="7"/>
      <c r="B66" s="10"/>
      <c r="C66" s="33" t="str">
        <f>VLOOKUP(C57,Koosseisud!A:B,2,FALSE )</f>
        <v>Meeskond8</v>
      </c>
      <c r="D66" s="10"/>
      <c r="E66" s="33" t="str">
        <f>VLOOKUP(E57,Koosseisud!A:B,2,FALSE)</f>
        <v>Meeskond4</v>
      </c>
      <c r="F66" s="10"/>
      <c r="G66" s="10"/>
      <c r="H66" s="10"/>
      <c r="I66" s="10"/>
      <c r="J66" s="11"/>
      <c r="K66" s="12"/>
      <c r="L66" s="13"/>
      <c r="M66" s="13"/>
    </row>
    <row r="67" spans="1:18" ht="15">
      <c r="A67" s="2" t="s">
        <v>74</v>
      </c>
      <c r="B67" s="3">
        <f>IF(K68="","",SUM(L68:L75))</f>
        <v>2</v>
      </c>
      <c r="C67" s="83" t="str">
        <f>II_voor_3p!G67</f>
        <v>SPINMASTER</v>
      </c>
      <c r="D67" s="3">
        <f>IF(K68="","",SUM(M68:M75))</f>
        <v>4</v>
      </c>
      <c r="E67" s="83" t="str">
        <f>II_voor_3p!R67</f>
        <v>Tiim FORUS - Maardu LTK</v>
      </c>
      <c r="F67" s="5" t="s">
        <v>2</v>
      </c>
      <c r="G67" s="5" t="s">
        <v>3</v>
      </c>
      <c r="H67" s="5" t="s">
        <v>4</v>
      </c>
      <c r="I67" s="5" t="s">
        <v>5</v>
      </c>
      <c r="J67" s="5" t="s">
        <v>6</v>
      </c>
      <c r="K67" s="6" t="s">
        <v>7</v>
      </c>
      <c r="L67" s="287" t="s">
        <v>8</v>
      </c>
      <c r="M67" s="287"/>
      <c r="R67" s="1" t="str">
        <f>IF(OR(B67=4,D67=4),"","ERROR")</f>
        <v/>
      </c>
    </row>
    <row r="68" spans="1:18">
      <c r="A68" s="7" t="s">
        <v>468</v>
      </c>
      <c r="B68" s="9" t="s">
        <v>9</v>
      </c>
      <c r="C68" s="8" t="str">
        <f>VLOOKUP(B68,II_voor_3p!$B$68:$K$72,2,FALSE)</f>
        <v>Arturs RUDNIKOVS</v>
      </c>
      <c r="D68" s="9" t="s">
        <v>10</v>
      </c>
      <c r="E68" s="8" t="str">
        <f>VLOOKUP(D68,II_voor_3p!$M$68:$W$72,2,FALSE)</f>
        <v>Aleksandr LUŠIN</v>
      </c>
      <c r="F68" s="85" t="str">
        <f>IF(II_voor_3p!E76=0,"",II_voor_3p!E76)</f>
        <v>12:10</v>
      </c>
      <c r="G68" s="85" t="str">
        <f>IF(II_voor_3p!H76=0,"",II_voor_3p!H76)</f>
        <v>11:7</v>
      </c>
      <c r="H68" s="85" t="str">
        <f>IF(II_voor_3p!K76=0,"",II_voor_3p!K76)</f>
        <v>7:11</v>
      </c>
      <c r="I68" s="85" t="str">
        <f>IF(II_voor_3p!N76=0,"",II_voor_3p!N76)</f>
        <v>7:11</v>
      </c>
      <c r="J68" s="85" t="str">
        <f>IF(II_voor_3p!Q76=0,"",II_voor_3p!Q76)</f>
        <v>4:11</v>
      </c>
      <c r="K68" s="53" t="str">
        <f>IF(F68="","",CONCATENATE(Abitabel4!G62,":",Abitabel4!N62))</f>
        <v>2:3</v>
      </c>
      <c r="L68" s="35">
        <f>IF(K68="","",IF(LEFT(K68,1)&lt;RIGHT(K68,1),0,1))</f>
        <v>0</v>
      </c>
      <c r="M68" s="35">
        <f>IF(K68="","",IF(LEFT(K68,1)&gt;RIGHT(K68,1),0,1))</f>
        <v>1</v>
      </c>
      <c r="Q68" s="1" t="str">
        <f t="shared" si="2"/>
        <v/>
      </c>
    </row>
    <row r="69" spans="1:18">
      <c r="A69" s="7" t="s">
        <v>59</v>
      </c>
      <c r="B69" s="9" t="s">
        <v>11</v>
      </c>
      <c r="C69" s="8" t="str">
        <f>VLOOKUP(B69,II_voor_3p!$B$68:$K$72,2,FALSE)</f>
        <v>Kevin KUKK</v>
      </c>
      <c r="D69" s="9" t="s">
        <v>12</v>
      </c>
      <c r="E69" s="8" t="str">
        <f>VLOOKUP(D69,II_voor_3p!$M$68:$W$72,2,FALSE)</f>
        <v>Antoni WITKOWSKI</v>
      </c>
      <c r="F69" s="85" t="str">
        <f>IF(II_voor_3p!E77=0,"",II_voor_3p!E77)</f>
        <v>5:11</v>
      </c>
      <c r="G69" s="85" t="str">
        <f>IF(II_voor_3p!H77=0,"",II_voor_3p!H77)</f>
        <v>3:11</v>
      </c>
      <c r="H69" s="85" t="str">
        <f>IF(II_voor_3p!K77=0,"",II_voor_3p!K77)</f>
        <v>6:11</v>
      </c>
      <c r="I69" s="85" t="str">
        <f>IF(II_voor_3p!N77=0,"",II_voor_3p!N77)</f>
        <v/>
      </c>
      <c r="J69" s="85" t="str">
        <f>IF(II_voor_3p!Q77=0,"",II_voor_3p!Q77)</f>
        <v/>
      </c>
      <c r="K69" s="53" t="str">
        <f>IF(F69="","",CONCATENATE(Abitabel4!G63,":",Abitabel4!N63))</f>
        <v>0:3</v>
      </c>
      <c r="L69" s="35">
        <f t="shared" ref="L69:L70" si="13">IF(K69="","",IF(LEFT(K69,1)&lt;RIGHT(K69,1),0,1))</f>
        <v>0</v>
      </c>
      <c r="M69" s="35">
        <f t="shared" ref="M69:M70" si="14">IF(K69="","",IF(LEFT(K69,1)&gt;RIGHT(K69,1),0,1))</f>
        <v>1</v>
      </c>
      <c r="Q69" s="1" t="str">
        <f t="shared" si="2"/>
        <v/>
      </c>
    </row>
    <row r="70" spans="1:18">
      <c r="A70" s="7"/>
      <c r="B70" s="9" t="s">
        <v>13</v>
      </c>
      <c r="C70" s="8" t="str">
        <f>VLOOKUP(B70,II_voor_3p!$B$68:$K$72,2,FALSE)</f>
        <v>Jan Kenneth TOMING</v>
      </c>
      <c r="D70" s="9" t="s">
        <v>14</v>
      </c>
      <c r="E70" s="8" t="str">
        <f>VLOOKUP(D70,II_voor_3p!$M$68:$W$72,2,FALSE)</f>
        <v>Aleksandr SMIRNOV</v>
      </c>
      <c r="F70" s="85" t="str">
        <f>IF(II_voor_3p!E78=0,"",II_voor_3p!E78)</f>
        <v>5:11</v>
      </c>
      <c r="G70" s="85" t="str">
        <f>IF(II_voor_3p!H78=0,"",II_voor_3p!H78)</f>
        <v>3:11</v>
      </c>
      <c r="H70" s="85" t="str">
        <f>IF(II_voor_3p!K78=0,"",II_voor_3p!K78)</f>
        <v>4:11</v>
      </c>
      <c r="I70" s="85" t="str">
        <f>IF(II_voor_3p!N78=0,"",II_voor_3p!N78)</f>
        <v/>
      </c>
      <c r="J70" s="85" t="str">
        <f>IF(II_voor_3p!Q78=0,"",II_voor_3p!Q78)</f>
        <v/>
      </c>
      <c r="K70" s="53" t="str">
        <f>IF(F70="","",CONCATENATE(Abitabel4!G64,":",Abitabel4!N64))</f>
        <v>0:3</v>
      </c>
      <c r="L70" s="35">
        <f t="shared" si="13"/>
        <v>0</v>
      </c>
      <c r="M70" s="35">
        <f t="shared" si="14"/>
        <v>1</v>
      </c>
      <c r="Q70" s="1" t="str">
        <f t="shared" si="2"/>
        <v/>
      </c>
    </row>
    <row r="71" spans="1:18">
      <c r="A71" s="7"/>
      <c r="B71" s="290" t="s">
        <v>15</v>
      </c>
      <c r="C71" s="1" t="str">
        <f>IF(ISBLANK(II_voor_3p!C79), "", INDEX(II_voor_3p!C68:C72, MATCH(MID(II_voor_3p!C79,1,1), II_voor_3p!B68:B72, 0)))</f>
        <v>Arturs RUDNIKOVS</v>
      </c>
      <c r="D71" s="290" t="s">
        <v>15</v>
      </c>
      <c r="E71" s="1" t="str">
        <f>IF(ISBLANK(II_voor_3p!C79), "", INDEX(II_voor_3p!N68:N72, MATCH(MID(II_voor_3p!C79,4,1), II_voor_3p!M68:M72, 0)))</f>
        <v>Aleksandr LUŠIN</v>
      </c>
      <c r="F71" s="300" t="str">
        <f>IF(II_voor_3p!E79=0,"",II_voor_3p!E79)</f>
        <v>10:12</v>
      </c>
      <c r="G71" s="300" t="str">
        <f>IF(II_voor_3p!H79=0,"",II_voor_3p!H79)</f>
        <v>12:10</v>
      </c>
      <c r="H71" s="300" t="str">
        <f>IF(II_voor_3p!K79=0,"",II_voor_3p!K79)</f>
        <v>13:11</v>
      </c>
      <c r="I71" s="300" t="str">
        <f>IF(II_voor_3p!N79=0,"",II_voor_3p!N79)</f>
        <v>11:7</v>
      </c>
      <c r="J71" s="300" t="str">
        <f>IF(II_voor_3p!Q79=0,"",II_voor_3p!Q79)</f>
        <v/>
      </c>
      <c r="K71" s="294" t="str">
        <f>IF(F71="","",CONCATENATE(Abitabel4!G65,":",Abitabel4!N65))</f>
        <v>3:1</v>
      </c>
      <c r="L71" s="295">
        <f>IF(K71="","",IF(LEFT(K71,1)&lt;RIGHT(K71,1),0,1))</f>
        <v>1</v>
      </c>
      <c r="M71" s="295">
        <f>IF(K71="","",IF(LEFT(K71,1)&gt;RIGHT(K71,1),0,1))</f>
        <v>0</v>
      </c>
      <c r="Q71" s="1" t="str">
        <f t="shared" si="2"/>
        <v/>
      </c>
    </row>
    <row r="72" spans="1:18">
      <c r="A72" s="7"/>
      <c r="B72" s="291"/>
      <c r="C72" s="1" t="str">
        <f>IF(ISBLANK(II_voor_3p!C79), "", INDEX(II_voor_3p!C68:C72, MATCH(MID(II_voor_3p!C79,2,1), II_voor_3p!B68:B72, 0)))</f>
        <v>Kevin KUKK</v>
      </c>
      <c r="D72" s="291"/>
      <c r="E72" s="1" t="str">
        <f>IF(ISBLANK(II_voor_3p!C79), "", INDEX(II_voor_3p!N68:N72, MATCH(MID(II_voor_3p!C79,5,1), II_voor_3p!M68:M72, 0)))</f>
        <v>Aleksandr SMIRNOV</v>
      </c>
      <c r="F72" s="300"/>
      <c r="G72" s="300"/>
      <c r="H72" s="300"/>
      <c r="I72" s="300"/>
      <c r="J72" s="300"/>
      <c r="K72" s="294"/>
      <c r="L72" s="295"/>
      <c r="M72" s="295"/>
    </row>
    <row r="73" spans="1:18">
      <c r="A73" s="7"/>
      <c r="B73" s="9" t="s">
        <v>9</v>
      </c>
      <c r="C73" s="8" t="str">
        <f>VLOOKUP(B73,II_voor_3p!$B$68:$K$72,2,FALSE)</f>
        <v>Arturs RUDNIKOVS</v>
      </c>
      <c r="D73" s="9" t="s">
        <v>12</v>
      </c>
      <c r="E73" s="8" t="str">
        <f>VLOOKUP(D73,II_voor_3p!$M$68:$W$72,2,FALSE)</f>
        <v>Antoni WITKOWSKI</v>
      </c>
      <c r="F73" s="85" t="str">
        <f>IF(II_voor_3p!E80=0,"",II_voor_3p!E80)</f>
        <v/>
      </c>
      <c r="G73" s="85" t="str">
        <f>IF(II_voor_3p!H80=0,"",II_voor_3p!H80)</f>
        <v/>
      </c>
      <c r="H73" s="85" t="str">
        <f>IF(II_voor_3p!K80=0,"",II_voor_3p!K80)</f>
        <v/>
      </c>
      <c r="I73" s="85" t="str">
        <f>IF(II_voor_3p!N80=0,"",II_voor_3p!N80)</f>
        <v/>
      </c>
      <c r="J73" s="85" t="str">
        <f>IF(II_voor_3p!Q80=0,"",II_voor_3p!Q80)</f>
        <v/>
      </c>
      <c r="K73" s="53" t="s">
        <v>553</v>
      </c>
      <c r="L73" s="35">
        <f>IF(K73="","",IF(LEFT(K73,1)&lt;RIGHT(K73,1),0,1))</f>
        <v>1</v>
      </c>
      <c r="M73" s="35">
        <f>IF(K73="","",IF(LEFT(K73,1)&gt;RIGHT(K73,1),0,1))</f>
        <v>0</v>
      </c>
      <c r="Q73" s="1" t="str">
        <f t="shared" ref="Q73:Q85" si="15">IF(OR(LEFT(K73,1)="3",RIGHT(K73,1)="3"),"","ERROR")</f>
        <v>ERROR</v>
      </c>
    </row>
    <row r="74" spans="1:18">
      <c r="A74" s="7"/>
      <c r="B74" s="9" t="s">
        <v>13</v>
      </c>
      <c r="C74" s="8" t="str">
        <f>VLOOKUP(B74,II_voor_3p!$B$68:$K$72,2,FALSE)</f>
        <v>Jan Kenneth TOMING</v>
      </c>
      <c r="D74" s="9" t="s">
        <v>10</v>
      </c>
      <c r="E74" s="8" t="str">
        <f>VLOOKUP(D74,II_voor_3p!$M$68:$W$72,2,FALSE)</f>
        <v>Aleksandr LUŠIN</v>
      </c>
      <c r="F74" s="85" t="str">
        <f>IF(II_voor_3p!E81=0,"",II_voor_3p!E81)</f>
        <v>7:11</v>
      </c>
      <c r="G74" s="85" t="str">
        <f>IF(II_voor_3p!H81=0,"",II_voor_3p!H81)</f>
        <v>2:11</v>
      </c>
      <c r="H74" s="85" t="str">
        <f>IF(II_voor_3p!K81=0,"",II_voor_3p!K81)</f>
        <v>8:11</v>
      </c>
      <c r="I74" s="85" t="str">
        <f>IF(II_voor_3p!N81=0,"",II_voor_3p!N81)</f>
        <v/>
      </c>
      <c r="J74" s="85" t="str">
        <f>IF(II_voor_3p!Q81=0,"",II_voor_3p!Q81)</f>
        <v/>
      </c>
      <c r="K74" s="53" t="str">
        <f>IF(F74="","",CONCATENATE(Abitabel4!G68,":",Abitabel4!N68))</f>
        <v>0:3</v>
      </c>
      <c r="L74" s="35">
        <f>IF(K74="","",IF(LEFT(K74,1)&lt;RIGHT(K74,1),0,1))</f>
        <v>0</v>
      </c>
      <c r="M74" s="35">
        <f>IF(L74="","",IF(LEFT(K74,1)&gt;RIGHT(K74,1),0,1))</f>
        <v>1</v>
      </c>
      <c r="Q74" s="1" t="str">
        <f t="shared" si="15"/>
        <v/>
      </c>
    </row>
    <row r="75" spans="1:18">
      <c r="A75" s="7"/>
      <c r="B75" s="9" t="s">
        <v>11</v>
      </c>
      <c r="C75" s="8" t="str">
        <f>VLOOKUP(B75,II_voor_3p!$B$68:$K$72,2,FALSE)</f>
        <v>Kevin KUKK</v>
      </c>
      <c r="D75" s="9" t="s">
        <v>14</v>
      </c>
      <c r="E75" s="8" t="str">
        <f>VLOOKUP(D75,II_voor_3p!$M$68:$W$72,2,FALSE)</f>
        <v>Aleksandr SMIRNOV</v>
      </c>
      <c r="F75" s="85" t="str">
        <f>IF(II_voor_3p!E82=0,"",II_voor_3p!E82)</f>
        <v/>
      </c>
      <c r="G75" s="85" t="str">
        <f>IF(II_voor_3p!H82=0,"",II_voor_3p!H82)</f>
        <v/>
      </c>
      <c r="H75" s="85" t="str">
        <f>IF(II_voor_3p!K82=0,"",II_voor_3p!K82)</f>
        <v/>
      </c>
      <c r="I75" s="85" t="str">
        <f>IF(II_voor_3p!N82=0,"",II_voor_3p!N82)</f>
        <v/>
      </c>
      <c r="J75" s="85" t="str">
        <f>IF(II_voor_3p!Q82=0,"",II_voor_3p!Q82)</f>
        <v/>
      </c>
      <c r="K75" s="53" t="str">
        <f>IF(F75="","",CONCATENATE(Abitabel4!G69,":",Abitabel4!N69))</f>
        <v/>
      </c>
      <c r="L75" s="35" t="str">
        <f>IF(K75="","",IF(LEFT(K75,1)&lt;RIGHT(K75,1),0,1))</f>
        <v/>
      </c>
      <c r="M75" s="35" t="str">
        <f>IF(L75="","",IF(LEFT(K75,1)&gt;RIGHT(K75,1),0,1))</f>
        <v/>
      </c>
      <c r="Q75" s="1" t="str">
        <f t="shared" si="15"/>
        <v>ERROR</v>
      </c>
    </row>
    <row r="76" spans="1:18">
      <c r="A76" s="7"/>
      <c r="B76" s="10"/>
      <c r="C76" s="33" t="str">
        <f>VLOOKUP(C67,Koosseisud!A:B,2,FALSE )</f>
        <v>Meeskond6</v>
      </c>
      <c r="D76" s="10"/>
      <c r="E76" s="33" t="str">
        <f>VLOOKUP(E67,Koosseisud!A:B,2,FALSE)</f>
        <v>Meeskond1</v>
      </c>
      <c r="F76" s="10"/>
      <c r="G76" s="10"/>
      <c r="H76" s="10"/>
      <c r="I76" s="10"/>
      <c r="J76" s="11"/>
      <c r="K76" s="12"/>
      <c r="L76" s="13"/>
      <c r="M76" s="13"/>
    </row>
    <row r="77" spans="1:18" ht="15">
      <c r="A77" s="2" t="s">
        <v>75</v>
      </c>
      <c r="B77" s="3">
        <f>IF(K78="","",SUM(L78:L85))</f>
        <v>4</v>
      </c>
      <c r="C77" s="83" t="str">
        <f>II_voor_3p!G97</f>
        <v>Viimsi LTK/EM-SERV</v>
      </c>
      <c r="D77" s="3">
        <f>IF(K78="","",SUM(M78:M85))</f>
        <v>1</v>
      </c>
      <c r="E77" s="83" t="str">
        <f>II_voor_3p!R97</f>
        <v>Viljandi LTK Sakala</v>
      </c>
      <c r="F77" s="5" t="s">
        <v>2</v>
      </c>
      <c r="G77" s="5" t="s">
        <v>3</v>
      </c>
      <c r="H77" s="5" t="s">
        <v>4</v>
      </c>
      <c r="I77" s="5" t="s">
        <v>5</v>
      </c>
      <c r="J77" s="5" t="s">
        <v>6</v>
      </c>
      <c r="K77" s="6" t="s">
        <v>7</v>
      </c>
      <c r="L77" s="287" t="s">
        <v>8</v>
      </c>
      <c r="M77" s="287"/>
      <c r="R77" s="1" t="str">
        <f>IF(OR(B77=4,D77=4),"","ERROR")</f>
        <v/>
      </c>
    </row>
    <row r="78" spans="1:18">
      <c r="A78" s="7" t="s">
        <v>468</v>
      </c>
      <c r="B78" s="9" t="s">
        <v>9</v>
      </c>
      <c r="C78" s="8" t="str">
        <f>VLOOKUP(B78,II_voor_3p!$B$98:$K$102,2,FALSE)</f>
        <v>Pert Marten LEHTLAAN</v>
      </c>
      <c r="D78" s="9" t="s">
        <v>10</v>
      </c>
      <c r="E78" s="8" t="str">
        <f>VLOOKUP(D78,II_voor_3p!$M$98:$W$102,2,FALSE)</f>
        <v>Valdas  MARTINKUS</v>
      </c>
      <c r="F78" s="85" t="str">
        <f>IF(II_voor_3p!E106=0,"",II_voor_3p!E106)</f>
        <v>3:11</v>
      </c>
      <c r="G78" s="85" t="str">
        <f>IF(II_voor_3p!H106=0,"",II_voor_3p!H106)</f>
        <v>11:9</v>
      </c>
      <c r="H78" s="85" t="str">
        <f>IF(II_voor_3p!K106=0,"",II_voor_3p!K106)</f>
        <v>5:11</v>
      </c>
      <c r="I78" s="85" t="str">
        <f>IF(II_voor_3p!N106=0,"",II_voor_3p!N106)</f>
        <v>9:11</v>
      </c>
      <c r="J78" s="85" t="str">
        <f>IF(II_voor_3p!Q106=0,"",II_voor_3p!Q106)</f>
        <v/>
      </c>
      <c r="K78" s="53" t="str">
        <f>IF(F78="","",CONCATENATE(Abitabel4!G72,":",Abitabel4!N72))</f>
        <v>1:3</v>
      </c>
      <c r="L78" s="35">
        <f>IF(K78="","",IF(LEFT(K78,1)&lt;RIGHT(K78,1),0,1))</f>
        <v>0</v>
      </c>
      <c r="M78" s="35">
        <f>IF(K78="","",IF(LEFT(K78,1)&gt;RIGHT(K78,1),0,1))</f>
        <v>1</v>
      </c>
      <c r="Q78" s="1" t="str">
        <f t="shared" si="15"/>
        <v/>
      </c>
    </row>
    <row r="79" spans="1:18">
      <c r="A79" s="7" t="s">
        <v>59</v>
      </c>
      <c r="B79" s="9" t="s">
        <v>11</v>
      </c>
      <c r="C79" s="8" t="str">
        <f>VLOOKUP(B79,II_voor_3p!$B$98:$K$102,2,FALSE)</f>
        <v>Ilmar VUHKA</v>
      </c>
      <c r="D79" s="9" t="s">
        <v>12</v>
      </c>
      <c r="E79" s="8" t="str">
        <f>VLOOKUP(D79,II_voor_3p!$M$98:$W$102,2,FALSE)</f>
        <v>Märt KURVET</v>
      </c>
      <c r="F79" s="85" t="str">
        <f>IF(II_voor_3p!E107=0,"",II_voor_3p!E107)</f>
        <v>11:8</v>
      </c>
      <c r="G79" s="85" t="str">
        <f>IF(II_voor_3p!H107=0,"",II_voor_3p!H107)</f>
        <v>16:14</v>
      </c>
      <c r="H79" s="85" t="str">
        <f>IF(II_voor_3p!K107=0,"",II_voor_3p!K107)</f>
        <v>11:6</v>
      </c>
      <c r="I79" s="85" t="str">
        <f>IF(II_voor_3p!N107=0,"",II_voor_3p!N107)</f>
        <v/>
      </c>
      <c r="J79" s="85" t="str">
        <f>IF(II_voor_3p!Q107=0,"",II_voor_3p!Q107)</f>
        <v/>
      </c>
      <c r="K79" s="53" t="str">
        <f>IF(F79="","",CONCATENATE(Abitabel4!G73,":",Abitabel4!N73))</f>
        <v>3:0</v>
      </c>
      <c r="L79" s="35">
        <f t="shared" ref="L79:L80" si="16">IF(K79="","",IF(LEFT(K79,1)&lt;RIGHT(K79,1),0,1))</f>
        <v>1</v>
      </c>
      <c r="M79" s="35">
        <f t="shared" ref="M79:M80" si="17">IF(K79="","",IF(LEFT(K79,1)&gt;RIGHT(K79,1),0,1))</f>
        <v>0</v>
      </c>
      <c r="Q79" s="1" t="str">
        <f t="shared" si="15"/>
        <v/>
      </c>
    </row>
    <row r="80" spans="1:18">
      <c r="A80" s="7"/>
      <c r="B80" s="9" t="s">
        <v>13</v>
      </c>
      <c r="C80" s="8" t="str">
        <f>VLOOKUP(B80,II_voor_3p!$B$98:$K$102,2,FALSE)</f>
        <v>Daniels KOGANS</v>
      </c>
      <c r="D80" s="9" t="s">
        <v>14</v>
      </c>
      <c r="E80" s="8" t="str">
        <f>VLOOKUP(D80,II_voor_3p!$M$98:$W$102,2,FALSE)</f>
        <v>Robi TOOMING</v>
      </c>
      <c r="F80" s="85" t="str">
        <f>IF(II_voor_3p!E108=0,"",II_voor_3p!E108)</f>
        <v>11:6</v>
      </c>
      <c r="G80" s="85" t="str">
        <f>IF(II_voor_3p!H108=0,"",II_voor_3p!H108)</f>
        <v>15:13</v>
      </c>
      <c r="H80" s="85" t="str">
        <f>IF(II_voor_3p!K108=0,"",II_voor_3p!K108)</f>
        <v>11:3</v>
      </c>
      <c r="I80" s="85" t="str">
        <f>IF(II_voor_3p!N108=0,"",II_voor_3p!N108)</f>
        <v/>
      </c>
      <c r="J80" s="85" t="str">
        <f>IF(II_voor_3p!Q108=0,"",II_voor_3p!Q108)</f>
        <v/>
      </c>
      <c r="K80" s="53" t="str">
        <f>IF(F80="","",CONCATENATE(Abitabel4!G74,":",Abitabel4!N74))</f>
        <v>3:0</v>
      </c>
      <c r="L80" s="35">
        <f t="shared" si="16"/>
        <v>1</v>
      </c>
      <c r="M80" s="35">
        <f t="shared" si="17"/>
        <v>0</v>
      </c>
      <c r="Q80" s="1" t="str">
        <f t="shared" si="15"/>
        <v/>
      </c>
    </row>
    <row r="81" spans="1:17">
      <c r="A81" s="7"/>
      <c r="B81" s="290" t="s">
        <v>15</v>
      </c>
      <c r="C81" s="1" t="str">
        <f>IF(ISBLANK(II_voor_3p!C109), "", INDEX(II_voor_3p!C98:C102, MATCH(MID(II_voor_3p!C109,1,1), II_voor_3p!B98:B102, 0)))</f>
        <v>Ilmar VUHKA</v>
      </c>
      <c r="D81" s="290" t="s">
        <v>15</v>
      </c>
      <c r="E81" s="1" t="str">
        <f>IF(ISBLANK(II_voor_3p!C109), "", INDEX(II_voor_3p!N98:N102, MATCH(MID(II_voor_3p!C109,4,1), II_voor_3p!M98:M102, 0)))</f>
        <v>Valdas  MARTINKUS</v>
      </c>
      <c r="F81" s="300" t="str">
        <f>IF(II_voor_3p!E109=0,"",II_voor_3p!E109)</f>
        <v>7:11</v>
      </c>
      <c r="G81" s="300" t="str">
        <f>IF(II_voor_3p!H109=0,"",II_voor_3p!H109)</f>
        <v>11:5</v>
      </c>
      <c r="H81" s="300" t="str">
        <f>IF(II_voor_3p!K109=0,"",II_voor_3p!K109)</f>
        <v>11:9</v>
      </c>
      <c r="I81" s="300" t="str">
        <f>IF(II_voor_3p!N109=0,"",II_voor_3p!N109)</f>
        <v>11:8</v>
      </c>
      <c r="J81" s="300" t="str">
        <f>IF(II_voor_3p!Q109=0,"",II_voor_3p!Q109)</f>
        <v/>
      </c>
      <c r="K81" s="294" t="str">
        <f>IF(F81="","",CONCATENATE(Abitabel4!G75,":",Abitabel4!N75))</f>
        <v>3:1</v>
      </c>
      <c r="L81" s="295">
        <f>IF(K81="","",IF(LEFT(K81,1)&lt;RIGHT(K81,1),0,1))</f>
        <v>1</v>
      </c>
      <c r="M81" s="295">
        <f>IF(K81="","",IF(LEFT(K81,1)&gt;RIGHT(K81,1),0,1))</f>
        <v>0</v>
      </c>
      <c r="Q81" s="1" t="str">
        <f t="shared" si="15"/>
        <v/>
      </c>
    </row>
    <row r="82" spans="1:17">
      <c r="A82" s="7"/>
      <c r="B82" s="291"/>
      <c r="C82" s="1" t="str">
        <f>IF(ISBLANK(II_voor_3p!C109), "", INDEX(II_voor_3p!C98:C102, MATCH(MID(II_voor_3p!C109,2,1), II_voor_3p!B98:B102, 0)))</f>
        <v>Daniels KOGANS</v>
      </c>
      <c r="D82" s="291"/>
      <c r="E82" s="1" t="str">
        <f>IF(ISBLANK(II_voor_3p!C109), "", INDEX(II_voor_3p!N98:N102, MATCH(MID(II_voor_3p!C109,5,1), II_voor_3p!M98:M102, 0)))</f>
        <v>Robi TOOMING</v>
      </c>
      <c r="F82" s="300"/>
      <c r="G82" s="300"/>
      <c r="H82" s="300"/>
      <c r="I82" s="300"/>
      <c r="J82" s="300"/>
      <c r="K82" s="294"/>
      <c r="L82" s="295"/>
      <c r="M82" s="295"/>
    </row>
    <row r="83" spans="1:17">
      <c r="A83" s="7"/>
      <c r="B83" s="9" t="s">
        <v>9</v>
      </c>
      <c r="C83" s="8" t="str">
        <f>VLOOKUP(B83,II_voor_3p!$B$98:$K$102,2,FALSE)</f>
        <v>Pert Marten LEHTLAAN</v>
      </c>
      <c r="D83" s="9" t="s">
        <v>12</v>
      </c>
      <c r="E83" s="8" t="str">
        <f>VLOOKUP(D83,II_voor_3p!$M$98:$W$102,2,FALSE)</f>
        <v>Märt KURVET</v>
      </c>
      <c r="F83" s="85" t="str">
        <f>IF(II_voor_3p!E110=0,"",II_voor_3p!E110)</f>
        <v>11:6</v>
      </c>
      <c r="G83" s="85" t="str">
        <f>IF(II_voor_3p!H110=0,"",II_voor_3p!H110)</f>
        <v>5:11</v>
      </c>
      <c r="H83" s="85" t="str">
        <f>IF(II_voor_3p!K110=0,"",II_voor_3p!K110)</f>
        <v>11:8</v>
      </c>
      <c r="I83" s="85" t="str">
        <f>IF(II_voor_3p!N110=0,"",II_voor_3p!N110)</f>
        <v>10:12</v>
      </c>
      <c r="J83" s="85" t="str">
        <f>IF(II_voor_3p!Q110=0,"",II_voor_3p!Q110)</f>
        <v>11:0</v>
      </c>
      <c r="K83" s="53" t="str">
        <f>IF(F83="","",CONCATENATE(Abitabel4!G77,":",Abitabel4!N77))</f>
        <v>3:2</v>
      </c>
      <c r="L83" s="35">
        <f>IF(K83="","",IF(LEFT(K83,1)&lt;RIGHT(K83,1),0,1))</f>
        <v>1</v>
      </c>
      <c r="M83" s="35">
        <f>IF(K83="","",IF(LEFT(K83,1)&gt;RIGHT(K83,1),0,1))</f>
        <v>0</v>
      </c>
      <c r="Q83" s="1" t="str">
        <f t="shared" si="15"/>
        <v/>
      </c>
    </row>
    <row r="84" spans="1:17">
      <c r="A84" s="7"/>
      <c r="B84" s="9" t="s">
        <v>13</v>
      </c>
      <c r="C84" s="8" t="str">
        <f>VLOOKUP(B84,II_voor_3p!$B$98:$K$102,2,FALSE)</f>
        <v>Daniels KOGANS</v>
      </c>
      <c r="D84" s="9" t="s">
        <v>10</v>
      </c>
      <c r="E84" s="8" t="str">
        <f>VLOOKUP(D84,II_voor_3p!$M$98:$W$102,2,FALSE)</f>
        <v>Valdas  MARTINKUS</v>
      </c>
      <c r="F84" s="85" t="str">
        <f>IF(II_voor_3p!E111=0,"",II_voor_3p!E111)</f>
        <v/>
      </c>
      <c r="G84" s="85" t="str">
        <f>IF(II_voor_3p!H111=0,"",II_voor_3p!H111)</f>
        <v/>
      </c>
      <c r="H84" s="85" t="str">
        <f>IF(II_voor_3p!K111=0,"",II_voor_3p!K111)</f>
        <v/>
      </c>
      <c r="I84" s="85" t="str">
        <f>IF(II_voor_3p!N111=0,"",II_voor_3p!N111)</f>
        <v/>
      </c>
      <c r="J84" s="85" t="str">
        <f>IF(II_voor_3p!Q111=0,"",II_voor_3p!Q111)</f>
        <v/>
      </c>
      <c r="K84" s="53" t="str">
        <f>IF(F84="","",CONCATENATE(Abitabel4!G78,":",Abitabel4!N78))</f>
        <v/>
      </c>
      <c r="L84" s="35" t="str">
        <f>IF(K84="","",IF(LEFT(K84,1)&lt;RIGHT(K84,1),0,1))</f>
        <v/>
      </c>
      <c r="M84" s="35" t="str">
        <f>IF(L84="","",IF(LEFT(K84,1)&gt;RIGHT(K84,1),0,1))</f>
        <v/>
      </c>
      <c r="Q84" s="1" t="str">
        <f t="shared" si="15"/>
        <v>ERROR</v>
      </c>
    </row>
    <row r="85" spans="1:17">
      <c r="A85" s="7"/>
      <c r="B85" s="9" t="s">
        <v>11</v>
      </c>
      <c r="C85" s="8" t="str">
        <f>VLOOKUP(B85,II_voor_3p!$B$98:$K$102,2,FALSE)</f>
        <v>Ilmar VUHKA</v>
      </c>
      <c r="D85" s="9" t="s">
        <v>14</v>
      </c>
      <c r="E85" s="8" t="str">
        <f>VLOOKUP(D85,II_voor_3p!$M$98:$W$102,2,FALSE)</f>
        <v>Robi TOOMING</v>
      </c>
      <c r="F85" s="84" t="str">
        <f>IF(II_voor_3p!E112=0,"",II_voor_3p!E112)</f>
        <v/>
      </c>
      <c r="G85" s="84" t="str">
        <f>IF(II_voor_3p!H112=0,"",II_voor_3p!H112)</f>
        <v/>
      </c>
      <c r="H85" s="84" t="str">
        <f>IF(II_voor_3p!K112=0,"",II_voor_3p!K112)</f>
        <v/>
      </c>
      <c r="I85" s="84" t="str">
        <f>IF(II_voor_3p!N112=0,"",II_voor_3p!N112)</f>
        <v/>
      </c>
      <c r="J85" s="84" t="str">
        <f>IF(II_voor_3p!Q112=0,"",II_voor_3p!Q112)</f>
        <v/>
      </c>
      <c r="K85" s="53" t="str">
        <f>IF(F85="","",CONCATENATE(Abitabel4!G79,":",Abitabel4!N79))</f>
        <v/>
      </c>
      <c r="L85" s="35" t="str">
        <f>IF(K85="","",IF(LEFT(K85,1)&lt;RIGHT(K85,1),0,1))</f>
        <v/>
      </c>
      <c r="M85" s="35" t="str">
        <f>IF(L85="","",IF(LEFT(K85,1)&gt;RIGHT(K85,1),0,1))</f>
        <v/>
      </c>
      <c r="Q85" s="1" t="str">
        <f t="shared" si="15"/>
        <v>ERROR</v>
      </c>
    </row>
    <row r="86" spans="1:17">
      <c r="A86" s="7"/>
      <c r="B86" s="10"/>
      <c r="C86" s="33" t="str">
        <f>VLOOKUP(C77,Koosseisud!A:B,2,FALSE )</f>
        <v>Meeskond7</v>
      </c>
      <c r="D86" s="10"/>
      <c r="E86" s="33" t="str">
        <f>VLOOKUP(E77,Koosseisud!A:B,2,FALSE)</f>
        <v>Meeskond5</v>
      </c>
      <c r="F86" s="10"/>
      <c r="G86" s="10"/>
      <c r="H86" s="10"/>
      <c r="I86" s="10"/>
      <c r="J86" s="11"/>
      <c r="K86" s="12"/>
      <c r="L86" s="13"/>
      <c r="M86" s="13"/>
    </row>
  </sheetData>
  <mergeCells count="93">
    <mergeCell ref="I11:I12"/>
    <mergeCell ref="A1:N1"/>
    <mergeCell ref="A2:N2"/>
    <mergeCell ref="A3:N3"/>
    <mergeCell ref="A4:N4"/>
    <mergeCell ref="A5:N5"/>
    <mergeCell ref="L7:M7"/>
    <mergeCell ref="B11:B12"/>
    <mergeCell ref="D11:D12"/>
    <mergeCell ref="F11:F12"/>
    <mergeCell ref="G11:G12"/>
    <mergeCell ref="H11:H12"/>
    <mergeCell ref="B21:B22"/>
    <mergeCell ref="D21:D22"/>
    <mergeCell ref="F21:F22"/>
    <mergeCell ref="G21:G22"/>
    <mergeCell ref="H21:H22"/>
    <mergeCell ref="M21:M22"/>
    <mergeCell ref="L27:M27"/>
    <mergeCell ref="J11:J12"/>
    <mergeCell ref="K11:K12"/>
    <mergeCell ref="L11:L12"/>
    <mergeCell ref="M11:M12"/>
    <mergeCell ref="L17:M17"/>
    <mergeCell ref="I31:I32"/>
    <mergeCell ref="I21:I22"/>
    <mergeCell ref="J21:J22"/>
    <mergeCell ref="K21:K22"/>
    <mergeCell ref="L21:L22"/>
    <mergeCell ref="B31:B32"/>
    <mergeCell ref="D31:D32"/>
    <mergeCell ref="F31:F32"/>
    <mergeCell ref="G31:G32"/>
    <mergeCell ref="H31:H32"/>
    <mergeCell ref="B41:B42"/>
    <mergeCell ref="D41:D42"/>
    <mergeCell ref="F41:F42"/>
    <mergeCell ref="G41:G42"/>
    <mergeCell ref="H41:H42"/>
    <mergeCell ref="M41:M42"/>
    <mergeCell ref="L47:M47"/>
    <mergeCell ref="J31:J32"/>
    <mergeCell ref="K31:K32"/>
    <mergeCell ref="L31:L32"/>
    <mergeCell ref="M31:M32"/>
    <mergeCell ref="L37:M37"/>
    <mergeCell ref="I51:I52"/>
    <mergeCell ref="I41:I42"/>
    <mergeCell ref="J41:J42"/>
    <mergeCell ref="K41:K42"/>
    <mergeCell ref="L41:L42"/>
    <mergeCell ref="B51:B52"/>
    <mergeCell ref="D51:D52"/>
    <mergeCell ref="F51:F52"/>
    <mergeCell ref="G51:G52"/>
    <mergeCell ref="H51:H52"/>
    <mergeCell ref="B61:B62"/>
    <mergeCell ref="D61:D62"/>
    <mergeCell ref="F61:F62"/>
    <mergeCell ref="G61:G62"/>
    <mergeCell ref="H61:H62"/>
    <mergeCell ref="M61:M62"/>
    <mergeCell ref="L67:M67"/>
    <mergeCell ref="J51:J52"/>
    <mergeCell ref="K51:K52"/>
    <mergeCell ref="L51:L52"/>
    <mergeCell ref="M51:M52"/>
    <mergeCell ref="L57:M57"/>
    <mergeCell ref="I61:I62"/>
    <mergeCell ref="J61:J62"/>
    <mergeCell ref="K61:K62"/>
    <mergeCell ref="L61:L62"/>
    <mergeCell ref="J71:J72"/>
    <mergeCell ref="K71:K72"/>
    <mergeCell ref="L71:L72"/>
    <mergeCell ref="B71:B72"/>
    <mergeCell ref="D71:D72"/>
    <mergeCell ref="F71:F72"/>
    <mergeCell ref="G71:G72"/>
    <mergeCell ref="H71:H72"/>
    <mergeCell ref="B81:B82"/>
    <mergeCell ref="D81:D82"/>
    <mergeCell ref="F81:F82"/>
    <mergeCell ref="G81:G82"/>
    <mergeCell ref="H81:H82"/>
    <mergeCell ref="M71:M72"/>
    <mergeCell ref="L77:M77"/>
    <mergeCell ref="I81:I82"/>
    <mergeCell ref="J81:J82"/>
    <mergeCell ref="K81:K82"/>
    <mergeCell ref="L81:L82"/>
    <mergeCell ref="M81:M82"/>
    <mergeCell ref="I71:I72"/>
  </mergeCells>
  <conditionalFormatting sqref="D8:D10 B8:B10 B13:B16 D18:D20 B18:B20 D13:D16 B23:B70 D23:D30 B72:B86 D73:D80 D33:D40 D43:D50 D53:D60 D63:D70 D83:D86">
    <cfRule type="expression" dxfId="85" priority="21" stopIfTrue="1">
      <formula>#REF!=3</formula>
    </cfRule>
  </conditionalFormatting>
  <conditionalFormatting sqref="E7:E10 C7:C10 C58:C60 E58:E60 C68:C70 E68:E70 C78:C80 E78:E80 C13:C20 E13:E20 E23:E30 C23:C30 C33:C40 E33:E40 E43:E50 C43:C50 C53:C56 E53:E56 E63:E66 C63:C66 E73:E76 C73:C76 E83:E86 C83:C86">
    <cfRule type="cellIs" dxfId="84" priority="20" stopIfTrue="1" operator="equal">
      <formula>0</formula>
    </cfRule>
  </conditionalFormatting>
  <conditionalFormatting sqref="B11 B36 D36 B45 D45 D55 B55 B63 D63 B78 D78 D39 B39 D48 B48 D57 B57 B21 D29:D30 B29:B31 B41 B51 B61 D70 B70:B71 B81">
    <cfRule type="expression" dxfId="83" priority="19" stopIfTrue="1">
      <formula>#REF!=3</formula>
    </cfRule>
  </conditionalFormatting>
  <conditionalFormatting sqref="E11:E12 C11:C12">
    <cfRule type="cellIs" dxfId="82" priority="18" stopIfTrue="1" operator="equal">
      <formula>0</formula>
    </cfRule>
  </conditionalFormatting>
  <conditionalFormatting sqref="D11">
    <cfRule type="expression" dxfId="81" priority="17" stopIfTrue="1">
      <formula>#REF!=3</formula>
    </cfRule>
  </conditionalFormatting>
  <conditionalFormatting sqref="E21:E22 C21:C22">
    <cfRule type="cellIs" dxfId="80" priority="16" stopIfTrue="1" operator="equal">
      <formula>0</formula>
    </cfRule>
  </conditionalFormatting>
  <conditionalFormatting sqref="D21">
    <cfRule type="expression" dxfId="79" priority="15" stopIfTrue="1">
      <formula>#REF!=3</formula>
    </cfRule>
  </conditionalFormatting>
  <conditionalFormatting sqref="E31:E32 C31:C32">
    <cfRule type="cellIs" dxfId="78" priority="14" stopIfTrue="1" operator="equal">
      <formula>0</formula>
    </cfRule>
  </conditionalFormatting>
  <conditionalFormatting sqref="D31">
    <cfRule type="expression" dxfId="77" priority="13" stopIfTrue="1">
      <formula>#REF!=3</formula>
    </cfRule>
  </conditionalFormatting>
  <conditionalFormatting sqref="E41:E42 C41:C42">
    <cfRule type="cellIs" dxfId="76" priority="12" stopIfTrue="1" operator="equal">
      <formula>0</formula>
    </cfRule>
  </conditionalFormatting>
  <conditionalFormatting sqref="D41">
    <cfRule type="expression" dxfId="75" priority="11" stopIfTrue="1">
      <formula>#REF!=3</formula>
    </cfRule>
  </conditionalFormatting>
  <conditionalFormatting sqref="D61:D62">
    <cfRule type="expression" dxfId="74" priority="8" stopIfTrue="1">
      <formula>#REF!=3</formula>
    </cfRule>
  </conditionalFormatting>
  <conditionalFormatting sqref="D61">
    <cfRule type="expression" dxfId="73" priority="7" stopIfTrue="1">
      <formula>#REF!=3</formula>
    </cfRule>
  </conditionalFormatting>
  <conditionalFormatting sqref="D72">
    <cfRule type="expression" dxfId="72" priority="6" stopIfTrue="1">
      <formula>#REF!=3</formula>
    </cfRule>
  </conditionalFormatting>
  <conditionalFormatting sqref="D71">
    <cfRule type="expression" dxfId="71" priority="5" stopIfTrue="1">
      <formula>#REF!=3</formula>
    </cfRule>
  </conditionalFormatting>
  <conditionalFormatting sqref="D81:D82">
    <cfRule type="expression" dxfId="70" priority="4" stopIfTrue="1">
      <formula>#REF!=3</formula>
    </cfRule>
  </conditionalFormatting>
  <conditionalFormatting sqref="D81">
    <cfRule type="expression" dxfId="69" priority="3" stopIfTrue="1">
      <formula>#REF!=3</formula>
    </cfRule>
  </conditionalFormatting>
  <conditionalFormatting sqref="C51:C52">
    <cfRule type="cellIs" dxfId="68" priority="2" stopIfTrue="1" operator="equal">
      <formula>0</formula>
    </cfRule>
  </conditionalFormatting>
  <conditionalFormatting sqref="D51">
    <cfRule type="expression" dxfId="67" priority="1" stopIfTrue="1">
      <formula>#REF!=3</formula>
    </cfRule>
  </conditionalFormatting>
  <pageMargins left="0.7" right="0.7" top="0.75" bottom="0.75" header="0.3" footer="0.3"/>
  <pageSetup paperSize="9" scale="63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A0996-9A60-464D-B02A-AFABBB4810ED}">
          <x14:formula1>
            <xm:f>Abitabel!$J$1:$J$20</xm:f>
          </x14:formula1>
          <xm:sqref>K38:K45 K18:K25 K28:K35 K8:K15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BA54-9D6E-4DE6-9157-05CFE230520B}">
  <sheetPr>
    <pageSetUpPr fitToPage="1"/>
  </sheetPr>
  <dimension ref="A1:R126"/>
  <sheetViews>
    <sheetView topLeftCell="A3" zoomScale="85" zoomScaleNormal="85" workbookViewId="0">
      <selection activeCell="E32" sqref="E32"/>
    </sheetView>
  </sheetViews>
  <sheetFormatPr defaultColWidth="9.28515625" defaultRowHeight="12.75"/>
  <cols>
    <col min="1" max="1" width="13.710937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hidden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495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494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0</v>
      </c>
      <c r="C7" s="4" t="str">
        <f>I_voor_4p!G7</f>
        <v>Viljandi LTK Sakala</v>
      </c>
      <c r="D7" s="3">
        <f>IF(K8="","",SUM(M8:M15))</f>
        <v>4</v>
      </c>
      <c r="E7" s="4" t="str">
        <f>I_voor_4p!R7</f>
        <v>Viimsi PINX</v>
      </c>
      <c r="F7" s="137" t="s">
        <v>2</v>
      </c>
      <c r="G7" s="137" t="s">
        <v>3</v>
      </c>
      <c r="H7" s="137" t="s">
        <v>4</v>
      </c>
      <c r="I7" s="137" t="s">
        <v>5</v>
      </c>
      <c r="J7" s="137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128</v>
      </c>
      <c r="B8" s="9" t="s">
        <v>9</v>
      </c>
      <c r="C8" s="8" t="str">
        <f>VLOOKUP(B8,I_voor_4p!$B$8:$K$12,2,FALSE)</f>
        <v>Robi TOOMING</v>
      </c>
      <c r="D8" s="9" t="s">
        <v>10</v>
      </c>
      <c r="E8" s="8" t="str">
        <f>VLOOKUP(D8,I_voor_4p!$M$8:$W$12,2,FALSE)</f>
        <v>Toomas LIBENE</v>
      </c>
      <c r="F8" s="9" t="str">
        <f>IF(I_voor_4p!E16=0,"",I_voor_4p!E16)</f>
        <v>4:11</v>
      </c>
      <c r="G8" s="9" t="str">
        <f>IF(I_voor_4p!H16=0,"",I_voor_4p!H16)</f>
        <v>8:11</v>
      </c>
      <c r="H8" s="9" t="str">
        <f>IF(I_voor_4p!K16=0,"",I_voor_4p!K16)</f>
        <v>6:11</v>
      </c>
      <c r="I8" s="9" t="str">
        <f>IF(I_voor_4p!N16=0,"",I_voor_4p!N16)</f>
        <v/>
      </c>
      <c r="J8" s="9" t="str">
        <f>IF(I_voor_4p!Q16=0,"",I_voor_4p!Q16)</f>
        <v/>
      </c>
      <c r="K8" s="53" t="str">
        <f>IF(F8="","",CONCATENATE(Abitabel5!G2,":",Abitabel5!N2))</f>
        <v>0:3</v>
      </c>
      <c r="L8" s="35">
        <f>IF(K8="","",IF(LEFT(K8,1)&lt;RIGHT(K8,1),0,1))</f>
        <v>0</v>
      </c>
      <c r="M8" s="35">
        <f>IF(K8="","",IF(LEFT(K8,1)&gt;RIGHT(K8,1),0,1))</f>
        <v>1</v>
      </c>
      <c r="Q8" s="1" t="str">
        <f>IF(OR(LEFT(K8,1)="3",RIGHT(K8,1)="3"),"","ERROR")</f>
        <v/>
      </c>
    </row>
    <row r="9" spans="1:18">
      <c r="A9" s="7" t="s">
        <v>59</v>
      </c>
      <c r="B9" s="9" t="s">
        <v>11</v>
      </c>
      <c r="C9" s="8" t="str">
        <f>VLOOKUP(B9,I_voor_4p!$B$8:$K$12,2,FALSE)</f>
        <v>Rainer VALO</v>
      </c>
      <c r="D9" s="9" t="s">
        <v>12</v>
      </c>
      <c r="E9" s="8" t="str">
        <f>VLOOKUP(D9,I_voor_4p!$M$8:$W$12,2,FALSE)</f>
        <v>Sergei PETROV</v>
      </c>
      <c r="F9" s="9" t="str">
        <f>IF(I_voor_4p!E17=0,"",I_voor_4p!E17)</f>
        <v>6:11</v>
      </c>
      <c r="G9" s="9" t="str">
        <f>IF(I_voor_4p!H17=0,"",I_voor_4p!H17)</f>
        <v>6:11</v>
      </c>
      <c r="H9" s="9" t="str">
        <f>IF(I_voor_4p!K17=0,"",I_voor_4p!K17)</f>
        <v>9:11</v>
      </c>
      <c r="I9" s="9" t="str">
        <f>IF(I_voor_4p!N17=0,"",I_voor_4p!N17)</f>
        <v/>
      </c>
      <c r="J9" s="9" t="str">
        <f>IF(I_voor_4p!Q17=0,"",I_voor_4p!Q17)</f>
        <v/>
      </c>
      <c r="K9" s="53" t="str">
        <f>IF(F9="","",CONCATENATE(Abitabel5!G3,":",Abitabel5!N3))</f>
        <v>0:3</v>
      </c>
      <c r="L9" s="35">
        <f t="shared" ref="L9:L10" si="0">IF(K9="","",IF(LEFT(K9,1)&lt;RIGHT(K9,1),0,1))</f>
        <v>0</v>
      </c>
      <c r="M9" s="35">
        <f t="shared" ref="M9:M10" si="1">IF(K9="","",IF(LEFT(K9,1)&gt;RIGHT(K9,1),0,1))</f>
        <v>1</v>
      </c>
      <c r="Q9" s="1" t="str">
        <f t="shared" ref="Q9:Q71" si="2">IF(OR(LEFT(K9,1)="3",RIGHT(K9,1)="3"),"","ERROR")</f>
        <v/>
      </c>
    </row>
    <row r="10" spans="1:18">
      <c r="A10" s="7"/>
      <c r="B10" s="9" t="s">
        <v>13</v>
      </c>
      <c r="C10" s="8" t="str">
        <f>VLOOKUP(B10,I_voor_4p!$B$8:$K$12,2,FALSE)</f>
        <v>Erik NÜÜD</v>
      </c>
      <c r="D10" s="9" t="s">
        <v>14</v>
      </c>
      <c r="E10" s="8" t="str">
        <f>VLOOKUP(D10,I_voor_4p!$M$8:$W$12,2,FALSE)</f>
        <v>Maksim VUHKA</v>
      </c>
      <c r="F10" s="9" t="str">
        <f>IF(I_voor_4p!E18=0,"",I_voor_4p!E18)</f>
        <v>8:11</v>
      </c>
      <c r="G10" s="9" t="str">
        <f>IF(I_voor_4p!H18=0,"",I_voor_4p!H18)</f>
        <v>10:12</v>
      </c>
      <c r="H10" s="9" t="str">
        <f>IF(I_voor_4p!K18=0,"",I_voor_4p!K18)</f>
        <v>11:7</v>
      </c>
      <c r="I10" s="9" t="str">
        <f>IF(I_voor_4p!N18=0,"",I_voor_4p!N18)</f>
        <v>8:11</v>
      </c>
      <c r="J10" s="9" t="str">
        <f>IF(I_voor_4p!Q18=0,"",I_voor_4p!Q18)</f>
        <v/>
      </c>
      <c r="K10" s="53" t="str">
        <f>IF(F10="","",CONCATENATE(Abitabel5!G4,":",Abitabel5!N4))</f>
        <v>1:3</v>
      </c>
      <c r="L10" s="35">
        <f t="shared" si="0"/>
        <v>0</v>
      </c>
      <c r="M10" s="35">
        <f t="shared" si="1"/>
        <v>1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IF(ISBLANK(I_voor_4p!C19), "", INDEX(I_voor_4p!C8:C12, MATCH(MID(I_voor_4p!C19,1,1), I_voor_4p!B8:B12, 0)))</f>
        <v>Robi TOOMING</v>
      </c>
      <c r="D11" s="290" t="s">
        <v>15</v>
      </c>
      <c r="E11" s="8" t="str">
        <f>IF(ISBLANK(I_voor_4p!C19), "", INDEX(I_voor_4p!N8:N12, MATCH(MID(I_voor_4p!C19,4,1), I_voor_4p!M8:M12, 0)))</f>
        <v>Toomas LIBENE</v>
      </c>
      <c r="F11" s="292" t="str">
        <f>IF(I_voor_4p!E19=0,"",I_voor_4p!E19)</f>
        <v>7:11</v>
      </c>
      <c r="G11" s="292" t="str">
        <f>IF(I_voor_4p!H19=0,"",I_voor_4p!H19)</f>
        <v>4:11</v>
      </c>
      <c r="H11" s="292" t="str">
        <f>IF(I_voor_4p!K19=0,"",I_voor_4p!K19)</f>
        <v>9:11</v>
      </c>
      <c r="I11" s="292" t="str">
        <f>IF(I_voor_4p!N19=0,"",I_voor_4p!N19)</f>
        <v/>
      </c>
      <c r="J11" s="292" t="str">
        <f>IF(I_voor_4p!Q19=0,"",I_voor_4p!Q19)</f>
        <v/>
      </c>
      <c r="K11" s="294" t="str">
        <f>IF(F11="","",CONCATENATE(Abitabel5!G5,":",Abitabel5!N5))</f>
        <v>0:3</v>
      </c>
      <c r="L11" s="295">
        <f>IF(K11="","",IF(LEFT(K11,1)&lt;RIGHT(K11,1),0,1))</f>
        <v>0</v>
      </c>
      <c r="M11" s="295">
        <f>IF(K11="","",IF(LEFT(K11,1)&gt;RIGHT(K11,1),0,1))</f>
        <v>1</v>
      </c>
      <c r="Q11" s="1" t="str">
        <f t="shared" si="2"/>
        <v/>
      </c>
    </row>
    <row r="12" spans="1:18">
      <c r="A12" s="7"/>
      <c r="B12" s="291"/>
      <c r="C12" s="8" t="str">
        <f>IF(ISBLANK(I_voor_4p!C19), "", INDEX(I_voor_4p!C8:C12, MATCH(MID(I_voor_4p!C19,2,1), I_voor_4p!B8:B12, 0)))</f>
        <v>Erik NÜÜD</v>
      </c>
      <c r="D12" s="291"/>
      <c r="E12" s="8" t="str">
        <f>IF(ISBLANK(I_voor_4p!C19), "", INDEX(I_voor_4p!N8:N12, MATCH(MID(I_voor_4p!C19,5,1), I_voor_4p!M8:M12, 0)))</f>
        <v>Maksim VUHKA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VLOOKUP(B13,I_voor_4p!$B$8:$K$12,2,FALSE)</f>
        <v>Robi TOOMING</v>
      </c>
      <c r="D13" s="9" t="s">
        <v>12</v>
      </c>
      <c r="E13" s="8" t="str">
        <f>VLOOKUP(D13,I_voor_4p!$M$8:$W$12,2,FALSE)</f>
        <v>Sergei PETROV</v>
      </c>
      <c r="F13" s="82" t="str">
        <f>IF(I_voor_4p!E20=0,"",I_voor_4p!E20)</f>
        <v/>
      </c>
      <c r="G13" s="82" t="str">
        <f>IF(I_voor_4p!H20=0,"",I_voor_4p!H20)</f>
        <v/>
      </c>
      <c r="H13" s="82" t="str">
        <f>IF(I_voor_4p!K20=0,"",I_voor_4p!K20)</f>
        <v/>
      </c>
      <c r="I13" s="82" t="str">
        <f>IF(I_voor_4p!N20=0,"",I_voor_4p!N20)</f>
        <v/>
      </c>
      <c r="J13" s="82" t="str">
        <f>IF(I_voor_4p!Q20=0,"",I_voor_4p!Q20)</f>
        <v/>
      </c>
      <c r="K13" s="53" t="str">
        <f>IF(F13="","",CONCATENATE(Abitabel5!G7,":",Abitabel5!N7))</f>
        <v/>
      </c>
      <c r="L13" s="35" t="str">
        <f>IF(K13="","",IF(LEFT(K13,1)&lt;RIGHT(K13,1),0,1))</f>
        <v/>
      </c>
      <c r="M13" s="35" t="str">
        <f>IF(K13="","",IF(LEFT(K13,1)&gt;RIGHT(K13,1),0,1))</f>
        <v/>
      </c>
      <c r="Q13" s="1" t="str">
        <f t="shared" si="2"/>
        <v>ERROR</v>
      </c>
    </row>
    <row r="14" spans="1:18">
      <c r="A14" s="7"/>
      <c r="B14" s="9" t="s">
        <v>13</v>
      </c>
      <c r="C14" s="8" t="str">
        <f>VLOOKUP(B14,I_voor_4p!$B$8:$K$12,2,FALSE)</f>
        <v>Erik NÜÜD</v>
      </c>
      <c r="D14" s="9" t="s">
        <v>10</v>
      </c>
      <c r="E14" s="8" t="str">
        <f>VLOOKUP(D14,I_voor_4p!$M$8:$W$12,2,FALSE)</f>
        <v>Toomas LIBENE</v>
      </c>
      <c r="F14" s="82" t="str">
        <f>IF(I_voor_4p!E21=0,"",I_voor_4p!E21)</f>
        <v/>
      </c>
      <c r="G14" s="82" t="str">
        <f>IF(I_voor_4p!H21=0,"",I_voor_4p!H21)</f>
        <v/>
      </c>
      <c r="H14" s="82" t="str">
        <f>IF(I_voor_4p!K21=0,"",I_voor_4p!K21)</f>
        <v/>
      </c>
      <c r="I14" s="82" t="str">
        <f>IF(I_voor_4p!N21=0,"",I_voor_4p!N21)</f>
        <v/>
      </c>
      <c r="J14" s="82" t="str">
        <f>IF(I_voor_4p!Q21=0,"",I_voor_4p!Q21)</f>
        <v/>
      </c>
      <c r="K14" s="53" t="str">
        <f>IF(F14="","",CONCATENATE(Abitabel5!G8,":",Abitabel5!N8))</f>
        <v/>
      </c>
      <c r="L14" s="35" t="str">
        <f>IF(K14="","",IF(LEFT(K14,1)&lt;RIGHT(K14,1),0,1))</f>
        <v/>
      </c>
      <c r="M14" s="35" t="str">
        <f>IF(L14="","",IF(LEFT(K14,1)&gt;RIGHT(K14,1),0,1))</f>
        <v/>
      </c>
      <c r="Q14" s="1" t="str">
        <f t="shared" si="2"/>
        <v>ERROR</v>
      </c>
    </row>
    <row r="15" spans="1:18">
      <c r="A15" s="7"/>
      <c r="B15" s="9" t="s">
        <v>11</v>
      </c>
      <c r="C15" s="8" t="str">
        <f>VLOOKUP(B15,I_voor_4p!$B$8:$K$12,2,FALSE)</f>
        <v>Rainer VALO</v>
      </c>
      <c r="D15" s="9" t="s">
        <v>14</v>
      </c>
      <c r="E15" s="8" t="str">
        <f>VLOOKUP(D15,I_voor_4p!$M$8:$W$12,2,FALSE)</f>
        <v>Maksim VUHKA</v>
      </c>
      <c r="F15" s="82" t="str">
        <f>IF(I_voor_4p!E22=0,"",I_voor_4p!E22)</f>
        <v/>
      </c>
      <c r="G15" s="82" t="str">
        <f>IF(I_voor_4p!H22=0,"",I_voor_4p!H22)</f>
        <v/>
      </c>
      <c r="H15" s="82" t="str">
        <f>IF(I_voor_4p!K22=0,"",I_voor_4p!K22)</f>
        <v/>
      </c>
      <c r="I15" s="82" t="str">
        <f>IF(I_voor_4p!N22=0,"",I_voor_4p!N22)</f>
        <v/>
      </c>
      <c r="J15" s="82" t="str">
        <f>IF(I_voor_4p!Q22=0,"",I_voor_4p!Q22)</f>
        <v/>
      </c>
      <c r="K15" s="53" t="str">
        <f>IF(F15="","",CONCATENATE(Abitabel5!G9,":",Abitabel5!N9))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Meeskond5</v>
      </c>
      <c r="D16" s="10"/>
      <c r="E16" s="33" t="str">
        <f>VLOOKUP(E7,Koosseisud!A:B,2,FALSE)</f>
        <v>Meeskond2</v>
      </c>
      <c r="F16" s="10"/>
      <c r="G16" s="10"/>
      <c r="H16" s="10"/>
      <c r="I16" s="10"/>
      <c r="J16" s="11"/>
      <c r="K16" s="12"/>
      <c r="L16" s="13"/>
      <c r="M16" s="13"/>
    </row>
    <row r="17" spans="1:18" ht="15">
      <c r="A17" s="2" t="s">
        <v>69</v>
      </c>
      <c r="B17" s="3">
        <f>IF(K18="","",SUM(L18:L25))</f>
        <v>4</v>
      </c>
      <c r="C17" s="4" t="str">
        <f>I_voor_4p!G37</f>
        <v>Viimsi LTK/EM-SERV</v>
      </c>
      <c r="D17" s="3">
        <f>IF(K18="","",SUM(M18:M25))</f>
        <v>0</v>
      </c>
      <c r="E17" s="4" t="str">
        <f>I_voor_4p!R37</f>
        <v>SPINMASTER</v>
      </c>
      <c r="F17" s="137" t="s">
        <v>2</v>
      </c>
      <c r="G17" s="137" t="s">
        <v>3</v>
      </c>
      <c r="H17" s="137" t="s">
        <v>4</v>
      </c>
      <c r="I17" s="137" t="s">
        <v>5</v>
      </c>
      <c r="J17" s="137" t="s">
        <v>6</v>
      </c>
      <c r="K17" s="6" t="s">
        <v>7</v>
      </c>
      <c r="L17" s="287" t="s">
        <v>8</v>
      </c>
      <c r="M17" s="287"/>
      <c r="R17" s="1" t="str">
        <f>IF(OR(B17=4,D17=4),"","ERROR")</f>
        <v/>
      </c>
    </row>
    <row r="18" spans="1:18">
      <c r="A18" s="7" t="s">
        <v>128</v>
      </c>
      <c r="B18" s="9" t="s">
        <v>9</v>
      </c>
      <c r="C18" s="8" t="str">
        <f>VLOOKUP(B18,I_voor_4p!$B$38:$K$42,2,FALSE)</f>
        <v>Ilmar VUHKA</v>
      </c>
      <c r="D18" s="9" t="s">
        <v>10</v>
      </c>
      <c r="E18" s="8" t="str">
        <f>VLOOKUP(D18,I_voor_4p!$M$38:$W$42,2,FALSE)</f>
        <v>Kevin KUKK</v>
      </c>
      <c r="F18" s="9" t="str">
        <f>IF(I_voor_4p!E46=0,"",I_voor_4p!E46)</f>
        <v>11:8</v>
      </c>
      <c r="G18" s="9" t="str">
        <f>IF(I_voor_4p!H46=0,"",I_voor_4p!H46)</f>
        <v>8:11</v>
      </c>
      <c r="H18" s="9" t="str">
        <f>IF(I_voor_4p!K46=0,"",I_voor_4p!K46)</f>
        <v>9:11</v>
      </c>
      <c r="I18" s="9" t="str">
        <f>IF(I_voor_4p!N46=0,"",I_voor_4p!N46)</f>
        <v>11:6</v>
      </c>
      <c r="J18" s="9" t="str">
        <f>IF(I_voor_4p!Q46=0,"",I_voor_4p!Q46)</f>
        <v>11:5</v>
      </c>
      <c r="K18" s="53" t="str">
        <f>IF(F18="","",CONCATENATE(Abitabel5!G12,":",Abitabel5!N12))</f>
        <v>3:2</v>
      </c>
      <c r="L18" s="35">
        <f>IF(K18="","",IF(LEFT(K18,1)&lt;RIGHT(K18,1),0,1))</f>
        <v>1</v>
      </c>
      <c r="M18" s="35">
        <f>IF(K18="","",IF(LEFT(K18,1)&gt;RIGHT(K18,1),0,1))</f>
        <v>0</v>
      </c>
      <c r="Q18" s="1" t="str">
        <f t="shared" si="2"/>
        <v/>
      </c>
    </row>
    <row r="19" spans="1:18">
      <c r="A19" s="7" t="s">
        <v>59</v>
      </c>
      <c r="B19" s="9" t="s">
        <v>11</v>
      </c>
      <c r="C19" s="8" t="str">
        <f>VLOOKUP(B19,I_voor_4p!$B$38:$K$42,2,FALSE)</f>
        <v>Aleksei NIKONOROV</v>
      </c>
      <c r="D19" s="9" t="s">
        <v>12</v>
      </c>
      <c r="E19" s="8" t="str">
        <f>VLOOKUP(D19,I_voor_4p!$M$38:$W$42,2,FALSE)</f>
        <v>Filat ANDREEV</v>
      </c>
      <c r="F19" s="9" t="str">
        <f>IF(I_voor_4p!E47=0,"",I_voor_4p!E47)</f>
        <v>14:12</v>
      </c>
      <c r="G19" s="9" t="str">
        <f>IF(I_voor_4p!H47=0,"",I_voor_4p!H47)</f>
        <v>11:6</v>
      </c>
      <c r="H19" s="9" t="str">
        <f>IF(I_voor_4p!K47=0,"",I_voor_4p!K47)</f>
        <v>11:9</v>
      </c>
      <c r="I19" s="9" t="str">
        <f>IF(I_voor_4p!N47=0,"",I_voor_4p!N47)</f>
        <v/>
      </c>
      <c r="J19" s="9" t="str">
        <f>IF(I_voor_4p!Q47=0,"",I_voor_4p!Q47)</f>
        <v/>
      </c>
      <c r="K19" s="53" t="str">
        <f>IF(F19="","",CONCATENATE(Abitabel5!G13,":",Abitabel5!N13))</f>
        <v>3:0</v>
      </c>
      <c r="L19" s="35">
        <f t="shared" ref="L19:L20" si="3">IF(K19="","",IF(LEFT(K19,1)&lt;RIGHT(K19,1),0,1))</f>
        <v>1</v>
      </c>
      <c r="M19" s="35">
        <f t="shared" ref="M19:M20" si="4">IF(K19="","",IF(LEFT(K19,1)&gt;RIGHT(K19,1),0,1))</f>
        <v>0</v>
      </c>
      <c r="Q19" s="1" t="str">
        <f t="shared" si="2"/>
        <v/>
      </c>
    </row>
    <row r="20" spans="1:18">
      <c r="A20" s="7"/>
      <c r="B20" s="9" t="s">
        <v>13</v>
      </c>
      <c r="C20" s="8" t="str">
        <f>VLOOKUP(B20,I_voor_4p!$B$38:$K$42,2,FALSE)</f>
        <v>Pert Marten LEHTLAAN</v>
      </c>
      <c r="D20" s="9" t="s">
        <v>14</v>
      </c>
      <c r="E20" s="8" t="str">
        <f>VLOOKUP(D20,I_voor_4p!$M$38:$W$42,2,FALSE)</f>
        <v>Jan Kenneth TOMING</v>
      </c>
      <c r="F20" s="9" t="str">
        <f>IF(I_voor_4p!E48=0,"",I_voor_4p!E48)</f>
        <v>4:11</v>
      </c>
      <c r="G20" s="9" t="str">
        <f>IF(I_voor_4p!H48=0,"",I_voor_4p!H48)</f>
        <v>11:3</v>
      </c>
      <c r="H20" s="9" t="str">
        <f>IF(I_voor_4p!K48=0,"",I_voor_4p!K48)</f>
        <v>11:6</v>
      </c>
      <c r="I20" s="9" t="str">
        <f>IF(I_voor_4p!N48=0,"",I_voor_4p!N48)</f>
        <v>11:7</v>
      </c>
      <c r="J20" s="9" t="str">
        <f>IF(I_voor_4p!Q48=0,"",I_voor_4p!Q48)</f>
        <v/>
      </c>
      <c r="K20" s="53" t="str">
        <f>IF(F20="","",CONCATENATE(Abitabel5!G14,":",Abitabel5!N14))</f>
        <v>3:1</v>
      </c>
      <c r="L20" s="35">
        <f t="shared" si="3"/>
        <v>1</v>
      </c>
      <c r="M20" s="35">
        <f t="shared" si="4"/>
        <v>0</v>
      </c>
      <c r="Q20" s="1" t="str">
        <f t="shared" si="2"/>
        <v/>
      </c>
    </row>
    <row r="21" spans="1:18">
      <c r="A21" s="7"/>
      <c r="B21" s="290" t="s">
        <v>15</v>
      </c>
      <c r="C21" s="8" t="str">
        <f>IF(ISBLANK(I_voor_4p!C49), "", INDEX(I_voor_4p!C38:C42, MATCH(MID(I_voor_4p!C49,1,1), I_voor_4p!B38:B42, 0)))</f>
        <v>Ilmar VUHKA</v>
      </c>
      <c r="D21" s="290" t="s">
        <v>15</v>
      </c>
      <c r="E21" s="8" t="str">
        <f>IF(ISBLANK(I_voor_4p!C49), "", INDEX(I_voor_4p!N38:N42, MATCH(MID(I_voor_4p!C49,4,1), I_voor_4p!M38:M42, 0)))</f>
        <v>Kevin KUKK</v>
      </c>
      <c r="F21" s="292" t="str">
        <f>IF(I_voor_4p!E49=0,"",I_voor_4p!E49)</f>
        <v>11:8</v>
      </c>
      <c r="G21" s="292" t="str">
        <f>IF(I_voor_4p!H49=0,"",I_voor_4p!H49)</f>
        <v>11:5</v>
      </c>
      <c r="H21" s="292" t="str">
        <f>IF(I_voor_4p!K49=0,"",I_voor_4p!K49)</f>
        <v>11:4</v>
      </c>
      <c r="I21" s="292" t="str">
        <f>IF(I_voor_4p!N49=0,"",I_voor_4p!N49)</f>
        <v/>
      </c>
      <c r="J21" s="292" t="str">
        <f>IF(I_voor_4p!Q49=0,"",I_voor_4p!Q49)</f>
        <v/>
      </c>
      <c r="K21" s="294" t="str">
        <f>IF(F21="","",CONCATENATE(Abitabel5!G15,":",Abitabel5!N15))</f>
        <v>3:0</v>
      </c>
      <c r="L21" s="295">
        <f>IF(K21="","",IF(LEFT(K21,1)&lt;RIGHT(K21,1),0,1))</f>
        <v>1</v>
      </c>
      <c r="M21" s="295">
        <f>IF(K21="","",IF(LEFT(K21,1)&gt;RIGHT(K21,1),0,1))</f>
        <v>0</v>
      </c>
      <c r="Q21" s="1" t="str">
        <f t="shared" si="2"/>
        <v/>
      </c>
    </row>
    <row r="22" spans="1:18">
      <c r="A22" s="7"/>
      <c r="B22" s="291"/>
      <c r="C22" s="8" t="str">
        <f>IF(ISBLANK(I_voor_4p!C49), "", INDEX(I_voor_4p!C38:C42, MATCH(MID(I_voor_4p!C49,2,1), I_voor_4p!B38:B42, 0)))</f>
        <v>Daniels KOGANS</v>
      </c>
      <c r="D22" s="291"/>
      <c r="E22" s="8" t="str">
        <f>IF(ISBLANK(I_voor_4p!C49), "", INDEX(I_voor_4p!N38:N42, MATCH(MID(I_voor_4p!C49,5,1), I_voor_4p!M38:M42, 0)))</f>
        <v>Filat ANDREEV</v>
      </c>
      <c r="F22" s="293"/>
      <c r="G22" s="293"/>
      <c r="H22" s="293"/>
      <c r="I22" s="293"/>
      <c r="J22" s="293"/>
      <c r="K22" s="294"/>
      <c r="L22" s="295"/>
      <c r="M22" s="295"/>
    </row>
    <row r="23" spans="1:18">
      <c r="A23" s="7"/>
      <c r="B23" s="9" t="s">
        <v>9</v>
      </c>
      <c r="C23" s="8" t="str">
        <f>VLOOKUP(B23,I_voor_4p!$B$38:$K$42,2,FALSE)</f>
        <v>Ilmar VUHKA</v>
      </c>
      <c r="D23" s="9" t="s">
        <v>12</v>
      </c>
      <c r="E23" s="8" t="str">
        <f>VLOOKUP(D23,I_voor_4p!$M$38:$W$42,2,FALSE)</f>
        <v>Filat ANDREEV</v>
      </c>
      <c r="F23" s="82" t="str">
        <f>IF(I_voor_4p!E50=0,"",I_voor_4p!E50)</f>
        <v/>
      </c>
      <c r="G23" s="82" t="str">
        <f>IF(I_voor_4p!H50=0,"",I_voor_4p!H50)</f>
        <v/>
      </c>
      <c r="H23" s="82" t="str">
        <f>IF(I_voor_4p!K50=0,"",I_voor_4p!K50)</f>
        <v/>
      </c>
      <c r="I23" s="82" t="str">
        <f>IF(I_voor_4p!N50=0,"",I_voor_4p!N50)</f>
        <v/>
      </c>
      <c r="J23" s="82" t="str">
        <f>IF(I_voor_4p!Q50=0,"",I_voor_4p!Q50)</f>
        <v/>
      </c>
      <c r="K23" s="53" t="str">
        <f>IF(F23="","",CONCATENATE(Abitabel5!G17,":",Abitabel5!N17))</f>
        <v/>
      </c>
      <c r="L23" s="35" t="str">
        <f>IF(K23="","",IF(LEFT(K23,1)&lt;RIGHT(K23,1),0,1))</f>
        <v/>
      </c>
      <c r="M23" s="35" t="str">
        <f>IF(K23="","",IF(LEFT(K23,1)&gt;RIGHT(K23,1),0,1))</f>
        <v/>
      </c>
      <c r="Q23" s="1" t="str">
        <f t="shared" si="2"/>
        <v>ERROR</v>
      </c>
    </row>
    <row r="24" spans="1:18">
      <c r="A24" s="7"/>
      <c r="B24" s="9" t="s">
        <v>13</v>
      </c>
      <c r="C24" s="8" t="str">
        <f>VLOOKUP(B24,I_voor_4p!$B$38:$K$42,2,FALSE)</f>
        <v>Pert Marten LEHTLAAN</v>
      </c>
      <c r="D24" s="9" t="s">
        <v>10</v>
      </c>
      <c r="E24" s="8" t="str">
        <f>VLOOKUP(D24,I_voor_4p!$M$38:$W$42,2,FALSE)</f>
        <v>Kevin KUKK</v>
      </c>
      <c r="F24" s="82" t="str">
        <f>IF(I_voor_4p!E51=0,"",I_voor_4p!E51)</f>
        <v/>
      </c>
      <c r="G24" s="82" t="str">
        <f>IF(I_voor_4p!H51=0,"",I_voor_4p!H51)</f>
        <v/>
      </c>
      <c r="H24" s="82" t="str">
        <f>IF(I_voor_4p!K51=0,"",I_voor_4p!K51)</f>
        <v/>
      </c>
      <c r="I24" s="82" t="str">
        <f>IF(I_voor_4p!N51=0,"",I_voor_4p!N51)</f>
        <v/>
      </c>
      <c r="J24" s="82" t="str">
        <f>IF(I_voor_4p!Q51=0,"",I_voor_4p!Q51)</f>
        <v/>
      </c>
      <c r="K24" s="53" t="str">
        <f>IF(F24="","",CONCATENATE(Abitabel5!G18,":",Abitabel5!N18))</f>
        <v/>
      </c>
      <c r="L24" s="35" t="str">
        <f>IF(K24="","",IF(LEFT(K24,1)&lt;RIGHT(K24,1),0,1))</f>
        <v/>
      </c>
      <c r="M24" s="35" t="str">
        <f>IF(L24="","",IF(LEFT(K24,1)&gt;RIGHT(K24,1),0,1))</f>
        <v/>
      </c>
      <c r="Q24" s="1" t="str">
        <f t="shared" si="2"/>
        <v>ERROR</v>
      </c>
    </row>
    <row r="25" spans="1:18">
      <c r="A25" s="7"/>
      <c r="B25" s="9" t="s">
        <v>11</v>
      </c>
      <c r="C25" s="8" t="str">
        <f>VLOOKUP(B25,I_voor_4p!$B$38:$K$42,2,FALSE)</f>
        <v>Aleksei NIKONOROV</v>
      </c>
      <c r="D25" s="9" t="s">
        <v>14</v>
      </c>
      <c r="E25" s="8" t="str">
        <f>VLOOKUP(D25,I_voor_4p!$M$38:$W$42,2,FALSE)</f>
        <v>Jan Kenneth TOMING</v>
      </c>
      <c r="F25" s="82" t="str">
        <f>IF(I_voor_4p!E52=0,"",I_voor_4p!E52)</f>
        <v/>
      </c>
      <c r="G25" s="82" t="str">
        <f>IF(I_voor_4p!H52=0,"",I_voor_4p!H52)</f>
        <v/>
      </c>
      <c r="H25" s="82" t="str">
        <f>IF(I_voor_4p!K52=0,"",I_voor_4p!K52)</f>
        <v/>
      </c>
      <c r="I25" s="82" t="str">
        <f>IF(I_voor_4p!N52=0,"",I_voor_4p!N52)</f>
        <v/>
      </c>
      <c r="J25" s="82" t="str">
        <f>IF(I_voor_4p!Q52=0,"",I_voor_4p!Q52)</f>
        <v/>
      </c>
      <c r="K25" s="53" t="str">
        <f>IF(F25="","",CONCATENATE(Abitabel5!G19,":",Abitabel5!N19))</f>
        <v/>
      </c>
      <c r="L25" s="35" t="str">
        <f>IF(K25="","",IF(LEFT(K25,1)&lt;RIGHT(K25,1),0,1))</f>
        <v/>
      </c>
      <c r="M25" s="35" t="str">
        <f>IF(L25="","",IF(LEFT(K25,1)&gt;RIGHT(K25,1),0,1))</f>
        <v/>
      </c>
      <c r="Q25" s="1" t="str">
        <f t="shared" si="2"/>
        <v>ERROR</v>
      </c>
    </row>
    <row r="26" spans="1:18">
      <c r="A26" s="7"/>
      <c r="B26" s="10"/>
      <c r="C26" s="33" t="str">
        <f>VLOOKUP(C17,Koosseisud!A:B,2,FALSE )</f>
        <v>Meeskond7</v>
      </c>
      <c r="D26" s="10"/>
      <c r="E26" s="33" t="str">
        <f>VLOOKUP(E17,Koosseisud!A:B,2,FALSE)</f>
        <v>Meeskond6</v>
      </c>
      <c r="F26" s="10"/>
      <c r="G26" s="10"/>
      <c r="H26" s="10"/>
      <c r="I26" s="10"/>
      <c r="J26" s="11"/>
      <c r="K26" s="12"/>
      <c r="L26" s="13"/>
      <c r="M26" s="13"/>
    </row>
    <row r="27" spans="1:18" ht="15">
      <c r="A27" s="2" t="s">
        <v>70</v>
      </c>
      <c r="B27" s="3">
        <f>IF(K28="","",SUM(L28:L35))</f>
        <v>3</v>
      </c>
      <c r="C27" s="4" t="str">
        <f>I_voor_4p!G67</f>
        <v>LTK Kalev/Radiaatorikeskus</v>
      </c>
      <c r="D27" s="3">
        <f>IF(K28="","",SUM(M28:M35))</f>
        <v>4</v>
      </c>
      <c r="E27" s="4" t="str">
        <f>I_voor_4p!R67</f>
        <v>Tiim FORUS - Maardu LTK</v>
      </c>
      <c r="F27" s="137" t="s">
        <v>2</v>
      </c>
      <c r="G27" s="137" t="s">
        <v>3</v>
      </c>
      <c r="H27" s="137" t="s">
        <v>4</v>
      </c>
      <c r="I27" s="137" t="s">
        <v>5</v>
      </c>
      <c r="J27" s="137" t="s">
        <v>6</v>
      </c>
      <c r="K27" s="6" t="s">
        <v>7</v>
      </c>
      <c r="L27" s="287" t="s">
        <v>8</v>
      </c>
      <c r="M27" s="287"/>
      <c r="R27" s="1" t="str">
        <f>IF(OR(B27=4,D27=4),"","ERROR")</f>
        <v/>
      </c>
    </row>
    <row r="28" spans="1:18">
      <c r="A28" s="7" t="s">
        <v>128</v>
      </c>
      <c r="B28" s="9" t="s">
        <v>9</v>
      </c>
      <c r="C28" s="8" t="str">
        <f>VLOOKUP(B28,I_voor_4p!$B$68:$K$72,2,FALSE)</f>
        <v xml:space="preserve">Martin KRAIKO </v>
      </c>
      <c r="D28" s="9" t="s">
        <v>10</v>
      </c>
      <c r="E28" s="8" t="str">
        <f>VLOOKUP(D28,I_voor_4p!$M$68:$W$72,2,FALSE)</f>
        <v>Jevgeni BUZAK</v>
      </c>
      <c r="F28" s="9" t="str">
        <f>IF(I_voor_4p!E76=0,"",I_voor_4p!E76)</f>
        <v>11:8</v>
      </c>
      <c r="G28" s="9" t="str">
        <f>IF(I_voor_4p!H76=0,"",I_voor_4p!H76)</f>
        <v>11:9</v>
      </c>
      <c r="H28" s="9" t="str">
        <f>IF(I_voor_4p!K76=0,"",I_voor_4p!K76)</f>
        <v>12:10</v>
      </c>
      <c r="I28" s="9" t="str">
        <f>IF(I_voor_4p!N76=0,"",I_voor_4p!N76)</f>
        <v/>
      </c>
      <c r="J28" s="9" t="str">
        <f>IF(I_voor_4p!Q76=0,"",I_voor_4p!Q76)</f>
        <v/>
      </c>
      <c r="K28" s="53" t="str">
        <f>IF(F28="","",CONCATENATE(Abitabel5!G22,":",Abitabel5!N22))</f>
        <v>3:0</v>
      </c>
      <c r="L28" s="35">
        <f>IF(K28="","",IF(LEFT(K28,1)&lt;RIGHT(K28,1),0,1))</f>
        <v>1</v>
      </c>
      <c r="M28" s="35">
        <f>IF(K28="","",IF(LEFT(K28,1)&gt;RIGHT(K28,1),0,1))</f>
        <v>0</v>
      </c>
      <c r="Q28" s="1" t="str">
        <f t="shared" si="2"/>
        <v/>
      </c>
    </row>
    <row r="29" spans="1:18">
      <c r="A29" s="7" t="s">
        <v>59</v>
      </c>
      <c r="B29" s="9" t="s">
        <v>11</v>
      </c>
      <c r="C29" s="8" t="str">
        <f>VLOOKUP(B29,I_voor_4p!$B$68:$K$72,2,FALSE)</f>
        <v>Frank Tomas TÜRI</v>
      </c>
      <c r="D29" s="9" t="s">
        <v>12</v>
      </c>
      <c r="E29" s="8" t="str">
        <f>VLOOKUP(D29,I_voor_4p!$M$68:$W$72,2,FALSE)</f>
        <v>Artjom HIISKU</v>
      </c>
      <c r="F29" s="9" t="str">
        <f>IF(I_voor_4p!E77=0,"",I_voor_4p!E77)</f>
        <v>10:12</v>
      </c>
      <c r="G29" s="9" t="str">
        <f>IF(I_voor_4p!H77=0,"",I_voor_4p!H77)</f>
        <v>11:8</v>
      </c>
      <c r="H29" s="9" t="str">
        <f>IF(I_voor_4p!K77=0,"",I_voor_4p!K77)</f>
        <v>11:13</v>
      </c>
      <c r="I29" s="9" t="str">
        <f>IF(I_voor_4p!N77=0,"",I_voor_4p!N77)</f>
        <v>8:11</v>
      </c>
      <c r="J29" s="9" t="str">
        <f>IF(I_voor_4p!Q77=0,"",I_voor_4p!Q77)</f>
        <v/>
      </c>
      <c r="K29" s="53" t="str">
        <f>IF(F29="","",CONCATENATE(Abitabel5!G23,":",Abitabel5!N23))</f>
        <v>1:3</v>
      </c>
      <c r="L29" s="35">
        <f t="shared" ref="L29:L30" si="5">IF(K29="","",IF(LEFT(K29,1)&lt;RIGHT(K29,1),0,1))</f>
        <v>0</v>
      </c>
      <c r="M29" s="35">
        <f t="shared" ref="M29:M30" si="6">IF(K29="","",IF(LEFT(K29,1)&gt;RIGHT(K29,1),0,1))</f>
        <v>1</v>
      </c>
      <c r="Q29" s="1" t="str">
        <f t="shared" si="2"/>
        <v/>
      </c>
    </row>
    <row r="30" spans="1:18">
      <c r="A30" s="7"/>
      <c r="B30" s="9" t="s">
        <v>13</v>
      </c>
      <c r="C30" s="8" t="str">
        <f>VLOOKUP(B30,I_voor_4p!$B$68:$K$72,2,FALSE)</f>
        <v>Kristjan KANT</v>
      </c>
      <c r="D30" s="9" t="s">
        <v>14</v>
      </c>
      <c r="E30" s="8" t="str">
        <f>VLOOKUP(D30,I_voor_4p!$M$68:$W$72,2,FALSE)</f>
        <v>Sergei DANILOV</v>
      </c>
      <c r="F30" s="9" t="str">
        <f>IF(I_voor_4p!E78=0,"",I_voor_4p!E78)</f>
        <v>8:11</v>
      </c>
      <c r="G30" s="9" t="str">
        <f>IF(I_voor_4p!H78=0,"",I_voor_4p!H78)</f>
        <v>5:11</v>
      </c>
      <c r="H30" s="9" t="str">
        <f>IF(I_voor_4p!K78=0,"",I_voor_4p!K78)</f>
        <v>7:11</v>
      </c>
      <c r="I30" s="9" t="str">
        <f>IF(I_voor_4p!N78=0,"",I_voor_4p!N78)</f>
        <v/>
      </c>
      <c r="J30" s="9" t="str">
        <f>IF(I_voor_4p!Q78=0,"",I_voor_4p!Q78)</f>
        <v/>
      </c>
      <c r="K30" s="53" t="str">
        <f>IF(F30="","",CONCATENATE(Abitabel5!G24,":",Abitabel5!N24))</f>
        <v>0:3</v>
      </c>
      <c r="L30" s="35">
        <f t="shared" si="5"/>
        <v>0</v>
      </c>
      <c r="M30" s="35">
        <f t="shared" si="6"/>
        <v>1</v>
      </c>
      <c r="Q30" s="1" t="str">
        <f t="shared" si="2"/>
        <v/>
      </c>
    </row>
    <row r="31" spans="1:18">
      <c r="A31" s="7"/>
      <c r="B31" s="290" t="s">
        <v>15</v>
      </c>
      <c r="C31" s="8" t="str">
        <f>IF(ISBLANK(I_voor_4p!C79), "", INDEX(I_voor_4p!C68:C72, MATCH(MID(I_voor_4p!C79,1,1), I_voor_4p!B68:B72, 0)))</f>
        <v xml:space="preserve">Martin KRAIKO </v>
      </c>
      <c r="D31" s="290" t="s">
        <v>15</v>
      </c>
      <c r="E31" s="8" t="str">
        <f>IF(ISBLANK(I_voor_4p!C79), "", INDEX(I_voor_4p!N68:N72, MATCH(MID(I_voor_4p!C79,4,1), I_voor_4p!M68:M72, 0)))</f>
        <v>Artjom HIISKU</v>
      </c>
      <c r="F31" s="292" t="str">
        <f>IF(I_voor_4p!E79=0,"",I_voor_4p!E79)</f>
        <v>7:11</v>
      </c>
      <c r="G31" s="292" t="str">
        <f>IF(I_voor_4p!H79=0,"",I_voor_4p!H79)</f>
        <v>11:3</v>
      </c>
      <c r="H31" s="292" t="str">
        <f>IF(I_voor_4p!K79=0,"",I_voor_4p!K79)</f>
        <v>11:3</v>
      </c>
      <c r="I31" s="292" t="str">
        <f>IF(I_voor_4p!N79=0,"",I_voor_4p!N79)</f>
        <v>11:5</v>
      </c>
      <c r="J31" s="292" t="str">
        <f>IF(I_voor_4p!Q79=0,"",I_voor_4p!Q79)</f>
        <v/>
      </c>
      <c r="K31" s="294" t="str">
        <f>IF(F31="","",CONCATENATE(Abitabel5!G25,":",Abitabel5!N25))</f>
        <v>3:1</v>
      </c>
      <c r="L31" s="295">
        <f>IF(K31="","",IF(LEFT(K31,1)&lt;RIGHT(K31,1),0,1))</f>
        <v>1</v>
      </c>
      <c r="M31" s="295">
        <f>IF(K31="","",IF(LEFT(K31,1)&gt;RIGHT(K31,1),0,1))</f>
        <v>0</v>
      </c>
      <c r="Q31" s="1" t="str">
        <f t="shared" si="2"/>
        <v/>
      </c>
    </row>
    <row r="32" spans="1:18">
      <c r="A32" s="7"/>
      <c r="B32" s="291"/>
      <c r="C32" s="8" t="str">
        <f>IF(ISBLANK(I_voor_4p!C79), "", INDEX(I_voor_4p!C68:C72, MATCH(MID(I_voor_4p!C79,2,1), I_voor_4p!B68:B72, 0)))</f>
        <v>Frank Tomas TÜRI</v>
      </c>
      <c r="D32" s="291"/>
      <c r="E32" s="8" t="str">
        <f>IF(ISBLANK(I_voor_4p!C79), "", INDEX(I_voor_4p!N68:N72, MATCH(MID(I_voor_4p!C79,5,1), I_voor_4p!M68:M72, 0)))</f>
        <v>Sergei DANILOV</v>
      </c>
      <c r="F32" s="293"/>
      <c r="G32" s="293"/>
      <c r="H32" s="293"/>
      <c r="I32" s="293"/>
      <c r="J32" s="293"/>
      <c r="K32" s="294"/>
      <c r="L32" s="295"/>
      <c r="M32" s="295"/>
    </row>
    <row r="33" spans="1:18">
      <c r="A33" s="7"/>
      <c r="B33" s="9" t="s">
        <v>9</v>
      </c>
      <c r="C33" s="8" t="str">
        <f>VLOOKUP(B33,I_voor_4p!$B$68:$K$72,2,FALSE)</f>
        <v xml:space="preserve">Martin KRAIKO </v>
      </c>
      <c r="D33" s="9" t="s">
        <v>12</v>
      </c>
      <c r="E33" s="8" t="str">
        <f>VLOOKUP(D33,I_voor_4p!$M$68:$W$72,2,FALSE)</f>
        <v>Artjom HIISKU</v>
      </c>
      <c r="F33" s="82" t="str">
        <f>IF(I_voor_4p!E80=0,"",I_voor_4p!E80)</f>
        <v>11:7</v>
      </c>
      <c r="G33" s="82" t="str">
        <f>IF(I_voor_4p!H80=0,"",I_voor_4p!H80)</f>
        <v>11:5</v>
      </c>
      <c r="H33" s="82" t="str">
        <f>IF(I_voor_4p!K80=0,"",I_voor_4p!K80)</f>
        <v>11:4</v>
      </c>
      <c r="I33" s="82" t="str">
        <f>IF(I_voor_4p!N80=0,"",I_voor_4p!N80)</f>
        <v/>
      </c>
      <c r="J33" s="82" t="str">
        <f>IF(I_voor_4p!Q80=0,"",I_voor_4p!Q80)</f>
        <v/>
      </c>
      <c r="K33" s="53" t="str">
        <f>IF(F33="","",CONCATENATE(Abitabel5!G27,":",Abitabel5!N27))</f>
        <v>3:0</v>
      </c>
      <c r="L33" s="35">
        <f>IF(K33="","",IF(LEFT(K33,1)&lt;RIGHT(K33,1),0,1))</f>
        <v>1</v>
      </c>
      <c r="M33" s="35">
        <f>IF(K33="","",IF(LEFT(K33,1)&gt;RIGHT(K33,1),0,1))</f>
        <v>0</v>
      </c>
      <c r="Q33" s="1" t="str">
        <f t="shared" si="2"/>
        <v/>
      </c>
    </row>
    <row r="34" spans="1:18">
      <c r="A34" s="7"/>
      <c r="B34" s="9" t="s">
        <v>13</v>
      </c>
      <c r="C34" s="8" t="str">
        <f>VLOOKUP(B34,I_voor_4p!$B$68:$K$72,2,FALSE)</f>
        <v>Kristjan KANT</v>
      </c>
      <c r="D34" s="9" t="s">
        <v>10</v>
      </c>
      <c r="E34" s="8" t="str">
        <f>VLOOKUP(D34,I_voor_4p!$M$68:$W$72,2,FALSE)</f>
        <v>Jevgeni BUZAK</v>
      </c>
      <c r="F34" s="82" t="str">
        <f>IF(I_voor_4p!E81=0,"",I_voor_4p!E81)</f>
        <v>11:8</v>
      </c>
      <c r="G34" s="82" t="str">
        <f>IF(I_voor_4p!H81=0,"",I_voor_4p!H81)</f>
        <v>11:7</v>
      </c>
      <c r="H34" s="82" t="str">
        <f>IF(I_voor_4p!K81=0,"",I_voor_4p!K81)</f>
        <v>6:11</v>
      </c>
      <c r="I34" s="82" t="str">
        <f>IF(I_voor_4p!N81=0,"",I_voor_4p!N81)</f>
        <v>7:11</v>
      </c>
      <c r="J34" s="82" t="str">
        <f>IF(I_voor_4p!Q81=0,"",I_voor_4p!Q81)</f>
        <v>5:11</v>
      </c>
      <c r="K34" s="53" t="str">
        <f>IF(F34="","",CONCATENATE(Abitabel5!G28,":",Abitabel5!N28))</f>
        <v>2:3</v>
      </c>
      <c r="L34" s="35">
        <f>IF(K34="","",IF(LEFT(K34,1)&lt;RIGHT(K34,1),0,1))</f>
        <v>0</v>
      </c>
      <c r="M34" s="35">
        <f>IF(L34="","",IF(LEFT(K34,1)&gt;RIGHT(K34,1),0,1))</f>
        <v>1</v>
      </c>
      <c r="Q34" s="1" t="str">
        <f t="shared" si="2"/>
        <v/>
      </c>
    </row>
    <row r="35" spans="1:18">
      <c r="A35" s="7"/>
      <c r="B35" s="9" t="s">
        <v>11</v>
      </c>
      <c r="C35" s="8" t="str">
        <f>VLOOKUP(B35,I_voor_4p!$B$68:$K$72,2,FALSE)</f>
        <v>Frank Tomas TÜRI</v>
      </c>
      <c r="D35" s="9" t="s">
        <v>14</v>
      </c>
      <c r="E35" s="8" t="str">
        <f>VLOOKUP(D35,I_voor_4p!$M$68:$W$72,2,FALSE)</f>
        <v>Sergei DANILOV</v>
      </c>
      <c r="F35" s="82" t="str">
        <f>IF(I_voor_4p!E82=0,"",I_voor_4p!E82)</f>
        <v>8:11</v>
      </c>
      <c r="G35" s="82" t="str">
        <f>IF(I_voor_4p!H82=0,"",I_voor_4p!H82)</f>
        <v>11:4</v>
      </c>
      <c r="H35" s="82" t="str">
        <f>IF(I_voor_4p!K82=0,"",I_voor_4p!K82)</f>
        <v>8:11</v>
      </c>
      <c r="I35" s="82" t="str">
        <f>IF(I_voor_4p!N82=0,"",I_voor_4p!N82)</f>
        <v>14:12</v>
      </c>
      <c r="J35" s="82" t="str">
        <f>IF(I_voor_4p!Q82=0,"",I_voor_4p!Q82)</f>
        <v>6:11</v>
      </c>
      <c r="K35" s="53" t="str">
        <f>IF(F35="","",CONCATENATE(Abitabel5!G29,":",Abitabel5!N29))</f>
        <v>2:3</v>
      </c>
      <c r="L35" s="35">
        <f>IF(K35="","",IF(LEFT(K35,1)&lt;RIGHT(K35,1),0,1))</f>
        <v>0</v>
      </c>
      <c r="M35" s="35">
        <f>IF(L35="","",IF(LEFT(K35,1)&gt;RIGHT(K35,1),0,1))</f>
        <v>1</v>
      </c>
      <c r="Q35" s="1" t="str">
        <f t="shared" si="2"/>
        <v/>
      </c>
    </row>
    <row r="36" spans="1:18">
      <c r="A36" s="7"/>
      <c r="B36" s="10"/>
      <c r="C36" s="33" t="str">
        <f>VLOOKUP(C27,Koosseisud!A:B,2,FALSE )</f>
        <v>Meeskond8</v>
      </c>
      <c r="D36" s="10"/>
      <c r="E36" s="33" t="str">
        <f>VLOOKUP(E27,Koosseisud!A:B,2,FALSE)</f>
        <v>Meeskond1</v>
      </c>
      <c r="F36" s="10"/>
      <c r="G36" s="10"/>
      <c r="H36" s="10"/>
      <c r="I36" s="10"/>
      <c r="J36" s="11"/>
      <c r="K36" s="12"/>
      <c r="L36" s="13"/>
      <c r="M36" s="13"/>
    </row>
    <row r="37" spans="1:18" ht="15">
      <c r="A37" s="2" t="s">
        <v>71</v>
      </c>
      <c r="B37" s="3">
        <f>IF(K38="","",SUM(L38:L45))</f>
        <v>2</v>
      </c>
      <c r="C37" s="4" t="str">
        <f>I_voor_4p!G97</f>
        <v>Tartu SS Kalev</v>
      </c>
      <c r="D37" s="3">
        <f>IF(K38="","",SUM(M38:M45))</f>
        <v>4</v>
      </c>
      <c r="E37" s="4" t="str">
        <f>I_voor_4p!R97</f>
        <v>TalTech Spordiklubi</v>
      </c>
      <c r="F37" s="137" t="s">
        <v>2</v>
      </c>
      <c r="G37" s="137" t="s">
        <v>3</v>
      </c>
      <c r="H37" s="137" t="s">
        <v>4</v>
      </c>
      <c r="I37" s="137" t="s">
        <v>5</v>
      </c>
      <c r="J37" s="137" t="s">
        <v>6</v>
      </c>
      <c r="K37" s="6" t="s">
        <v>7</v>
      </c>
      <c r="L37" s="287" t="s">
        <v>8</v>
      </c>
      <c r="M37" s="287"/>
      <c r="R37" s="1" t="str">
        <f>IF(OR(B37=4,D37=4),"","ERROR")</f>
        <v/>
      </c>
    </row>
    <row r="38" spans="1:18">
      <c r="A38" s="7" t="s">
        <v>128</v>
      </c>
      <c r="B38" s="9" t="s">
        <v>9</v>
      </c>
      <c r="C38" s="8" t="str">
        <f>VLOOKUP(B38,I_voor_4p!$B$98:$K$102,2,FALSE)</f>
        <v>Mart LUUK</v>
      </c>
      <c r="D38" s="9" t="s">
        <v>10</v>
      </c>
      <c r="E38" s="8" t="str">
        <f>VLOOKUP(D38,I_voor_4p!$M$98:$W$102,2,FALSE)</f>
        <v>Tomasz LEWANDOWSKI</v>
      </c>
      <c r="F38" s="9" t="str">
        <f>IF(I_voor_4p!E106=0,"",I_voor_4p!E106)</f>
        <v>9:11</v>
      </c>
      <c r="G38" s="9" t="str">
        <f>IF(I_voor_4p!H106=0,"",I_voor_4p!H106)</f>
        <v>11:5</v>
      </c>
      <c r="H38" s="9" t="str">
        <f>IF(I_voor_4p!K106=0,"",I_voor_4p!K106)</f>
        <v>4:11</v>
      </c>
      <c r="I38" s="9" t="str">
        <f>IF(I_voor_4p!N106=0,"",I_voor_4p!N106)</f>
        <v>4:11</v>
      </c>
      <c r="J38" s="9" t="str">
        <f>IF(I_voor_4p!Q106=0,"",I_voor_4p!Q106)</f>
        <v/>
      </c>
      <c r="K38" s="53" t="str">
        <f>IF(F38="","",CONCATENATE(Abitabel5!G32,":",Abitabel5!N32))</f>
        <v>1:3</v>
      </c>
      <c r="L38" s="35">
        <f>IF(K38="","",IF(LEFT(K38,1)&lt;RIGHT(K38,1),0,1))</f>
        <v>0</v>
      </c>
      <c r="M38" s="35">
        <f>IF(K38="","",IF(LEFT(K38,1)&gt;RIGHT(K38,1),0,1))</f>
        <v>1</v>
      </c>
      <c r="Q38" s="1" t="str">
        <f t="shared" si="2"/>
        <v/>
      </c>
    </row>
    <row r="39" spans="1:18">
      <c r="A39" s="7" t="s">
        <v>59</v>
      </c>
      <c r="B39" s="9" t="s">
        <v>11</v>
      </c>
      <c r="C39" s="8" t="str">
        <f>VLOOKUP(B39,I_voor_4p!$B$98:$K$102,2,FALSE)</f>
        <v>Arttu Antero PIHKALA</v>
      </c>
      <c r="D39" s="9" t="s">
        <v>12</v>
      </c>
      <c r="E39" s="8" t="str">
        <f>VLOOKUP(D39,I_voor_4p!$M$98:$W$102,2,FALSE)</f>
        <v>Madis MOOS</v>
      </c>
      <c r="F39" s="9" t="str">
        <f>IF(I_voor_4p!E107=0,"",I_voor_4p!E107)</f>
        <v>11:7</v>
      </c>
      <c r="G39" s="9" t="str">
        <f>IF(I_voor_4p!H107=0,"",I_voor_4p!H107)</f>
        <v>5:11</v>
      </c>
      <c r="H39" s="9" t="str">
        <f>IF(I_voor_4p!K107=0,"",I_voor_4p!K107)</f>
        <v>12:14</v>
      </c>
      <c r="I39" s="9" t="str">
        <f>IF(I_voor_4p!N107=0,"",I_voor_4p!N107)</f>
        <v>8:11</v>
      </c>
      <c r="J39" s="9" t="str">
        <f>IF(I_voor_4p!Q107=0,"",I_voor_4p!Q107)</f>
        <v/>
      </c>
      <c r="K39" s="53" t="str">
        <f>IF(F39="","",CONCATENATE(Abitabel5!G33,":",Abitabel5!N33))</f>
        <v>1:3</v>
      </c>
      <c r="L39" s="35">
        <f t="shared" ref="L39:L40" si="7">IF(K39="","",IF(LEFT(K39,1)&lt;RIGHT(K39,1),0,1))</f>
        <v>0</v>
      </c>
      <c r="M39" s="35">
        <f t="shared" ref="M39:M40" si="8">IF(K39="","",IF(LEFT(K39,1)&gt;RIGHT(K39,1),0,1))</f>
        <v>1</v>
      </c>
      <c r="Q39" s="1" t="str">
        <f t="shared" si="2"/>
        <v/>
      </c>
    </row>
    <row r="40" spans="1:18">
      <c r="A40" s="7"/>
      <c r="B40" s="9" t="s">
        <v>13</v>
      </c>
      <c r="C40" s="8" t="str">
        <f>VLOOKUP(B40,I_voor_4p!$B$98:$K$102,2,FALSE)</f>
        <v>Markkos PUKK</v>
      </c>
      <c r="D40" s="9" t="s">
        <v>14</v>
      </c>
      <c r="E40" s="8" t="str">
        <f>VLOOKUP(D40,I_voor_4p!$M$98:$W$102,2,FALSE)</f>
        <v>Stanislav STROGOV</v>
      </c>
      <c r="F40" s="9" t="str">
        <f>IF(I_voor_4p!E108=0,"",I_voor_4p!E108)</f>
        <v>11:4</v>
      </c>
      <c r="G40" s="9" t="str">
        <f>IF(I_voor_4p!H108=0,"",I_voor_4p!H108)</f>
        <v>7:11</v>
      </c>
      <c r="H40" s="9" t="str">
        <f>IF(I_voor_4p!K108=0,"",I_voor_4p!K108)</f>
        <v>11:3</v>
      </c>
      <c r="I40" s="9" t="str">
        <f>IF(I_voor_4p!N108=0,"",I_voor_4p!N108)</f>
        <v>11:6</v>
      </c>
      <c r="J40" s="9" t="str">
        <f>IF(I_voor_4p!Q108=0,"",I_voor_4p!Q108)</f>
        <v/>
      </c>
      <c r="K40" s="53" t="str">
        <f>IF(F40="","",CONCATENATE(Abitabel5!G34,":",Abitabel5!N34))</f>
        <v>3:1</v>
      </c>
      <c r="L40" s="35">
        <f t="shared" si="7"/>
        <v>1</v>
      </c>
      <c r="M40" s="35">
        <f t="shared" si="8"/>
        <v>0</v>
      </c>
      <c r="Q40" s="1" t="str">
        <f t="shared" si="2"/>
        <v/>
      </c>
    </row>
    <row r="41" spans="1:18">
      <c r="A41" s="7"/>
      <c r="B41" s="290" t="s">
        <v>15</v>
      </c>
      <c r="C41" s="8" t="str">
        <f>IF(ISBLANK(I_voor_4p!C109), "", INDEX(I_voor_4p!C98:C102, MATCH(MID(I_voor_4p!C109,1,1), I_voor_4p!B98:B102, 0)))</f>
        <v>Mart LUUK</v>
      </c>
      <c r="D41" s="290" t="s">
        <v>15</v>
      </c>
      <c r="E41" s="8" t="str">
        <f>IF(ISBLANK(I_voor_4p!C109), "", INDEX(I_voor_4p!N98:N102, MATCH(MID(I_voor_4p!C109,4,1), I_voor_4p!M98:M102, 0)))</f>
        <v>Madis MOOS</v>
      </c>
      <c r="F41" s="292" t="str">
        <f>IF(I_voor_4p!E109=0,"",I_voor_4p!E109)</f>
        <v>6:11</v>
      </c>
      <c r="G41" s="292" t="str">
        <f>IF(I_voor_4p!H109=0,"",I_voor_4p!H109)</f>
        <v>11:7</v>
      </c>
      <c r="H41" s="292" t="str">
        <f>IF(I_voor_4p!K109=0,"",I_voor_4p!K109)</f>
        <v>7:11</v>
      </c>
      <c r="I41" s="292" t="str">
        <f>IF(I_voor_4p!N109=0,"",I_voor_4p!N109)</f>
        <v>11:6</v>
      </c>
      <c r="J41" s="292" t="str">
        <f>IF(I_voor_4p!Q109=0,"",I_voor_4p!Q109)</f>
        <v>5:11</v>
      </c>
      <c r="K41" s="294" t="str">
        <f>IF(F41="","",CONCATENATE(Abitabel5!G35,":",Abitabel5!N35))</f>
        <v>2:3</v>
      </c>
      <c r="L41" s="295">
        <f>IF(K41="","",IF(LEFT(K41,1)&lt;RIGHT(K41,1),0,1))</f>
        <v>0</v>
      </c>
      <c r="M41" s="295">
        <f>IF(K41="","",IF(LEFT(K41,1)&gt;RIGHT(K41,1),0,1))</f>
        <v>1</v>
      </c>
      <c r="Q41" s="1" t="str">
        <f t="shared" si="2"/>
        <v/>
      </c>
    </row>
    <row r="42" spans="1:18">
      <c r="A42" s="7"/>
      <c r="B42" s="291"/>
      <c r="C42" s="8" t="str">
        <f>IF(ISBLANK(I_voor_4p!C109), "", INDEX(I_voor_4p!C98:C102, MATCH(MID(I_voor_4p!C109,2,1), I_voor_4p!B98:B102, 0)))</f>
        <v>Markkos PUKK</v>
      </c>
      <c r="D42" s="291"/>
      <c r="E42" s="8" t="str">
        <f>IF(ISBLANK(I_voor_4p!C109), "", INDEX(I_voor_4p!N98:N102, MATCH(MID(I_voor_4p!C109,5,1), I_voor_4p!M98:M102, 0)))</f>
        <v>Tomasz LEWANDOWSKI</v>
      </c>
      <c r="F42" s="293"/>
      <c r="G42" s="293"/>
      <c r="H42" s="293"/>
      <c r="I42" s="293"/>
      <c r="J42" s="293"/>
      <c r="K42" s="294"/>
      <c r="L42" s="295"/>
      <c r="M42" s="295"/>
    </row>
    <row r="43" spans="1:18">
      <c r="A43" s="7"/>
      <c r="B43" s="9" t="s">
        <v>9</v>
      </c>
      <c r="C43" s="8" t="str">
        <f>VLOOKUP(B43,I_voor_4p!$B$98:$K$102,2,FALSE)</f>
        <v>Mart LUUK</v>
      </c>
      <c r="D43" s="9" t="s">
        <v>12</v>
      </c>
      <c r="E43" s="8" t="str">
        <f>VLOOKUP(D43,I_voor_4p!$M$98:$W$102,2,FALSE)</f>
        <v>Madis MOOS</v>
      </c>
      <c r="F43" s="82" t="str">
        <f>IF(I_voor_4p!E110=0,"",I_voor_4p!E110)</f>
        <v>8:11</v>
      </c>
      <c r="G43" s="82" t="str">
        <f>IF(I_voor_4p!H110=0,"",I_voor_4p!H110)</f>
        <v>9:11</v>
      </c>
      <c r="H43" s="82" t="str">
        <f>IF(I_voor_4p!K110=0,"",I_voor_4p!K110)</f>
        <v>11:8</v>
      </c>
      <c r="I43" s="82" t="str">
        <f>IF(I_voor_4p!N110=0,"",I_voor_4p!N110)</f>
        <v>14:12</v>
      </c>
      <c r="J43" s="82" t="str">
        <f>IF(I_voor_4p!Q110=0,"",I_voor_4p!Q110)</f>
        <v>11:2</v>
      </c>
      <c r="K43" s="53" t="str">
        <f>IF(F43="","",CONCATENATE(Abitabel5!G37,":",Abitabel5!N37))</f>
        <v>3:2</v>
      </c>
      <c r="L43" s="35">
        <f>IF(K43="","",IF(LEFT(K43,1)&lt;RIGHT(K43,1),0,1))</f>
        <v>1</v>
      </c>
      <c r="M43" s="35">
        <f>IF(K43="","",IF(LEFT(K43,1)&gt;RIGHT(K43,1),0,1))</f>
        <v>0</v>
      </c>
      <c r="Q43" s="1" t="str">
        <f t="shared" si="2"/>
        <v/>
      </c>
    </row>
    <row r="44" spans="1:18">
      <c r="A44" s="7"/>
      <c r="B44" s="9" t="s">
        <v>13</v>
      </c>
      <c r="C44" s="8" t="str">
        <f>VLOOKUP(B44,I_voor_4p!$B$98:$K$102,2,FALSE)</f>
        <v>Markkos PUKK</v>
      </c>
      <c r="D44" s="9" t="s">
        <v>10</v>
      </c>
      <c r="E44" s="8" t="str">
        <f>VLOOKUP(D44,I_voor_4p!$M$98:$W$102,2,FALSE)</f>
        <v>Tomasz LEWANDOWSKI</v>
      </c>
      <c r="F44" s="82" t="str">
        <f>IF(I_voor_4p!E111=0,"",I_voor_4p!E111)</f>
        <v>5:11</v>
      </c>
      <c r="G44" s="82" t="str">
        <f>IF(I_voor_4p!H111=0,"",I_voor_4p!H111)</f>
        <v>5:11</v>
      </c>
      <c r="H44" s="82" t="str">
        <f>IF(I_voor_4p!K111=0,"",I_voor_4p!K111)</f>
        <v>8:11</v>
      </c>
      <c r="I44" s="82" t="str">
        <f>IF(I_voor_4p!N111=0,"",I_voor_4p!N111)</f>
        <v/>
      </c>
      <c r="J44" s="82" t="str">
        <f>IF(I_voor_4p!Q111=0,"",I_voor_4p!Q111)</f>
        <v/>
      </c>
      <c r="K44" s="53" t="str">
        <f>IF(F44="","",CONCATENATE(Abitabel5!G38,":",Abitabel5!N38))</f>
        <v>0:3</v>
      </c>
      <c r="L44" s="35">
        <f>IF(K44="","",IF(LEFT(K44,1)&lt;RIGHT(K44,1),0,1))</f>
        <v>0</v>
      </c>
      <c r="M44" s="35">
        <f>IF(L44="","",IF(LEFT(K44,1)&gt;RIGHT(K44,1),0,1))</f>
        <v>1</v>
      </c>
      <c r="Q44" s="1" t="str">
        <f t="shared" si="2"/>
        <v/>
      </c>
    </row>
    <row r="45" spans="1:18">
      <c r="A45" s="7"/>
      <c r="B45" s="9" t="s">
        <v>11</v>
      </c>
      <c r="C45" s="8" t="str">
        <f>VLOOKUP(B45,I_voor_4p!$B$98:$K$102,2,FALSE)</f>
        <v>Arttu Antero PIHKALA</v>
      </c>
      <c r="D45" s="9" t="s">
        <v>14</v>
      </c>
      <c r="E45" s="8" t="str">
        <f>VLOOKUP(D45,I_voor_4p!$M$98:$W$102,2,FALSE)</f>
        <v>Stanislav STROGOV</v>
      </c>
      <c r="F45" s="82" t="str">
        <f>IF(I_voor_4p!E112=0,"",I_voor_4p!E112)</f>
        <v/>
      </c>
      <c r="G45" s="82" t="str">
        <f>IF(I_voor_4p!H112=0,"",I_voor_4p!H112)</f>
        <v/>
      </c>
      <c r="H45" s="82" t="str">
        <f>IF(I_voor_4p!K112=0,"",I_voor_4p!K112)</f>
        <v/>
      </c>
      <c r="I45" s="82" t="str">
        <f>IF(I_voor_4p!N112=0,"",I_voor_4p!N112)</f>
        <v/>
      </c>
      <c r="J45" s="82" t="str">
        <f>IF(I_voor_4p!Q112=0,"",I_voor_4p!Q112)</f>
        <v/>
      </c>
      <c r="K45" s="53" t="str">
        <f>IF(F45="","",CONCATENATE(Abitabel5!G39,":",Abitabel5!N39))</f>
        <v/>
      </c>
      <c r="L45" s="35" t="str">
        <f>IF(K45="","",IF(LEFT(K45,1)&lt;RIGHT(K45,1),0,1))</f>
        <v/>
      </c>
      <c r="M45" s="35" t="str">
        <f>IF(L45="","",IF(LEFT(K45,1)&gt;RIGHT(K45,1),0,1))</f>
        <v/>
      </c>
      <c r="Q45" s="1" t="str">
        <f t="shared" si="2"/>
        <v>ERROR</v>
      </c>
    </row>
    <row r="46" spans="1:18">
      <c r="A46" s="7"/>
      <c r="B46" s="10"/>
      <c r="C46" s="33" t="str">
        <f>VLOOKUP(C37,Koosseisud!A:B,2,FALSE )</f>
        <v>Meeskond4</v>
      </c>
      <c r="D46" s="10"/>
      <c r="E46" s="33" t="str">
        <f>VLOOKUP(E37,Koosseisud!A:B,2,FALSE)</f>
        <v>Meeskond3</v>
      </c>
      <c r="F46" s="10"/>
      <c r="G46" s="10"/>
      <c r="H46" s="10"/>
      <c r="I46" s="10"/>
      <c r="J46" s="11"/>
      <c r="K46" s="12"/>
      <c r="L46" s="13"/>
      <c r="M46" s="13"/>
    </row>
    <row r="47" spans="1:18" ht="15">
      <c r="A47" s="2" t="s">
        <v>72</v>
      </c>
      <c r="B47" s="3">
        <f>IF(K48="","",SUM(L48:L55))</f>
        <v>4</v>
      </c>
      <c r="C47" s="4" t="str">
        <f>II_voor_4p!G7</f>
        <v>Viimsi PINX</v>
      </c>
      <c r="D47" s="3">
        <f>IF(K48="","",SUM(M48:M55))</f>
        <v>0</v>
      </c>
      <c r="E47" s="4" t="str">
        <f>II_voor_4p!R7</f>
        <v>Tiim FORUS - Maardu LTK</v>
      </c>
      <c r="F47" s="137" t="s">
        <v>2</v>
      </c>
      <c r="G47" s="137" t="s">
        <v>3</v>
      </c>
      <c r="H47" s="137" t="s">
        <v>4</v>
      </c>
      <c r="I47" s="137" t="s">
        <v>5</v>
      </c>
      <c r="J47" s="137" t="s">
        <v>6</v>
      </c>
      <c r="K47" s="6" t="s">
        <v>7</v>
      </c>
      <c r="L47" s="287" t="s">
        <v>8</v>
      </c>
      <c r="M47" s="287"/>
      <c r="R47" s="1" t="str">
        <f>IF(OR(B47=4,D47=4),"","ERROR")</f>
        <v/>
      </c>
    </row>
    <row r="48" spans="1:18">
      <c r="A48" s="7" t="s">
        <v>468</v>
      </c>
      <c r="B48" s="9" t="s">
        <v>9</v>
      </c>
      <c r="C48" s="8" t="str">
        <f>VLOOKUP(B48,II_voor_4p!$B$8:$K$12,2,FALSE)</f>
        <v>Maksim VUHKA</v>
      </c>
      <c r="D48" s="9" t="s">
        <v>10</v>
      </c>
      <c r="E48" s="8" t="str">
        <f>VLOOKUP(D48,II_voor_4p!$M$8:$W$12,2,FALSE)</f>
        <v>Jevgeni BUZAK</v>
      </c>
      <c r="F48" s="9" t="str">
        <f>IF(II_voor_4p!E16=0,"",II_voor_4p!E16)</f>
        <v>11:5</v>
      </c>
      <c r="G48" s="9" t="str">
        <f>IF(II_voor_4p!H16=0,"",II_voor_4p!H16)</f>
        <v>11:8</v>
      </c>
      <c r="H48" s="9" t="str">
        <f>IF(II_voor_4p!K16=0,"",II_voor_4p!K16)</f>
        <v>11:4</v>
      </c>
      <c r="I48" s="9" t="str">
        <f>IF(II_voor_4p!N16=0,"",II_voor_4p!N16)</f>
        <v/>
      </c>
      <c r="J48" s="9" t="str">
        <f>IF(II_voor_4p!Q16=0,"",II_voor_4p!Q16)</f>
        <v/>
      </c>
      <c r="K48" s="53" t="str">
        <f>IF(F48="","",CONCATENATE(Abitabel5!G42,":",Abitabel5!N42))</f>
        <v>3:0</v>
      </c>
      <c r="L48" s="35">
        <f>IF(K48="","",IF(LEFT(K48,1)&lt;RIGHT(K48,1),0,1))</f>
        <v>1</v>
      </c>
      <c r="M48" s="35">
        <f>IF(K48="","",IF(LEFT(K48,1)&gt;RIGHT(K48,1),0,1))</f>
        <v>0</v>
      </c>
      <c r="Q48" s="1" t="str">
        <f t="shared" si="2"/>
        <v/>
      </c>
    </row>
    <row r="49" spans="1:18">
      <c r="A49" s="7" t="s">
        <v>59</v>
      </c>
      <c r="B49" s="9" t="s">
        <v>11</v>
      </c>
      <c r="C49" s="8" t="str">
        <f>VLOOKUP(B49,II_voor_4p!$B$8:$K$12,2,FALSE)</f>
        <v>Toomas LIBENE</v>
      </c>
      <c r="D49" s="9" t="s">
        <v>12</v>
      </c>
      <c r="E49" s="8" t="str">
        <f>VLOOKUP(D49,II_voor_4p!$M$8:$W$12,2,FALSE)</f>
        <v>Artjom HIISKU</v>
      </c>
      <c r="F49" s="9" t="str">
        <f>IF(II_voor_4p!E17=0,"",II_voor_4p!E17)</f>
        <v>11:7</v>
      </c>
      <c r="G49" s="9" t="str">
        <f>IF(II_voor_4p!H17=0,"",II_voor_4p!H17)</f>
        <v>10:12</v>
      </c>
      <c r="H49" s="9" t="str">
        <f>IF(II_voor_4p!K17=0,"",II_voor_4p!K17)</f>
        <v>11:4</v>
      </c>
      <c r="I49" s="9" t="str">
        <f>IF(II_voor_4p!N17=0,"",II_voor_4p!N17)</f>
        <v>11:4</v>
      </c>
      <c r="J49" s="9" t="str">
        <f>IF(II_voor_4p!Q17=0,"",II_voor_4p!Q17)</f>
        <v/>
      </c>
      <c r="K49" s="53" t="str">
        <f>IF(F49="","",CONCATENATE(Abitabel5!G43,":",Abitabel5!N43))</f>
        <v>3:1</v>
      </c>
      <c r="L49" s="35">
        <f t="shared" ref="L49:L50" si="9">IF(K49="","",IF(LEFT(K49,1)&lt;RIGHT(K49,1),0,1))</f>
        <v>1</v>
      </c>
      <c r="M49" s="35">
        <f t="shared" ref="M49:M50" si="10">IF(K49="","",IF(LEFT(K49,1)&gt;RIGHT(K49,1),0,1))</f>
        <v>0</v>
      </c>
      <c r="Q49" s="1" t="str">
        <f t="shared" si="2"/>
        <v/>
      </c>
    </row>
    <row r="50" spans="1:18">
      <c r="A50" s="7"/>
      <c r="B50" s="9" t="s">
        <v>13</v>
      </c>
      <c r="C50" s="8" t="str">
        <f>VLOOKUP(B50,II_voor_4p!$B$8:$K$12,2,FALSE)</f>
        <v>Sergei PETROV</v>
      </c>
      <c r="D50" s="9" t="s">
        <v>14</v>
      </c>
      <c r="E50" s="8" t="str">
        <f>VLOOKUP(D50,II_voor_4p!$M$8:$W$12,2,FALSE)</f>
        <v>Sergei DANILOV</v>
      </c>
      <c r="F50" s="9" t="str">
        <f>IF(II_voor_4p!E18=0,"",II_voor_4p!E18)</f>
        <v/>
      </c>
      <c r="G50" s="9" t="str">
        <f>IF(II_voor_4p!H18=0,"",II_voor_4p!H18)</f>
        <v/>
      </c>
      <c r="H50" s="9" t="str">
        <f>IF(II_voor_4p!K18=0,"",II_voor_4p!K18)</f>
        <v/>
      </c>
      <c r="I50" s="9" t="str">
        <f>IF(II_voor_4p!N18=0,"",II_voor_4p!N18)</f>
        <v/>
      </c>
      <c r="J50" s="9" t="str">
        <f>IF(II_voor_4p!Q18=0,"",II_voor_4p!Q18)</f>
        <v/>
      </c>
      <c r="K50" s="53" t="s">
        <v>563</v>
      </c>
      <c r="L50" s="35">
        <f t="shared" si="9"/>
        <v>1</v>
      </c>
      <c r="M50" s="35">
        <f t="shared" si="10"/>
        <v>0</v>
      </c>
      <c r="Q50" s="1" t="str">
        <f t="shared" si="2"/>
        <v>ERROR</v>
      </c>
    </row>
    <row r="51" spans="1:18">
      <c r="A51" s="7"/>
      <c r="B51" s="290" t="s">
        <v>15</v>
      </c>
      <c r="C51" s="8" t="str">
        <f>IF(ISBLANK(II_voor_4p!C19), "", INDEX(II_voor_4p!C8:C12, MATCH(MID(II_voor_4p!C19,1,1), II_voor_4p!B8:B12, 0)))</f>
        <v>Toomas LIBENE</v>
      </c>
      <c r="D51" s="290" t="s">
        <v>15</v>
      </c>
      <c r="E51" s="1" t="str">
        <f>IF(ISBLANK(II_voor_4p!C19), "", INDEX(II_voor_4p!N8:N12, MATCH(MID(II_voor_4p!C19,4,1), II_voor_4p!M8:M12, 0)))</f>
        <v>Artjom HIISKU</v>
      </c>
      <c r="F51" s="292" t="str">
        <f>IF(II_voor_4p!E19=0,"",II_voor_4p!E19)</f>
        <v>11:6</v>
      </c>
      <c r="G51" s="292" t="str">
        <f>IF(II_voor_4p!H19=0,"",II_voor_4p!H19)</f>
        <v>11:6</v>
      </c>
      <c r="H51" s="292" t="str">
        <f>IF(II_voor_4p!K19=0,"",II_voor_4p!K19)</f>
        <v>11:5</v>
      </c>
      <c r="I51" s="292" t="str">
        <f>IF(II_voor_4p!N19=0,"",II_voor_4p!N19)</f>
        <v/>
      </c>
      <c r="J51" s="292" t="str">
        <f>IF(II_voor_4p!Q19=0,"",II_voor_4p!Q19)</f>
        <v/>
      </c>
      <c r="K51" s="294" t="str">
        <f>IF(F51="","",CONCATENATE(Abitabel5!G45,":",Abitabel5!N45))</f>
        <v>3:0</v>
      </c>
      <c r="L51" s="295">
        <f>IF(K51="","",IF(LEFT(K51,1)&lt;RIGHT(K51,1),0,1))</f>
        <v>1</v>
      </c>
      <c r="M51" s="295">
        <f>IF(K51="","",IF(LEFT(K51,1)&gt;RIGHT(K51,1),0,1))</f>
        <v>0</v>
      </c>
      <c r="Q51" s="1" t="str">
        <f t="shared" si="2"/>
        <v/>
      </c>
    </row>
    <row r="52" spans="1:18">
      <c r="A52" s="7"/>
      <c r="B52" s="291"/>
      <c r="C52" s="8" t="str">
        <f>IF(ISBLANK(II_voor_4p!C19), "", INDEX(II_voor_4p!C8:C12, MATCH(MID(II_voor_4p!C19,2,1), II_voor_4p!B8:B12, 0)))</f>
        <v>Sergei PETROV</v>
      </c>
      <c r="D52" s="291"/>
      <c r="E52" s="1" t="str">
        <f>IF(ISBLANK(II_voor_4p!C19), "", INDEX(II_voor_4p!N8:N12, MATCH(MID(II_voor_4p!C19,5,1), II_voor_4p!M8:M12, 0)))</f>
        <v>Jevgeni BUZAK</v>
      </c>
      <c r="F52" s="293"/>
      <c r="G52" s="293"/>
      <c r="H52" s="293"/>
      <c r="I52" s="293"/>
      <c r="J52" s="293"/>
      <c r="K52" s="294"/>
      <c r="L52" s="295"/>
      <c r="M52" s="295"/>
    </row>
    <row r="53" spans="1:18">
      <c r="A53" s="7"/>
      <c r="B53" s="9" t="s">
        <v>9</v>
      </c>
      <c r="C53" s="8" t="str">
        <f>VLOOKUP(B53,II_voor_4p!$B$8:$K$12,2,FALSE)</f>
        <v>Maksim VUHKA</v>
      </c>
      <c r="D53" s="9" t="s">
        <v>12</v>
      </c>
      <c r="E53" s="8" t="str">
        <f>VLOOKUP(D53,II_voor_4p!$M$8:$W$12,2,FALSE)</f>
        <v>Artjom HIISKU</v>
      </c>
      <c r="F53" s="9" t="str">
        <f>IF(II_voor_4p!E20=0,"",II_voor_4p!E20)</f>
        <v/>
      </c>
      <c r="G53" s="9" t="str">
        <f>IF(II_voor_4p!H20=0,"",II_voor_4p!H20)</f>
        <v/>
      </c>
      <c r="H53" s="9" t="str">
        <f>IF(II_voor_4p!K20=0,"",II_voor_4p!K20)</f>
        <v/>
      </c>
      <c r="I53" s="9" t="str">
        <f>IF(II_voor_4p!N20=0,"",II_voor_4p!N20)</f>
        <v/>
      </c>
      <c r="J53" s="9" t="str">
        <f>IF(II_voor_4p!Q20=0,"",II_voor_4p!Q20)</f>
        <v/>
      </c>
      <c r="K53" s="53" t="str">
        <f>IF(F53="","",CONCATENATE(Abitabel5!G47,":",Abitabel5!N47))</f>
        <v/>
      </c>
      <c r="L53" s="35" t="str">
        <f>IF(K53="","",IF(LEFT(K53,1)&lt;RIGHT(K53,1),0,1))</f>
        <v/>
      </c>
      <c r="M53" s="35" t="str">
        <f>IF(K53="","",IF(LEFT(K53,1)&gt;RIGHT(K53,1),0,1))</f>
        <v/>
      </c>
      <c r="Q53" s="1" t="str">
        <f t="shared" si="2"/>
        <v>ERROR</v>
      </c>
    </row>
    <row r="54" spans="1:18">
      <c r="A54" s="7"/>
      <c r="B54" s="9" t="s">
        <v>13</v>
      </c>
      <c r="C54" s="8" t="str">
        <f>VLOOKUP(B54,II_voor_4p!$B$8:$K$12,2,FALSE)</f>
        <v>Sergei PETROV</v>
      </c>
      <c r="D54" s="9" t="s">
        <v>10</v>
      </c>
      <c r="E54" s="8" t="str">
        <f>VLOOKUP(D54,II_voor_4p!$M$8:$W$12,2,FALSE)</f>
        <v>Jevgeni BUZAK</v>
      </c>
      <c r="F54" s="9" t="str">
        <f>IF(II_voor_4p!E21=0,"",II_voor_4p!E21)</f>
        <v/>
      </c>
      <c r="G54" s="9" t="str">
        <f>IF(II_voor_4p!H21=0,"",II_voor_4p!H21)</f>
        <v/>
      </c>
      <c r="H54" s="9" t="str">
        <f>IF(II_voor_4p!K21=0,"",II_voor_4p!K21)</f>
        <v/>
      </c>
      <c r="I54" s="9" t="str">
        <f>IF(II_voor_4p!N21=0,"",II_voor_4p!N21)</f>
        <v/>
      </c>
      <c r="J54" s="9" t="str">
        <f>IF(II_voor_4p!Q21=0,"",II_voor_4p!Q21)</f>
        <v/>
      </c>
      <c r="K54" s="53" t="str">
        <f>IF(F54="","",CONCATENATE(Abitabel5!G48,":",Abitabel5!N48))</f>
        <v/>
      </c>
      <c r="L54" s="35" t="str">
        <f>IF(K54="","",IF(LEFT(K54,1)&lt;RIGHT(K54,1),0,1))</f>
        <v/>
      </c>
      <c r="M54" s="35" t="str">
        <f>IF(L54="","",IF(LEFT(K54,1)&gt;RIGHT(K54,1),0,1))</f>
        <v/>
      </c>
      <c r="Q54" s="1" t="str">
        <f t="shared" si="2"/>
        <v>ERROR</v>
      </c>
    </row>
    <row r="55" spans="1:18">
      <c r="A55" s="7"/>
      <c r="B55" s="9" t="s">
        <v>11</v>
      </c>
      <c r="C55" s="8" t="str">
        <f>VLOOKUP(B55,II_voor_4p!$B$8:$K$12,2,FALSE)</f>
        <v>Toomas LIBENE</v>
      </c>
      <c r="D55" s="9" t="s">
        <v>14</v>
      </c>
      <c r="E55" s="8" t="str">
        <f>VLOOKUP(D55,II_voor_4p!$M$8:$W$12,2,FALSE)</f>
        <v>Sergei DANILOV</v>
      </c>
      <c r="F55" s="9" t="str">
        <f>IF(II_voor_4p!E22=0,"",II_voor_4p!E22)</f>
        <v/>
      </c>
      <c r="G55" s="9" t="str">
        <f>IF(II_voor_4p!H22=0,"",II_voor_4p!H22)</f>
        <v/>
      </c>
      <c r="H55" s="9" t="str">
        <f>IF(II_voor_4p!K22=0,"",II_voor_4p!K22)</f>
        <v/>
      </c>
      <c r="I55" s="9" t="str">
        <f>IF(II_voor_4p!N22=0,"",II_voor_4p!N22)</f>
        <v/>
      </c>
      <c r="J55" s="9" t="str">
        <f>IF(II_voor_4p!Q22=0,"",II_voor_4p!Q22)</f>
        <v/>
      </c>
      <c r="K55" s="53" t="str">
        <f>IF(F55="","",CONCATENATE(Abitabel5!G49,":",Abitabel5!N49))</f>
        <v/>
      </c>
      <c r="L55" s="35" t="str">
        <f>IF(K55="","",IF(LEFT(K55,1)&lt;RIGHT(K55,1),0,1))</f>
        <v/>
      </c>
      <c r="M55" s="35" t="str">
        <f>IF(L55="","",IF(LEFT(K55,1)&gt;RIGHT(K55,1),0,1))</f>
        <v/>
      </c>
      <c r="Q55" s="1" t="str">
        <f t="shared" si="2"/>
        <v>ERROR</v>
      </c>
    </row>
    <row r="56" spans="1:18">
      <c r="A56" s="7"/>
      <c r="B56" s="10"/>
      <c r="C56" s="33" t="str">
        <f>VLOOKUP(C47,Koosseisud!A:B,2,FALSE )</f>
        <v>Meeskond2</v>
      </c>
      <c r="D56" s="10"/>
      <c r="E56" s="33" t="str">
        <f>VLOOKUP(E47,Koosseisud!A:B,2,FALSE)</f>
        <v>Meeskond1</v>
      </c>
      <c r="F56" s="10"/>
      <c r="G56" s="10"/>
      <c r="H56" s="10"/>
      <c r="I56" s="10"/>
      <c r="J56" s="11"/>
      <c r="K56" s="12"/>
      <c r="L56" s="13"/>
      <c r="M56" s="13"/>
    </row>
    <row r="57" spans="1:18" ht="15">
      <c r="A57" s="2" t="s">
        <v>73</v>
      </c>
      <c r="B57" s="3">
        <f>IF(K58="","",SUM(L58:L65))</f>
        <v>4</v>
      </c>
      <c r="C57" s="83" t="str">
        <f>II_voor_4p!G37</f>
        <v>Viimsi LTK/EM-SERV</v>
      </c>
      <c r="D57" s="3">
        <f>IF(K58="","",SUM(M58:M65))</f>
        <v>1</v>
      </c>
      <c r="E57" s="83" t="str">
        <f>II_voor_4p!R37</f>
        <v>Tartu SS Kalev</v>
      </c>
      <c r="F57" s="137" t="s">
        <v>2</v>
      </c>
      <c r="G57" s="137" t="s">
        <v>3</v>
      </c>
      <c r="H57" s="137" t="s">
        <v>4</v>
      </c>
      <c r="I57" s="137" t="s">
        <v>5</v>
      </c>
      <c r="J57" s="137" t="s">
        <v>6</v>
      </c>
      <c r="K57" s="6" t="s">
        <v>7</v>
      </c>
      <c r="L57" s="287" t="s">
        <v>8</v>
      </c>
      <c r="M57" s="287"/>
      <c r="R57" s="1" t="str">
        <f>IF(OR(B57=4,D57=4),"","ERROR")</f>
        <v/>
      </c>
    </row>
    <row r="58" spans="1:18">
      <c r="A58" s="7" t="s">
        <v>468</v>
      </c>
      <c r="B58" s="9" t="s">
        <v>9</v>
      </c>
      <c r="C58" s="8" t="str">
        <f>VLOOKUP(B58,II_voor_4p!$B$38:$K$42,2,FALSE)</f>
        <v>Pert Marten LEHTLAAN</v>
      </c>
      <c r="D58" s="9" t="s">
        <v>10</v>
      </c>
      <c r="E58" s="8" t="str">
        <f>VLOOKUP(D58,II_voor_4p!$M$38:$W$42,2,FALSE)</f>
        <v>Markkos PUKK</v>
      </c>
      <c r="F58" s="135" t="str">
        <f>IF(II_voor_4p!E46=0,"",II_voor_4p!E46)</f>
        <v>3:11</v>
      </c>
      <c r="G58" s="135" t="str">
        <f>IF(II_voor_4p!H46=0,"",II_voor_4p!H46)</f>
        <v>7:11</v>
      </c>
      <c r="H58" s="135" t="str">
        <f>IF(II_voor_4p!K46=0,"",II_voor_4p!K46)</f>
        <v>11:6</v>
      </c>
      <c r="I58" s="135" t="str">
        <f>IF(II_voor_4p!N46=0,"",II_voor_4p!N46)</f>
        <v>11:5</v>
      </c>
      <c r="J58" s="135" t="str">
        <f>IF(II_voor_4p!Q46=0,"",II_voor_4p!Q46)</f>
        <v>11:4</v>
      </c>
      <c r="K58" s="53" t="str">
        <f>IF(F58="","",CONCATENATE(Abitabel5!G52,":",Abitabel5!N52))</f>
        <v>3:2</v>
      </c>
      <c r="L58" s="35">
        <f>IF(K58="","",IF(LEFT(K58,1)&lt;RIGHT(K58,1),0,1))</f>
        <v>1</v>
      </c>
      <c r="M58" s="35">
        <f>IF(K58="","",IF(LEFT(K58,1)&gt;RIGHT(K58,1),0,1))</f>
        <v>0</v>
      </c>
      <c r="Q58" s="1" t="str">
        <f t="shared" si="2"/>
        <v/>
      </c>
    </row>
    <row r="59" spans="1:18">
      <c r="A59" s="7" t="s">
        <v>59</v>
      </c>
      <c r="B59" s="9" t="s">
        <v>11</v>
      </c>
      <c r="C59" s="8" t="str">
        <f>VLOOKUP(B59,II_voor_4p!$B$38:$K$42,2,FALSE)</f>
        <v>Daniels KOGANS</v>
      </c>
      <c r="D59" s="9" t="s">
        <v>12</v>
      </c>
      <c r="E59" s="8" t="str">
        <f>VLOOKUP(D59,II_voor_4p!$M$38:$W$42,2,FALSE)</f>
        <v>Arttu Antero PIHKALA</v>
      </c>
      <c r="F59" s="135" t="str">
        <f>IF(II_voor_4p!E47=0,"",II_voor_4p!E47)</f>
        <v>2:11</v>
      </c>
      <c r="G59" s="135" t="str">
        <f>IF(II_voor_4p!H47=0,"",II_voor_4p!H47)</f>
        <v>11:7</v>
      </c>
      <c r="H59" s="135" t="str">
        <f>IF(II_voor_4p!K47=0,"",II_voor_4p!K47)</f>
        <v>11:9</v>
      </c>
      <c r="I59" s="135" t="str">
        <f>IF(II_voor_4p!N47=0,"",II_voor_4p!N47)</f>
        <v>11:8</v>
      </c>
      <c r="J59" s="135" t="str">
        <f>IF(II_voor_4p!Q47=0,"",II_voor_4p!Q47)</f>
        <v/>
      </c>
      <c r="K59" s="53" t="str">
        <f>IF(F59="","",CONCATENATE(Abitabel5!G53,":",Abitabel5!N53))</f>
        <v>3:1</v>
      </c>
      <c r="L59" s="35">
        <f t="shared" ref="L59:L60" si="11">IF(K59="","",IF(LEFT(K59,1)&lt;RIGHT(K59,1),0,1))</f>
        <v>1</v>
      </c>
      <c r="M59" s="35">
        <f t="shared" ref="M59:M60" si="12">IF(K59="","",IF(LEFT(K59,1)&gt;RIGHT(K59,1),0,1))</f>
        <v>0</v>
      </c>
      <c r="Q59" s="1" t="str">
        <f t="shared" si="2"/>
        <v/>
      </c>
    </row>
    <row r="60" spans="1:18">
      <c r="A60" s="7"/>
      <c r="B60" s="9" t="s">
        <v>13</v>
      </c>
      <c r="C60" s="8" t="str">
        <f>VLOOKUP(B60,II_voor_4p!$B$38:$K$42,2,FALSE)</f>
        <v>Ilmar VUHKA</v>
      </c>
      <c r="D60" s="9" t="s">
        <v>14</v>
      </c>
      <c r="E60" s="8" t="str">
        <f>VLOOKUP(D60,II_voor_4p!$M$38:$W$42,2,FALSE)</f>
        <v>Mart LUUK</v>
      </c>
      <c r="F60" s="135" t="str">
        <f>IF(II_voor_4p!E48=0,"",II_voor_4p!E48)</f>
        <v>11:9</v>
      </c>
      <c r="G60" s="135" t="str">
        <f>IF(II_voor_4p!H48=0,"",II_voor_4p!H48)</f>
        <v>7:11</v>
      </c>
      <c r="H60" s="135" t="str">
        <f>IF(II_voor_4p!K48=0,"",II_voor_4p!K48)</f>
        <v>7:11</v>
      </c>
      <c r="I60" s="135" t="str">
        <f>IF(II_voor_4p!N48=0,"",II_voor_4p!N48)</f>
        <v>6:11</v>
      </c>
      <c r="J60" s="135" t="str">
        <f>IF(II_voor_4p!Q48=0,"",II_voor_4p!Q48)</f>
        <v/>
      </c>
      <c r="K60" s="53" t="str">
        <f>IF(F60="","",CONCATENATE(Abitabel5!G54,":",Abitabel5!N54))</f>
        <v>1:3</v>
      </c>
      <c r="L60" s="35">
        <f t="shared" si="11"/>
        <v>0</v>
      </c>
      <c r="M60" s="35">
        <f t="shared" si="12"/>
        <v>1</v>
      </c>
      <c r="Q60" s="1" t="str">
        <f t="shared" si="2"/>
        <v/>
      </c>
    </row>
    <row r="61" spans="1:18">
      <c r="A61" s="7"/>
      <c r="B61" s="290" t="s">
        <v>15</v>
      </c>
      <c r="C61" s="1" t="str">
        <f>IF(ISBLANK(II_voor_4p!C49), "", INDEX(II_voor_4p!C38:C42, MATCH(MID(II_voor_4p!C49,1,1), II_voor_4p!B38:B42, 0)))</f>
        <v>Pert Marten LEHTLAAN</v>
      </c>
      <c r="D61" s="290" t="s">
        <v>15</v>
      </c>
      <c r="E61" s="1" t="str">
        <f>IF(ISBLANK(II_voor_4p!C49), "", INDEX(II_voor_4p!N38:N42, MATCH(MID(II_voor_4p!C49,4,1), II_voor_4p!M38:M42, 0)))</f>
        <v>Markkos PUKK</v>
      </c>
      <c r="F61" s="299" t="str">
        <f>IF(II_voor_4p!E49=0,"",II_voor_4p!E49)</f>
        <v>8:11</v>
      </c>
      <c r="G61" s="299" t="str">
        <f>IF(II_voor_4p!H49=0,"",II_voor_4p!H49)</f>
        <v>11:13</v>
      </c>
      <c r="H61" s="299" t="str">
        <f>IF(II_voor_4p!K49=0,"",II_voor_4p!K49)</f>
        <v>16:14</v>
      </c>
      <c r="I61" s="299" t="str">
        <f>IF(II_voor_4p!N49=0,"",II_voor_4p!N49)</f>
        <v>11:6</v>
      </c>
      <c r="J61" s="299" t="str">
        <f>IF(II_voor_4p!Q49=0,"",II_voor_4p!Q49)</f>
        <v>15:13</v>
      </c>
      <c r="K61" s="294" t="str">
        <f>IF(F61="","",CONCATENATE(Abitabel5!G55,":",Abitabel5!N55))</f>
        <v>3:2</v>
      </c>
      <c r="L61" s="295">
        <f>IF(K61="","",IF(LEFT(K61,1)&lt;RIGHT(K61,1),0,1))</f>
        <v>1</v>
      </c>
      <c r="M61" s="295">
        <f>IF(K61="","",IF(LEFT(K61,1)&gt;RIGHT(K61,1),0,1))</f>
        <v>0</v>
      </c>
      <c r="Q61" s="1" t="str">
        <f t="shared" si="2"/>
        <v/>
      </c>
    </row>
    <row r="62" spans="1:18">
      <c r="A62" s="7"/>
      <c r="B62" s="291"/>
      <c r="C62" s="1" t="str">
        <f>IF(ISBLANK(II_voor_4p!C49), "", INDEX(II_voor_4p!C38:C42, MATCH(MID(II_voor_4p!C49,2,1), II_voor_4p!B38:B42, 0)))</f>
        <v>Daniels KOGANS</v>
      </c>
      <c r="D62" s="291"/>
      <c r="E62" s="1" t="str">
        <f>IF(ISBLANK(II_voor_4p!C49), "", INDEX(II_voor_4p!N38:N42, MATCH(MID(II_voor_4p!C49,5,1), II_voor_4p!M38:M42, 0)))</f>
        <v>Mart LUUK</v>
      </c>
      <c r="F62" s="299"/>
      <c r="G62" s="299"/>
      <c r="H62" s="299"/>
      <c r="I62" s="299"/>
      <c r="J62" s="299"/>
      <c r="K62" s="294"/>
      <c r="L62" s="295"/>
      <c r="M62" s="295"/>
    </row>
    <row r="63" spans="1:18">
      <c r="A63" s="7"/>
      <c r="B63" s="9" t="s">
        <v>9</v>
      </c>
      <c r="C63" s="8" t="str">
        <f>VLOOKUP(B63,II_voor_4p!$B$38:$K$42,2,FALSE)</f>
        <v>Pert Marten LEHTLAAN</v>
      </c>
      <c r="D63" s="9" t="s">
        <v>12</v>
      </c>
      <c r="E63" s="8" t="str">
        <f>VLOOKUP(D63,II_voor_4p!$M$38:$W$42,2,FALSE)</f>
        <v>Arttu Antero PIHKALA</v>
      </c>
      <c r="F63" s="135" t="str">
        <f>IF(II_voor_4p!E50=0,"",II_voor_4p!E50)</f>
        <v>11:5</v>
      </c>
      <c r="G63" s="135" t="str">
        <f>IF(II_voor_4p!H50=0,"",II_voor_4p!H50)</f>
        <v>11:6</v>
      </c>
      <c r="H63" s="135" t="str">
        <f>IF(II_voor_4p!K50=0,"",II_voor_4p!K50)</f>
        <v>11:8</v>
      </c>
      <c r="I63" s="135" t="str">
        <f>IF(II_voor_4p!N50=0,"",II_voor_4p!N50)</f>
        <v/>
      </c>
      <c r="J63" s="135" t="str">
        <f>IF(II_voor_4p!Q50=0,"",II_voor_4p!Q50)</f>
        <v/>
      </c>
      <c r="K63" s="53" t="str">
        <f>IF(F63="","",CONCATENATE(Abitabel5!G57,":",Abitabel5!N57))</f>
        <v>3:0</v>
      </c>
      <c r="L63" s="35">
        <f>IF(K63="","",IF(LEFT(K63,1)&lt;RIGHT(K63,1),0,1))</f>
        <v>1</v>
      </c>
      <c r="M63" s="35">
        <f>IF(K63="","",IF(LEFT(K63,1)&gt;RIGHT(K63,1),0,1))</f>
        <v>0</v>
      </c>
      <c r="Q63" s="1" t="str">
        <f t="shared" si="2"/>
        <v/>
      </c>
    </row>
    <row r="64" spans="1:18">
      <c r="A64" s="7"/>
      <c r="B64" s="9" t="s">
        <v>13</v>
      </c>
      <c r="C64" s="8" t="str">
        <f>VLOOKUP(B64,II_voor_4p!$B$38:$K$42,2,FALSE)</f>
        <v>Ilmar VUHKA</v>
      </c>
      <c r="D64" s="9" t="s">
        <v>10</v>
      </c>
      <c r="E64" s="8" t="str">
        <f>VLOOKUP(D64,II_voor_4p!$M$38:$W$42,2,FALSE)</f>
        <v>Markkos PUKK</v>
      </c>
      <c r="F64" s="135" t="str">
        <f>IF(II_voor_4p!E51=0,"",II_voor_4p!E51)</f>
        <v/>
      </c>
      <c r="G64" s="135" t="str">
        <f>IF(II_voor_4p!H51=0,"",II_voor_4p!H51)</f>
        <v/>
      </c>
      <c r="H64" s="135" t="str">
        <f>IF(II_voor_4p!K51=0,"",II_voor_4p!K51)</f>
        <v/>
      </c>
      <c r="I64" s="135" t="str">
        <f>IF(II_voor_4p!N51=0,"",II_voor_4p!N51)</f>
        <v/>
      </c>
      <c r="J64" s="135" t="str">
        <f>IF(II_voor_4p!Q51=0,"",II_voor_4p!Q51)</f>
        <v/>
      </c>
      <c r="K64" s="53" t="str">
        <f>IF(F64="","",CONCATENATE(Abitabel5!G58,":",Abitabel5!N58))</f>
        <v/>
      </c>
      <c r="L64" s="35" t="str">
        <f>IF(K64="","",IF(LEFT(K64,1)&lt;RIGHT(K64,1),0,1))</f>
        <v/>
      </c>
      <c r="M64" s="35" t="str">
        <f>IF(L64="","",IF(LEFT(K64,1)&gt;RIGHT(K64,1),0,1))</f>
        <v/>
      </c>
      <c r="Q64" s="1" t="str">
        <f t="shared" si="2"/>
        <v>ERROR</v>
      </c>
    </row>
    <row r="65" spans="1:18">
      <c r="A65" s="7"/>
      <c r="B65" s="9" t="s">
        <v>11</v>
      </c>
      <c r="C65" s="8" t="str">
        <f>VLOOKUP(B65,II_voor_4p!$B$38:$K$42,2,FALSE)</f>
        <v>Daniels KOGANS</v>
      </c>
      <c r="D65" s="9" t="s">
        <v>14</v>
      </c>
      <c r="E65" s="8" t="str">
        <f>VLOOKUP(D65,II_voor_4p!$M$38:$W$42,2,FALSE)</f>
        <v>Mart LUUK</v>
      </c>
      <c r="F65" s="135" t="str">
        <f>IF(II_voor_4p!E52=0,"",II_voor_4p!E52)</f>
        <v/>
      </c>
      <c r="G65" s="135" t="str">
        <f>IF(II_voor_4p!H52=0,"",II_voor_4p!H52)</f>
        <v/>
      </c>
      <c r="H65" s="135" t="str">
        <f>IF(II_voor_4p!K52=0,"",II_voor_4p!K52)</f>
        <v/>
      </c>
      <c r="I65" s="135" t="str">
        <f>IF(II_voor_4p!N52=0,"",II_voor_4p!N52)</f>
        <v/>
      </c>
      <c r="J65" s="135" t="str">
        <f>IF(II_voor_4p!Q52=0,"",II_voor_4p!Q52)</f>
        <v/>
      </c>
      <c r="K65" s="53" t="str">
        <f>IF(F65="","",CONCATENATE(Abitabel5!G59,":",Abitabel5!N59))</f>
        <v/>
      </c>
      <c r="L65" s="35" t="str">
        <f>IF(K65="","",IF(LEFT(K65,1)&lt;RIGHT(K65,1),0,1))</f>
        <v/>
      </c>
      <c r="M65" s="35" t="str">
        <f>IF(L65="","",IF(LEFT(K65,1)&gt;RIGHT(K65,1),0,1))</f>
        <v/>
      </c>
      <c r="Q65" s="1" t="str">
        <f t="shared" si="2"/>
        <v>ERROR</v>
      </c>
    </row>
    <row r="66" spans="1:18">
      <c r="A66" s="7"/>
      <c r="B66" s="10"/>
      <c r="C66" s="33" t="str">
        <f>VLOOKUP(C57,Koosseisud!A:B,2,FALSE )</f>
        <v>Meeskond7</v>
      </c>
      <c r="D66" s="10"/>
      <c r="E66" s="33" t="str">
        <f>VLOOKUP(E57,Koosseisud!A:B,2,FALSE)</f>
        <v>Meeskond4</v>
      </c>
      <c r="F66" s="10"/>
      <c r="G66" s="10"/>
      <c r="H66" s="10"/>
      <c r="I66" s="10"/>
      <c r="J66" s="11"/>
      <c r="K66" s="12"/>
      <c r="L66" s="13"/>
      <c r="M66" s="13"/>
    </row>
    <row r="67" spans="1:18" ht="15">
      <c r="A67" s="2" t="s">
        <v>74</v>
      </c>
      <c r="B67" s="3">
        <f>IF(K68="","",SUM(L68:L75))</f>
        <v>0</v>
      </c>
      <c r="C67" s="83" t="str">
        <f>II_voor_4p!G67</f>
        <v>Viljandi LTK Sakala</v>
      </c>
      <c r="D67" s="3">
        <f>IF(K68="","",SUM(M68:M75))</f>
        <v>4</v>
      </c>
      <c r="E67" s="83" t="str">
        <f>II_voor_4p!R67</f>
        <v>TalTech Spordiklubi</v>
      </c>
      <c r="F67" s="137" t="s">
        <v>2</v>
      </c>
      <c r="G67" s="137" t="s">
        <v>3</v>
      </c>
      <c r="H67" s="137" t="s">
        <v>4</v>
      </c>
      <c r="I67" s="137" t="s">
        <v>5</v>
      </c>
      <c r="J67" s="137" t="s">
        <v>6</v>
      </c>
      <c r="K67" s="6" t="s">
        <v>7</v>
      </c>
      <c r="L67" s="287" t="s">
        <v>8</v>
      </c>
      <c r="M67" s="287"/>
      <c r="R67" s="1" t="str">
        <f>IF(OR(B67=4,D67=4),"","ERROR")</f>
        <v/>
      </c>
    </row>
    <row r="68" spans="1:18">
      <c r="A68" s="7" t="s">
        <v>468</v>
      </c>
      <c r="B68" s="9" t="s">
        <v>9</v>
      </c>
      <c r="C68" s="8" t="str">
        <f>VLOOKUP(B68,II_voor_4p!$B$68:$K$72,2,FALSE)</f>
        <v>Erik NÜÜD</v>
      </c>
      <c r="D68" s="9" t="s">
        <v>10</v>
      </c>
      <c r="E68" s="8" t="str">
        <f>VLOOKUP(D68,II_voor_4p!$M$68:$W$72,2,FALSE)</f>
        <v>Stanislav STROGOV</v>
      </c>
      <c r="F68" s="134" t="str">
        <f>IF(II_voor_4p!E76=0,"",II_voor_4p!E76)</f>
        <v>4:11</v>
      </c>
      <c r="G68" s="134" t="str">
        <f>IF(II_voor_4p!H76=0,"",II_voor_4p!H76)</f>
        <v>12:14</v>
      </c>
      <c r="H68" s="134" t="str">
        <f>IF(II_voor_4p!K76=0,"",II_voor_4p!K76)</f>
        <v>6:11</v>
      </c>
      <c r="I68" s="134" t="str">
        <f>IF(II_voor_4p!N76=0,"",II_voor_4p!N76)</f>
        <v/>
      </c>
      <c r="J68" s="134" t="str">
        <f>IF(II_voor_4p!Q76=0,"",II_voor_4p!Q76)</f>
        <v/>
      </c>
      <c r="K68" s="53" t="str">
        <f>IF(F68="","",CONCATENATE(Abitabel5!G62,":",Abitabel5!N62))</f>
        <v>0:3</v>
      </c>
      <c r="L68" s="53">
        <f>IF(K68="","",IF(LEFT(K68,1)&lt;RIGHT(K68,1),0,1))</f>
        <v>0</v>
      </c>
      <c r="M68" s="53">
        <f>IF(K68="","",IF(LEFT(K68,1)&gt;RIGHT(K68,1),0,1))</f>
        <v>1</v>
      </c>
      <c r="Q68" s="1" t="str">
        <f t="shared" si="2"/>
        <v/>
      </c>
    </row>
    <row r="69" spans="1:18">
      <c r="A69" s="7" t="s">
        <v>59</v>
      </c>
      <c r="B69" s="9" t="s">
        <v>11</v>
      </c>
      <c r="C69" s="8" t="str">
        <f>VLOOKUP(B69,II_voor_4p!$B$68:$K$72,2,FALSE)</f>
        <v>Robi TOOMING</v>
      </c>
      <c r="D69" s="9" t="s">
        <v>12</v>
      </c>
      <c r="E69" s="8" t="str">
        <f>VLOOKUP(D69,II_voor_4p!$M$68:$W$72,2,FALSE)</f>
        <v>Madis MOOS</v>
      </c>
      <c r="F69" s="134" t="str">
        <f>IF(II_voor_4p!E77=0,"",II_voor_4p!E77)</f>
        <v/>
      </c>
      <c r="G69" s="134" t="str">
        <f>IF(II_voor_4p!H77=0,"",II_voor_4p!H77)</f>
        <v/>
      </c>
      <c r="H69" s="134" t="str">
        <f>IF(II_voor_4p!K77=0,"",II_voor_4p!K77)</f>
        <v/>
      </c>
      <c r="I69" s="134" t="str">
        <f>IF(II_voor_4p!N77=0,"",II_voor_4p!N77)</f>
        <v/>
      </c>
      <c r="J69" s="134" t="str">
        <f>IF(II_voor_4p!Q77=0,"",II_voor_4p!Q77)</f>
        <v/>
      </c>
      <c r="K69" s="53" t="s">
        <v>562</v>
      </c>
      <c r="L69" s="53">
        <f t="shared" ref="L69:L70" si="13">IF(K69="","",IF(LEFT(K69,1)&lt;RIGHT(K69,1),0,1))</f>
        <v>0</v>
      </c>
      <c r="M69" s="53">
        <f t="shared" ref="M69:M70" si="14">IF(K69="","",IF(LEFT(K69,1)&gt;RIGHT(K69,1),0,1))</f>
        <v>1</v>
      </c>
      <c r="Q69" s="1" t="str">
        <f t="shared" si="2"/>
        <v>ERROR</v>
      </c>
    </row>
    <row r="70" spans="1:18">
      <c r="A70" s="7"/>
      <c r="B70" s="9" t="s">
        <v>13</v>
      </c>
      <c r="C70" s="8" t="str">
        <f>VLOOKUP(B70,II_voor_4p!$B$68:$K$72,2,FALSE)</f>
        <v>Rainer VALO</v>
      </c>
      <c r="D70" s="9" t="s">
        <v>14</v>
      </c>
      <c r="E70" s="8" t="str">
        <f>VLOOKUP(D70,II_voor_4p!$M$68:$W$72,2,FALSE)</f>
        <v>Tomasz LEWANDOWSKI</v>
      </c>
      <c r="F70" s="134" t="str">
        <f>IF(II_voor_4p!E78=0,"",II_voor_4p!E78)</f>
        <v>7:11</v>
      </c>
      <c r="G70" s="134" t="str">
        <f>IF(II_voor_4p!H78=0,"",II_voor_4p!H78)</f>
        <v>4:11</v>
      </c>
      <c r="H70" s="134" t="str">
        <f>IF(II_voor_4p!K78=0,"",II_voor_4p!K78)</f>
        <v>7:11</v>
      </c>
      <c r="I70" s="134" t="str">
        <f>IF(II_voor_4p!N78=0,"",II_voor_4p!N78)</f>
        <v/>
      </c>
      <c r="J70" s="134" t="str">
        <f>IF(II_voor_4p!Q78=0,"",II_voor_4p!Q78)</f>
        <v/>
      </c>
      <c r="K70" s="53" t="str">
        <f>IF(F70="","",CONCATENATE(Abitabel5!G64,":",Abitabel5!N64))</f>
        <v>0:3</v>
      </c>
      <c r="L70" s="53">
        <f t="shared" si="13"/>
        <v>0</v>
      </c>
      <c r="M70" s="53">
        <f t="shared" si="14"/>
        <v>1</v>
      </c>
      <c r="Q70" s="1" t="str">
        <f t="shared" si="2"/>
        <v/>
      </c>
    </row>
    <row r="71" spans="1:18">
      <c r="A71" s="7"/>
      <c r="B71" s="290" t="s">
        <v>15</v>
      </c>
      <c r="C71" s="1" t="str">
        <f>IF(ISBLANK(II_voor_4p!C79), "", INDEX(II_voor_4p!C68:C72, MATCH(MID(II_voor_4p!C79,1,1), II_voor_4p!B68:B72, 0)))</f>
        <v>Erik NÜÜD</v>
      </c>
      <c r="D71" s="290" t="s">
        <v>15</v>
      </c>
      <c r="E71" s="1" t="str">
        <f>IF(ISBLANK(II_voor_4p!C79), "", INDEX(II_voor_4p!N68:N72, MATCH(MID(II_voor_4p!C79,4,1), II_voor_4p!M68:M72, 0)))</f>
        <v>Madis MOOS</v>
      </c>
      <c r="F71" s="297" t="str">
        <f>IF(II_voor_4p!E79=0,"",II_voor_4p!E79)</f>
        <v>9:11</v>
      </c>
      <c r="G71" s="297" t="str">
        <f>IF(II_voor_4p!H79=0,"",II_voor_4p!H79)</f>
        <v>8:11</v>
      </c>
      <c r="H71" s="297" t="str">
        <f>IF(II_voor_4p!K79=0,"",II_voor_4p!K79)</f>
        <v>8:11</v>
      </c>
      <c r="I71" s="297" t="str">
        <f>IF(II_voor_4p!N79=0,"",II_voor_4p!N79)</f>
        <v/>
      </c>
      <c r="J71" s="297" t="str">
        <f>IF(II_voor_4p!Q79=0,"",II_voor_4p!Q79)</f>
        <v/>
      </c>
      <c r="K71" s="294" t="str">
        <f>IF(F71="","",CONCATENATE(Abitabel5!G65,":",Abitabel5!N65))</f>
        <v>0:3</v>
      </c>
      <c r="L71" s="294">
        <f>IF(K71="","",IF(LEFT(K71,1)&lt;RIGHT(K71,1),0,1))</f>
        <v>0</v>
      </c>
      <c r="M71" s="294">
        <f>IF(K71="","",IF(LEFT(K71,1)&gt;RIGHT(K71,1),0,1))</f>
        <v>1</v>
      </c>
      <c r="Q71" s="1" t="str">
        <f t="shared" si="2"/>
        <v/>
      </c>
    </row>
    <row r="72" spans="1:18">
      <c r="A72" s="7"/>
      <c r="B72" s="291"/>
      <c r="C72" s="1" t="str">
        <f>IF(ISBLANK(II_voor_4p!C79), "", INDEX(II_voor_4p!C68:C72, MATCH(MID(II_voor_4p!C79,2,1), II_voor_4p!B68:B72, 0)))</f>
        <v>Rainer VALO</v>
      </c>
      <c r="D72" s="291"/>
      <c r="E72" s="1" t="str">
        <f>IF(ISBLANK(II_voor_4p!C79), "", INDEX(II_voor_4p!N68:N72, MATCH(MID(II_voor_4p!C79,5,1), II_voor_4p!M68:M72, 0)))</f>
        <v>Tomasz LEWANDOWSKI</v>
      </c>
      <c r="F72" s="297"/>
      <c r="G72" s="297"/>
      <c r="H72" s="297"/>
      <c r="I72" s="297"/>
      <c r="J72" s="297"/>
      <c r="K72" s="294"/>
      <c r="L72" s="294"/>
      <c r="M72" s="294"/>
    </row>
    <row r="73" spans="1:18">
      <c r="A73" s="7"/>
      <c r="B73" s="9" t="s">
        <v>9</v>
      </c>
      <c r="C73" s="8" t="str">
        <f>VLOOKUP(B73,II_voor_4p!$B$68:$K$72,2,FALSE)</f>
        <v>Erik NÜÜD</v>
      </c>
      <c r="D73" s="9" t="s">
        <v>12</v>
      </c>
      <c r="E73" s="8" t="str">
        <f>VLOOKUP(D73,II_voor_4p!$M$68:$W$72,2,FALSE)</f>
        <v>Madis MOOS</v>
      </c>
      <c r="F73" s="134" t="str">
        <f>IF(II_voor_4p!E80=0,"",II_voor_4p!E80)</f>
        <v/>
      </c>
      <c r="G73" s="134" t="str">
        <f>IF(II_voor_4p!H80=0,"",II_voor_4p!H80)</f>
        <v/>
      </c>
      <c r="H73" s="134" t="str">
        <f>IF(II_voor_4p!K80=0,"",II_voor_4p!K80)</f>
        <v/>
      </c>
      <c r="I73" s="134" t="str">
        <f>IF(II_voor_4p!N80=0,"",II_voor_4p!N80)</f>
        <v/>
      </c>
      <c r="J73" s="134" t="str">
        <f>IF(II_voor_4p!Q80=0,"",II_voor_4p!Q80)</f>
        <v/>
      </c>
      <c r="K73" s="53" t="str">
        <f>IF(F73="","",CONCATENATE(Abitabel5!G67,":",Abitabel5!N67))</f>
        <v/>
      </c>
      <c r="L73" s="53" t="str">
        <f>IF(K73="","",IF(LEFT(K73,1)&lt;RIGHT(K73,1),0,1))</f>
        <v/>
      </c>
      <c r="M73" s="53" t="str">
        <f>IF(K73="","",IF(LEFT(K73,1)&gt;RIGHT(K73,1),0,1))</f>
        <v/>
      </c>
      <c r="Q73" s="1" t="str">
        <f t="shared" ref="Q73:Q125" si="15">IF(OR(LEFT(K73,1)="3",RIGHT(K73,1)="3"),"","ERROR")</f>
        <v>ERROR</v>
      </c>
    </row>
    <row r="74" spans="1:18">
      <c r="A74" s="7"/>
      <c r="B74" s="9" t="s">
        <v>13</v>
      </c>
      <c r="C74" s="8" t="str">
        <f>VLOOKUP(B74,II_voor_4p!$B$68:$K$72,2,FALSE)</f>
        <v>Rainer VALO</v>
      </c>
      <c r="D74" s="9" t="s">
        <v>10</v>
      </c>
      <c r="E74" s="8" t="str">
        <f>VLOOKUP(D74,II_voor_4p!$M$68:$W$72,2,FALSE)</f>
        <v>Stanislav STROGOV</v>
      </c>
      <c r="F74" s="134" t="str">
        <f>IF(II_voor_4p!E81=0,"",II_voor_4p!E81)</f>
        <v/>
      </c>
      <c r="G74" s="134" t="str">
        <f>IF(II_voor_4p!H81=0,"",II_voor_4p!H81)</f>
        <v/>
      </c>
      <c r="H74" s="134" t="str">
        <f>IF(II_voor_4p!K81=0,"",II_voor_4p!K81)</f>
        <v/>
      </c>
      <c r="I74" s="134" t="str">
        <f>IF(II_voor_4p!N81=0,"",II_voor_4p!N81)</f>
        <v/>
      </c>
      <c r="J74" s="134" t="str">
        <f>IF(II_voor_4p!Q81=0,"",II_voor_4p!Q81)</f>
        <v/>
      </c>
      <c r="K74" s="53" t="str">
        <f>IF(F74="","",CONCATENATE(Abitabel5!G68,":",Abitabel5!N68))</f>
        <v/>
      </c>
      <c r="L74" s="53" t="str">
        <f>IF(K74="","",IF(LEFT(K74,1)&lt;RIGHT(K74,1),0,1))</f>
        <v/>
      </c>
      <c r="M74" s="53" t="str">
        <f>IF(L74="","",IF(LEFT(K74,1)&gt;RIGHT(K74,1),0,1))</f>
        <v/>
      </c>
      <c r="Q74" s="1" t="str">
        <f t="shared" si="15"/>
        <v>ERROR</v>
      </c>
    </row>
    <row r="75" spans="1:18">
      <c r="A75" s="7"/>
      <c r="B75" s="9" t="s">
        <v>11</v>
      </c>
      <c r="C75" s="8" t="str">
        <f>VLOOKUP(B75,II_voor_4p!$B$68:$K$72,2,FALSE)</f>
        <v>Robi TOOMING</v>
      </c>
      <c r="D75" s="9" t="s">
        <v>14</v>
      </c>
      <c r="E75" s="8" t="str">
        <f>VLOOKUP(D75,II_voor_4p!$M$68:$W$72,2,FALSE)</f>
        <v>Tomasz LEWANDOWSKI</v>
      </c>
      <c r="F75" s="134" t="str">
        <f>IF(II_voor_4p!E82=0,"",II_voor_4p!E82)</f>
        <v/>
      </c>
      <c r="G75" s="134" t="str">
        <f>IF(II_voor_4p!H82=0,"",II_voor_4p!H82)</f>
        <v/>
      </c>
      <c r="H75" s="134" t="str">
        <f>IF(II_voor_4p!K82=0,"",II_voor_4p!K82)</f>
        <v/>
      </c>
      <c r="I75" s="134" t="str">
        <f>IF(II_voor_4p!N82=0,"",II_voor_4p!N82)</f>
        <v/>
      </c>
      <c r="J75" s="134" t="str">
        <f>IF(II_voor_4p!Q82=0,"",II_voor_4p!Q82)</f>
        <v/>
      </c>
      <c r="K75" s="53" t="str">
        <f>IF(F75="","",CONCATENATE(Abitabel5!G69,":",Abitabel5!N69))</f>
        <v/>
      </c>
      <c r="L75" s="53" t="str">
        <f>IF(K75="","",IF(LEFT(K75,1)&lt;RIGHT(K75,1),0,1))</f>
        <v/>
      </c>
      <c r="M75" s="53" t="str">
        <f>IF(L75="","",IF(LEFT(K75,1)&gt;RIGHT(K75,1),0,1))</f>
        <v/>
      </c>
      <c r="Q75" s="1" t="str">
        <f t="shared" si="15"/>
        <v>ERROR</v>
      </c>
    </row>
    <row r="76" spans="1:18">
      <c r="A76" s="7"/>
      <c r="B76" s="10"/>
      <c r="C76" s="33" t="str">
        <f>VLOOKUP(C67,Koosseisud!A:B,2,FALSE )</f>
        <v>Meeskond5</v>
      </c>
      <c r="D76" s="10"/>
      <c r="E76" s="33" t="str">
        <f>VLOOKUP(E67,Koosseisud!A:B,2,FALSE)</f>
        <v>Meeskond3</v>
      </c>
      <c r="F76" s="10"/>
      <c r="G76" s="10"/>
      <c r="H76" s="10"/>
      <c r="I76" s="10"/>
      <c r="J76" s="11"/>
      <c r="K76" s="12"/>
      <c r="L76" s="13"/>
      <c r="M76" s="13"/>
    </row>
    <row r="77" spans="1:18" ht="15">
      <c r="A77" s="2" t="s">
        <v>75</v>
      </c>
      <c r="B77" s="3">
        <f>IF(K78="","",SUM(L78:L85))</f>
        <v>4</v>
      </c>
      <c r="C77" s="83" t="str">
        <f>II_voor_4p!G97</f>
        <v>LTK Kalev/Radiaatorikeskus</v>
      </c>
      <c r="D77" s="3">
        <f>IF(K78="","",SUM(M78:M85))</f>
        <v>2</v>
      </c>
      <c r="E77" s="83" t="str">
        <f>II_voor_4p!R97</f>
        <v>SPINMASTER</v>
      </c>
      <c r="F77" s="137" t="s">
        <v>2</v>
      </c>
      <c r="G77" s="137" t="s">
        <v>3</v>
      </c>
      <c r="H77" s="137" t="s">
        <v>4</v>
      </c>
      <c r="I77" s="137" t="s">
        <v>5</v>
      </c>
      <c r="J77" s="137" t="s">
        <v>6</v>
      </c>
      <c r="K77" s="6" t="s">
        <v>7</v>
      </c>
      <c r="L77" s="287" t="s">
        <v>8</v>
      </c>
      <c r="M77" s="287"/>
      <c r="R77" s="1" t="str">
        <f>IF(OR(B77=4,D77=4),"","ERROR")</f>
        <v/>
      </c>
    </row>
    <row r="78" spans="1:18">
      <c r="A78" s="7" t="s">
        <v>468</v>
      </c>
      <c r="B78" s="9" t="s">
        <v>9</v>
      </c>
      <c r="C78" s="8" t="str">
        <f>VLOOKUP(B78,II_voor_4p!$B$98:$K$102,2,FALSE)</f>
        <v xml:space="preserve">Martin KRAIKO </v>
      </c>
      <c r="D78" s="9" t="s">
        <v>10</v>
      </c>
      <c r="E78" s="8" t="str">
        <f>VLOOKUP(D78,II_voor_4p!$M$98:$W$102,2,FALSE)</f>
        <v>Filat ANDREEV</v>
      </c>
      <c r="F78" s="135" t="str">
        <f>IF(II_voor_4p!E106=0,"",II_voor_4p!E106)</f>
        <v>8:11</v>
      </c>
      <c r="G78" s="135" t="str">
        <f>IF(II_voor_4p!H106=0,"",II_voor_4p!H106)</f>
        <v>11:4</v>
      </c>
      <c r="H78" s="135" t="str">
        <f>IF(II_voor_4p!K106=0,"",II_voor_4p!K106)</f>
        <v>11:13</v>
      </c>
      <c r="I78" s="135" t="str">
        <f>IF(II_voor_4p!N106=0,"",II_voor_4p!N106)</f>
        <v>11:7</v>
      </c>
      <c r="J78" s="135" t="str">
        <f>IF(II_voor_4p!Q106=0,"",II_voor_4p!Q106)</f>
        <v>11:8</v>
      </c>
      <c r="K78" s="53" t="str">
        <f>IF(F78="","",CONCATENATE(Abitabel5!G72,":",Abitabel5!N72))</f>
        <v>3:2</v>
      </c>
      <c r="L78" s="35">
        <f>IF(K78="","",IF(LEFT(K78,1)&lt;RIGHT(K78,1),0,1))</f>
        <v>1</v>
      </c>
      <c r="M78" s="35">
        <f>IF(K78="","",IF(LEFT(K78,1)&gt;RIGHT(K78,1),0,1))</f>
        <v>0</v>
      </c>
      <c r="Q78" s="1" t="str">
        <f t="shared" si="15"/>
        <v/>
      </c>
    </row>
    <row r="79" spans="1:18">
      <c r="A79" s="7" t="s">
        <v>59</v>
      </c>
      <c r="B79" s="9" t="s">
        <v>11</v>
      </c>
      <c r="C79" s="8" t="str">
        <f>VLOOKUP(B79,II_voor_4p!$B$98:$K$102,2,FALSE)</f>
        <v>Kristjan KANT</v>
      </c>
      <c r="D79" s="9" t="s">
        <v>12</v>
      </c>
      <c r="E79" s="8" t="str">
        <f>VLOOKUP(D79,II_voor_4p!$M$98:$W$102,2,FALSE)</f>
        <v>Jan Kenneth TOMING</v>
      </c>
      <c r="F79" s="135" t="str">
        <f>IF(II_voor_4p!E107=0,"",II_voor_4p!E107)</f>
        <v>9:11</v>
      </c>
      <c r="G79" s="135" t="str">
        <f>IF(II_voor_4p!H107=0,"",II_voor_4p!H107)</f>
        <v>4:11</v>
      </c>
      <c r="H79" s="135" t="str">
        <f>IF(II_voor_4p!K107=0,"",II_voor_4p!K107)</f>
        <v>11:9</v>
      </c>
      <c r="I79" s="135" t="str">
        <f>IF(II_voor_4p!N107=0,"",II_voor_4p!N107)</f>
        <v>4:11</v>
      </c>
      <c r="J79" s="135" t="str">
        <f>IF(II_voor_4p!Q107=0,"",II_voor_4p!Q107)</f>
        <v/>
      </c>
      <c r="K79" s="53" t="str">
        <f>IF(F79="","",CONCATENATE(Abitabel5!G73,":",Abitabel5!N73))</f>
        <v>1:3</v>
      </c>
      <c r="L79" s="35">
        <f t="shared" ref="L79:L80" si="16">IF(K79="","",IF(LEFT(K79,1)&lt;RIGHT(K79,1),0,1))</f>
        <v>0</v>
      </c>
      <c r="M79" s="35">
        <f t="shared" ref="M79:M80" si="17">IF(K79="","",IF(LEFT(K79,1)&gt;RIGHT(K79,1),0,1))</f>
        <v>1</v>
      </c>
      <c r="Q79" s="1" t="str">
        <f t="shared" si="15"/>
        <v/>
      </c>
    </row>
    <row r="80" spans="1:18">
      <c r="A80" s="7"/>
      <c r="B80" s="9" t="s">
        <v>13</v>
      </c>
      <c r="C80" s="8" t="str">
        <f>VLOOKUP(B80,II_voor_4p!$B$98:$K$102,2,FALSE)</f>
        <v>Frank Tomas TÜRI</v>
      </c>
      <c r="D80" s="9" t="s">
        <v>14</v>
      </c>
      <c r="E80" s="8" t="str">
        <f>VLOOKUP(D80,II_voor_4p!$M$98:$W$102,2,FALSE)</f>
        <v>Kevin KUKK</v>
      </c>
      <c r="F80" s="135" t="str">
        <f>IF(II_voor_4p!E108=0,"",II_voor_4p!E108)</f>
        <v>11:9</v>
      </c>
      <c r="G80" s="135" t="str">
        <f>IF(II_voor_4p!H108=0,"",II_voor_4p!H108)</f>
        <v>11:9</v>
      </c>
      <c r="H80" s="135" t="str">
        <f>IF(II_voor_4p!K108=0,"",II_voor_4p!K108)</f>
        <v>11:8</v>
      </c>
      <c r="I80" s="135" t="str">
        <f>IF(II_voor_4p!N108=0,"",II_voor_4p!N108)</f>
        <v/>
      </c>
      <c r="J80" s="135" t="str">
        <f>IF(II_voor_4p!Q108=0,"",II_voor_4p!Q108)</f>
        <v/>
      </c>
      <c r="K80" s="53" t="str">
        <f>IF(F80="","",CONCATENATE(Abitabel5!G74,":",Abitabel5!N74))</f>
        <v>3:0</v>
      </c>
      <c r="L80" s="35">
        <f t="shared" si="16"/>
        <v>1</v>
      </c>
      <c r="M80" s="35">
        <f t="shared" si="17"/>
        <v>0</v>
      </c>
      <c r="Q80" s="1" t="str">
        <f t="shared" si="15"/>
        <v/>
      </c>
    </row>
    <row r="81" spans="1:18">
      <c r="A81" s="7"/>
      <c r="B81" s="290" t="s">
        <v>15</v>
      </c>
      <c r="C81" s="1" t="str">
        <f>IF(ISBLANK(II_voor_4p!C109), "", INDEX(II_voor_4p!C98:C102, MATCH(MID(II_voor_4p!C109,1,1), II_voor_4p!B98:B102, 0)))</f>
        <v xml:space="preserve">Martin KRAIKO </v>
      </c>
      <c r="D81" s="290" t="s">
        <v>15</v>
      </c>
      <c r="E81" s="1" t="str">
        <f>IF(ISBLANK(II_voor_4p!C109), "", INDEX(II_voor_4p!N98:N102, MATCH(MID(II_voor_4p!C109,4,1), II_voor_4p!M98:M102, 0)))</f>
        <v>Jan Kenneth TOMING</v>
      </c>
      <c r="F81" s="299" t="str">
        <f>IF(II_voor_4p!E109=0,"",II_voor_4p!E109)</f>
        <v>6:11</v>
      </c>
      <c r="G81" s="299" t="str">
        <f>IF(II_voor_4p!H109=0,"",II_voor_4p!H109)</f>
        <v>10:12</v>
      </c>
      <c r="H81" s="299" t="str">
        <f>IF(II_voor_4p!K109=0,"",II_voor_4p!K109)</f>
        <v>11:7</v>
      </c>
      <c r="I81" s="299" t="str">
        <f>IF(II_voor_4p!N109=0,"",II_voor_4p!N109)</f>
        <v>11:6</v>
      </c>
      <c r="J81" s="299" t="str">
        <f>IF(II_voor_4p!Q109=0,"",II_voor_4p!Q109)</f>
        <v>6:11</v>
      </c>
      <c r="K81" s="294" t="str">
        <f>IF(F81="","",CONCATENATE(Abitabel5!G75,":",Abitabel5!N75))</f>
        <v>2:3</v>
      </c>
      <c r="L81" s="295">
        <f>IF(K81="","",IF(LEFT(K81,1)&lt;RIGHT(K81,1),0,1))</f>
        <v>0</v>
      </c>
      <c r="M81" s="295">
        <f>IF(K81="","",IF(LEFT(K81,1)&gt;RIGHT(K81,1),0,1))</f>
        <v>1</v>
      </c>
      <c r="Q81" s="1" t="str">
        <f t="shared" si="15"/>
        <v/>
      </c>
    </row>
    <row r="82" spans="1:18">
      <c r="A82" s="7"/>
      <c r="B82" s="291"/>
      <c r="C82" s="1" t="str">
        <f>IF(ISBLANK(II_voor_4p!C109), "", INDEX(II_voor_4p!C98:C102, MATCH(MID(II_voor_4p!C109,2,1), II_voor_4p!B98:B102, 0)))</f>
        <v>Frank Tomas TÜRI</v>
      </c>
      <c r="D82" s="291"/>
      <c r="E82" s="1" t="str">
        <f>IF(ISBLANK(II_voor_4p!C109), "", INDEX(II_voor_4p!N98:N102, MATCH(MID(II_voor_4p!C109,5,1), II_voor_4p!M98:M102, 0)))</f>
        <v>Filat ANDREEV</v>
      </c>
      <c r="F82" s="299"/>
      <c r="G82" s="299"/>
      <c r="H82" s="299"/>
      <c r="I82" s="299"/>
      <c r="J82" s="299"/>
      <c r="K82" s="294"/>
      <c r="L82" s="295"/>
      <c r="M82" s="295"/>
    </row>
    <row r="83" spans="1:18">
      <c r="A83" s="7"/>
      <c r="B83" s="9" t="s">
        <v>9</v>
      </c>
      <c r="C83" s="8" t="str">
        <f>VLOOKUP(B83,II_voor_4p!$B$98:$K$102,2,FALSE)</f>
        <v xml:space="preserve">Martin KRAIKO </v>
      </c>
      <c r="D83" s="9" t="s">
        <v>12</v>
      </c>
      <c r="E83" s="8" t="str">
        <f>VLOOKUP(D83,II_voor_4p!$M$98:$W$102,2,FALSE)</f>
        <v>Jan Kenneth TOMING</v>
      </c>
      <c r="F83" s="135" t="str">
        <f>IF(II_voor_4p!E110=0,"",II_voor_4p!E110)</f>
        <v>11:7</v>
      </c>
      <c r="G83" s="135" t="str">
        <f>IF(II_voor_4p!H110=0,"",II_voor_4p!H110)</f>
        <v>11:8</v>
      </c>
      <c r="H83" s="135" t="str">
        <f>IF(II_voor_4p!K110=0,"",II_voor_4p!K110)</f>
        <v>8:11</v>
      </c>
      <c r="I83" s="135" t="str">
        <f>IF(II_voor_4p!N110=0,"",II_voor_4p!N110)</f>
        <v>11:9</v>
      </c>
      <c r="J83" s="135" t="str">
        <f>IF(II_voor_4p!Q110=0,"",II_voor_4p!Q110)</f>
        <v/>
      </c>
      <c r="K83" s="53" t="str">
        <f>IF(F83="","",CONCATENATE(Abitabel5!G77,":",Abitabel5!N77))</f>
        <v>3:1</v>
      </c>
      <c r="L83" s="35">
        <f>IF(K83="","",IF(LEFT(K83,1)&lt;RIGHT(K83,1),0,1))</f>
        <v>1</v>
      </c>
      <c r="M83" s="35">
        <f>IF(K83="","",IF(LEFT(K83,1)&gt;RIGHT(K83,1),0,1))</f>
        <v>0</v>
      </c>
      <c r="Q83" s="1" t="str">
        <f t="shared" si="15"/>
        <v/>
      </c>
    </row>
    <row r="84" spans="1:18">
      <c r="A84" s="7"/>
      <c r="B84" s="9" t="s">
        <v>13</v>
      </c>
      <c r="C84" s="8" t="str">
        <f>VLOOKUP(B84,II_voor_4p!$B$98:$K$102,2,FALSE)</f>
        <v>Frank Tomas TÜRI</v>
      </c>
      <c r="D84" s="9" t="s">
        <v>10</v>
      </c>
      <c r="E84" s="8" t="str">
        <f>VLOOKUP(D84,II_voor_4p!$M$98:$W$102,2,FALSE)</f>
        <v>Filat ANDREEV</v>
      </c>
      <c r="F84" s="135" t="str">
        <f>IF(II_voor_4p!E111=0,"",II_voor_4p!E111)</f>
        <v>11:8</v>
      </c>
      <c r="G84" s="135" t="str">
        <f>IF(II_voor_4p!H111=0,"",II_voor_4p!H111)</f>
        <v>3:11</v>
      </c>
      <c r="H84" s="135" t="str">
        <f>IF(II_voor_4p!K111=0,"",II_voor_4p!K111)</f>
        <v>11:7</v>
      </c>
      <c r="I84" s="135" t="str">
        <f>IF(II_voor_4p!N111=0,"",II_voor_4p!N111)</f>
        <v>11:9</v>
      </c>
      <c r="J84" s="135" t="str">
        <f>IF(II_voor_4p!Q111=0,"",II_voor_4p!Q111)</f>
        <v/>
      </c>
      <c r="K84" s="53" t="str">
        <f>IF(F84="","",CONCATENATE(Abitabel5!G78,":",Abitabel5!N78))</f>
        <v>3:1</v>
      </c>
      <c r="L84" s="35">
        <f>IF(K84="","",IF(LEFT(K84,1)&lt;RIGHT(K84,1),0,1))</f>
        <v>1</v>
      </c>
      <c r="M84" s="35">
        <f>IF(L84="","",IF(LEFT(K84,1)&gt;RIGHT(K84,1),0,1))</f>
        <v>0</v>
      </c>
      <c r="Q84" s="1" t="str">
        <f t="shared" si="15"/>
        <v/>
      </c>
    </row>
    <row r="85" spans="1:18">
      <c r="A85" s="7"/>
      <c r="B85" s="9" t="s">
        <v>11</v>
      </c>
      <c r="C85" s="8" t="str">
        <f>VLOOKUP(B85,II_voor_4p!$B$98:$K$102,2,FALSE)</f>
        <v>Kristjan KANT</v>
      </c>
      <c r="D85" s="9" t="s">
        <v>14</v>
      </c>
      <c r="E85" s="8" t="str">
        <f>VLOOKUP(D85,II_voor_4p!$M$98:$W$102,2,FALSE)</f>
        <v>Kevin KUKK</v>
      </c>
      <c r="F85" s="135" t="str">
        <f>IF(II_voor_4p!E112=0,"",II_voor_4p!E112)</f>
        <v/>
      </c>
      <c r="G85" s="135" t="str">
        <f>IF(II_voor_4p!H112=0,"",II_voor_4p!H112)</f>
        <v/>
      </c>
      <c r="H85" s="135" t="str">
        <f>IF(II_voor_4p!K112=0,"",II_voor_4p!K112)</f>
        <v/>
      </c>
      <c r="I85" s="135" t="str">
        <f>IF(II_voor_4p!N112=0,"",II_voor_4p!N112)</f>
        <v/>
      </c>
      <c r="J85" s="135" t="str">
        <f>IF(II_voor_4p!Q112=0,"",II_voor_4p!Q112)</f>
        <v/>
      </c>
      <c r="K85" s="53" t="str">
        <f>IF(F85="","",CONCATENATE(Abitabel5!G79,":",Abitabel5!N79))</f>
        <v/>
      </c>
      <c r="L85" s="35" t="str">
        <f>IF(K85="","",IF(LEFT(K85,1)&lt;RIGHT(K85,1),0,1))</f>
        <v/>
      </c>
      <c r="M85" s="35" t="str">
        <f>IF(L85="","",IF(LEFT(K85,1)&gt;RIGHT(K85,1),0,1))</f>
        <v/>
      </c>
      <c r="Q85" s="1" t="str">
        <f t="shared" si="15"/>
        <v>ERROR</v>
      </c>
    </row>
    <row r="86" spans="1:18">
      <c r="A86" s="7"/>
      <c r="B86" s="10"/>
      <c r="C86" s="33" t="str">
        <f>VLOOKUP(C77,Koosseisud!A:B,2,FALSE )</f>
        <v>Meeskond8</v>
      </c>
      <c r="D86" s="10"/>
      <c r="E86" s="33" t="str">
        <f>VLOOKUP(E77,Koosseisud!A:B,2,FALSE)</f>
        <v>Meeskond6</v>
      </c>
      <c r="F86" s="10"/>
      <c r="G86" s="10"/>
      <c r="H86" s="10"/>
      <c r="I86" s="10"/>
      <c r="J86" s="11"/>
      <c r="K86" s="12"/>
      <c r="L86" s="13"/>
      <c r="M86" s="13"/>
    </row>
    <row r="87" spans="1:18" ht="15">
      <c r="A87" s="2" t="s">
        <v>76</v>
      </c>
      <c r="B87" s="3">
        <f>IF(K88="","",SUM(L88:L95))</f>
        <v>4</v>
      </c>
      <c r="C87" s="4" t="str">
        <f>III_voor_4p!G7</f>
        <v>Viimsi LTK/EM-SERV</v>
      </c>
      <c r="D87" s="3">
        <f>IF(K88="","",SUM(M88:M95))</f>
        <v>1</v>
      </c>
      <c r="E87" s="4" t="str">
        <f>III_voor_4p!R7</f>
        <v>Viimsi PINX</v>
      </c>
      <c r="F87" s="137" t="s">
        <v>2</v>
      </c>
      <c r="G87" s="137" t="s">
        <v>3</v>
      </c>
      <c r="H87" s="137" t="s">
        <v>4</v>
      </c>
      <c r="I87" s="137" t="s">
        <v>5</v>
      </c>
      <c r="J87" s="137" t="s">
        <v>6</v>
      </c>
      <c r="K87" s="6" t="s">
        <v>7</v>
      </c>
      <c r="L87" s="287" t="s">
        <v>8</v>
      </c>
      <c r="M87" s="287"/>
      <c r="R87" s="1" t="str">
        <f>IF(OR(B87=4,D87=4),"","ERROR")</f>
        <v/>
      </c>
    </row>
    <row r="88" spans="1:18">
      <c r="A88" s="7" t="s">
        <v>469</v>
      </c>
      <c r="B88" s="9" t="s">
        <v>9</v>
      </c>
      <c r="C88" s="8" t="str">
        <f>VLOOKUP(B88,III_voor_4p!$B$8:$K$12,2,FALSE)</f>
        <v>Ilmar VUHKA</v>
      </c>
      <c r="D88" s="9" t="s">
        <v>10</v>
      </c>
      <c r="E88" s="8" t="str">
        <f>VLOOKUP(D88,III_voor_4p!$M$8:$W$12,2,FALSE)</f>
        <v>Sergei PETROV</v>
      </c>
      <c r="F88" s="135" t="str">
        <f>IF(III_voor_4p!E16=0,"",III_voor_4p!E16)</f>
        <v>8:11</v>
      </c>
      <c r="G88" s="135" t="str">
        <f>IF(III_voor_4p!H16=0,"",III_voor_4p!H16)</f>
        <v>11:8</v>
      </c>
      <c r="H88" s="135" t="str">
        <f>IF(III_voor_4p!K16=0,"",III_voor_4p!K16)</f>
        <v>13:11</v>
      </c>
      <c r="I88" s="135" t="str">
        <f>IF(III_voor_4p!N16=0,"",III_voor_4p!N16)</f>
        <v>13:15</v>
      </c>
      <c r="J88" s="135" t="str">
        <f>IF(III_voor_4p!Q16=0,"",III_voor_4p!Q16)</f>
        <v>11:13</v>
      </c>
      <c r="K88" s="53" t="str">
        <f>IF(F88="","",CONCATENATE(Abitabel5!G82,":",Abitabel5!N82))</f>
        <v>2:3</v>
      </c>
      <c r="L88" s="35">
        <f>IF(K88="","",IF(LEFT(K88,1)&lt;RIGHT(K88,1),0,1))</f>
        <v>0</v>
      </c>
      <c r="M88" s="35">
        <f>IF(K88="","",IF(LEFT(K88,1)&gt;RIGHT(K88,1),0,1))</f>
        <v>1</v>
      </c>
      <c r="Q88" s="1" t="str">
        <f t="shared" si="15"/>
        <v/>
      </c>
    </row>
    <row r="89" spans="1:18">
      <c r="A89" s="7" t="s">
        <v>59</v>
      </c>
      <c r="B89" s="9" t="s">
        <v>11</v>
      </c>
      <c r="C89" s="8" t="str">
        <f>VLOOKUP(B89,III_voor_4p!$B$8:$K$12,2,FALSE)</f>
        <v>Pert Marten LEHTLAAN</v>
      </c>
      <c r="D89" s="9" t="s">
        <v>12</v>
      </c>
      <c r="E89" s="8" t="str">
        <f>VLOOKUP(D89,III_voor_4p!$M$8:$W$12,2,FALSE)</f>
        <v>Aleksandr VUHKA</v>
      </c>
      <c r="F89" s="135" t="str">
        <f>IF(III_voor_4p!E17=0,"",III_voor_4p!E17)</f>
        <v>11:4</v>
      </c>
      <c r="G89" s="135" t="str">
        <f>IF(III_voor_4p!H17=0,"",III_voor_4p!H17)</f>
        <v>11:3</v>
      </c>
      <c r="H89" s="135" t="str">
        <f>IF(III_voor_4p!K17=0,"",III_voor_4p!K17)</f>
        <v>11:5</v>
      </c>
      <c r="I89" s="135" t="str">
        <f>IF(III_voor_4p!N17=0,"",III_voor_4p!N17)</f>
        <v/>
      </c>
      <c r="J89" s="135" t="str">
        <f>IF(III_voor_4p!Q17=0,"",III_voor_4p!Q17)</f>
        <v/>
      </c>
      <c r="K89" s="53" t="str">
        <f>IF(F89="","",CONCATENATE(Abitabel5!G83,":",Abitabel5!N83))</f>
        <v>3:0</v>
      </c>
      <c r="L89" s="35">
        <f t="shared" ref="L89:L90" si="18">IF(K89="","",IF(LEFT(K89,1)&lt;RIGHT(K89,1),0,1))</f>
        <v>1</v>
      </c>
      <c r="M89" s="35">
        <f t="shared" ref="M89:M90" si="19">IF(K89="","",IF(LEFT(K89,1)&gt;RIGHT(K89,1),0,1))</f>
        <v>0</v>
      </c>
      <c r="Q89" s="1" t="str">
        <f t="shared" si="15"/>
        <v/>
      </c>
    </row>
    <row r="90" spans="1:18">
      <c r="A90" s="7"/>
      <c r="B90" s="9" t="s">
        <v>13</v>
      </c>
      <c r="C90" s="8" t="str">
        <f>VLOOKUP(B90,III_voor_4p!$B$8:$K$12,2,FALSE)</f>
        <v>Daniels KOGANS</v>
      </c>
      <c r="D90" s="9" t="s">
        <v>14</v>
      </c>
      <c r="E90" s="8" t="str">
        <f>VLOOKUP(D90,III_voor_4p!$M$8:$W$12,2,FALSE)</f>
        <v>Maksim VUHKA</v>
      </c>
      <c r="F90" s="135" t="str">
        <f>IF(III_voor_4p!E18=0,"",III_voor_4p!E18)</f>
        <v>11:6</v>
      </c>
      <c r="G90" s="135" t="str">
        <f>IF(III_voor_4p!H18=0,"",III_voor_4p!H18)</f>
        <v>13:11</v>
      </c>
      <c r="H90" s="135" t="str">
        <f>IF(III_voor_4p!K18=0,"",III_voor_4p!K18)</f>
        <v>12:10</v>
      </c>
      <c r="I90" s="135" t="str">
        <f>IF(III_voor_4p!N18=0,"",III_voor_4p!N18)</f>
        <v/>
      </c>
      <c r="J90" s="135" t="str">
        <f>IF(III_voor_4p!Q18=0,"",III_voor_4p!Q18)</f>
        <v/>
      </c>
      <c r="K90" s="53" t="str">
        <f>IF(F90="","",CONCATENATE(Abitabel5!G84,":",Abitabel5!N84))</f>
        <v>3:0</v>
      </c>
      <c r="L90" s="35">
        <f t="shared" si="18"/>
        <v>1</v>
      </c>
      <c r="M90" s="35">
        <f t="shared" si="19"/>
        <v>0</v>
      </c>
      <c r="Q90" s="1" t="str">
        <f t="shared" si="15"/>
        <v/>
      </c>
    </row>
    <row r="91" spans="1:18">
      <c r="A91" s="7"/>
      <c r="B91" s="290" t="s">
        <v>15</v>
      </c>
      <c r="C91" s="1" t="str">
        <f>IF(ISBLANK(III_voor_4p!C19), "", INDEX(III_voor_4p!C8:C12, MATCH(MID(III_voor_4p!C19,1,1), III_voor_4p!B8:B12, 0)))</f>
        <v>Ilmar VUHKA</v>
      </c>
      <c r="D91" s="290" t="s">
        <v>15</v>
      </c>
      <c r="E91" s="1" t="str">
        <f>IF(ISBLANK(III_voor_4p!C19), "", INDEX(III_voor_4p!N8:N12, MATCH(MID(III_voor_4p!C19,4,1), III_voor_4p!M8:M12, 0)))</f>
        <v>Aleksandr VUHKA</v>
      </c>
      <c r="F91" s="299" t="str">
        <f>IF(III_voor_4p!E19=0,"",III_voor_4p!E19)</f>
        <v>11:3</v>
      </c>
      <c r="G91" s="299" t="str">
        <f>IF(III_voor_4p!H19=0,"",III_voor_4p!H19)</f>
        <v>11:5</v>
      </c>
      <c r="H91" s="299" t="str">
        <f>IF(III_voor_4p!K19=0,"",III_voor_4p!K19)</f>
        <v>7:11</v>
      </c>
      <c r="I91" s="299" t="str">
        <f>IF(III_voor_4p!N19=0,"",III_voor_4p!N19)</f>
        <v>5:11</v>
      </c>
      <c r="J91" s="299" t="str">
        <f>IF(III_voor_4p!Q19=0,"",III_voor_4p!Q19)</f>
        <v>12:10</v>
      </c>
      <c r="K91" s="294" t="str">
        <f>IF(F91="","",CONCATENATE(Abitabel5!G85,":",Abitabel5!N85))</f>
        <v>3:2</v>
      </c>
      <c r="L91" s="295">
        <f>IF(K91="","",IF(LEFT(K91,1)&lt;RIGHT(K91,1),0,1))</f>
        <v>1</v>
      </c>
      <c r="M91" s="295">
        <f>IF(K91="","",IF(LEFT(K91,1)&gt;RIGHT(K91,1),0,1))</f>
        <v>0</v>
      </c>
      <c r="Q91" s="1" t="str">
        <f t="shared" si="15"/>
        <v/>
      </c>
    </row>
    <row r="92" spans="1:18">
      <c r="A92" s="7"/>
      <c r="B92" s="291"/>
      <c r="C92" s="1" t="str">
        <f>IF(ISBLANK(III_voor_4p!C19), "", INDEX(III_voor_4p!C8:C12, MATCH(MID(III_voor_4p!C19,2,1), III_voor_4p!B8:B12, 0)))</f>
        <v>Aleksei NIKONOROV</v>
      </c>
      <c r="D92" s="291"/>
      <c r="E92" s="1" t="str">
        <f>IF(ISBLANK(III_voor_4p!C19), "", INDEX(III_voor_4p!N8:N12, MATCH(MID(III_voor_4p!C19,5,1), III_voor_4p!M8:M12, 0)))</f>
        <v>Sergei PETROV</v>
      </c>
      <c r="F92" s="299"/>
      <c r="G92" s="299"/>
      <c r="H92" s="299"/>
      <c r="I92" s="299"/>
      <c r="J92" s="299"/>
      <c r="K92" s="294"/>
      <c r="L92" s="295"/>
      <c r="M92" s="295"/>
    </row>
    <row r="93" spans="1:18">
      <c r="A93" s="7"/>
      <c r="B93" s="9" t="s">
        <v>9</v>
      </c>
      <c r="C93" s="8" t="str">
        <f>VLOOKUP(B93,III_voor_4p!$B$8:$K$12,2,FALSE)</f>
        <v>Ilmar VUHKA</v>
      </c>
      <c r="D93" s="9" t="s">
        <v>12</v>
      </c>
      <c r="E93" s="8" t="str">
        <f>VLOOKUP(D93,III_voor_4p!$M$8:$W$12,2,FALSE)</f>
        <v>Aleksandr VUHKA</v>
      </c>
      <c r="F93" s="135" t="str">
        <f>IF(III_voor_4p!E20=0,"",III_voor_4p!E20)</f>
        <v>11:6</v>
      </c>
      <c r="G93" s="135" t="str">
        <f>IF(III_voor_4p!H20=0,"",III_voor_4p!H20)</f>
        <v>11:7</v>
      </c>
      <c r="H93" s="135" t="str">
        <f>IF(III_voor_4p!K20=0,"",III_voor_4p!K20)</f>
        <v>11:3</v>
      </c>
      <c r="I93" s="135" t="str">
        <f>IF(III_voor_4p!N20=0,"",III_voor_4p!N20)</f>
        <v/>
      </c>
      <c r="J93" s="135" t="str">
        <f>IF(III_voor_4p!Q20=0,"",III_voor_4p!Q20)</f>
        <v/>
      </c>
      <c r="K93" s="53" t="str">
        <f>IF(F93="","",CONCATENATE(Abitabel5!G87,":",Abitabel5!N87))</f>
        <v>3:0</v>
      </c>
      <c r="L93" s="35">
        <f>IF(K93="","",IF(LEFT(K93,1)&lt;RIGHT(K93,1),0,1))</f>
        <v>1</v>
      </c>
      <c r="M93" s="35">
        <f>IF(K93="","",IF(LEFT(K93,1)&gt;RIGHT(K93,1),0,1))</f>
        <v>0</v>
      </c>
      <c r="Q93" s="1" t="str">
        <f t="shared" si="15"/>
        <v/>
      </c>
    </row>
    <row r="94" spans="1:18">
      <c r="A94" s="7"/>
      <c r="B94" s="9" t="s">
        <v>13</v>
      </c>
      <c r="C94" s="8" t="str">
        <f>VLOOKUP(B94,III_voor_4p!$B$8:$K$12,2,FALSE)</f>
        <v>Daniels KOGANS</v>
      </c>
      <c r="D94" s="9" t="s">
        <v>10</v>
      </c>
      <c r="E94" s="8" t="str">
        <f>VLOOKUP(D94,III_voor_4p!$M$8:$W$12,2,FALSE)</f>
        <v>Sergei PETROV</v>
      </c>
      <c r="F94" s="135" t="str">
        <f>IF(III_voor_4p!E21=0,"",III_voor_4p!E21)</f>
        <v/>
      </c>
      <c r="G94" s="135" t="str">
        <f>IF(III_voor_4p!H21=0,"",III_voor_4p!H21)</f>
        <v/>
      </c>
      <c r="H94" s="135" t="str">
        <f>IF(III_voor_4p!K21=0,"",III_voor_4p!K21)</f>
        <v/>
      </c>
      <c r="I94" s="135" t="str">
        <f>IF(III_voor_4p!N21=0,"",III_voor_4p!N21)</f>
        <v/>
      </c>
      <c r="J94" s="135" t="str">
        <f>IF(III_voor_4p!Q21=0,"",III_voor_4p!Q21)</f>
        <v/>
      </c>
      <c r="K94" s="53" t="str">
        <f>IF(F94="","",CONCATENATE(Abitabel5!G88,":",Abitabel5!N88))</f>
        <v/>
      </c>
      <c r="L94" s="35" t="str">
        <f>IF(K94="","",IF(LEFT(K94,1)&lt;RIGHT(K94,1),0,1))</f>
        <v/>
      </c>
      <c r="M94" s="35" t="str">
        <f>IF(L94="","",IF(LEFT(K94,1)&gt;RIGHT(K94,1),0,1))</f>
        <v/>
      </c>
      <c r="Q94" s="1" t="str">
        <f t="shared" si="15"/>
        <v>ERROR</v>
      </c>
    </row>
    <row r="95" spans="1:18">
      <c r="A95" s="7"/>
      <c r="B95" s="9" t="s">
        <v>11</v>
      </c>
      <c r="C95" s="8" t="str">
        <f>VLOOKUP(B95,III_voor_4p!$B$8:$K$12,2,FALSE)</f>
        <v>Pert Marten LEHTLAAN</v>
      </c>
      <c r="D95" s="9" t="s">
        <v>14</v>
      </c>
      <c r="E95" s="8" t="str">
        <f>VLOOKUP(D95,III_voor_4p!$M$8:$W$12,2,FALSE)</f>
        <v>Maksim VUHKA</v>
      </c>
      <c r="F95" s="135" t="str">
        <f>IF(III_voor_4p!E22=0,"",III_voor_4p!E22)</f>
        <v/>
      </c>
      <c r="G95" s="135" t="str">
        <f>IF(III_voor_4p!H22=0,"",III_voor_4p!H22)</f>
        <v/>
      </c>
      <c r="H95" s="135" t="str">
        <f>IF(III_voor_4p!K22=0,"",III_voor_4p!K22)</f>
        <v/>
      </c>
      <c r="I95" s="135" t="str">
        <f>IF(III_voor_4p!N22=0,"",III_voor_4p!N22)</f>
        <v/>
      </c>
      <c r="J95" s="135" t="str">
        <f>IF(III_voor_4p!Q22=0,"",III_voor_4p!Q22)</f>
        <v/>
      </c>
      <c r="K95" s="53" t="str">
        <f>IF(F95="","",CONCATENATE(Abitabel5!G89,":",Abitabel5!N89))</f>
        <v/>
      </c>
      <c r="L95" s="35" t="str">
        <f>IF(K95="","",IF(LEFT(K95,1)&lt;RIGHT(K95,1),0,1))</f>
        <v/>
      </c>
      <c r="M95" s="35" t="str">
        <f>IF(L95="","",IF(LEFT(K95,1)&gt;RIGHT(K95,1),0,1))</f>
        <v/>
      </c>
      <c r="Q95" s="1" t="str">
        <f t="shared" si="15"/>
        <v>ERROR</v>
      </c>
    </row>
    <row r="96" spans="1:18">
      <c r="A96" s="7"/>
      <c r="B96" s="10"/>
      <c r="C96" s="33" t="str">
        <f>VLOOKUP(C87,Koosseisud!A:B,2,FALSE )</f>
        <v>Meeskond7</v>
      </c>
      <c r="D96" s="10"/>
      <c r="E96" s="33" t="str">
        <f>VLOOKUP(E87,Koosseisud!A:B,2,FALSE)</f>
        <v>Meeskond2</v>
      </c>
      <c r="F96" s="10"/>
      <c r="G96" s="10"/>
      <c r="H96" s="10"/>
      <c r="I96" s="10"/>
      <c r="J96" s="11"/>
      <c r="K96" s="12"/>
      <c r="L96" s="13"/>
      <c r="M96" s="13"/>
    </row>
    <row r="97" spans="1:18" ht="15">
      <c r="A97" s="2" t="s">
        <v>77</v>
      </c>
      <c r="B97" s="3">
        <f>IF(K98="","",SUM(L98:L105))</f>
        <v>1</v>
      </c>
      <c r="C97" s="4" t="str">
        <f>III_voor_4p!G37</f>
        <v>Viljandi LTK Sakala</v>
      </c>
      <c r="D97" s="3">
        <f>IF(K98="","",SUM(M98:M105))</f>
        <v>4</v>
      </c>
      <c r="E97" s="4" t="str">
        <f>III_voor_4p!R37</f>
        <v>Tiim FORUS - Maardu LTK</v>
      </c>
      <c r="F97" s="137" t="s">
        <v>2</v>
      </c>
      <c r="G97" s="137" t="s">
        <v>3</v>
      </c>
      <c r="H97" s="137" t="s">
        <v>4</v>
      </c>
      <c r="I97" s="137" t="s">
        <v>5</v>
      </c>
      <c r="J97" s="137" t="s">
        <v>6</v>
      </c>
      <c r="K97" s="6" t="s">
        <v>7</v>
      </c>
      <c r="L97" s="287" t="s">
        <v>8</v>
      </c>
      <c r="M97" s="287"/>
      <c r="R97" s="1" t="str">
        <f>IF(OR(B97=4,D97=4),"","ERROR")</f>
        <v/>
      </c>
    </row>
    <row r="98" spans="1:18">
      <c r="A98" s="7" t="s">
        <v>469</v>
      </c>
      <c r="B98" s="9" t="s">
        <v>9</v>
      </c>
      <c r="C98" s="8" t="str">
        <f>VLOOKUP(B98,III_voor_4p!$B$38:$K$42,2,FALSE)</f>
        <v>Märt KURVET</v>
      </c>
      <c r="D98" s="9" t="s">
        <v>10</v>
      </c>
      <c r="E98" s="8" t="str">
        <f>VLOOKUP(D98,III_voor_4p!$M$38:$W$42,2,FALSE)</f>
        <v>Sergei DANILOV</v>
      </c>
      <c r="F98" s="135" t="str">
        <f>IF(III_voor_4p!E46=0,"",III_voor_4p!E46)</f>
        <v>6:11</v>
      </c>
      <c r="G98" s="135" t="str">
        <f>IF(III_voor_4p!H46=0,"",III_voor_4p!H46)</f>
        <v>7:11</v>
      </c>
      <c r="H98" s="135" t="str">
        <f>IF(III_voor_4p!K46=0,"",III_voor_4p!K46)</f>
        <v>7:11</v>
      </c>
      <c r="I98" s="135" t="str">
        <f>IF(III_voor_4p!N46=0,"",III_voor_4p!N46)</f>
        <v/>
      </c>
      <c r="J98" s="135" t="str">
        <f>IF(III_voor_4p!Q46=0,"",III_voor_4p!Q46)</f>
        <v/>
      </c>
      <c r="K98" s="53" t="str">
        <f>IF(F98="","",CONCATENATE(Abitabel5!G92,":",Abitabel5!N92))</f>
        <v>0:3</v>
      </c>
      <c r="L98" s="35">
        <f>IF(K98="","",IF(LEFT(K98,1)&lt;RIGHT(K98,1),0,1))</f>
        <v>0</v>
      </c>
      <c r="M98" s="35">
        <f>IF(K98="","",IF(LEFT(K98,1)&gt;RIGHT(K98,1),0,1))</f>
        <v>1</v>
      </c>
      <c r="Q98" s="1" t="str">
        <f t="shared" si="15"/>
        <v/>
      </c>
    </row>
    <row r="99" spans="1:18">
      <c r="A99" s="7" t="s">
        <v>59</v>
      </c>
      <c r="B99" s="9" t="s">
        <v>11</v>
      </c>
      <c r="C99" s="8" t="str">
        <f>VLOOKUP(B99,III_voor_4p!$B$38:$K$42,2,FALSE)</f>
        <v>Rainer VALO</v>
      </c>
      <c r="D99" s="9" t="s">
        <v>12</v>
      </c>
      <c r="E99" s="8" t="str">
        <f>VLOOKUP(D99,III_voor_4p!$M$38:$W$42,2,FALSE)</f>
        <v>Artjom HIISKU</v>
      </c>
      <c r="F99" s="135" t="str">
        <f>IF(III_voor_4p!E47=0,"",III_voor_4p!E47)</f>
        <v>9:11</v>
      </c>
      <c r="G99" s="135" t="str">
        <f>IF(III_voor_4p!H47=0,"",III_voor_4p!H47)</f>
        <v>8:11</v>
      </c>
      <c r="H99" s="135" t="str">
        <f>IF(III_voor_4p!K47=0,"",III_voor_4p!K47)</f>
        <v>11:9</v>
      </c>
      <c r="I99" s="135" t="str">
        <f>IF(III_voor_4p!N47=0,"",III_voor_4p!N47)</f>
        <v>7:11</v>
      </c>
      <c r="J99" s="135" t="str">
        <f>IF(III_voor_4p!Q47=0,"",III_voor_4p!Q47)</f>
        <v/>
      </c>
      <c r="K99" s="53" t="str">
        <f>IF(F99="","",CONCATENATE(Abitabel5!G93,":",Abitabel5!N93))</f>
        <v>1:3</v>
      </c>
      <c r="L99" s="35">
        <f t="shared" ref="L99:L100" si="20">IF(K99="","",IF(LEFT(K99,1)&lt;RIGHT(K99,1),0,1))</f>
        <v>0</v>
      </c>
      <c r="M99" s="35">
        <f t="shared" ref="M99:M100" si="21">IF(K99="","",IF(LEFT(K99,1)&gt;RIGHT(K99,1),0,1))</f>
        <v>1</v>
      </c>
      <c r="Q99" s="1" t="str">
        <f t="shared" si="15"/>
        <v/>
      </c>
    </row>
    <row r="100" spans="1:18">
      <c r="A100" s="7"/>
      <c r="B100" s="9" t="s">
        <v>13</v>
      </c>
      <c r="C100" s="8" t="str">
        <f>VLOOKUP(B100,III_voor_4p!$B$38:$K$42,2,FALSE)</f>
        <v>Erik NÜÜD</v>
      </c>
      <c r="D100" s="9" t="s">
        <v>14</v>
      </c>
      <c r="E100" s="8" t="str">
        <f>VLOOKUP(D100,III_voor_4p!$M$38:$W$42,2,FALSE)</f>
        <v>Jevgeni BUZAK</v>
      </c>
      <c r="F100" s="135" t="str">
        <f>IF(III_voor_4p!E48=0,"",III_voor_4p!E48)</f>
        <v>11:8</v>
      </c>
      <c r="G100" s="135" t="str">
        <f>IF(III_voor_4p!H48=0,"",III_voor_4p!H48)</f>
        <v>11:9</v>
      </c>
      <c r="H100" s="135" t="str">
        <f>IF(III_voor_4p!K48=0,"",III_voor_4p!K48)</f>
        <v>13:11</v>
      </c>
      <c r="I100" s="135" t="str">
        <f>IF(III_voor_4p!N48=0,"",III_voor_4p!N48)</f>
        <v/>
      </c>
      <c r="J100" s="135" t="str">
        <f>IF(III_voor_4p!Q48=0,"",III_voor_4p!Q48)</f>
        <v/>
      </c>
      <c r="K100" s="53" t="str">
        <f>IF(F100="","",CONCATENATE(Abitabel5!G94,":",Abitabel5!N94))</f>
        <v>3:0</v>
      </c>
      <c r="L100" s="35">
        <f t="shared" si="20"/>
        <v>1</v>
      </c>
      <c r="M100" s="35">
        <f t="shared" si="21"/>
        <v>0</v>
      </c>
      <c r="Q100" s="1" t="str">
        <f t="shared" si="15"/>
        <v/>
      </c>
    </row>
    <row r="101" spans="1:18">
      <c r="A101" s="7"/>
      <c r="B101" s="290" t="s">
        <v>15</v>
      </c>
      <c r="C101" s="1" t="str">
        <f>IF(ISBLANK(III_voor_4p!C49), "", INDEX(III_voor_4p!C38:C42, MATCH(MID(III_voor_4p!C49,1,1), III_voor_4p!B38:B42, 0)))</f>
        <v>Märt KURVET</v>
      </c>
      <c r="D101" s="290" t="s">
        <v>15</v>
      </c>
      <c r="E101" s="1" t="str">
        <f>IF(ISBLANK(III_voor_4p!C49), "", INDEX(III_voor_4p!N38:N42, MATCH(MID(III_voor_4p!C49,4,1), III_voor_4p!M38:M42, 0)))</f>
        <v>Artjom HIISKU</v>
      </c>
      <c r="F101" s="299" t="str">
        <f>IF(III_voor_4p!E49=0,"",III_voor_4p!E49)</f>
        <v>12:14</v>
      </c>
      <c r="G101" s="299" t="str">
        <f>IF(III_voor_4p!H49=0,"",III_voor_4p!H49)</f>
        <v>11:8</v>
      </c>
      <c r="H101" s="299" t="str">
        <f>IF(III_voor_4p!K49=0,"",III_voor_4p!K49)</f>
        <v>10:12</v>
      </c>
      <c r="I101" s="299" t="str">
        <f>IF(III_voor_4p!N49=0,"",III_voor_4p!N49)</f>
        <v>11:9</v>
      </c>
      <c r="J101" s="299" t="str">
        <f>IF(III_voor_4p!Q49=0,"",III_voor_4p!Q49)</f>
        <v>5:11</v>
      </c>
      <c r="K101" s="294" t="str">
        <f>IF(F101="","",CONCATENATE(Abitabel5!G95,":",Abitabel5!N95))</f>
        <v>2:3</v>
      </c>
      <c r="L101" s="295">
        <f>IF(K101="","",IF(LEFT(K101,1)&lt;RIGHT(K101,1),0,1))</f>
        <v>0</v>
      </c>
      <c r="M101" s="295">
        <f>IF(K101="","",IF(LEFT(K101,1)&gt;RIGHT(K101,1),0,1))</f>
        <v>1</v>
      </c>
      <c r="Q101" s="1" t="str">
        <f t="shared" si="15"/>
        <v/>
      </c>
    </row>
    <row r="102" spans="1:18">
      <c r="A102" s="7"/>
      <c r="B102" s="291"/>
      <c r="C102" s="1" t="str">
        <f>IF(ISBLANK(III_voor_4p!C49), "", INDEX(III_voor_4p!C38:C42, MATCH(MID(III_voor_4p!C49,2,1), III_voor_4p!B38:B42, 0)))</f>
        <v>Erik NÜÜD</v>
      </c>
      <c r="D102" s="291"/>
      <c r="E102" s="1" t="str">
        <f>IF(ISBLANK(III_voor_4p!C49), "", INDEX(III_voor_4p!N38:N42, MATCH(MID(III_voor_4p!C49,5,1), III_voor_4p!M38:M42, 0)))</f>
        <v>Sergei DANILOV</v>
      </c>
      <c r="F102" s="299"/>
      <c r="G102" s="299"/>
      <c r="H102" s="299"/>
      <c r="I102" s="299"/>
      <c r="J102" s="299"/>
      <c r="K102" s="294"/>
      <c r="L102" s="295"/>
      <c r="M102" s="295"/>
    </row>
    <row r="103" spans="1:18">
      <c r="A103" s="7"/>
      <c r="B103" s="9" t="s">
        <v>9</v>
      </c>
      <c r="C103" s="8" t="str">
        <f>VLOOKUP(B103,III_voor_4p!$B$38:$K$42,2,FALSE)</f>
        <v>Märt KURVET</v>
      </c>
      <c r="D103" s="9" t="s">
        <v>12</v>
      </c>
      <c r="E103" s="8" t="str">
        <f>VLOOKUP(D103,III_voor_4p!$M$38:$W$42,2,FALSE)</f>
        <v>Artjom HIISKU</v>
      </c>
      <c r="F103" s="135" t="str">
        <f>IF(III_voor_4p!E50=0,"",III_voor_4p!E50)</f>
        <v>6:11</v>
      </c>
      <c r="G103" s="135" t="str">
        <f>IF(III_voor_4p!H50=0,"",III_voor_4p!H50)</f>
        <v>5:11</v>
      </c>
      <c r="H103" s="135" t="str">
        <f>IF(III_voor_4p!K50=0,"",III_voor_4p!K50)</f>
        <v>8:11</v>
      </c>
      <c r="I103" s="135" t="str">
        <f>IF(III_voor_4p!N50=0,"",III_voor_4p!N50)</f>
        <v/>
      </c>
      <c r="J103" s="135" t="str">
        <f>IF(III_voor_4p!Q50=0,"",III_voor_4p!Q50)</f>
        <v/>
      </c>
      <c r="K103" s="53" t="str">
        <f>IF(F103="","",CONCATENATE(Abitabel5!G97,":",Abitabel5!N97))</f>
        <v>0:3</v>
      </c>
      <c r="L103" s="35">
        <f>IF(K103="","",IF(LEFT(K103,1)&lt;RIGHT(K103,1),0,1))</f>
        <v>0</v>
      </c>
      <c r="M103" s="35">
        <f>IF(K103="","",IF(LEFT(K103,1)&gt;RIGHT(K103,1),0,1))</f>
        <v>1</v>
      </c>
      <c r="Q103" s="1" t="str">
        <f t="shared" si="15"/>
        <v/>
      </c>
    </row>
    <row r="104" spans="1:18">
      <c r="A104" s="7"/>
      <c r="B104" s="9" t="s">
        <v>13</v>
      </c>
      <c r="C104" s="8" t="str">
        <f>VLOOKUP(B104,III_voor_4p!$B$38:$K$42,2,FALSE)</f>
        <v>Erik NÜÜD</v>
      </c>
      <c r="D104" s="9" t="s">
        <v>10</v>
      </c>
      <c r="E104" s="8" t="str">
        <f>VLOOKUP(D104,III_voor_4p!$M$38:$W$42,2,FALSE)</f>
        <v>Sergei DANILOV</v>
      </c>
      <c r="F104" s="135" t="str">
        <f>IF(III_voor_4p!E51=0,"",III_voor_4p!E51)</f>
        <v/>
      </c>
      <c r="G104" s="135" t="str">
        <f>IF(III_voor_4p!H51=0,"",III_voor_4p!H51)</f>
        <v/>
      </c>
      <c r="H104" s="135" t="str">
        <f>IF(III_voor_4p!K51=0,"",III_voor_4p!K51)</f>
        <v/>
      </c>
      <c r="I104" s="135" t="str">
        <f>IF(III_voor_4p!N51=0,"",III_voor_4p!N51)</f>
        <v/>
      </c>
      <c r="J104" s="135" t="str">
        <f>IF(III_voor_4p!Q51=0,"",III_voor_4p!Q51)</f>
        <v/>
      </c>
      <c r="K104" s="53" t="str">
        <f>IF(F104="","",CONCATENATE(Abitabel5!G98,":",Abitabel5!N98))</f>
        <v/>
      </c>
      <c r="L104" s="35" t="str">
        <f>IF(K104="","",IF(LEFT(K104,1)&lt;RIGHT(K104,1),0,1))</f>
        <v/>
      </c>
      <c r="M104" s="35" t="str">
        <f>IF(L104="","",IF(LEFT(K104,1)&gt;RIGHT(K104,1),0,1))</f>
        <v/>
      </c>
      <c r="Q104" s="1" t="str">
        <f t="shared" si="15"/>
        <v>ERROR</v>
      </c>
    </row>
    <row r="105" spans="1:18">
      <c r="A105" s="7"/>
      <c r="B105" s="9" t="s">
        <v>11</v>
      </c>
      <c r="C105" s="8" t="str">
        <f>VLOOKUP(B105,III_voor_4p!$B$38:$K$42,2,FALSE)</f>
        <v>Rainer VALO</v>
      </c>
      <c r="D105" s="9" t="s">
        <v>14</v>
      </c>
      <c r="E105" s="8" t="str">
        <f>VLOOKUP(D105,III_voor_4p!$M$38:$W$42,2,FALSE)</f>
        <v>Jevgeni BUZAK</v>
      </c>
      <c r="F105" s="135" t="str">
        <f>IF(III_voor_4p!E52=0,"",III_voor_4p!E52)</f>
        <v/>
      </c>
      <c r="G105" s="135" t="str">
        <f>IF(III_voor_4p!H52=0,"",III_voor_4p!H52)</f>
        <v/>
      </c>
      <c r="H105" s="135" t="str">
        <f>IF(III_voor_4p!K52=0,"",III_voor_4p!K52)</f>
        <v/>
      </c>
      <c r="I105" s="135" t="str">
        <f>IF(III_voor_4p!N52=0,"",III_voor_4p!N52)</f>
        <v/>
      </c>
      <c r="J105" s="135" t="str">
        <f>IF(III_voor_4p!Q52=0,"",III_voor_4p!Q52)</f>
        <v/>
      </c>
      <c r="K105" s="53" t="str">
        <f>IF(F105="","",CONCATENATE(Abitabel5!G99,":",Abitabel5!N99))</f>
        <v/>
      </c>
      <c r="L105" s="35" t="str">
        <f>IF(K105="","",IF(LEFT(K105,1)&lt;RIGHT(K105,1),0,1))</f>
        <v/>
      </c>
      <c r="M105" s="35" t="str">
        <f>IF(L105="","",IF(LEFT(K105,1)&gt;RIGHT(K105,1),0,1))</f>
        <v/>
      </c>
      <c r="Q105" s="1" t="str">
        <f t="shared" si="15"/>
        <v>ERROR</v>
      </c>
    </row>
    <row r="106" spans="1:18">
      <c r="A106" s="7"/>
      <c r="B106" s="10"/>
      <c r="C106" s="33" t="str">
        <f>VLOOKUP(C97,Koosseisud!A:B,2,FALSE )</f>
        <v>Meeskond5</v>
      </c>
      <c r="D106" s="10"/>
      <c r="E106" s="33" t="str">
        <f>VLOOKUP(E97,Koosseisud!A:B,2,FALSE)</f>
        <v>Meeskond1</v>
      </c>
      <c r="F106" s="10"/>
      <c r="G106" s="10"/>
      <c r="H106" s="10"/>
      <c r="I106" s="10"/>
      <c r="J106" s="11"/>
      <c r="K106" s="12"/>
      <c r="L106" s="13"/>
      <c r="M106" s="13"/>
    </row>
    <row r="107" spans="1:18" ht="15">
      <c r="A107" s="2" t="s">
        <v>78</v>
      </c>
      <c r="B107" s="3">
        <f>IF(K108="","",SUM(L108:L115))</f>
        <v>0</v>
      </c>
      <c r="C107" s="4" t="str">
        <f>III_voor_4p!G67</f>
        <v>SPINMASTER</v>
      </c>
      <c r="D107" s="3">
        <f>IF(K108="","",SUM(M108:M115))</f>
        <v>4</v>
      </c>
      <c r="E107" s="4" t="str">
        <f>III_voor_4p!R67</f>
        <v>Tartu SS Kalev</v>
      </c>
      <c r="F107" s="137" t="s">
        <v>2</v>
      </c>
      <c r="G107" s="137" t="s">
        <v>3</v>
      </c>
      <c r="H107" s="137" t="s">
        <v>4</v>
      </c>
      <c r="I107" s="137" t="s">
        <v>5</v>
      </c>
      <c r="J107" s="137" t="s">
        <v>6</v>
      </c>
      <c r="K107" s="6" t="s">
        <v>7</v>
      </c>
      <c r="L107" s="287" t="s">
        <v>8</v>
      </c>
      <c r="M107" s="287"/>
      <c r="R107" s="1" t="str">
        <f>IF(OR(B107=4,D107=4),"","ERROR")</f>
        <v/>
      </c>
    </row>
    <row r="108" spans="1:18">
      <c r="A108" s="7" t="s">
        <v>469</v>
      </c>
      <c r="B108" s="9" t="s">
        <v>9</v>
      </c>
      <c r="C108" s="8" t="str">
        <f>VLOOKUP(B108,III_voor_4p!$B$68:$K$72,2,FALSE)</f>
        <v>Jan Kenneth TOMING</v>
      </c>
      <c r="D108" s="9" t="s">
        <v>10</v>
      </c>
      <c r="E108" s="8" t="str">
        <f>VLOOKUP(D108,III_voor_4p!$M$68:$W$72,2,FALSE)</f>
        <v>Markkos PUKK</v>
      </c>
      <c r="F108" s="135" t="str">
        <f>IF(III_voor_4p!E76=0,"",III_voor_4p!E76)</f>
        <v>10:12</v>
      </c>
      <c r="G108" s="135" t="str">
        <f>IF(III_voor_4p!H76=0,"",III_voor_4p!H76)</f>
        <v>6:11</v>
      </c>
      <c r="H108" s="135" t="str">
        <f>IF(III_voor_4p!K76=0,"",III_voor_4p!K76)</f>
        <v>11:8</v>
      </c>
      <c r="I108" s="135" t="str">
        <f>IF(III_voor_4p!N76=0,"",III_voor_4p!N76)</f>
        <v>9:11</v>
      </c>
      <c r="J108" s="135" t="str">
        <f>IF(III_voor_4p!Q76=0,"",III_voor_4p!Q76)</f>
        <v/>
      </c>
      <c r="K108" s="53" t="str">
        <f>IF(F108="","",CONCATENATE(Abitabel5!G102,":",Abitabel5!N102))</f>
        <v>1:3</v>
      </c>
      <c r="L108" s="35">
        <f>IF(K108="","",IF(LEFT(K108,1)&lt;RIGHT(K108,1),0,1))</f>
        <v>0</v>
      </c>
      <c r="M108" s="35">
        <f>IF(K108="","",IF(LEFT(K108,1)&gt;RIGHT(K108,1),0,1))</f>
        <v>1</v>
      </c>
      <c r="Q108" s="1" t="str">
        <f t="shared" si="15"/>
        <v/>
      </c>
    </row>
    <row r="109" spans="1:18">
      <c r="A109" s="7" t="s">
        <v>59</v>
      </c>
      <c r="B109" s="9" t="s">
        <v>11</v>
      </c>
      <c r="C109" s="8" t="str">
        <f>VLOOKUP(B109,III_voor_4p!$B$68:$K$72,2,FALSE)</f>
        <v>Filat ANDREEV</v>
      </c>
      <c r="D109" s="9" t="s">
        <v>12</v>
      </c>
      <c r="E109" s="8" t="str">
        <f>VLOOKUP(D109,III_voor_4p!$M$68:$W$72,2,FALSE)</f>
        <v>Mart LUUK</v>
      </c>
      <c r="F109" s="135" t="str">
        <f>IF(III_voor_4p!E77=0,"",III_voor_4p!E77)</f>
        <v>11:13</v>
      </c>
      <c r="G109" s="135" t="str">
        <f>IF(III_voor_4p!H77=0,"",III_voor_4p!H77)</f>
        <v>11:9</v>
      </c>
      <c r="H109" s="135" t="str">
        <f>IF(III_voor_4p!K77=0,"",III_voor_4p!K77)</f>
        <v>12:10</v>
      </c>
      <c r="I109" s="135" t="str">
        <f>IF(III_voor_4p!N77=0,"",III_voor_4p!N77)</f>
        <v>4:11</v>
      </c>
      <c r="J109" s="135" t="str">
        <f>IF(III_voor_4p!Q77=0,"",III_voor_4p!Q77)</f>
        <v>11:13</v>
      </c>
      <c r="K109" s="53" t="str">
        <f>IF(F109="","",CONCATENATE(Abitabel5!G103,":",Abitabel5!N103))</f>
        <v>2:3</v>
      </c>
      <c r="L109" s="35">
        <f t="shared" ref="L109:L110" si="22">IF(K109="","",IF(LEFT(K109,1)&lt;RIGHT(K109,1),0,1))</f>
        <v>0</v>
      </c>
      <c r="M109" s="35">
        <f t="shared" ref="M109:M110" si="23">IF(K109="","",IF(LEFT(K109,1)&gt;RIGHT(K109,1),0,1))</f>
        <v>1</v>
      </c>
      <c r="Q109" s="1" t="str">
        <f t="shared" si="15"/>
        <v/>
      </c>
    </row>
    <row r="110" spans="1:18">
      <c r="A110" s="7"/>
      <c r="B110" s="9" t="s">
        <v>13</v>
      </c>
      <c r="C110" s="8" t="str">
        <f>VLOOKUP(B110,III_voor_4p!$B$68:$K$72,2,FALSE)</f>
        <v>Kevin KUKK</v>
      </c>
      <c r="D110" s="9" t="s">
        <v>14</v>
      </c>
      <c r="E110" s="8" t="str">
        <f>VLOOKUP(D110,III_voor_4p!$M$68:$W$72,2,FALSE)</f>
        <v>Arttu Antero PIHKALA</v>
      </c>
      <c r="F110" s="135" t="str">
        <f>IF(III_voor_4p!E78=0,"",III_voor_4p!E78)</f>
        <v>4:11</v>
      </c>
      <c r="G110" s="135" t="str">
        <f>IF(III_voor_4p!H78=0,"",III_voor_4p!H78)</f>
        <v>8:11</v>
      </c>
      <c r="H110" s="135" t="str">
        <f>IF(III_voor_4p!K78=0,"",III_voor_4p!K78)</f>
        <v>7:11</v>
      </c>
      <c r="I110" s="135" t="str">
        <f>IF(III_voor_4p!N78=0,"",III_voor_4p!N78)</f>
        <v/>
      </c>
      <c r="J110" s="135" t="str">
        <f>IF(III_voor_4p!Q78=0,"",III_voor_4p!Q78)</f>
        <v/>
      </c>
      <c r="K110" s="53" t="str">
        <f>IF(F110="","",CONCATENATE(Abitabel5!G104,":",Abitabel5!N104))</f>
        <v>0:3</v>
      </c>
      <c r="L110" s="35">
        <f t="shared" si="22"/>
        <v>0</v>
      </c>
      <c r="M110" s="35">
        <f t="shared" si="23"/>
        <v>1</v>
      </c>
      <c r="Q110" s="1" t="str">
        <f t="shared" si="15"/>
        <v/>
      </c>
    </row>
    <row r="111" spans="1:18">
      <c r="A111" s="7"/>
      <c r="B111" s="290" t="s">
        <v>15</v>
      </c>
      <c r="C111" s="1" t="str">
        <f>IF(ISBLANK(III_voor_4p!C79), "", INDEX(III_voor_4p!C68:C72, MATCH(MID(III_voor_4p!C79,1,1), III_voor_4p!B68:B72, 0)))</f>
        <v>Jan Kenneth TOMING</v>
      </c>
      <c r="D111" s="290" t="s">
        <v>15</v>
      </c>
      <c r="E111" s="1" t="str">
        <f>IF(ISBLANK(III_voor_4p!C79), "", INDEX(III_voor_4p!N68:N72, MATCH(MID(III_voor_4p!C79,4,1), III_voor_4p!M68:M72, 0)))</f>
        <v>Markkos PUKK</v>
      </c>
      <c r="F111" s="299" t="str">
        <f>IF(III_voor_4p!E79=0,"",III_voor_4p!E79)</f>
        <v>9:11</v>
      </c>
      <c r="G111" s="299" t="str">
        <f>IF(III_voor_4p!H79=0,"",III_voor_4p!H79)</f>
        <v>11:9</v>
      </c>
      <c r="H111" s="299" t="str">
        <f>IF(III_voor_4p!K79=0,"",III_voor_4p!K79)</f>
        <v>10:12</v>
      </c>
      <c r="I111" s="299" t="str">
        <f>IF(III_voor_4p!N79=0,"",III_voor_4p!N79)</f>
        <v>8:11</v>
      </c>
      <c r="J111" s="299" t="str">
        <f>IF(III_voor_4p!Q79=0,"",III_voor_4p!Q79)</f>
        <v/>
      </c>
      <c r="K111" s="294" t="str">
        <f>IF(F111="","",CONCATENATE(Abitabel5!G105,":",Abitabel5!N105))</f>
        <v>1:3</v>
      </c>
      <c r="L111" s="295">
        <f>IF(K111="","",IF(LEFT(K111,1)&lt;RIGHT(K111,1),0,1))</f>
        <v>0</v>
      </c>
      <c r="M111" s="295">
        <f>IF(K111="","",IF(LEFT(K111,1)&gt;RIGHT(K111,1),0,1))</f>
        <v>1</v>
      </c>
      <c r="Q111" s="1" t="str">
        <f t="shared" si="15"/>
        <v/>
      </c>
    </row>
    <row r="112" spans="1:18">
      <c r="A112" s="7"/>
      <c r="B112" s="291"/>
      <c r="C112" s="1" t="str">
        <f>IF(ISBLANK(III_voor_4p!C79), "", INDEX(III_voor_4p!C68:C72, MATCH(MID(III_voor_4p!C79,2,1), III_voor_4p!B68:B72, 0)))</f>
        <v>Kevin KUKK</v>
      </c>
      <c r="D112" s="291"/>
      <c r="E112" s="1" t="str">
        <f>IF(ISBLANK(III_voor_4p!C79), "", INDEX(III_voor_4p!N68:N72, MATCH(MID(III_voor_4p!C79,5,1), III_voor_4p!M68:M72, 0)))</f>
        <v>Arttu Antero PIHKALA</v>
      </c>
      <c r="F112" s="299"/>
      <c r="G112" s="299"/>
      <c r="H112" s="299"/>
      <c r="I112" s="299"/>
      <c r="J112" s="299"/>
      <c r="K112" s="294"/>
      <c r="L112" s="295"/>
      <c r="M112" s="295"/>
    </row>
    <row r="113" spans="1:18">
      <c r="A113" s="7"/>
      <c r="B113" s="9" t="s">
        <v>9</v>
      </c>
      <c r="C113" s="8" t="str">
        <f>VLOOKUP(B113,III_voor_4p!$B$68:$K$72,2,FALSE)</f>
        <v>Jan Kenneth TOMING</v>
      </c>
      <c r="D113" s="9" t="s">
        <v>12</v>
      </c>
      <c r="E113" s="8" t="str">
        <f>VLOOKUP(D113,III_voor_4p!$M$68:$W$72,2,FALSE)</f>
        <v>Mart LUUK</v>
      </c>
      <c r="F113" s="135" t="str">
        <f>IF(III_voor_4p!E80=0,"",III_voor_4p!E80)</f>
        <v/>
      </c>
      <c r="G113" s="135" t="str">
        <f>IF(III_voor_4p!H80=0,"",III_voor_4p!H80)</f>
        <v/>
      </c>
      <c r="H113" s="135" t="str">
        <f>IF(III_voor_4p!K80=0,"",III_voor_4p!K80)</f>
        <v/>
      </c>
      <c r="I113" s="135" t="str">
        <f>IF(III_voor_4p!N80=0,"",III_voor_4p!N80)</f>
        <v/>
      </c>
      <c r="J113" s="135" t="str">
        <f>IF(III_voor_4p!Q80=0,"",III_voor_4p!Q80)</f>
        <v/>
      </c>
      <c r="K113" s="53" t="str">
        <f>IF(F113="","",CONCATENATE(Abitabel5!G107,":",Abitabel5!N107))</f>
        <v/>
      </c>
      <c r="L113" s="35" t="str">
        <f>IF(K113="","",IF(LEFT(K113,1)&lt;RIGHT(K113,1),0,1))</f>
        <v/>
      </c>
      <c r="M113" s="35" t="str">
        <f>IF(K113="","",IF(LEFT(K113,1)&gt;RIGHT(K113,1),0,1))</f>
        <v/>
      </c>
      <c r="Q113" s="1" t="str">
        <f t="shared" si="15"/>
        <v>ERROR</v>
      </c>
    </row>
    <row r="114" spans="1:18">
      <c r="A114" s="7"/>
      <c r="B114" s="9" t="s">
        <v>13</v>
      </c>
      <c r="C114" s="8" t="str">
        <f>VLOOKUP(B114,III_voor_4p!$B$68:$K$72,2,FALSE)</f>
        <v>Kevin KUKK</v>
      </c>
      <c r="D114" s="9" t="s">
        <v>10</v>
      </c>
      <c r="E114" s="8" t="str">
        <f>VLOOKUP(D114,III_voor_4p!$M$68:$W$72,2,FALSE)</f>
        <v>Markkos PUKK</v>
      </c>
      <c r="F114" s="135" t="str">
        <f>IF(III_voor_4p!E81=0,"",III_voor_4p!E81)</f>
        <v/>
      </c>
      <c r="G114" s="135" t="str">
        <f>IF(III_voor_4p!H81=0,"",III_voor_4p!H81)</f>
        <v/>
      </c>
      <c r="H114" s="135" t="str">
        <f>IF(III_voor_4p!K81=0,"",III_voor_4p!K81)</f>
        <v/>
      </c>
      <c r="I114" s="135" t="str">
        <f>IF(III_voor_4p!N81=0,"",III_voor_4p!N81)</f>
        <v/>
      </c>
      <c r="J114" s="135" t="str">
        <f>IF(III_voor_4p!Q81=0,"",III_voor_4p!Q81)</f>
        <v/>
      </c>
      <c r="K114" s="53" t="str">
        <f>IF(F114="","",CONCATENATE(Abitabel5!G108,":",Abitabel5!N108))</f>
        <v/>
      </c>
      <c r="L114" s="35" t="str">
        <f t="shared" ref="L114:L115" si="24">IF(K114="","",IF(LEFT(K114,1)&lt;RIGHT(K114,1),0,1))</f>
        <v/>
      </c>
      <c r="M114" s="35" t="str">
        <f t="shared" ref="M114:M115" si="25">IF(K114="","",IF(LEFT(K114,1)&gt;RIGHT(K114,1),0,1))</f>
        <v/>
      </c>
      <c r="Q114" s="1" t="str">
        <f t="shared" si="15"/>
        <v>ERROR</v>
      </c>
    </row>
    <row r="115" spans="1:18">
      <c r="A115" s="7"/>
      <c r="B115" s="9" t="s">
        <v>11</v>
      </c>
      <c r="C115" s="8" t="str">
        <f>VLOOKUP(B115,III_voor_4p!$B$68:$K$72,2,FALSE)</f>
        <v>Filat ANDREEV</v>
      </c>
      <c r="D115" s="9" t="s">
        <v>14</v>
      </c>
      <c r="E115" s="8" t="str">
        <f>VLOOKUP(D115,III_voor_4p!$M$68:$W$72,2,FALSE)</f>
        <v>Arttu Antero PIHKALA</v>
      </c>
      <c r="F115" s="135" t="str">
        <f>IF(III_voor_4p!E82=0,"",III_voor_4p!E82)</f>
        <v/>
      </c>
      <c r="G115" s="135" t="str">
        <f>IF(III_voor_4p!H82=0,"",III_voor_4p!H82)</f>
        <v/>
      </c>
      <c r="H115" s="135" t="str">
        <f>IF(III_voor_4p!K82=0,"",III_voor_4p!K82)</f>
        <v/>
      </c>
      <c r="I115" s="135" t="str">
        <f>IF(III_voor_4p!N82=0,"",III_voor_4p!N82)</f>
        <v/>
      </c>
      <c r="J115" s="135" t="str">
        <f>IF(III_voor_4p!Q82=0,"",III_voor_4p!Q82)</f>
        <v/>
      </c>
      <c r="K115" s="53" t="str">
        <f>IF(F115="","",CONCATENATE(Abitabel5!G109,":",Abitabel5!N109))</f>
        <v/>
      </c>
      <c r="L115" s="35" t="str">
        <f t="shared" si="24"/>
        <v/>
      </c>
      <c r="M115" s="35" t="str">
        <f t="shared" si="25"/>
        <v/>
      </c>
      <c r="Q115" s="1" t="str">
        <f t="shared" si="15"/>
        <v>ERROR</v>
      </c>
    </row>
    <row r="116" spans="1:18">
      <c r="A116" s="7"/>
      <c r="B116" s="10"/>
      <c r="C116" s="33" t="str">
        <f>VLOOKUP(C107,Koosseisud!A:B,2,FALSE )</f>
        <v>Meeskond6</v>
      </c>
      <c r="D116" s="10"/>
      <c r="E116" s="33" t="str">
        <f>VLOOKUP(E107,Koosseisud!A:B,2,FALSE)</f>
        <v>Meeskond4</v>
      </c>
      <c r="F116" s="10"/>
      <c r="G116" s="10"/>
      <c r="H116" s="10"/>
      <c r="I116" s="10"/>
      <c r="J116" s="11"/>
      <c r="K116" s="12"/>
      <c r="L116" s="13"/>
      <c r="M116" s="13"/>
    </row>
    <row r="117" spans="1:18" ht="15">
      <c r="A117" s="2" t="s">
        <v>79</v>
      </c>
      <c r="B117" s="3">
        <f>IF(K118="","",SUM(L118:L125))</f>
        <v>0</v>
      </c>
      <c r="C117" s="4" t="str">
        <f>III_voor_4p!G97</f>
        <v>LTK Kalev/Radiaatorikeskus</v>
      </c>
      <c r="D117" s="3">
        <f>IF(K118="","",SUM(M118:M125))</f>
        <v>4</v>
      </c>
      <c r="E117" s="4" t="str">
        <f>III_voor_4p!R97</f>
        <v>TalTech Spordiklubi</v>
      </c>
      <c r="F117" s="137" t="s">
        <v>2</v>
      </c>
      <c r="G117" s="137" t="s">
        <v>3</v>
      </c>
      <c r="H117" s="137" t="s">
        <v>4</v>
      </c>
      <c r="I117" s="137" t="s">
        <v>5</v>
      </c>
      <c r="J117" s="137" t="s">
        <v>6</v>
      </c>
      <c r="K117" s="6" t="s">
        <v>7</v>
      </c>
      <c r="L117" s="287" t="s">
        <v>8</v>
      </c>
      <c r="M117" s="287"/>
      <c r="R117" s="1" t="str">
        <f>IF(OR(B117=4,D117=4),"","ERROR")</f>
        <v/>
      </c>
    </row>
    <row r="118" spans="1:18">
      <c r="A118" s="7" t="s">
        <v>469</v>
      </c>
      <c r="B118" s="9" t="s">
        <v>9</v>
      </c>
      <c r="C118" s="8" t="str">
        <f>VLOOKUP(B118,III_voor_4p!$B$98:$K$102,2,FALSE)</f>
        <v xml:space="preserve">Martin KRAIKO </v>
      </c>
      <c r="D118" s="9" t="s">
        <v>10</v>
      </c>
      <c r="E118" s="8" t="str">
        <f>VLOOKUP(D118,III_voor_4p!$M$98:$W$102,2,FALSE)</f>
        <v>Madis MOOS</v>
      </c>
      <c r="F118" s="135" t="str">
        <f>IF(III_voor_4p!E106=0,"",III_voor_4p!E106)</f>
        <v>6:11</v>
      </c>
      <c r="G118" s="135" t="str">
        <f>IF(III_voor_4p!H106=0,"",III_voor_4p!H106)</f>
        <v>11:7</v>
      </c>
      <c r="H118" s="135" t="str">
        <f>IF(III_voor_4p!K106=0,"",III_voor_4p!K106)</f>
        <v>3:11</v>
      </c>
      <c r="I118" s="135" t="str">
        <f>IF(III_voor_4p!N106=0,"",III_voor_4p!N106)</f>
        <v>11:9</v>
      </c>
      <c r="J118" s="135" t="str">
        <f>IF(III_voor_4p!Q106=0,"",III_voor_4p!Q106)</f>
        <v>6:11</v>
      </c>
      <c r="K118" s="53" t="str">
        <f>IF(F118="","",CONCATENATE(Abitabel5!G112,":",Abitabel5!N112))</f>
        <v>2:3</v>
      </c>
      <c r="L118" s="35">
        <f>IF(K118="","",IF(LEFT(K118,1)&lt;RIGHT(K118,1),0,1))</f>
        <v>0</v>
      </c>
      <c r="M118" s="35">
        <f>IF(K118="","",IF(LEFT(K118,1)&gt;RIGHT(K118,1),0,1))</f>
        <v>1</v>
      </c>
      <c r="Q118" s="1" t="str">
        <f t="shared" si="15"/>
        <v/>
      </c>
    </row>
    <row r="119" spans="1:18">
      <c r="A119" s="7" t="s">
        <v>59</v>
      </c>
      <c r="B119" s="9" t="s">
        <v>11</v>
      </c>
      <c r="C119" s="8" t="str">
        <f>VLOOKUP(B119,III_voor_4p!$B$98:$K$102,2,FALSE)</f>
        <v>Frank Tomas TÜRI</v>
      </c>
      <c r="D119" s="9" t="s">
        <v>12</v>
      </c>
      <c r="E119" s="8" t="str">
        <f>VLOOKUP(D119,III_voor_4p!$M$98:$W$102,2,FALSE)</f>
        <v>Tomasz LEWANDOWSKI</v>
      </c>
      <c r="F119" s="135" t="str">
        <f>IF(III_voor_4p!E107=0,"",III_voor_4p!E107)</f>
        <v>7:11</v>
      </c>
      <c r="G119" s="135" t="str">
        <f>IF(III_voor_4p!H107=0,"",III_voor_4p!H107)</f>
        <v>5:11</v>
      </c>
      <c r="H119" s="135" t="str">
        <f>IF(III_voor_4p!K107=0,"",III_voor_4p!K107)</f>
        <v>4:11</v>
      </c>
      <c r="I119" s="135" t="str">
        <f>IF(III_voor_4p!N107=0,"",III_voor_4p!N107)</f>
        <v/>
      </c>
      <c r="J119" s="135" t="str">
        <f>IF(III_voor_4p!Q107=0,"",III_voor_4p!Q107)</f>
        <v/>
      </c>
      <c r="K119" s="53" t="str">
        <f>IF(F119="","",CONCATENATE(Abitabel5!G113,":",Abitabel5!N113))</f>
        <v>0:3</v>
      </c>
      <c r="L119" s="35">
        <f t="shared" ref="L119:L120" si="26">IF(K119="","",IF(LEFT(K119,1)&lt;RIGHT(K119,1),0,1))</f>
        <v>0</v>
      </c>
      <c r="M119" s="35">
        <f t="shared" ref="M119:M120" si="27">IF(K119="","",IF(LEFT(K119,1)&gt;RIGHT(K119,1),0,1))</f>
        <v>1</v>
      </c>
      <c r="Q119" s="1" t="str">
        <f t="shared" si="15"/>
        <v/>
      </c>
    </row>
    <row r="120" spans="1:18">
      <c r="A120" s="7"/>
      <c r="B120" s="9" t="s">
        <v>13</v>
      </c>
      <c r="C120" s="8" t="str">
        <f>VLOOKUP(B120,III_voor_4p!$B$98:$K$102,2,FALSE)</f>
        <v>Kristjan KANT</v>
      </c>
      <c r="D120" s="9" t="s">
        <v>14</v>
      </c>
      <c r="E120" s="8" t="str">
        <f>VLOOKUP(D120,III_voor_4p!$M$98:$W$102,2,FALSE)</f>
        <v>Stanislav STROGOV</v>
      </c>
      <c r="F120" s="135" t="str">
        <f>IF(III_voor_4p!E108=0,"",III_voor_4p!E108)</f>
        <v>3:11</v>
      </c>
      <c r="G120" s="135" t="str">
        <f>IF(III_voor_4p!H108=0,"",III_voor_4p!H108)</f>
        <v>11:7</v>
      </c>
      <c r="H120" s="135" t="str">
        <f>IF(III_voor_4p!K108=0,"",III_voor_4p!K108)</f>
        <v>3:11</v>
      </c>
      <c r="I120" s="135" t="str">
        <f>IF(III_voor_4p!N108=0,"",III_voor_4p!N108)</f>
        <v>10:12</v>
      </c>
      <c r="J120" s="135" t="str">
        <f>IF(III_voor_4p!Q108=0,"",III_voor_4p!Q108)</f>
        <v/>
      </c>
      <c r="K120" s="53" t="str">
        <f>IF(F120="","",CONCATENATE(Abitabel5!G114,":",Abitabel5!N114))</f>
        <v>1:3</v>
      </c>
      <c r="L120" s="35">
        <f t="shared" si="26"/>
        <v>0</v>
      </c>
      <c r="M120" s="35">
        <f t="shared" si="27"/>
        <v>1</v>
      </c>
      <c r="Q120" s="1" t="str">
        <f t="shared" si="15"/>
        <v/>
      </c>
    </row>
    <row r="121" spans="1:18">
      <c r="A121" s="7"/>
      <c r="B121" s="290" t="s">
        <v>15</v>
      </c>
      <c r="C121" s="1" t="str">
        <f>IF(ISBLANK(III_voor_4p!C109), "", INDEX(III_voor_4p!C98:C102, MATCH(MID(III_voor_4p!C109,1,1), III_voor_4p!B98:B102, 0)))</f>
        <v xml:space="preserve">Martin KRAIKO </v>
      </c>
      <c r="D121" s="290" t="s">
        <v>15</v>
      </c>
      <c r="E121" s="1" t="str">
        <f>IF(ISBLANK(III_voor_4p!C109), "", INDEX(III_voor_4p!N98:N102, MATCH(MID(III_voor_4p!C109,4,1), III_voor_4p!M98:M102, 0)))</f>
        <v>Tomasz LEWANDOWSKI</v>
      </c>
      <c r="F121" s="299" t="str">
        <f>IF(III_voor_4p!E109=0,"",III_voor_4p!E109)</f>
        <v>8:11</v>
      </c>
      <c r="G121" s="299" t="str">
        <f>IF(III_voor_4p!H109=0,"",III_voor_4p!H109)</f>
        <v>6:11</v>
      </c>
      <c r="H121" s="299" t="str">
        <f>IF(III_voor_4p!K109=0,"",III_voor_4p!K109)</f>
        <v>6:11</v>
      </c>
      <c r="I121" s="299" t="str">
        <f>IF(III_voor_4p!N109=0,"",III_voor_4p!N109)</f>
        <v/>
      </c>
      <c r="J121" s="299" t="str">
        <f>IF(III_voor_4p!Q109=0,"",III_voor_4p!Q109)</f>
        <v/>
      </c>
      <c r="K121" s="294" t="str">
        <f>IF(F121="","",CONCATENATE(Abitabel5!G115,":",Abitabel5!N115))</f>
        <v>0:3</v>
      </c>
      <c r="L121" s="295">
        <f>IF(K121="","",IF(LEFT(K121,1)&lt;RIGHT(K121,1),0,1))</f>
        <v>0</v>
      </c>
      <c r="M121" s="295">
        <f>IF(K121="","",IF(LEFT(K121,1)&gt;RIGHT(K121,1),0,1))</f>
        <v>1</v>
      </c>
      <c r="Q121" s="1" t="str">
        <f t="shared" si="15"/>
        <v/>
      </c>
    </row>
    <row r="122" spans="1:18">
      <c r="A122" s="7"/>
      <c r="B122" s="291"/>
      <c r="C122" s="1" t="str">
        <f>IF(ISBLANK(III_voor_4p!C109), "", INDEX(III_voor_4p!C98:C102, MATCH(MID(III_voor_4p!C109,2,1), III_voor_4p!B98:B102, 0)))</f>
        <v>Kristjan KANT</v>
      </c>
      <c r="D122" s="291"/>
      <c r="E122" s="1" t="str">
        <f>IF(ISBLANK(III_voor_4p!C109), "", INDEX(III_voor_4p!N98:N102, MATCH(MID(III_voor_4p!C109,5,1), III_voor_4p!M98:M102, 0)))</f>
        <v>Stanislav STROGOV</v>
      </c>
      <c r="F122" s="299"/>
      <c r="G122" s="299"/>
      <c r="H122" s="299"/>
      <c r="I122" s="299"/>
      <c r="J122" s="299"/>
      <c r="K122" s="294"/>
      <c r="L122" s="295"/>
      <c r="M122" s="295"/>
    </row>
    <row r="123" spans="1:18">
      <c r="A123" s="7"/>
      <c r="B123" s="9" t="s">
        <v>9</v>
      </c>
      <c r="C123" s="8" t="str">
        <f>VLOOKUP(B123,III_voor_4p!$B$98:$K$102,2,FALSE)</f>
        <v xml:space="preserve">Martin KRAIKO </v>
      </c>
      <c r="D123" s="9" t="s">
        <v>12</v>
      </c>
      <c r="E123" s="8" t="str">
        <f>VLOOKUP(D123,III_voor_4p!$M$98:$W$102,2,FALSE)</f>
        <v>Tomasz LEWANDOWSKI</v>
      </c>
      <c r="F123" s="135" t="str">
        <f>IF(III_voor_4p!E110=0,"",III_voor_4p!E110)</f>
        <v/>
      </c>
      <c r="G123" s="135" t="str">
        <f>IF(III_voor_4p!H110=0,"",III_voor_4p!H110)</f>
        <v/>
      </c>
      <c r="H123" s="135" t="str">
        <f>IF(III_voor_4p!K110=0,"",III_voor_4p!K110)</f>
        <v/>
      </c>
      <c r="I123" s="135" t="str">
        <f>IF(III_voor_4p!N110=0,"",III_voor_4p!N110)</f>
        <v/>
      </c>
      <c r="J123" s="135" t="str">
        <f>IF(III_voor_4p!Q110=0,"",III_voor_4p!Q110)</f>
        <v/>
      </c>
      <c r="K123" s="53" t="str">
        <f>IF(F123="","",CONCATENATE(Abitabel5!G117,":",Abitabel5!N117))</f>
        <v/>
      </c>
      <c r="L123" s="35" t="str">
        <f t="shared" ref="L123:L125" si="28">IF(K123="","",IF(LEFT(K123,1)&lt;RIGHT(K123,1),0,1))</f>
        <v/>
      </c>
      <c r="M123" s="35" t="str">
        <f t="shared" ref="M123:M125" si="29">IF(K123="","",IF(LEFT(K123,1)&gt;RIGHT(K123,1),0,1))</f>
        <v/>
      </c>
      <c r="Q123" s="1" t="str">
        <f t="shared" si="15"/>
        <v>ERROR</v>
      </c>
    </row>
    <row r="124" spans="1:18">
      <c r="A124" s="7"/>
      <c r="B124" s="9" t="s">
        <v>13</v>
      </c>
      <c r="C124" s="8" t="str">
        <f>VLOOKUP(B124,III_voor_4p!$B$98:$K$102,2,FALSE)</f>
        <v>Kristjan KANT</v>
      </c>
      <c r="D124" s="9" t="s">
        <v>10</v>
      </c>
      <c r="E124" s="8" t="str">
        <f>VLOOKUP(D124,III_voor_4p!$M$98:$W$102,2,FALSE)</f>
        <v>Madis MOOS</v>
      </c>
      <c r="F124" s="135" t="str">
        <f>IF(III_voor_4p!E111=0,"",III_voor_4p!E111)</f>
        <v/>
      </c>
      <c r="G124" s="135" t="str">
        <f>IF(III_voor_4p!H111=0,"",III_voor_4p!H111)</f>
        <v/>
      </c>
      <c r="H124" s="135" t="str">
        <f>IF(III_voor_4p!K111=0,"",III_voor_4p!K111)</f>
        <v/>
      </c>
      <c r="I124" s="135" t="str">
        <f>IF(III_voor_4p!N111=0,"",III_voor_4p!N111)</f>
        <v/>
      </c>
      <c r="J124" s="135" t="str">
        <f>IF(III_voor_4p!Q111=0,"",III_voor_4p!Q111)</f>
        <v/>
      </c>
      <c r="K124" s="53" t="str">
        <f>IF(F124="","",CONCATENATE(Abitabel5!G118,":",Abitabel5!N118))</f>
        <v/>
      </c>
      <c r="L124" s="35" t="str">
        <f t="shared" si="28"/>
        <v/>
      </c>
      <c r="M124" s="35" t="str">
        <f t="shared" si="29"/>
        <v/>
      </c>
      <c r="Q124" s="1" t="str">
        <f t="shared" si="15"/>
        <v>ERROR</v>
      </c>
    </row>
    <row r="125" spans="1:18">
      <c r="A125" s="7"/>
      <c r="B125" s="9" t="s">
        <v>11</v>
      </c>
      <c r="C125" s="8" t="str">
        <f>VLOOKUP(B125,III_voor_4p!$B$98:$K$102,2,FALSE)</f>
        <v>Frank Tomas TÜRI</v>
      </c>
      <c r="D125" s="9" t="s">
        <v>14</v>
      </c>
      <c r="E125" s="8" t="str">
        <f>VLOOKUP(D125,III_voor_4p!$M$98:$W$102,2,FALSE)</f>
        <v>Stanislav STROGOV</v>
      </c>
      <c r="F125" s="135" t="str">
        <f>IF(III_voor_4p!E112=0,"",III_voor_4p!E112)</f>
        <v/>
      </c>
      <c r="G125" s="135" t="str">
        <f>IF(III_voor_4p!H112=0,"",III_voor_4p!H112)</f>
        <v/>
      </c>
      <c r="H125" s="135" t="str">
        <f>IF(III_voor_4p!K112=0,"",III_voor_4p!K112)</f>
        <v/>
      </c>
      <c r="I125" s="135" t="str">
        <f>IF(III_voor_4p!N112=0,"",III_voor_4p!N112)</f>
        <v/>
      </c>
      <c r="J125" s="135" t="str">
        <f>IF(III_voor_4p!Q112=0,"",III_voor_4p!Q112)</f>
        <v/>
      </c>
      <c r="K125" s="53" t="str">
        <f>IF(F125="","",CONCATENATE(Abitabel5!G119,":",Abitabel5!N119))</f>
        <v/>
      </c>
      <c r="L125" s="35" t="str">
        <f t="shared" si="28"/>
        <v/>
      </c>
      <c r="M125" s="35" t="str">
        <f t="shared" si="29"/>
        <v/>
      </c>
      <c r="Q125" s="1" t="str">
        <f t="shared" si="15"/>
        <v>ERROR</v>
      </c>
    </row>
    <row r="126" spans="1:18">
      <c r="C126" s="34" t="str">
        <f>VLOOKUP(C117,Koosseisud!A:B,2,FALSE)</f>
        <v>Meeskond8</v>
      </c>
      <c r="E126" s="34" t="str">
        <f>VLOOKUP(E117,Koosseisud!A:B,2,FALSE)</f>
        <v>Meeskond3</v>
      </c>
    </row>
  </sheetData>
  <mergeCells count="137">
    <mergeCell ref="A1:N1"/>
    <mergeCell ref="A2:N2"/>
    <mergeCell ref="A3:N3"/>
    <mergeCell ref="A4:N4"/>
    <mergeCell ref="A5:N5"/>
    <mergeCell ref="L7:M7"/>
    <mergeCell ref="B21:B22"/>
    <mergeCell ref="D21:D22"/>
    <mergeCell ref="F21:F22"/>
    <mergeCell ref="G21:G22"/>
    <mergeCell ref="H21:H22"/>
    <mergeCell ref="B11:B12"/>
    <mergeCell ref="D11:D12"/>
    <mergeCell ref="F11:F12"/>
    <mergeCell ref="G11:G12"/>
    <mergeCell ref="H11:H12"/>
    <mergeCell ref="I21:I22"/>
    <mergeCell ref="J21:J22"/>
    <mergeCell ref="K21:K22"/>
    <mergeCell ref="L21:L22"/>
    <mergeCell ref="M21:M22"/>
    <mergeCell ref="L27:M27"/>
    <mergeCell ref="J11:J12"/>
    <mergeCell ref="K11:K12"/>
    <mergeCell ref="L11:L12"/>
    <mergeCell ref="M11:M12"/>
    <mergeCell ref="L17:M17"/>
    <mergeCell ref="I11:I12"/>
    <mergeCell ref="B41:B42"/>
    <mergeCell ref="D41:D42"/>
    <mergeCell ref="F41:F42"/>
    <mergeCell ref="G41:G42"/>
    <mergeCell ref="H41:H42"/>
    <mergeCell ref="B31:B32"/>
    <mergeCell ref="D31:D32"/>
    <mergeCell ref="F31:F32"/>
    <mergeCell ref="G31:G32"/>
    <mergeCell ref="H31:H32"/>
    <mergeCell ref="I41:I42"/>
    <mergeCell ref="J41:J42"/>
    <mergeCell ref="K41:K42"/>
    <mergeCell ref="L41:L42"/>
    <mergeCell ref="M41:M42"/>
    <mergeCell ref="L47:M47"/>
    <mergeCell ref="J31:J32"/>
    <mergeCell ref="K31:K32"/>
    <mergeCell ref="L31:L32"/>
    <mergeCell ref="M31:M32"/>
    <mergeCell ref="L37:M37"/>
    <mergeCell ref="I31:I32"/>
    <mergeCell ref="B61:B62"/>
    <mergeCell ref="D61:D62"/>
    <mergeCell ref="F61:F62"/>
    <mergeCell ref="G61:G62"/>
    <mergeCell ref="H61:H62"/>
    <mergeCell ref="B51:B52"/>
    <mergeCell ref="D51:D52"/>
    <mergeCell ref="F51:F52"/>
    <mergeCell ref="G51:G52"/>
    <mergeCell ref="H51:H52"/>
    <mergeCell ref="I61:I62"/>
    <mergeCell ref="J61:J62"/>
    <mergeCell ref="K61:K62"/>
    <mergeCell ref="L61:L62"/>
    <mergeCell ref="M61:M62"/>
    <mergeCell ref="L67:M67"/>
    <mergeCell ref="J51:J52"/>
    <mergeCell ref="K51:K52"/>
    <mergeCell ref="L51:L52"/>
    <mergeCell ref="M51:M52"/>
    <mergeCell ref="L57:M57"/>
    <mergeCell ref="I51:I52"/>
    <mergeCell ref="B81:B82"/>
    <mergeCell ref="D81:D82"/>
    <mergeCell ref="F81:F82"/>
    <mergeCell ref="G81:G82"/>
    <mergeCell ref="H81:H82"/>
    <mergeCell ref="B71:B72"/>
    <mergeCell ref="D71:D72"/>
    <mergeCell ref="F71:F72"/>
    <mergeCell ref="G71:G72"/>
    <mergeCell ref="H71:H72"/>
    <mergeCell ref="I81:I82"/>
    <mergeCell ref="J81:J82"/>
    <mergeCell ref="L107:M107"/>
    <mergeCell ref="B101:B102"/>
    <mergeCell ref="D101:D102"/>
    <mergeCell ref="F101:F102"/>
    <mergeCell ref="G101:G102"/>
    <mergeCell ref="H101:H102"/>
    <mergeCell ref="B91:B92"/>
    <mergeCell ref="D91:D92"/>
    <mergeCell ref="F91:F92"/>
    <mergeCell ref="G91:G92"/>
    <mergeCell ref="H91:H92"/>
    <mergeCell ref="L87:M87"/>
    <mergeCell ref="J71:J72"/>
    <mergeCell ref="K71:K72"/>
    <mergeCell ref="L71:L72"/>
    <mergeCell ref="M71:M72"/>
    <mergeCell ref="L77:M77"/>
    <mergeCell ref="I71:I72"/>
    <mergeCell ref="I101:I102"/>
    <mergeCell ref="J101:J102"/>
    <mergeCell ref="K101:K102"/>
    <mergeCell ref="L101:L102"/>
    <mergeCell ref="M101:M102"/>
    <mergeCell ref="K81:K82"/>
    <mergeCell ref="L81:L82"/>
    <mergeCell ref="M81:M82"/>
    <mergeCell ref="J91:J92"/>
    <mergeCell ref="K91:K92"/>
    <mergeCell ref="L91:L92"/>
    <mergeCell ref="M91:M92"/>
    <mergeCell ref="L97:M97"/>
    <mergeCell ref="I91:I92"/>
    <mergeCell ref="I121:I122"/>
    <mergeCell ref="J121:J122"/>
    <mergeCell ref="K121:K122"/>
    <mergeCell ref="L121:L122"/>
    <mergeCell ref="M121:M122"/>
    <mergeCell ref="J111:J112"/>
    <mergeCell ref="K111:K112"/>
    <mergeCell ref="L111:L112"/>
    <mergeCell ref="B121:B122"/>
    <mergeCell ref="D121:D122"/>
    <mergeCell ref="F121:F122"/>
    <mergeCell ref="G121:G122"/>
    <mergeCell ref="H121:H122"/>
    <mergeCell ref="B111:B112"/>
    <mergeCell ref="D111:D112"/>
    <mergeCell ref="F111:F112"/>
    <mergeCell ref="G111:G112"/>
    <mergeCell ref="H111:H112"/>
    <mergeCell ref="M111:M112"/>
    <mergeCell ref="L117:M117"/>
    <mergeCell ref="I111:I112"/>
  </mergeCells>
  <conditionalFormatting sqref="D8:D10 B8:B10 B13:B16 D18:D20 B18:B20 D13:D16 B23:B70 B103:B125 D23:D30 D103:D110 B72:B100 D73:D80 D33:D40 D43:D50 D53:D60 D63:D70 D83:D90 D93:D100 D113:D120 D123:D125">
    <cfRule type="expression" dxfId="66" priority="26" stopIfTrue="1">
      <formula>#REF!=3</formula>
    </cfRule>
  </conditionalFormatting>
  <conditionalFormatting sqref="E7:E10 C7:C10 C58:C60 E58:E60 C68:C70 E68:E70 C78:C80 E78:E80 C13:C20 E13:E20 E23:E30 C23:C30 C33:C40 E33:E40 E43:E50 C43:C50 C53:C56 E53:E56 E63:E66 C63:C66 E73:E76 C73:C76 E83:E90 C83:C90 C93:C100 E93:E100 E103:E110 C103:C110 C113:C120 E113:E120 E123:E125 C123:C125">
    <cfRule type="cellIs" dxfId="65" priority="25" stopIfTrue="1" operator="equal">
      <formula>0</formula>
    </cfRule>
  </conditionalFormatting>
  <conditionalFormatting sqref="B11 B36 D36 B45 D45 D55 B55 B63 D63 B78 D78 D87 B87 B94 D94 B108 D108 D118 B118 D39 B39 D48 B48 D57 B57 B21 D29:D30 B29:B31 B41 B51 B61 D70 B70:B71 B81 B91 B101 B111 B121">
    <cfRule type="expression" dxfId="64" priority="24" stopIfTrue="1">
      <formula>#REF!=3</formula>
    </cfRule>
  </conditionalFormatting>
  <conditionalFormatting sqref="E11:E12 C11:C12">
    <cfRule type="cellIs" dxfId="63" priority="23" stopIfTrue="1" operator="equal">
      <formula>0</formula>
    </cfRule>
  </conditionalFormatting>
  <conditionalFormatting sqref="D11">
    <cfRule type="expression" dxfId="62" priority="22" stopIfTrue="1">
      <formula>#REF!=3</formula>
    </cfRule>
  </conditionalFormatting>
  <conditionalFormatting sqref="E21:E22 C21:C22">
    <cfRule type="cellIs" dxfId="61" priority="21" stopIfTrue="1" operator="equal">
      <formula>0</formula>
    </cfRule>
  </conditionalFormatting>
  <conditionalFormatting sqref="D21">
    <cfRule type="expression" dxfId="60" priority="20" stopIfTrue="1">
      <formula>#REF!=3</formula>
    </cfRule>
  </conditionalFormatting>
  <conditionalFormatting sqref="E31:E32 C31:C32">
    <cfRule type="cellIs" dxfId="59" priority="19" stopIfTrue="1" operator="equal">
      <formula>0</formula>
    </cfRule>
  </conditionalFormatting>
  <conditionalFormatting sqref="D31">
    <cfRule type="expression" dxfId="58" priority="18" stopIfTrue="1">
      <formula>#REF!=3</formula>
    </cfRule>
  </conditionalFormatting>
  <conditionalFormatting sqref="E41:E42 C41:C42">
    <cfRule type="cellIs" dxfId="57" priority="17" stopIfTrue="1" operator="equal">
      <formula>0</formula>
    </cfRule>
  </conditionalFormatting>
  <conditionalFormatting sqref="D41">
    <cfRule type="expression" dxfId="56" priority="16" stopIfTrue="1">
      <formula>#REF!=3</formula>
    </cfRule>
  </conditionalFormatting>
  <conditionalFormatting sqref="C51:C52">
    <cfRule type="cellIs" dxfId="55" priority="15" stopIfTrue="1" operator="equal">
      <formula>0</formula>
    </cfRule>
  </conditionalFormatting>
  <conditionalFormatting sqref="D51">
    <cfRule type="expression" dxfId="54" priority="14" stopIfTrue="1">
      <formula>#REF!=3</formula>
    </cfRule>
  </conditionalFormatting>
  <conditionalFormatting sqref="D61:D62">
    <cfRule type="expression" dxfId="53" priority="13" stopIfTrue="1">
      <formula>#REF!=3</formula>
    </cfRule>
  </conditionalFormatting>
  <conditionalFormatting sqref="D61">
    <cfRule type="expression" dxfId="52" priority="12" stopIfTrue="1">
      <formula>#REF!=3</formula>
    </cfRule>
  </conditionalFormatting>
  <conditionalFormatting sqref="D72">
    <cfRule type="expression" dxfId="51" priority="11" stopIfTrue="1">
      <formula>#REF!=3</formula>
    </cfRule>
  </conditionalFormatting>
  <conditionalFormatting sqref="D71">
    <cfRule type="expression" dxfId="50" priority="10" stopIfTrue="1">
      <formula>#REF!=3</formula>
    </cfRule>
  </conditionalFormatting>
  <conditionalFormatting sqref="D81:D82">
    <cfRule type="expression" dxfId="49" priority="9" stopIfTrue="1">
      <formula>#REF!=3</formula>
    </cfRule>
  </conditionalFormatting>
  <conditionalFormatting sqref="D81">
    <cfRule type="expression" dxfId="48" priority="8" stopIfTrue="1">
      <formula>#REF!=3</formula>
    </cfRule>
  </conditionalFormatting>
  <conditionalFormatting sqref="D91:D92">
    <cfRule type="expression" dxfId="47" priority="7" stopIfTrue="1">
      <formula>#REF!=3</formula>
    </cfRule>
  </conditionalFormatting>
  <conditionalFormatting sqref="D91">
    <cfRule type="expression" dxfId="46" priority="6" stopIfTrue="1">
      <formula>#REF!=3</formula>
    </cfRule>
  </conditionalFormatting>
  <conditionalFormatting sqref="D101">
    <cfRule type="expression" dxfId="45" priority="5" stopIfTrue="1">
      <formula>#REF!=3</formula>
    </cfRule>
  </conditionalFormatting>
  <conditionalFormatting sqref="D111:D112">
    <cfRule type="expression" dxfId="44" priority="4" stopIfTrue="1">
      <formula>#REF!=3</formula>
    </cfRule>
  </conditionalFormatting>
  <conditionalFormatting sqref="D111">
    <cfRule type="expression" dxfId="43" priority="3" stopIfTrue="1">
      <formula>#REF!=3</formula>
    </cfRule>
  </conditionalFormatting>
  <conditionalFormatting sqref="D121:D122">
    <cfRule type="expression" dxfId="42" priority="2" stopIfTrue="1">
      <formula>#REF!=3</formula>
    </cfRule>
  </conditionalFormatting>
  <conditionalFormatting sqref="D121">
    <cfRule type="expression" dxfId="41" priority="1" stopIfTrue="1">
      <formula>#REF!=3</formula>
    </cfRule>
  </conditionalFormatting>
  <pageMargins left="0.7" right="0.7" top="0.75" bottom="0.75" header="0.3" footer="0.3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6A26DE-C4E6-4447-8AE2-0A4A879AB787}">
          <x14:formula1>
            <xm:f>Abitabel!$J$1:$J$20</xm:f>
          </x14:formula1>
          <xm:sqref>K38:K45 K18:K25 K28:K35 K8:K15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CBCA5-B0F8-49E1-ACB2-D68C6E5378AE}">
  <sheetPr>
    <pageSetUpPr fitToPage="1"/>
  </sheetPr>
  <dimension ref="A1:R126"/>
  <sheetViews>
    <sheetView zoomScale="85" zoomScaleNormal="85" workbookViewId="0">
      <selection activeCell="E32" sqref="E32"/>
    </sheetView>
  </sheetViews>
  <sheetFormatPr defaultColWidth="9.28515625" defaultRowHeight="12.75"/>
  <cols>
    <col min="1" max="1" width="13.710937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hidden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578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579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2</v>
      </c>
      <c r="C7" s="4" t="str">
        <f>I_voor_5p!G7</f>
        <v>Tartu SS Kalev</v>
      </c>
      <c r="D7" s="3">
        <f>IF(K8="","",SUM(M8:M15))</f>
        <v>4</v>
      </c>
      <c r="E7" s="4" t="str">
        <f>I_voor_5p!R7</f>
        <v>Viimsi PINX</v>
      </c>
      <c r="F7" s="5" t="s">
        <v>2</v>
      </c>
      <c r="G7" s="5" t="s">
        <v>3</v>
      </c>
      <c r="H7" s="5" t="s">
        <v>4</v>
      </c>
      <c r="I7" s="5" t="s">
        <v>5</v>
      </c>
      <c r="J7" s="5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128</v>
      </c>
      <c r="B8" s="9" t="s">
        <v>9</v>
      </c>
      <c r="C8" s="8" t="str">
        <f>VLOOKUP(B8,I_voor_5p!$B$8:$K$12,2,FALSE)</f>
        <v>Mart LUUK</v>
      </c>
      <c r="D8" s="9" t="s">
        <v>10</v>
      </c>
      <c r="E8" s="8" t="str">
        <f>VLOOKUP(D8,I_voor_5p!$M$8:$W$12,2,FALSE)</f>
        <v>Daniel KOSIBA</v>
      </c>
      <c r="F8" s="9" t="str">
        <f>IF(I_voor_5p!E16=0,"",I_voor_5p!E16)</f>
        <v>6:11</v>
      </c>
      <c r="G8" s="9" t="str">
        <f>IF(I_voor_5p!H16=0,"",I_voor_5p!H16)</f>
        <v>9:11</v>
      </c>
      <c r="H8" s="9" t="str">
        <f>IF(I_voor_5p!K16=0,"",I_voor_5p!K16)</f>
        <v>9:11</v>
      </c>
      <c r="I8" s="9" t="str">
        <f>IF(I_voor_5p!N16=0,"",I_voor_5p!N16)</f>
        <v/>
      </c>
      <c r="J8" s="9" t="str">
        <f>IF(I_voor_5p!Q16=0,"",I_voor_5p!Q16)</f>
        <v/>
      </c>
      <c r="K8" s="53" t="str">
        <f>IF(F8="","",CONCATENATE(Abitabel6!G2,":",Abitabel6!N2))</f>
        <v>0:3</v>
      </c>
      <c r="L8" s="35">
        <f>IF(K8="","",IF(LEFT(K8,1)&lt;RIGHT(K8,1),0,1))</f>
        <v>0</v>
      </c>
      <c r="M8" s="35">
        <f>IF(K8="","",IF(LEFT(K8,1)&gt;RIGHT(K8,1),0,1))</f>
        <v>1</v>
      </c>
      <c r="Q8" s="1" t="str">
        <f>IF(OR(LEFT(K8,1)="3",RIGHT(K8,1)="3"),"","ERROR")</f>
        <v/>
      </c>
    </row>
    <row r="9" spans="1:18">
      <c r="A9" s="7" t="s">
        <v>59</v>
      </c>
      <c r="B9" s="9" t="s">
        <v>11</v>
      </c>
      <c r="C9" s="8" t="str">
        <f>VLOOKUP(B9,I_voor_5p!$B$8:$K$12,2,FALSE)</f>
        <v>Arttu Antero PIHKALA</v>
      </c>
      <c r="D9" s="9" t="s">
        <v>12</v>
      </c>
      <c r="E9" s="8" t="str">
        <f>VLOOKUP(D9,I_voor_5p!$M$8:$W$12,2,FALSE)</f>
        <v>Maksim VUHKA</v>
      </c>
      <c r="F9" s="9" t="str">
        <f>IF(I_voor_5p!E17=0,"",I_voor_5p!E17)</f>
        <v>9:11</v>
      </c>
      <c r="G9" s="9" t="str">
        <f>IF(I_voor_5p!H17=0,"",I_voor_5p!H17)</f>
        <v>11:5</v>
      </c>
      <c r="H9" s="9" t="str">
        <f>IF(I_voor_5p!K17=0,"",I_voor_5p!K17)</f>
        <v>5:11</v>
      </c>
      <c r="I9" s="9" t="str">
        <f>IF(I_voor_5p!N17=0,"",I_voor_5p!N17)</f>
        <v>3:11</v>
      </c>
      <c r="J9" s="9" t="str">
        <f>IF(I_voor_5p!Q17=0,"",I_voor_5p!Q17)</f>
        <v/>
      </c>
      <c r="K9" s="53" t="str">
        <f>IF(F9="","",CONCATENATE(Abitabel6!G3,":",Abitabel6!N3))</f>
        <v>1:3</v>
      </c>
      <c r="L9" s="35">
        <f t="shared" ref="L9:L10" si="0">IF(K9="","",IF(LEFT(K9,1)&lt;RIGHT(K9,1),0,1))</f>
        <v>0</v>
      </c>
      <c r="M9" s="35">
        <f t="shared" ref="M9:M10" si="1">IF(K9="","",IF(LEFT(K9,1)&gt;RIGHT(K9,1),0,1))</f>
        <v>1</v>
      </c>
      <c r="Q9" s="1" t="str">
        <f t="shared" ref="Q9:Q71" si="2">IF(OR(LEFT(K9,1)="3",RIGHT(K9,1)="3"),"","ERROR")</f>
        <v/>
      </c>
    </row>
    <row r="10" spans="1:18">
      <c r="A10" s="7"/>
      <c r="B10" s="9" t="s">
        <v>13</v>
      </c>
      <c r="C10" s="8" t="str">
        <f>VLOOKUP(B10,I_voor_5p!$B$8:$K$12,2,FALSE)</f>
        <v>Markkos PUKK</v>
      </c>
      <c r="D10" s="9" t="s">
        <v>14</v>
      </c>
      <c r="E10" s="8" t="str">
        <f>VLOOKUP(D10,I_voor_5p!$M$8:$W$12,2,FALSE)</f>
        <v>Sergei PETROV</v>
      </c>
      <c r="F10" s="9" t="str">
        <f>IF(I_voor_5p!E18=0,"",I_voor_5p!E18)</f>
        <v>9:11</v>
      </c>
      <c r="G10" s="9" t="str">
        <f>IF(I_voor_5p!H18=0,"",I_voor_5p!H18)</f>
        <v>11:5</v>
      </c>
      <c r="H10" s="9" t="str">
        <f>IF(I_voor_5p!K18=0,"",I_voor_5p!K18)</f>
        <v>12:10</v>
      </c>
      <c r="I10" s="9" t="str">
        <f>IF(I_voor_5p!N18=0,"",I_voor_5p!N18)</f>
        <v>9:11</v>
      </c>
      <c r="J10" s="9" t="str">
        <f>IF(I_voor_5p!Q18=0,"",I_voor_5p!Q18)</f>
        <v>13:11</v>
      </c>
      <c r="K10" s="53" t="str">
        <f>IF(F10="","",CONCATENATE(Abitabel6!G4,":",Abitabel6!N4))</f>
        <v>3:2</v>
      </c>
      <c r="L10" s="35">
        <f t="shared" si="0"/>
        <v>1</v>
      </c>
      <c r="M10" s="35">
        <f t="shared" si="1"/>
        <v>0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IF(ISBLANK(I_voor_5p!C19), "", INDEX(I_voor_5p!C8:C12, MATCH(MID(I_voor_5p!C19,1,1), I_voor_5p!B8:B12, 0)))</f>
        <v>Mart LUUK</v>
      </c>
      <c r="D11" s="290" t="s">
        <v>15</v>
      </c>
      <c r="E11" s="8" t="str">
        <f>IF(ISBLANK(I_voor_5p!C19), "", INDEX(I_voor_5p!N8:N12, MATCH(MID(I_voor_5p!C19,4,1), I_voor_5p!M8:M12, 0)))</f>
        <v>Maksim VUHKA</v>
      </c>
      <c r="F11" s="292" t="str">
        <f>IF(I_voor_5p!E19=0,"",I_voor_5p!E19)</f>
        <v>6:11</v>
      </c>
      <c r="G11" s="292" t="str">
        <f>IF(I_voor_5p!H19=0,"",I_voor_5p!H19)</f>
        <v>13:11</v>
      </c>
      <c r="H11" s="292" t="str">
        <f>IF(I_voor_5p!K19=0,"",I_voor_5p!K19)</f>
        <v>11:9</v>
      </c>
      <c r="I11" s="292" t="str">
        <f>IF(I_voor_5p!N19=0,"",I_voor_5p!N19)</f>
        <v>8:11</v>
      </c>
      <c r="J11" s="292" t="str">
        <f>IF(I_voor_5p!Q19=0,"",I_voor_5p!Q19)</f>
        <v>10:12</v>
      </c>
      <c r="K11" s="294" t="str">
        <f>IF(F11="","",CONCATENATE(Abitabel6!G5,":",Abitabel6!N5))</f>
        <v>2:3</v>
      </c>
      <c r="L11" s="295">
        <f>IF(K11="","",IF(LEFT(K11,1)&lt;RIGHT(K11,1),0,1))</f>
        <v>0</v>
      </c>
      <c r="M11" s="295">
        <f>IF(K11="","",IF(LEFT(K11,1)&gt;RIGHT(K11,1),0,1))</f>
        <v>1</v>
      </c>
      <c r="Q11" s="1" t="str">
        <f t="shared" si="2"/>
        <v/>
      </c>
    </row>
    <row r="12" spans="1:18">
      <c r="A12" s="7"/>
      <c r="B12" s="291"/>
      <c r="C12" s="8" t="str">
        <f>IF(ISBLANK(I_voor_5p!C19), "", INDEX(I_voor_5p!C8:C12, MATCH(MID(I_voor_5p!C19,2,1), I_voor_5p!B8:B12, 0)))</f>
        <v>Markkos PUKK</v>
      </c>
      <c r="D12" s="291"/>
      <c r="E12" s="8" t="str">
        <f>IF(ISBLANK(I_voor_5p!C19), "", INDEX(I_voor_5p!N8:N12, MATCH(MID(I_voor_5p!C19,5,1), I_voor_5p!M8:M12, 0)))</f>
        <v>Daniel KOSIBA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VLOOKUP(B13,I_voor_5p!$B$8:$K$12,2,FALSE)</f>
        <v>Mart LUUK</v>
      </c>
      <c r="D13" s="9" t="s">
        <v>12</v>
      </c>
      <c r="E13" s="8" t="str">
        <f>VLOOKUP(D13,I_voor_5p!$M$8:$W$12,2,FALSE)</f>
        <v>Maksim VUHKA</v>
      </c>
      <c r="F13" s="82" t="str">
        <f>IF(I_voor_5p!E20=0,"",I_voor_5p!E20)</f>
        <v>11:8</v>
      </c>
      <c r="G13" s="82" t="str">
        <f>IF(I_voor_5p!H20=0,"",I_voor_5p!H20)</f>
        <v>11:8</v>
      </c>
      <c r="H13" s="82" t="str">
        <f>IF(I_voor_5p!K20=0,"",I_voor_5p!K20)</f>
        <v>8:11</v>
      </c>
      <c r="I13" s="82" t="str">
        <f>IF(I_voor_5p!N20=0,"",I_voor_5p!N20)</f>
        <v>11:6</v>
      </c>
      <c r="J13" s="82" t="str">
        <f>IF(I_voor_5p!Q20=0,"",I_voor_5p!Q20)</f>
        <v/>
      </c>
      <c r="K13" s="53" t="str">
        <f>IF(F13="","",CONCATENATE(Abitabel6!G7,":",Abitabel6!N7))</f>
        <v>3:1</v>
      </c>
      <c r="L13" s="35">
        <f>IF(K13="","",IF(LEFT(K13,1)&lt;RIGHT(K13,1),0,1))</f>
        <v>1</v>
      </c>
      <c r="M13" s="35">
        <f>IF(K13="","",IF(LEFT(K13,1)&gt;RIGHT(K13,1),0,1))</f>
        <v>0</v>
      </c>
      <c r="Q13" s="1" t="str">
        <f t="shared" si="2"/>
        <v/>
      </c>
    </row>
    <row r="14" spans="1:18">
      <c r="A14" s="7"/>
      <c r="B14" s="9" t="s">
        <v>13</v>
      </c>
      <c r="C14" s="8" t="str">
        <f>VLOOKUP(B14,I_voor_5p!$B$8:$K$12,2,FALSE)</f>
        <v>Markkos PUKK</v>
      </c>
      <c r="D14" s="9" t="s">
        <v>10</v>
      </c>
      <c r="E14" s="8" t="str">
        <f>VLOOKUP(D14,I_voor_5p!$M$8:$W$12,2,FALSE)</f>
        <v>Daniel KOSIBA</v>
      </c>
      <c r="F14" s="82" t="str">
        <f>IF(I_voor_5p!E21=0,"",I_voor_5p!E21)</f>
        <v>9:11</v>
      </c>
      <c r="G14" s="82" t="str">
        <f>IF(I_voor_5p!H21=0,"",I_voor_5p!H21)</f>
        <v>6:11</v>
      </c>
      <c r="H14" s="82" t="str">
        <f>IF(I_voor_5p!K21=0,"",I_voor_5p!K21)</f>
        <v>7:11</v>
      </c>
      <c r="I14" s="82" t="str">
        <f>IF(I_voor_5p!N21=0,"",I_voor_5p!N21)</f>
        <v/>
      </c>
      <c r="J14" s="82" t="str">
        <f>IF(I_voor_5p!Q21=0,"",I_voor_5p!Q21)</f>
        <v/>
      </c>
      <c r="K14" s="53" t="str">
        <f>IF(F14="","",CONCATENATE(Abitabel6!G8,":",Abitabel6!N8))</f>
        <v>0:3</v>
      </c>
      <c r="L14" s="35">
        <f>IF(K14="","",IF(LEFT(K14,1)&lt;RIGHT(K14,1),0,1))</f>
        <v>0</v>
      </c>
      <c r="M14" s="35">
        <f>IF(L14="","",IF(LEFT(K14,1)&gt;RIGHT(K14,1),0,1))</f>
        <v>1</v>
      </c>
      <c r="Q14" s="1" t="str">
        <f t="shared" si="2"/>
        <v/>
      </c>
    </row>
    <row r="15" spans="1:18">
      <c r="A15" s="7"/>
      <c r="B15" s="9" t="s">
        <v>11</v>
      </c>
      <c r="C15" s="8" t="str">
        <f>VLOOKUP(B15,I_voor_5p!$B$8:$K$12,2,FALSE)</f>
        <v>Arttu Antero PIHKALA</v>
      </c>
      <c r="D15" s="9" t="s">
        <v>14</v>
      </c>
      <c r="E15" s="8" t="str">
        <f>VLOOKUP(D15,I_voor_5p!$M$8:$W$12,2,FALSE)</f>
        <v>Sergei PETROV</v>
      </c>
      <c r="F15" s="82" t="str">
        <f>IF(I_voor_5p!E22=0,"",I_voor_5p!E22)</f>
        <v/>
      </c>
      <c r="G15" s="82" t="str">
        <f>IF(I_voor_5p!H22=0,"",I_voor_5p!H22)</f>
        <v/>
      </c>
      <c r="H15" s="82" t="str">
        <f>IF(I_voor_5p!K22=0,"",I_voor_5p!K22)</f>
        <v/>
      </c>
      <c r="I15" s="82" t="str">
        <f>IF(I_voor_5p!N22=0,"",I_voor_5p!N22)</f>
        <v/>
      </c>
      <c r="J15" s="82" t="str">
        <f>IF(I_voor_5p!Q22=0,"",I_voor_5p!Q22)</f>
        <v/>
      </c>
      <c r="K15" s="53" t="str">
        <f>IF(F15="","",CONCATENATE(Abitabel6!G9,":",Abitabel6!N9))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Meeskond4</v>
      </c>
      <c r="D16" s="10"/>
      <c r="E16" s="33" t="str">
        <f>VLOOKUP(E7,Koosseisud!A:B,2,FALSE)</f>
        <v>Meeskond2</v>
      </c>
      <c r="F16" s="10"/>
      <c r="G16" s="10"/>
      <c r="H16" s="10"/>
      <c r="I16" s="10"/>
      <c r="J16" s="11"/>
      <c r="K16" s="12"/>
      <c r="L16" s="13"/>
      <c r="M16" s="13"/>
    </row>
    <row r="17" spans="1:18" ht="15">
      <c r="A17" s="2" t="s">
        <v>69</v>
      </c>
      <c r="B17" s="3">
        <f>IF(K18="","",SUM(L18:L25))</f>
        <v>4</v>
      </c>
      <c r="C17" s="4" t="str">
        <f>I_voor_5p!G37</f>
        <v>TalTech Spordiklubi</v>
      </c>
      <c r="D17" s="3">
        <f>IF(K18="","",SUM(M18:M25))</f>
        <v>1</v>
      </c>
      <c r="E17" s="4" t="str">
        <f>I_voor_5p!R37</f>
        <v>Tiim FORUS - Maardu LTK</v>
      </c>
      <c r="F17" s="5" t="s">
        <v>2</v>
      </c>
      <c r="G17" s="5" t="s">
        <v>3</v>
      </c>
      <c r="H17" s="5" t="s">
        <v>4</v>
      </c>
      <c r="I17" s="5" t="s">
        <v>5</v>
      </c>
      <c r="J17" s="5" t="s">
        <v>6</v>
      </c>
      <c r="K17" s="6" t="s">
        <v>7</v>
      </c>
      <c r="L17" s="287" t="s">
        <v>8</v>
      </c>
      <c r="M17" s="287"/>
      <c r="R17" s="1" t="str">
        <f>IF(OR(B17=4,D17=4),"","ERROR")</f>
        <v/>
      </c>
    </row>
    <row r="18" spans="1:18">
      <c r="A18" s="7" t="s">
        <v>128</v>
      </c>
      <c r="B18" s="9" t="s">
        <v>9</v>
      </c>
      <c r="C18" s="8" t="str">
        <f>VLOOKUP(B18,I_voor_5p!$B$38:$K$42,2,FALSE)</f>
        <v>Madis MOOS</v>
      </c>
      <c r="D18" s="9" t="s">
        <v>10</v>
      </c>
      <c r="E18" s="8" t="str">
        <f>VLOOKUP(D18,I_voor_5p!$M$38:$W$42,2,FALSE)</f>
        <v>Lauri LAANE</v>
      </c>
      <c r="F18" s="9" t="str">
        <f>IF(I_voor_5p!E46=0,"",I_voor_5p!E46)</f>
        <v>11:3</v>
      </c>
      <c r="G18" s="9" t="str">
        <f>IF(I_voor_5p!H46=0,"",I_voor_5p!H46)</f>
        <v>12:10</v>
      </c>
      <c r="H18" s="9" t="str">
        <f>IF(I_voor_5p!K46=0,"",I_voor_5p!K46)</f>
        <v>11:4</v>
      </c>
      <c r="I18" s="9" t="str">
        <f>IF(I_voor_5p!N46=0,"",I_voor_5p!N46)</f>
        <v/>
      </c>
      <c r="J18" s="9" t="str">
        <f>IF(I_voor_5p!Q46=0,"",I_voor_5p!Q46)</f>
        <v/>
      </c>
      <c r="K18" s="53" t="str">
        <f>IF(F18="","",CONCATENATE(Abitabel6!G12,":",Abitabel6!N12))</f>
        <v>3:0</v>
      </c>
      <c r="L18" s="35">
        <f>IF(K18="","",IF(LEFT(K18,1)&lt;RIGHT(K18,1),0,1))</f>
        <v>1</v>
      </c>
      <c r="M18" s="35">
        <f>IF(K18="","",IF(LEFT(K18,1)&gt;RIGHT(K18,1),0,1))</f>
        <v>0</v>
      </c>
      <c r="Q18" s="1" t="str">
        <f t="shared" si="2"/>
        <v/>
      </c>
    </row>
    <row r="19" spans="1:18">
      <c r="A19" s="7" t="s">
        <v>59</v>
      </c>
      <c r="B19" s="9" t="s">
        <v>11</v>
      </c>
      <c r="C19" s="8" t="str">
        <f>VLOOKUP(B19,I_voor_5p!$B$38:$K$42,2,FALSE)</f>
        <v>Samuli SOINE</v>
      </c>
      <c r="D19" s="9" t="s">
        <v>12</v>
      </c>
      <c r="E19" s="8" t="str">
        <f>VLOOKUP(D19,I_voor_5p!$M$38:$W$42,2,FALSE)</f>
        <v>Aleksandr SMIRNOV</v>
      </c>
      <c r="F19" s="9" t="str">
        <f>IF(I_voor_5p!E47=0,"",I_voor_5p!E47)</f>
        <v>6:11</v>
      </c>
      <c r="G19" s="9" t="str">
        <f>IF(I_voor_5p!H47=0,"",I_voor_5p!H47)</f>
        <v>11:6</v>
      </c>
      <c r="H19" s="9" t="str">
        <f>IF(I_voor_5p!K47=0,"",I_voor_5p!K47)</f>
        <v>8:11</v>
      </c>
      <c r="I19" s="9" t="str">
        <f>IF(I_voor_5p!N47=0,"",I_voor_5p!N47)</f>
        <v>9:11</v>
      </c>
      <c r="J19" s="9" t="str">
        <f>IF(I_voor_5p!Q47=0,"",I_voor_5p!Q47)</f>
        <v/>
      </c>
      <c r="K19" s="53" t="str">
        <f>IF(F19="","",CONCATENATE(Abitabel6!G13,":",Abitabel6!N13))</f>
        <v>1:3</v>
      </c>
      <c r="L19" s="35">
        <f t="shared" ref="L19:L20" si="3">IF(K19="","",IF(LEFT(K19,1)&lt;RIGHT(K19,1),0,1))</f>
        <v>0</v>
      </c>
      <c r="M19" s="35">
        <f t="shared" ref="M19:M20" si="4">IF(K19="","",IF(LEFT(K19,1)&gt;RIGHT(K19,1),0,1))</f>
        <v>1</v>
      </c>
      <c r="Q19" s="1" t="str">
        <f t="shared" si="2"/>
        <v/>
      </c>
    </row>
    <row r="20" spans="1:18">
      <c r="A20" s="7"/>
      <c r="B20" s="9" t="s">
        <v>13</v>
      </c>
      <c r="C20" s="8" t="str">
        <f>VLOOKUP(B20,I_voor_5p!$B$38:$K$42,2,FALSE)</f>
        <v>Stanislav STROGOV</v>
      </c>
      <c r="D20" s="9" t="s">
        <v>14</v>
      </c>
      <c r="E20" s="8" t="str">
        <f>VLOOKUP(D20,I_voor_5p!$M$38:$W$42,2,FALSE)</f>
        <v>Sergei DANILOV</v>
      </c>
      <c r="F20" s="9" t="str">
        <f>IF(I_voor_5p!E48=0,"",I_voor_5p!E48)</f>
        <v>5:11</v>
      </c>
      <c r="G20" s="9" t="str">
        <f>IF(I_voor_5p!H48=0,"",I_voor_5p!H48)</f>
        <v>11:5</v>
      </c>
      <c r="H20" s="9" t="str">
        <f>IF(I_voor_5p!K48=0,"",I_voor_5p!K48)</f>
        <v>11:4</v>
      </c>
      <c r="I20" s="9" t="str">
        <f>IF(I_voor_5p!N48=0,"",I_voor_5p!N48)</f>
        <v>11:9</v>
      </c>
      <c r="J20" s="9" t="str">
        <f>IF(I_voor_5p!Q48=0,"",I_voor_5p!Q48)</f>
        <v/>
      </c>
      <c r="K20" s="53" t="str">
        <f>IF(F20="","",CONCATENATE(Abitabel6!G14,":",Abitabel6!N14))</f>
        <v>3:1</v>
      </c>
      <c r="L20" s="35">
        <f t="shared" si="3"/>
        <v>1</v>
      </c>
      <c r="M20" s="35">
        <f t="shared" si="4"/>
        <v>0</v>
      </c>
      <c r="Q20" s="1" t="str">
        <f t="shared" si="2"/>
        <v/>
      </c>
    </row>
    <row r="21" spans="1:18">
      <c r="A21" s="7"/>
      <c r="B21" s="290" t="s">
        <v>15</v>
      </c>
      <c r="C21" s="8" t="str">
        <f>IF(ISBLANK(I_voor_5p!C49), "", INDEX(I_voor_5p!C38:C42, MATCH(MID(I_voor_5p!C49,1,1), I_voor_5p!B38:B42, 0)))</f>
        <v>Madis MOOS</v>
      </c>
      <c r="D21" s="290" t="s">
        <v>15</v>
      </c>
      <c r="E21" s="8" t="str">
        <f>IF(ISBLANK(I_voor_5p!C49), "", INDEX(I_voor_5p!N38:N42, MATCH(MID(I_voor_5p!C49,4,1), I_voor_5p!M38:M42, 0)))</f>
        <v>Aleksandr SMIRNOV</v>
      </c>
      <c r="F21" s="292" t="str">
        <f>IF(I_voor_5p!E49=0,"",I_voor_5p!E49)</f>
        <v>11:9</v>
      </c>
      <c r="G21" s="292" t="str">
        <f>IF(I_voor_5p!H49=0,"",I_voor_5p!H49)</f>
        <v>7:11</v>
      </c>
      <c r="H21" s="292" t="str">
        <f>IF(I_voor_5p!K49=0,"",I_voor_5p!K49)</f>
        <v>11:9</v>
      </c>
      <c r="I21" s="292" t="str">
        <f>IF(I_voor_5p!N49=0,"",I_voor_5p!N49)</f>
        <v>11:5</v>
      </c>
      <c r="J21" s="292" t="str">
        <f>IF(I_voor_5p!Q49=0,"",I_voor_5p!Q49)</f>
        <v/>
      </c>
      <c r="K21" s="294" t="str">
        <f>IF(F21="","",CONCATENATE(Abitabel6!G15,":",Abitabel6!N15))</f>
        <v>3:1</v>
      </c>
      <c r="L21" s="295">
        <f>IF(K21="","",IF(LEFT(K21,1)&lt;RIGHT(K21,1),0,1))</f>
        <v>1</v>
      </c>
      <c r="M21" s="295">
        <f>IF(K21="","",IF(LEFT(K21,1)&gt;RIGHT(K21,1),0,1))</f>
        <v>0</v>
      </c>
      <c r="Q21" s="1" t="str">
        <f t="shared" si="2"/>
        <v/>
      </c>
    </row>
    <row r="22" spans="1:18">
      <c r="A22" s="7"/>
      <c r="B22" s="291"/>
      <c r="C22" s="8" t="str">
        <f>IF(ISBLANK(I_voor_5p!C49), "", INDEX(I_voor_5p!C38:C42, MATCH(MID(I_voor_5p!C49,2,1), I_voor_5p!B38:B42, 0)))</f>
        <v>Stanislav STROGOV</v>
      </c>
      <c r="D22" s="291"/>
      <c r="E22" s="8" t="str">
        <f>IF(ISBLANK(I_voor_5p!C49), "", INDEX(I_voor_5p!N38:N42, MATCH(MID(I_voor_5p!C49,5,1), I_voor_5p!M38:M42, 0)))</f>
        <v>Lauri LAANE</v>
      </c>
      <c r="F22" s="293"/>
      <c r="G22" s="293"/>
      <c r="H22" s="293"/>
      <c r="I22" s="293"/>
      <c r="J22" s="293"/>
      <c r="K22" s="294"/>
      <c r="L22" s="295"/>
      <c r="M22" s="295"/>
    </row>
    <row r="23" spans="1:18">
      <c r="A23" s="7"/>
      <c r="B23" s="9" t="s">
        <v>9</v>
      </c>
      <c r="C23" s="8" t="str">
        <f>VLOOKUP(B23,I_voor_5p!$B$38:$K$42,2,FALSE)</f>
        <v>Madis MOOS</v>
      </c>
      <c r="D23" s="9" t="s">
        <v>12</v>
      </c>
      <c r="E23" s="8" t="str">
        <f>VLOOKUP(D23,I_voor_5p!$M$38:$W$42,2,FALSE)</f>
        <v>Aleksandr SMIRNOV</v>
      </c>
      <c r="F23" s="82" t="str">
        <f>IF(I_voor_5p!E50=0,"",I_voor_5p!E50)</f>
        <v>11:9</v>
      </c>
      <c r="G23" s="82" t="str">
        <f>IF(I_voor_5p!H50=0,"",I_voor_5p!H50)</f>
        <v>12:10</v>
      </c>
      <c r="H23" s="82" t="str">
        <f>IF(I_voor_5p!K50=0,"",I_voor_5p!K50)</f>
        <v>12:10</v>
      </c>
      <c r="I23" s="82" t="str">
        <f>IF(I_voor_5p!N50=0,"",I_voor_5p!N50)</f>
        <v/>
      </c>
      <c r="J23" s="82" t="str">
        <f>IF(I_voor_5p!Q50=0,"",I_voor_5p!Q50)</f>
        <v/>
      </c>
      <c r="K23" s="53" t="str">
        <f>IF(F23="","",CONCATENATE(Abitabel6!G17,":",Abitabel6!N17))</f>
        <v>3:0</v>
      </c>
      <c r="L23" s="35">
        <f>IF(K23="","",IF(LEFT(K23,1)&lt;RIGHT(K23,1),0,1))</f>
        <v>1</v>
      </c>
      <c r="M23" s="35">
        <f>IF(K23="","",IF(LEFT(K23,1)&gt;RIGHT(K23,1),0,1))</f>
        <v>0</v>
      </c>
      <c r="Q23" s="1" t="str">
        <f t="shared" si="2"/>
        <v/>
      </c>
    </row>
    <row r="24" spans="1:18">
      <c r="A24" s="7"/>
      <c r="B24" s="9" t="s">
        <v>13</v>
      </c>
      <c r="C24" s="8" t="str">
        <f>VLOOKUP(B24,I_voor_5p!$B$38:$K$42,2,FALSE)</f>
        <v>Stanislav STROGOV</v>
      </c>
      <c r="D24" s="9" t="s">
        <v>10</v>
      </c>
      <c r="E24" s="8" t="str">
        <f>VLOOKUP(D24,I_voor_5p!$M$38:$W$42,2,FALSE)</f>
        <v>Lauri LAANE</v>
      </c>
      <c r="F24" s="82" t="str">
        <f>IF(I_voor_5p!E51=0,"",I_voor_5p!E51)</f>
        <v/>
      </c>
      <c r="G24" s="82" t="str">
        <f>IF(I_voor_5p!H51=0,"",I_voor_5p!H51)</f>
        <v/>
      </c>
      <c r="H24" s="82" t="str">
        <f>IF(I_voor_5p!K51=0,"",I_voor_5p!K51)</f>
        <v/>
      </c>
      <c r="I24" s="82" t="str">
        <f>IF(I_voor_5p!N51=0,"",I_voor_5p!N51)</f>
        <v/>
      </c>
      <c r="J24" s="82" t="str">
        <f>IF(I_voor_5p!Q51=0,"",I_voor_5p!Q51)</f>
        <v/>
      </c>
      <c r="K24" s="53" t="str">
        <f>IF(F24="","",CONCATENATE(Abitabel6!G18,":",Abitabel6!N18))</f>
        <v/>
      </c>
      <c r="L24" s="35" t="str">
        <f>IF(K24="","",IF(LEFT(K24,1)&lt;RIGHT(K24,1),0,1))</f>
        <v/>
      </c>
      <c r="M24" s="35" t="str">
        <f>IF(L24="","",IF(LEFT(K24,1)&gt;RIGHT(K24,1),0,1))</f>
        <v/>
      </c>
      <c r="Q24" s="1" t="str">
        <f t="shared" si="2"/>
        <v>ERROR</v>
      </c>
    </row>
    <row r="25" spans="1:18">
      <c r="A25" s="7"/>
      <c r="B25" s="9" t="s">
        <v>11</v>
      </c>
      <c r="C25" s="8" t="str">
        <f>VLOOKUP(B25,I_voor_5p!$B$38:$K$42,2,FALSE)</f>
        <v>Samuli SOINE</v>
      </c>
      <c r="D25" s="9" t="s">
        <v>14</v>
      </c>
      <c r="E25" s="8" t="str">
        <f>VLOOKUP(D25,I_voor_5p!$M$38:$W$42,2,FALSE)</f>
        <v>Sergei DANILOV</v>
      </c>
      <c r="F25" s="82" t="str">
        <f>IF(I_voor_5p!E52=0,"",I_voor_5p!E52)</f>
        <v/>
      </c>
      <c r="G25" s="82" t="str">
        <f>IF(I_voor_5p!H52=0,"",I_voor_5p!H52)</f>
        <v/>
      </c>
      <c r="H25" s="82" t="str">
        <f>IF(I_voor_5p!K52=0,"",I_voor_5p!K52)</f>
        <v/>
      </c>
      <c r="I25" s="82" t="str">
        <f>IF(I_voor_5p!N52=0,"",I_voor_5p!N52)</f>
        <v/>
      </c>
      <c r="J25" s="82" t="str">
        <f>IF(I_voor_5p!Q52=0,"",I_voor_5p!Q52)</f>
        <v/>
      </c>
      <c r="K25" s="53" t="str">
        <f>IF(F25="","",CONCATENATE(Abitabel6!G19,":",Abitabel6!N19))</f>
        <v/>
      </c>
      <c r="L25" s="35" t="str">
        <f>IF(K25="","",IF(LEFT(K25,1)&lt;RIGHT(K25,1),0,1))</f>
        <v/>
      </c>
      <c r="M25" s="35" t="str">
        <f>IF(L25="","",IF(LEFT(K25,1)&gt;RIGHT(K25,1),0,1))</f>
        <v/>
      </c>
      <c r="Q25" s="1" t="str">
        <f t="shared" si="2"/>
        <v>ERROR</v>
      </c>
    </row>
    <row r="26" spans="1:18">
      <c r="A26" s="7"/>
      <c r="B26" s="10"/>
      <c r="C26" s="33" t="str">
        <f>VLOOKUP(C17,Koosseisud!A:B,2,FALSE )</f>
        <v>Meeskond3</v>
      </c>
      <c r="D26" s="10"/>
      <c r="E26" s="33" t="str">
        <f>VLOOKUP(E17,Koosseisud!A:B,2,FALSE)</f>
        <v>Meeskond1</v>
      </c>
      <c r="F26" s="10"/>
      <c r="G26" s="10"/>
      <c r="H26" s="10"/>
      <c r="I26" s="10"/>
      <c r="J26" s="11"/>
      <c r="K26" s="12"/>
      <c r="L26" s="13"/>
      <c r="M26" s="13"/>
    </row>
    <row r="27" spans="1:18" ht="15">
      <c r="A27" s="2" t="s">
        <v>70</v>
      </c>
      <c r="B27" s="3">
        <f>IF(K28="","",SUM(L28:L35))</f>
        <v>1</v>
      </c>
      <c r="C27" s="4" t="str">
        <f>I_voor_5p!G67</f>
        <v>LTK Kalev/Radiaatorikeskus</v>
      </c>
      <c r="D27" s="3">
        <f>IF(K28="","",SUM(M28:M35))</f>
        <v>4</v>
      </c>
      <c r="E27" s="4" t="str">
        <f>I_voor_5p!R67</f>
        <v>Viimsi LTK/EM-SERV</v>
      </c>
      <c r="F27" s="5" t="s">
        <v>2</v>
      </c>
      <c r="G27" s="5" t="s">
        <v>3</v>
      </c>
      <c r="H27" s="5" t="s">
        <v>4</v>
      </c>
      <c r="I27" s="5" t="s">
        <v>5</v>
      </c>
      <c r="J27" s="5" t="s">
        <v>6</v>
      </c>
      <c r="K27" s="6" t="s">
        <v>7</v>
      </c>
      <c r="L27" s="287" t="s">
        <v>8</v>
      </c>
      <c r="M27" s="287"/>
      <c r="R27" s="1" t="str">
        <f>IF(OR(B27=4,D27=4),"","ERROR")</f>
        <v/>
      </c>
    </row>
    <row r="28" spans="1:18">
      <c r="A28" s="7" t="s">
        <v>128</v>
      </c>
      <c r="B28" s="9" t="s">
        <v>9</v>
      </c>
      <c r="C28" s="8" t="str">
        <f>VLOOKUP(B28,I_voor_5p!$B$68:$K$72,2,FALSE)</f>
        <v xml:space="preserve">Martin KRAIKO </v>
      </c>
      <c r="D28" s="9" t="s">
        <v>10</v>
      </c>
      <c r="E28" s="8" t="str">
        <f>VLOOKUP(D28,I_voor_5p!$M$68:$W$72,2,FALSE)</f>
        <v>Ilmar VUHKA</v>
      </c>
      <c r="F28" s="9" t="str">
        <f>IF(I_voor_5p!E76=0,"",I_voor_5p!E76)</f>
        <v>9:11</v>
      </c>
      <c r="G28" s="9" t="str">
        <f>IF(I_voor_5p!H76=0,"",I_voor_5p!H76)</f>
        <v>9:11</v>
      </c>
      <c r="H28" s="9" t="str">
        <f>IF(I_voor_5p!K76=0,"",I_voor_5p!K76)</f>
        <v>3:11</v>
      </c>
      <c r="I28" s="9" t="str">
        <f>IF(I_voor_5p!N76=0,"",I_voor_5p!N76)</f>
        <v/>
      </c>
      <c r="J28" s="9" t="str">
        <f>IF(I_voor_5p!Q76=0,"",I_voor_5p!Q76)</f>
        <v/>
      </c>
      <c r="K28" s="53" t="str">
        <f>IF(F28="","",CONCATENATE(Abitabel6!G22,":",Abitabel6!N22))</f>
        <v>0:3</v>
      </c>
      <c r="L28" s="35">
        <f>IF(K28="","",IF(LEFT(K28,1)&lt;RIGHT(K28,1),0,1))</f>
        <v>0</v>
      </c>
      <c r="M28" s="35">
        <f>IF(K28="","",IF(LEFT(K28,1)&gt;RIGHT(K28,1),0,1))</f>
        <v>1</v>
      </c>
      <c r="Q28" s="1" t="str">
        <f t="shared" si="2"/>
        <v/>
      </c>
    </row>
    <row r="29" spans="1:18">
      <c r="A29" s="7" t="s">
        <v>59</v>
      </c>
      <c r="B29" s="9" t="s">
        <v>11</v>
      </c>
      <c r="C29" s="8" t="str">
        <f>VLOOKUP(B29,I_voor_5p!$B$68:$K$72,2,FALSE)</f>
        <v>Jorma LAHTINEN</v>
      </c>
      <c r="D29" s="9" t="s">
        <v>12</v>
      </c>
      <c r="E29" s="8" t="str">
        <f>VLOOKUP(D29,I_voor_5p!$M$68:$W$72,2,FALSE)</f>
        <v>Pert Marten LEHTLAAN</v>
      </c>
      <c r="F29" s="9" t="str">
        <f>IF(I_voor_5p!E77=0,"",I_voor_5p!E77)</f>
        <v>8:11</v>
      </c>
      <c r="G29" s="9" t="str">
        <f>IF(I_voor_5p!H77=0,"",I_voor_5p!H77)</f>
        <v>11:4</v>
      </c>
      <c r="H29" s="9" t="str">
        <f>IF(I_voor_5p!K77=0,"",I_voor_5p!K77)</f>
        <v>6:11</v>
      </c>
      <c r="I29" s="9" t="str">
        <f>IF(I_voor_5p!N77=0,"",I_voor_5p!N77)</f>
        <v>9:11</v>
      </c>
      <c r="J29" s="9" t="str">
        <f>IF(I_voor_5p!Q77=0,"",I_voor_5p!Q77)</f>
        <v/>
      </c>
      <c r="K29" s="53" t="str">
        <f>IF(F29="","",CONCATENATE(Abitabel6!G23,":",Abitabel6!N23))</f>
        <v>1:3</v>
      </c>
      <c r="L29" s="35">
        <f t="shared" ref="L29:L30" si="5">IF(K29="","",IF(LEFT(K29,1)&lt;RIGHT(K29,1),0,1))</f>
        <v>0</v>
      </c>
      <c r="M29" s="35">
        <f t="shared" ref="M29:M30" si="6">IF(K29="","",IF(LEFT(K29,1)&gt;RIGHT(K29,1),0,1))</f>
        <v>1</v>
      </c>
      <c r="Q29" s="1" t="str">
        <f t="shared" si="2"/>
        <v/>
      </c>
    </row>
    <row r="30" spans="1:18">
      <c r="A30" s="7"/>
      <c r="B30" s="9" t="s">
        <v>13</v>
      </c>
      <c r="C30" s="8" t="str">
        <f>VLOOKUP(B30,I_voor_5p!$B$68:$K$72,2,FALSE)</f>
        <v>Kristjan KANT</v>
      </c>
      <c r="D30" s="9" t="s">
        <v>14</v>
      </c>
      <c r="E30" s="8" t="str">
        <f>VLOOKUP(D30,I_voor_5p!$M$68:$W$72,2,FALSE)</f>
        <v>Aleksei NIKONOROV</v>
      </c>
      <c r="F30" s="9" t="str">
        <f>IF(I_voor_5p!E78=0,"",I_voor_5p!E78)</f>
        <v>5:11</v>
      </c>
      <c r="G30" s="9" t="str">
        <f>IF(I_voor_5p!H78=0,"",I_voor_5p!H78)</f>
        <v>6:11</v>
      </c>
      <c r="H30" s="9" t="str">
        <f>IF(I_voor_5p!K78=0,"",I_voor_5p!K78)</f>
        <v>5:11</v>
      </c>
      <c r="I30" s="9" t="str">
        <f>IF(I_voor_5p!N78=0,"",I_voor_5p!N78)</f>
        <v/>
      </c>
      <c r="J30" s="9" t="str">
        <f>IF(I_voor_5p!Q78=0,"",I_voor_5p!Q78)</f>
        <v/>
      </c>
      <c r="K30" s="53" t="str">
        <f>IF(F30="","",CONCATENATE(Abitabel6!G24,":",Abitabel6!N24))</f>
        <v>0:3</v>
      </c>
      <c r="L30" s="35">
        <f t="shared" si="5"/>
        <v>0</v>
      </c>
      <c r="M30" s="35">
        <f t="shared" si="6"/>
        <v>1</v>
      </c>
      <c r="Q30" s="1" t="str">
        <f t="shared" si="2"/>
        <v/>
      </c>
    </row>
    <row r="31" spans="1:18">
      <c r="A31" s="7"/>
      <c r="B31" s="290" t="s">
        <v>15</v>
      </c>
      <c r="C31" s="8" t="str">
        <f>IF(ISBLANK(I_voor_5p!C79), "", INDEX(I_voor_5p!C68:C72, MATCH(MID(I_voor_5p!C79,1,1), I_voor_5p!B68:B72, 0)))</f>
        <v xml:space="preserve">Martin KRAIKO </v>
      </c>
      <c r="D31" s="290" t="s">
        <v>15</v>
      </c>
      <c r="E31" s="8" t="str">
        <f>IF(ISBLANK(I_voor_5p!C79), "", INDEX(I_voor_5p!N68:N72, MATCH(MID(I_voor_5p!C79,4,1), I_voor_5p!M68:M72, 0)))</f>
        <v>Daniels KOGANS</v>
      </c>
      <c r="F31" s="292" t="str">
        <f>IF(I_voor_5p!E79=0,"",I_voor_5p!E79)</f>
        <v>11:6</v>
      </c>
      <c r="G31" s="292" t="str">
        <f>IF(I_voor_5p!H79=0,"",I_voor_5p!H79)</f>
        <v>7:11</v>
      </c>
      <c r="H31" s="292" t="str">
        <f>IF(I_voor_5p!K79=0,"",I_voor_5p!K79)</f>
        <v>11:8</v>
      </c>
      <c r="I31" s="292" t="str">
        <f>IF(I_voor_5p!N79=0,"",I_voor_5p!N79)</f>
        <v>11:8</v>
      </c>
      <c r="J31" s="292" t="str">
        <f>IF(I_voor_5p!Q79=0,"",I_voor_5p!Q79)</f>
        <v/>
      </c>
      <c r="K31" s="294" t="str">
        <f>IF(F31="","",CONCATENATE(Abitabel6!G25,":",Abitabel6!N25))</f>
        <v>3:1</v>
      </c>
      <c r="L31" s="295">
        <f>IF(K31="","",IF(LEFT(K31,1)&lt;RIGHT(K31,1),0,1))</f>
        <v>1</v>
      </c>
      <c r="M31" s="295">
        <f>IF(K31="","",IF(LEFT(K31,1)&gt;RIGHT(K31,1),0,1))</f>
        <v>0</v>
      </c>
      <c r="Q31" s="1" t="str">
        <f t="shared" si="2"/>
        <v/>
      </c>
    </row>
    <row r="32" spans="1:18">
      <c r="A32" s="7"/>
      <c r="B32" s="291"/>
      <c r="C32" s="8" t="str">
        <f>IF(ISBLANK(I_voor_5p!C79), "", INDEX(I_voor_5p!C68:C72, MATCH(MID(I_voor_5p!C79,2,1), I_voor_5p!B68:B72, 0)))</f>
        <v>Kristjan KANT</v>
      </c>
      <c r="D32" s="291"/>
      <c r="E32" s="8" t="str">
        <f>IF(ISBLANK(I_voor_5p!C79), "", INDEX(I_voor_5p!N68:N72, MATCH(MID(I_voor_5p!C79,5,1), I_voor_5p!M68:M72, 0)))</f>
        <v>Raimond EINER</v>
      </c>
      <c r="F32" s="293"/>
      <c r="G32" s="293"/>
      <c r="H32" s="293"/>
      <c r="I32" s="293"/>
      <c r="J32" s="293"/>
      <c r="K32" s="294"/>
      <c r="L32" s="295"/>
      <c r="M32" s="295"/>
    </row>
    <row r="33" spans="1:18">
      <c r="A33" s="7"/>
      <c r="B33" s="9" t="s">
        <v>9</v>
      </c>
      <c r="C33" s="8" t="str">
        <f>VLOOKUP(B33,I_voor_5p!$B$68:$K$72,2,FALSE)</f>
        <v xml:space="preserve">Martin KRAIKO </v>
      </c>
      <c r="D33" s="9" t="s">
        <v>12</v>
      </c>
      <c r="E33" s="8" t="str">
        <f>VLOOKUP(D33,I_voor_5p!$M$68:$W$72,2,FALSE)</f>
        <v>Pert Marten LEHTLAAN</v>
      </c>
      <c r="F33" s="82" t="str">
        <f>IF(I_voor_5p!E80=0,"",I_voor_5p!E80)</f>
        <v>6:11</v>
      </c>
      <c r="G33" s="82" t="str">
        <f>IF(I_voor_5p!H80=0,"",I_voor_5p!H80)</f>
        <v>6:11</v>
      </c>
      <c r="H33" s="82" t="str">
        <f>IF(I_voor_5p!K80=0,"",I_voor_5p!K80)</f>
        <v>9:11</v>
      </c>
      <c r="I33" s="82" t="str">
        <f>IF(I_voor_5p!N80=0,"",I_voor_5p!N80)</f>
        <v/>
      </c>
      <c r="J33" s="82" t="str">
        <f>IF(I_voor_5p!Q80=0,"",I_voor_5p!Q80)</f>
        <v/>
      </c>
      <c r="K33" s="53" t="str">
        <f>IF(F33="","",CONCATENATE(Abitabel6!G27,":",Abitabel6!N27))</f>
        <v>0:3</v>
      </c>
      <c r="L33" s="35">
        <f>IF(K33="","",IF(LEFT(K33,1)&lt;RIGHT(K33,1),0,1))</f>
        <v>0</v>
      </c>
      <c r="M33" s="35">
        <f>IF(K33="","",IF(LEFT(K33,1)&gt;RIGHT(K33,1),0,1))</f>
        <v>1</v>
      </c>
      <c r="Q33" s="1" t="str">
        <f t="shared" si="2"/>
        <v/>
      </c>
    </row>
    <row r="34" spans="1:18">
      <c r="A34" s="7"/>
      <c r="B34" s="9" t="s">
        <v>13</v>
      </c>
      <c r="C34" s="8" t="str">
        <f>VLOOKUP(B34,I_voor_5p!$B$68:$K$72,2,FALSE)</f>
        <v>Kristjan KANT</v>
      </c>
      <c r="D34" s="9" t="s">
        <v>10</v>
      </c>
      <c r="E34" s="8" t="str">
        <f>VLOOKUP(D34,I_voor_5p!$M$68:$W$72,2,FALSE)</f>
        <v>Ilmar VUHKA</v>
      </c>
      <c r="F34" s="82" t="str">
        <f>IF(I_voor_5p!E81=0,"",I_voor_5p!E81)</f>
        <v/>
      </c>
      <c r="G34" s="82" t="str">
        <f>IF(I_voor_5p!H81=0,"",I_voor_5p!H81)</f>
        <v/>
      </c>
      <c r="H34" s="82" t="str">
        <f>IF(I_voor_5p!K81=0,"",I_voor_5p!K81)</f>
        <v/>
      </c>
      <c r="I34" s="82" t="str">
        <f>IF(I_voor_5p!N81=0,"",I_voor_5p!N81)</f>
        <v/>
      </c>
      <c r="J34" s="82" t="str">
        <f>IF(I_voor_5p!Q81=0,"",I_voor_5p!Q81)</f>
        <v/>
      </c>
      <c r="K34" s="53" t="str">
        <f>IF(F34="","",CONCATENATE(Abitabel6!G28,":",Abitabel6!N28))</f>
        <v/>
      </c>
      <c r="L34" s="35" t="str">
        <f>IF(K34="","",IF(LEFT(K34,1)&lt;RIGHT(K34,1),0,1))</f>
        <v/>
      </c>
      <c r="M34" s="35" t="str">
        <f>IF(L34="","",IF(LEFT(K34,1)&gt;RIGHT(K34,1),0,1))</f>
        <v/>
      </c>
      <c r="Q34" s="1" t="str">
        <f t="shared" si="2"/>
        <v>ERROR</v>
      </c>
    </row>
    <row r="35" spans="1:18">
      <c r="A35" s="7"/>
      <c r="B35" s="9" t="s">
        <v>11</v>
      </c>
      <c r="C35" s="8" t="str">
        <f>VLOOKUP(B35,I_voor_5p!$B$68:$K$72,2,FALSE)</f>
        <v>Jorma LAHTINEN</v>
      </c>
      <c r="D35" s="9" t="s">
        <v>14</v>
      </c>
      <c r="E35" s="8" t="str">
        <f>VLOOKUP(D35,I_voor_5p!$M$68:$W$72,2,FALSE)</f>
        <v>Aleksei NIKONOROV</v>
      </c>
      <c r="F35" s="82" t="str">
        <f>IF(I_voor_5p!E82=0,"",I_voor_5p!E82)</f>
        <v/>
      </c>
      <c r="G35" s="82" t="str">
        <f>IF(I_voor_5p!H82=0,"",I_voor_5p!H82)</f>
        <v/>
      </c>
      <c r="H35" s="82" t="str">
        <f>IF(I_voor_5p!K82=0,"",I_voor_5p!K82)</f>
        <v/>
      </c>
      <c r="I35" s="82" t="str">
        <f>IF(I_voor_5p!N82=0,"",I_voor_5p!N82)</f>
        <v/>
      </c>
      <c r="J35" s="82" t="str">
        <f>IF(I_voor_5p!Q82=0,"",I_voor_5p!Q82)</f>
        <v/>
      </c>
      <c r="K35" s="53" t="str">
        <f>IF(F35="","",CONCATENATE(Abitabel6!G29,":",Abitabel6!N29))</f>
        <v/>
      </c>
      <c r="L35" s="35" t="str">
        <f>IF(K35="","",IF(LEFT(K35,1)&lt;RIGHT(K35,1),0,1))</f>
        <v/>
      </c>
      <c r="M35" s="35" t="str">
        <f>IF(L35="","",IF(LEFT(K35,1)&gt;RIGHT(K35,1),0,1))</f>
        <v/>
      </c>
      <c r="Q35" s="1" t="str">
        <f t="shared" si="2"/>
        <v>ERROR</v>
      </c>
    </row>
    <row r="36" spans="1:18">
      <c r="A36" s="7"/>
      <c r="B36" s="10"/>
      <c r="C36" s="33" t="str">
        <f>VLOOKUP(C27,Koosseisud!A:B,2,FALSE )</f>
        <v>Meeskond8</v>
      </c>
      <c r="D36" s="10"/>
      <c r="E36" s="33" t="str">
        <f>VLOOKUP(E27,Koosseisud!A:B,2,FALSE)</f>
        <v>Meeskond7</v>
      </c>
      <c r="F36" s="10"/>
      <c r="G36" s="10"/>
      <c r="H36" s="10"/>
      <c r="I36" s="10"/>
      <c r="J36" s="11"/>
      <c r="K36" s="12"/>
      <c r="L36" s="13"/>
      <c r="M36" s="13"/>
    </row>
    <row r="37" spans="1:18" ht="15">
      <c r="A37" s="2" t="s">
        <v>71</v>
      </c>
      <c r="B37" s="3">
        <f>IF(K38="","",SUM(L38:L45))</f>
        <v>4</v>
      </c>
      <c r="C37" s="4" t="str">
        <f>I_voor_5p!G97</f>
        <v>SPINMASTER</v>
      </c>
      <c r="D37" s="3">
        <f>IF(K38="","",SUM(M38:M45))</f>
        <v>3</v>
      </c>
      <c r="E37" s="4" t="str">
        <f>I_voor_5p!R97</f>
        <v>Viljandi LTK Sakala</v>
      </c>
      <c r="F37" s="5" t="s">
        <v>2</v>
      </c>
      <c r="G37" s="5" t="s">
        <v>3</v>
      </c>
      <c r="H37" s="5" t="s">
        <v>4</v>
      </c>
      <c r="I37" s="5" t="s">
        <v>5</v>
      </c>
      <c r="J37" s="5" t="s">
        <v>6</v>
      </c>
      <c r="K37" s="6" t="s">
        <v>7</v>
      </c>
      <c r="L37" s="287" t="s">
        <v>8</v>
      </c>
      <c r="M37" s="287"/>
      <c r="R37" s="1" t="str">
        <f>IF(OR(B37=4,D37=4),"","ERROR")</f>
        <v/>
      </c>
    </row>
    <row r="38" spans="1:18">
      <c r="A38" s="7" t="s">
        <v>128</v>
      </c>
      <c r="B38" s="9" t="s">
        <v>9</v>
      </c>
      <c r="C38" s="8" t="str">
        <f>VLOOKUP(B38,I_voor_5p!$B$98:$K$102,2,FALSE)</f>
        <v>Arturs RUDNIKOVS</v>
      </c>
      <c r="D38" s="9" t="s">
        <v>10</v>
      </c>
      <c r="E38" s="8" t="str">
        <f>VLOOKUP(D38,I_voor_5p!$M$98:$W$102,2,FALSE)</f>
        <v>Valdas  MARTINKUS</v>
      </c>
      <c r="F38" s="9" t="str">
        <f>IF(I_voor_5p!E106=0,"",I_voor_5p!E106)</f>
        <v>1:11</v>
      </c>
      <c r="G38" s="9" t="str">
        <f>IF(I_voor_5p!H106=0,"",I_voor_5p!H106)</f>
        <v>7:11</v>
      </c>
      <c r="H38" s="9" t="str">
        <f>IF(I_voor_5p!K106=0,"",I_voor_5p!K106)</f>
        <v>11:9</v>
      </c>
      <c r="I38" s="9" t="str">
        <f>IF(I_voor_5p!N106=0,"",I_voor_5p!N106)</f>
        <v>6:11</v>
      </c>
      <c r="J38" s="9" t="str">
        <f>IF(I_voor_5p!Q106=0,"",I_voor_5p!Q106)</f>
        <v/>
      </c>
      <c r="K38" s="53" t="str">
        <f>IF(F38="","",CONCATENATE(Abitabel6!G32,":",Abitabel6!N32))</f>
        <v>1:3</v>
      </c>
      <c r="L38" s="35">
        <f>IF(K38="","",IF(LEFT(K38,1)&lt;RIGHT(K38,1),0,1))</f>
        <v>0</v>
      </c>
      <c r="M38" s="35">
        <f>IF(K38="","",IF(LEFT(K38,1)&gt;RIGHT(K38,1),0,1))</f>
        <v>1</v>
      </c>
      <c r="Q38" s="1" t="str">
        <f t="shared" si="2"/>
        <v/>
      </c>
    </row>
    <row r="39" spans="1:18">
      <c r="A39" s="7" t="s">
        <v>59</v>
      </c>
      <c r="B39" s="9" t="s">
        <v>11</v>
      </c>
      <c r="C39" s="8" t="str">
        <f>VLOOKUP(B39,I_voor_5p!$B$98:$K$102,2,FALSE)</f>
        <v>Filat ANDREEV</v>
      </c>
      <c r="D39" s="9" t="s">
        <v>12</v>
      </c>
      <c r="E39" s="8" t="str">
        <f>VLOOKUP(D39,I_voor_5p!$M$98:$W$102,2,FALSE)</f>
        <v>Märt KURVET</v>
      </c>
      <c r="F39" s="9" t="str">
        <f>IF(I_voor_5p!E107=0,"",I_voor_5p!E107)</f>
        <v>9:11</v>
      </c>
      <c r="G39" s="9" t="str">
        <f>IF(I_voor_5p!H107=0,"",I_voor_5p!H107)</f>
        <v>11:8</v>
      </c>
      <c r="H39" s="9" t="str">
        <f>IF(I_voor_5p!K107=0,"",I_voor_5p!K107)</f>
        <v>11:7</v>
      </c>
      <c r="I39" s="9" t="str">
        <f>IF(I_voor_5p!N107=0,"",I_voor_5p!N107)</f>
        <v>9:11</v>
      </c>
      <c r="J39" s="9" t="str">
        <f>IF(I_voor_5p!Q107=0,"",I_voor_5p!Q107)</f>
        <v>9:11</v>
      </c>
      <c r="K39" s="53" t="str">
        <f>IF(F39="","",CONCATENATE(Abitabel6!G33,":",Abitabel6!N33))</f>
        <v>2:3</v>
      </c>
      <c r="L39" s="35">
        <f t="shared" ref="L39:L40" si="7">IF(K39="","",IF(LEFT(K39,1)&lt;RIGHT(K39,1),0,1))</f>
        <v>0</v>
      </c>
      <c r="M39" s="35">
        <f t="shared" ref="M39:M40" si="8">IF(K39="","",IF(LEFT(K39,1)&gt;RIGHT(K39,1),0,1))</f>
        <v>1</v>
      </c>
      <c r="Q39" s="1" t="str">
        <f t="shared" si="2"/>
        <v/>
      </c>
    </row>
    <row r="40" spans="1:18">
      <c r="A40" s="7"/>
      <c r="B40" s="9" t="s">
        <v>13</v>
      </c>
      <c r="C40" s="8" t="str">
        <f>VLOOKUP(B40,I_voor_5p!$B$98:$K$102,2,FALSE)</f>
        <v>Jan Kenneth TOMING</v>
      </c>
      <c r="D40" s="9" t="s">
        <v>14</v>
      </c>
      <c r="E40" s="8" t="str">
        <f>VLOOKUP(D40,I_voor_5p!$M$98:$W$102,2,FALSE)</f>
        <v>Erik NÜÜD</v>
      </c>
      <c r="F40" s="9" t="str">
        <f>IF(I_voor_5p!E108=0,"",I_voor_5p!E108)</f>
        <v>13:11</v>
      </c>
      <c r="G40" s="9" t="str">
        <f>IF(I_voor_5p!H108=0,"",I_voor_5p!H108)</f>
        <v>11:7</v>
      </c>
      <c r="H40" s="9" t="str">
        <f>IF(I_voor_5p!K108=0,"",I_voor_5p!K108)</f>
        <v>11:5</v>
      </c>
      <c r="I40" s="9" t="str">
        <f>IF(I_voor_5p!N108=0,"",I_voor_5p!N108)</f>
        <v/>
      </c>
      <c r="J40" s="9" t="str">
        <f>IF(I_voor_5p!Q108=0,"",I_voor_5p!Q108)</f>
        <v/>
      </c>
      <c r="K40" s="53" t="str">
        <f>IF(F40="","",CONCATENATE(Abitabel6!G34,":",Abitabel6!N34))</f>
        <v>3:0</v>
      </c>
      <c r="L40" s="35">
        <f t="shared" si="7"/>
        <v>1</v>
      </c>
      <c r="M40" s="35">
        <f t="shared" si="8"/>
        <v>0</v>
      </c>
      <c r="Q40" s="1" t="str">
        <f t="shared" si="2"/>
        <v/>
      </c>
    </row>
    <row r="41" spans="1:18">
      <c r="A41" s="7"/>
      <c r="B41" s="290" t="s">
        <v>15</v>
      </c>
      <c r="C41" s="8" t="str">
        <f>IF(ISBLANK(I_voor_5p!C109), "", INDEX(I_voor_5p!C98:C102, MATCH(MID(I_voor_5p!C109,1,1), I_voor_5p!B98:B102, 0)))</f>
        <v>Arturs RUDNIKOVS</v>
      </c>
      <c r="D41" s="290" t="s">
        <v>15</v>
      </c>
      <c r="E41" s="8" t="str">
        <f>IF(ISBLANK(I_voor_5p!C109), "", INDEX(I_voor_5p!N98:N102, MATCH(MID(I_voor_5p!C109,4,1), I_voor_5p!M98:M102, 0)))</f>
        <v>Märt KURVET</v>
      </c>
      <c r="F41" s="292" t="str">
        <f>IF(I_voor_5p!E109=0,"",I_voor_5p!E109)</f>
        <v>11:7</v>
      </c>
      <c r="G41" s="292" t="str">
        <f>IF(I_voor_5p!H109=0,"",I_voor_5p!H109)</f>
        <v>11:8</v>
      </c>
      <c r="H41" s="292" t="str">
        <f>IF(I_voor_5p!K109=0,"",I_voor_5p!K109)</f>
        <v>11:4</v>
      </c>
      <c r="I41" s="292" t="str">
        <f>IF(I_voor_5p!N109=0,"",I_voor_5p!N109)</f>
        <v/>
      </c>
      <c r="J41" s="292" t="str">
        <f>IF(I_voor_5p!Q109=0,"",I_voor_5p!Q109)</f>
        <v/>
      </c>
      <c r="K41" s="294" t="str">
        <f>IF(F41="","",CONCATENATE(Abitabel6!G35,":",Abitabel6!N35))</f>
        <v>3:0</v>
      </c>
      <c r="L41" s="295">
        <f>IF(K41="","",IF(LEFT(K41,1)&lt;RIGHT(K41,1),0,1))</f>
        <v>1</v>
      </c>
      <c r="M41" s="295">
        <f>IF(K41="","",IF(LEFT(K41,1)&gt;RIGHT(K41,1),0,1))</f>
        <v>0</v>
      </c>
      <c r="Q41" s="1" t="str">
        <f t="shared" si="2"/>
        <v/>
      </c>
    </row>
    <row r="42" spans="1:18">
      <c r="A42" s="7"/>
      <c r="B42" s="291"/>
      <c r="C42" s="8" t="str">
        <f>IF(ISBLANK(I_voor_5p!C109), "", INDEX(I_voor_5p!C98:C102, MATCH(MID(I_voor_5p!C109,2,1), I_voor_5p!B98:B102, 0)))</f>
        <v>Jan Kenneth TOMING</v>
      </c>
      <c r="D42" s="291"/>
      <c r="E42" s="8" t="str">
        <f>IF(ISBLANK(I_voor_5p!C109), "", INDEX(I_voor_5p!N98:N102, MATCH(MID(I_voor_5p!C109,5,1), I_voor_5p!M98:M102, 0)))</f>
        <v>Valdas  MARTINKUS</v>
      </c>
      <c r="F42" s="293"/>
      <c r="G42" s="293"/>
      <c r="H42" s="293"/>
      <c r="I42" s="293"/>
      <c r="J42" s="293"/>
      <c r="K42" s="294"/>
      <c r="L42" s="295"/>
      <c r="M42" s="295"/>
    </row>
    <row r="43" spans="1:18">
      <c r="A43" s="7"/>
      <c r="B43" s="9" t="s">
        <v>9</v>
      </c>
      <c r="C43" s="8" t="str">
        <f>VLOOKUP(B43,I_voor_5p!$B$98:$K$102,2,FALSE)</f>
        <v>Arturs RUDNIKOVS</v>
      </c>
      <c r="D43" s="9" t="s">
        <v>12</v>
      </c>
      <c r="E43" s="8" t="str">
        <f>VLOOKUP(D43,I_voor_5p!$M$98:$W$102,2,FALSE)</f>
        <v>Märt KURVET</v>
      </c>
      <c r="F43" s="82" t="str">
        <f>IF(I_voor_5p!E110=0,"",I_voor_5p!E110)</f>
        <v>11:13</v>
      </c>
      <c r="G43" s="82" t="str">
        <f>IF(I_voor_5p!H110=0,"",I_voor_5p!H110)</f>
        <v>13:11</v>
      </c>
      <c r="H43" s="82" t="str">
        <f>IF(I_voor_5p!K110=0,"",I_voor_5p!K110)</f>
        <v>11:4</v>
      </c>
      <c r="I43" s="82" t="str">
        <f>IF(I_voor_5p!N110=0,"",I_voor_5p!N110)</f>
        <v>11:9</v>
      </c>
      <c r="J43" s="82" t="str">
        <f>IF(I_voor_5p!Q110=0,"",I_voor_5p!Q110)</f>
        <v/>
      </c>
      <c r="K43" s="53" t="str">
        <f>IF(F43="","",CONCATENATE(Abitabel6!G37,":",Abitabel6!N37))</f>
        <v>3:1</v>
      </c>
      <c r="L43" s="35">
        <f>IF(K43="","",IF(LEFT(K43,1)&lt;RIGHT(K43,1),0,1))</f>
        <v>1</v>
      </c>
      <c r="M43" s="35">
        <f>IF(K43="","",IF(LEFT(K43,1)&gt;RIGHT(K43,1),0,1))</f>
        <v>0</v>
      </c>
      <c r="Q43" s="1" t="str">
        <f t="shared" si="2"/>
        <v/>
      </c>
    </row>
    <row r="44" spans="1:18">
      <c r="A44" s="7"/>
      <c r="B44" s="9" t="s">
        <v>13</v>
      </c>
      <c r="C44" s="8" t="str">
        <f>VLOOKUP(B44,I_voor_5p!$B$98:$K$102,2,FALSE)</f>
        <v>Jan Kenneth TOMING</v>
      </c>
      <c r="D44" s="9" t="s">
        <v>10</v>
      </c>
      <c r="E44" s="8" t="str">
        <f>VLOOKUP(D44,I_voor_5p!$M$98:$W$102,2,FALSE)</f>
        <v>Valdas  MARTINKUS</v>
      </c>
      <c r="F44" s="82" t="str">
        <f>IF(I_voor_5p!E111=0,"",I_voor_5p!E111)</f>
        <v>3:11</v>
      </c>
      <c r="G44" s="82" t="str">
        <f>IF(I_voor_5p!H111=0,"",I_voor_5p!H111)</f>
        <v>4:11</v>
      </c>
      <c r="H44" s="82" t="str">
        <f>IF(I_voor_5p!K111=0,"",I_voor_5p!K111)</f>
        <v>10:12</v>
      </c>
      <c r="I44" s="82" t="str">
        <f>IF(I_voor_5p!N111=0,"",I_voor_5p!N111)</f>
        <v/>
      </c>
      <c r="J44" s="82" t="str">
        <f>IF(I_voor_5p!Q111=0,"",I_voor_5p!Q111)</f>
        <v/>
      </c>
      <c r="K44" s="53" t="str">
        <f>IF(F44="","",CONCATENATE(Abitabel6!G38,":",Abitabel6!N38))</f>
        <v>0:3</v>
      </c>
      <c r="L44" s="35">
        <f>IF(K44="","",IF(LEFT(K44,1)&lt;RIGHT(K44,1),0,1))</f>
        <v>0</v>
      </c>
      <c r="M44" s="35">
        <f>IF(L44="","",IF(LEFT(K44,1)&gt;RIGHT(K44,1),0,1))</f>
        <v>1</v>
      </c>
      <c r="Q44" s="1" t="str">
        <f t="shared" si="2"/>
        <v/>
      </c>
    </row>
    <row r="45" spans="1:18">
      <c r="A45" s="7"/>
      <c r="B45" s="9" t="s">
        <v>11</v>
      </c>
      <c r="C45" s="8" t="str">
        <f>VLOOKUP(B45,I_voor_5p!$B$98:$K$102,2,FALSE)</f>
        <v>Filat ANDREEV</v>
      </c>
      <c r="D45" s="9" t="s">
        <v>14</v>
      </c>
      <c r="E45" s="8" t="str">
        <f>VLOOKUP(D45,I_voor_5p!$M$98:$W$102,2,FALSE)</f>
        <v>Erik NÜÜD</v>
      </c>
      <c r="F45" s="82" t="str">
        <f>IF(I_voor_5p!E112=0,"",I_voor_5p!E112)</f>
        <v>11:8</v>
      </c>
      <c r="G45" s="82" t="str">
        <f>IF(I_voor_5p!H112=0,"",I_voor_5p!H112)</f>
        <v>11:7</v>
      </c>
      <c r="H45" s="82" t="str">
        <f>IF(I_voor_5p!K112=0,"",I_voor_5p!K112)</f>
        <v>4:11</v>
      </c>
      <c r="I45" s="82" t="str">
        <f>IF(I_voor_5p!N112=0,"",I_voor_5p!N112)</f>
        <v>13:11</v>
      </c>
      <c r="J45" s="82" t="str">
        <f>IF(I_voor_5p!Q112=0,"",I_voor_5p!Q112)</f>
        <v/>
      </c>
      <c r="K45" s="53" t="str">
        <f>IF(F45="","",CONCATENATE(Abitabel6!G39,":",Abitabel6!N39))</f>
        <v>3:1</v>
      </c>
      <c r="L45" s="35">
        <f>IF(K45="","",IF(LEFT(K45,1)&lt;RIGHT(K45,1),0,1))</f>
        <v>1</v>
      </c>
      <c r="M45" s="35">
        <f>IF(L45="","",IF(LEFT(K45,1)&gt;RIGHT(K45,1),0,1))</f>
        <v>0</v>
      </c>
      <c r="Q45" s="1" t="str">
        <f t="shared" si="2"/>
        <v/>
      </c>
    </row>
    <row r="46" spans="1:18">
      <c r="A46" s="7"/>
      <c r="B46" s="10"/>
      <c r="C46" s="33" t="str">
        <f>VLOOKUP(C37,Koosseisud!A:B,2,FALSE )</f>
        <v>Meeskond6</v>
      </c>
      <c r="D46" s="10"/>
      <c r="E46" s="33" t="str">
        <f>VLOOKUP(E37,Koosseisud!A:B,2,FALSE)</f>
        <v>Meeskond5</v>
      </c>
      <c r="F46" s="10"/>
      <c r="G46" s="10"/>
      <c r="H46" s="10"/>
      <c r="I46" s="10"/>
      <c r="J46" s="11"/>
      <c r="K46" s="12"/>
      <c r="L46" s="13"/>
      <c r="M46" s="13"/>
    </row>
    <row r="47" spans="1:18" ht="15">
      <c r="A47" s="2" t="s">
        <v>72</v>
      </c>
      <c r="B47" s="3">
        <f>IF(K48="","",SUM(L48:L55))</f>
        <v>1</v>
      </c>
      <c r="C47" s="4" t="str">
        <f>II_voor_5p!G7</f>
        <v>LTK Kalev/Radiaatorikeskus</v>
      </c>
      <c r="D47" s="3">
        <f>IF(K48="","",SUM(M48:M55))</f>
        <v>4</v>
      </c>
      <c r="E47" s="4" t="str">
        <f>II_voor_5p!R7</f>
        <v>Viljandi LTK Sakala</v>
      </c>
      <c r="F47" s="5" t="s">
        <v>2</v>
      </c>
      <c r="G47" s="5" t="s">
        <v>3</v>
      </c>
      <c r="H47" s="5" t="s">
        <v>4</v>
      </c>
      <c r="I47" s="5" t="s">
        <v>5</v>
      </c>
      <c r="J47" s="5" t="s">
        <v>6</v>
      </c>
      <c r="K47" s="6" t="s">
        <v>7</v>
      </c>
      <c r="L47" s="287" t="s">
        <v>8</v>
      </c>
      <c r="M47" s="287"/>
      <c r="R47" s="1" t="str">
        <f>IF(OR(B47=4,D47=4),"","ERROR")</f>
        <v/>
      </c>
    </row>
    <row r="48" spans="1:18">
      <c r="A48" s="7" t="s">
        <v>468</v>
      </c>
      <c r="B48" s="9" t="s">
        <v>9</v>
      </c>
      <c r="C48" s="8" t="str">
        <f>VLOOKUP(B48,II_voor_5p!$B$8:$K$12,2,FALSE)</f>
        <v xml:space="preserve">Martin KRAIKO </v>
      </c>
      <c r="D48" s="9" t="s">
        <v>10</v>
      </c>
      <c r="E48" s="8" t="str">
        <f>VLOOKUP(D48,II_voor_5p!$M$8:$W$12,2,FALSE)</f>
        <v>Valdas  MARTINKUS</v>
      </c>
      <c r="F48" s="9" t="str">
        <f>IF(II_voor_5p!E16=0,"",II_voor_5p!E16)</f>
        <v>7:11</v>
      </c>
      <c r="G48" s="9" t="str">
        <f>IF(II_voor_5p!H16=0,"",II_voor_5p!H16)</f>
        <v>8:11</v>
      </c>
      <c r="H48" s="9" t="str">
        <f>IF(II_voor_5p!K16=0,"",II_voor_5p!K16)</f>
        <v>7:11</v>
      </c>
      <c r="I48" s="9" t="str">
        <f>IF(II_voor_5p!N16=0,"",II_voor_5p!N16)</f>
        <v/>
      </c>
      <c r="J48" s="9" t="str">
        <f>IF(II_voor_5p!Q16=0,"",II_voor_5p!Q16)</f>
        <v/>
      </c>
      <c r="K48" s="53" t="str">
        <f>IF(F48="","",CONCATENATE(Abitabel6!G42,":",Abitabel6!N42))</f>
        <v>0:3</v>
      </c>
      <c r="L48" s="35">
        <f>IF(K48="","",IF(LEFT(K48,1)&lt;RIGHT(K48,1),0,1))</f>
        <v>0</v>
      </c>
      <c r="M48" s="35">
        <f>IF(K48="","",IF(LEFT(K48,1)&gt;RIGHT(K48,1),0,1))</f>
        <v>1</v>
      </c>
      <c r="Q48" s="1" t="str">
        <f t="shared" si="2"/>
        <v/>
      </c>
    </row>
    <row r="49" spans="1:18">
      <c r="A49" s="7" t="s">
        <v>59</v>
      </c>
      <c r="B49" s="9" t="s">
        <v>11</v>
      </c>
      <c r="C49" s="8" t="str">
        <f>VLOOKUP(B49,II_voor_5p!$B$8:$K$12,2,FALSE)</f>
        <v>Kristjan KANT</v>
      </c>
      <c r="D49" s="9" t="s">
        <v>12</v>
      </c>
      <c r="E49" s="8" t="str">
        <f>VLOOKUP(D49,II_voor_5p!$M$8:$W$12,2,FALSE)</f>
        <v>Märt KURVET</v>
      </c>
      <c r="F49" s="9" t="str">
        <f>IF(II_voor_5p!E17=0,"",II_voor_5p!E17)</f>
        <v>7:11</v>
      </c>
      <c r="G49" s="9" t="str">
        <f>IF(II_voor_5p!H17=0,"",II_voor_5p!H17)</f>
        <v>12:10</v>
      </c>
      <c r="H49" s="9" t="str">
        <f>IF(II_voor_5p!K17=0,"",II_voor_5p!K17)</f>
        <v>8:11</v>
      </c>
      <c r="I49" s="9" t="str">
        <f>IF(II_voor_5p!N17=0,"",II_voor_5p!N17)</f>
        <v>11:8</v>
      </c>
      <c r="J49" s="9" t="str">
        <f>IF(II_voor_5p!Q17=0,"",II_voor_5p!Q17)</f>
        <v>11:13</v>
      </c>
      <c r="K49" s="53" t="str">
        <f>IF(F49="","",CONCATENATE(Abitabel6!G43,":",Abitabel6!N43))</f>
        <v>2:3</v>
      </c>
      <c r="L49" s="35">
        <f t="shared" ref="L49:L50" si="9">IF(K49="","",IF(LEFT(K49,1)&lt;RIGHT(K49,1),0,1))</f>
        <v>0</v>
      </c>
      <c r="M49" s="35">
        <f t="shared" ref="M49:M50" si="10">IF(K49="","",IF(LEFT(K49,1)&gt;RIGHT(K49,1),0,1))</f>
        <v>1</v>
      </c>
      <c r="Q49" s="1" t="str">
        <f t="shared" si="2"/>
        <v/>
      </c>
    </row>
    <row r="50" spans="1:18">
      <c r="A50" s="7"/>
      <c r="B50" s="9" t="s">
        <v>13</v>
      </c>
      <c r="C50" s="8" t="str">
        <f>VLOOKUP(B50,II_voor_5p!$B$8:$K$12,2,FALSE)</f>
        <v>Jorma LAHTINEN</v>
      </c>
      <c r="D50" s="9" t="s">
        <v>14</v>
      </c>
      <c r="E50" s="8" t="str">
        <f>VLOOKUP(D50,II_voor_5p!$M$8:$W$12,2,FALSE)</f>
        <v>Erik NÜÜD</v>
      </c>
      <c r="F50" s="9" t="str">
        <f>IF(II_voor_5p!E18=0,"",II_voor_5p!E18)</f>
        <v>11:3</v>
      </c>
      <c r="G50" s="9" t="str">
        <f>IF(II_voor_5p!H18=0,"",II_voor_5p!H18)</f>
        <v>4:11</v>
      </c>
      <c r="H50" s="9" t="str">
        <f>IF(II_voor_5p!K18=0,"",II_voor_5p!K18)</f>
        <v>2:11</v>
      </c>
      <c r="I50" s="9" t="str">
        <f>IF(II_voor_5p!N18=0,"",II_voor_5p!N18)</f>
        <v>8:11</v>
      </c>
      <c r="J50" s="9" t="str">
        <f>IF(II_voor_5p!Q18=0,"",II_voor_5p!Q18)</f>
        <v/>
      </c>
      <c r="K50" s="53" t="str">
        <f>IF(F50="","",CONCATENATE(Abitabel6!G44,":",Abitabel6!N44))</f>
        <v>1:3</v>
      </c>
      <c r="L50" s="35">
        <f t="shared" si="9"/>
        <v>0</v>
      </c>
      <c r="M50" s="35">
        <f t="shared" si="10"/>
        <v>1</v>
      </c>
      <c r="Q50" s="1" t="str">
        <f t="shared" si="2"/>
        <v/>
      </c>
    </row>
    <row r="51" spans="1:18">
      <c r="A51" s="7"/>
      <c r="B51" s="290" t="s">
        <v>15</v>
      </c>
      <c r="C51" s="8" t="str">
        <f>IF(ISBLANK(II_voor_5p!C19), "", INDEX(II_voor_5p!C8:C12, MATCH(MID(II_voor_5p!C19,1,1), II_voor_5p!B8:B12, 0)))</f>
        <v xml:space="preserve">Martin KRAIKO </v>
      </c>
      <c r="D51" s="290" t="s">
        <v>15</v>
      </c>
      <c r="E51" s="1" t="str">
        <f>IF(ISBLANK(II_voor_5p!C19), "", INDEX(II_voor_5p!N8:N12, MATCH(MID(II_voor_5p!C19,4,1), II_voor_5p!M8:M12, 0)))</f>
        <v>Valdas  MARTINKUS</v>
      </c>
      <c r="F51" s="292" t="str">
        <f>IF(II_voor_5p!E19=0,"",II_voor_5p!E19)</f>
        <v>16:14</v>
      </c>
      <c r="G51" s="292" t="str">
        <f>IF(II_voor_5p!H19=0,"",II_voor_5p!H19)</f>
        <v>11:9</v>
      </c>
      <c r="H51" s="292" t="str">
        <f>IF(II_voor_5p!K19=0,"",II_voor_5p!K19)</f>
        <v>6:11</v>
      </c>
      <c r="I51" s="292" t="str">
        <f>IF(II_voor_5p!N19=0,"",II_voor_5p!N19)</f>
        <v>9:11</v>
      </c>
      <c r="J51" s="292" t="str">
        <f>IF(II_voor_5p!Q19=0,"",II_voor_5p!Q19)</f>
        <v>11:7</v>
      </c>
      <c r="K51" s="294" t="str">
        <f>IF(F51="","",CONCATENATE(Abitabel6!G45,":",Abitabel6!N45))</f>
        <v>3:2</v>
      </c>
      <c r="L51" s="295">
        <f>IF(K51="","",IF(LEFT(K51,1)&lt;RIGHT(K51,1),0,1))</f>
        <v>1</v>
      </c>
      <c r="M51" s="295">
        <f>IF(K51="","",IF(LEFT(K51,1)&gt;RIGHT(K51,1),0,1))</f>
        <v>0</v>
      </c>
      <c r="Q51" s="1" t="str">
        <f t="shared" si="2"/>
        <v/>
      </c>
    </row>
    <row r="52" spans="1:18">
      <c r="A52" s="7"/>
      <c r="B52" s="291"/>
      <c r="C52" s="8" t="str">
        <f>IF(ISBLANK(II_voor_5p!C19), "", INDEX(II_voor_5p!C8:C12, MATCH(MID(II_voor_5p!C19,2,1), II_voor_5p!B8:B12, 0)))</f>
        <v>Jorma LAHTINEN</v>
      </c>
      <c r="D52" s="291"/>
      <c r="E52" s="1" t="str">
        <f>IF(ISBLANK(II_voor_5p!C19), "", INDEX(II_voor_5p!N8:N12, MATCH(MID(II_voor_5p!C19,5,1), II_voor_5p!M8:M12, 0)))</f>
        <v>Robi TOOMING</v>
      </c>
      <c r="F52" s="293"/>
      <c r="G52" s="293"/>
      <c r="H52" s="293"/>
      <c r="I52" s="293"/>
      <c r="J52" s="293"/>
      <c r="K52" s="294"/>
      <c r="L52" s="295"/>
      <c r="M52" s="295"/>
    </row>
    <row r="53" spans="1:18">
      <c r="A53" s="7"/>
      <c r="B53" s="9" t="s">
        <v>9</v>
      </c>
      <c r="C53" s="8" t="str">
        <f>VLOOKUP(B53,II_voor_5p!$B$8:$K$12,2,FALSE)</f>
        <v xml:space="preserve">Martin KRAIKO </v>
      </c>
      <c r="D53" s="9" t="s">
        <v>12</v>
      </c>
      <c r="E53" s="8" t="str">
        <f>VLOOKUP(D53,II_voor_5p!$M$8:$W$12,2,FALSE)</f>
        <v>Märt KURVET</v>
      </c>
      <c r="F53" s="9" t="str">
        <f>IF(II_voor_5p!E20=0,"",II_voor_5p!E20)</f>
        <v>11:3</v>
      </c>
      <c r="G53" s="9" t="str">
        <f>IF(II_voor_5p!H20=0,"",II_voor_5p!H20)</f>
        <v>3:11</v>
      </c>
      <c r="H53" s="9" t="str">
        <f>IF(II_voor_5p!K20=0,"",II_voor_5p!K20)</f>
        <v>3:11</v>
      </c>
      <c r="I53" s="9" t="str">
        <f>IF(II_voor_5p!N20=0,"",II_voor_5p!N20)</f>
        <v>2:11</v>
      </c>
      <c r="J53" s="9" t="str">
        <f>IF(II_voor_5p!Q20=0,"",II_voor_5p!Q20)</f>
        <v/>
      </c>
      <c r="K53" s="53" t="str">
        <f>IF(F53="","",CONCATENATE(Abitabel6!G47,":",Abitabel6!N47))</f>
        <v>1:3</v>
      </c>
      <c r="L53" s="35">
        <f>IF(K53="","",IF(LEFT(K53,1)&lt;RIGHT(K53,1),0,1))</f>
        <v>0</v>
      </c>
      <c r="M53" s="35">
        <f>IF(K53="","",IF(LEFT(K53,1)&gt;RIGHT(K53,1),0,1))</f>
        <v>1</v>
      </c>
      <c r="Q53" s="1" t="str">
        <f t="shared" si="2"/>
        <v/>
      </c>
    </row>
    <row r="54" spans="1:18">
      <c r="A54" s="7"/>
      <c r="B54" s="9" t="s">
        <v>13</v>
      </c>
      <c r="C54" s="8" t="str">
        <f>VLOOKUP(B54,II_voor_5p!$B$8:$K$12,2,FALSE)</f>
        <v>Jorma LAHTINEN</v>
      </c>
      <c r="D54" s="9" t="s">
        <v>10</v>
      </c>
      <c r="E54" s="8" t="str">
        <f>VLOOKUP(D54,II_voor_5p!$M$8:$W$12,2,FALSE)</f>
        <v>Valdas  MARTINKUS</v>
      </c>
      <c r="F54" s="9" t="str">
        <f>IF(II_voor_5p!E21=0,"",II_voor_5p!E21)</f>
        <v/>
      </c>
      <c r="G54" s="9" t="str">
        <f>IF(II_voor_5p!H21=0,"",II_voor_5p!H21)</f>
        <v/>
      </c>
      <c r="H54" s="9" t="str">
        <f>IF(II_voor_5p!K21=0,"",II_voor_5p!K21)</f>
        <v/>
      </c>
      <c r="I54" s="9" t="str">
        <f>IF(II_voor_5p!N21=0,"",II_voor_5p!N21)</f>
        <v/>
      </c>
      <c r="J54" s="9" t="str">
        <f>IF(II_voor_5p!Q21=0,"",II_voor_5p!Q21)</f>
        <v/>
      </c>
      <c r="K54" s="53" t="str">
        <f>IF(F54="","",CONCATENATE(Abitabel6!G48,":",Abitabel6!N48))</f>
        <v/>
      </c>
      <c r="L54" s="35" t="str">
        <f>IF(K54="","",IF(LEFT(K54,1)&lt;RIGHT(K54,1),0,1))</f>
        <v/>
      </c>
      <c r="M54" s="35" t="str">
        <f>IF(L54="","",IF(LEFT(K54,1)&gt;RIGHT(K54,1),0,1))</f>
        <v/>
      </c>
      <c r="Q54" s="1" t="str">
        <f t="shared" si="2"/>
        <v>ERROR</v>
      </c>
    </row>
    <row r="55" spans="1:18">
      <c r="A55" s="7"/>
      <c r="B55" s="9" t="s">
        <v>11</v>
      </c>
      <c r="C55" s="8" t="str">
        <f>VLOOKUP(B55,II_voor_5p!$B$8:$K$12,2,FALSE)</f>
        <v>Kristjan KANT</v>
      </c>
      <c r="D55" s="9" t="s">
        <v>14</v>
      </c>
      <c r="E55" s="8" t="str">
        <f>VLOOKUP(D55,II_voor_5p!$M$8:$W$12,2,FALSE)</f>
        <v>Erik NÜÜD</v>
      </c>
      <c r="F55" s="9" t="str">
        <f>IF(II_voor_5p!E22=0,"",II_voor_5p!E22)</f>
        <v/>
      </c>
      <c r="G55" s="9" t="str">
        <f>IF(II_voor_5p!H22=0,"",II_voor_5p!H22)</f>
        <v/>
      </c>
      <c r="H55" s="9" t="str">
        <f>IF(II_voor_5p!K22=0,"",II_voor_5p!K22)</f>
        <v/>
      </c>
      <c r="I55" s="9" t="str">
        <f>IF(II_voor_5p!N22=0,"",II_voor_5p!N22)</f>
        <v/>
      </c>
      <c r="J55" s="9" t="str">
        <f>IF(II_voor_5p!Q22=0,"",II_voor_5p!Q22)</f>
        <v/>
      </c>
      <c r="K55" s="53" t="str">
        <f>IF(F55="","",CONCATENATE(Abitabel6!G49,":",Abitabel6!N49))</f>
        <v/>
      </c>
      <c r="L55" s="35" t="str">
        <f>IF(K55="","",IF(LEFT(K55,1)&lt;RIGHT(K55,1),0,1))</f>
        <v/>
      </c>
      <c r="M55" s="35" t="str">
        <f>IF(L55="","",IF(LEFT(K55,1)&gt;RIGHT(K55,1),0,1))</f>
        <v/>
      </c>
      <c r="Q55" s="1" t="str">
        <f t="shared" si="2"/>
        <v>ERROR</v>
      </c>
    </row>
    <row r="56" spans="1:18">
      <c r="A56" s="7"/>
      <c r="B56" s="10"/>
      <c r="C56" s="33" t="str">
        <f>VLOOKUP(C47,Koosseisud!A:B,2,FALSE )</f>
        <v>Meeskond8</v>
      </c>
      <c r="D56" s="10"/>
      <c r="E56" s="33" t="str">
        <f>VLOOKUP(E47,Koosseisud!A:B,2,FALSE)</f>
        <v>Meeskond5</v>
      </c>
      <c r="F56" s="10"/>
      <c r="G56" s="10"/>
      <c r="H56" s="10"/>
      <c r="I56" s="10"/>
      <c r="J56" s="11"/>
      <c r="K56" s="12"/>
      <c r="L56" s="13"/>
      <c r="M56" s="13"/>
    </row>
    <row r="57" spans="1:18" ht="15">
      <c r="A57" s="2" t="s">
        <v>73</v>
      </c>
      <c r="B57" s="3">
        <f>IF(K58="","",SUM(L58:L65))</f>
        <v>0</v>
      </c>
      <c r="C57" s="83" t="str">
        <f>II_voor_5p!G37</f>
        <v>SPINMASTER</v>
      </c>
      <c r="D57" s="3">
        <f>IF(K58="","",SUM(M58:M65))</f>
        <v>4</v>
      </c>
      <c r="E57" s="83" t="str">
        <f>II_voor_5p!R37</f>
        <v>Viimsi PINX</v>
      </c>
      <c r="F57" s="5" t="s">
        <v>2</v>
      </c>
      <c r="G57" s="5" t="s">
        <v>3</v>
      </c>
      <c r="H57" s="5" t="s">
        <v>4</v>
      </c>
      <c r="I57" s="5" t="s">
        <v>5</v>
      </c>
      <c r="J57" s="5" t="s">
        <v>6</v>
      </c>
      <c r="K57" s="6" t="s">
        <v>7</v>
      </c>
      <c r="L57" s="287" t="s">
        <v>8</v>
      </c>
      <c r="M57" s="287"/>
      <c r="R57" s="1" t="str">
        <f>IF(OR(B57=4,D57=4),"","ERROR")</f>
        <v/>
      </c>
    </row>
    <row r="58" spans="1:18">
      <c r="A58" s="7" t="s">
        <v>468</v>
      </c>
      <c r="B58" s="9" t="s">
        <v>9</v>
      </c>
      <c r="C58" s="8" t="str">
        <f>VLOOKUP(B58,II_voor_5p!$B$38:$K$42,2,FALSE)</f>
        <v>Arturs RUDNIKOVS</v>
      </c>
      <c r="D58" s="9" t="s">
        <v>10</v>
      </c>
      <c r="E58" s="8" t="str">
        <f>VLOOKUP(D58,II_voor_5p!$M$38:$W$42,2,FALSE)</f>
        <v>Sergei PETROV</v>
      </c>
      <c r="F58" s="86" t="str">
        <f>IF(II_voor_5p!E46=0,"",II_voor_5p!E46)</f>
        <v>11:4</v>
      </c>
      <c r="G58" s="86" t="str">
        <f>IF(II_voor_5p!H46=0,"",II_voor_5p!H46)</f>
        <v>11:9</v>
      </c>
      <c r="H58" s="86" t="str">
        <f>IF(II_voor_5p!K46=0,"",II_voor_5p!K46)</f>
        <v>8:11</v>
      </c>
      <c r="I58" s="86" t="str">
        <f>IF(II_voor_5p!N46=0,"",II_voor_5p!N46)</f>
        <v>9:11</v>
      </c>
      <c r="J58" s="86" t="str">
        <f>IF(II_voor_5p!Q46=0,"",II_voor_5p!Q46)</f>
        <v>7:11</v>
      </c>
      <c r="K58" s="53" t="str">
        <f>IF(F58="","",CONCATENATE(Abitabel6!G52,":",Abitabel6!N52))</f>
        <v>2:3</v>
      </c>
      <c r="L58" s="35">
        <f>IF(K58="","",IF(LEFT(K58,1)&lt;RIGHT(K58,1),0,1))</f>
        <v>0</v>
      </c>
      <c r="M58" s="35">
        <f>IF(K58="","",IF(LEFT(K58,1)&gt;RIGHT(K58,1),0,1))</f>
        <v>1</v>
      </c>
      <c r="Q58" s="1" t="str">
        <f t="shared" si="2"/>
        <v/>
      </c>
    </row>
    <row r="59" spans="1:18">
      <c r="A59" s="7" t="s">
        <v>59</v>
      </c>
      <c r="B59" s="9" t="s">
        <v>11</v>
      </c>
      <c r="C59" s="8" t="str">
        <f>VLOOKUP(B59,II_voor_5p!$B$38:$K$42,2,FALSE)</f>
        <v>Filat ANDREEV</v>
      </c>
      <c r="D59" s="9" t="s">
        <v>12</v>
      </c>
      <c r="E59" s="8" t="str">
        <f>VLOOKUP(D59,II_voor_5p!$M$38:$W$42,2,FALSE)</f>
        <v>Maksim VUHKA</v>
      </c>
      <c r="F59" s="86" t="str">
        <f>IF(II_voor_5p!E47=0,"",II_voor_5p!E47)</f>
        <v>5:11</v>
      </c>
      <c r="G59" s="86" t="str">
        <f>IF(II_voor_5p!H47=0,"",II_voor_5p!H47)</f>
        <v>7:11</v>
      </c>
      <c r="H59" s="86" t="str">
        <f>IF(II_voor_5p!K47=0,"",II_voor_5p!K47)</f>
        <v>7:11</v>
      </c>
      <c r="I59" s="86" t="str">
        <f>IF(II_voor_5p!N47=0,"",II_voor_5p!N47)</f>
        <v/>
      </c>
      <c r="J59" s="86" t="str">
        <f>IF(II_voor_5p!Q47=0,"",II_voor_5p!Q47)</f>
        <v/>
      </c>
      <c r="K59" s="53" t="str">
        <f>IF(F59="","",CONCATENATE(Abitabel6!G53,":",Abitabel6!N53))</f>
        <v>0:3</v>
      </c>
      <c r="L59" s="35">
        <f t="shared" ref="L59:L60" si="11">IF(K59="","",IF(LEFT(K59,1)&lt;RIGHT(K59,1),0,1))</f>
        <v>0</v>
      </c>
      <c r="M59" s="35">
        <f t="shared" ref="M59:M60" si="12">IF(K59="","",IF(LEFT(K59,1)&gt;RIGHT(K59,1),0,1))</f>
        <v>1</v>
      </c>
      <c r="Q59" s="1" t="str">
        <f t="shared" si="2"/>
        <v/>
      </c>
    </row>
    <row r="60" spans="1:18">
      <c r="A60" s="7"/>
      <c r="B60" s="9" t="s">
        <v>13</v>
      </c>
      <c r="C60" s="8" t="str">
        <f>VLOOKUP(B60,II_voor_5p!$B$38:$K$42,2,FALSE)</f>
        <v>Jan Kenneth TOMING</v>
      </c>
      <c r="D60" s="9" t="s">
        <v>14</v>
      </c>
      <c r="E60" s="8" t="str">
        <f>VLOOKUP(D60,II_voor_5p!$M$38:$W$42,2,FALSE)</f>
        <v>Carlo ACCORSI</v>
      </c>
      <c r="F60" s="86" t="str">
        <f>IF(II_voor_5p!E48=0,"",II_voor_5p!E48)</f>
        <v>6:11</v>
      </c>
      <c r="G60" s="86" t="str">
        <f>IF(II_voor_5p!H48=0,"",II_voor_5p!H48)</f>
        <v>11:6</v>
      </c>
      <c r="H60" s="86" t="str">
        <f>IF(II_voor_5p!K48=0,"",II_voor_5p!K48)</f>
        <v>4:11</v>
      </c>
      <c r="I60" s="86" t="str">
        <f>IF(II_voor_5p!N48=0,"",II_voor_5p!N48)</f>
        <v>1:11</v>
      </c>
      <c r="J60" s="86" t="str">
        <f>IF(II_voor_5p!Q48=0,"",II_voor_5p!Q48)</f>
        <v/>
      </c>
      <c r="K60" s="53" t="str">
        <f>IF(F60="","",CONCATENATE(Abitabel6!G54,":",Abitabel6!N54))</f>
        <v>1:3</v>
      </c>
      <c r="L60" s="35">
        <f t="shared" si="11"/>
        <v>0</v>
      </c>
      <c r="M60" s="35">
        <f t="shared" si="12"/>
        <v>1</v>
      </c>
      <c r="Q60" s="1" t="str">
        <f t="shared" si="2"/>
        <v/>
      </c>
    </row>
    <row r="61" spans="1:18">
      <c r="A61" s="7"/>
      <c r="B61" s="290" t="s">
        <v>15</v>
      </c>
      <c r="C61" s="1" t="str">
        <f>IF(ISBLANK(II_voor_5p!C49), "", INDEX(II_voor_5p!C38:C42, MATCH(MID(II_voor_5p!C49,1,1), II_voor_5p!B38:B42, 0)))</f>
        <v>Arturs RUDNIKOVS</v>
      </c>
      <c r="D61" s="290" t="s">
        <v>15</v>
      </c>
      <c r="E61" s="1" t="str">
        <f>IF(ISBLANK(II_voor_5p!C49), "", INDEX(II_voor_5p!N38:N42, MATCH(MID(II_voor_5p!C49,4,1), II_voor_5p!M38:M42, 0)))</f>
        <v>Maksim VUHKA</v>
      </c>
      <c r="F61" s="304" t="str">
        <f>IF(II_voor_5p!E49=0,"",II_voor_5p!E49)</f>
        <v>11:13</v>
      </c>
      <c r="G61" s="304" t="str">
        <f>IF(II_voor_5p!H49=0,"",II_voor_5p!H49)</f>
        <v>3:11</v>
      </c>
      <c r="H61" s="304" t="str">
        <f>IF(II_voor_5p!K49=0,"",II_voor_5p!K49)</f>
        <v>7:11</v>
      </c>
      <c r="I61" s="304" t="str">
        <f>IF(II_voor_5p!N49=0,"",II_voor_5p!N49)</f>
        <v/>
      </c>
      <c r="J61" s="304" t="str">
        <f>IF(II_voor_5p!Q49=0,"",II_voor_5p!Q49)</f>
        <v/>
      </c>
      <c r="K61" s="294" t="str">
        <f>IF(F61="","",CONCATENATE(Abitabel6!G55,":",Abitabel6!N55))</f>
        <v>0:3</v>
      </c>
      <c r="L61" s="295">
        <f>IF(K61="","",IF(LEFT(K61,1)&lt;RIGHT(K61,1),0,1))</f>
        <v>0</v>
      </c>
      <c r="M61" s="295">
        <f>IF(K61="","",IF(LEFT(K61,1)&gt;RIGHT(K61,1),0,1))</f>
        <v>1</v>
      </c>
      <c r="Q61" s="1" t="str">
        <f t="shared" si="2"/>
        <v/>
      </c>
    </row>
    <row r="62" spans="1:18">
      <c r="A62" s="7"/>
      <c r="B62" s="291"/>
      <c r="C62" s="1" t="str">
        <f>IF(ISBLANK(II_voor_5p!C49), "", INDEX(II_voor_5p!C38:C42, MATCH(MID(II_voor_5p!C49,2,1), II_voor_5p!B38:B42, 0)))</f>
        <v>Jan Kenneth TOMING</v>
      </c>
      <c r="D62" s="291"/>
      <c r="E62" s="1" t="str">
        <f>IF(ISBLANK(II_voor_5p!C49), "", INDEX(II_voor_5p!N38:N42, MATCH(MID(II_voor_5p!C49,5,1), II_voor_5p!M38:M42, 0)))</f>
        <v>Daniel KOSIBA</v>
      </c>
      <c r="F62" s="304"/>
      <c r="G62" s="304"/>
      <c r="H62" s="304"/>
      <c r="I62" s="304"/>
      <c r="J62" s="304"/>
      <c r="K62" s="294"/>
      <c r="L62" s="295"/>
      <c r="M62" s="295"/>
    </row>
    <row r="63" spans="1:18">
      <c r="A63" s="7"/>
      <c r="B63" s="9" t="s">
        <v>9</v>
      </c>
      <c r="C63" s="8" t="str">
        <f>VLOOKUP(B63,II_voor_5p!$B$38:$K$42,2,FALSE)</f>
        <v>Arturs RUDNIKOVS</v>
      </c>
      <c r="D63" s="9" t="s">
        <v>12</v>
      </c>
      <c r="E63" s="8" t="str">
        <f>VLOOKUP(D63,II_voor_5p!$M$38:$W$42,2,FALSE)</f>
        <v>Maksim VUHKA</v>
      </c>
      <c r="F63" s="86" t="str">
        <f>IF(II_voor_5p!E50=0,"",II_voor_5p!E50)</f>
        <v/>
      </c>
      <c r="G63" s="86" t="str">
        <f>IF(II_voor_5p!H50=0,"",II_voor_5p!H50)</f>
        <v/>
      </c>
      <c r="H63" s="86" t="str">
        <f>IF(II_voor_5p!K50=0,"",II_voor_5p!K50)</f>
        <v/>
      </c>
      <c r="I63" s="86" t="str">
        <f>IF(II_voor_5p!N50=0,"",II_voor_5p!N50)</f>
        <v/>
      </c>
      <c r="J63" s="86" t="str">
        <f>IF(II_voor_5p!Q50=0,"",II_voor_5p!Q50)</f>
        <v/>
      </c>
      <c r="K63" s="53" t="str">
        <f>IF(F63="","",CONCATENATE(Abitabel6!G57,":",Abitabel6!N57))</f>
        <v/>
      </c>
      <c r="L63" s="35" t="str">
        <f>IF(K63="","",IF(LEFT(K63,1)&lt;RIGHT(K63,1),0,1))</f>
        <v/>
      </c>
      <c r="M63" s="35" t="str">
        <f>IF(K63="","",IF(LEFT(K63,1)&gt;RIGHT(K63,1),0,1))</f>
        <v/>
      </c>
      <c r="Q63" s="1" t="str">
        <f t="shared" si="2"/>
        <v>ERROR</v>
      </c>
    </row>
    <row r="64" spans="1:18">
      <c r="A64" s="7"/>
      <c r="B64" s="9" t="s">
        <v>13</v>
      </c>
      <c r="C64" s="8" t="str">
        <f>VLOOKUP(B64,II_voor_5p!$B$38:$K$42,2,FALSE)</f>
        <v>Jan Kenneth TOMING</v>
      </c>
      <c r="D64" s="9" t="s">
        <v>10</v>
      </c>
      <c r="E64" s="8" t="str">
        <f>VLOOKUP(D64,II_voor_5p!$M$38:$W$42,2,FALSE)</f>
        <v>Sergei PETROV</v>
      </c>
      <c r="F64" s="86" t="str">
        <f>IF(II_voor_5p!E51=0,"",II_voor_5p!E51)</f>
        <v/>
      </c>
      <c r="G64" s="86" t="str">
        <f>IF(II_voor_5p!H51=0,"",II_voor_5p!H51)</f>
        <v/>
      </c>
      <c r="H64" s="86" t="str">
        <f>IF(II_voor_5p!K51=0,"",II_voor_5p!K51)</f>
        <v/>
      </c>
      <c r="I64" s="86" t="str">
        <f>IF(II_voor_5p!N51=0,"",II_voor_5p!N51)</f>
        <v/>
      </c>
      <c r="J64" s="86" t="str">
        <f>IF(II_voor_5p!Q51=0,"",II_voor_5p!Q51)</f>
        <v/>
      </c>
      <c r="K64" s="53" t="str">
        <f>IF(F64="","",CONCATENATE(Abitabel6!G58,":",Abitabel6!N58))</f>
        <v/>
      </c>
      <c r="L64" s="35" t="str">
        <f>IF(K64="","",IF(LEFT(K64,1)&lt;RIGHT(K64,1),0,1))</f>
        <v/>
      </c>
      <c r="M64" s="35" t="str">
        <f>IF(L64="","",IF(LEFT(K64,1)&gt;RIGHT(K64,1),0,1))</f>
        <v/>
      </c>
      <c r="Q64" s="1" t="str">
        <f t="shared" si="2"/>
        <v>ERROR</v>
      </c>
    </row>
    <row r="65" spans="1:18">
      <c r="A65" s="7"/>
      <c r="B65" s="9" t="s">
        <v>11</v>
      </c>
      <c r="C65" s="8" t="str">
        <f>VLOOKUP(B65,II_voor_5p!$B$38:$K$42,2,FALSE)</f>
        <v>Filat ANDREEV</v>
      </c>
      <c r="D65" s="9" t="s">
        <v>14</v>
      </c>
      <c r="E65" s="8" t="str">
        <f>VLOOKUP(D65,II_voor_5p!$M$38:$W$42,2,FALSE)</f>
        <v>Carlo ACCORSI</v>
      </c>
      <c r="F65" s="86" t="str">
        <f>IF(II_voor_5p!E52=0,"",II_voor_5p!E52)</f>
        <v/>
      </c>
      <c r="G65" s="86" t="str">
        <f>IF(II_voor_5p!H52=0,"",II_voor_5p!H52)</f>
        <v/>
      </c>
      <c r="H65" s="86" t="str">
        <f>IF(II_voor_5p!K52=0,"",II_voor_5p!K52)</f>
        <v/>
      </c>
      <c r="I65" s="86" t="str">
        <f>IF(II_voor_5p!N52=0,"",II_voor_5p!N52)</f>
        <v/>
      </c>
      <c r="J65" s="86" t="str">
        <f>IF(II_voor_5p!Q52=0,"",II_voor_5p!Q52)</f>
        <v/>
      </c>
      <c r="K65" s="53" t="str">
        <f>IF(F65="","",CONCATENATE(Abitabel6!G59,":",Abitabel6!N59))</f>
        <v/>
      </c>
      <c r="L65" s="35" t="str">
        <f>IF(K65="","",IF(LEFT(K65,1)&lt;RIGHT(K65,1),0,1))</f>
        <v/>
      </c>
      <c r="M65" s="35" t="str">
        <f>IF(L65="","",IF(LEFT(K65,1)&gt;RIGHT(K65,1),0,1))</f>
        <v/>
      </c>
      <c r="Q65" s="1" t="str">
        <f t="shared" si="2"/>
        <v>ERROR</v>
      </c>
    </row>
    <row r="66" spans="1:18">
      <c r="A66" s="7"/>
      <c r="B66" s="10"/>
      <c r="C66" s="33" t="str">
        <f>VLOOKUP(C57,Koosseisud!A:B,2,FALSE )</f>
        <v>Meeskond6</v>
      </c>
      <c r="D66" s="10"/>
      <c r="E66" s="33" t="str">
        <f>VLOOKUP(E57,Koosseisud!A:B,2,FALSE)</f>
        <v>Meeskond2</v>
      </c>
      <c r="F66" s="10"/>
      <c r="G66" s="10"/>
      <c r="H66" s="10"/>
      <c r="I66" s="10"/>
      <c r="J66" s="11"/>
      <c r="K66" s="12"/>
      <c r="L66" s="13"/>
      <c r="M66" s="13"/>
    </row>
    <row r="67" spans="1:18" ht="15">
      <c r="A67" s="2" t="s">
        <v>74</v>
      </c>
      <c r="B67" s="3">
        <f>IF(K68="","",SUM(L68:L75))</f>
        <v>4</v>
      </c>
      <c r="C67" s="83" t="str">
        <f>II_voor_5p!G67</f>
        <v>Viimsi LTK/EM-SERV</v>
      </c>
      <c r="D67" s="3">
        <f>IF(K68="","",SUM(M68:M75))</f>
        <v>3</v>
      </c>
      <c r="E67" s="83" t="str">
        <f>II_voor_5p!R67</f>
        <v>TalTech Spordiklubi</v>
      </c>
      <c r="F67" s="5" t="s">
        <v>2</v>
      </c>
      <c r="G67" s="5" t="s">
        <v>3</v>
      </c>
      <c r="H67" s="5" t="s">
        <v>4</v>
      </c>
      <c r="I67" s="5" t="s">
        <v>5</v>
      </c>
      <c r="J67" s="5" t="s">
        <v>6</v>
      </c>
      <c r="K67" s="6" t="s">
        <v>7</v>
      </c>
      <c r="L67" s="287" t="s">
        <v>8</v>
      </c>
      <c r="M67" s="287"/>
      <c r="R67" s="1" t="str">
        <f>IF(OR(B67=4,D67=4),"","ERROR")</f>
        <v/>
      </c>
    </row>
    <row r="68" spans="1:18">
      <c r="A68" s="7" t="s">
        <v>468</v>
      </c>
      <c r="B68" s="9" t="s">
        <v>9</v>
      </c>
      <c r="C68" s="8" t="str">
        <f>VLOOKUP(B68,II_voor_5p!$B$68:$K$72,2,FALSE)</f>
        <v>Ilmar VUHKA</v>
      </c>
      <c r="D68" s="9" t="s">
        <v>10</v>
      </c>
      <c r="E68" s="8" t="str">
        <f>VLOOKUP(D68,II_voor_5p!$M$68:$W$72,2,FALSE)</f>
        <v>Samuli SOINE</v>
      </c>
      <c r="F68" s="85" t="str">
        <f>IF(II_voor_5p!E76=0,"",II_voor_5p!E76)</f>
        <v>5:11</v>
      </c>
      <c r="G68" s="85" t="str">
        <f>IF(II_voor_5p!H76=0,"",II_voor_5p!H76)</f>
        <v>9:11</v>
      </c>
      <c r="H68" s="85" t="str">
        <f>IF(II_voor_5p!K76=0,"",II_voor_5p!K76)</f>
        <v>8:11</v>
      </c>
      <c r="I68" s="85" t="str">
        <f>IF(II_voor_5p!N76=0,"",II_voor_5p!N76)</f>
        <v/>
      </c>
      <c r="J68" s="85" t="str">
        <f>IF(II_voor_5p!Q76=0,"",II_voor_5p!Q76)</f>
        <v/>
      </c>
      <c r="K68" s="53" t="str">
        <f>IF(F68="","",CONCATENATE(Abitabel6!G62,":",Abitabel6!N62))</f>
        <v>0:3</v>
      </c>
      <c r="L68" s="35">
        <f>IF(K68="","",IF(LEFT(K68,1)&lt;RIGHT(K68,1),0,1))</f>
        <v>0</v>
      </c>
      <c r="M68" s="35">
        <f>IF(K68="","",IF(LEFT(K68,1)&gt;RIGHT(K68,1),0,1))</f>
        <v>1</v>
      </c>
      <c r="Q68" s="1" t="str">
        <f t="shared" si="2"/>
        <v/>
      </c>
    </row>
    <row r="69" spans="1:18">
      <c r="A69" s="7" t="s">
        <v>59</v>
      </c>
      <c r="B69" s="9" t="s">
        <v>11</v>
      </c>
      <c r="C69" s="8" t="str">
        <f>VLOOKUP(B69,II_voor_5p!$B$68:$K$72,2,FALSE)</f>
        <v>Daniels KOGANS</v>
      </c>
      <c r="D69" s="9" t="s">
        <v>12</v>
      </c>
      <c r="E69" s="8" t="str">
        <f>VLOOKUP(D69,II_voor_5p!$M$68:$W$72,2,FALSE)</f>
        <v>Andrei MALTIZOV</v>
      </c>
      <c r="F69" s="85" t="str">
        <f>IF(II_voor_5p!E77=0,"",II_voor_5p!E77)</f>
        <v>11:7</v>
      </c>
      <c r="G69" s="85" t="str">
        <f>IF(II_voor_5p!H77=0,"",II_voor_5p!H77)</f>
        <v>11:13</v>
      </c>
      <c r="H69" s="85" t="str">
        <f>IF(II_voor_5p!K77=0,"",II_voor_5p!K77)</f>
        <v>19:17</v>
      </c>
      <c r="I69" s="85" t="str">
        <f>IF(II_voor_5p!N77=0,"",II_voor_5p!N77)</f>
        <v>11:6</v>
      </c>
      <c r="J69" s="85" t="str">
        <f>IF(II_voor_5p!Q77=0,"",II_voor_5p!Q77)</f>
        <v/>
      </c>
      <c r="K69" s="53" t="str">
        <f>IF(F69="","",CONCATENATE(Abitabel6!G63,":",Abitabel6!N63))</f>
        <v>3:1</v>
      </c>
      <c r="L69" s="35">
        <f t="shared" ref="L69:L70" si="13">IF(K69="","",IF(LEFT(K69,1)&lt;RIGHT(K69,1),0,1))</f>
        <v>1</v>
      </c>
      <c r="M69" s="35">
        <f t="shared" ref="M69:M70" si="14">IF(K69="","",IF(LEFT(K69,1)&gt;RIGHT(K69,1),0,1))</f>
        <v>0</v>
      </c>
      <c r="Q69" s="1" t="str">
        <f t="shared" si="2"/>
        <v/>
      </c>
    </row>
    <row r="70" spans="1:18">
      <c r="A70" s="7"/>
      <c r="B70" s="9" t="s">
        <v>13</v>
      </c>
      <c r="C70" s="8" t="str">
        <f>VLOOKUP(B70,II_voor_5p!$B$68:$K$72,2,FALSE)</f>
        <v>Pert Marten LEHTLAAN</v>
      </c>
      <c r="D70" s="9" t="s">
        <v>14</v>
      </c>
      <c r="E70" s="8" t="str">
        <f>VLOOKUP(D70,II_voor_5p!$M$68:$W$72,2,FALSE)</f>
        <v>Madis MOOS</v>
      </c>
      <c r="F70" s="85" t="str">
        <f>IF(II_voor_5p!E78=0,"",II_voor_5p!E78)</f>
        <v>11:4</v>
      </c>
      <c r="G70" s="85" t="str">
        <f>IF(II_voor_5p!H78=0,"",II_voor_5p!H78)</f>
        <v>11:7</v>
      </c>
      <c r="H70" s="85" t="str">
        <f>IF(II_voor_5p!K78=0,"",II_voor_5p!K78)</f>
        <v>11:6</v>
      </c>
      <c r="I70" s="85" t="str">
        <f>IF(II_voor_5p!N78=0,"",II_voor_5p!N78)</f>
        <v/>
      </c>
      <c r="J70" s="85" t="str">
        <f>IF(II_voor_5p!Q78=0,"",II_voor_5p!Q78)</f>
        <v/>
      </c>
      <c r="K70" s="53" t="str">
        <f>IF(F70="","",CONCATENATE(Abitabel6!G64,":",Abitabel6!N64))</f>
        <v>3:0</v>
      </c>
      <c r="L70" s="35">
        <f t="shared" si="13"/>
        <v>1</v>
      </c>
      <c r="M70" s="35">
        <f t="shared" si="14"/>
        <v>0</v>
      </c>
      <c r="Q70" s="1" t="str">
        <f t="shared" si="2"/>
        <v/>
      </c>
    </row>
    <row r="71" spans="1:18">
      <c r="A71" s="7"/>
      <c r="B71" s="290" t="s">
        <v>15</v>
      </c>
      <c r="C71" s="1" t="str">
        <f>IF(ISBLANK(II_voor_5p!C79), "", INDEX(II_voor_5p!C68:C72, MATCH(MID(II_voor_5p!C79,1,1), II_voor_5p!B68:B72, 0)))</f>
        <v>Daniels KOGANS</v>
      </c>
      <c r="D71" s="290" t="s">
        <v>15</v>
      </c>
      <c r="E71" s="1" t="str">
        <f>IF(ISBLANK(II_voor_5p!C79), "", INDEX(II_voor_5p!N68:N72, MATCH(MID(II_voor_5p!C79,4,1), II_voor_5p!M68:M72, 0)))</f>
        <v>Madis MOOS</v>
      </c>
      <c r="F71" s="300" t="str">
        <f>IF(II_voor_5p!E79=0,"",II_voor_5p!E79)</f>
        <v>7:11</v>
      </c>
      <c r="G71" s="300" t="str">
        <f>IF(II_voor_5p!H79=0,"",II_voor_5p!H79)</f>
        <v>7:11</v>
      </c>
      <c r="H71" s="300" t="str">
        <f>IF(II_voor_5p!K79=0,"",II_voor_5p!K79)</f>
        <v>5:11</v>
      </c>
      <c r="I71" s="300" t="str">
        <f>IF(II_voor_5p!N79=0,"",II_voor_5p!N79)</f>
        <v/>
      </c>
      <c r="J71" s="300" t="str">
        <f>IF(II_voor_5p!Q79=0,"",II_voor_5p!Q79)</f>
        <v/>
      </c>
      <c r="K71" s="294" t="str">
        <f>IF(F71="","",CONCATENATE(Abitabel6!G65,":",Abitabel6!N65))</f>
        <v>0:3</v>
      </c>
      <c r="L71" s="295">
        <f>IF(K71="","",IF(LEFT(K71,1)&lt;RIGHT(K71,1),0,1))</f>
        <v>0</v>
      </c>
      <c r="M71" s="295">
        <f>IF(K71="","",IF(LEFT(K71,1)&gt;RIGHT(K71,1),0,1))</f>
        <v>1</v>
      </c>
      <c r="Q71" s="1" t="str">
        <f t="shared" si="2"/>
        <v/>
      </c>
    </row>
    <row r="72" spans="1:18">
      <c r="A72" s="7"/>
      <c r="B72" s="291"/>
      <c r="C72" s="1" t="str">
        <f>IF(ISBLANK(II_voor_5p!C79), "", INDEX(II_voor_5p!C68:C72, MATCH(MID(II_voor_5p!C79,2,1), II_voor_5p!B68:B72, 0)))</f>
        <v>Pert Marten LEHTLAAN</v>
      </c>
      <c r="D72" s="291"/>
      <c r="E72" s="1" t="str">
        <f>IF(ISBLANK(II_voor_5p!C79), "", INDEX(II_voor_5p!N68:N72, MATCH(MID(II_voor_5p!C79,5,1), II_voor_5p!M68:M72, 0)))</f>
        <v>Stanislav STROGOV</v>
      </c>
      <c r="F72" s="300"/>
      <c r="G72" s="300"/>
      <c r="H72" s="300"/>
      <c r="I72" s="300"/>
      <c r="J72" s="300"/>
      <c r="K72" s="294"/>
      <c r="L72" s="295"/>
      <c r="M72" s="295"/>
    </row>
    <row r="73" spans="1:18">
      <c r="A73" s="7"/>
      <c r="B73" s="9" t="s">
        <v>9</v>
      </c>
      <c r="C73" s="8" t="str">
        <f>VLOOKUP(B73,II_voor_5p!$B$68:$K$72,2,FALSE)</f>
        <v>Ilmar VUHKA</v>
      </c>
      <c r="D73" s="9" t="s">
        <v>12</v>
      </c>
      <c r="E73" s="8" t="str">
        <f>VLOOKUP(D73,II_voor_5p!$M$68:$W$72,2,FALSE)</f>
        <v>Andrei MALTIZOV</v>
      </c>
      <c r="F73" s="85" t="str">
        <f>IF(II_voor_5p!E80=0,"",II_voor_5p!E80)</f>
        <v>10:12</v>
      </c>
      <c r="G73" s="85" t="str">
        <f>IF(II_voor_5p!H80=0,"",II_voor_5p!H80)</f>
        <v>11:7</v>
      </c>
      <c r="H73" s="85" t="str">
        <f>IF(II_voor_5p!K80=0,"",II_voor_5p!K80)</f>
        <v>5:11</v>
      </c>
      <c r="I73" s="85" t="str">
        <f>IF(II_voor_5p!N80=0,"",II_voor_5p!N80)</f>
        <v>10:12</v>
      </c>
      <c r="J73" s="85" t="str">
        <f>IF(II_voor_5p!Q80=0,"",II_voor_5p!Q80)</f>
        <v/>
      </c>
      <c r="K73" s="53" t="str">
        <f>IF(F73="","",CONCATENATE(Abitabel6!G67,":",Abitabel6!N67))</f>
        <v>1:3</v>
      </c>
      <c r="L73" s="35">
        <f>IF(K73="","",IF(LEFT(K73,1)&lt;RIGHT(K73,1),0,1))</f>
        <v>0</v>
      </c>
      <c r="M73" s="35">
        <f>IF(K73="","",IF(LEFT(K73,1)&gt;RIGHT(K73,1),0,1))</f>
        <v>1</v>
      </c>
      <c r="Q73" s="1" t="str">
        <f t="shared" ref="Q73:Q125" si="15">IF(OR(LEFT(K73,1)="3",RIGHT(K73,1)="3"),"","ERROR")</f>
        <v/>
      </c>
    </row>
    <row r="74" spans="1:18">
      <c r="A74" s="7"/>
      <c r="B74" s="9" t="s">
        <v>13</v>
      </c>
      <c r="C74" s="8" t="str">
        <f>VLOOKUP(B74,II_voor_5p!$B$68:$K$72,2,FALSE)</f>
        <v>Pert Marten LEHTLAAN</v>
      </c>
      <c r="D74" s="9" t="s">
        <v>10</v>
      </c>
      <c r="E74" s="8" t="str">
        <f>VLOOKUP(D74,II_voor_5p!$M$68:$W$72,2,FALSE)</f>
        <v>Samuli SOINE</v>
      </c>
      <c r="F74" s="85" t="str">
        <f>IF(II_voor_5p!E81=0,"",II_voor_5p!E81)</f>
        <v>5:11</v>
      </c>
      <c r="G74" s="85" t="str">
        <f>IF(II_voor_5p!H81=0,"",II_voor_5p!H81)</f>
        <v>12:14</v>
      </c>
      <c r="H74" s="85" t="str">
        <f>IF(II_voor_5p!K81=0,"",II_voor_5p!K81)</f>
        <v>11:9</v>
      </c>
      <c r="I74" s="85" t="str">
        <f>IF(II_voor_5p!N81=0,"",II_voor_5p!N81)</f>
        <v>11:6</v>
      </c>
      <c r="J74" s="85" t="str">
        <f>IF(II_voor_5p!Q81=0,"",II_voor_5p!Q81)</f>
        <v>11:6</v>
      </c>
      <c r="K74" s="53" t="str">
        <f>IF(F74="","",CONCATENATE(Abitabel6!G68,":",Abitabel6!N68))</f>
        <v>3:2</v>
      </c>
      <c r="L74" s="35">
        <f>IF(K74="","",IF(LEFT(K74,1)&lt;RIGHT(K74,1),0,1))</f>
        <v>1</v>
      </c>
      <c r="M74" s="35">
        <f>IF(L74="","",IF(LEFT(K74,1)&gt;RIGHT(K74,1),0,1))</f>
        <v>0</v>
      </c>
      <c r="Q74" s="1" t="str">
        <f t="shared" si="15"/>
        <v/>
      </c>
    </row>
    <row r="75" spans="1:18">
      <c r="A75" s="7"/>
      <c r="B75" s="9" t="s">
        <v>11</v>
      </c>
      <c r="C75" s="8" t="str">
        <f>VLOOKUP(B75,II_voor_5p!$B$68:$K$72,2,FALSE)</f>
        <v>Daniels KOGANS</v>
      </c>
      <c r="D75" s="9" t="s">
        <v>14</v>
      </c>
      <c r="E75" s="8" t="str">
        <f>VLOOKUP(D75,II_voor_5p!$M$68:$W$72,2,FALSE)</f>
        <v>Madis MOOS</v>
      </c>
      <c r="F75" s="85" t="str">
        <f>IF(II_voor_5p!E82=0,"",II_voor_5p!E82)</f>
        <v>11:6</v>
      </c>
      <c r="G75" s="85" t="str">
        <f>IF(II_voor_5p!H82=0,"",II_voor_5p!H82)</f>
        <v>11:6</v>
      </c>
      <c r="H75" s="85" t="str">
        <f>IF(II_voor_5p!K82=0,"",II_voor_5p!K82)</f>
        <v>9:11</v>
      </c>
      <c r="I75" s="85" t="str">
        <f>IF(II_voor_5p!N82=0,"",II_voor_5p!N82)</f>
        <v>15:13</v>
      </c>
      <c r="J75" s="85" t="str">
        <f>IF(II_voor_5p!Q82=0,"",II_voor_5p!Q82)</f>
        <v/>
      </c>
      <c r="K75" s="53" t="str">
        <f>IF(F75="","",CONCATENATE(Abitabel6!G69,":",Abitabel6!N69))</f>
        <v>3:1</v>
      </c>
      <c r="L75" s="35">
        <f>IF(K75="","",IF(LEFT(K75,1)&lt;RIGHT(K75,1),0,1))</f>
        <v>1</v>
      </c>
      <c r="M75" s="35">
        <f>IF(L75="","",IF(LEFT(K75,1)&gt;RIGHT(K75,1),0,1))</f>
        <v>0</v>
      </c>
      <c r="Q75" s="1" t="str">
        <f t="shared" si="15"/>
        <v/>
      </c>
    </row>
    <row r="76" spans="1:18">
      <c r="A76" s="7"/>
      <c r="B76" s="10"/>
      <c r="C76" s="33" t="str">
        <f>VLOOKUP(C67,Koosseisud!A:B,2,FALSE )</f>
        <v>Meeskond7</v>
      </c>
      <c r="D76" s="10"/>
      <c r="E76" s="33" t="str">
        <f>VLOOKUP(E67,Koosseisud!A:B,2,FALSE)</f>
        <v>Meeskond3</v>
      </c>
      <c r="F76" s="10"/>
      <c r="G76" s="10"/>
      <c r="H76" s="10"/>
      <c r="I76" s="10"/>
      <c r="J76" s="11"/>
      <c r="K76" s="12"/>
      <c r="L76" s="13"/>
      <c r="M76" s="13"/>
    </row>
    <row r="77" spans="1:18" ht="15">
      <c r="A77" s="2" t="s">
        <v>75</v>
      </c>
      <c r="B77" s="3">
        <f>IF(K78="","",SUM(L78:L85))</f>
        <v>4</v>
      </c>
      <c r="C77" s="83" t="str">
        <f>II_voor_5p!G97</f>
        <v>Tartu SS Kalev</v>
      </c>
      <c r="D77" s="3">
        <f>IF(K78="","",SUM(M78:M85))</f>
        <v>0</v>
      </c>
      <c r="E77" s="83" t="str">
        <f>II_voor_5p!R97</f>
        <v>Tiim FORUS - Maardu LTK</v>
      </c>
      <c r="F77" s="5" t="s">
        <v>2</v>
      </c>
      <c r="G77" s="5" t="s">
        <v>3</v>
      </c>
      <c r="H77" s="5" t="s">
        <v>4</v>
      </c>
      <c r="I77" s="5" t="s">
        <v>5</v>
      </c>
      <c r="J77" s="5" t="s">
        <v>6</v>
      </c>
      <c r="K77" s="6" t="s">
        <v>7</v>
      </c>
      <c r="L77" s="287" t="s">
        <v>8</v>
      </c>
      <c r="M77" s="287"/>
      <c r="R77" s="1" t="str">
        <f>IF(OR(B77=4,D77=4),"","ERROR")</f>
        <v/>
      </c>
    </row>
    <row r="78" spans="1:18">
      <c r="A78" s="7" t="s">
        <v>468</v>
      </c>
      <c r="B78" s="9" t="s">
        <v>9</v>
      </c>
      <c r="C78" s="8" t="str">
        <f>VLOOKUP(B78,II_voor_5p!$B$98:$K$102,2,FALSE)</f>
        <v>Mart LUUK</v>
      </c>
      <c r="D78" s="9" t="s">
        <v>10</v>
      </c>
      <c r="E78" s="8" t="str">
        <f>VLOOKUP(D78,II_voor_5p!$M$98:$W$102,2,FALSE)</f>
        <v>Sergei DANILOV</v>
      </c>
      <c r="F78" s="85" t="str">
        <f>IF(II_voor_5p!E106=0,"",II_voor_5p!E106)</f>
        <v>11:3</v>
      </c>
      <c r="G78" s="85" t="str">
        <f>IF(II_voor_5p!H106=0,"",II_voor_5p!H106)</f>
        <v>11:5</v>
      </c>
      <c r="H78" s="85" t="str">
        <f>IF(II_voor_5p!K106=0,"",II_voor_5p!K106)</f>
        <v>11:4</v>
      </c>
      <c r="I78" s="85" t="str">
        <f>IF(II_voor_5p!N106=0,"",II_voor_5p!N106)</f>
        <v/>
      </c>
      <c r="J78" s="84" t="str">
        <f>IF(II_voor_5p!Q106=0,"",II_voor_5p!Q106)</f>
        <v/>
      </c>
      <c r="K78" s="53" t="str">
        <f>IF(F78="","",CONCATENATE(Abitabel6!G72,":",Abitabel6!N72))</f>
        <v>3:0</v>
      </c>
      <c r="L78" s="35">
        <f>IF(K78="","",IF(LEFT(K78,1)&lt;RIGHT(K78,1),0,1))</f>
        <v>1</v>
      </c>
      <c r="M78" s="35">
        <f>IF(K78="","",IF(LEFT(K78,1)&gt;RIGHT(K78,1),0,1))</f>
        <v>0</v>
      </c>
      <c r="Q78" s="1" t="str">
        <f t="shared" si="15"/>
        <v/>
      </c>
    </row>
    <row r="79" spans="1:18">
      <c r="A79" s="7" t="s">
        <v>59</v>
      </c>
      <c r="B79" s="9" t="s">
        <v>11</v>
      </c>
      <c r="C79" s="8" t="str">
        <f>VLOOKUP(B79,II_voor_5p!$B$98:$K$102,2,FALSE)</f>
        <v>Markkos PUKK</v>
      </c>
      <c r="D79" s="9" t="s">
        <v>12</v>
      </c>
      <c r="E79" s="8" t="str">
        <f>VLOOKUP(D79,II_voor_5p!$M$98:$W$102,2,FALSE)</f>
        <v>Aleksandr SMIRNOV</v>
      </c>
      <c r="F79" s="85" t="str">
        <f>IF(II_voor_5p!E107=0,"",II_voor_5p!E107)</f>
        <v>11:8</v>
      </c>
      <c r="G79" s="85" t="str">
        <f>IF(II_voor_5p!H107=0,"",II_voor_5p!H107)</f>
        <v>11:9</v>
      </c>
      <c r="H79" s="85" t="str">
        <f>IF(II_voor_5p!K107=0,"",II_voor_5p!K107)</f>
        <v>8:11</v>
      </c>
      <c r="I79" s="85" t="str">
        <f>IF(II_voor_5p!N107=0,"",II_voor_5p!N107)</f>
        <v>11:9</v>
      </c>
      <c r="J79" s="84" t="str">
        <f>IF(II_voor_5p!Q107=0,"",II_voor_5p!Q107)</f>
        <v/>
      </c>
      <c r="K79" s="53" t="str">
        <f>IF(F79="","",CONCATENATE(Abitabel6!G73,":",Abitabel6!N73))</f>
        <v>3:1</v>
      </c>
      <c r="L79" s="35">
        <f t="shared" ref="L79:L80" si="16">IF(K79="","",IF(LEFT(K79,1)&lt;RIGHT(K79,1),0,1))</f>
        <v>1</v>
      </c>
      <c r="M79" s="35">
        <f t="shared" ref="M79:M80" si="17">IF(K79="","",IF(LEFT(K79,1)&gt;RIGHT(K79,1),0,1))</f>
        <v>0</v>
      </c>
      <c r="Q79" s="1" t="str">
        <f t="shared" si="15"/>
        <v/>
      </c>
    </row>
    <row r="80" spans="1:18">
      <c r="A80" s="7"/>
      <c r="B80" s="9" t="s">
        <v>13</v>
      </c>
      <c r="C80" s="8" t="str">
        <f>VLOOKUP(B80,II_voor_5p!$B$98:$K$102,2,FALSE)</f>
        <v>Arttu Antero PIHKALA</v>
      </c>
      <c r="D80" s="9" t="s">
        <v>14</v>
      </c>
      <c r="E80" s="8" t="str">
        <f>VLOOKUP(D80,II_voor_5p!$M$98:$W$102,2,FALSE)</f>
        <v>Lauri LAANE</v>
      </c>
      <c r="F80" s="85" t="str">
        <f>IF(II_voor_5p!E108=0,"",II_voor_5p!E108)</f>
        <v>11:6</v>
      </c>
      <c r="G80" s="85" t="str">
        <f>IF(II_voor_5p!H108=0,"",II_voor_5p!H108)</f>
        <v>14:12</v>
      </c>
      <c r="H80" s="85" t="str">
        <f>IF(II_voor_5p!K108=0,"",II_voor_5p!K108)</f>
        <v>9:11</v>
      </c>
      <c r="I80" s="85" t="str">
        <f>IF(II_voor_5p!N108=0,"",II_voor_5p!N108)</f>
        <v>12:10</v>
      </c>
      <c r="J80" s="84" t="str">
        <f>IF(II_voor_5p!Q108=0,"",II_voor_5p!Q108)</f>
        <v/>
      </c>
      <c r="K80" s="53" t="str">
        <f>IF(F80="","",CONCATENATE(Abitabel6!G74,":",Abitabel6!N74))</f>
        <v>3:1</v>
      </c>
      <c r="L80" s="35">
        <f t="shared" si="16"/>
        <v>1</v>
      </c>
      <c r="M80" s="35">
        <f t="shared" si="17"/>
        <v>0</v>
      </c>
      <c r="Q80" s="1" t="str">
        <f t="shared" si="15"/>
        <v/>
      </c>
    </row>
    <row r="81" spans="1:18">
      <c r="A81" s="7"/>
      <c r="B81" s="290" t="s">
        <v>15</v>
      </c>
      <c r="C81" s="1" t="str">
        <f>IF(ISBLANK(II_voor_5p!C109), "", INDEX(II_voor_5p!C98:C102, MATCH(MID(II_voor_5p!C109,1,1), II_voor_5p!B98:B102, 0)))</f>
        <v>Mart LUUK</v>
      </c>
      <c r="D81" s="290" t="s">
        <v>15</v>
      </c>
      <c r="E81" s="1" t="str">
        <f>IF(ISBLANK(II_voor_5p!C109), "", INDEX(II_voor_5p!N98:N102, MATCH(MID(II_voor_5p!C109,4,1), II_voor_5p!M98:M102, 0)))</f>
        <v>Aleksandr SMIRNOV</v>
      </c>
      <c r="F81" s="300" t="str">
        <f>IF(II_voor_5p!E109=0,"",II_voor_5p!E109)</f>
        <v>11:8</v>
      </c>
      <c r="G81" s="300" t="str">
        <f>IF(II_voor_5p!H109=0,"",II_voor_5p!H109)</f>
        <v>14:12</v>
      </c>
      <c r="H81" s="300" t="str">
        <f>IF(II_voor_5p!K109=0,"",II_voor_5p!K109)</f>
        <v>11:7</v>
      </c>
      <c r="I81" s="300" t="str">
        <f>IF(II_voor_5p!N109=0,"",II_voor_5p!N109)</f>
        <v/>
      </c>
      <c r="J81" s="305" t="str">
        <f>IF(II_voor_5p!Q109=0,"",II_voor_5p!Q109)</f>
        <v/>
      </c>
      <c r="K81" s="294" t="str">
        <f>IF(F81="","",CONCATENATE(Abitabel6!G75,":",Abitabel6!N75))</f>
        <v>3:0</v>
      </c>
      <c r="L81" s="295">
        <f>IF(K81="","",IF(LEFT(K81,1)&lt;RIGHT(K81,1),0,1))</f>
        <v>1</v>
      </c>
      <c r="M81" s="295">
        <f>IF(K81="","",IF(LEFT(K81,1)&gt;RIGHT(K81,1),0,1))</f>
        <v>0</v>
      </c>
      <c r="Q81" s="1" t="str">
        <f t="shared" si="15"/>
        <v/>
      </c>
    </row>
    <row r="82" spans="1:18">
      <c r="A82" s="7"/>
      <c r="B82" s="291"/>
      <c r="C82" s="1" t="str">
        <f>IF(ISBLANK(II_voor_5p!C109), "", INDEX(II_voor_5p!C98:C102, MATCH(MID(II_voor_5p!C109,2,1), II_voor_5p!B98:B102, 0)))</f>
        <v>Markkos PUKK</v>
      </c>
      <c r="D82" s="291"/>
      <c r="E82" s="1" t="str">
        <f>IF(ISBLANK(II_voor_5p!C109), "", INDEX(II_voor_5p!N98:N102, MATCH(MID(II_voor_5p!C109,5,1), II_voor_5p!M98:M102, 0)))</f>
        <v>Lauri LAANE</v>
      </c>
      <c r="F82" s="300"/>
      <c r="G82" s="300"/>
      <c r="H82" s="300"/>
      <c r="I82" s="300"/>
      <c r="J82" s="305"/>
      <c r="K82" s="294"/>
      <c r="L82" s="295"/>
      <c r="M82" s="295"/>
    </row>
    <row r="83" spans="1:18">
      <c r="A83" s="7"/>
      <c r="B83" s="9" t="s">
        <v>9</v>
      </c>
      <c r="C83" s="8" t="str">
        <f>VLOOKUP(B83,II_voor_5p!$B$98:$K$102,2,FALSE)</f>
        <v>Mart LUUK</v>
      </c>
      <c r="D83" s="9" t="s">
        <v>12</v>
      </c>
      <c r="E83" s="8" t="str">
        <f>VLOOKUP(D83,II_voor_5p!$M$98:$W$102,2,FALSE)</f>
        <v>Aleksandr SMIRNOV</v>
      </c>
      <c r="F83" s="84" t="str">
        <f>IF(II_voor_5p!E110=0,"",II_voor_5p!E110)</f>
        <v/>
      </c>
      <c r="G83" s="84" t="str">
        <f>IF(II_voor_5p!H110=0,"",II_voor_5p!H110)</f>
        <v/>
      </c>
      <c r="H83" s="84" t="str">
        <f>IF(II_voor_5p!K110=0,"",II_voor_5p!K110)</f>
        <v/>
      </c>
      <c r="I83" s="84" t="str">
        <f>IF(II_voor_5p!N110=0,"",II_voor_5p!N110)</f>
        <v/>
      </c>
      <c r="J83" s="84" t="str">
        <f>IF(II_voor_5p!Q110=0,"",II_voor_5p!Q110)</f>
        <v/>
      </c>
      <c r="K83" s="53" t="str">
        <f>IF(F83="","",CONCATENATE(Abitabel6!G77,":",Abitabel6!N77))</f>
        <v/>
      </c>
      <c r="L83" s="35" t="str">
        <f>IF(K83="","",IF(LEFT(K83,1)&lt;RIGHT(K83,1),0,1))</f>
        <v/>
      </c>
      <c r="M83" s="35" t="str">
        <f>IF(K83="","",IF(LEFT(K83,1)&gt;RIGHT(K83,1),0,1))</f>
        <v/>
      </c>
      <c r="Q83" s="1" t="str">
        <f t="shared" si="15"/>
        <v>ERROR</v>
      </c>
    </row>
    <row r="84" spans="1:18">
      <c r="A84" s="7"/>
      <c r="B84" s="9" t="s">
        <v>13</v>
      </c>
      <c r="C84" s="8" t="str">
        <f>VLOOKUP(B84,II_voor_5p!$B$98:$K$102,2,FALSE)</f>
        <v>Arttu Antero PIHKALA</v>
      </c>
      <c r="D84" s="9" t="s">
        <v>10</v>
      </c>
      <c r="E84" s="8" t="str">
        <f>VLOOKUP(D84,II_voor_5p!$M$98:$W$102,2,FALSE)</f>
        <v>Sergei DANILOV</v>
      </c>
      <c r="F84" s="84" t="str">
        <f>IF(II_voor_5p!E111=0,"",II_voor_5p!E111)</f>
        <v/>
      </c>
      <c r="G84" s="84" t="str">
        <f>IF(II_voor_5p!H111=0,"",II_voor_5p!H111)</f>
        <v/>
      </c>
      <c r="H84" s="84" t="str">
        <f>IF(II_voor_5p!K111=0,"",II_voor_5p!K111)</f>
        <v/>
      </c>
      <c r="I84" s="84" t="str">
        <f>IF(II_voor_5p!N111=0,"",II_voor_5p!N111)</f>
        <v/>
      </c>
      <c r="J84" s="84" t="str">
        <f>IF(II_voor_5p!Q111=0,"",II_voor_5p!Q111)</f>
        <v/>
      </c>
      <c r="K84" s="53" t="str">
        <f>IF(F84="","",CONCATENATE(Abitabel6!G78,":",Abitabel6!N78))</f>
        <v/>
      </c>
      <c r="L84" s="35" t="str">
        <f>IF(K84="","",IF(LEFT(K84,1)&lt;RIGHT(K84,1),0,1))</f>
        <v/>
      </c>
      <c r="M84" s="35" t="str">
        <f>IF(L84="","",IF(LEFT(K84,1)&gt;RIGHT(K84,1),0,1))</f>
        <v/>
      </c>
      <c r="Q84" s="1" t="str">
        <f t="shared" si="15"/>
        <v>ERROR</v>
      </c>
    </row>
    <row r="85" spans="1:18">
      <c r="A85" s="7"/>
      <c r="B85" s="9" t="s">
        <v>11</v>
      </c>
      <c r="C85" s="8" t="str">
        <f>VLOOKUP(B85,II_voor_5p!$B$98:$K$102,2,FALSE)</f>
        <v>Markkos PUKK</v>
      </c>
      <c r="D85" s="9" t="s">
        <v>14</v>
      </c>
      <c r="E85" s="8" t="str">
        <f>VLOOKUP(D85,II_voor_5p!$M$98:$W$102,2,FALSE)</f>
        <v>Lauri LAANE</v>
      </c>
      <c r="F85" s="84" t="str">
        <f>IF(II_voor_5p!E112=0,"",II_voor_5p!E112)</f>
        <v/>
      </c>
      <c r="G85" s="84" t="str">
        <f>IF(II_voor_5p!H112=0,"",II_voor_5p!H112)</f>
        <v/>
      </c>
      <c r="H85" s="84" t="str">
        <f>IF(II_voor_5p!K112=0,"",II_voor_5p!K112)</f>
        <v/>
      </c>
      <c r="I85" s="84" t="str">
        <f>IF(II_voor_5p!N112=0,"",II_voor_5p!N112)</f>
        <v/>
      </c>
      <c r="J85" s="84" t="str">
        <f>IF(II_voor_5p!Q112=0,"",II_voor_5p!Q112)</f>
        <v/>
      </c>
      <c r="K85" s="53" t="str">
        <f>IF(F85="","",CONCATENATE(Abitabel6!G79,":",Abitabel6!N79))</f>
        <v/>
      </c>
      <c r="L85" s="35" t="str">
        <f>IF(K85="","",IF(LEFT(K85,1)&lt;RIGHT(K85,1),0,1))</f>
        <v/>
      </c>
      <c r="M85" s="35" t="str">
        <f>IF(L85="","",IF(LEFT(K85,1)&gt;RIGHT(K85,1),0,1))</f>
        <v/>
      </c>
      <c r="Q85" s="1" t="str">
        <f t="shared" si="15"/>
        <v>ERROR</v>
      </c>
    </row>
    <row r="86" spans="1:18">
      <c r="A86" s="7"/>
      <c r="B86" s="10"/>
      <c r="C86" s="33" t="str">
        <f>VLOOKUP(C77,Koosseisud!A:B,2,FALSE )</f>
        <v>Meeskond4</v>
      </c>
      <c r="D86" s="10"/>
      <c r="E86" s="33" t="str">
        <f>VLOOKUP(E77,Koosseisud!A:B,2,FALSE)</f>
        <v>Meeskond1</v>
      </c>
      <c r="F86" s="10"/>
      <c r="G86" s="10"/>
      <c r="H86" s="10"/>
      <c r="I86" s="10"/>
      <c r="J86" s="11"/>
      <c r="K86" s="12"/>
      <c r="L86" s="13"/>
      <c r="M86" s="13"/>
    </row>
    <row r="87" spans="1:18" ht="15">
      <c r="A87" s="2" t="s">
        <v>76</v>
      </c>
      <c r="B87" s="3">
        <f>IF(K88="","",SUM(L88:L95))</f>
        <v>4</v>
      </c>
      <c r="C87" s="4" t="str">
        <f>III_voor_5p!G7</f>
        <v>Viimsi LTK/EM-SERV</v>
      </c>
      <c r="D87" s="3">
        <f>IF(K88="","",SUM(M88:M95))</f>
        <v>0</v>
      </c>
      <c r="E87" s="4" t="str">
        <f>III_voor_5p!R7</f>
        <v>Tiim FORUS - Maardu LTK</v>
      </c>
      <c r="F87" s="5" t="s">
        <v>2</v>
      </c>
      <c r="G87" s="5" t="s">
        <v>3</v>
      </c>
      <c r="H87" s="5" t="s">
        <v>4</v>
      </c>
      <c r="I87" s="5" t="s">
        <v>5</v>
      </c>
      <c r="J87" s="5" t="s">
        <v>6</v>
      </c>
      <c r="K87" s="6" t="s">
        <v>7</v>
      </c>
      <c r="L87" s="287" t="s">
        <v>8</v>
      </c>
      <c r="M87" s="287"/>
      <c r="R87" s="1" t="str">
        <f>IF(OR(B87=4,D87=4),"","ERROR")</f>
        <v/>
      </c>
    </row>
    <row r="88" spans="1:18">
      <c r="A88" s="7" t="s">
        <v>469</v>
      </c>
      <c r="B88" s="9" t="s">
        <v>9</v>
      </c>
      <c r="C88" s="8" t="str">
        <f>VLOOKUP(B88,III_voor_5p!$B$8:$K$12,2,FALSE)</f>
        <v>Ilmar VUHKA</v>
      </c>
      <c r="D88" s="9" t="s">
        <v>10</v>
      </c>
      <c r="E88" s="8" t="str">
        <f>VLOOKUP(D88,III_voor_5p!$M$8:$W$12,2,FALSE)</f>
        <v>Lauri LAANE</v>
      </c>
      <c r="F88" s="85" t="str">
        <f>IF(III_voor_5p!E16=0,"",III_voor_5p!E16)</f>
        <v>14:12</v>
      </c>
      <c r="G88" s="85" t="str">
        <f>IF(III_voor_5p!H16=0,"",III_voor_5p!H16)</f>
        <v>11:5</v>
      </c>
      <c r="H88" s="85" t="str">
        <f>IF(III_voor_5p!K16=0,"",III_voor_5p!K16)</f>
        <v>5:11</v>
      </c>
      <c r="I88" s="85" t="str">
        <f>IF(III_voor_5p!N16=0,"",III_voor_5p!N16)</f>
        <v>10:12</v>
      </c>
      <c r="J88" s="85" t="str">
        <f>IF(III_voor_5p!Q16=0,"",III_voor_5p!Q16)</f>
        <v>11:3</v>
      </c>
      <c r="K88" s="53" t="str">
        <f>IF(F88="","",CONCATENATE(Abitabel6!G82,":",Abitabel6!N82))</f>
        <v>3:2</v>
      </c>
      <c r="L88" s="35">
        <f>IF(K88="","",IF(LEFT(K88,1)&lt;RIGHT(K88,1),0,1))</f>
        <v>1</v>
      </c>
      <c r="M88" s="35">
        <f>IF(K88="","",IF(LEFT(K88,1)&gt;RIGHT(K88,1),0,1))</f>
        <v>0</v>
      </c>
      <c r="Q88" s="1" t="str">
        <f t="shared" si="15"/>
        <v/>
      </c>
    </row>
    <row r="89" spans="1:18">
      <c r="A89" s="7" t="s">
        <v>59</v>
      </c>
      <c r="B89" s="9" t="s">
        <v>11</v>
      </c>
      <c r="C89" s="8" t="str">
        <f>VLOOKUP(B89,III_voor_5p!$B$8:$K$12,2,FALSE)</f>
        <v>Daniels KOGANS</v>
      </c>
      <c r="D89" s="9" t="s">
        <v>12</v>
      </c>
      <c r="E89" s="8" t="str">
        <f>VLOOKUP(D89,III_voor_5p!$M$8:$W$12,2,FALSE)</f>
        <v>Aleksandr SMIRNOV</v>
      </c>
      <c r="F89" s="85" t="str">
        <f>IF(III_voor_5p!E17=0,"",III_voor_5p!E17)</f>
        <v>4:11</v>
      </c>
      <c r="G89" s="85" t="str">
        <f>IF(III_voor_5p!H17=0,"",III_voor_5p!H17)</f>
        <v>11:7</v>
      </c>
      <c r="H89" s="85" t="str">
        <f>IF(III_voor_5p!K17=0,"",III_voor_5p!K17)</f>
        <v>11:2</v>
      </c>
      <c r="I89" s="85" t="str">
        <f>IF(III_voor_5p!N17=0,"",III_voor_5p!N17)</f>
        <v>11:7</v>
      </c>
      <c r="J89" s="85" t="str">
        <f>IF(III_voor_5p!Q17=0,"",III_voor_5p!Q17)</f>
        <v/>
      </c>
      <c r="K89" s="53" t="str">
        <f>IF(F89="","",CONCATENATE(Abitabel6!G83,":",Abitabel6!N83))</f>
        <v>3:1</v>
      </c>
      <c r="L89" s="35">
        <f t="shared" ref="L89:L90" si="18">IF(K89="","",IF(LEFT(K89,1)&lt;RIGHT(K89,1),0,1))</f>
        <v>1</v>
      </c>
      <c r="M89" s="35">
        <f t="shared" ref="M89:M90" si="19">IF(K89="","",IF(LEFT(K89,1)&gt;RIGHT(K89,1),0,1))</f>
        <v>0</v>
      </c>
      <c r="Q89" s="1" t="str">
        <f t="shared" si="15"/>
        <v/>
      </c>
    </row>
    <row r="90" spans="1:18">
      <c r="A90" s="7"/>
      <c r="B90" s="9" t="s">
        <v>13</v>
      </c>
      <c r="C90" s="8" t="str">
        <f>VLOOKUP(B90,III_voor_5p!$B$8:$K$12,2,FALSE)</f>
        <v>Pert Marten LEHTLAAN</v>
      </c>
      <c r="D90" s="9" t="s">
        <v>14</v>
      </c>
      <c r="E90" s="8" t="str">
        <f>VLOOKUP(D90,III_voor_5p!$M$8:$W$12,2,FALSE)</f>
        <v>Sergei DANILOV</v>
      </c>
      <c r="F90" s="85" t="str">
        <f>IF(III_voor_5p!E18=0,"",III_voor_5p!E18)</f>
        <v>11:8</v>
      </c>
      <c r="G90" s="85" t="str">
        <f>IF(III_voor_5p!H18=0,"",III_voor_5p!H18)</f>
        <v>11:9</v>
      </c>
      <c r="H90" s="85" t="str">
        <f>IF(III_voor_5p!K18=0,"",III_voor_5p!K18)</f>
        <v>11:1</v>
      </c>
      <c r="I90" s="85" t="str">
        <f>IF(III_voor_5p!N18=0,"",III_voor_5p!N18)</f>
        <v/>
      </c>
      <c r="J90" s="85" t="str">
        <f>IF(III_voor_5p!Q18=0,"",III_voor_5p!Q18)</f>
        <v/>
      </c>
      <c r="K90" s="53" t="str">
        <f>IF(F90="","",CONCATENATE(Abitabel6!G84,":",Abitabel6!N84))</f>
        <v>3:0</v>
      </c>
      <c r="L90" s="35">
        <f t="shared" si="18"/>
        <v>1</v>
      </c>
      <c r="M90" s="35">
        <f t="shared" si="19"/>
        <v>0</v>
      </c>
      <c r="Q90" s="1" t="str">
        <f t="shared" si="15"/>
        <v/>
      </c>
    </row>
    <row r="91" spans="1:18">
      <c r="A91" s="7"/>
      <c r="B91" s="290" t="s">
        <v>15</v>
      </c>
      <c r="C91" s="1" t="str">
        <f>IF(ISBLANK(III_voor_5p!C19), "", INDEX(III_voor_5p!C8:C12, MATCH(MID(III_voor_5p!C19,1,1), III_voor_5p!B8:B12, 0)))</f>
        <v>Ilmar VUHKA</v>
      </c>
      <c r="D91" s="290" t="s">
        <v>15</v>
      </c>
      <c r="E91" s="1" t="str">
        <f>IF(ISBLANK(III_voor_5p!C19), "", INDEX(III_voor_5p!N8:N12, MATCH(MID(III_voor_5p!C19,4,1), III_voor_5p!M8:M12, 0)))</f>
        <v>Aleksandr SMIRNOV</v>
      </c>
      <c r="F91" s="300" t="str">
        <f>IF(III_voor_5p!E19=0,"",III_voor_5p!E19)</f>
        <v>10:12</v>
      </c>
      <c r="G91" s="300" t="str">
        <f>IF(III_voor_5p!H19=0,"",III_voor_5p!H19)</f>
        <v>11:8</v>
      </c>
      <c r="H91" s="300" t="str">
        <f>IF(III_voor_5p!K19=0,"",III_voor_5p!K19)</f>
        <v>11:7</v>
      </c>
      <c r="I91" s="300" t="str">
        <f>IF(III_voor_5p!N19=0,"",III_voor_5p!N19)</f>
        <v>11:8</v>
      </c>
      <c r="J91" s="300" t="str">
        <f>IF(III_voor_5p!Q19=0,"",III_voor_5p!Q19)</f>
        <v/>
      </c>
      <c r="K91" s="294" t="str">
        <f>IF(F91="","",CONCATENATE(Abitabel6!G85,":",Abitabel6!N85))</f>
        <v>3:1</v>
      </c>
      <c r="L91" s="295">
        <f>IF(K91="","",IF(LEFT(K91,1)&lt;RIGHT(K91,1),0,1))</f>
        <v>1</v>
      </c>
      <c r="M91" s="295">
        <f>IF(K91="","",IF(LEFT(K91,1)&gt;RIGHT(K91,1),0,1))</f>
        <v>0</v>
      </c>
      <c r="Q91" s="1" t="str">
        <f t="shared" si="15"/>
        <v/>
      </c>
    </row>
    <row r="92" spans="1:18">
      <c r="A92" s="7"/>
      <c r="B92" s="291"/>
      <c r="C92" s="1" t="str">
        <f>IF(ISBLANK(III_voor_5p!C19), "", INDEX(III_voor_5p!C8:C12, MATCH(MID(III_voor_5p!C19,2,1), III_voor_5p!B8:B12, 0)))</f>
        <v>Pert Marten LEHTLAAN</v>
      </c>
      <c r="D92" s="291"/>
      <c r="E92" s="1" t="str">
        <f>IF(ISBLANK(III_voor_5p!C19), "", INDEX(III_voor_5p!N8:N12, MATCH(MID(III_voor_5p!C19,5,1), III_voor_5p!M8:M12, 0)))</f>
        <v>Sergei DANILOV</v>
      </c>
      <c r="F92" s="300"/>
      <c r="G92" s="300"/>
      <c r="H92" s="300"/>
      <c r="I92" s="300"/>
      <c r="J92" s="300"/>
      <c r="K92" s="294"/>
      <c r="L92" s="295"/>
      <c r="M92" s="295"/>
    </row>
    <row r="93" spans="1:18">
      <c r="A93" s="7"/>
      <c r="B93" s="9" t="s">
        <v>9</v>
      </c>
      <c r="C93" s="8" t="str">
        <f>VLOOKUP(B93,III_voor_5p!$B$8:$K$12,2,FALSE)</f>
        <v>Ilmar VUHKA</v>
      </c>
      <c r="D93" s="9" t="s">
        <v>12</v>
      </c>
      <c r="E93" s="8" t="str">
        <f>VLOOKUP(D93,III_voor_5p!$M$8:$W$12,2,FALSE)</f>
        <v>Aleksandr SMIRNOV</v>
      </c>
      <c r="F93" s="85" t="str">
        <f>IF(III_voor_5p!E20=0,"",III_voor_5p!E20)</f>
        <v/>
      </c>
      <c r="G93" s="85" t="str">
        <f>IF(III_voor_5p!H20=0,"",III_voor_5p!H20)</f>
        <v/>
      </c>
      <c r="H93" s="85" t="str">
        <f>IF(III_voor_5p!K20=0,"",III_voor_5p!K20)</f>
        <v/>
      </c>
      <c r="I93" s="85" t="str">
        <f>IF(III_voor_5p!N20=0,"",III_voor_5p!N20)</f>
        <v/>
      </c>
      <c r="J93" s="85" t="str">
        <f>IF(III_voor_5p!Q20=0,"",III_voor_5p!Q20)</f>
        <v/>
      </c>
      <c r="K93" s="53" t="str">
        <f>IF(F93="","",CONCATENATE(Abitabel6!G87,":",Abitabel6!N87))</f>
        <v/>
      </c>
      <c r="L93" s="35" t="str">
        <f>IF(K93="","",IF(LEFT(K93,1)&lt;RIGHT(K93,1),0,1))</f>
        <v/>
      </c>
      <c r="M93" s="35" t="str">
        <f>IF(K93="","",IF(LEFT(K93,1)&gt;RIGHT(K93,1),0,1))</f>
        <v/>
      </c>
      <c r="Q93" s="1" t="str">
        <f t="shared" si="15"/>
        <v>ERROR</v>
      </c>
    </row>
    <row r="94" spans="1:18">
      <c r="A94" s="7"/>
      <c r="B94" s="9" t="s">
        <v>13</v>
      </c>
      <c r="C94" s="8" t="str">
        <f>VLOOKUP(B94,III_voor_5p!$B$8:$K$12,2,FALSE)</f>
        <v>Pert Marten LEHTLAAN</v>
      </c>
      <c r="D94" s="9" t="s">
        <v>10</v>
      </c>
      <c r="E94" s="8" t="str">
        <f>VLOOKUP(D94,III_voor_5p!$M$8:$W$12,2,FALSE)</f>
        <v>Lauri LAANE</v>
      </c>
      <c r="F94" s="85" t="str">
        <f>IF(III_voor_5p!E21=0,"",III_voor_5p!E21)</f>
        <v/>
      </c>
      <c r="G94" s="85" t="str">
        <f>IF(III_voor_5p!H21=0,"",III_voor_5p!H21)</f>
        <v/>
      </c>
      <c r="H94" s="85" t="str">
        <f>IF(III_voor_5p!K21=0,"",III_voor_5p!K21)</f>
        <v/>
      </c>
      <c r="I94" s="85" t="str">
        <f>IF(III_voor_5p!N21=0,"",III_voor_5p!N21)</f>
        <v/>
      </c>
      <c r="J94" s="85" t="str">
        <f>IF(III_voor_5p!Q21=0,"",III_voor_5p!Q21)</f>
        <v/>
      </c>
      <c r="K94" s="53" t="str">
        <f>IF(F94="","",CONCATENATE(Abitabel6!G88,":",Abitabel6!N88))</f>
        <v/>
      </c>
      <c r="L94" s="35" t="str">
        <f>IF(K94="","",IF(LEFT(K94,1)&lt;RIGHT(K94,1),0,1))</f>
        <v/>
      </c>
      <c r="M94" s="35" t="str">
        <f>IF(L94="","",IF(LEFT(K94,1)&gt;RIGHT(K94,1),0,1))</f>
        <v/>
      </c>
      <c r="Q94" s="1" t="str">
        <f t="shared" si="15"/>
        <v>ERROR</v>
      </c>
    </row>
    <row r="95" spans="1:18">
      <c r="A95" s="7"/>
      <c r="B95" s="9" t="s">
        <v>11</v>
      </c>
      <c r="C95" s="8" t="str">
        <f>VLOOKUP(B95,III_voor_5p!$B$8:$K$12,2,FALSE)</f>
        <v>Daniels KOGANS</v>
      </c>
      <c r="D95" s="9" t="s">
        <v>14</v>
      </c>
      <c r="E95" s="8" t="str">
        <f>VLOOKUP(D95,III_voor_5p!$M$8:$W$12,2,FALSE)</f>
        <v>Sergei DANILOV</v>
      </c>
      <c r="F95" s="85" t="str">
        <f>IF(III_voor_5p!E22=0,"",III_voor_5p!E22)</f>
        <v/>
      </c>
      <c r="G95" s="85" t="str">
        <f>IF(III_voor_5p!H22=0,"",III_voor_5p!H22)</f>
        <v/>
      </c>
      <c r="H95" s="85" t="str">
        <f>IF(III_voor_5p!K22=0,"",III_voor_5p!K22)</f>
        <v/>
      </c>
      <c r="I95" s="85" t="str">
        <f>IF(III_voor_5p!N22=0,"",III_voor_5p!N22)</f>
        <v/>
      </c>
      <c r="J95" s="85" t="str">
        <f>IF(III_voor_5p!Q22=0,"",III_voor_5p!Q22)</f>
        <v/>
      </c>
      <c r="K95" s="53" t="str">
        <f>IF(F95="","",CONCATENATE(Abitabel6!G89,":",Abitabel6!N89))</f>
        <v/>
      </c>
      <c r="L95" s="35" t="str">
        <f>IF(K95="","",IF(LEFT(K95,1)&lt;RIGHT(K95,1),0,1))</f>
        <v/>
      </c>
      <c r="M95" s="35" t="str">
        <f>IF(L95="","",IF(LEFT(K95,1)&gt;RIGHT(K95,1),0,1))</f>
        <v/>
      </c>
      <c r="Q95" s="1" t="str">
        <f t="shared" si="15"/>
        <v>ERROR</v>
      </c>
    </row>
    <row r="96" spans="1:18">
      <c r="A96" s="7"/>
      <c r="B96" s="10"/>
      <c r="C96" s="33" t="str">
        <f>VLOOKUP(C87,Koosseisud!A:B,2,FALSE )</f>
        <v>Meeskond7</v>
      </c>
      <c r="D96" s="10"/>
      <c r="E96" s="33" t="str">
        <f>VLOOKUP(E87,Koosseisud!A:B,2,FALSE)</f>
        <v>Meeskond1</v>
      </c>
      <c r="F96" s="10"/>
      <c r="G96" s="10"/>
      <c r="H96" s="10"/>
      <c r="I96" s="10"/>
      <c r="J96" s="11"/>
      <c r="K96" s="12"/>
      <c r="L96" s="13"/>
      <c r="M96" s="13"/>
    </row>
    <row r="97" spans="1:18" ht="15">
      <c r="A97" s="2" t="s">
        <v>77</v>
      </c>
      <c r="B97" s="3">
        <f>IF(K98="","",SUM(L98:L105))</f>
        <v>0</v>
      </c>
      <c r="C97" s="4" t="str">
        <f>III_voor_5p!G37</f>
        <v>SPINMASTER</v>
      </c>
      <c r="D97" s="3">
        <f>IF(K98="","",SUM(M98:M105))</f>
        <v>4</v>
      </c>
      <c r="E97" s="4" t="str">
        <f>III_voor_5p!R37</f>
        <v>TalTech Spordiklubi</v>
      </c>
      <c r="F97" s="5" t="s">
        <v>2</v>
      </c>
      <c r="G97" s="5" t="s">
        <v>3</v>
      </c>
      <c r="H97" s="5" t="s">
        <v>4</v>
      </c>
      <c r="I97" s="5" t="s">
        <v>5</v>
      </c>
      <c r="J97" s="5" t="s">
        <v>6</v>
      </c>
      <c r="K97" s="6" t="s">
        <v>7</v>
      </c>
      <c r="L97" s="287" t="s">
        <v>8</v>
      </c>
      <c r="M97" s="287"/>
      <c r="R97" s="1" t="str">
        <f>IF(OR(B97=4,D97=4),"","ERROR")</f>
        <v/>
      </c>
    </row>
    <row r="98" spans="1:18">
      <c r="A98" s="7" t="s">
        <v>469</v>
      </c>
      <c r="B98" s="9" t="s">
        <v>9</v>
      </c>
      <c r="C98" s="8" t="str">
        <f>VLOOKUP(B98,III_voor_5p!$B$38:$K$42,2,FALSE)</f>
        <v>Kevin KUKK</v>
      </c>
      <c r="D98" s="9" t="s">
        <v>10</v>
      </c>
      <c r="E98" s="8" t="str">
        <f>VLOOKUP(D98,III_voor_5p!$M$38:$W$42,2,FALSE)</f>
        <v>Stanislav STROGOV</v>
      </c>
      <c r="F98" s="85" t="str">
        <f>IF(III_voor_5p!E46=0,"",III_voor_5p!E46)</f>
        <v>9:11</v>
      </c>
      <c r="G98" s="85" t="str">
        <f>IF(III_voor_5p!H46=0,"",III_voor_5p!H46)</f>
        <v>11:6</v>
      </c>
      <c r="H98" s="85" t="str">
        <f>IF(III_voor_5p!K46=0,"",III_voor_5p!K46)</f>
        <v>7:11</v>
      </c>
      <c r="I98" s="85" t="str">
        <f>IF(III_voor_5p!N46=0,"",III_voor_5p!N46)</f>
        <v>7:11</v>
      </c>
      <c r="J98" s="85" t="str">
        <f>IF(III_voor_5p!Q46=0,"",III_voor_5p!Q46)</f>
        <v/>
      </c>
      <c r="K98" s="53" t="str">
        <f>IF(F98="","",CONCATENATE(Abitabel6!G92,":",Abitabel6!N92))</f>
        <v>1:3</v>
      </c>
      <c r="L98" s="35">
        <f>IF(K98="","",IF(LEFT(K98,1)&lt;RIGHT(K98,1),0,1))</f>
        <v>0</v>
      </c>
      <c r="M98" s="35">
        <f>IF(K98="","",IF(LEFT(K98,1)&gt;RIGHT(K98,1),0,1))</f>
        <v>1</v>
      </c>
      <c r="Q98" s="1" t="str">
        <f t="shared" si="15"/>
        <v/>
      </c>
    </row>
    <row r="99" spans="1:18">
      <c r="A99" s="7" t="s">
        <v>59</v>
      </c>
      <c r="B99" s="9" t="s">
        <v>11</v>
      </c>
      <c r="C99" s="8" t="str">
        <f>VLOOKUP(B99,III_voor_5p!$B$38:$K$42,2,FALSE)</f>
        <v>Arturs RUDNIKOVS</v>
      </c>
      <c r="D99" s="9" t="s">
        <v>12</v>
      </c>
      <c r="E99" s="8" t="str">
        <f>VLOOKUP(D99,III_voor_5p!$M$38:$W$42,2,FALSE)</f>
        <v>Madis MOOS</v>
      </c>
      <c r="F99" s="85" t="str">
        <f>IF(III_voor_5p!E47=0,"",III_voor_5p!E47)</f>
        <v>4:11</v>
      </c>
      <c r="G99" s="85" t="str">
        <f>IF(III_voor_5p!H47=0,"",III_voor_5p!H47)</f>
        <v>4:11</v>
      </c>
      <c r="H99" s="85" t="str">
        <f>IF(III_voor_5p!K47=0,"",III_voor_5p!K47)</f>
        <v>6:11</v>
      </c>
      <c r="I99" s="85" t="str">
        <f>IF(III_voor_5p!N47=0,"",III_voor_5p!N47)</f>
        <v/>
      </c>
      <c r="J99" s="85" t="str">
        <f>IF(III_voor_5p!Q47=0,"",III_voor_5p!Q47)</f>
        <v/>
      </c>
      <c r="K99" s="53" t="str">
        <f>IF(F99="","",CONCATENATE(Abitabel6!G93,":",Abitabel6!N93))</f>
        <v>0:3</v>
      </c>
      <c r="L99" s="35">
        <f t="shared" ref="L99:L100" si="20">IF(K99="","",IF(LEFT(K99,1)&lt;RIGHT(K99,1),0,1))</f>
        <v>0</v>
      </c>
      <c r="M99" s="35">
        <f t="shared" ref="M99:M100" si="21">IF(K99="","",IF(LEFT(K99,1)&gt;RIGHT(K99,1),0,1))</f>
        <v>1</v>
      </c>
      <c r="Q99" s="1" t="str">
        <f t="shared" si="15"/>
        <v/>
      </c>
    </row>
    <row r="100" spans="1:18">
      <c r="A100" s="7"/>
      <c r="B100" s="9" t="s">
        <v>13</v>
      </c>
      <c r="C100" s="8" t="str">
        <f>VLOOKUP(B100,III_voor_5p!$B$38:$K$42,2,FALSE)</f>
        <v>Jan Kenneth TOMING</v>
      </c>
      <c r="D100" s="9" t="s">
        <v>14</v>
      </c>
      <c r="E100" s="8" t="str">
        <f>VLOOKUP(D100,III_voor_5p!$M$38:$W$42,2,FALSE)</f>
        <v>Andrei MALTIZOV</v>
      </c>
      <c r="F100" s="85" t="str">
        <f>IF(III_voor_5p!E48=0,"",III_voor_5p!E48)</f>
        <v>11:13</v>
      </c>
      <c r="G100" s="85" t="str">
        <f>IF(III_voor_5p!H48=0,"",III_voor_5p!H48)</f>
        <v>8:11</v>
      </c>
      <c r="H100" s="85" t="str">
        <f>IF(III_voor_5p!K48=0,"",III_voor_5p!K48)</f>
        <v>9:11</v>
      </c>
      <c r="I100" s="85" t="str">
        <f>IF(III_voor_5p!N48=0,"",III_voor_5p!N48)</f>
        <v/>
      </c>
      <c r="J100" s="85" t="str">
        <f>IF(III_voor_5p!Q48=0,"",III_voor_5p!Q48)</f>
        <v/>
      </c>
      <c r="K100" s="53" t="str">
        <f>IF(F100="","",CONCATENATE(Abitabel6!G94,":",Abitabel6!N94))</f>
        <v>0:3</v>
      </c>
      <c r="L100" s="35">
        <f t="shared" si="20"/>
        <v>0</v>
      </c>
      <c r="M100" s="35">
        <f t="shared" si="21"/>
        <v>1</v>
      </c>
      <c r="Q100" s="1" t="str">
        <f t="shared" si="15"/>
        <v/>
      </c>
    </row>
    <row r="101" spans="1:18">
      <c r="A101" s="7"/>
      <c r="B101" s="290" t="s">
        <v>15</v>
      </c>
      <c r="C101" s="1" t="str">
        <f>IF(ISBLANK(III_voor_5p!C49), "", INDEX(III_voor_5p!C38:C42, MATCH(MID(III_voor_5p!C49,1,1), III_voor_5p!B38:B42, 0)))</f>
        <v>Kevin KUKK</v>
      </c>
      <c r="D101" s="290" t="s">
        <v>15</v>
      </c>
      <c r="E101" s="1" t="str">
        <f>IF(ISBLANK(III_voor_5p!C49), "", INDEX(III_voor_5p!N38:N42, MATCH(MID(III_voor_5p!C49,4,1), III_voor_5p!M38:M42, 0)))</f>
        <v>Madis MOOS</v>
      </c>
      <c r="F101" s="300" t="str">
        <f>IF(III_voor_5p!E49=0,"",III_voor_5p!E49)</f>
        <v>8:11</v>
      </c>
      <c r="G101" s="300" t="str">
        <f>IF(III_voor_5p!H49=0,"",III_voor_5p!H49)</f>
        <v>3:11</v>
      </c>
      <c r="H101" s="300" t="str">
        <f>IF(III_voor_5p!K49=0,"",III_voor_5p!K49)</f>
        <v>14:12</v>
      </c>
      <c r="I101" s="300" t="str">
        <f>IF(III_voor_5p!N49=0,"",III_voor_5p!N49)</f>
        <v>5:11</v>
      </c>
      <c r="J101" s="300" t="str">
        <f>IF(III_voor_5p!Q49=0,"",III_voor_5p!Q49)</f>
        <v/>
      </c>
      <c r="K101" s="294" t="str">
        <f>IF(F101="","",CONCATENATE(Abitabel6!G95,":",Abitabel6!N95))</f>
        <v>1:3</v>
      </c>
      <c r="L101" s="295">
        <f>IF(K101="","",IF(LEFT(K101,1)&lt;RIGHT(K101,1),0,1))</f>
        <v>0</v>
      </c>
      <c r="M101" s="295">
        <f>IF(K101="","",IF(LEFT(K101,1)&gt;RIGHT(K101,1),0,1))</f>
        <v>1</v>
      </c>
      <c r="Q101" s="1" t="str">
        <f t="shared" si="15"/>
        <v/>
      </c>
    </row>
    <row r="102" spans="1:18">
      <c r="A102" s="7"/>
      <c r="B102" s="291"/>
      <c r="C102" s="1" t="str">
        <f>IF(ISBLANK(III_voor_5p!C49), "", INDEX(III_voor_5p!C38:C42, MATCH(MID(III_voor_5p!C49,2,1), III_voor_5p!B38:B42, 0)))</f>
        <v>Jan Kenneth TOMING</v>
      </c>
      <c r="D102" s="291"/>
      <c r="E102" s="1" t="str">
        <f>IF(ISBLANK(III_voor_5p!C49), "", INDEX(III_voor_5p!N38:N42, MATCH(MID(III_voor_5p!C49,5,1), III_voor_5p!M38:M42, 0)))</f>
        <v>Stanislav STROGOV</v>
      </c>
      <c r="F102" s="300"/>
      <c r="G102" s="300"/>
      <c r="H102" s="300"/>
      <c r="I102" s="300"/>
      <c r="J102" s="300"/>
      <c r="K102" s="294"/>
      <c r="L102" s="295"/>
      <c r="M102" s="295"/>
    </row>
    <row r="103" spans="1:18">
      <c r="A103" s="7"/>
      <c r="B103" s="9" t="s">
        <v>9</v>
      </c>
      <c r="C103" s="8" t="str">
        <f>VLOOKUP(B103,III_voor_5p!$B$38:$K$42,2,FALSE)</f>
        <v>Kevin KUKK</v>
      </c>
      <c r="D103" s="9" t="s">
        <v>12</v>
      </c>
      <c r="E103" s="8" t="str">
        <f>VLOOKUP(D103,III_voor_5p!$M$38:$W$42,2,FALSE)</f>
        <v>Madis MOOS</v>
      </c>
      <c r="F103" s="85" t="str">
        <f>IF(III_voor_5p!E50=0,"",III_voor_5p!E50)</f>
        <v/>
      </c>
      <c r="G103" s="85" t="str">
        <f>IF(III_voor_5p!H50=0,"",III_voor_5p!H50)</f>
        <v/>
      </c>
      <c r="H103" s="85" t="str">
        <f>IF(III_voor_5p!K50=0,"",III_voor_5p!K50)</f>
        <v/>
      </c>
      <c r="I103" s="85" t="str">
        <f>IF(III_voor_5p!N50=0,"",III_voor_5p!N50)</f>
        <v/>
      </c>
      <c r="J103" s="85" t="str">
        <f>IF(III_voor_5p!Q50=0,"",III_voor_5p!Q50)</f>
        <v/>
      </c>
      <c r="K103" s="53" t="str">
        <f>IF(F103="","",CONCATENATE(Abitabel6!G97,":",Abitabel6!N97))</f>
        <v/>
      </c>
      <c r="L103" s="35" t="str">
        <f>IF(K103="","",IF(LEFT(K103,1)&lt;RIGHT(K103,1),0,1))</f>
        <v/>
      </c>
      <c r="M103" s="35" t="str">
        <f>IF(K103="","",IF(LEFT(K103,1)&gt;RIGHT(K103,1),0,1))</f>
        <v/>
      </c>
      <c r="Q103" s="1" t="str">
        <f t="shared" si="15"/>
        <v>ERROR</v>
      </c>
    </row>
    <row r="104" spans="1:18">
      <c r="A104" s="7"/>
      <c r="B104" s="9" t="s">
        <v>13</v>
      </c>
      <c r="C104" s="8" t="str">
        <f>VLOOKUP(B104,III_voor_5p!$B$38:$K$42,2,FALSE)</f>
        <v>Jan Kenneth TOMING</v>
      </c>
      <c r="D104" s="9" t="s">
        <v>10</v>
      </c>
      <c r="E104" s="8" t="str">
        <f>VLOOKUP(D104,III_voor_5p!$M$38:$W$42,2,FALSE)</f>
        <v>Stanislav STROGOV</v>
      </c>
      <c r="F104" s="85" t="str">
        <f>IF(III_voor_5p!E51=0,"",III_voor_5p!E51)</f>
        <v/>
      </c>
      <c r="G104" s="85" t="str">
        <f>IF(III_voor_5p!H51=0,"",III_voor_5p!H51)</f>
        <v/>
      </c>
      <c r="H104" s="85" t="str">
        <f>IF(III_voor_5p!K51=0,"",III_voor_5p!K51)</f>
        <v/>
      </c>
      <c r="I104" s="85" t="str">
        <f>IF(III_voor_5p!N51=0,"",III_voor_5p!N51)</f>
        <v/>
      </c>
      <c r="J104" s="85" t="str">
        <f>IF(III_voor_5p!Q51=0,"",III_voor_5p!Q51)</f>
        <v/>
      </c>
      <c r="K104" s="53" t="str">
        <f>IF(F104="","",CONCATENATE(Abitabel6!G98,":",Abitabel6!N98))</f>
        <v/>
      </c>
      <c r="L104" s="35" t="str">
        <f>IF(K104="","",IF(LEFT(K104,1)&lt;RIGHT(K104,1),0,1))</f>
        <v/>
      </c>
      <c r="M104" s="35" t="str">
        <f>IF(L104="","",IF(LEFT(K104,1)&gt;RIGHT(K104,1),0,1))</f>
        <v/>
      </c>
      <c r="Q104" s="1" t="str">
        <f t="shared" si="15"/>
        <v>ERROR</v>
      </c>
    </row>
    <row r="105" spans="1:18">
      <c r="A105" s="7"/>
      <c r="B105" s="9" t="s">
        <v>11</v>
      </c>
      <c r="C105" s="8" t="str">
        <f>VLOOKUP(B105,III_voor_5p!$B$38:$K$42,2,FALSE)</f>
        <v>Arturs RUDNIKOVS</v>
      </c>
      <c r="D105" s="9" t="s">
        <v>14</v>
      </c>
      <c r="E105" s="8" t="str">
        <f>VLOOKUP(D105,III_voor_5p!$M$38:$W$42,2,FALSE)</f>
        <v>Andrei MALTIZOV</v>
      </c>
      <c r="F105" s="85" t="str">
        <f>IF(III_voor_5p!E52=0,"",III_voor_5p!E52)</f>
        <v/>
      </c>
      <c r="G105" s="85" t="str">
        <f>IF(III_voor_5p!H52=0,"",III_voor_5p!H52)</f>
        <v/>
      </c>
      <c r="H105" s="85" t="str">
        <f>IF(III_voor_5p!K52=0,"",III_voor_5p!K52)</f>
        <v/>
      </c>
      <c r="I105" s="85" t="str">
        <f>IF(III_voor_5p!N52=0,"",III_voor_5p!N52)</f>
        <v/>
      </c>
      <c r="J105" s="85" t="str">
        <f>IF(III_voor_5p!Q52=0,"",III_voor_5p!Q52)</f>
        <v/>
      </c>
      <c r="K105" s="53" t="str">
        <f>IF(F105="","",CONCATENATE(Abitabel6!G99,":",Abitabel6!N99))</f>
        <v/>
      </c>
      <c r="L105" s="35" t="str">
        <f>IF(K105="","",IF(LEFT(K105,1)&lt;RIGHT(K105,1),0,1))</f>
        <v/>
      </c>
      <c r="M105" s="35" t="str">
        <f>IF(L105="","",IF(LEFT(K105,1)&gt;RIGHT(K105,1),0,1))</f>
        <v/>
      </c>
      <c r="Q105" s="1" t="str">
        <f t="shared" si="15"/>
        <v>ERROR</v>
      </c>
    </row>
    <row r="106" spans="1:18">
      <c r="A106" s="7"/>
      <c r="B106" s="10"/>
      <c r="C106" s="33" t="str">
        <f>VLOOKUP(C97,Koosseisud!A:B,2,FALSE )</f>
        <v>Meeskond6</v>
      </c>
      <c r="D106" s="10"/>
      <c r="E106" s="33" t="str">
        <f>VLOOKUP(E97,Koosseisud!A:B,2,FALSE)</f>
        <v>Meeskond3</v>
      </c>
      <c r="F106" s="10"/>
      <c r="G106" s="10"/>
      <c r="H106" s="10"/>
      <c r="I106" s="10"/>
      <c r="J106" s="11"/>
      <c r="K106" s="12"/>
      <c r="L106" s="13"/>
      <c r="M106" s="13"/>
    </row>
    <row r="107" spans="1:18" ht="15">
      <c r="A107" s="2" t="s">
        <v>78</v>
      </c>
      <c r="B107" s="3">
        <f>IF(K108="","",SUM(L108:L115))</f>
        <v>0</v>
      </c>
      <c r="C107" s="4" t="str">
        <f>III_voor_5p!G67</f>
        <v>Viljandi LTK Sakala</v>
      </c>
      <c r="D107" s="3">
        <f>IF(K108="","",SUM(M108:M115))</f>
        <v>4</v>
      </c>
      <c r="E107" s="4" t="str">
        <f>III_voor_5p!R67</f>
        <v>Tartu SS Kalev</v>
      </c>
      <c r="F107" s="5" t="s">
        <v>2</v>
      </c>
      <c r="G107" s="5" t="s">
        <v>3</v>
      </c>
      <c r="H107" s="5" t="s">
        <v>4</v>
      </c>
      <c r="I107" s="5" t="s">
        <v>5</v>
      </c>
      <c r="J107" s="5" t="s">
        <v>6</v>
      </c>
      <c r="K107" s="6" t="s">
        <v>7</v>
      </c>
      <c r="L107" s="287" t="s">
        <v>8</v>
      </c>
      <c r="M107" s="287"/>
      <c r="R107" s="1" t="str">
        <f>IF(OR(B107=4,D107=4),"","ERROR")</f>
        <v/>
      </c>
    </row>
    <row r="108" spans="1:18">
      <c r="A108" s="7" t="s">
        <v>469</v>
      </c>
      <c r="B108" s="9" t="s">
        <v>9</v>
      </c>
      <c r="C108" s="8" t="str">
        <f>VLOOKUP(B108,III_voor_5p!$B$68:$K$72,2,FALSE)</f>
        <v>Erik NÜÜD</v>
      </c>
      <c r="D108" s="9" t="s">
        <v>10</v>
      </c>
      <c r="E108" s="8" t="str">
        <f>VLOOKUP(D108,III_voor_5p!$M$68:$W$72,2,FALSE)</f>
        <v>Markkos PUKK</v>
      </c>
      <c r="F108" s="85" t="str">
        <f>IF(III_voor_5p!E76=0,"",III_voor_5p!E76)</f>
        <v>4:11</v>
      </c>
      <c r="G108" s="85" t="str">
        <f>IF(III_voor_5p!H76=0,"",III_voor_5p!H76)</f>
        <v>2:11</v>
      </c>
      <c r="H108" s="85" t="str">
        <f>IF(III_voor_5p!K76=0,"",III_voor_5p!K76)</f>
        <v>6:11</v>
      </c>
      <c r="I108" s="85" t="str">
        <f>IF(III_voor_5p!N76=0,"",III_voor_5p!N76)</f>
        <v/>
      </c>
      <c r="J108" s="85" t="str">
        <f>IF(III_voor_5p!Q76=0,"",III_voor_5p!Q76)</f>
        <v/>
      </c>
      <c r="K108" s="53" t="str">
        <f>IF(F108="","",CONCATENATE(Abitabel6!G102,":",Abitabel6!N102))</f>
        <v>0:3</v>
      </c>
      <c r="L108" s="35">
        <f>IF(K108="","",IF(LEFT(K108,1)&lt;RIGHT(K108,1),0,1))</f>
        <v>0</v>
      </c>
      <c r="M108" s="35">
        <f>IF(K108="","",IF(LEFT(K108,1)&gt;RIGHT(K108,1),0,1))</f>
        <v>1</v>
      </c>
      <c r="Q108" s="1" t="str">
        <f t="shared" si="15"/>
        <v/>
      </c>
    </row>
    <row r="109" spans="1:18">
      <c r="A109" s="7" t="s">
        <v>59</v>
      </c>
      <c r="B109" s="9" t="s">
        <v>11</v>
      </c>
      <c r="C109" s="8" t="str">
        <f>VLOOKUP(B109,III_voor_5p!$B$68:$K$72,2,FALSE)</f>
        <v>Märt KURVET</v>
      </c>
      <c r="D109" s="9" t="s">
        <v>12</v>
      </c>
      <c r="E109" s="8" t="str">
        <f>VLOOKUP(D109,III_voor_5p!$M$68:$W$72,2,FALSE)</f>
        <v>Mart LUUK</v>
      </c>
      <c r="F109" s="85" t="str">
        <f>IF(III_voor_5p!E77=0,"",III_voor_5p!E77)</f>
        <v>4:11</v>
      </c>
      <c r="G109" s="85" t="str">
        <f>IF(III_voor_5p!H77=0,"",III_voor_5p!H77)</f>
        <v>11:13</v>
      </c>
      <c r="H109" s="85" t="str">
        <f>IF(III_voor_5p!K77=0,"",III_voor_5p!K77)</f>
        <v>11:13</v>
      </c>
      <c r="I109" s="85" t="str">
        <f>IF(III_voor_5p!N77=0,"",III_voor_5p!N77)</f>
        <v/>
      </c>
      <c r="J109" s="85" t="str">
        <f>IF(III_voor_5p!Q77=0,"",III_voor_5p!Q77)</f>
        <v/>
      </c>
      <c r="K109" s="53" t="str">
        <f>IF(F109="","",CONCATENATE(Abitabel6!G103,":",Abitabel6!N103))</f>
        <v>0:3</v>
      </c>
      <c r="L109" s="35">
        <f t="shared" ref="L109:L110" si="22">IF(K109="","",IF(LEFT(K109,1)&lt;RIGHT(K109,1),0,1))</f>
        <v>0</v>
      </c>
      <c r="M109" s="35">
        <f t="shared" ref="M109:M110" si="23">IF(K109="","",IF(LEFT(K109,1)&gt;RIGHT(K109,1),0,1))</f>
        <v>1</v>
      </c>
      <c r="Q109" s="1" t="str">
        <f t="shared" si="15"/>
        <v/>
      </c>
    </row>
    <row r="110" spans="1:18">
      <c r="A110" s="7"/>
      <c r="B110" s="9" t="s">
        <v>13</v>
      </c>
      <c r="C110" s="8" t="str">
        <f>VLOOKUP(B110,III_voor_5p!$B$68:$K$72,2,FALSE)</f>
        <v>Robi TOOMING</v>
      </c>
      <c r="D110" s="9" t="s">
        <v>14</v>
      </c>
      <c r="E110" s="8" t="str">
        <f>VLOOKUP(D110,III_voor_5p!$M$68:$W$72,2,FALSE)</f>
        <v>Arttu Antero PIHKALA</v>
      </c>
      <c r="F110" s="85" t="str">
        <f>IF(III_voor_5p!E78=0,"",III_voor_5p!E78)</f>
        <v>7:11</v>
      </c>
      <c r="G110" s="85" t="str">
        <f>IF(III_voor_5p!H78=0,"",III_voor_5p!H78)</f>
        <v>9:11</v>
      </c>
      <c r="H110" s="85" t="str">
        <f>IF(III_voor_5p!K78=0,"",III_voor_5p!K78)</f>
        <v>11:5</v>
      </c>
      <c r="I110" s="85" t="str">
        <f>IF(III_voor_5p!N78=0,"",III_voor_5p!N78)</f>
        <v>11:4</v>
      </c>
      <c r="J110" s="85" t="str">
        <f>IF(III_voor_5p!Q78=0,"",III_voor_5p!Q78)</f>
        <v>7:11</v>
      </c>
      <c r="K110" s="53" t="str">
        <f>IF(F110="","",CONCATENATE(Abitabel6!G104,":",Abitabel6!N104))</f>
        <v>2:3</v>
      </c>
      <c r="L110" s="35">
        <f t="shared" si="22"/>
        <v>0</v>
      </c>
      <c r="M110" s="35">
        <f t="shared" si="23"/>
        <v>1</v>
      </c>
      <c r="Q110" s="1" t="str">
        <f t="shared" si="15"/>
        <v/>
      </c>
    </row>
    <row r="111" spans="1:18">
      <c r="A111" s="7"/>
      <c r="B111" s="290" t="s">
        <v>15</v>
      </c>
      <c r="C111" s="1" t="str">
        <f>IF(ISBLANK(III_voor_5p!C79), "", INDEX(III_voor_5p!C68:C72, MATCH(MID(III_voor_5p!C79,1,1), III_voor_5p!B68:B72, 0)))</f>
        <v>Märt KURVET</v>
      </c>
      <c r="D111" s="290" t="s">
        <v>15</v>
      </c>
      <c r="E111" s="1" t="str">
        <f>IF(ISBLANK(III_voor_5p!C79), "", INDEX(III_voor_5p!N68:N72, MATCH(MID(III_voor_5p!C79,4,1), III_voor_5p!M68:M72, 0)))</f>
        <v>Mart LUUK</v>
      </c>
      <c r="F111" s="300" t="str">
        <f>IF(III_voor_5p!E79=0,"",III_voor_5p!E79)</f>
        <v>19:17</v>
      </c>
      <c r="G111" s="300" t="str">
        <f>IF(III_voor_5p!H79=0,"",III_voor_5p!H79)</f>
        <v>9:11</v>
      </c>
      <c r="H111" s="300" t="str">
        <f>IF(III_voor_5p!K79=0,"",III_voor_5p!K79)</f>
        <v>9:11</v>
      </c>
      <c r="I111" s="300" t="str">
        <f>IF(III_voor_5p!N79=0,"",III_voor_5p!N79)</f>
        <v>9:11</v>
      </c>
      <c r="J111" s="300" t="str">
        <f>IF(III_voor_5p!Q79=0,"",III_voor_5p!Q79)</f>
        <v/>
      </c>
      <c r="K111" s="294" t="str">
        <f>IF(F111="","",CONCATENATE(Abitabel6!G105,":",Abitabel6!N105))</f>
        <v>1:3</v>
      </c>
      <c r="L111" s="295">
        <f>IF(K111="","",IF(LEFT(K111,1)&lt;RIGHT(K111,1),0,1))</f>
        <v>0</v>
      </c>
      <c r="M111" s="295">
        <f>IF(K111="","",IF(LEFT(K111,1)&gt;RIGHT(K111,1),0,1))</f>
        <v>1</v>
      </c>
      <c r="Q111" s="1" t="str">
        <f t="shared" si="15"/>
        <v/>
      </c>
    </row>
    <row r="112" spans="1:18">
      <c r="A112" s="7"/>
      <c r="B112" s="291"/>
      <c r="C112" s="1" t="str">
        <f>IF(ISBLANK(III_voor_5p!C79), "", INDEX(III_voor_5p!C68:C72, MATCH(MID(III_voor_5p!C79,2,1), III_voor_5p!B68:B72, 0)))</f>
        <v>Robi TOOMING</v>
      </c>
      <c r="D112" s="291"/>
      <c r="E112" s="1" t="str">
        <f>IF(ISBLANK(III_voor_5p!C79), "", INDEX(III_voor_5p!N68:N72, MATCH(MID(III_voor_5p!C79,5,1), III_voor_5p!M68:M72, 0)))</f>
        <v>Markkos PUKK</v>
      </c>
      <c r="F112" s="300"/>
      <c r="G112" s="300"/>
      <c r="H112" s="300"/>
      <c r="I112" s="300"/>
      <c r="J112" s="300"/>
      <c r="K112" s="294"/>
      <c r="L112" s="295"/>
      <c r="M112" s="295"/>
    </row>
    <row r="113" spans="1:18">
      <c r="A113" s="7"/>
      <c r="B113" s="9" t="s">
        <v>9</v>
      </c>
      <c r="C113" s="8" t="str">
        <f>VLOOKUP(B113,III_voor_5p!$B$68:$K$72,2,FALSE)</f>
        <v>Erik NÜÜD</v>
      </c>
      <c r="D113" s="9" t="s">
        <v>12</v>
      </c>
      <c r="E113" s="8" t="str">
        <f>VLOOKUP(D113,III_voor_5p!$M$68:$W$72,2,FALSE)</f>
        <v>Mart LUUK</v>
      </c>
      <c r="F113" s="85" t="str">
        <f>IF(III_voor_5p!E80=0,"",III_voor_5p!E80)</f>
        <v/>
      </c>
      <c r="G113" s="85" t="str">
        <f>IF(III_voor_5p!H80=0,"",III_voor_5p!H80)</f>
        <v/>
      </c>
      <c r="H113" s="85" t="str">
        <f>IF(III_voor_5p!K80=0,"",III_voor_5p!K80)</f>
        <v/>
      </c>
      <c r="I113" s="85" t="str">
        <f>IF(III_voor_5p!N80=0,"",III_voor_5p!N80)</f>
        <v/>
      </c>
      <c r="J113" s="85" t="str">
        <f>IF(III_voor_5p!Q80=0,"",III_voor_5p!Q80)</f>
        <v/>
      </c>
      <c r="K113" s="53" t="str">
        <f>IF(F113="","",CONCATENATE(Abitabel6!G107,":",Abitabel6!N107))</f>
        <v/>
      </c>
      <c r="L113" s="35" t="str">
        <f>IF(K113="","",IF(LEFT(K113,1)&lt;RIGHT(K113,1),0,1))</f>
        <v/>
      </c>
      <c r="M113" s="35" t="str">
        <f>IF(K113="","",IF(LEFT(K113,1)&gt;RIGHT(K113,1),0,1))</f>
        <v/>
      </c>
      <c r="Q113" s="1" t="str">
        <f t="shared" si="15"/>
        <v>ERROR</v>
      </c>
    </row>
    <row r="114" spans="1:18">
      <c r="A114" s="7"/>
      <c r="B114" s="9" t="s">
        <v>13</v>
      </c>
      <c r="C114" s="8" t="str">
        <f>VLOOKUP(B114,III_voor_5p!$B$68:$K$72,2,FALSE)</f>
        <v>Robi TOOMING</v>
      </c>
      <c r="D114" s="9" t="s">
        <v>10</v>
      </c>
      <c r="E114" s="8" t="str">
        <f>VLOOKUP(D114,III_voor_5p!$M$68:$W$72,2,FALSE)</f>
        <v>Markkos PUKK</v>
      </c>
      <c r="F114" s="85" t="str">
        <f>IF(III_voor_5p!E81=0,"",III_voor_5p!E81)</f>
        <v/>
      </c>
      <c r="G114" s="85" t="str">
        <f>IF(III_voor_5p!H81=0,"",III_voor_5p!H81)</f>
        <v/>
      </c>
      <c r="H114" s="85" t="str">
        <f>IF(III_voor_5p!K81=0,"",III_voor_5p!K81)</f>
        <v/>
      </c>
      <c r="I114" s="85" t="str">
        <f>IF(III_voor_5p!N81=0,"",III_voor_5p!N81)</f>
        <v/>
      </c>
      <c r="J114" s="85" t="str">
        <f>IF(III_voor_5p!Q81=0,"",III_voor_5p!Q81)</f>
        <v/>
      </c>
      <c r="K114" s="53" t="str">
        <f>IF(F114="","",CONCATENATE(Abitabel6!G108,":",Abitabel6!N108))</f>
        <v/>
      </c>
      <c r="L114" s="35" t="str">
        <f t="shared" ref="L114:L115" si="24">IF(K114="","",IF(LEFT(K114,1)&lt;RIGHT(K114,1),0,1))</f>
        <v/>
      </c>
      <c r="M114" s="35" t="str">
        <f t="shared" ref="M114:M115" si="25">IF(K114="","",IF(LEFT(K114,1)&gt;RIGHT(K114,1),0,1))</f>
        <v/>
      </c>
      <c r="Q114" s="1" t="str">
        <f t="shared" si="15"/>
        <v>ERROR</v>
      </c>
    </row>
    <row r="115" spans="1:18">
      <c r="A115" s="7"/>
      <c r="B115" s="9" t="s">
        <v>11</v>
      </c>
      <c r="C115" s="8" t="str">
        <f>VLOOKUP(B115,III_voor_5p!$B$68:$K$72,2,FALSE)</f>
        <v>Märt KURVET</v>
      </c>
      <c r="D115" s="9" t="s">
        <v>14</v>
      </c>
      <c r="E115" s="8" t="str">
        <f>VLOOKUP(D115,III_voor_5p!$M$68:$W$72,2,FALSE)</f>
        <v>Arttu Antero PIHKALA</v>
      </c>
      <c r="F115" s="85" t="str">
        <f>IF(III_voor_5p!E82=0,"",III_voor_5p!E82)</f>
        <v/>
      </c>
      <c r="G115" s="85" t="str">
        <f>IF(III_voor_5p!H82=0,"",III_voor_5p!H82)</f>
        <v/>
      </c>
      <c r="H115" s="85" t="str">
        <f>IF(III_voor_5p!K82=0,"",III_voor_5p!K82)</f>
        <v/>
      </c>
      <c r="I115" s="85" t="str">
        <f>IF(III_voor_5p!N82=0,"",III_voor_5p!N82)</f>
        <v/>
      </c>
      <c r="J115" s="85" t="str">
        <f>IF(III_voor_5p!Q82=0,"",III_voor_5p!Q82)</f>
        <v/>
      </c>
      <c r="K115" s="53" t="str">
        <f>IF(F115="","",CONCATENATE(Abitabel6!G109,":",Abitabel6!N109))</f>
        <v/>
      </c>
      <c r="L115" s="35" t="str">
        <f t="shared" si="24"/>
        <v/>
      </c>
      <c r="M115" s="35" t="str">
        <f t="shared" si="25"/>
        <v/>
      </c>
      <c r="Q115" s="1" t="str">
        <f t="shared" si="15"/>
        <v>ERROR</v>
      </c>
    </row>
    <row r="116" spans="1:18">
      <c r="A116" s="7"/>
      <c r="B116" s="10"/>
      <c r="C116" s="33" t="str">
        <f>VLOOKUP(C107,Koosseisud!A:B,2,FALSE )</f>
        <v>Meeskond5</v>
      </c>
      <c r="D116" s="10"/>
      <c r="E116" s="33" t="str">
        <f>VLOOKUP(E107,Koosseisud!A:B,2,FALSE)</f>
        <v>Meeskond4</v>
      </c>
      <c r="F116" s="10"/>
      <c r="G116" s="10"/>
      <c r="H116" s="10"/>
      <c r="I116" s="10"/>
      <c r="J116" s="11"/>
      <c r="K116" s="12"/>
      <c r="L116" s="13"/>
      <c r="M116" s="13"/>
    </row>
    <row r="117" spans="1:18" ht="15">
      <c r="A117" s="2" t="s">
        <v>79</v>
      </c>
      <c r="B117" s="3">
        <f>IF(K118="","",SUM(L118:L125))</f>
        <v>0</v>
      </c>
      <c r="C117" s="4" t="str">
        <f>III_voor_5p!G97</f>
        <v>LTK Kalev/Radiaatorikeskus</v>
      </c>
      <c r="D117" s="3">
        <f>IF(K118="","",SUM(M118:M125))</f>
        <v>4</v>
      </c>
      <c r="E117" s="4" t="str">
        <f>III_voor_5p!R97</f>
        <v>Viimsi PINX</v>
      </c>
      <c r="F117" s="5" t="s">
        <v>2</v>
      </c>
      <c r="G117" s="5" t="s">
        <v>3</v>
      </c>
      <c r="H117" s="5" t="s">
        <v>4</v>
      </c>
      <c r="I117" s="5" t="s">
        <v>5</v>
      </c>
      <c r="J117" s="5" t="s">
        <v>6</v>
      </c>
      <c r="K117" s="6" t="s">
        <v>7</v>
      </c>
      <c r="L117" s="287" t="s">
        <v>8</v>
      </c>
      <c r="M117" s="287"/>
      <c r="R117" s="1" t="str">
        <f>IF(OR(B117=4,D117=4),"","ERROR")</f>
        <v/>
      </c>
    </row>
    <row r="118" spans="1:18">
      <c r="A118" s="7" t="s">
        <v>469</v>
      </c>
      <c r="B118" s="9" t="s">
        <v>9</v>
      </c>
      <c r="C118" s="8" t="str">
        <f>VLOOKUP(B118,III_voor_5p!$B$98:$K$102,2,FALSE)</f>
        <v xml:space="preserve">Martin KRAIKO </v>
      </c>
      <c r="D118" s="9" t="s">
        <v>10</v>
      </c>
      <c r="E118" s="8" t="str">
        <f>VLOOKUP(D118,III_voor_5p!$M$98:$W$102,2,FALSE)</f>
        <v>Daniel KOSIBA</v>
      </c>
      <c r="F118" s="85" t="str">
        <f>IF(III_voor_5p!E106=0,"",III_voor_5p!E106)</f>
        <v>6:11</v>
      </c>
      <c r="G118" s="85" t="str">
        <f>IF(III_voor_5p!H106=0,"",III_voor_5p!H106)</f>
        <v>4:11</v>
      </c>
      <c r="H118" s="85" t="str">
        <f>IF(III_voor_5p!K106=0,"",III_voor_5p!K106)</f>
        <v>3:11</v>
      </c>
      <c r="I118" s="85" t="str">
        <f>IF(III_voor_5p!N106=0,"",III_voor_5p!N106)</f>
        <v/>
      </c>
      <c r="J118" s="85" t="str">
        <f>IF(III_voor_5p!Q106=0,"",III_voor_5p!Q106)</f>
        <v/>
      </c>
      <c r="K118" s="53" t="str">
        <f>IF(F118="","",CONCATENATE(Abitabel6!G112,":",Abitabel6!N112))</f>
        <v>0:3</v>
      </c>
      <c r="L118" s="35">
        <f>IF(K118="","",IF(LEFT(K118,1)&lt;RIGHT(K118,1),0,1))</f>
        <v>0</v>
      </c>
      <c r="M118" s="35">
        <f>IF(K118="","",IF(LEFT(K118,1)&gt;RIGHT(K118,1),0,1))</f>
        <v>1</v>
      </c>
      <c r="Q118" s="1" t="str">
        <f t="shared" si="15"/>
        <v/>
      </c>
    </row>
    <row r="119" spans="1:18">
      <c r="A119" s="7" t="s">
        <v>59</v>
      </c>
      <c r="B119" s="9" t="s">
        <v>11</v>
      </c>
      <c r="C119" s="8" t="str">
        <f>VLOOKUP(B119,III_voor_5p!$B$98:$K$102,2,FALSE)</f>
        <v>Jorma LAHTINEN</v>
      </c>
      <c r="D119" s="9" t="s">
        <v>12</v>
      </c>
      <c r="E119" s="8" t="str">
        <f>VLOOKUP(D119,III_voor_5p!$M$98:$W$102,2,FALSE)</f>
        <v>Maksim VUHKA</v>
      </c>
      <c r="F119" s="85" t="str">
        <f>IF(III_voor_5p!E107=0,"",III_voor_5p!E107)</f>
        <v>12:10</v>
      </c>
      <c r="G119" s="85" t="str">
        <f>IF(III_voor_5p!H107=0,"",III_voor_5p!H107)</f>
        <v>1:11</v>
      </c>
      <c r="H119" s="85" t="str">
        <f>IF(III_voor_5p!K107=0,"",III_voor_5p!K107)</f>
        <v>4:11</v>
      </c>
      <c r="I119" s="85" t="str">
        <f>IF(III_voor_5p!N107=0,"",III_voor_5p!N107)</f>
        <v>5:11</v>
      </c>
      <c r="J119" s="85" t="str">
        <f>IF(III_voor_5p!Q107=0,"",III_voor_5p!Q107)</f>
        <v/>
      </c>
      <c r="K119" s="53" t="str">
        <f>IF(F119="","",CONCATENATE(Abitabel6!G113,":",Abitabel6!N113))</f>
        <v>1:3</v>
      </c>
      <c r="L119" s="35">
        <f t="shared" ref="L119:L120" si="26">IF(K119="","",IF(LEFT(K119,1)&lt;RIGHT(K119,1),0,1))</f>
        <v>0</v>
      </c>
      <c r="M119" s="35">
        <f t="shared" ref="M119:M120" si="27">IF(K119="","",IF(LEFT(K119,1)&gt;RIGHT(K119,1),0,1))</f>
        <v>1</v>
      </c>
      <c r="Q119" s="1" t="str">
        <f t="shared" si="15"/>
        <v/>
      </c>
    </row>
    <row r="120" spans="1:18">
      <c r="A120" s="7"/>
      <c r="B120" s="9" t="s">
        <v>13</v>
      </c>
      <c r="C120" s="8" t="str">
        <f>VLOOKUP(B120,III_voor_5p!$B$98:$K$102,2,FALSE)</f>
        <v>Kristjan KANT</v>
      </c>
      <c r="D120" s="9" t="s">
        <v>14</v>
      </c>
      <c r="E120" s="8" t="str">
        <f>VLOOKUP(D120,III_voor_5p!$M$98:$W$102,2,FALSE)</f>
        <v>Carlo ACCORSI</v>
      </c>
      <c r="F120" s="85" t="str">
        <f>IF(III_voor_5p!E108=0,"",III_voor_5p!E108)</f>
        <v>11:13</v>
      </c>
      <c r="G120" s="85" t="str">
        <f>IF(III_voor_5p!H108=0,"",III_voor_5p!H108)</f>
        <v>7:11</v>
      </c>
      <c r="H120" s="85" t="str">
        <f>IF(III_voor_5p!K108=0,"",III_voor_5p!K108)</f>
        <v>6:11</v>
      </c>
      <c r="I120" s="85" t="str">
        <f>IF(III_voor_5p!N108=0,"",III_voor_5p!N108)</f>
        <v/>
      </c>
      <c r="J120" s="85" t="str">
        <f>IF(III_voor_5p!Q108=0,"",III_voor_5p!Q108)</f>
        <v/>
      </c>
      <c r="K120" s="53" t="str">
        <f>IF(F120="","",CONCATENATE(Abitabel6!G114,":",Abitabel6!N114))</f>
        <v>0:3</v>
      </c>
      <c r="L120" s="35">
        <f t="shared" si="26"/>
        <v>0</v>
      </c>
      <c r="M120" s="35">
        <f t="shared" si="27"/>
        <v>1</v>
      </c>
      <c r="Q120" s="1" t="str">
        <f t="shared" si="15"/>
        <v/>
      </c>
    </row>
    <row r="121" spans="1:18">
      <c r="A121" s="7"/>
      <c r="B121" s="290" t="s">
        <v>15</v>
      </c>
      <c r="C121" s="1" t="str">
        <f>IF(ISBLANK(III_voor_5p!C109), "", INDEX(III_voor_5p!C98:C102, MATCH(MID(III_voor_5p!C109,1,1), III_voor_5p!B98:B102, 0)))</f>
        <v xml:space="preserve">Martin KRAIKO </v>
      </c>
      <c r="D121" s="290" t="s">
        <v>15</v>
      </c>
      <c r="E121" s="1" t="str">
        <f>IF(ISBLANK(III_voor_5p!C109), "", INDEX(III_voor_5p!N98:N102, MATCH(MID(III_voor_5p!C109,4,1), III_voor_5p!M98:M102, 0)))</f>
        <v>Maksim VUHKA</v>
      </c>
      <c r="F121" s="300" t="str">
        <f>IF(III_voor_5p!E109=0,"",III_voor_5p!E109)</f>
        <v>9:11</v>
      </c>
      <c r="G121" s="300" t="str">
        <f>IF(III_voor_5p!H109=0,"",III_voor_5p!H109)</f>
        <v>3:11</v>
      </c>
      <c r="H121" s="300" t="str">
        <f>IF(III_voor_5p!K109=0,"",III_voor_5p!K109)</f>
        <v>9:11</v>
      </c>
      <c r="I121" s="300" t="str">
        <f>IF(III_voor_5p!N109=0,"",III_voor_5p!N109)</f>
        <v/>
      </c>
      <c r="J121" s="300" t="str">
        <f>IF(III_voor_5p!Q109=0,"",III_voor_5p!Q109)</f>
        <v/>
      </c>
      <c r="K121" s="294" t="str">
        <f>IF(F121="","",CONCATENATE(Abitabel6!G115,":",Abitabel6!N115))</f>
        <v>0:3</v>
      </c>
      <c r="L121" s="295">
        <f>IF(K121="","",IF(LEFT(K121,1)&lt;RIGHT(K121,1),0,1))</f>
        <v>0</v>
      </c>
      <c r="M121" s="295">
        <f>IF(K121="","",IF(LEFT(K121,1)&gt;RIGHT(K121,1),0,1))</f>
        <v>1</v>
      </c>
      <c r="Q121" s="1" t="str">
        <f t="shared" si="15"/>
        <v/>
      </c>
    </row>
    <row r="122" spans="1:18">
      <c r="A122" s="7"/>
      <c r="B122" s="291"/>
      <c r="C122" s="1" t="str">
        <f>IF(ISBLANK(III_voor_5p!C109), "", INDEX(III_voor_5p!C98:C102, MATCH(MID(III_voor_5p!C109,2,1), III_voor_5p!B98:B102, 0)))</f>
        <v>Kristjan KANT</v>
      </c>
      <c r="D122" s="291"/>
      <c r="E122" s="1" t="str">
        <f>IF(ISBLANK(III_voor_5p!C109), "", INDEX(III_voor_5p!N98:N102, MATCH(MID(III_voor_5p!C109,5,1), III_voor_5p!M98:M102, 0)))</f>
        <v>Daniel KOSIBA</v>
      </c>
      <c r="F122" s="300"/>
      <c r="G122" s="300"/>
      <c r="H122" s="300"/>
      <c r="I122" s="300"/>
      <c r="J122" s="300"/>
      <c r="K122" s="294"/>
      <c r="L122" s="295"/>
      <c r="M122" s="295"/>
    </row>
    <row r="123" spans="1:18">
      <c r="A123" s="7"/>
      <c r="B123" s="9" t="s">
        <v>9</v>
      </c>
      <c r="C123" s="8" t="str">
        <f>VLOOKUP(B123,III_voor_5p!$B$98:$K$102,2,FALSE)</f>
        <v xml:space="preserve">Martin KRAIKO </v>
      </c>
      <c r="D123" s="9" t="s">
        <v>12</v>
      </c>
      <c r="E123" s="8" t="str">
        <f>VLOOKUP(D123,III_voor_5p!$M$98:$W$102,2,FALSE)</f>
        <v>Maksim VUHKA</v>
      </c>
      <c r="F123" s="85" t="str">
        <f>IF(III_voor_5p!E110=0,"",III_voor_5p!E110)</f>
        <v/>
      </c>
      <c r="G123" s="85" t="str">
        <f>IF(III_voor_5p!H110=0,"",III_voor_5p!H110)</f>
        <v/>
      </c>
      <c r="H123" s="85" t="str">
        <f>IF(III_voor_5p!K110=0,"",III_voor_5p!K110)</f>
        <v/>
      </c>
      <c r="I123" s="85" t="str">
        <f>IF(III_voor_5p!N110=0,"",III_voor_5p!N110)</f>
        <v/>
      </c>
      <c r="J123" s="85" t="str">
        <f>IF(III_voor_5p!Q110=0,"",III_voor_5p!Q110)</f>
        <v/>
      </c>
      <c r="K123" s="53" t="str">
        <f>IF(F123="","",CONCATENATE(Abitabel6!G117,":",Abitabel6!N117))</f>
        <v/>
      </c>
      <c r="L123" s="35" t="str">
        <f t="shared" ref="L123:L125" si="28">IF(K123="","",IF(LEFT(K123,1)&lt;RIGHT(K123,1),0,1))</f>
        <v/>
      </c>
      <c r="M123" s="35" t="str">
        <f t="shared" ref="M123:M125" si="29">IF(K123="","",IF(LEFT(K123,1)&gt;RIGHT(K123,1),0,1))</f>
        <v/>
      </c>
      <c r="Q123" s="1" t="str">
        <f t="shared" si="15"/>
        <v>ERROR</v>
      </c>
    </row>
    <row r="124" spans="1:18">
      <c r="A124" s="7"/>
      <c r="B124" s="9" t="s">
        <v>13</v>
      </c>
      <c r="C124" s="8" t="str">
        <f>VLOOKUP(B124,III_voor_5p!$B$98:$K$102,2,FALSE)</f>
        <v>Kristjan KANT</v>
      </c>
      <c r="D124" s="9" t="s">
        <v>10</v>
      </c>
      <c r="E124" s="8" t="str">
        <f>VLOOKUP(D124,III_voor_5p!$M$98:$W$102,2,FALSE)</f>
        <v>Daniel KOSIBA</v>
      </c>
      <c r="F124" s="85" t="str">
        <f>IF(III_voor_5p!E111=0,"",III_voor_5p!E111)</f>
        <v/>
      </c>
      <c r="G124" s="85" t="str">
        <f>IF(III_voor_5p!H111=0,"",III_voor_5p!H111)</f>
        <v/>
      </c>
      <c r="H124" s="85" t="str">
        <f>IF(III_voor_5p!K111=0,"",III_voor_5p!K111)</f>
        <v/>
      </c>
      <c r="I124" s="85" t="str">
        <f>IF(III_voor_5p!N111=0,"",III_voor_5p!N111)</f>
        <v/>
      </c>
      <c r="J124" s="85" t="str">
        <f>IF(III_voor_5p!Q111=0,"",III_voor_5p!Q111)</f>
        <v/>
      </c>
      <c r="K124" s="53" t="str">
        <f>IF(F124="","",CONCATENATE(Abitabel6!G118,":",Abitabel6!N118))</f>
        <v/>
      </c>
      <c r="L124" s="35" t="str">
        <f t="shared" si="28"/>
        <v/>
      </c>
      <c r="M124" s="35" t="str">
        <f t="shared" si="29"/>
        <v/>
      </c>
      <c r="Q124" s="1" t="str">
        <f t="shared" si="15"/>
        <v>ERROR</v>
      </c>
    </row>
    <row r="125" spans="1:18">
      <c r="A125" s="7"/>
      <c r="B125" s="9" t="s">
        <v>11</v>
      </c>
      <c r="C125" s="8" t="str">
        <f>VLOOKUP(B125,III_voor_5p!$B$98:$K$102,2,FALSE)</f>
        <v>Jorma LAHTINEN</v>
      </c>
      <c r="D125" s="9" t="s">
        <v>14</v>
      </c>
      <c r="E125" s="8" t="str">
        <f>VLOOKUP(D125,III_voor_5p!$M$98:$W$102,2,FALSE)</f>
        <v>Carlo ACCORSI</v>
      </c>
      <c r="F125" s="85" t="str">
        <f>IF(III_voor_5p!E112=0,"",III_voor_5p!E112)</f>
        <v/>
      </c>
      <c r="G125" s="85" t="str">
        <f>IF(III_voor_5p!H112=0,"",III_voor_5p!H112)</f>
        <v/>
      </c>
      <c r="H125" s="85" t="str">
        <f>IF(III_voor_5p!K112=0,"",III_voor_5p!K112)</f>
        <v/>
      </c>
      <c r="I125" s="85" t="str">
        <f>IF(III_voor_5p!N112=0,"",III_voor_5p!N112)</f>
        <v/>
      </c>
      <c r="J125" s="85" t="str">
        <f>IF(III_voor_5p!Q112=0,"",III_voor_5p!Q112)</f>
        <v/>
      </c>
      <c r="K125" s="53" t="str">
        <f>IF(F125="","",CONCATENATE(Abitabel6!G119,":",Abitabel6!N119))</f>
        <v/>
      </c>
      <c r="L125" s="35" t="str">
        <f t="shared" si="28"/>
        <v/>
      </c>
      <c r="M125" s="35" t="str">
        <f t="shared" si="29"/>
        <v/>
      </c>
      <c r="Q125" s="1" t="str">
        <f t="shared" si="15"/>
        <v>ERROR</v>
      </c>
    </row>
    <row r="126" spans="1:18">
      <c r="C126" s="34" t="str">
        <f>VLOOKUP(C117,Koosseisud!A:B,2,FALSE)</f>
        <v>Meeskond8</v>
      </c>
      <c r="E126" s="34" t="str">
        <f>VLOOKUP(E117,Koosseisud!A:B,2,FALSE)</f>
        <v>Meeskond2</v>
      </c>
    </row>
  </sheetData>
  <mergeCells count="137">
    <mergeCell ref="A1:N1"/>
    <mergeCell ref="A2:N2"/>
    <mergeCell ref="A3:N3"/>
    <mergeCell ref="A4:N4"/>
    <mergeCell ref="A5:N5"/>
    <mergeCell ref="L7:M7"/>
    <mergeCell ref="B21:B22"/>
    <mergeCell ref="D21:D22"/>
    <mergeCell ref="F21:F22"/>
    <mergeCell ref="G21:G22"/>
    <mergeCell ref="H21:H22"/>
    <mergeCell ref="B11:B12"/>
    <mergeCell ref="D11:D12"/>
    <mergeCell ref="F11:F12"/>
    <mergeCell ref="G11:G12"/>
    <mergeCell ref="H11:H12"/>
    <mergeCell ref="I21:I22"/>
    <mergeCell ref="J21:J22"/>
    <mergeCell ref="K21:K22"/>
    <mergeCell ref="L21:L22"/>
    <mergeCell ref="M21:M22"/>
    <mergeCell ref="L27:M27"/>
    <mergeCell ref="J11:J12"/>
    <mergeCell ref="K11:K12"/>
    <mergeCell ref="L11:L12"/>
    <mergeCell ref="M11:M12"/>
    <mergeCell ref="L17:M17"/>
    <mergeCell ref="I11:I12"/>
    <mergeCell ref="B41:B42"/>
    <mergeCell ref="D41:D42"/>
    <mergeCell ref="F41:F42"/>
    <mergeCell ref="G41:G42"/>
    <mergeCell ref="H41:H42"/>
    <mergeCell ref="B31:B32"/>
    <mergeCell ref="D31:D32"/>
    <mergeCell ref="F31:F32"/>
    <mergeCell ref="G31:G32"/>
    <mergeCell ref="H31:H32"/>
    <mergeCell ref="I41:I42"/>
    <mergeCell ref="J41:J42"/>
    <mergeCell ref="K41:K42"/>
    <mergeCell ref="L41:L42"/>
    <mergeCell ref="M41:M42"/>
    <mergeCell ref="L47:M47"/>
    <mergeCell ref="J31:J32"/>
    <mergeCell ref="K31:K32"/>
    <mergeCell ref="L31:L32"/>
    <mergeCell ref="M31:M32"/>
    <mergeCell ref="L37:M37"/>
    <mergeCell ref="I31:I32"/>
    <mergeCell ref="B61:B62"/>
    <mergeCell ref="D61:D62"/>
    <mergeCell ref="F61:F62"/>
    <mergeCell ref="G61:G62"/>
    <mergeCell ref="H61:H62"/>
    <mergeCell ref="B51:B52"/>
    <mergeCell ref="D51:D52"/>
    <mergeCell ref="F51:F52"/>
    <mergeCell ref="G51:G52"/>
    <mergeCell ref="H51:H52"/>
    <mergeCell ref="I61:I62"/>
    <mergeCell ref="J61:J62"/>
    <mergeCell ref="K61:K62"/>
    <mergeCell ref="L61:L62"/>
    <mergeCell ref="M61:M62"/>
    <mergeCell ref="L67:M67"/>
    <mergeCell ref="J51:J52"/>
    <mergeCell ref="K51:K52"/>
    <mergeCell ref="L51:L52"/>
    <mergeCell ref="M51:M52"/>
    <mergeCell ref="L57:M57"/>
    <mergeCell ref="I51:I52"/>
    <mergeCell ref="B81:B82"/>
    <mergeCell ref="D81:D82"/>
    <mergeCell ref="F81:F82"/>
    <mergeCell ref="G81:G82"/>
    <mergeCell ref="H81:H82"/>
    <mergeCell ref="B71:B72"/>
    <mergeCell ref="D71:D72"/>
    <mergeCell ref="F71:F72"/>
    <mergeCell ref="G71:G72"/>
    <mergeCell ref="H71:H72"/>
    <mergeCell ref="I81:I82"/>
    <mergeCell ref="J81:J82"/>
    <mergeCell ref="L107:M107"/>
    <mergeCell ref="B101:B102"/>
    <mergeCell ref="D101:D102"/>
    <mergeCell ref="F101:F102"/>
    <mergeCell ref="G101:G102"/>
    <mergeCell ref="H101:H102"/>
    <mergeCell ref="B91:B92"/>
    <mergeCell ref="D91:D92"/>
    <mergeCell ref="F91:F92"/>
    <mergeCell ref="G91:G92"/>
    <mergeCell ref="H91:H92"/>
    <mergeCell ref="L87:M87"/>
    <mergeCell ref="J71:J72"/>
    <mergeCell ref="K71:K72"/>
    <mergeCell ref="L71:L72"/>
    <mergeCell ref="M71:M72"/>
    <mergeCell ref="L77:M77"/>
    <mergeCell ref="I71:I72"/>
    <mergeCell ref="I101:I102"/>
    <mergeCell ref="J101:J102"/>
    <mergeCell ref="K101:K102"/>
    <mergeCell ref="L101:L102"/>
    <mergeCell ref="M101:M102"/>
    <mergeCell ref="K81:K82"/>
    <mergeCell ref="L81:L82"/>
    <mergeCell ref="M81:M82"/>
    <mergeCell ref="J91:J92"/>
    <mergeCell ref="K91:K92"/>
    <mergeCell ref="L91:L92"/>
    <mergeCell ref="M91:M92"/>
    <mergeCell ref="L97:M97"/>
    <mergeCell ref="I91:I92"/>
    <mergeCell ref="I121:I122"/>
    <mergeCell ref="J121:J122"/>
    <mergeCell ref="K121:K122"/>
    <mergeCell ref="L121:L122"/>
    <mergeCell ref="M121:M122"/>
    <mergeCell ref="J111:J112"/>
    <mergeCell ref="K111:K112"/>
    <mergeCell ref="L111:L112"/>
    <mergeCell ref="B121:B122"/>
    <mergeCell ref="D121:D122"/>
    <mergeCell ref="F121:F122"/>
    <mergeCell ref="G121:G122"/>
    <mergeCell ref="H121:H122"/>
    <mergeCell ref="B111:B112"/>
    <mergeCell ref="D111:D112"/>
    <mergeCell ref="F111:F112"/>
    <mergeCell ref="G111:G112"/>
    <mergeCell ref="H111:H112"/>
    <mergeCell ref="M111:M112"/>
    <mergeCell ref="L117:M117"/>
    <mergeCell ref="I111:I112"/>
  </mergeCells>
  <conditionalFormatting sqref="D8:D10 B8:B10 B13:B16 D18:D20 B18:B20 D13:D16 B23:B70 B103:B125 D23:D30 D103:D110 B72:B100 D73:D80 D33:D40 D43:D50 D53:D60 D63:D70 D83:D90 D93:D100 D113:D120 D123:D125">
    <cfRule type="expression" dxfId="40" priority="26" stopIfTrue="1">
      <formula>#REF!=3</formula>
    </cfRule>
  </conditionalFormatting>
  <conditionalFormatting sqref="E7:E10 C7:C10 C58:C60 E58:E60 C68:C70 E68:E70 C78:C80 E78:E80 C13:C20 E13:E20 E23:E30 C23:C30 C33:C40 E33:E40 E43:E50 C43:C50 C53:C56 E53:E56 E63:E66 C63:C66 E73:E76 C73:C76 E83:E90 C83:C90 C93:C100 E93:E100 E103:E110 C103:C110 C113:C120 E113:E120 E123:E125 C123:C125">
    <cfRule type="cellIs" dxfId="39" priority="25" stopIfTrue="1" operator="equal">
      <formula>0</formula>
    </cfRule>
  </conditionalFormatting>
  <conditionalFormatting sqref="B11 B36 D36 B45 D45 D55 B55 B63 D63 B78 D78 D87 B87 B94 D94 B108 D108 D118 B118 D39 B39 D48 B48 D57 B57 B21 D29:D30 B29:B31 B41 B51 B61 D70 B70:B71 B81 B91 B101 B111 B121">
    <cfRule type="expression" dxfId="38" priority="24" stopIfTrue="1">
      <formula>#REF!=3</formula>
    </cfRule>
  </conditionalFormatting>
  <conditionalFormatting sqref="E11:E12 C11:C12">
    <cfRule type="cellIs" dxfId="37" priority="23" stopIfTrue="1" operator="equal">
      <formula>0</formula>
    </cfRule>
  </conditionalFormatting>
  <conditionalFormatting sqref="D11">
    <cfRule type="expression" dxfId="36" priority="22" stopIfTrue="1">
      <formula>#REF!=3</formula>
    </cfRule>
  </conditionalFormatting>
  <conditionalFormatting sqref="E21:E22 C21:C22">
    <cfRule type="cellIs" dxfId="35" priority="21" stopIfTrue="1" operator="equal">
      <formula>0</formula>
    </cfRule>
  </conditionalFormatting>
  <conditionalFormatting sqref="D21">
    <cfRule type="expression" dxfId="34" priority="20" stopIfTrue="1">
      <formula>#REF!=3</formula>
    </cfRule>
  </conditionalFormatting>
  <conditionalFormatting sqref="E31:E32 C31:C32">
    <cfRule type="cellIs" dxfId="33" priority="19" stopIfTrue="1" operator="equal">
      <formula>0</formula>
    </cfRule>
  </conditionalFormatting>
  <conditionalFormatting sqref="D31">
    <cfRule type="expression" dxfId="32" priority="18" stopIfTrue="1">
      <formula>#REF!=3</formula>
    </cfRule>
  </conditionalFormatting>
  <conditionalFormatting sqref="E41:E42 C41:C42">
    <cfRule type="cellIs" dxfId="31" priority="17" stopIfTrue="1" operator="equal">
      <formula>0</formula>
    </cfRule>
  </conditionalFormatting>
  <conditionalFormatting sqref="D41">
    <cfRule type="expression" dxfId="30" priority="16" stopIfTrue="1">
      <formula>#REF!=3</formula>
    </cfRule>
  </conditionalFormatting>
  <conditionalFormatting sqref="C51:C52">
    <cfRule type="cellIs" dxfId="29" priority="15" stopIfTrue="1" operator="equal">
      <formula>0</formula>
    </cfRule>
  </conditionalFormatting>
  <conditionalFormatting sqref="D51">
    <cfRule type="expression" dxfId="28" priority="14" stopIfTrue="1">
      <formula>#REF!=3</formula>
    </cfRule>
  </conditionalFormatting>
  <conditionalFormatting sqref="D61:D62">
    <cfRule type="expression" dxfId="27" priority="13" stopIfTrue="1">
      <formula>#REF!=3</formula>
    </cfRule>
  </conditionalFormatting>
  <conditionalFormatting sqref="D61">
    <cfRule type="expression" dxfId="26" priority="12" stopIfTrue="1">
      <formula>#REF!=3</formula>
    </cfRule>
  </conditionalFormatting>
  <conditionalFormatting sqref="D72">
    <cfRule type="expression" dxfId="25" priority="11" stopIfTrue="1">
      <formula>#REF!=3</formula>
    </cfRule>
  </conditionalFormatting>
  <conditionalFormatting sqref="D71">
    <cfRule type="expression" dxfId="24" priority="10" stopIfTrue="1">
      <formula>#REF!=3</formula>
    </cfRule>
  </conditionalFormatting>
  <conditionalFormatting sqref="D81:D82">
    <cfRule type="expression" dxfId="23" priority="9" stopIfTrue="1">
      <formula>#REF!=3</formula>
    </cfRule>
  </conditionalFormatting>
  <conditionalFormatting sqref="D81">
    <cfRule type="expression" dxfId="22" priority="8" stopIfTrue="1">
      <formula>#REF!=3</formula>
    </cfRule>
  </conditionalFormatting>
  <conditionalFormatting sqref="D91:D92">
    <cfRule type="expression" dxfId="21" priority="7" stopIfTrue="1">
      <formula>#REF!=3</formula>
    </cfRule>
  </conditionalFormatting>
  <conditionalFormatting sqref="D91">
    <cfRule type="expression" dxfId="20" priority="6" stopIfTrue="1">
      <formula>#REF!=3</formula>
    </cfRule>
  </conditionalFormatting>
  <conditionalFormatting sqref="D101">
    <cfRule type="expression" dxfId="19" priority="5" stopIfTrue="1">
      <formula>#REF!=3</formula>
    </cfRule>
  </conditionalFormatting>
  <conditionalFormatting sqref="D111:D112">
    <cfRule type="expression" dxfId="18" priority="4" stopIfTrue="1">
      <formula>#REF!=3</formula>
    </cfRule>
  </conditionalFormatting>
  <conditionalFormatting sqref="D111">
    <cfRule type="expression" dxfId="17" priority="3" stopIfTrue="1">
      <formula>#REF!=3</formula>
    </cfRule>
  </conditionalFormatting>
  <conditionalFormatting sqref="D121:D122">
    <cfRule type="expression" dxfId="16" priority="2" stopIfTrue="1">
      <formula>#REF!=3</formula>
    </cfRule>
  </conditionalFormatting>
  <conditionalFormatting sqref="D121">
    <cfRule type="expression" dxfId="15" priority="1" stopIfTrue="1">
      <formula>#REF!=3</formula>
    </cfRule>
  </conditionalFormatting>
  <pageMargins left="0.7" right="0.7" top="0.75" bottom="0.75" header="0.3" footer="0.3"/>
  <pageSetup scale="66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37B57E-6887-4EA9-B416-B556909F7315}">
          <x14:formula1>
            <xm:f>Abitabel!$J$1:$J$20</xm:f>
          </x14:formula1>
          <xm:sqref>K38:K45 K18:K25 K28:K35 K8:K15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EC763-104B-45A0-B894-4D3A22A31D5C}">
  <sheetPr>
    <pageSetUpPr fitToPage="1"/>
  </sheetPr>
  <dimension ref="A1:Z119"/>
  <sheetViews>
    <sheetView topLeftCell="A95" workbookViewId="0">
      <selection activeCell="T109" sqref="T109"/>
    </sheetView>
  </sheetViews>
  <sheetFormatPr defaultRowHeight="15"/>
  <cols>
    <col min="1" max="1" width="0.7109375" customWidth="1"/>
    <col min="2" max="2" width="4.140625" customWidth="1"/>
    <col min="3" max="4" width="4.28515625" customWidth="1"/>
    <col min="5" max="11" width="4.7109375" customWidth="1"/>
    <col min="12" max="12" width="5" customWidth="1"/>
    <col min="13" max="19" width="4.7109375" customWidth="1"/>
    <col min="20" max="20" width="10.7109375" customWidth="1"/>
    <col min="21" max="21" width="4.28515625" customWidth="1"/>
    <col min="22" max="22" width="7.28515625" customWidth="1"/>
    <col min="23" max="23" width="4.28515625" customWidth="1"/>
    <col min="24" max="24" width="7.28515625" customWidth="1"/>
    <col min="25" max="25" width="1.42578125" customWidth="1"/>
  </cols>
  <sheetData>
    <row r="1" spans="1:26">
      <c r="A1" s="18"/>
      <c r="B1" s="275" t="s">
        <v>26</v>
      </c>
      <c r="C1" s="275"/>
      <c r="D1" s="275"/>
      <c r="E1" s="275"/>
      <c r="F1" s="275"/>
      <c r="G1" s="275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</row>
    <row r="2" spans="1:26" ht="4.5" customHeight="1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</row>
    <row r="3" spans="1:26">
      <c r="A3" s="19"/>
      <c r="B3" s="277" t="s">
        <v>442</v>
      </c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19"/>
      <c r="Q3" s="19" t="s">
        <v>27</v>
      </c>
      <c r="R3" s="19"/>
      <c r="S3" s="278" t="s">
        <v>618</v>
      </c>
      <c r="T3" s="278"/>
      <c r="U3" s="278"/>
      <c r="V3" s="278"/>
      <c r="W3" s="278"/>
      <c r="X3" s="19"/>
      <c r="Y3" s="19"/>
    </row>
    <row r="4" spans="1:26">
      <c r="A4" s="18"/>
      <c r="B4" s="279" t="s">
        <v>28</v>
      </c>
      <c r="C4" s="279"/>
      <c r="D4" s="279"/>
      <c r="E4" s="279"/>
      <c r="F4" s="279"/>
      <c r="G4" s="279"/>
      <c r="H4" s="279"/>
      <c r="I4" s="279"/>
      <c r="J4" s="279"/>
      <c r="K4" s="279"/>
      <c r="L4" s="279"/>
      <c r="M4" s="279"/>
      <c r="N4" s="279"/>
      <c r="O4" s="279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6">
      <c r="A5" s="19"/>
      <c r="B5" s="19" t="s">
        <v>29</v>
      </c>
      <c r="C5" s="19"/>
      <c r="D5" s="19"/>
      <c r="E5" s="280">
        <v>45780</v>
      </c>
      <c r="F5" s="278"/>
      <c r="G5" s="278"/>
      <c r="H5" s="278"/>
      <c r="I5" s="278"/>
      <c r="J5" s="19" t="s">
        <v>30</v>
      </c>
      <c r="K5" s="19"/>
      <c r="L5" s="281" t="s">
        <v>444</v>
      </c>
      <c r="M5" s="281"/>
      <c r="N5" s="19" t="s">
        <v>31</v>
      </c>
      <c r="O5" s="19"/>
      <c r="P5" s="19" t="s">
        <v>619</v>
      </c>
      <c r="Q5" s="19"/>
      <c r="R5" s="19"/>
      <c r="S5" s="19" t="s">
        <v>32</v>
      </c>
      <c r="T5" s="19"/>
      <c r="U5" s="19">
        <v>1</v>
      </c>
      <c r="V5" s="20"/>
      <c r="W5" s="19"/>
      <c r="X5" s="19"/>
      <c r="Y5" s="19"/>
    </row>
    <row r="6" spans="1:26" ht="7.5" customHeight="1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6">
      <c r="A7" s="18"/>
      <c r="B7" s="21"/>
      <c r="C7" s="277" t="s">
        <v>33</v>
      </c>
      <c r="D7" s="277"/>
      <c r="E7" s="277"/>
      <c r="F7" s="277"/>
      <c r="G7" s="282" t="s">
        <v>231</v>
      </c>
      <c r="H7" s="282"/>
      <c r="I7" s="282"/>
      <c r="J7" s="282"/>
      <c r="K7" s="282"/>
      <c r="L7" s="282"/>
      <c r="M7" s="18"/>
      <c r="N7" s="277" t="s">
        <v>34</v>
      </c>
      <c r="O7" s="277"/>
      <c r="P7" s="277"/>
      <c r="Q7" s="277"/>
      <c r="R7" s="283" t="s">
        <v>233</v>
      </c>
      <c r="S7" s="283"/>
      <c r="T7" s="283"/>
      <c r="U7" s="283"/>
      <c r="V7" s="283"/>
      <c r="W7" s="283"/>
      <c r="X7" s="283"/>
      <c r="Y7" s="18"/>
    </row>
    <row r="8" spans="1:26">
      <c r="A8" s="18"/>
      <c r="B8" s="22" t="s">
        <v>9</v>
      </c>
      <c r="C8" s="256" t="s">
        <v>340</v>
      </c>
      <c r="D8" s="257"/>
      <c r="E8" s="257"/>
      <c r="F8" s="257"/>
      <c r="G8" s="257"/>
      <c r="H8" s="257"/>
      <c r="I8" s="257"/>
      <c r="J8" s="257"/>
      <c r="K8" s="257"/>
      <c r="M8" s="22" t="s">
        <v>12</v>
      </c>
      <c r="N8" s="256" t="s">
        <v>370</v>
      </c>
      <c r="O8" s="257"/>
      <c r="P8" s="257"/>
      <c r="Q8" s="257"/>
      <c r="R8" s="257"/>
      <c r="S8" s="257"/>
      <c r="T8" s="257"/>
      <c r="U8" s="257"/>
      <c r="V8" s="257"/>
      <c r="W8" s="257"/>
      <c r="X8" s="258"/>
      <c r="Y8" s="38"/>
    </row>
    <row r="9" spans="1:26">
      <c r="A9" s="18"/>
      <c r="B9" s="22" t="s">
        <v>11</v>
      </c>
      <c r="C9" s="256" t="s">
        <v>336</v>
      </c>
      <c r="D9" s="257"/>
      <c r="E9" s="257"/>
      <c r="F9" s="257"/>
      <c r="G9" s="257"/>
      <c r="H9" s="257"/>
      <c r="I9" s="257"/>
      <c r="J9" s="257"/>
      <c r="K9" s="257"/>
      <c r="L9" s="23"/>
      <c r="M9" s="22" t="s">
        <v>10</v>
      </c>
      <c r="N9" s="256" t="s">
        <v>374</v>
      </c>
      <c r="O9" s="257"/>
      <c r="P9" s="257"/>
      <c r="Q9" s="257"/>
      <c r="R9" s="257"/>
      <c r="S9" s="257"/>
      <c r="T9" s="257"/>
      <c r="U9" s="257"/>
      <c r="V9" s="257"/>
      <c r="W9" s="257"/>
      <c r="X9" s="258"/>
      <c r="Y9" s="18"/>
    </row>
    <row r="10" spans="1:26">
      <c r="A10" s="18"/>
      <c r="B10" s="24" t="s">
        <v>13</v>
      </c>
      <c r="C10" s="256" t="s">
        <v>338</v>
      </c>
      <c r="D10" s="257"/>
      <c r="E10" s="257"/>
      <c r="F10" s="257"/>
      <c r="G10" s="257"/>
      <c r="H10" s="257"/>
      <c r="I10" s="257"/>
      <c r="J10" s="257"/>
      <c r="K10" s="257"/>
      <c r="L10" s="25"/>
      <c r="M10" s="24" t="s">
        <v>14</v>
      </c>
      <c r="N10" s="256" t="s">
        <v>373</v>
      </c>
      <c r="O10" s="257"/>
      <c r="P10" s="257"/>
      <c r="Q10" s="257"/>
      <c r="R10" s="257"/>
      <c r="S10" s="257"/>
      <c r="T10" s="257"/>
      <c r="U10" s="257"/>
      <c r="V10" s="257"/>
      <c r="W10" s="257"/>
      <c r="X10" s="258"/>
      <c r="Y10" s="18"/>
    </row>
    <row r="11" spans="1:26">
      <c r="A11" s="18"/>
      <c r="B11" s="24" t="s">
        <v>54</v>
      </c>
      <c r="C11" s="256"/>
      <c r="D11" s="257"/>
      <c r="E11" s="257"/>
      <c r="F11" s="257"/>
      <c r="G11" s="257"/>
      <c r="H11" s="257"/>
      <c r="I11" s="257"/>
      <c r="J11" s="257"/>
      <c r="K11" s="257"/>
      <c r="L11" s="25"/>
      <c r="M11" s="24" t="s">
        <v>56</v>
      </c>
      <c r="N11" s="256"/>
      <c r="O11" s="257"/>
      <c r="P11" s="257"/>
      <c r="Q11" s="257"/>
      <c r="R11" s="257"/>
      <c r="S11" s="257"/>
      <c r="T11" s="257"/>
      <c r="U11" s="257"/>
      <c r="V11" s="257"/>
      <c r="W11" s="257"/>
      <c r="X11" s="258"/>
      <c r="Y11" s="18"/>
    </row>
    <row r="12" spans="1:26">
      <c r="A12" s="18"/>
      <c r="B12" s="24" t="s">
        <v>55</v>
      </c>
      <c r="C12" s="256"/>
      <c r="D12" s="257"/>
      <c r="E12" s="257"/>
      <c r="F12" s="257"/>
      <c r="G12" s="257"/>
      <c r="H12" s="257"/>
      <c r="I12" s="257"/>
      <c r="J12" s="257"/>
      <c r="K12" s="257"/>
      <c r="L12" s="25"/>
      <c r="M12" s="24" t="s">
        <v>57</v>
      </c>
      <c r="N12" s="256"/>
      <c r="O12" s="257"/>
      <c r="P12" s="257"/>
      <c r="Q12" s="257"/>
      <c r="R12" s="257"/>
      <c r="S12" s="257"/>
      <c r="T12" s="257"/>
      <c r="U12" s="257"/>
      <c r="V12" s="257"/>
      <c r="W12" s="257"/>
      <c r="X12" s="258"/>
      <c r="Y12" s="18"/>
    </row>
    <row r="13" spans="1:26" ht="8.25" customHeight="1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40" t="str">
        <f>VLOOKUP(G7,Koosseisud!A:B,2,FALSE)</f>
        <v>Meeskond2</v>
      </c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40" t="str">
        <f>VLOOKUP(R7,Koosseisud!A:B,2,FALSE)</f>
        <v>Meeskond4</v>
      </c>
      <c r="X13" s="18"/>
      <c r="Y13" s="18"/>
    </row>
    <row r="14" spans="1:26">
      <c r="A14" s="18"/>
      <c r="B14" s="259" t="s">
        <v>35</v>
      </c>
      <c r="C14" s="260"/>
      <c r="D14" s="261"/>
      <c r="E14" s="260" t="s">
        <v>36</v>
      </c>
      <c r="F14" s="260"/>
      <c r="G14" s="261"/>
      <c r="H14" s="260" t="s">
        <v>37</v>
      </c>
      <c r="I14" s="260"/>
      <c r="J14" s="261"/>
      <c r="K14" s="260" t="s">
        <v>38</v>
      </c>
      <c r="L14" s="260"/>
      <c r="M14" s="261"/>
      <c r="N14" s="260" t="s">
        <v>39</v>
      </c>
      <c r="O14" s="260"/>
      <c r="P14" s="261"/>
      <c r="Q14" s="260" t="s">
        <v>40</v>
      </c>
      <c r="R14" s="260"/>
      <c r="S14" s="261"/>
      <c r="T14" s="259" t="s">
        <v>500</v>
      </c>
      <c r="U14" s="262" t="s">
        <v>41</v>
      </c>
      <c r="V14" s="263"/>
      <c r="W14" s="263"/>
      <c r="X14" s="264"/>
      <c r="Y14" s="18"/>
    </row>
    <row r="15" spans="1:26">
      <c r="A15" s="18"/>
      <c r="B15" s="265" t="s">
        <v>42</v>
      </c>
      <c r="C15" s="284"/>
      <c r="D15" s="285"/>
      <c r="E15" s="26"/>
      <c r="F15" s="26"/>
      <c r="G15" s="25"/>
      <c r="H15" s="26"/>
      <c r="I15" s="26"/>
      <c r="J15" s="25"/>
      <c r="K15" s="26"/>
      <c r="L15" s="27"/>
      <c r="M15" s="25"/>
      <c r="N15" s="26"/>
      <c r="O15" s="26"/>
      <c r="P15" s="25"/>
      <c r="Q15" s="26"/>
      <c r="R15" s="26"/>
      <c r="S15" s="25"/>
      <c r="T15" s="265"/>
      <c r="U15" s="263" t="s">
        <v>43</v>
      </c>
      <c r="V15" s="264"/>
      <c r="W15" s="284" t="s">
        <v>44</v>
      </c>
      <c r="X15" s="285"/>
      <c r="Y15" s="18"/>
    </row>
    <row r="16" spans="1:26">
      <c r="A16" s="18"/>
      <c r="B16" s="22">
        <v>1</v>
      </c>
      <c r="C16" s="276" t="s">
        <v>45</v>
      </c>
      <c r="D16" s="272"/>
      <c r="E16" s="253" t="s">
        <v>517</v>
      </c>
      <c r="F16" s="254"/>
      <c r="G16" s="255"/>
      <c r="H16" s="253" t="s">
        <v>501</v>
      </c>
      <c r="I16" s="254"/>
      <c r="J16" s="255"/>
      <c r="K16" s="253" t="s">
        <v>501</v>
      </c>
      <c r="L16" s="254"/>
      <c r="M16" s="255"/>
      <c r="N16" s="253"/>
      <c r="O16" s="254"/>
      <c r="P16" s="255"/>
      <c r="Q16" s="253"/>
      <c r="R16" s="254"/>
      <c r="S16" s="255"/>
      <c r="T16" s="123" t="str">
        <f>IF(ISBLANK(E16)=TRUE,"",VALUE(Y16)&amp;":"&amp;VALUE(Z16))</f>
        <v>3:0</v>
      </c>
      <c r="U16" s="262">
        <f>IF(TYPE(IF(VALUE(LEFT(T16,1))&gt;VALUE(RIGHT(T16,1)),1,0))=1,IF(VALUE(LEFT(T16,1))&gt;VALUE(RIGHT(T16,1)),1,0),"")</f>
        <v>1</v>
      </c>
      <c r="V16" s="264"/>
      <c r="W16" s="262">
        <f>IF(TYPE(IF(VALUE(LEFT(T16,1))&lt;VALUE(RIGHT(T16,1)),1,0))=1,IF(VALUE(LEFT(T16,1))&lt;VALUE(RIGHT(T16,1)),1,0),"")</f>
        <v>0</v>
      </c>
      <c r="X16" s="264"/>
      <c r="Y16">
        <f>IF(ISBLANK(E16)=TRUE,0,IF(VALUE(LEFT(E16,FIND(":",E16)-1))&gt;VALUE(RIGHT(E16,LEN(E16)-FIND(":",E16))),1,0))+IF(ISBLANK(H16)=TRUE,0,IF(VALUE(LEFT(H16,FIND(":",H16)-1))&gt;VALUE(RIGHT(H16,LEN(H16)-FIND(":",H16))),1,0))+IF(ISBLANK(K16)=TRUE,0,IF(VALUE(LEFT(K16,FIND(":",K16)-1))&gt;VALUE(RIGHT(K16,LEN(K16)-FIND(":",K16))),1,0))+IF(ISBLANK(N16)=TRUE,0,IF(VALUE(LEFT(N16,FIND(":",N16)-1))&gt;VALUE(RIGHT(N16,LEN(N16)-FIND(":",N16))),1,0))+IF(ISBLANK(Q16)=TRUE,0,IF(VALUE(LEFT(Q16,FIND(":",Q16)-1))&gt;VALUE(RIGHT(Q16,LEN(Q16)-FIND(":",Q16))),1,0))</f>
        <v>3</v>
      </c>
      <c r="Z16" s="18">
        <f>IF(ISBLANK(E16)=TRUE,0,IF(VALUE(LEFT(E16,FIND(":",E16)-1))&lt;VALUE(RIGHT(E16,LEN(E16)-FIND(":",E16))),1,0))+IF(ISBLANK(H16)=TRUE,0,IF(VALUE(LEFT(H16,FIND(":",H16)-1))&lt;VALUE(RIGHT(H16,LEN(H16)-FIND(":",H16))),1,0))+IF(ISBLANK(K16)=TRUE,0,IF(VALUE(LEFT(K16,FIND(":",K16)-1))&lt;VALUE(RIGHT(K16,LEN(K16)-FIND(":",K16))),1,0))+IF(ISBLANK(N16)=TRUE,0,IF(VALUE(LEFT(N16,FIND(":",N16)-1))&lt;VALUE(RIGHT(N16,LEN(N16)-FIND(":",N16))),1,0))+IF(ISBLANK(Q16)=TRUE,0,IF(VALUE(LEFT(Q16,FIND(":",Q16)-1))&lt;VALUE(RIGHT(Q16,LEN(Q16)-FIND(":",Q16))),1,0))</f>
        <v>0</v>
      </c>
    </row>
    <row r="17" spans="1:26">
      <c r="A17" s="18"/>
      <c r="B17" s="22">
        <v>2</v>
      </c>
      <c r="C17" s="276" t="s">
        <v>46</v>
      </c>
      <c r="D17" s="272"/>
      <c r="E17" s="253" t="s">
        <v>515</v>
      </c>
      <c r="F17" s="254"/>
      <c r="G17" s="255"/>
      <c r="H17" s="253" t="s">
        <v>507</v>
      </c>
      <c r="I17" s="254"/>
      <c r="J17" s="255"/>
      <c r="K17" s="253" t="s">
        <v>522</v>
      </c>
      <c r="L17" s="254"/>
      <c r="M17" s="255"/>
      <c r="N17" s="253" t="s">
        <v>523</v>
      </c>
      <c r="O17" s="254"/>
      <c r="P17" s="255"/>
      <c r="Q17" s="253"/>
      <c r="R17" s="254"/>
      <c r="S17" s="255"/>
      <c r="T17" s="123" t="str">
        <f t="shared" ref="T17:T22" si="0">IF(ISBLANK(E17)=TRUE,"",VALUE(Y17)&amp;":"&amp;VALUE(Z17))</f>
        <v>1:3</v>
      </c>
      <c r="U17" s="262">
        <f t="shared" ref="U17:U22" si="1">IF(TYPE(IF(VALUE(LEFT(T17,1))&gt;VALUE(RIGHT(T17,1)),1,0))=1,IF(VALUE(LEFT(T17,1))&gt;VALUE(RIGHT(T17,1)),1,0),"")</f>
        <v>0</v>
      </c>
      <c r="V17" s="264"/>
      <c r="W17" s="262">
        <f t="shared" ref="W17:W22" si="2">IF(TYPE(IF(VALUE(LEFT(T17,1))&lt;VALUE(RIGHT(T17,1)),1,0))=1,IF(VALUE(LEFT(T17,1))&lt;VALUE(RIGHT(T17,1)),1,0),"")</f>
        <v>1</v>
      </c>
      <c r="X17" s="264"/>
      <c r="Y17">
        <f t="shared" ref="Y17:Y22" si="3">IF(ISBLANK(E17)=TRUE,0,IF(VALUE(LEFT(E17,FIND(":",E17)-1))&gt;VALUE(RIGHT(E17,LEN(E17)-FIND(":",E17))),1,0))+IF(ISBLANK(H17)=TRUE,0,IF(VALUE(LEFT(H17,FIND(":",H17)-1))&gt;VALUE(RIGHT(H17,LEN(H17)-FIND(":",H17))),1,0))+IF(ISBLANK(K17)=TRUE,0,IF(VALUE(LEFT(K17,FIND(":",K17)-1))&gt;VALUE(RIGHT(K17,LEN(K17)-FIND(":",K17))),1,0))+IF(ISBLANK(N17)=TRUE,0,IF(VALUE(LEFT(N17,FIND(":",N17)-1))&gt;VALUE(RIGHT(N17,LEN(N17)-FIND(":",N17))),1,0))+IF(ISBLANK(Q17)=TRUE,0,IF(VALUE(LEFT(Q17,FIND(":",Q17)-1))&gt;VALUE(RIGHT(Q17,LEN(Q17)-FIND(":",Q17))),1,0))</f>
        <v>1</v>
      </c>
      <c r="Z17" s="18">
        <f t="shared" ref="Z17:Z22" si="4">IF(ISBLANK(E17)=TRUE,0,IF(VALUE(LEFT(E17,FIND(":",E17)-1))&lt;VALUE(RIGHT(E17,LEN(E17)-FIND(":",E17))),1,0))+IF(ISBLANK(H17)=TRUE,0,IF(VALUE(LEFT(H17,FIND(":",H17)-1))&lt;VALUE(RIGHT(H17,LEN(H17)-FIND(":",H17))),1,0))+IF(ISBLANK(K17)=TRUE,0,IF(VALUE(LEFT(K17,FIND(":",K17)-1))&lt;VALUE(RIGHT(K17,LEN(K17)-FIND(":",K17))),1,0))+IF(ISBLANK(N17)=TRUE,0,IF(VALUE(LEFT(N17,FIND(":",N17)-1))&lt;VALUE(RIGHT(N17,LEN(N17)-FIND(":",N17))),1,0))+IF(ISBLANK(Q17)=TRUE,0,IF(VALUE(LEFT(Q17,FIND(":",Q17)-1))&lt;VALUE(RIGHT(Q17,LEN(Q17)-FIND(":",Q17))),1,0))</f>
        <v>3</v>
      </c>
    </row>
    <row r="18" spans="1:26">
      <c r="A18" s="18"/>
      <c r="B18" s="22">
        <v>3</v>
      </c>
      <c r="C18" s="276" t="s">
        <v>47</v>
      </c>
      <c r="D18" s="272"/>
      <c r="E18" s="253" t="s">
        <v>523</v>
      </c>
      <c r="F18" s="254"/>
      <c r="G18" s="255"/>
      <c r="H18" s="253" t="s">
        <v>525</v>
      </c>
      <c r="I18" s="254"/>
      <c r="J18" s="255"/>
      <c r="K18" s="253" t="s">
        <v>511</v>
      </c>
      <c r="L18" s="254"/>
      <c r="M18" s="255"/>
      <c r="N18" s="253" t="s">
        <v>507</v>
      </c>
      <c r="O18" s="254"/>
      <c r="P18" s="255"/>
      <c r="Q18" s="253"/>
      <c r="R18" s="254"/>
      <c r="S18" s="255"/>
      <c r="T18" s="123" t="str">
        <f t="shared" si="0"/>
        <v>1:3</v>
      </c>
      <c r="U18" s="262">
        <f t="shared" si="1"/>
        <v>0</v>
      </c>
      <c r="V18" s="264"/>
      <c r="W18" s="262">
        <f t="shared" si="2"/>
        <v>1</v>
      </c>
      <c r="X18" s="264"/>
      <c r="Y18">
        <f t="shared" si="3"/>
        <v>1</v>
      </c>
      <c r="Z18" s="18">
        <f t="shared" si="4"/>
        <v>3</v>
      </c>
    </row>
    <row r="19" spans="1:26">
      <c r="A19" s="18"/>
      <c r="B19" s="22">
        <v>4</v>
      </c>
      <c r="C19" s="276" t="s">
        <v>527</v>
      </c>
      <c r="D19" s="272"/>
      <c r="E19" s="253" t="s">
        <v>530</v>
      </c>
      <c r="F19" s="254"/>
      <c r="G19" s="255"/>
      <c r="H19" s="253" t="s">
        <v>513</v>
      </c>
      <c r="I19" s="254"/>
      <c r="J19" s="255"/>
      <c r="K19" s="253" t="s">
        <v>503</v>
      </c>
      <c r="L19" s="254"/>
      <c r="M19" s="255"/>
      <c r="N19" s="253"/>
      <c r="O19" s="254"/>
      <c r="P19" s="255"/>
      <c r="Q19" s="253"/>
      <c r="R19" s="254"/>
      <c r="S19" s="255"/>
      <c r="T19" s="123" t="str">
        <f t="shared" si="0"/>
        <v>3:0</v>
      </c>
      <c r="U19" s="262">
        <f t="shared" si="1"/>
        <v>1</v>
      </c>
      <c r="V19" s="264"/>
      <c r="W19" s="262">
        <f t="shared" si="2"/>
        <v>0</v>
      </c>
      <c r="X19" s="264"/>
      <c r="Y19">
        <f t="shared" si="3"/>
        <v>3</v>
      </c>
      <c r="Z19" s="18">
        <f t="shared" si="4"/>
        <v>0</v>
      </c>
    </row>
    <row r="20" spans="1:26">
      <c r="A20" s="18"/>
      <c r="B20" s="24">
        <v>5</v>
      </c>
      <c r="C20" s="271" t="s">
        <v>48</v>
      </c>
      <c r="D20" s="272"/>
      <c r="E20" s="253" t="s">
        <v>507</v>
      </c>
      <c r="F20" s="254"/>
      <c r="G20" s="255"/>
      <c r="H20" s="253" t="s">
        <v>503</v>
      </c>
      <c r="I20" s="254"/>
      <c r="J20" s="255"/>
      <c r="K20" s="253" t="s">
        <v>513</v>
      </c>
      <c r="L20" s="254"/>
      <c r="M20" s="255"/>
      <c r="N20" s="253" t="s">
        <v>502</v>
      </c>
      <c r="O20" s="254"/>
      <c r="P20" s="255"/>
      <c r="Q20" s="253"/>
      <c r="R20" s="254"/>
      <c r="S20" s="255"/>
      <c r="T20" s="123" t="str">
        <f t="shared" si="0"/>
        <v>3:1</v>
      </c>
      <c r="U20" s="262">
        <f t="shared" si="1"/>
        <v>1</v>
      </c>
      <c r="V20" s="264"/>
      <c r="W20" s="262">
        <f t="shared" si="2"/>
        <v>0</v>
      </c>
      <c r="X20" s="264"/>
      <c r="Y20">
        <f t="shared" si="3"/>
        <v>3</v>
      </c>
      <c r="Z20" s="18">
        <f t="shared" si="4"/>
        <v>1</v>
      </c>
    </row>
    <row r="21" spans="1:26">
      <c r="A21" s="18"/>
      <c r="B21" s="24">
        <v>6</v>
      </c>
      <c r="C21" s="271" t="s">
        <v>49</v>
      </c>
      <c r="D21" s="272"/>
      <c r="E21" s="253" t="s">
        <v>515</v>
      </c>
      <c r="F21" s="254"/>
      <c r="G21" s="255"/>
      <c r="H21" s="253" t="s">
        <v>515</v>
      </c>
      <c r="I21" s="254"/>
      <c r="J21" s="255"/>
      <c r="K21" s="253" t="s">
        <v>503</v>
      </c>
      <c r="L21" s="254"/>
      <c r="M21" s="255"/>
      <c r="N21" s="253"/>
      <c r="O21" s="254"/>
      <c r="P21" s="255"/>
      <c r="Q21" s="253"/>
      <c r="R21" s="254"/>
      <c r="S21" s="255"/>
      <c r="T21" s="123" t="str">
        <f t="shared" si="0"/>
        <v>3:0</v>
      </c>
      <c r="U21" s="262">
        <f t="shared" si="1"/>
        <v>1</v>
      </c>
      <c r="V21" s="264"/>
      <c r="W21" s="262">
        <f t="shared" si="2"/>
        <v>0</v>
      </c>
      <c r="X21" s="264"/>
      <c r="Y21">
        <f t="shared" si="3"/>
        <v>3</v>
      </c>
      <c r="Z21" s="18">
        <f t="shared" si="4"/>
        <v>0</v>
      </c>
    </row>
    <row r="22" spans="1:26">
      <c r="A22" s="18"/>
      <c r="B22" s="24">
        <v>7</v>
      </c>
      <c r="C22" s="266" t="s">
        <v>50</v>
      </c>
      <c r="D22" s="267"/>
      <c r="E22" s="253"/>
      <c r="F22" s="254"/>
      <c r="G22" s="255"/>
      <c r="H22" s="253"/>
      <c r="I22" s="254"/>
      <c r="J22" s="255"/>
      <c r="K22" s="253"/>
      <c r="L22" s="254"/>
      <c r="M22" s="255"/>
      <c r="N22" s="253"/>
      <c r="O22" s="254"/>
      <c r="P22" s="255"/>
      <c r="Q22" s="253"/>
      <c r="R22" s="254"/>
      <c r="S22" s="255"/>
      <c r="T22" s="123" t="str">
        <f t="shared" si="0"/>
        <v/>
      </c>
      <c r="U22" s="262" t="str">
        <f t="shared" si="1"/>
        <v/>
      </c>
      <c r="V22" s="264"/>
      <c r="W22" s="262" t="str">
        <f t="shared" si="2"/>
        <v/>
      </c>
      <c r="X22" s="264"/>
      <c r="Y22">
        <f t="shared" si="3"/>
        <v>0</v>
      </c>
      <c r="Z22" s="18">
        <f t="shared" si="4"/>
        <v>0</v>
      </c>
    </row>
    <row r="23" spans="1:26">
      <c r="A23" s="18"/>
      <c r="B23" s="18"/>
      <c r="C23" s="18"/>
      <c r="D23" s="18"/>
      <c r="E23" s="268" t="s">
        <v>51</v>
      </c>
      <c r="F23" s="268"/>
      <c r="G23" s="268"/>
      <c r="H23" s="18"/>
      <c r="I23" s="28"/>
      <c r="J23" s="28"/>
      <c r="K23" s="28"/>
      <c r="L23" s="28"/>
      <c r="M23" s="28"/>
      <c r="N23" s="28"/>
      <c r="O23" s="28"/>
      <c r="P23" s="28"/>
      <c r="Q23" s="28"/>
      <c r="R23" s="18"/>
      <c r="S23" s="29"/>
      <c r="T23" s="18"/>
      <c r="U23" s="273">
        <f>IF(ISBLANK(E16)=TRUE,"",SUM(U16:U22))</f>
        <v>4</v>
      </c>
      <c r="V23" s="274"/>
      <c r="W23" s="273">
        <f>IF(ISBLANK(E16)=TRUE,"",SUM(W16:W22))</f>
        <v>2</v>
      </c>
      <c r="X23" s="274"/>
      <c r="Y23" s="18"/>
    </row>
    <row r="24" spans="1:26">
      <c r="A24" s="18"/>
      <c r="B24" s="18"/>
      <c r="C24" s="18"/>
      <c r="D24" s="18"/>
      <c r="E24" s="80"/>
      <c r="F24" s="80"/>
      <c r="G24" s="80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6">
      <c r="A25" s="18"/>
      <c r="B25" s="269" t="s">
        <v>460</v>
      </c>
      <c r="C25" s="270"/>
      <c r="D25" s="270"/>
      <c r="E25" s="81"/>
      <c r="F25" s="81"/>
      <c r="G25" s="81"/>
      <c r="H25" s="81"/>
      <c r="I25" s="81"/>
      <c r="J25" s="270"/>
      <c r="K25" s="270"/>
      <c r="L25" s="270"/>
      <c r="M25" s="81"/>
      <c r="N25" s="81"/>
      <c r="O25" s="81"/>
      <c r="P25" s="81"/>
      <c r="Q25" s="270"/>
      <c r="R25" s="270"/>
      <c r="S25" s="270"/>
      <c r="T25" s="122"/>
      <c r="U25" s="81"/>
      <c r="V25" s="81"/>
      <c r="W25" s="81"/>
      <c r="X25" s="30"/>
      <c r="Y25" s="18"/>
    </row>
    <row r="26" spans="1:26">
      <c r="A26" s="18"/>
      <c r="B26" s="3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32"/>
      <c r="Y26" s="18"/>
    </row>
    <row r="27" spans="1:26" ht="7.5" customHeight="1">
      <c r="A27" s="18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18"/>
    </row>
    <row r="28" spans="1:26">
      <c r="A28" s="29"/>
      <c r="B28" s="269" t="s">
        <v>52</v>
      </c>
      <c r="C28" s="270"/>
      <c r="D28" s="270"/>
      <c r="E28" s="18"/>
      <c r="F28" s="18"/>
      <c r="G28" s="18"/>
      <c r="H28" s="18"/>
      <c r="I28" s="18"/>
      <c r="J28" s="270" t="s">
        <v>1</v>
      </c>
      <c r="K28" s="270"/>
      <c r="L28" s="270"/>
      <c r="M28" s="18"/>
      <c r="N28" s="18"/>
      <c r="O28" s="18"/>
      <c r="P28" s="18"/>
      <c r="Q28" s="270" t="s">
        <v>53</v>
      </c>
      <c r="R28" s="270"/>
      <c r="S28" s="270"/>
      <c r="T28" s="91"/>
      <c r="U28" s="18"/>
      <c r="V28" s="18"/>
      <c r="W28" s="18"/>
      <c r="X28" s="30"/>
      <c r="Y28" s="18"/>
    </row>
    <row r="29" spans="1:26">
      <c r="A29" s="29"/>
      <c r="B29" s="3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32"/>
      <c r="Y29" s="18"/>
    </row>
    <row r="30" spans="1:26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6">
      <c r="A31" s="18"/>
      <c r="B31" s="275" t="s">
        <v>26</v>
      </c>
      <c r="C31" s="275"/>
      <c r="D31" s="275"/>
      <c r="E31" s="275"/>
      <c r="F31" s="275"/>
      <c r="G31" s="275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6" ht="4.5" customHeight="1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6">
      <c r="A33" s="19"/>
      <c r="B33" s="277" t="str">
        <f>B3</f>
        <v>Eesti meistriliiga</v>
      </c>
      <c r="C33" s="277"/>
      <c r="D33" s="277"/>
      <c r="E33" s="277"/>
      <c r="F33" s="277"/>
      <c r="G33" s="277"/>
      <c r="H33" s="277"/>
      <c r="I33" s="277"/>
      <c r="J33" s="277"/>
      <c r="K33" s="277"/>
      <c r="L33" s="277"/>
      <c r="M33" s="277"/>
      <c r="N33" s="277"/>
      <c r="O33" s="277"/>
      <c r="P33" s="19"/>
      <c r="Q33" s="19" t="s">
        <v>27</v>
      </c>
      <c r="R33" s="19"/>
      <c r="S33" s="278" t="str">
        <f>S3</f>
        <v>Meistriliiga Play-Off</v>
      </c>
      <c r="T33" s="278"/>
      <c r="U33" s="278"/>
      <c r="V33" s="278"/>
      <c r="W33" s="278"/>
      <c r="X33" s="19"/>
      <c r="Y33" s="19"/>
    </row>
    <row r="34" spans="1:26">
      <c r="A34" s="18"/>
      <c r="B34" s="279" t="s">
        <v>28</v>
      </c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6">
      <c r="A35" s="19"/>
      <c r="B35" s="19" t="s">
        <v>29</v>
      </c>
      <c r="C35" s="19"/>
      <c r="D35" s="19"/>
      <c r="E35" s="280">
        <f>E5</f>
        <v>45780</v>
      </c>
      <c r="F35" s="278"/>
      <c r="G35" s="278"/>
      <c r="H35" s="278"/>
      <c r="I35" s="278"/>
      <c r="J35" s="19" t="s">
        <v>30</v>
      </c>
      <c r="K35" s="19"/>
      <c r="L35" s="281" t="s">
        <v>444</v>
      </c>
      <c r="M35" s="281"/>
      <c r="N35" s="19" t="s">
        <v>31</v>
      </c>
      <c r="O35" s="19"/>
      <c r="P35" s="19" t="s">
        <v>619</v>
      </c>
      <c r="Q35" s="19"/>
      <c r="R35" s="19"/>
      <c r="S35" s="19" t="s">
        <v>32</v>
      </c>
      <c r="T35" s="19"/>
      <c r="U35" s="19">
        <v>2</v>
      </c>
      <c r="V35" s="20"/>
      <c r="W35" s="19"/>
      <c r="X35" s="19"/>
      <c r="Y35" s="19"/>
    </row>
    <row r="36" spans="1:26" ht="7.5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6">
      <c r="A37" s="18"/>
      <c r="B37" s="21"/>
      <c r="C37" s="277" t="s">
        <v>33</v>
      </c>
      <c r="D37" s="277"/>
      <c r="E37" s="277"/>
      <c r="F37" s="277"/>
      <c r="G37" s="282" t="s">
        <v>237</v>
      </c>
      <c r="H37" s="282"/>
      <c r="I37" s="282"/>
      <c r="J37" s="282"/>
      <c r="K37" s="282"/>
      <c r="L37" s="282"/>
      <c r="M37" s="18"/>
      <c r="N37" s="277" t="s">
        <v>34</v>
      </c>
      <c r="O37" s="277"/>
      <c r="P37" s="277"/>
      <c r="Q37" s="277"/>
      <c r="R37" s="282" t="s">
        <v>232</v>
      </c>
      <c r="S37" s="282"/>
      <c r="T37" s="282"/>
      <c r="U37" s="282"/>
      <c r="V37" s="282"/>
      <c r="W37" s="282"/>
      <c r="X37" s="282"/>
      <c r="Y37" s="18"/>
    </row>
    <row r="38" spans="1:26">
      <c r="A38" s="18"/>
      <c r="B38" s="22" t="s">
        <v>9</v>
      </c>
      <c r="C38" s="256" t="s">
        <v>422</v>
      </c>
      <c r="D38" s="257"/>
      <c r="E38" s="257"/>
      <c r="F38" s="257"/>
      <c r="G38" s="257"/>
      <c r="H38" s="257"/>
      <c r="I38" s="257"/>
      <c r="J38" s="257"/>
      <c r="K38" s="257"/>
      <c r="M38" s="22" t="s">
        <v>12</v>
      </c>
      <c r="N38" s="256" t="s">
        <v>356</v>
      </c>
      <c r="O38" s="257"/>
      <c r="P38" s="257"/>
      <c r="Q38" s="257"/>
      <c r="R38" s="257"/>
      <c r="S38" s="257"/>
      <c r="T38" s="257"/>
      <c r="U38" s="257"/>
      <c r="V38" s="257"/>
      <c r="W38" s="257"/>
      <c r="X38" s="258"/>
      <c r="Y38" s="18"/>
    </row>
    <row r="39" spans="1:26">
      <c r="A39" s="18"/>
      <c r="B39" s="22" t="s">
        <v>11</v>
      </c>
      <c r="C39" s="256" t="s">
        <v>425</v>
      </c>
      <c r="D39" s="257"/>
      <c r="E39" s="257"/>
      <c r="F39" s="257"/>
      <c r="G39" s="257"/>
      <c r="H39" s="257"/>
      <c r="I39" s="257"/>
      <c r="J39" s="257"/>
      <c r="K39" s="257"/>
      <c r="L39" s="23"/>
      <c r="M39" s="22" t="s">
        <v>10</v>
      </c>
      <c r="N39" s="256" t="s">
        <v>360</v>
      </c>
      <c r="O39" s="257"/>
      <c r="P39" s="257"/>
      <c r="Q39" s="257"/>
      <c r="R39" s="257"/>
      <c r="S39" s="257"/>
      <c r="T39" s="257"/>
      <c r="U39" s="257"/>
      <c r="V39" s="257"/>
      <c r="W39" s="257"/>
      <c r="X39" s="258"/>
      <c r="Y39" s="18"/>
    </row>
    <row r="40" spans="1:26">
      <c r="A40" s="18"/>
      <c r="B40" s="24" t="s">
        <v>13</v>
      </c>
      <c r="C40" s="256" t="s">
        <v>421</v>
      </c>
      <c r="D40" s="257"/>
      <c r="E40" s="257"/>
      <c r="F40" s="257"/>
      <c r="G40" s="257"/>
      <c r="H40" s="257"/>
      <c r="I40" s="257"/>
      <c r="J40" s="257"/>
      <c r="K40" s="257"/>
      <c r="L40" s="25"/>
      <c r="M40" s="24" t="s">
        <v>14</v>
      </c>
      <c r="N40" s="256" t="s">
        <v>355</v>
      </c>
      <c r="O40" s="257"/>
      <c r="P40" s="257"/>
      <c r="Q40" s="257"/>
      <c r="R40" s="257"/>
      <c r="S40" s="257"/>
      <c r="T40" s="257"/>
      <c r="U40" s="257"/>
      <c r="V40" s="257"/>
      <c r="W40" s="257"/>
      <c r="X40" s="258"/>
      <c r="Y40" s="18"/>
    </row>
    <row r="41" spans="1:26">
      <c r="A41" s="18"/>
      <c r="B41" s="24" t="s">
        <v>54</v>
      </c>
      <c r="C41" s="256" t="s">
        <v>423</v>
      </c>
      <c r="D41" s="257"/>
      <c r="E41" s="257"/>
      <c r="F41" s="257"/>
      <c r="G41" s="257"/>
      <c r="H41" s="257"/>
      <c r="I41" s="257"/>
      <c r="J41" s="257"/>
      <c r="K41" s="257"/>
      <c r="L41" s="25"/>
      <c r="M41" s="24" t="s">
        <v>56</v>
      </c>
      <c r="N41" s="256" t="s">
        <v>357</v>
      </c>
      <c r="O41" s="257"/>
      <c r="P41" s="257"/>
      <c r="Q41" s="257"/>
      <c r="R41" s="257"/>
      <c r="S41" s="257"/>
      <c r="T41" s="257"/>
      <c r="U41" s="257"/>
      <c r="V41" s="257"/>
      <c r="W41" s="257"/>
      <c r="X41" s="258"/>
      <c r="Y41" s="18"/>
    </row>
    <row r="42" spans="1:26">
      <c r="A42" s="18"/>
      <c r="B42" s="24" t="s">
        <v>55</v>
      </c>
      <c r="C42" s="256" t="s">
        <v>424</v>
      </c>
      <c r="D42" s="257"/>
      <c r="E42" s="257"/>
      <c r="F42" s="257"/>
      <c r="G42" s="257"/>
      <c r="H42" s="257"/>
      <c r="I42" s="257"/>
      <c r="J42" s="257"/>
      <c r="K42" s="257"/>
      <c r="L42" s="25"/>
      <c r="M42" s="24" t="s">
        <v>57</v>
      </c>
      <c r="N42" s="256" t="s">
        <v>358</v>
      </c>
      <c r="O42" s="257"/>
      <c r="P42" s="257"/>
      <c r="Q42" s="257"/>
      <c r="R42" s="257"/>
      <c r="S42" s="257"/>
      <c r="T42" s="257"/>
      <c r="U42" s="257"/>
      <c r="V42" s="257"/>
      <c r="W42" s="257"/>
      <c r="X42" s="258"/>
      <c r="Y42" s="18"/>
    </row>
    <row r="43" spans="1:26" ht="8.25" customHeight="1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40" t="str">
        <f>VLOOKUP(G37,Koosseisud!A:B,2,FALSE)</f>
        <v>Meeskond7</v>
      </c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40" t="str">
        <f>VLOOKUP(R37,Koosseisud!A:B,2,FALSE)</f>
        <v>Meeskond3</v>
      </c>
      <c r="X43" s="18"/>
      <c r="Y43" s="18"/>
    </row>
    <row r="44" spans="1:26">
      <c r="A44" s="18"/>
      <c r="B44" s="259" t="s">
        <v>35</v>
      </c>
      <c r="C44" s="260"/>
      <c r="D44" s="261"/>
      <c r="E44" s="260" t="s">
        <v>36</v>
      </c>
      <c r="F44" s="260"/>
      <c r="G44" s="261"/>
      <c r="H44" s="260" t="s">
        <v>37</v>
      </c>
      <c r="I44" s="260"/>
      <c r="J44" s="261"/>
      <c r="K44" s="260" t="s">
        <v>38</v>
      </c>
      <c r="L44" s="260"/>
      <c r="M44" s="261"/>
      <c r="N44" s="260" t="s">
        <v>39</v>
      </c>
      <c r="O44" s="260"/>
      <c r="P44" s="261"/>
      <c r="Q44" s="260" t="s">
        <v>40</v>
      </c>
      <c r="R44" s="260"/>
      <c r="S44" s="261"/>
      <c r="T44" s="259" t="s">
        <v>500</v>
      </c>
      <c r="U44" s="262" t="s">
        <v>41</v>
      </c>
      <c r="V44" s="263"/>
      <c r="W44" s="263"/>
      <c r="X44" s="264"/>
      <c r="Y44" s="18"/>
    </row>
    <row r="45" spans="1:26">
      <c r="A45" s="18"/>
      <c r="B45" s="265" t="s">
        <v>42</v>
      </c>
      <c r="C45" s="284"/>
      <c r="D45" s="285"/>
      <c r="E45" s="26"/>
      <c r="F45" s="26"/>
      <c r="G45" s="25"/>
      <c r="H45" s="26"/>
      <c r="I45" s="26"/>
      <c r="J45" s="25"/>
      <c r="K45" s="26"/>
      <c r="L45" s="27"/>
      <c r="M45" s="25"/>
      <c r="N45" s="26"/>
      <c r="O45" s="26"/>
      <c r="P45" s="25"/>
      <c r="Q45" s="26"/>
      <c r="R45" s="26"/>
      <c r="S45" s="25"/>
      <c r="T45" s="265"/>
      <c r="U45" s="263" t="s">
        <v>43</v>
      </c>
      <c r="V45" s="264"/>
      <c r="W45" s="284" t="s">
        <v>44</v>
      </c>
      <c r="X45" s="285"/>
      <c r="Y45" s="18"/>
    </row>
    <row r="46" spans="1:26">
      <c r="A46" s="18"/>
      <c r="B46" s="22">
        <v>1</v>
      </c>
      <c r="C46" s="276" t="s">
        <v>45</v>
      </c>
      <c r="D46" s="272"/>
      <c r="E46" s="253" t="s">
        <v>523</v>
      </c>
      <c r="F46" s="254"/>
      <c r="G46" s="255"/>
      <c r="H46" s="253" t="s">
        <v>522</v>
      </c>
      <c r="I46" s="254"/>
      <c r="J46" s="255"/>
      <c r="K46" s="253" t="s">
        <v>523</v>
      </c>
      <c r="L46" s="254"/>
      <c r="M46" s="255"/>
      <c r="N46" s="253"/>
      <c r="O46" s="254"/>
      <c r="P46" s="255"/>
      <c r="Q46" s="253"/>
      <c r="R46" s="254"/>
      <c r="S46" s="255"/>
      <c r="T46" s="123" t="str">
        <f>IF(ISBLANK(E46)=TRUE,"",VALUE(Y46)&amp;":"&amp;VALUE(Z46))</f>
        <v>0:3</v>
      </c>
      <c r="U46" s="262">
        <f>IF(TYPE(IF(VALUE(LEFT(T46,1))&gt;VALUE(RIGHT(T46,1)),1,0))=1,IF(VALUE(LEFT(T46,1))&gt;VALUE(RIGHT(T46,1)),1,0),"")</f>
        <v>0</v>
      </c>
      <c r="V46" s="264"/>
      <c r="W46" s="262">
        <f>IF(TYPE(IF(VALUE(LEFT(T46,1))&lt;VALUE(RIGHT(T46,1)),1,0))=1,IF(VALUE(LEFT(T46,1))&lt;VALUE(RIGHT(T46,1)),1,0),"")</f>
        <v>1</v>
      </c>
      <c r="X46" s="264"/>
      <c r="Y46">
        <f>IF(ISBLANK(E46)=TRUE,0,IF(VALUE(LEFT(E46,FIND(":",E46)-1))&gt;VALUE(RIGHT(E46,LEN(E46)-FIND(":",E46))),1,0))+IF(ISBLANK(H46)=TRUE,0,IF(VALUE(LEFT(H46,FIND(":",H46)-1))&gt;VALUE(RIGHT(H46,LEN(H46)-FIND(":",H46))),1,0))+IF(ISBLANK(K46)=TRUE,0,IF(VALUE(LEFT(K46,FIND(":",K46)-1))&gt;VALUE(RIGHT(K46,LEN(K46)-FIND(":",K46))),1,0))+IF(ISBLANK(N46)=TRUE,0,IF(VALUE(LEFT(N46,FIND(":",N46)-1))&gt;VALUE(RIGHT(N46,LEN(N46)-FIND(":",N46))),1,0))+IF(ISBLANK(Q46)=TRUE,0,IF(VALUE(LEFT(Q46,FIND(":",Q46)-1))&gt;VALUE(RIGHT(Q46,LEN(Q46)-FIND(":",Q46))),1,0))</f>
        <v>0</v>
      </c>
      <c r="Z46" s="18">
        <f>IF(ISBLANK(E46)=TRUE,0,IF(VALUE(LEFT(E46,FIND(":",E46)-1))&lt;VALUE(RIGHT(E46,LEN(E46)-FIND(":",E46))),1,0))+IF(ISBLANK(H46)=TRUE,0,IF(VALUE(LEFT(H46,FIND(":",H46)-1))&lt;VALUE(RIGHT(H46,LEN(H46)-FIND(":",H46))),1,0))+IF(ISBLANK(K46)=TRUE,0,IF(VALUE(LEFT(K46,FIND(":",K46)-1))&lt;VALUE(RIGHT(K46,LEN(K46)-FIND(":",K46))),1,0))+IF(ISBLANK(N46)=TRUE,0,IF(VALUE(LEFT(N46,FIND(":",N46)-1))&lt;VALUE(RIGHT(N46,LEN(N46)-FIND(":",N46))),1,0))+IF(ISBLANK(Q46)=TRUE,0,IF(VALUE(LEFT(Q46,FIND(":",Q46)-1))&lt;VALUE(RIGHT(Q46,LEN(Q46)-FIND(":",Q46))),1,0))</f>
        <v>3</v>
      </c>
    </row>
    <row r="47" spans="1:26">
      <c r="A47" s="18"/>
      <c r="B47" s="22">
        <v>2</v>
      </c>
      <c r="C47" s="276" t="s">
        <v>46</v>
      </c>
      <c r="D47" s="272"/>
      <c r="E47" s="253" t="s">
        <v>530</v>
      </c>
      <c r="F47" s="254"/>
      <c r="G47" s="255"/>
      <c r="H47" s="253" t="s">
        <v>513</v>
      </c>
      <c r="I47" s="254"/>
      <c r="J47" s="255"/>
      <c r="K47" s="253" t="s">
        <v>523</v>
      </c>
      <c r="L47" s="254"/>
      <c r="M47" s="255"/>
      <c r="N47" s="253" t="s">
        <v>521</v>
      </c>
      <c r="O47" s="254"/>
      <c r="P47" s="255"/>
      <c r="Q47" s="253"/>
      <c r="R47" s="254"/>
      <c r="S47" s="255"/>
      <c r="T47" s="123" t="str">
        <f t="shared" ref="T47:T52" si="5">IF(ISBLANK(E47)=TRUE,"",VALUE(Y47)&amp;":"&amp;VALUE(Z47))</f>
        <v>3:1</v>
      </c>
      <c r="U47" s="262">
        <f t="shared" ref="U47:U52" si="6">IF(TYPE(IF(VALUE(LEFT(T47,1))&gt;VALUE(RIGHT(T47,1)),1,0))=1,IF(VALUE(LEFT(T47,1))&gt;VALUE(RIGHT(T47,1)),1,0),"")</f>
        <v>1</v>
      </c>
      <c r="V47" s="264"/>
      <c r="W47" s="262">
        <f t="shared" ref="W47:W52" si="7">IF(TYPE(IF(VALUE(LEFT(T47,1))&lt;VALUE(RIGHT(T47,1)),1,0))=1,IF(VALUE(LEFT(T47,1))&lt;VALUE(RIGHT(T47,1)),1,0),"")</f>
        <v>0</v>
      </c>
      <c r="X47" s="264"/>
      <c r="Y47">
        <f t="shared" ref="Y47:Y52" si="8">IF(ISBLANK(E47)=TRUE,0,IF(VALUE(LEFT(E47,FIND(":",E47)-1))&gt;VALUE(RIGHT(E47,LEN(E47)-FIND(":",E47))),1,0))+IF(ISBLANK(H47)=TRUE,0,IF(VALUE(LEFT(H47,FIND(":",H47)-1))&gt;VALUE(RIGHT(H47,LEN(H47)-FIND(":",H47))),1,0))+IF(ISBLANK(K47)=TRUE,0,IF(VALUE(LEFT(K47,FIND(":",K47)-1))&gt;VALUE(RIGHT(K47,LEN(K47)-FIND(":",K47))),1,0))+IF(ISBLANK(N47)=TRUE,0,IF(VALUE(LEFT(N47,FIND(":",N47)-1))&gt;VALUE(RIGHT(N47,LEN(N47)-FIND(":",N47))),1,0))+IF(ISBLANK(Q47)=TRUE,0,IF(VALUE(LEFT(Q47,FIND(":",Q47)-1))&gt;VALUE(RIGHT(Q47,LEN(Q47)-FIND(":",Q47))),1,0))</f>
        <v>3</v>
      </c>
      <c r="Z47" s="18">
        <f t="shared" ref="Z47:Z52" si="9">IF(ISBLANK(E47)=TRUE,0,IF(VALUE(LEFT(E47,FIND(":",E47)-1))&lt;VALUE(RIGHT(E47,LEN(E47)-FIND(":",E47))),1,0))+IF(ISBLANK(H47)=TRUE,0,IF(VALUE(LEFT(H47,FIND(":",H47)-1))&lt;VALUE(RIGHT(H47,LEN(H47)-FIND(":",H47))),1,0))+IF(ISBLANK(K47)=TRUE,0,IF(VALUE(LEFT(K47,FIND(":",K47)-1))&lt;VALUE(RIGHT(K47,LEN(K47)-FIND(":",K47))),1,0))+IF(ISBLANK(N47)=TRUE,0,IF(VALUE(LEFT(N47,FIND(":",N47)-1))&lt;VALUE(RIGHT(N47,LEN(N47)-FIND(":",N47))),1,0))+IF(ISBLANK(Q47)=TRUE,0,IF(VALUE(LEFT(Q47,FIND(":",Q47)-1))&lt;VALUE(RIGHT(Q47,LEN(Q47)-FIND(":",Q47))),1,0))</f>
        <v>1</v>
      </c>
    </row>
    <row r="48" spans="1:26">
      <c r="A48" s="18"/>
      <c r="B48" s="22">
        <v>3</v>
      </c>
      <c r="C48" s="276" t="s">
        <v>47</v>
      </c>
      <c r="D48" s="272"/>
      <c r="E48" s="253" t="s">
        <v>503</v>
      </c>
      <c r="F48" s="254"/>
      <c r="G48" s="255"/>
      <c r="H48" s="253" t="s">
        <v>513</v>
      </c>
      <c r="I48" s="254"/>
      <c r="J48" s="255"/>
      <c r="K48" s="253" t="s">
        <v>521</v>
      </c>
      <c r="L48" s="254"/>
      <c r="M48" s="255"/>
      <c r="N48" s="253"/>
      <c r="O48" s="254"/>
      <c r="P48" s="255"/>
      <c r="Q48" s="253"/>
      <c r="R48" s="254"/>
      <c r="S48" s="255"/>
      <c r="T48" s="123" t="str">
        <f t="shared" si="5"/>
        <v>3:0</v>
      </c>
      <c r="U48" s="262">
        <f t="shared" si="6"/>
        <v>1</v>
      </c>
      <c r="V48" s="264"/>
      <c r="W48" s="262">
        <f t="shared" si="7"/>
        <v>0</v>
      </c>
      <c r="X48" s="264"/>
      <c r="Y48">
        <f t="shared" si="8"/>
        <v>3</v>
      </c>
      <c r="Z48" s="18">
        <f t="shared" si="9"/>
        <v>0</v>
      </c>
    </row>
    <row r="49" spans="1:26">
      <c r="A49" s="18"/>
      <c r="B49" s="22">
        <v>4</v>
      </c>
      <c r="C49" s="276" t="s">
        <v>537</v>
      </c>
      <c r="D49" s="272"/>
      <c r="E49" s="253" t="s">
        <v>503</v>
      </c>
      <c r="F49" s="254"/>
      <c r="G49" s="255"/>
      <c r="H49" s="253" t="s">
        <v>501</v>
      </c>
      <c r="I49" s="254"/>
      <c r="J49" s="255"/>
      <c r="K49" s="253" t="s">
        <v>510</v>
      </c>
      <c r="L49" s="254"/>
      <c r="M49" s="255"/>
      <c r="N49" s="253" t="s">
        <v>507</v>
      </c>
      <c r="O49" s="254"/>
      <c r="P49" s="255"/>
      <c r="Q49" s="253" t="s">
        <v>507</v>
      </c>
      <c r="R49" s="254"/>
      <c r="S49" s="255"/>
      <c r="T49" s="123" t="str">
        <f t="shared" si="5"/>
        <v>2:3</v>
      </c>
      <c r="U49" s="262">
        <f t="shared" si="6"/>
        <v>0</v>
      </c>
      <c r="V49" s="264"/>
      <c r="W49" s="262">
        <f t="shared" si="7"/>
        <v>1</v>
      </c>
      <c r="X49" s="264"/>
      <c r="Y49">
        <f t="shared" si="8"/>
        <v>2</v>
      </c>
      <c r="Z49" s="18">
        <f t="shared" si="9"/>
        <v>3</v>
      </c>
    </row>
    <row r="50" spans="1:26">
      <c r="A50" s="18"/>
      <c r="B50" s="24">
        <v>5</v>
      </c>
      <c r="C50" s="271" t="s">
        <v>48</v>
      </c>
      <c r="D50" s="272"/>
      <c r="E50" s="253" t="s">
        <v>503</v>
      </c>
      <c r="F50" s="254"/>
      <c r="G50" s="255"/>
      <c r="H50" s="253" t="s">
        <v>511</v>
      </c>
      <c r="I50" s="254"/>
      <c r="J50" s="255"/>
      <c r="K50" s="253" t="s">
        <v>507</v>
      </c>
      <c r="L50" s="254"/>
      <c r="M50" s="255"/>
      <c r="N50" s="253" t="s">
        <v>523</v>
      </c>
      <c r="O50" s="254"/>
      <c r="P50" s="255"/>
      <c r="Q50" s="253"/>
      <c r="R50" s="254"/>
      <c r="S50" s="255"/>
      <c r="T50" s="123" t="str">
        <f t="shared" si="5"/>
        <v>1:3</v>
      </c>
      <c r="U50" s="262">
        <f t="shared" si="6"/>
        <v>0</v>
      </c>
      <c r="V50" s="264"/>
      <c r="W50" s="262">
        <f t="shared" si="7"/>
        <v>1</v>
      </c>
      <c r="X50" s="264"/>
      <c r="Y50">
        <f t="shared" si="8"/>
        <v>1</v>
      </c>
      <c r="Z50" s="18">
        <f t="shared" si="9"/>
        <v>3</v>
      </c>
    </row>
    <row r="51" spans="1:26">
      <c r="A51" s="18"/>
      <c r="B51" s="24">
        <v>6</v>
      </c>
      <c r="C51" s="271" t="s">
        <v>49</v>
      </c>
      <c r="D51" s="272"/>
      <c r="E51" s="253" t="s">
        <v>503</v>
      </c>
      <c r="F51" s="254"/>
      <c r="G51" s="255"/>
      <c r="H51" s="253" t="s">
        <v>512</v>
      </c>
      <c r="I51" s="254"/>
      <c r="J51" s="255"/>
      <c r="K51" s="253" t="s">
        <v>515</v>
      </c>
      <c r="L51" s="254"/>
      <c r="M51" s="255"/>
      <c r="N51" s="253" t="s">
        <v>523</v>
      </c>
      <c r="O51" s="254"/>
      <c r="P51" s="255"/>
      <c r="Q51" s="253" t="s">
        <v>522</v>
      </c>
      <c r="R51" s="254"/>
      <c r="S51" s="255"/>
      <c r="T51" s="123" t="str">
        <f t="shared" si="5"/>
        <v>2:3</v>
      </c>
      <c r="U51" s="262">
        <f t="shared" si="6"/>
        <v>0</v>
      </c>
      <c r="V51" s="264"/>
      <c r="W51" s="262">
        <f t="shared" si="7"/>
        <v>1</v>
      </c>
      <c r="X51" s="264"/>
      <c r="Y51">
        <f t="shared" si="8"/>
        <v>2</v>
      </c>
      <c r="Z51" s="18">
        <f t="shared" si="9"/>
        <v>3</v>
      </c>
    </row>
    <row r="52" spans="1:26">
      <c r="A52" s="18"/>
      <c r="B52" s="24">
        <v>7</v>
      </c>
      <c r="C52" s="266" t="s">
        <v>50</v>
      </c>
      <c r="D52" s="267"/>
      <c r="E52" s="253"/>
      <c r="F52" s="254"/>
      <c r="G52" s="255"/>
      <c r="H52" s="253"/>
      <c r="I52" s="254"/>
      <c r="J52" s="255"/>
      <c r="K52" s="253"/>
      <c r="L52" s="254"/>
      <c r="M52" s="255"/>
      <c r="N52" s="253"/>
      <c r="O52" s="254"/>
      <c r="P52" s="255"/>
      <c r="Q52" s="253"/>
      <c r="R52" s="254"/>
      <c r="S52" s="255"/>
      <c r="T52" s="123" t="str">
        <f t="shared" si="5"/>
        <v/>
      </c>
      <c r="U52" s="262" t="str">
        <f t="shared" si="6"/>
        <v/>
      </c>
      <c r="V52" s="264"/>
      <c r="W52" s="262" t="str">
        <f t="shared" si="7"/>
        <v/>
      </c>
      <c r="X52" s="264"/>
      <c r="Y52">
        <f t="shared" si="8"/>
        <v>0</v>
      </c>
      <c r="Z52" s="18">
        <f t="shared" si="9"/>
        <v>0</v>
      </c>
    </row>
    <row r="53" spans="1:26">
      <c r="A53" s="18"/>
      <c r="B53" s="18"/>
      <c r="C53" s="18"/>
      <c r="D53" s="18"/>
      <c r="E53" s="268" t="s">
        <v>51</v>
      </c>
      <c r="F53" s="268"/>
      <c r="G53" s="268"/>
      <c r="H53" s="18"/>
      <c r="I53" s="28"/>
      <c r="J53" s="28"/>
      <c r="K53" s="28"/>
      <c r="L53" s="28"/>
      <c r="M53" s="28"/>
      <c r="N53" s="28"/>
      <c r="O53" s="28"/>
      <c r="P53" s="28"/>
      <c r="Q53" s="28"/>
      <c r="R53" s="18"/>
      <c r="S53" s="29"/>
      <c r="T53" s="18"/>
      <c r="U53" s="273">
        <f>IF(ISBLANK(E46)=TRUE,"",SUM(U46:U52))</f>
        <v>2</v>
      </c>
      <c r="V53" s="274"/>
      <c r="W53" s="273">
        <f>IF(ISBLANK(E46)=TRUE,"",SUM(W46:W52))</f>
        <v>4</v>
      </c>
      <c r="X53" s="274"/>
      <c r="Y53" s="18"/>
    </row>
    <row r="54" spans="1:26">
      <c r="A54" s="18"/>
      <c r="B54" s="18"/>
      <c r="C54" s="18"/>
      <c r="D54" s="18"/>
      <c r="E54" s="75"/>
      <c r="F54" s="75"/>
      <c r="G54" s="75"/>
      <c r="H54" s="18"/>
      <c r="I54" s="81"/>
      <c r="J54" s="81"/>
      <c r="K54" s="81"/>
      <c r="L54" s="81"/>
      <c r="M54" s="81"/>
      <c r="N54" s="81"/>
      <c r="O54" s="81"/>
      <c r="P54" s="81"/>
      <c r="Q54" s="81"/>
      <c r="R54" s="18"/>
      <c r="S54" s="18"/>
      <c r="T54" s="18"/>
      <c r="U54" s="81"/>
      <c r="V54" s="81"/>
      <c r="W54" s="81"/>
      <c r="X54" s="30"/>
      <c r="Y54" s="18"/>
    </row>
    <row r="55" spans="1:26">
      <c r="A55" s="18"/>
      <c r="B55" s="269" t="s">
        <v>460</v>
      </c>
      <c r="C55" s="270"/>
      <c r="D55" s="270"/>
      <c r="E55" s="81"/>
      <c r="F55" s="81"/>
      <c r="G55" s="81"/>
      <c r="H55" s="81"/>
      <c r="I55" s="81"/>
      <c r="J55" s="270"/>
      <c r="K55" s="270"/>
      <c r="L55" s="270"/>
      <c r="M55" s="81"/>
      <c r="N55" s="81"/>
      <c r="O55" s="81"/>
      <c r="P55" s="81"/>
      <c r="Q55" s="270"/>
      <c r="R55" s="270"/>
      <c r="S55" s="270"/>
      <c r="T55" s="122"/>
      <c r="U55" s="81"/>
      <c r="V55" s="81"/>
      <c r="W55" s="81"/>
      <c r="X55" s="30"/>
      <c r="Y55" s="18"/>
    </row>
    <row r="56" spans="1:26">
      <c r="A56" s="18"/>
      <c r="B56" s="3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32"/>
      <c r="Y56" s="18"/>
    </row>
    <row r="57" spans="1:26" ht="7.5" customHeight="1">
      <c r="A57" s="18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18"/>
    </row>
    <row r="58" spans="1:26">
      <c r="A58" s="29"/>
      <c r="B58" s="269" t="s">
        <v>52</v>
      </c>
      <c r="C58" s="270"/>
      <c r="D58" s="270"/>
      <c r="E58" s="18"/>
      <c r="F58" s="18"/>
      <c r="G58" s="18"/>
      <c r="H58" s="18"/>
      <c r="I58" s="18"/>
      <c r="J58" s="270" t="s">
        <v>1</v>
      </c>
      <c r="K58" s="270"/>
      <c r="L58" s="270"/>
      <c r="M58" s="18"/>
      <c r="N58" s="18"/>
      <c r="O58" s="18"/>
      <c r="P58" s="18"/>
      <c r="Q58" s="270" t="s">
        <v>53</v>
      </c>
      <c r="R58" s="270"/>
      <c r="S58" s="270"/>
      <c r="T58" s="91"/>
      <c r="U58" s="18"/>
      <c r="V58" s="18"/>
      <c r="W58" s="18"/>
      <c r="X58" s="30"/>
      <c r="Y58" s="18"/>
    </row>
    <row r="59" spans="1:26">
      <c r="A59" s="29"/>
      <c r="B59" s="3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32"/>
      <c r="Y59" s="18"/>
    </row>
    <row r="61" spans="1:26">
      <c r="A61" s="18"/>
      <c r="B61" s="275" t="s">
        <v>26</v>
      </c>
      <c r="C61" s="275"/>
      <c r="D61" s="275"/>
      <c r="E61" s="275"/>
      <c r="F61" s="275"/>
      <c r="G61" s="275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</row>
    <row r="62" spans="1:26" ht="4.5" customHeight="1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</row>
    <row r="63" spans="1:26">
      <c r="A63" s="19"/>
      <c r="B63" s="277" t="str">
        <f>B3</f>
        <v>Eesti meistriliiga</v>
      </c>
      <c r="C63" s="277"/>
      <c r="D63" s="277"/>
      <c r="E63" s="277"/>
      <c r="F63" s="277"/>
      <c r="G63" s="277"/>
      <c r="H63" s="277"/>
      <c r="I63" s="277"/>
      <c r="J63" s="277"/>
      <c r="K63" s="277"/>
      <c r="L63" s="277"/>
      <c r="M63" s="277"/>
      <c r="N63" s="277"/>
      <c r="O63" s="277"/>
      <c r="P63" s="19"/>
      <c r="Q63" s="19" t="s">
        <v>27</v>
      </c>
      <c r="R63" s="19"/>
      <c r="S63" s="278" t="str">
        <f>S3</f>
        <v>Meistriliiga Play-Off</v>
      </c>
      <c r="T63" s="278"/>
      <c r="U63" s="278"/>
      <c r="V63" s="278"/>
      <c r="W63" s="278"/>
      <c r="X63" s="19"/>
      <c r="Y63" s="19"/>
    </row>
    <row r="64" spans="1:26">
      <c r="A64" s="18"/>
      <c r="B64" s="279" t="s">
        <v>28</v>
      </c>
      <c r="C64" s="279"/>
      <c r="D64" s="279"/>
      <c r="E64" s="279"/>
      <c r="F64" s="279"/>
      <c r="G64" s="279"/>
      <c r="H64" s="279"/>
      <c r="I64" s="279"/>
      <c r="J64" s="279"/>
      <c r="K64" s="279"/>
      <c r="L64" s="279"/>
      <c r="M64" s="279"/>
      <c r="N64" s="279"/>
      <c r="O64" s="279"/>
      <c r="P64" s="18"/>
      <c r="Q64" s="18"/>
      <c r="R64" s="18"/>
      <c r="S64" s="18"/>
      <c r="T64" s="18"/>
      <c r="U64" s="18"/>
      <c r="V64" s="18"/>
      <c r="W64" s="18"/>
      <c r="X64" s="18"/>
      <c r="Y64" s="18"/>
    </row>
    <row r="65" spans="1:26">
      <c r="A65" s="19"/>
      <c r="B65" s="19" t="s">
        <v>29</v>
      </c>
      <c r="C65" s="19"/>
      <c r="D65" s="19"/>
      <c r="E65" s="280">
        <f>E5</f>
        <v>45780</v>
      </c>
      <c r="F65" s="278"/>
      <c r="G65" s="278"/>
      <c r="H65" s="278"/>
      <c r="I65" s="278"/>
      <c r="J65" s="19" t="s">
        <v>30</v>
      </c>
      <c r="K65" s="19"/>
      <c r="L65" s="281" t="s">
        <v>622</v>
      </c>
      <c r="M65" s="281"/>
      <c r="N65" s="19" t="s">
        <v>31</v>
      </c>
      <c r="O65" s="19"/>
      <c r="P65" s="19" t="s">
        <v>620</v>
      </c>
      <c r="Q65" s="19"/>
      <c r="R65" s="19"/>
      <c r="S65" s="19" t="s">
        <v>32</v>
      </c>
      <c r="T65" s="19"/>
      <c r="U65" s="19">
        <v>1</v>
      </c>
      <c r="V65" s="20"/>
      <c r="W65" s="19"/>
      <c r="X65" s="19"/>
      <c r="Y65" s="19"/>
    </row>
    <row r="66" spans="1:26" ht="7.5" customHeight="1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</row>
    <row r="67" spans="1:26">
      <c r="A67" s="18"/>
      <c r="B67" s="21"/>
      <c r="C67" s="277" t="s">
        <v>33</v>
      </c>
      <c r="D67" s="277"/>
      <c r="E67" s="277"/>
      <c r="F67" s="277"/>
      <c r="G67" s="282" t="s">
        <v>231</v>
      </c>
      <c r="H67" s="282"/>
      <c r="I67" s="282"/>
      <c r="J67" s="282"/>
      <c r="K67" s="282"/>
      <c r="L67" s="282"/>
      <c r="M67" s="18"/>
      <c r="N67" s="277" t="s">
        <v>34</v>
      </c>
      <c r="O67" s="277"/>
      <c r="P67" s="277"/>
      <c r="Q67" s="277"/>
      <c r="R67" s="282" t="s">
        <v>232</v>
      </c>
      <c r="S67" s="282"/>
      <c r="T67" s="282"/>
      <c r="U67" s="282"/>
      <c r="V67" s="282"/>
      <c r="W67" s="282"/>
      <c r="X67" s="282"/>
      <c r="Y67" s="18"/>
    </row>
    <row r="68" spans="1:26">
      <c r="A68" s="18"/>
      <c r="B68" s="22" t="s">
        <v>9</v>
      </c>
      <c r="C68" s="256" t="s">
        <v>336</v>
      </c>
      <c r="D68" s="257"/>
      <c r="E68" s="257"/>
      <c r="F68" s="257"/>
      <c r="G68" s="257"/>
      <c r="H68" s="257"/>
      <c r="I68" s="257"/>
      <c r="J68" s="257"/>
      <c r="K68" s="257"/>
      <c r="M68" s="22" t="s">
        <v>12</v>
      </c>
      <c r="N68" s="256" t="s">
        <v>355</v>
      </c>
      <c r="O68" s="257"/>
      <c r="P68" s="257"/>
      <c r="Q68" s="257"/>
      <c r="R68" s="257"/>
      <c r="S68" s="257"/>
      <c r="T68" s="257"/>
      <c r="U68" s="257"/>
      <c r="V68" s="257"/>
      <c r="W68" s="257"/>
      <c r="X68" s="39"/>
      <c r="Y68" s="18"/>
    </row>
    <row r="69" spans="1:26">
      <c r="A69" s="18"/>
      <c r="B69" s="22" t="s">
        <v>11</v>
      </c>
      <c r="C69" s="256" t="s">
        <v>338</v>
      </c>
      <c r="D69" s="257"/>
      <c r="E69" s="257"/>
      <c r="F69" s="257"/>
      <c r="G69" s="257"/>
      <c r="H69" s="257"/>
      <c r="I69" s="257"/>
      <c r="J69" s="257"/>
      <c r="K69" s="257"/>
      <c r="L69" s="23"/>
      <c r="M69" s="22" t="s">
        <v>10</v>
      </c>
      <c r="N69" s="256" t="s">
        <v>360</v>
      </c>
      <c r="O69" s="257"/>
      <c r="P69" s="257"/>
      <c r="Q69" s="257"/>
      <c r="R69" s="257"/>
      <c r="S69" s="257"/>
      <c r="T69" s="257"/>
      <c r="U69" s="257"/>
      <c r="V69" s="257"/>
      <c r="W69" s="257"/>
      <c r="X69" s="23"/>
      <c r="Y69" s="18"/>
    </row>
    <row r="70" spans="1:26">
      <c r="A70" s="18"/>
      <c r="B70" s="24" t="s">
        <v>13</v>
      </c>
      <c r="C70" s="256" t="s">
        <v>340</v>
      </c>
      <c r="D70" s="257"/>
      <c r="E70" s="257"/>
      <c r="F70" s="257"/>
      <c r="G70" s="257"/>
      <c r="H70" s="257"/>
      <c r="I70" s="257"/>
      <c r="J70" s="257"/>
      <c r="K70" s="257"/>
      <c r="L70" s="25"/>
      <c r="M70" s="24" t="s">
        <v>14</v>
      </c>
      <c r="N70" s="256" t="s">
        <v>358</v>
      </c>
      <c r="O70" s="257"/>
      <c r="P70" s="257"/>
      <c r="Q70" s="257"/>
      <c r="R70" s="257"/>
      <c r="S70" s="257"/>
      <c r="T70" s="257"/>
      <c r="U70" s="257"/>
      <c r="V70" s="257"/>
      <c r="W70" s="257"/>
      <c r="X70" s="25"/>
      <c r="Y70" s="18"/>
    </row>
    <row r="71" spans="1:26">
      <c r="A71" s="18"/>
      <c r="B71" s="24" t="s">
        <v>54</v>
      </c>
      <c r="C71" s="256"/>
      <c r="D71" s="257"/>
      <c r="E71" s="257"/>
      <c r="F71" s="257"/>
      <c r="G71" s="257"/>
      <c r="H71" s="257"/>
      <c r="I71" s="257"/>
      <c r="J71" s="257"/>
      <c r="K71" s="257"/>
      <c r="L71" s="25"/>
      <c r="M71" s="24" t="s">
        <v>56</v>
      </c>
      <c r="N71" s="256" t="s">
        <v>356</v>
      </c>
      <c r="O71" s="257"/>
      <c r="P71" s="257"/>
      <c r="Q71" s="257"/>
      <c r="R71" s="257"/>
      <c r="S71" s="257"/>
      <c r="T71" s="257"/>
      <c r="U71" s="257"/>
      <c r="V71" s="257"/>
      <c r="W71" s="257"/>
      <c r="X71" s="25"/>
      <c r="Y71" s="18"/>
    </row>
    <row r="72" spans="1:26">
      <c r="A72" s="18"/>
      <c r="B72" s="24" t="s">
        <v>55</v>
      </c>
      <c r="C72" s="256"/>
      <c r="D72" s="257"/>
      <c r="E72" s="257"/>
      <c r="F72" s="257"/>
      <c r="G72" s="257"/>
      <c r="H72" s="257"/>
      <c r="I72" s="257"/>
      <c r="J72" s="257"/>
      <c r="K72" s="257"/>
      <c r="L72" s="25"/>
      <c r="M72" s="24" t="s">
        <v>57</v>
      </c>
      <c r="N72" s="256" t="s">
        <v>357</v>
      </c>
      <c r="O72" s="257"/>
      <c r="P72" s="257"/>
      <c r="Q72" s="257"/>
      <c r="R72" s="257"/>
      <c r="S72" s="257"/>
      <c r="T72" s="257"/>
      <c r="U72" s="257"/>
      <c r="V72" s="257"/>
      <c r="W72" s="257"/>
      <c r="X72" s="25"/>
      <c r="Y72" s="18"/>
    </row>
    <row r="73" spans="1:26" ht="8.25" customHeight="1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40" t="str">
        <f>VLOOKUP(G67,Koosseisud!A:B,2,FALSE)</f>
        <v>Meeskond2</v>
      </c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40" t="str">
        <f>VLOOKUP(R67,Koosseisud!A:B,2,FALSE)</f>
        <v>Meeskond3</v>
      </c>
      <c r="X73" s="18"/>
      <c r="Y73" s="18"/>
    </row>
    <row r="74" spans="1:26">
      <c r="A74" s="18"/>
      <c r="B74" s="259" t="s">
        <v>35</v>
      </c>
      <c r="C74" s="260"/>
      <c r="D74" s="261"/>
      <c r="E74" s="260" t="s">
        <v>36</v>
      </c>
      <c r="F74" s="260"/>
      <c r="G74" s="261"/>
      <c r="H74" s="260" t="s">
        <v>37</v>
      </c>
      <c r="I74" s="260"/>
      <c r="J74" s="261"/>
      <c r="K74" s="260" t="s">
        <v>38</v>
      </c>
      <c r="L74" s="260"/>
      <c r="M74" s="261"/>
      <c r="N74" s="260" t="s">
        <v>39</v>
      </c>
      <c r="O74" s="260"/>
      <c r="P74" s="261"/>
      <c r="Q74" s="260" t="s">
        <v>40</v>
      </c>
      <c r="R74" s="260"/>
      <c r="S74" s="261"/>
      <c r="T74" s="259" t="s">
        <v>500</v>
      </c>
      <c r="U74" s="262" t="s">
        <v>41</v>
      </c>
      <c r="V74" s="263"/>
      <c r="W74" s="263"/>
      <c r="X74" s="264"/>
      <c r="Y74" s="18"/>
    </row>
    <row r="75" spans="1:26">
      <c r="A75" s="18"/>
      <c r="B75" s="265" t="s">
        <v>42</v>
      </c>
      <c r="C75" s="284"/>
      <c r="D75" s="285"/>
      <c r="E75" s="26"/>
      <c r="F75" s="26"/>
      <c r="G75" s="25"/>
      <c r="H75" s="26"/>
      <c r="I75" s="26"/>
      <c r="J75" s="25"/>
      <c r="K75" s="26"/>
      <c r="L75" s="27"/>
      <c r="M75" s="25"/>
      <c r="N75" s="26"/>
      <c r="O75" s="26"/>
      <c r="P75" s="25"/>
      <c r="Q75" s="26"/>
      <c r="R75" s="26"/>
      <c r="S75" s="25"/>
      <c r="T75" s="265"/>
      <c r="U75" s="263" t="s">
        <v>43</v>
      </c>
      <c r="V75" s="264"/>
      <c r="W75" s="284" t="s">
        <v>44</v>
      </c>
      <c r="X75" s="285"/>
      <c r="Y75" s="18"/>
    </row>
    <row r="76" spans="1:26">
      <c r="A76" s="18"/>
      <c r="B76" s="22">
        <v>1</v>
      </c>
      <c r="C76" s="276" t="s">
        <v>45</v>
      </c>
      <c r="D76" s="272"/>
      <c r="E76" s="253" t="s">
        <v>509</v>
      </c>
      <c r="F76" s="254"/>
      <c r="G76" s="255"/>
      <c r="H76" s="253" t="s">
        <v>519</v>
      </c>
      <c r="I76" s="254"/>
      <c r="J76" s="255"/>
      <c r="K76" s="253" t="s">
        <v>510</v>
      </c>
      <c r="L76" s="254"/>
      <c r="M76" s="255"/>
      <c r="N76" s="253"/>
      <c r="O76" s="254"/>
      <c r="P76" s="255"/>
      <c r="Q76" s="253"/>
      <c r="R76" s="254"/>
      <c r="S76" s="255"/>
      <c r="T76" s="123" t="str">
        <f>IF(ISBLANK(E76)=TRUE,"",VALUE(Y76)&amp;":"&amp;VALUE(Z76))</f>
        <v>0:3</v>
      </c>
      <c r="U76" s="262">
        <f>IF(TYPE(IF(VALUE(LEFT(T76,1))&gt;VALUE(RIGHT(T76,1)),1,0))=1,IF(VALUE(LEFT(T76,1))&gt;VALUE(RIGHT(T76,1)),1,0),"")</f>
        <v>0</v>
      </c>
      <c r="V76" s="264"/>
      <c r="W76" s="262">
        <f>IF(TYPE(IF(VALUE(LEFT(T76,1))&lt;VALUE(RIGHT(T76,1)),1,0))=1,IF(VALUE(LEFT(T76,1))&lt;VALUE(RIGHT(T76,1)),1,0),"")</f>
        <v>1</v>
      </c>
      <c r="X76" s="264"/>
      <c r="Y76">
        <f>IF(ISBLANK(E76)=TRUE,0,IF(VALUE(LEFT(E76,FIND(":",E76)-1))&gt;VALUE(RIGHT(E76,LEN(E76)-FIND(":",E76))),1,0))+IF(ISBLANK(H76)=TRUE,0,IF(VALUE(LEFT(H76,FIND(":",H76)-1))&gt;VALUE(RIGHT(H76,LEN(H76)-FIND(":",H76))),1,0))+IF(ISBLANK(K76)=TRUE,0,IF(VALUE(LEFT(K76,FIND(":",K76)-1))&gt;VALUE(RIGHT(K76,LEN(K76)-FIND(":",K76))),1,0))+IF(ISBLANK(N76)=TRUE,0,IF(VALUE(LEFT(N76,FIND(":",N76)-1))&gt;VALUE(RIGHT(N76,LEN(N76)-FIND(":",N76))),1,0))+IF(ISBLANK(Q76)=TRUE,0,IF(VALUE(LEFT(Q76,FIND(":",Q76)-1))&gt;VALUE(RIGHT(Q76,LEN(Q76)-FIND(":",Q76))),1,0))</f>
        <v>0</v>
      </c>
      <c r="Z76" s="18">
        <f>IF(ISBLANK(E76)=TRUE,0,IF(VALUE(LEFT(E76,FIND(":",E76)-1))&lt;VALUE(RIGHT(E76,LEN(E76)-FIND(":",E76))),1,0))+IF(ISBLANK(H76)=TRUE,0,IF(VALUE(LEFT(H76,FIND(":",H76)-1))&lt;VALUE(RIGHT(H76,LEN(H76)-FIND(":",H76))),1,0))+IF(ISBLANK(K76)=TRUE,0,IF(VALUE(LEFT(K76,FIND(":",K76)-1))&lt;VALUE(RIGHT(K76,LEN(K76)-FIND(":",K76))),1,0))+IF(ISBLANK(N76)=TRUE,0,IF(VALUE(LEFT(N76,FIND(":",N76)-1))&lt;VALUE(RIGHT(N76,LEN(N76)-FIND(":",N76))),1,0))+IF(ISBLANK(Q76)=TRUE,0,IF(VALUE(LEFT(Q76,FIND(":",Q76)-1))&lt;VALUE(RIGHT(Q76,LEN(Q76)-FIND(":",Q76))),1,0))</f>
        <v>3</v>
      </c>
    </row>
    <row r="77" spans="1:26">
      <c r="A77" s="18"/>
      <c r="B77" s="22">
        <v>2</v>
      </c>
      <c r="C77" s="276" t="s">
        <v>46</v>
      </c>
      <c r="D77" s="272"/>
      <c r="E77" s="253" t="s">
        <v>522</v>
      </c>
      <c r="F77" s="254"/>
      <c r="G77" s="255"/>
      <c r="H77" s="253" t="s">
        <v>503</v>
      </c>
      <c r="I77" s="254"/>
      <c r="J77" s="255"/>
      <c r="K77" s="253" t="s">
        <v>507</v>
      </c>
      <c r="L77" s="254"/>
      <c r="M77" s="255"/>
      <c r="N77" s="253" t="s">
        <v>515</v>
      </c>
      <c r="O77" s="254"/>
      <c r="P77" s="255"/>
      <c r="Q77" s="253" t="s">
        <v>510</v>
      </c>
      <c r="R77" s="254"/>
      <c r="S77" s="255"/>
      <c r="T77" s="123" t="str">
        <f t="shared" ref="T77:T82" si="10">IF(ISBLANK(E77)=TRUE,"",VALUE(Y77)&amp;":"&amp;VALUE(Z77))</f>
        <v>2:3</v>
      </c>
      <c r="U77" s="262">
        <f t="shared" ref="U77:U82" si="11">IF(TYPE(IF(VALUE(LEFT(T77,1))&gt;VALUE(RIGHT(T77,1)),1,0))=1,IF(VALUE(LEFT(T77,1))&gt;VALUE(RIGHT(T77,1)),1,0),"")</f>
        <v>0</v>
      </c>
      <c r="V77" s="264"/>
      <c r="W77" s="262">
        <f t="shared" ref="W77:W82" si="12">IF(TYPE(IF(VALUE(LEFT(T77,1))&lt;VALUE(RIGHT(T77,1)),1,0))=1,IF(VALUE(LEFT(T77,1))&lt;VALUE(RIGHT(T77,1)),1,0),"")</f>
        <v>1</v>
      </c>
      <c r="X77" s="264"/>
      <c r="Y77">
        <f t="shared" ref="Y77:Y82" si="13">IF(ISBLANK(E77)=TRUE,0,IF(VALUE(LEFT(E77,FIND(":",E77)-1))&gt;VALUE(RIGHT(E77,LEN(E77)-FIND(":",E77))),1,0))+IF(ISBLANK(H77)=TRUE,0,IF(VALUE(LEFT(H77,FIND(":",H77)-1))&gt;VALUE(RIGHT(H77,LEN(H77)-FIND(":",H77))),1,0))+IF(ISBLANK(K77)=TRUE,0,IF(VALUE(LEFT(K77,FIND(":",K77)-1))&gt;VALUE(RIGHT(K77,LEN(K77)-FIND(":",K77))),1,0))+IF(ISBLANK(N77)=TRUE,0,IF(VALUE(LEFT(N77,FIND(":",N77)-1))&gt;VALUE(RIGHT(N77,LEN(N77)-FIND(":",N77))),1,0))+IF(ISBLANK(Q77)=TRUE,0,IF(VALUE(LEFT(Q77,FIND(":",Q77)-1))&gt;VALUE(RIGHT(Q77,LEN(Q77)-FIND(":",Q77))),1,0))</f>
        <v>2</v>
      </c>
      <c r="Z77" s="18">
        <f t="shared" ref="Z77:Z82" si="14">IF(ISBLANK(E77)=TRUE,0,IF(VALUE(LEFT(E77,FIND(":",E77)-1))&lt;VALUE(RIGHT(E77,LEN(E77)-FIND(":",E77))),1,0))+IF(ISBLANK(H77)=TRUE,0,IF(VALUE(LEFT(H77,FIND(":",H77)-1))&lt;VALUE(RIGHT(H77,LEN(H77)-FIND(":",H77))),1,0))+IF(ISBLANK(K77)=TRUE,0,IF(VALUE(LEFT(K77,FIND(":",K77)-1))&lt;VALUE(RIGHT(K77,LEN(K77)-FIND(":",K77))),1,0))+IF(ISBLANK(N77)=TRUE,0,IF(VALUE(LEFT(N77,FIND(":",N77)-1))&lt;VALUE(RIGHT(N77,LEN(N77)-FIND(":",N77))),1,0))+IF(ISBLANK(Q77)=TRUE,0,IF(VALUE(LEFT(Q77,FIND(":",Q77)-1))&lt;VALUE(RIGHT(Q77,LEN(Q77)-FIND(":",Q77))),1,0))</f>
        <v>3</v>
      </c>
    </row>
    <row r="78" spans="1:26">
      <c r="A78" s="18"/>
      <c r="B78" s="22">
        <v>3</v>
      </c>
      <c r="C78" s="276" t="s">
        <v>47</v>
      </c>
      <c r="D78" s="272"/>
      <c r="E78" s="253" t="s">
        <v>516</v>
      </c>
      <c r="F78" s="254"/>
      <c r="G78" s="255"/>
      <c r="H78" s="253" t="s">
        <v>503</v>
      </c>
      <c r="I78" s="254"/>
      <c r="J78" s="255"/>
      <c r="K78" s="253" t="s">
        <v>503</v>
      </c>
      <c r="L78" s="254"/>
      <c r="M78" s="255"/>
      <c r="N78" s="253"/>
      <c r="O78" s="254"/>
      <c r="P78" s="255"/>
      <c r="Q78" s="253"/>
      <c r="R78" s="254"/>
      <c r="S78" s="255"/>
      <c r="T78" s="123" t="str">
        <f t="shared" si="10"/>
        <v>3:0</v>
      </c>
      <c r="U78" s="262">
        <f t="shared" si="11"/>
        <v>1</v>
      </c>
      <c r="V78" s="264"/>
      <c r="W78" s="262">
        <f t="shared" si="12"/>
        <v>0</v>
      </c>
      <c r="X78" s="264"/>
      <c r="Y78">
        <f t="shared" si="13"/>
        <v>3</v>
      </c>
      <c r="Z78" s="18">
        <f t="shared" si="14"/>
        <v>0</v>
      </c>
    </row>
    <row r="79" spans="1:26">
      <c r="A79" s="18"/>
      <c r="B79" s="22">
        <v>4</v>
      </c>
      <c r="C79" s="276" t="s">
        <v>529</v>
      </c>
      <c r="D79" s="272"/>
      <c r="E79" s="253" t="s">
        <v>511</v>
      </c>
      <c r="F79" s="254"/>
      <c r="G79" s="255"/>
      <c r="H79" s="253" t="s">
        <v>522</v>
      </c>
      <c r="I79" s="254"/>
      <c r="J79" s="255"/>
      <c r="K79" s="253" t="s">
        <v>531</v>
      </c>
      <c r="L79" s="254"/>
      <c r="M79" s="255"/>
      <c r="N79" s="253"/>
      <c r="O79" s="254"/>
      <c r="P79" s="255"/>
      <c r="Q79" s="253"/>
      <c r="R79" s="254"/>
      <c r="S79" s="255"/>
      <c r="T79" s="123" t="str">
        <f t="shared" si="10"/>
        <v>0:3</v>
      </c>
      <c r="U79" s="262">
        <f t="shared" si="11"/>
        <v>0</v>
      </c>
      <c r="V79" s="264"/>
      <c r="W79" s="262">
        <f t="shared" si="12"/>
        <v>1</v>
      </c>
      <c r="X79" s="264"/>
      <c r="Y79">
        <f t="shared" si="13"/>
        <v>0</v>
      </c>
      <c r="Z79" s="18">
        <f t="shared" si="14"/>
        <v>3</v>
      </c>
    </row>
    <row r="80" spans="1:26">
      <c r="A80" s="18"/>
      <c r="B80" s="24">
        <v>5</v>
      </c>
      <c r="C80" s="271" t="s">
        <v>48</v>
      </c>
      <c r="D80" s="272"/>
      <c r="E80" s="253" t="s">
        <v>519</v>
      </c>
      <c r="F80" s="254"/>
      <c r="G80" s="255"/>
      <c r="H80" s="253" t="s">
        <v>522</v>
      </c>
      <c r="I80" s="254"/>
      <c r="J80" s="255"/>
      <c r="K80" s="253" t="s">
        <v>511</v>
      </c>
      <c r="L80" s="254"/>
      <c r="M80" s="255"/>
      <c r="N80" s="253"/>
      <c r="O80" s="254"/>
      <c r="P80" s="255"/>
      <c r="Q80" s="253"/>
      <c r="R80" s="254"/>
      <c r="S80" s="255"/>
      <c r="T80" s="123" t="str">
        <f t="shared" si="10"/>
        <v>0:3</v>
      </c>
      <c r="U80" s="262">
        <f t="shared" si="11"/>
        <v>0</v>
      </c>
      <c r="V80" s="264"/>
      <c r="W80" s="262">
        <f t="shared" si="12"/>
        <v>1</v>
      </c>
      <c r="X80" s="264"/>
      <c r="Y80">
        <f t="shared" si="13"/>
        <v>0</v>
      </c>
      <c r="Z80" s="18">
        <f t="shared" si="14"/>
        <v>3</v>
      </c>
    </row>
    <row r="81" spans="1:26">
      <c r="A81" s="18"/>
      <c r="B81" s="24">
        <v>6</v>
      </c>
      <c r="C81" s="271" t="s">
        <v>49</v>
      </c>
      <c r="D81" s="272"/>
      <c r="E81" s="253"/>
      <c r="F81" s="254"/>
      <c r="G81" s="255"/>
      <c r="H81" s="253"/>
      <c r="I81" s="254"/>
      <c r="J81" s="255"/>
      <c r="K81" s="253"/>
      <c r="L81" s="254"/>
      <c r="M81" s="255"/>
      <c r="N81" s="253"/>
      <c r="O81" s="254"/>
      <c r="P81" s="255"/>
      <c r="Q81" s="253"/>
      <c r="R81" s="254"/>
      <c r="S81" s="255"/>
      <c r="T81" s="123" t="str">
        <f t="shared" si="10"/>
        <v/>
      </c>
      <c r="U81" s="262" t="str">
        <f t="shared" si="11"/>
        <v/>
      </c>
      <c r="V81" s="264"/>
      <c r="W81" s="262" t="str">
        <f t="shared" si="12"/>
        <v/>
      </c>
      <c r="X81" s="264"/>
      <c r="Y81">
        <f t="shared" si="13"/>
        <v>0</v>
      </c>
      <c r="Z81" s="18">
        <f t="shared" si="14"/>
        <v>0</v>
      </c>
    </row>
    <row r="82" spans="1:26">
      <c r="A82" s="18"/>
      <c r="B82" s="24">
        <v>7</v>
      </c>
      <c r="C82" s="266" t="s">
        <v>50</v>
      </c>
      <c r="D82" s="267"/>
      <c r="E82" s="253"/>
      <c r="F82" s="254"/>
      <c r="G82" s="255"/>
      <c r="H82" s="253"/>
      <c r="I82" s="254"/>
      <c r="J82" s="255"/>
      <c r="K82" s="253"/>
      <c r="L82" s="254"/>
      <c r="M82" s="255"/>
      <c r="N82" s="253"/>
      <c r="O82" s="254"/>
      <c r="P82" s="255"/>
      <c r="Q82" s="253"/>
      <c r="R82" s="254"/>
      <c r="S82" s="255"/>
      <c r="T82" s="123" t="str">
        <f t="shared" si="10"/>
        <v/>
      </c>
      <c r="U82" s="262" t="str">
        <f t="shared" si="11"/>
        <v/>
      </c>
      <c r="V82" s="264"/>
      <c r="W82" s="262" t="str">
        <f t="shared" si="12"/>
        <v/>
      </c>
      <c r="X82" s="264"/>
      <c r="Y82">
        <f t="shared" si="13"/>
        <v>0</v>
      </c>
      <c r="Z82" s="18">
        <f t="shared" si="14"/>
        <v>0</v>
      </c>
    </row>
    <row r="83" spans="1:26">
      <c r="A83" s="18"/>
      <c r="B83" s="18"/>
      <c r="C83" s="18"/>
      <c r="D83" s="18"/>
      <c r="E83" s="268" t="s">
        <v>51</v>
      </c>
      <c r="F83" s="268"/>
      <c r="G83" s="268"/>
      <c r="H83" s="18"/>
      <c r="I83" s="28"/>
      <c r="J83" s="28"/>
      <c r="K83" s="28"/>
      <c r="L83" s="28"/>
      <c r="M83" s="28"/>
      <c r="N83" s="28"/>
      <c r="O83" s="28"/>
      <c r="P83" s="28"/>
      <c r="Q83" s="28"/>
      <c r="R83" s="18"/>
      <c r="S83" s="29"/>
      <c r="T83" s="18"/>
      <c r="U83" s="273">
        <f>IF(ISBLANK(E76)=TRUE,"",SUM(U76:U82))</f>
        <v>1</v>
      </c>
      <c r="V83" s="274"/>
      <c r="W83" s="273">
        <f>IF(ISBLANK(E76)=TRUE,"",SUM(W76:W82))</f>
        <v>4</v>
      </c>
      <c r="X83" s="274"/>
      <c r="Y83" s="18"/>
    </row>
    <row r="84" spans="1:26">
      <c r="A84" s="18"/>
      <c r="B84" s="18"/>
      <c r="C84" s="18"/>
      <c r="D84" s="18"/>
      <c r="E84" s="80"/>
      <c r="F84" s="80"/>
      <c r="G84" s="80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21"/>
      <c r="V84" s="21"/>
      <c r="W84" s="21"/>
      <c r="X84" s="21"/>
      <c r="Y84" s="18"/>
    </row>
    <row r="85" spans="1:26">
      <c r="A85" s="18"/>
      <c r="B85" s="269" t="s">
        <v>460</v>
      </c>
      <c r="C85" s="270"/>
      <c r="D85" s="270"/>
      <c r="E85" s="81"/>
      <c r="F85" s="81"/>
      <c r="G85" s="81"/>
      <c r="H85" s="81"/>
      <c r="I85" s="81"/>
      <c r="J85" s="270"/>
      <c r="K85" s="270"/>
      <c r="L85" s="270"/>
      <c r="M85" s="81"/>
      <c r="N85" s="81"/>
      <c r="O85" s="81"/>
      <c r="P85" s="81"/>
      <c r="Q85" s="270"/>
      <c r="R85" s="270"/>
      <c r="S85" s="270"/>
      <c r="T85" s="122"/>
      <c r="U85" s="81"/>
      <c r="V85" s="81"/>
      <c r="W85" s="81"/>
      <c r="X85" s="30"/>
      <c r="Y85" s="18"/>
    </row>
    <row r="86" spans="1:26">
      <c r="A86" s="18"/>
      <c r="B86" s="3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32"/>
      <c r="Y86" s="18"/>
    </row>
    <row r="87" spans="1:26" ht="7.5" customHeight="1">
      <c r="A87" s="18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18"/>
    </row>
    <row r="88" spans="1:26">
      <c r="A88" s="29"/>
      <c r="B88" s="269" t="s">
        <v>52</v>
      </c>
      <c r="C88" s="270"/>
      <c r="D88" s="270"/>
      <c r="E88" s="18"/>
      <c r="F88" s="18"/>
      <c r="G88" s="18"/>
      <c r="H88" s="18"/>
      <c r="I88" s="18"/>
      <c r="J88" s="270" t="s">
        <v>1</v>
      </c>
      <c r="K88" s="270"/>
      <c r="L88" s="270"/>
      <c r="M88" s="18"/>
      <c r="N88" s="18"/>
      <c r="O88" s="18"/>
      <c r="P88" s="18"/>
      <c r="Q88" s="270" t="s">
        <v>53</v>
      </c>
      <c r="R88" s="270"/>
      <c r="S88" s="270"/>
      <c r="T88" s="91"/>
      <c r="U88" s="18"/>
      <c r="V88" s="18"/>
      <c r="W88" s="18"/>
      <c r="X88" s="30"/>
      <c r="Y88" s="18"/>
    </row>
    <row r="89" spans="1:26">
      <c r="A89" s="29"/>
      <c r="B89" s="3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32"/>
      <c r="Y89" s="18"/>
    </row>
    <row r="91" spans="1:26">
      <c r="A91" s="18"/>
      <c r="B91" s="275" t="s">
        <v>26</v>
      </c>
      <c r="C91" s="275"/>
      <c r="D91" s="275"/>
      <c r="E91" s="275"/>
      <c r="F91" s="275"/>
      <c r="G91" s="275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</row>
    <row r="92" spans="1:26" ht="4.5" customHeight="1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</row>
    <row r="93" spans="1:26">
      <c r="A93" s="19"/>
      <c r="B93" s="277" t="str">
        <f>B3</f>
        <v>Eesti meistriliiga</v>
      </c>
      <c r="C93" s="277"/>
      <c r="D93" s="277"/>
      <c r="E93" s="277"/>
      <c r="F93" s="277"/>
      <c r="G93" s="277"/>
      <c r="H93" s="277"/>
      <c r="I93" s="277"/>
      <c r="J93" s="277"/>
      <c r="K93" s="277"/>
      <c r="L93" s="277"/>
      <c r="M93" s="277"/>
      <c r="N93" s="277"/>
      <c r="O93" s="277"/>
      <c r="P93" s="19"/>
      <c r="Q93" s="19" t="s">
        <v>27</v>
      </c>
      <c r="R93" s="19"/>
      <c r="S93" s="278" t="str">
        <f>S3</f>
        <v>Meistriliiga Play-Off</v>
      </c>
      <c r="T93" s="278"/>
      <c r="U93" s="278"/>
      <c r="V93" s="278"/>
      <c r="W93" s="278"/>
      <c r="X93" s="19"/>
      <c r="Y93" s="19"/>
    </row>
    <row r="94" spans="1:26">
      <c r="A94" s="18"/>
      <c r="B94" s="279" t="s">
        <v>28</v>
      </c>
      <c r="C94" s="279"/>
      <c r="D94" s="279"/>
      <c r="E94" s="279"/>
      <c r="F94" s="279"/>
      <c r="G94" s="279"/>
      <c r="H94" s="279"/>
      <c r="I94" s="279"/>
      <c r="J94" s="279"/>
      <c r="K94" s="279"/>
      <c r="L94" s="279"/>
      <c r="M94" s="279"/>
      <c r="N94" s="279"/>
      <c r="O94" s="279"/>
      <c r="P94" s="18"/>
      <c r="Q94" s="18"/>
      <c r="R94" s="18"/>
      <c r="S94" s="18"/>
      <c r="T94" s="18"/>
      <c r="U94" s="18"/>
      <c r="V94" s="18"/>
      <c r="W94" s="18"/>
      <c r="X94" s="18"/>
      <c r="Y94" s="18"/>
    </row>
    <row r="95" spans="1:26">
      <c r="A95" s="19"/>
      <c r="B95" s="19" t="s">
        <v>29</v>
      </c>
      <c r="C95" s="19"/>
      <c r="D95" s="19"/>
      <c r="E95" s="280">
        <f>E5</f>
        <v>45780</v>
      </c>
      <c r="F95" s="278"/>
      <c r="G95" s="278"/>
      <c r="H95" s="278"/>
      <c r="I95" s="278"/>
      <c r="J95" s="19" t="s">
        <v>30</v>
      </c>
      <c r="K95" s="19"/>
      <c r="L95" s="281" t="s">
        <v>622</v>
      </c>
      <c r="M95" s="281"/>
      <c r="N95" s="19" t="s">
        <v>31</v>
      </c>
      <c r="O95" s="19"/>
      <c r="P95" s="19" t="s">
        <v>628</v>
      </c>
      <c r="Q95" s="19"/>
      <c r="R95" s="19"/>
      <c r="S95" s="19" t="s">
        <v>32</v>
      </c>
      <c r="T95" s="19"/>
      <c r="U95" s="19">
        <v>2</v>
      </c>
      <c r="V95" s="20"/>
      <c r="W95" s="19"/>
      <c r="X95" s="19"/>
      <c r="Y95" s="19"/>
    </row>
    <row r="96" spans="1:26" ht="7.5" customHeight="1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</row>
    <row r="97" spans="1:26">
      <c r="A97" s="18"/>
      <c r="B97" s="21"/>
      <c r="C97" s="277" t="s">
        <v>33</v>
      </c>
      <c r="D97" s="277"/>
      <c r="E97" s="277"/>
      <c r="F97" s="277"/>
      <c r="G97" s="282" t="s">
        <v>237</v>
      </c>
      <c r="H97" s="282"/>
      <c r="I97" s="282"/>
      <c r="J97" s="282"/>
      <c r="K97" s="282"/>
      <c r="L97" s="282"/>
      <c r="M97" s="18"/>
      <c r="N97" s="277" t="s">
        <v>34</v>
      </c>
      <c r="O97" s="277"/>
      <c r="P97" s="277"/>
      <c r="Q97" s="277"/>
      <c r="R97" s="282" t="s">
        <v>233</v>
      </c>
      <c r="S97" s="282"/>
      <c r="T97" s="282"/>
      <c r="U97" s="282"/>
      <c r="V97" s="282"/>
      <c r="W97" s="282"/>
      <c r="X97" s="282"/>
      <c r="Y97" s="18"/>
    </row>
    <row r="98" spans="1:26">
      <c r="A98" s="18"/>
      <c r="B98" s="22" t="s">
        <v>9</v>
      </c>
      <c r="C98" s="256" t="s">
        <v>425</v>
      </c>
      <c r="D98" s="257"/>
      <c r="E98" s="257"/>
      <c r="F98" s="257"/>
      <c r="G98" s="257"/>
      <c r="H98" s="257"/>
      <c r="I98" s="257"/>
      <c r="J98" s="257"/>
      <c r="K98" s="257"/>
      <c r="M98" s="22" t="s">
        <v>12</v>
      </c>
      <c r="N98" s="256" t="s">
        <v>370</v>
      </c>
      <c r="O98" s="257"/>
      <c r="P98" s="257"/>
      <c r="Q98" s="257"/>
      <c r="R98" s="257"/>
      <c r="S98" s="257"/>
      <c r="T98" s="257"/>
      <c r="U98" s="257"/>
      <c r="V98" s="257"/>
      <c r="W98" s="257"/>
      <c r="X98" s="39"/>
      <c r="Y98" s="18"/>
    </row>
    <row r="99" spans="1:26">
      <c r="A99" s="18"/>
      <c r="B99" s="22" t="s">
        <v>11</v>
      </c>
      <c r="C99" s="256" t="s">
        <v>421</v>
      </c>
      <c r="D99" s="257"/>
      <c r="E99" s="257"/>
      <c r="F99" s="257"/>
      <c r="G99" s="257"/>
      <c r="H99" s="257"/>
      <c r="I99" s="257"/>
      <c r="J99" s="257"/>
      <c r="K99" s="257"/>
      <c r="L99" s="23"/>
      <c r="M99" s="22" t="s">
        <v>10</v>
      </c>
      <c r="N99" s="256" t="s">
        <v>373</v>
      </c>
      <c r="O99" s="257"/>
      <c r="P99" s="257"/>
      <c r="Q99" s="257"/>
      <c r="R99" s="257"/>
      <c r="S99" s="257"/>
      <c r="T99" s="257"/>
      <c r="U99" s="257"/>
      <c r="V99" s="257"/>
      <c r="W99" s="257"/>
      <c r="X99" s="23"/>
      <c r="Y99" s="18"/>
    </row>
    <row r="100" spans="1:26">
      <c r="A100" s="18"/>
      <c r="B100" s="24" t="s">
        <v>13</v>
      </c>
      <c r="C100" s="256" t="s">
        <v>422</v>
      </c>
      <c r="D100" s="257"/>
      <c r="E100" s="257"/>
      <c r="F100" s="257"/>
      <c r="G100" s="257"/>
      <c r="H100" s="257"/>
      <c r="I100" s="257"/>
      <c r="J100" s="257"/>
      <c r="K100" s="257"/>
      <c r="L100" s="25"/>
      <c r="M100" s="24" t="s">
        <v>14</v>
      </c>
      <c r="N100" s="256" t="s">
        <v>374</v>
      </c>
      <c r="O100" s="257"/>
      <c r="P100" s="257"/>
      <c r="Q100" s="257"/>
      <c r="R100" s="257"/>
      <c r="S100" s="257"/>
      <c r="T100" s="257"/>
      <c r="U100" s="257"/>
      <c r="V100" s="257"/>
      <c r="W100" s="257"/>
      <c r="X100" s="25"/>
      <c r="Y100" s="18"/>
    </row>
    <row r="101" spans="1:26">
      <c r="A101" s="18"/>
      <c r="B101" s="24" t="s">
        <v>54</v>
      </c>
      <c r="C101" s="256" t="s">
        <v>423</v>
      </c>
      <c r="D101" s="257"/>
      <c r="E101" s="257"/>
      <c r="F101" s="257"/>
      <c r="G101" s="257"/>
      <c r="H101" s="257"/>
      <c r="I101" s="257"/>
      <c r="J101" s="257"/>
      <c r="K101" s="257"/>
      <c r="L101" s="25"/>
      <c r="M101" s="24" t="s">
        <v>56</v>
      </c>
      <c r="N101" s="256"/>
      <c r="O101" s="257"/>
      <c r="P101" s="257"/>
      <c r="Q101" s="257"/>
      <c r="R101" s="257"/>
      <c r="S101" s="257"/>
      <c r="T101" s="257"/>
      <c r="U101" s="257"/>
      <c r="V101" s="257"/>
      <c r="W101" s="257"/>
      <c r="X101" s="25"/>
      <c r="Y101" s="18"/>
    </row>
    <row r="102" spans="1:26">
      <c r="A102" s="18"/>
      <c r="B102" s="24" t="s">
        <v>55</v>
      </c>
      <c r="C102" s="256" t="s">
        <v>424</v>
      </c>
      <c r="D102" s="257"/>
      <c r="E102" s="257"/>
      <c r="F102" s="257"/>
      <c r="G102" s="257"/>
      <c r="H102" s="257"/>
      <c r="I102" s="257"/>
      <c r="J102" s="257"/>
      <c r="K102" s="257"/>
      <c r="L102" s="25"/>
      <c r="M102" s="24" t="s">
        <v>57</v>
      </c>
      <c r="N102" s="256"/>
      <c r="O102" s="257"/>
      <c r="P102" s="257"/>
      <c r="Q102" s="257"/>
      <c r="R102" s="257"/>
      <c r="S102" s="257"/>
      <c r="T102" s="257"/>
      <c r="U102" s="257"/>
      <c r="V102" s="257"/>
      <c r="W102" s="257"/>
      <c r="X102" s="25"/>
      <c r="Y102" s="18"/>
    </row>
    <row r="103" spans="1:26" ht="8.25" customHeight="1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40" t="str">
        <f>VLOOKUP(G97,Koosseisud!A:B,2,FALSE)</f>
        <v>Meeskond7</v>
      </c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40" t="str">
        <f>VLOOKUP(R97,Koosseisud!A:B,2,FALSE)</f>
        <v>Meeskond4</v>
      </c>
      <c r="X103" s="18"/>
      <c r="Y103" s="18"/>
    </row>
    <row r="104" spans="1:26">
      <c r="A104" s="18"/>
      <c r="B104" s="259" t="s">
        <v>35</v>
      </c>
      <c r="C104" s="260"/>
      <c r="D104" s="261"/>
      <c r="E104" s="260" t="s">
        <v>36</v>
      </c>
      <c r="F104" s="260"/>
      <c r="G104" s="261"/>
      <c r="H104" s="260" t="s">
        <v>37</v>
      </c>
      <c r="I104" s="260"/>
      <c r="J104" s="261"/>
      <c r="K104" s="260" t="s">
        <v>38</v>
      </c>
      <c r="L104" s="260"/>
      <c r="M104" s="261"/>
      <c r="N104" s="260" t="s">
        <v>39</v>
      </c>
      <c r="O104" s="260"/>
      <c r="P104" s="261"/>
      <c r="Q104" s="260" t="s">
        <v>40</v>
      </c>
      <c r="R104" s="260"/>
      <c r="S104" s="261"/>
      <c r="T104" s="259" t="s">
        <v>500</v>
      </c>
      <c r="U104" s="262" t="s">
        <v>41</v>
      </c>
      <c r="V104" s="263"/>
      <c r="W104" s="263"/>
      <c r="X104" s="264"/>
      <c r="Y104" s="18"/>
    </row>
    <row r="105" spans="1:26">
      <c r="A105" s="18"/>
      <c r="B105" s="265" t="s">
        <v>42</v>
      </c>
      <c r="C105" s="284"/>
      <c r="D105" s="285"/>
      <c r="E105" s="26"/>
      <c r="F105" s="26"/>
      <c r="G105" s="25"/>
      <c r="H105" s="26"/>
      <c r="I105" s="26"/>
      <c r="J105" s="25"/>
      <c r="K105" s="26"/>
      <c r="L105" s="27"/>
      <c r="M105" s="25"/>
      <c r="N105" s="26"/>
      <c r="O105" s="26"/>
      <c r="P105" s="25"/>
      <c r="Q105" s="26"/>
      <c r="R105" s="26"/>
      <c r="S105" s="25"/>
      <c r="T105" s="265"/>
      <c r="U105" s="263" t="s">
        <v>43</v>
      </c>
      <c r="V105" s="264"/>
      <c r="W105" s="284" t="s">
        <v>44</v>
      </c>
      <c r="X105" s="285"/>
      <c r="Y105" s="18"/>
    </row>
    <row r="106" spans="1:26">
      <c r="A106" s="18"/>
      <c r="B106" s="22">
        <v>1</v>
      </c>
      <c r="C106" s="276" t="s">
        <v>45</v>
      </c>
      <c r="D106" s="272"/>
      <c r="E106" s="253" t="s">
        <v>522</v>
      </c>
      <c r="F106" s="254"/>
      <c r="G106" s="255"/>
      <c r="H106" s="253" t="s">
        <v>503</v>
      </c>
      <c r="I106" s="254"/>
      <c r="J106" s="255"/>
      <c r="K106" s="253" t="s">
        <v>510</v>
      </c>
      <c r="L106" s="254"/>
      <c r="M106" s="255"/>
      <c r="N106" s="253" t="s">
        <v>513</v>
      </c>
      <c r="O106" s="254"/>
      <c r="P106" s="255"/>
      <c r="Q106" s="253" t="s">
        <v>501</v>
      </c>
      <c r="R106" s="254"/>
      <c r="S106" s="255"/>
      <c r="T106" s="123" t="str">
        <f>IF(ISBLANK(E106)=TRUE,"",VALUE(Y106)&amp;":"&amp;VALUE(Z106))</f>
        <v>3:2</v>
      </c>
      <c r="U106" s="262">
        <f>IF(TYPE(IF(VALUE(LEFT(T106,1))&gt;VALUE(RIGHT(T106,1)),1,0))=1,IF(VALUE(LEFT(T106,1))&gt;VALUE(RIGHT(T106,1)),1,0),"")</f>
        <v>1</v>
      </c>
      <c r="V106" s="264"/>
      <c r="W106" s="262">
        <f>IF(TYPE(IF(VALUE(LEFT(T106,1))&lt;VALUE(RIGHT(T106,1)),1,0))=1,IF(VALUE(LEFT(T106,1))&lt;VALUE(RIGHT(T106,1)),1,0),"")</f>
        <v>0</v>
      </c>
      <c r="X106" s="264"/>
      <c r="Y106">
        <f>IF(ISBLANK(E106)=TRUE,0,IF(VALUE(LEFT(E106,FIND(":",E106)-1))&gt;VALUE(RIGHT(E106,LEN(E106)-FIND(":",E106))),1,0))+IF(ISBLANK(H106)=TRUE,0,IF(VALUE(LEFT(H106,FIND(":",H106)-1))&gt;VALUE(RIGHT(H106,LEN(H106)-FIND(":",H106))),1,0))+IF(ISBLANK(K106)=TRUE,0,IF(VALUE(LEFT(K106,FIND(":",K106)-1))&gt;VALUE(RIGHT(K106,LEN(K106)-FIND(":",K106))),1,0))+IF(ISBLANK(N106)=TRUE,0,IF(VALUE(LEFT(N106,FIND(":",N106)-1))&gt;VALUE(RIGHT(N106,LEN(N106)-FIND(":",N106))),1,0))+IF(ISBLANK(Q106)=TRUE,0,IF(VALUE(LEFT(Q106,FIND(":",Q106)-1))&gt;VALUE(RIGHT(Q106,LEN(Q106)-FIND(":",Q106))),1,0))</f>
        <v>3</v>
      </c>
      <c r="Z106" s="18">
        <f>IF(ISBLANK(E106)=TRUE,0,IF(VALUE(LEFT(E106,FIND(":",E106)-1))&lt;VALUE(RIGHT(E106,LEN(E106)-FIND(":",E106))),1,0))+IF(ISBLANK(H106)=TRUE,0,IF(VALUE(LEFT(H106,FIND(":",H106)-1))&lt;VALUE(RIGHT(H106,LEN(H106)-FIND(":",H106))),1,0))+IF(ISBLANK(K106)=TRUE,0,IF(VALUE(LEFT(K106,FIND(":",K106)-1))&lt;VALUE(RIGHT(K106,LEN(K106)-FIND(":",K106))),1,0))+IF(ISBLANK(N106)=TRUE,0,IF(VALUE(LEFT(N106,FIND(":",N106)-1))&lt;VALUE(RIGHT(N106,LEN(N106)-FIND(":",N106))),1,0))+IF(ISBLANK(Q106)=TRUE,0,IF(VALUE(LEFT(Q106,FIND(":",Q106)-1))&lt;VALUE(RIGHT(Q106,LEN(Q106)-FIND(":",Q106))),1,0))</f>
        <v>2</v>
      </c>
    </row>
    <row r="107" spans="1:26">
      <c r="A107" s="18"/>
      <c r="B107" s="22">
        <v>2</v>
      </c>
      <c r="C107" s="276" t="s">
        <v>46</v>
      </c>
      <c r="D107" s="272"/>
      <c r="E107" s="253" t="s">
        <v>512</v>
      </c>
      <c r="F107" s="254"/>
      <c r="G107" s="255"/>
      <c r="H107" s="253" t="s">
        <v>523</v>
      </c>
      <c r="I107" s="254"/>
      <c r="J107" s="255"/>
      <c r="K107" s="253" t="s">
        <v>513</v>
      </c>
      <c r="L107" s="254"/>
      <c r="M107" s="255"/>
      <c r="N107" s="253" t="s">
        <v>503</v>
      </c>
      <c r="O107" s="254"/>
      <c r="P107" s="255"/>
      <c r="Q107" s="253" t="s">
        <v>503</v>
      </c>
      <c r="R107" s="254"/>
      <c r="S107" s="255"/>
      <c r="T107" s="123" t="str">
        <f t="shared" ref="T107:T112" si="15">IF(ISBLANK(E107)=TRUE,"",VALUE(Y107)&amp;":"&amp;VALUE(Z107))</f>
        <v>3:2</v>
      </c>
      <c r="U107" s="262">
        <f t="shared" ref="U107:U112" si="16">IF(TYPE(IF(VALUE(LEFT(T107,1))&gt;VALUE(RIGHT(T107,1)),1,0))=1,IF(VALUE(LEFT(T107,1))&gt;VALUE(RIGHT(T107,1)),1,0),"")</f>
        <v>1</v>
      </c>
      <c r="V107" s="264"/>
      <c r="W107" s="262">
        <f t="shared" ref="W107:W112" si="17">IF(TYPE(IF(VALUE(LEFT(T107,1))&lt;VALUE(RIGHT(T107,1)),1,0))=1,IF(VALUE(LEFT(T107,1))&lt;VALUE(RIGHT(T107,1)),1,0),"")</f>
        <v>0</v>
      </c>
      <c r="X107" s="264"/>
      <c r="Y107">
        <f t="shared" ref="Y107:Y112" si="18">IF(ISBLANK(E107)=TRUE,0,IF(VALUE(LEFT(E107,FIND(":",E107)-1))&gt;VALUE(RIGHT(E107,LEN(E107)-FIND(":",E107))),1,0))+IF(ISBLANK(H107)=TRUE,0,IF(VALUE(LEFT(H107,FIND(":",H107)-1))&gt;VALUE(RIGHT(H107,LEN(H107)-FIND(":",H107))),1,0))+IF(ISBLANK(K107)=TRUE,0,IF(VALUE(LEFT(K107,FIND(":",K107)-1))&gt;VALUE(RIGHT(K107,LEN(K107)-FIND(":",K107))),1,0))+IF(ISBLANK(N107)=TRUE,0,IF(VALUE(LEFT(N107,FIND(":",N107)-1))&gt;VALUE(RIGHT(N107,LEN(N107)-FIND(":",N107))),1,0))+IF(ISBLANK(Q107)=TRUE,0,IF(VALUE(LEFT(Q107,FIND(":",Q107)-1))&gt;VALUE(RIGHT(Q107,LEN(Q107)-FIND(":",Q107))),1,0))</f>
        <v>3</v>
      </c>
      <c r="Z107" s="18">
        <f t="shared" ref="Z107:Z112" si="19">IF(ISBLANK(E107)=TRUE,0,IF(VALUE(LEFT(E107,FIND(":",E107)-1))&lt;VALUE(RIGHT(E107,LEN(E107)-FIND(":",E107))),1,0))+IF(ISBLANK(H107)=TRUE,0,IF(VALUE(LEFT(H107,FIND(":",H107)-1))&lt;VALUE(RIGHT(H107,LEN(H107)-FIND(":",H107))),1,0))+IF(ISBLANK(K107)=TRUE,0,IF(VALUE(LEFT(K107,FIND(":",K107)-1))&lt;VALUE(RIGHT(K107,LEN(K107)-FIND(":",K107))),1,0))+IF(ISBLANK(N107)=TRUE,0,IF(VALUE(LEFT(N107,FIND(":",N107)-1))&lt;VALUE(RIGHT(N107,LEN(N107)-FIND(":",N107))),1,0))+IF(ISBLANK(Q107)=TRUE,0,IF(VALUE(LEFT(Q107,FIND(":",Q107)-1))&lt;VALUE(RIGHT(Q107,LEN(Q107)-FIND(":",Q107))),1,0))</f>
        <v>2</v>
      </c>
    </row>
    <row r="108" spans="1:26">
      <c r="A108" s="18"/>
      <c r="B108" s="22">
        <v>3</v>
      </c>
      <c r="C108" s="276" t="s">
        <v>47</v>
      </c>
      <c r="D108" s="272"/>
      <c r="E108" s="253" t="s">
        <v>507</v>
      </c>
      <c r="F108" s="254"/>
      <c r="G108" s="255"/>
      <c r="H108" s="253" t="s">
        <v>521</v>
      </c>
      <c r="I108" s="254"/>
      <c r="J108" s="255"/>
      <c r="K108" s="253" t="s">
        <v>522</v>
      </c>
      <c r="L108" s="254"/>
      <c r="M108" s="255"/>
      <c r="N108" s="253" t="s">
        <v>503</v>
      </c>
      <c r="O108" s="254"/>
      <c r="P108" s="255"/>
      <c r="Q108" s="253" t="s">
        <v>512</v>
      </c>
      <c r="R108" s="254"/>
      <c r="S108" s="255"/>
      <c r="T108" s="123" t="str">
        <f t="shared" si="15"/>
        <v>2:3</v>
      </c>
      <c r="U108" s="262">
        <f t="shared" si="16"/>
        <v>0</v>
      </c>
      <c r="V108" s="264"/>
      <c r="W108" s="262">
        <f t="shared" si="17"/>
        <v>1</v>
      </c>
      <c r="X108" s="264"/>
      <c r="Y108">
        <f t="shared" si="18"/>
        <v>2</v>
      </c>
      <c r="Z108" s="18">
        <f t="shared" si="19"/>
        <v>3</v>
      </c>
    </row>
    <row r="109" spans="1:26">
      <c r="A109" s="18"/>
      <c r="B109" s="22">
        <v>4</v>
      </c>
      <c r="C109" s="276" t="s">
        <v>535</v>
      </c>
      <c r="D109" s="272"/>
      <c r="E109" s="253" t="s">
        <v>501</v>
      </c>
      <c r="F109" s="254"/>
      <c r="G109" s="255"/>
      <c r="H109" s="253" t="s">
        <v>528</v>
      </c>
      <c r="I109" s="254"/>
      <c r="J109" s="255"/>
      <c r="K109" s="253" t="s">
        <v>515</v>
      </c>
      <c r="L109" s="254"/>
      <c r="M109" s="255"/>
      <c r="N109" s="253"/>
      <c r="O109" s="254"/>
      <c r="P109" s="255"/>
      <c r="Q109" s="253"/>
      <c r="R109" s="254"/>
      <c r="S109" s="255"/>
      <c r="T109" s="123" t="str">
        <f t="shared" si="15"/>
        <v>3:0</v>
      </c>
      <c r="U109" s="262">
        <f t="shared" si="16"/>
        <v>1</v>
      </c>
      <c r="V109" s="264"/>
      <c r="W109" s="262">
        <f t="shared" si="17"/>
        <v>0</v>
      </c>
      <c r="X109" s="264"/>
      <c r="Y109">
        <f t="shared" si="18"/>
        <v>3</v>
      </c>
      <c r="Z109" s="18">
        <f t="shared" si="19"/>
        <v>0</v>
      </c>
    </row>
    <row r="110" spans="1:26">
      <c r="A110" s="18"/>
      <c r="B110" s="24">
        <v>5</v>
      </c>
      <c r="C110" s="271" t="s">
        <v>48</v>
      </c>
      <c r="D110" s="272"/>
      <c r="E110" s="253" t="s">
        <v>516</v>
      </c>
      <c r="F110" s="254"/>
      <c r="G110" s="255"/>
      <c r="H110" s="253" t="s">
        <v>522</v>
      </c>
      <c r="I110" s="254"/>
      <c r="J110" s="255"/>
      <c r="K110" s="253" t="s">
        <v>523</v>
      </c>
      <c r="L110" s="254"/>
      <c r="M110" s="255"/>
      <c r="N110" s="253" t="s">
        <v>522</v>
      </c>
      <c r="O110" s="254"/>
      <c r="P110" s="255"/>
      <c r="Q110" s="253"/>
      <c r="R110" s="254"/>
      <c r="S110" s="255"/>
      <c r="T110" s="123" t="str">
        <f t="shared" si="15"/>
        <v>1:3</v>
      </c>
      <c r="U110" s="262">
        <f t="shared" si="16"/>
        <v>0</v>
      </c>
      <c r="V110" s="264"/>
      <c r="W110" s="262">
        <f t="shared" si="17"/>
        <v>1</v>
      </c>
      <c r="X110" s="264"/>
      <c r="Y110">
        <f t="shared" si="18"/>
        <v>1</v>
      </c>
      <c r="Z110" s="18">
        <f t="shared" si="19"/>
        <v>3</v>
      </c>
    </row>
    <row r="111" spans="1:26">
      <c r="A111" s="18"/>
      <c r="B111" s="24">
        <v>6</v>
      </c>
      <c r="C111" s="271" t="s">
        <v>49</v>
      </c>
      <c r="D111" s="272"/>
      <c r="E111" s="253" t="s">
        <v>530</v>
      </c>
      <c r="F111" s="254"/>
      <c r="G111" s="255"/>
      <c r="H111" s="253" t="s">
        <v>524</v>
      </c>
      <c r="I111" s="254"/>
      <c r="J111" s="255"/>
      <c r="K111" s="253" t="s">
        <v>507</v>
      </c>
      <c r="L111" s="254"/>
      <c r="M111" s="255"/>
      <c r="N111" s="253" t="s">
        <v>522</v>
      </c>
      <c r="O111" s="254"/>
      <c r="P111" s="255"/>
      <c r="Q111" s="253"/>
      <c r="R111" s="254"/>
      <c r="S111" s="255"/>
      <c r="T111" s="123" t="str">
        <f t="shared" si="15"/>
        <v>1:3</v>
      </c>
      <c r="U111" s="262">
        <f t="shared" si="16"/>
        <v>0</v>
      </c>
      <c r="V111" s="264"/>
      <c r="W111" s="262">
        <f t="shared" si="17"/>
        <v>1</v>
      </c>
      <c r="X111" s="264"/>
      <c r="Y111">
        <f t="shared" si="18"/>
        <v>1</v>
      </c>
      <c r="Z111" s="18">
        <f t="shared" si="19"/>
        <v>3</v>
      </c>
    </row>
    <row r="112" spans="1:26">
      <c r="A112" s="18"/>
      <c r="B112" s="24">
        <v>7</v>
      </c>
      <c r="C112" s="266" t="s">
        <v>50</v>
      </c>
      <c r="D112" s="267"/>
      <c r="E112" s="253" t="s">
        <v>504</v>
      </c>
      <c r="F112" s="254"/>
      <c r="G112" s="255"/>
      <c r="H112" s="253" t="s">
        <v>513</v>
      </c>
      <c r="I112" s="254"/>
      <c r="J112" s="255"/>
      <c r="K112" s="253" t="s">
        <v>503</v>
      </c>
      <c r="L112" s="254"/>
      <c r="M112" s="255"/>
      <c r="N112" s="253"/>
      <c r="O112" s="254"/>
      <c r="P112" s="255"/>
      <c r="Q112" s="253"/>
      <c r="R112" s="254"/>
      <c r="S112" s="255"/>
      <c r="T112" s="123" t="str">
        <f t="shared" si="15"/>
        <v>3:0</v>
      </c>
      <c r="U112" s="262">
        <f t="shared" si="16"/>
        <v>1</v>
      </c>
      <c r="V112" s="264"/>
      <c r="W112" s="262">
        <f t="shared" si="17"/>
        <v>0</v>
      </c>
      <c r="X112" s="264"/>
      <c r="Y112">
        <f t="shared" si="18"/>
        <v>3</v>
      </c>
      <c r="Z112" s="18">
        <f t="shared" si="19"/>
        <v>0</v>
      </c>
    </row>
    <row r="113" spans="1:25">
      <c r="A113" s="18"/>
      <c r="B113" s="18"/>
      <c r="C113" s="18"/>
      <c r="D113" s="18"/>
      <c r="E113" s="268" t="s">
        <v>51</v>
      </c>
      <c r="F113" s="268"/>
      <c r="G113" s="268"/>
      <c r="H113" s="18"/>
      <c r="I113" s="28"/>
      <c r="J113" s="28"/>
      <c r="K113" s="28"/>
      <c r="L113" s="28"/>
      <c r="M113" s="28"/>
      <c r="N113" s="28"/>
      <c r="O113" s="28"/>
      <c r="P113" s="28"/>
      <c r="Q113" s="28"/>
      <c r="R113" s="18"/>
      <c r="S113" s="29"/>
      <c r="T113" s="18"/>
      <c r="U113" s="273">
        <f>IF(ISBLANK(E106)=TRUE,"",SUM(U106:U112))</f>
        <v>4</v>
      </c>
      <c r="V113" s="274"/>
      <c r="W113" s="273">
        <f>IF(ISBLANK(E106)=TRUE,"",SUM(W106:W112))</f>
        <v>3</v>
      </c>
      <c r="X113" s="274"/>
      <c r="Y113" s="18"/>
    </row>
    <row r="114" spans="1:25">
      <c r="A114" s="18"/>
      <c r="B114" s="18"/>
      <c r="C114" s="18"/>
      <c r="D114" s="18"/>
      <c r="E114" s="80"/>
      <c r="F114" s="80"/>
      <c r="G114" s="80"/>
      <c r="H114" s="18"/>
      <c r="I114" s="18"/>
      <c r="J114" s="81"/>
      <c r="K114" s="81"/>
      <c r="L114" s="81"/>
      <c r="M114" s="18"/>
      <c r="N114" s="18"/>
      <c r="O114" s="18"/>
      <c r="P114" s="18"/>
      <c r="Q114" s="81"/>
      <c r="R114" s="18"/>
      <c r="S114" s="18"/>
      <c r="T114" s="18"/>
      <c r="U114" s="18"/>
      <c r="V114" s="18"/>
      <c r="W114" s="18"/>
      <c r="X114" s="30"/>
      <c r="Y114" s="18"/>
    </row>
    <row r="115" spans="1:25">
      <c r="A115" s="18"/>
      <c r="B115" s="269" t="s">
        <v>460</v>
      </c>
      <c r="C115" s="270"/>
      <c r="D115" s="270"/>
      <c r="E115" s="81"/>
      <c r="F115" s="81"/>
      <c r="G115" s="81"/>
      <c r="H115" s="81"/>
      <c r="I115" s="81"/>
      <c r="J115" s="270"/>
      <c r="K115" s="270"/>
      <c r="L115" s="270"/>
      <c r="M115" s="81"/>
      <c r="N115" s="81"/>
      <c r="O115" s="81"/>
      <c r="P115" s="81"/>
      <c r="Q115" s="270"/>
      <c r="R115" s="270"/>
      <c r="S115" s="270"/>
      <c r="T115" s="122"/>
      <c r="U115" s="81"/>
      <c r="V115" s="81"/>
      <c r="W115" s="81"/>
      <c r="X115" s="30"/>
      <c r="Y115" s="18"/>
    </row>
    <row r="116" spans="1:25">
      <c r="A116" s="18"/>
      <c r="B116" s="3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32"/>
      <c r="Y116" s="18"/>
    </row>
    <row r="117" spans="1:25" ht="7.5" customHeight="1">
      <c r="A117" s="18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18"/>
    </row>
    <row r="118" spans="1:25">
      <c r="A118" s="29"/>
      <c r="B118" s="269" t="s">
        <v>52</v>
      </c>
      <c r="C118" s="270"/>
      <c r="D118" s="270"/>
      <c r="E118" s="18"/>
      <c r="F118" s="18"/>
      <c r="G118" s="18"/>
      <c r="H118" s="18"/>
      <c r="I118" s="18"/>
      <c r="J118" s="270" t="s">
        <v>1</v>
      </c>
      <c r="K118" s="270"/>
      <c r="L118" s="270"/>
      <c r="M118" s="18"/>
      <c r="N118" s="18"/>
      <c r="O118" s="18"/>
      <c r="P118" s="18"/>
      <c r="Q118" s="270" t="s">
        <v>53</v>
      </c>
      <c r="R118" s="270"/>
      <c r="S118" s="270"/>
      <c r="T118" s="91"/>
      <c r="U118" s="18"/>
      <c r="V118" s="18"/>
      <c r="W118" s="18"/>
      <c r="X118" s="30"/>
      <c r="Y118" s="18"/>
    </row>
    <row r="119" spans="1:25">
      <c r="A119" s="29"/>
      <c r="B119" s="3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32"/>
      <c r="Y119" s="18"/>
    </row>
  </sheetData>
  <mergeCells count="384">
    <mergeCell ref="B118:D118"/>
    <mergeCell ref="J118:L118"/>
    <mergeCell ref="Q118:S118"/>
    <mergeCell ref="E113:G113"/>
    <mergeCell ref="U113:V113"/>
    <mergeCell ref="W113:X113"/>
    <mergeCell ref="B115:D115"/>
    <mergeCell ref="J115:L115"/>
    <mergeCell ref="Q115:S115"/>
    <mergeCell ref="U111:V111"/>
    <mergeCell ref="W111:X111"/>
    <mergeCell ref="C112:D112"/>
    <mergeCell ref="E112:G112"/>
    <mergeCell ref="H112:J112"/>
    <mergeCell ref="K112:M112"/>
    <mergeCell ref="N112:P112"/>
    <mergeCell ref="Q112:S112"/>
    <mergeCell ref="U112:V112"/>
    <mergeCell ref="W112:X112"/>
    <mergeCell ref="C111:D111"/>
    <mergeCell ref="E111:G111"/>
    <mergeCell ref="H111:J111"/>
    <mergeCell ref="K111:M111"/>
    <mergeCell ref="N111:P111"/>
    <mergeCell ref="Q111:S111"/>
    <mergeCell ref="C110:D110"/>
    <mergeCell ref="E110:G110"/>
    <mergeCell ref="H110:J110"/>
    <mergeCell ref="K110:M110"/>
    <mergeCell ref="N110:P110"/>
    <mergeCell ref="Q110:S110"/>
    <mergeCell ref="U110:V110"/>
    <mergeCell ref="W110:X110"/>
    <mergeCell ref="C109:D109"/>
    <mergeCell ref="E109:G109"/>
    <mergeCell ref="H109:J109"/>
    <mergeCell ref="K109:M109"/>
    <mergeCell ref="N109:P109"/>
    <mergeCell ref="Q109:S109"/>
    <mergeCell ref="C108:D108"/>
    <mergeCell ref="E108:G108"/>
    <mergeCell ref="H108:J108"/>
    <mergeCell ref="K108:M108"/>
    <mergeCell ref="N108:P108"/>
    <mergeCell ref="Q108:S108"/>
    <mergeCell ref="U108:V108"/>
    <mergeCell ref="W108:X108"/>
    <mergeCell ref="U109:V109"/>
    <mergeCell ref="W109:X109"/>
    <mergeCell ref="C106:D106"/>
    <mergeCell ref="E106:G106"/>
    <mergeCell ref="H106:J106"/>
    <mergeCell ref="K106:M106"/>
    <mergeCell ref="N106:P106"/>
    <mergeCell ref="Q106:S106"/>
    <mergeCell ref="U106:V106"/>
    <mergeCell ref="W106:X106"/>
    <mergeCell ref="C107:D107"/>
    <mergeCell ref="E107:G107"/>
    <mergeCell ref="H107:J107"/>
    <mergeCell ref="K107:M107"/>
    <mergeCell ref="N107:P107"/>
    <mergeCell ref="Q107:S107"/>
    <mergeCell ref="U107:V107"/>
    <mergeCell ref="W107:X107"/>
    <mergeCell ref="C101:K101"/>
    <mergeCell ref="N101:W101"/>
    <mergeCell ref="C102:K102"/>
    <mergeCell ref="N102:W102"/>
    <mergeCell ref="B104:D104"/>
    <mergeCell ref="E104:G104"/>
    <mergeCell ref="H104:J104"/>
    <mergeCell ref="K104:M104"/>
    <mergeCell ref="N104:P104"/>
    <mergeCell ref="Q104:S104"/>
    <mergeCell ref="T104:T105"/>
    <mergeCell ref="U104:X104"/>
    <mergeCell ref="B105:D105"/>
    <mergeCell ref="U105:V105"/>
    <mergeCell ref="W105:X105"/>
    <mergeCell ref="R97:X97"/>
    <mergeCell ref="C98:K98"/>
    <mergeCell ref="N98:W98"/>
    <mergeCell ref="C99:K99"/>
    <mergeCell ref="N99:W99"/>
    <mergeCell ref="C100:K100"/>
    <mergeCell ref="N100:W100"/>
    <mergeCell ref="B94:O94"/>
    <mergeCell ref="E95:I95"/>
    <mergeCell ref="L95:M95"/>
    <mergeCell ref="C97:F97"/>
    <mergeCell ref="G97:L97"/>
    <mergeCell ref="N97:Q97"/>
    <mergeCell ref="B88:D88"/>
    <mergeCell ref="J88:L88"/>
    <mergeCell ref="Q88:S88"/>
    <mergeCell ref="B91:G91"/>
    <mergeCell ref="B93:O93"/>
    <mergeCell ref="S93:W93"/>
    <mergeCell ref="E83:G83"/>
    <mergeCell ref="U83:V83"/>
    <mergeCell ref="W83:X83"/>
    <mergeCell ref="B85:D85"/>
    <mergeCell ref="J85:L85"/>
    <mergeCell ref="Q85:S85"/>
    <mergeCell ref="U81:V81"/>
    <mergeCell ref="W81:X81"/>
    <mergeCell ref="C82:D82"/>
    <mergeCell ref="E82:G82"/>
    <mergeCell ref="H82:J82"/>
    <mergeCell ref="K82:M82"/>
    <mergeCell ref="N82:P82"/>
    <mergeCell ref="Q82:S82"/>
    <mergeCell ref="U82:V82"/>
    <mergeCell ref="W82:X82"/>
    <mergeCell ref="C81:D81"/>
    <mergeCell ref="E81:G81"/>
    <mergeCell ref="H81:J81"/>
    <mergeCell ref="K81:M81"/>
    <mergeCell ref="N81:P81"/>
    <mergeCell ref="Q81:S81"/>
    <mergeCell ref="C80:D80"/>
    <mergeCell ref="E80:G80"/>
    <mergeCell ref="H80:J80"/>
    <mergeCell ref="K80:M80"/>
    <mergeCell ref="N80:P80"/>
    <mergeCell ref="Q80:S80"/>
    <mergeCell ref="U80:V80"/>
    <mergeCell ref="W80:X80"/>
    <mergeCell ref="C79:D79"/>
    <mergeCell ref="E79:G79"/>
    <mergeCell ref="H79:J79"/>
    <mergeCell ref="K79:M79"/>
    <mergeCell ref="N79:P79"/>
    <mergeCell ref="Q79:S79"/>
    <mergeCell ref="C78:D78"/>
    <mergeCell ref="E78:G78"/>
    <mergeCell ref="H78:J78"/>
    <mergeCell ref="K78:M78"/>
    <mergeCell ref="N78:P78"/>
    <mergeCell ref="Q78:S78"/>
    <mergeCell ref="U78:V78"/>
    <mergeCell ref="W78:X78"/>
    <mergeCell ref="U79:V79"/>
    <mergeCell ref="W79:X79"/>
    <mergeCell ref="C76:D76"/>
    <mergeCell ref="E76:G76"/>
    <mergeCell ref="H76:J76"/>
    <mergeCell ref="K76:M76"/>
    <mergeCell ref="N76:P76"/>
    <mergeCell ref="Q76:S76"/>
    <mergeCell ref="U76:V76"/>
    <mergeCell ref="W76:X76"/>
    <mergeCell ref="C77:D77"/>
    <mergeCell ref="E77:G77"/>
    <mergeCell ref="H77:J77"/>
    <mergeCell ref="K77:M77"/>
    <mergeCell ref="N77:P77"/>
    <mergeCell ref="Q77:S77"/>
    <mergeCell ref="U77:V77"/>
    <mergeCell ref="W77:X77"/>
    <mergeCell ref="C71:K71"/>
    <mergeCell ref="N71:W71"/>
    <mergeCell ref="C72:K72"/>
    <mergeCell ref="N72:W72"/>
    <mergeCell ref="B74:D74"/>
    <mergeCell ref="E74:G74"/>
    <mergeCell ref="H74:J74"/>
    <mergeCell ref="K74:M74"/>
    <mergeCell ref="N74:P74"/>
    <mergeCell ref="Q74:S74"/>
    <mergeCell ref="T74:T75"/>
    <mergeCell ref="U74:X74"/>
    <mergeCell ref="B75:D75"/>
    <mergeCell ref="U75:V75"/>
    <mergeCell ref="W75:X75"/>
    <mergeCell ref="R67:X67"/>
    <mergeCell ref="C68:K68"/>
    <mergeCell ref="N68:W68"/>
    <mergeCell ref="C69:K69"/>
    <mergeCell ref="N69:W69"/>
    <mergeCell ref="C70:K70"/>
    <mergeCell ref="N70:W70"/>
    <mergeCell ref="B64:O64"/>
    <mergeCell ref="E65:I65"/>
    <mergeCell ref="L65:M65"/>
    <mergeCell ref="C67:F67"/>
    <mergeCell ref="G67:L67"/>
    <mergeCell ref="N67:Q67"/>
    <mergeCell ref="B58:D58"/>
    <mergeCell ref="J58:L58"/>
    <mergeCell ref="Q58:S58"/>
    <mergeCell ref="B61:G61"/>
    <mergeCell ref="B63:O63"/>
    <mergeCell ref="S63:W63"/>
    <mergeCell ref="E53:G53"/>
    <mergeCell ref="U53:V53"/>
    <mergeCell ref="W53:X53"/>
    <mergeCell ref="B55:D55"/>
    <mergeCell ref="J55:L55"/>
    <mergeCell ref="Q55:S55"/>
    <mergeCell ref="U51:V51"/>
    <mergeCell ref="W51:X51"/>
    <mergeCell ref="C52:D52"/>
    <mergeCell ref="E52:G52"/>
    <mergeCell ref="H52:J52"/>
    <mergeCell ref="K52:M52"/>
    <mergeCell ref="N52:P52"/>
    <mergeCell ref="Q52:S52"/>
    <mergeCell ref="U52:V52"/>
    <mergeCell ref="W52:X52"/>
    <mergeCell ref="C51:D51"/>
    <mergeCell ref="E51:G51"/>
    <mergeCell ref="H51:J51"/>
    <mergeCell ref="K51:M51"/>
    <mergeCell ref="N51:P51"/>
    <mergeCell ref="Q51:S51"/>
    <mergeCell ref="C50:D50"/>
    <mergeCell ref="E50:G50"/>
    <mergeCell ref="H50:J50"/>
    <mergeCell ref="K50:M50"/>
    <mergeCell ref="N50:P50"/>
    <mergeCell ref="Q50:S50"/>
    <mergeCell ref="U50:V50"/>
    <mergeCell ref="W50:X50"/>
    <mergeCell ref="C49:D49"/>
    <mergeCell ref="E49:G49"/>
    <mergeCell ref="H49:J49"/>
    <mergeCell ref="K49:M49"/>
    <mergeCell ref="N49:P49"/>
    <mergeCell ref="Q49:S49"/>
    <mergeCell ref="C48:D48"/>
    <mergeCell ref="E48:G48"/>
    <mergeCell ref="H48:J48"/>
    <mergeCell ref="K48:M48"/>
    <mergeCell ref="N48:P48"/>
    <mergeCell ref="Q48:S48"/>
    <mergeCell ref="U48:V48"/>
    <mergeCell ref="W48:X48"/>
    <mergeCell ref="U49:V49"/>
    <mergeCell ref="W49:X49"/>
    <mergeCell ref="C46:D46"/>
    <mergeCell ref="E46:G46"/>
    <mergeCell ref="H46:J46"/>
    <mergeCell ref="K46:M46"/>
    <mergeCell ref="N46:P46"/>
    <mergeCell ref="Q46:S46"/>
    <mergeCell ref="U46:V46"/>
    <mergeCell ref="W46:X46"/>
    <mergeCell ref="C47:D47"/>
    <mergeCell ref="E47:G47"/>
    <mergeCell ref="H47:J47"/>
    <mergeCell ref="K47:M47"/>
    <mergeCell ref="N47:P47"/>
    <mergeCell ref="Q47:S47"/>
    <mergeCell ref="U47:V47"/>
    <mergeCell ref="W47:X47"/>
    <mergeCell ref="C41:K41"/>
    <mergeCell ref="N41:X41"/>
    <mergeCell ref="C42:K42"/>
    <mergeCell ref="N42:X42"/>
    <mergeCell ref="B44:D44"/>
    <mergeCell ref="E44:G44"/>
    <mergeCell ref="H44:J44"/>
    <mergeCell ref="K44:M44"/>
    <mergeCell ref="N44:P44"/>
    <mergeCell ref="Q44:S44"/>
    <mergeCell ref="T44:T45"/>
    <mergeCell ref="U44:X44"/>
    <mergeCell ref="B45:D45"/>
    <mergeCell ref="U45:V45"/>
    <mergeCell ref="W45:X45"/>
    <mergeCell ref="R37:X37"/>
    <mergeCell ref="C38:K38"/>
    <mergeCell ref="N38:X38"/>
    <mergeCell ref="C39:K39"/>
    <mergeCell ref="N39:X39"/>
    <mergeCell ref="C40:K40"/>
    <mergeCell ref="N40:X40"/>
    <mergeCell ref="B34:O34"/>
    <mergeCell ref="E35:I35"/>
    <mergeCell ref="L35:M35"/>
    <mergeCell ref="C37:F37"/>
    <mergeCell ref="G37:L37"/>
    <mergeCell ref="N37:Q37"/>
    <mergeCell ref="B28:D28"/>
    <mergeCell ref="J28:L28"/>
    <mergeCell ref="Q28:S28"/>
    <mergeCell ref="B31:G31"/>
    <mergeCell ref="B33:O33"/>
    <mergeCell ref="S33:W33"/>
    <mergeCell ref="U22:V22"/>
    <mergeCell ref="W22:X22"/>
    <mergeCell ref="E23:G23"/>
    <mergeCell ref="U23:V23"/>
    <mergeCell ref="W23:X23"/>
    <mergeCell ref="B25:D25"/>
    <mergeCell ref="J25:L25"/>
    <mergeCell ref="Q25:S25"/>
    <mergeCell ref="C22:D22"/>
    <mergeCell ref="E22:G22"/>
    <mergeCell ref="H22:J22"/>
    <mergeCell ref="K22:M22"/>
    <mergeCell ref="N22:P22"/>
    <mergeCell ref="Q22:S22"/>
    <mergeCell ref="U20:V20"/>
    <mergeCell ref="W20:X20"/>
    <mergeCell ref="C21:D21"/>
    <mergeCell ref="E21:G21"/>
    <mergeCell ref="H21:J21"/>
    <mergeCell ref="K21:M21"/>
    <mergeCell ref="N21:P21"/>
    <mergeCell ref="Q21:S21"/>
    <mergeCell ref="U21:V21"/>
    <mergeCell ref="W21:X21"/>
    <mergeCell ref="C20:D20"/>
    <mergeCell ref="E20:G20"/>
    <mergeCell ref="H20:J20"/>
    <mergeCell ref="K20:M20"/>
    <mergeCell ref="N20:P20"/>
    <mergeCell ref="Q20:S20"/>
    <mergeCell ref="U18:V18"/>
    <mergeCell ref="W18:X18"/>
    <mergeCell ref="C19:D19"/>
    <mergeCell ref="E19:G19"/>
    <mergeCell ref="H19:J19"/>
    <mergeCell ref="K19:M19"/>
    <mergeCell ref="N19:P19"/>
    <mergeCell ref="Q19:S19"/>
    <mergeCell ref="U19:V19"/>
    <mergeCell ref="W19:X19"/>
    <mergeCell ref="C18:D18"/>
    <mergeCell ref="E18:G18"/>
    <mergeCell ref="H18:J18"/>
    <mergeCell ref="K18:M18"/>
    <mergeCell ref="N18:P18"/>
    <mergeCell ref="Q18:S18"/>
    <mergeCell ref="C16:D16"/>
    <mergeCell ref="E16:G16"/>
    <mergeCell ref="H16:J16"/>
    <mergeCell ref="K16:M16"/>
    <mergeCell ref="N16:P16"/>
    <mergeCell ref="Q16:S16"/>
    <mergeCell ref="U16:V16"/>
    <mergeCell ref="W16:X16"/>
    <mergeCell ref="C17:D17"/>
    <mergeCell ref="E17:G17"/>
    <mergeCell ref="H17:J17"/>
    <mergeCell ref="K17:M17"/>
    <mergeCell ref="N17:P17"/>
    <mergeCell ref="Q17:S17"/>
    <mergeCell ref="U17:V17"/>
    <mergeCell ref="W17:X17"/>
    <mergeCell ref="B14:D14"/>
    <mergeCell ref="E14:G14"/>
    <mergeCell ref="H14:J14"/>
    <mergeCell ref="K14:M14"/>
    <mergeCell ref="N14:P14"/>
    <mergeCell ref="Q14:S14"/>
    <mergeCell ref="T14:T15"/>
    <mergeCell ref="U14:X14"/>
    <mergeCell ref="B15:D15"/>
    <mergeCell ref="U15:V15"/>
    <mergeCell ref="W15:X15"/>
    <mergeCell ref="C11:K11"/>
    <mergeCell ref="N11:X11"/>
    <mergeCell ref="C7:F7"/>
    <mergeCell ref="G7:L7"/>
    <mergeCell ref="N7:Q7"/>
    <mergeCell ref="R7:X7"/>
    <mergeCell ref="C8:K8"/>
    <mergeCell ref="N8:X8"/>
    <mergeCell ref="C12:K12"/>
    <mergeCell ref="N12:X12"/>
    <mergeCell ref="B1:G1"/>
    <mergeCell ref="B3:O3"/>
    <mergeCell ref="S3:W3"/>
    <mergeCell ref="B4:O4"/>
    <mergeCell ref="E5:I5"/>
    <mergeCell ref="L5:M5"/>
    <mergeCell ref="C9:K9"/>
    <mergeCell ref="N9:X9"/>
    <mergeCell ref="C10:K10"/>
    <mergeCell ref="N10:X10"/>
  </mergeCells>
  <conditionalFormatting sqref="C8:K12 N8:N12">
    <cfRule type="expression" dxfId="14" priority="4" stopIfTrue="1">
      <formula>ISNA(C8)</formula>
    </cfRule>
  </conditionalFormatting>
  <conditionalFormatting sqref="C38:K42 N38:N42">
    <cfRule type="expression" dxfId="13" priority="3" stopIfTrue="1">
      <formula>ISNA(C38)</formula>
    </cfRule>
  </conditionalFormatting>
  <conditionalFormatting sqref="C68:K72 N68:W72">
    <cfRule type="expression" dxfId="12" priority="2" stopIfTrue="1">
      <formula>ISNA(C68)</formula>
    </cfRule>
  </conditionalFormatting>
  <conditionalFormatting sqref="C98:K102 N98:W102">
    <cfRule type="expression" dxfId="11" priority="1" stopIfTrue="1">
      <formula>ISNA(C98)</formula>
    </cfRule>
  </conditionalFormatting>
  <dataValidations count="9">
    <dataValidation type="list" allowBlank="1" showInputMessage="1" showErrorMessage="1" sqref="C8:K12" xr:uid="{8947D1AF-0DFB-4F03-B8B3-1B6D694BC032}">
      <formula1>INDIRECT($K$13)</formula1>
    </dataValidation>
    <dataValidation type="list" allowBlank="1" showInputMessage="1" showErrorMessage="1" sqref="N8:N12" xr:uid="{D8B0ACDA-6649-42BD-B28F-9B8D71F16A6E}">
      <formula1>INDIRECT($W$13)</formula1>
    </dataValidation>
    <dataValidation type="list" allowBlank="1" showInputMessage="1" showErrorMessage="1" sqref="G37:L37 R37:X37 R7:X7 R97:X97 G67:L67 R67:X67 G97:L97 G7:L7" xr:uid="{D1014F24-805C-40CE-B2D2-404D7E87DEB6}">
      <formula1>Mansad</formula1>
    </dataValidation>
    <dataValidation type="list" allowBlank="1" showInputMessage="1" showErrorMessage="1" sqref="C98:K102" xr:uid="{2C54FE70-6F99-48FB-B873-8C0E451CAF2B}">
      <formula1>INDIRECT($K$103)</formula1>
    </dataValidation>
    <dataValidation type="list" allowBlank="1" showInputMessage="1" showErrorMessage="1" sqref="C68:K72" xr:uid="{86AEF3AD-A4AA-4FEC-8ED5-3F6FB1955739}">
      <formula1>INDIRECT($K$73)</formula1>
    </dataValidation>
    <dataValidation type="list" allowBlank="1" showInputMessage="1" showErrorMessage="1" sqref="C38:K42" xr:uid="{13262FFC-DD93-4507-8CBF-990B8001C7D2}">
      <formula1>INDIRECT($K$43)</formula1>
    </dataValidation>
    <dataValidation type="list" allowBlank="1" showInputMessage="1" showErrorMessage="1" sqref="N98:W102" xr:uid="{F71E1926-2A02-4466-9273-0FE54DD7AA52}">
      <formula1>INDIRECT($W$103)</formula1>
    </dataValidation>
    <dataValidation type="list" allowBlank="1" showInputMessage="1" showErrorMessage="1" sqref="N68:W72" xr:uid="{C9C5DE89-076C-49AA-9B24-78E1F064C9B6}">
      <formula1>INDIRECT($W$73)</formula1>
    </dataValidation>
    <dataValidation type="list" allowBlank="1" showInputMessage="1" showErrorMessage="1" sqref="N38:N42" xr:uid="{8D16C781-E769-42C3-975F-378511DA3DE7}">
      <formula1>INDIRECT($W$43)</formula1>
    </dataValidation>
  </dataValidations>
  <pageMargins left="0.7" right="0.7" top="0.75" bottom="0.75" header="0.3" footer="0.3"/>
  <pageSetup paperSize="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F8CE4-1BCA-44E9-BC25-FCCC77838368}">
  <sheetPr>
    <pageSetUpPr fitToPage="1"/>
  </sheetPr>
  <dimension ref="A1:R48"/>
  <sheetViews>
    <sheetView topLeftCell="A27" workbookViewId="0">
      <selection activeCell="T109" sqref="T109"/>
    </sheetView>
  </sheetViews>
  <sheetFormatPr defaultColWidth="9.28515625" defaultRowHeight="12.75"/>
  <cols>
    <col min="1" max="1" width="14.42578125" style="1" customWidth="1"/>
    <col min="2" max="2" width="2.7109375" style="1" customWidth="1"/>
    <col min="3" max="3" width="34" style="1" customWidth="1"/>
    <col min="4" max="4" width="2.7109375" style="1" customWidth="1"/>
    <col min="5" max="5" width="34" style="1" customWidth="1"/>
    <col min="6" max="6" width="6.7109375" style="1" bestFit="1" customWidth="1"/>
    <col min="7" max="10" width="6" style="1" bestFit="1" customWidth="1"/>
    <col min="11" max="11" width="8.28515625" style="1" bestFit="1" customWidth="1"/>
    <col min="12" max="13" width="5.28515625" style="1" customWidth="1"/>
    <col min="14" max="14" width="2.28515625" style="1" customWidth="1"/>
    <col min="15" max="15" width="3.42578125" style="1" customWidth="1"/>
    <col min="16" max="16384" width="9.28515625" style="1"/>
  </cols>
  <sheetData>
    <row r="1" spans="1:18" ht="18">
      <c r="A1" s="286" t="s">
        <v>461</v>
      </c>
      <c r="B1" s="286"/>
      <c r="C1" s="286"/>
      <c r="D1" s="286"/>
      <c r="E1" s="286"/>
      <c r="F1" s="286"/>
      <c r="G1" s="286"/>
      <c r="H1" s="286"/>
      <c r="I1" s="286"/>
      <c r="J1" s="286"/>
      <c r="K1" s="286"/>
      <c r="L1" s="286"/>
      <c r="M1" s="286"/>
      <c r="N1" s="286"/>
    </row>
    <row r="2" spans="1:18" ht="18">
      <c r="A2" s="286" t="s">
        <v>0</v>
      </c>
      <c r="B2" s="286"/>
      <c r="C2" s="286"/>
      <c r="D2" s="286"/>
      <c r="E2" s="286"/>
      <c r="F2" s="286"/>
      <c r="G2" s="286"/>
      <c r="H2" s="286"/>
      <c r="I2" s="286"/>
      <c r="J2" s="286"/>
      <c r="K2" s="286"/>
      <c r="L2" s="286"/>
      <c r="M2" s="286"/>
      <c r="N2" s="286"/>
    </row>
    <row r="3" spans="1:18">
      <c r="A3" s="301" t="s">
        <v>629</v>
      </c>
      <c r="B3" s="301"/>
      <c r="C3" s="301"/>
      <c r="D3" s="301"/>
      <c r="E3" s="301"/>
      <c r="F3" s="301"/>
      <c r="G3" s="301"/>
      <c r="H3" s="301"/>
      <c r="I3" s="301"/>
      <c r="J3" s="301"/>
      <c r="K3" s="301"/>
      <c r="L3" s="301"/>
      <c r="M3" s="301"/>
      <c r="N3" s="301"/>
    </row>
    <row r="4" spans="1:18">
      <c r="A4" s="302"/>
      <c r="B4" s="302"/>
      <c r="C4" s="302"/>
      <c r="D4" s="302"/>
      <c r="E4" s="302"/>
      <c r="F4" s="302"/>
      <c r="G4" s="302"/>
      <c r="H4" s="302"/>
      <c r="I4" s="302"/>
      <c r="J4" s="302"/>
      <c r="K4" s="302"/>
      <c r="L4" s="302"/>
      <c r="M4" s="302"/>
      <c r="N4" s="302"/>
    </row>
    <row r="5" spans="1:18" ht="15.75">
      <c r="A5" s="303" t="s">
        <v>631</v>
      </c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</row>
    <row r="6" spans="1:18" ht="7.5" customHeight="1"/>
    <row r="7" spans="1:18" ht="15">
      <c r="A7" s="2" t="s">
        <v>68</v>
      </c>
      <c r="B7" s="3">
        <f>IF(K8="","",SUM(L8:L15))</f>
        <v>4</v>
      </c>
      <c r="C7" s="4" t="str">
        <f>Finaal!G7</f>
        <v>Viimsi PINX</v>
      </c>
      <c r="D7" s="3">
        <f>IF(K8="","",SUM(M8:M15))</f>
        <v>2</v>
      </c>
      <c r="E7" s="4" t="str">
        <f>Finaal!R7</f>
        <v>Tartu SS Kalev</v>
      </c>
      <c r="F7" s="5" t="s">
        <v>2</v>
      </c>
      <c r="G7" s="5" t="s">
        <v>3</v>
      </c>
      <c r="H7" s="5" t="s">
        <v>4</v>
      </c>
      <c r="I7" s="5" t="s">
        <v>5</v>
      </c>
      <c r="J7" s="5" t="s">
        <v>6</v>
      </c>
      <c r="K7" s="6" t="s">
        <v>7</v>
      </c>
      <c r="L7" s="288" t="s">
        <v>8</v>
      </c>
      <c r="M7" s="289"/>
      <c r="R7" s="1" t="str">
        <f>IF(OR(B7=4,D7=4),"","ERROR")</f>
        <v/>
      </c>
    </row>
    <row r="8" spans="1:18">
      <c r="A8" s="7" t="s">
        <v>623</v>
      </c>
      <c r="B8" s="9" t="s">
        <v>9</v>
      </c>
      <c r="C8" s="8" t="str">
        <f>VLOOKUP(B8,Finaal!$B$8:$K$12,2,FALSE)</f>
        <v>Daniel KOSIBA</v>
      </c>
      <c r="D8" s="9" t="s">
        <v>10</v>
      </c>
      <c r="E8" s="8" t="str">
        <f>VLOOKUP(D8,Finaal!$M$8:$W$12,2,FALSE)</f>
        <v>Mart LUUK</v>
      </c>
      <c r="F8" s="9" t="str">
        <f>IF(Finaal!E16=0,"",Finaal!E16)</f>
        <v>11:1</v>
      </c>
      <c r="G8" s="9" t="str">
        <f>IF(Finaal!H16=0,"",Finaal!H16)</f>
        <v>11:4</v>
      </c>
      <c r="H8" s="9" t="str">
        <f>IF(Finaal!K16=0,"",Finaal!K16)</f>
        <v>11:4</v>
      </c>
      <c r="I8" s="9" t="str">
        <f>IF(Finaal!N16=0,"",Finaal!N16)</f>
        <v/>
      </c>
      <c r="J8" s="9" t="str">
        <f>IF(Finaal!Q16=0,"",Finaal!Q16)</f>
        <v/>
      </c>
      <c r="K8" s="53" t="s">
        <v>107</v>
      </c>
      <c r="L8" s="35">
        <f>IF(K8="","",IF(LEFT(K8,1)&lt;RIGHT(K8,1),0,1))</f>
        <v>1</v>
      </c>
      <c r="M8" s="35">
        <f>IF(K8="","",IF(LEFT(K8,1)&gt;RIGHT(K8,1),0,1))</f>
        <v>0</v>
      </c>
      <c r="Q8" s="1" t="str">
        <f>IF(OR(LEFT(K8,1)="3",RIGHT(K8,1)="3"),"","ERROR")</f>
        <v/>
      </c>
    </row>
    <row r="9" spans="1:18">
      <c r="A9" s="7" t="s">
        <v>80</v>
      </c>
      <c r="B9" s="9" t="s">
        <v>11</v>
      </c>
      <c r="C9" s="8" t="str">
        <f>VLOOKUP(B9,Finaal!$B$8:$K$12,2,FALSE)</f>
        <v>Sergei PETROV</v>
      </c>
      <c r="D9" s="9" t="s">
        <v>12</v>
      </c>
      <c r="E9" s="8" t="str">
        <f>VLOOKUP(D9,Finaal!$M$8:$W$12,2,FALSE)</f>
        <v>Markkos PUKK</v>
      </c>
      <c r="F9" s="9" t="str">
        <f>IF(Finaal!E17=0,"",Finaal!E17)</f>
        <v>11:8</v>
      </c>
      <c r="G9" s="9" t="str">
        <f>IF(Finaal!H17=0,"",Finaal!H17)</f>
        <v>7:11</v>
      </c>
      <c r="H9" s="9" t="str">
        <f>IF(Finaal!K17=0,"",Finaal!K17)</f>
        <v>9:11</v>
      </c>
      <c r="I9" s="9" t="str">
        <f>IF(Finaal!N17=0,"",Finaal!N17)</f>
        <v>8:11</v>
      </c>
      <c r="J9" s="9" t="str">
        <f>IF(Finaal!Q17=0,"",Finaal!Q17)</f>
        <v/>
      </c>
      <c r="K9" s="53" t="str">
        <f>IF(F9="","",CONCATENATE(Abitabel6!G3,":",Abitabel6!N3))</f>
        <v>1:3</v>
      </c>
      <c r="L9" s="35">
        <f t="shared" ref="L9:L10" si="0">IF(K9="","",IF(LEFT(K9,1)&lt;RIGHT(K9,1),0,1))</f>
        <v>0</v>
      </c>
      <c r="M9" s="35">
        <f t="shared" ref="M9:M10" si="1">IF(K9="","",IF(LEFT(K9,1)&gt;RIGHT(K9,1),0,1))</f>
        <v>1</v>
      </c>
      <c r="Q9" s="1" t="str">
        <f t="shared" ref="Q9:Q46" si="2">IF(OR(LEFT(K9,1)="3",RIGHT(K9,1)="3"),"","ERROR")</f>
        <v/>
      </c>
    </row>
    <row r="10" spans="1:18">
      <c r="A10" s="7"/>
      <c r="B10" s="9" t="s">
        <v>13</v>
      </c>
      <c r="C10" s="8" t="str">
        <f>VLOOKUP(B10,Finaal!$B$8:$K$12,2,FALSE)</f>
        <v>Toomas LIBENE</v>
      </c>
      <c r="D10" s="9" t="s">
        <v>14</v>
      </c>
      <c r="E10" s="8" t="str">
        <f>VLOOKUP(D10,Finaal!$M$8:$W$12,2,FALSE)</f>
        <v>Arttu Antero PIHKALA</v>
      </c>
      <c r="F10" s="9" t="str">
        <f>IF(Finaal!E18=0,"",Finaal!E18)</f>
        <v>8:11</v>
      </c>
      <c r="G10" s="9" t="str">
        <f>IF(Finaal!H18=0,"",Finaal!H18)</f>
        <v>15:13</v>
      </c>
      <c r="H10" s="9" t="str">
        <f>IF(Finaal!K18=0,"",Finaal!K18)</f>
        <v>2:11</v>
      </c>
      <c r="I10" s="9" t="str">
        <f>IF(Finaal!N18=0,"",Finaal!N18)</f>
        <v>7:11</v>
      </c>
      <c r="J10" s="9" t="str">
        <f>IF(Finaal!Q18=0,"",Finaal!Q18)</f>
        <v/>
      </c>
      <c r="K10" s="53" t="s">
        <v>106</v>
      </c>
      <c r="L10" s="35">
        <f t="shared" si="0"/>
        <v>0</v>
      </c>
      <c r="M10" s="35">
        <f t="shared" si="1"/>
        <v>1</v>
      </c>
      <c r="Q10" s="1" t="str">
        <f t="shared" si="2"/>
        <v/>
      </c>
    </row>
    <row r="11" spans="1:18">
      <c r="A11" s="7"/>
      <c r="B11" s="290" t="s">
        <v>15</v>
      </c>
      <c r="C11" s="8" t="str">
        <f>IF(ISBLANK(Finaal!C19), "", INDEX(Finaal!C8:C12, MATCH(MID(Finaal!C19,1,1), Finaal!B8:B12, 0)))</f>
        <v>Daniel KOSIBA</v>
      </c>
      <c r="D11" s="290" t="s">
        <v>15</v>
      </c>
      <c r="E11" s="8" t="str">
        <f>IF(ISBLANK(Finaal!C19), "", INDEX(Finaal!N8:N12, MATCH(MID(Finaal!C19,4,1), Finaal!M8:M12, 0)))</f>
        <v>Markkos PUKK</v>
      </c>
      <c r="F11" s="292" t="str">
        <f>IF(Finaal!E19=0,"",Finaal!E19)</f>
        <v>11:2</v>
      </c>
      <c r="G11" s="292" t="str">
        <f>IF(Finaal!H19=0,"",Finaal!H19)</f>
        <v>11:9</v>
      </c>
      <c r="H11" s="292" t="str">
        <f>IF(Finaal!K19=0,"",Finaal!K19)</f>
        <v>11:7</v>
      </c>
      <c r="I11" s="292" t="str">
        <f>IF(Finaal!N19=0,"",Finaal!N19)</f>
        <v/>
      </c>
      <c r="J11" s="292" t="str">
        <f>IF(Finaal!Q19=0,"",Finaal!Q19)</f>
        <v/>
      </c>
      <c r="K11" s="294" t="s">
        <v>107</v>
      </c>
      <c r="L11" s="295">
        <f>IF(K11="","",IF(LEFT(K11,1)&lt;RIGHT(K11,1),0,1))</f>
        <v>1</v>
      </c>
      <c r="M11" s="295">
        <f>IF(K11="","",IF(LEFT(K11,1)&gt;RIGHT(K11,1),0,1))</f>
        <v>0</v>
      </c>
      <c r="Q11" s="1" t="str">
        <f t="shared" si="2"/>
        <v/>
      </c>
    </row>
    <row r="12" spans="1:18">
      <c r="A12" s="7"/>
      <c r="B12" s="291"/>
      <c r="C12" s="8" t="str">
        <f>IF(ISBLANK(Finaal!C19), "", INDEX(Finaal!C8:C12, MATCH(MID(Finaal!C19,2,1), Finaal!B8:B12, 0)))</f>
        <v>Toomas LIBENE</v>
      </c>
      <c r="D12" s="291"/>
      <c r="E12" s="8" t="str">
        <f>IF(ISBLANK(Finaal!C19), "", INDEX(Finaal!N8:N12, MATCH(MID(Finaal!C19,5,1), Finaal!M8:M12, 0)))</f>
        <v>Arttu Antero PIHKALA</v>
      </c>
      <c r="F12" s="293"/>
      <c r="G12" s="293"/>
      <c r="H12" s="293"/>
      <c r="I12" s="293"/>
      <c r="J12" s="293"/>
      <c r="K12" s="294"/>
      <c r="L12" s="295"/>
      <c r="M12" s="295"/>
    </row>
    <row r="13" spans="1:18">
      <c r="A13" s="7"/>
      <c r="B13" s="9" t="s">
        <v>9</v>
      </c>
      <c r="C13" s="8" t="str">
        <f>VLOOKUP(B13,Finaal!$B$8:$K$12,2,FALSE)</f>
        <v>Daniel KOSIBA</v>
      </c>
      <c r="D13" s="9" t="s">
        <v>12</v>
      </c>
      <c r="E13" s="8" t="str">
        <f>VLOOKUP(D13,Finaal!$M$8:$W$12,2,FALSE)</f>
        <v>Markkos PUKK</v>
      </c>
      <c r="F13" s="82" t="str">
        <f>IF(Finaal!E20=0,"",Finaal!E20)</f>
        <v>7:11</v>
      </c>
      <c r="G13" s="82" t="str">
        <f>IF(Finaal!H20=0,"",Finaal!H20)</f>
        <v>11:7</v>
      </c>
      <c r="H13" s="82" t="str">
        <f>IF(Finaal!K20=0,"",Finaal!K20)</f>
        <v>11:9</v>
      </c>
      <c r="I13" s="82" t="str">
        <f>IF(Finaal!N20=0,"",Finaal!N20)</f>
        <v>11:6</v>
      </c>
      <c r="J13" s="82" t="str">
        <f>IF(Finaal!Q20=0,"",Finaal!Q20)</f>
        <v/>
      </c>
      <c r="K13" s="53" t="str">
        <f>IF(F13="","",CONCATENATE(Abitabel6!G7,":",Abitabel6!N7))</f>
        <v>3:1</v>
      </c>
      <c r="L13" s="35">
        <f>IF(K13="","",IF(LEFT(K13,1)&lt;RIGHT(K13,1),0,1))</f>
        <v>1</v>
      </c>
      <c r="M13" s="35">
        <f>IF(K13="","",IF(LEFT(K13,1)&gt;RIGHT(K13,1),0,1))</f>
        <v>0</v>
      </c>
      <c r="Q13" s="1" t="str">
        <f t="shared" si="2"/>
        <v/>
      </c>
    </row>
    <row r="14" spans="1:18">
      <c r="A14" s="7"/>
      <c r="B14" s="9" t="s">
        <v>13</v>
      </c>
      <c r="C14" s="8" t="str">
        <f>VLOOKUP(B14,Finaal!$B$8:$K$12,2,FALSE)</f>
        <v>Toomas LIBENE</v>
      </c>
      <c r="D14" s="9" t="s">
        <v>10</v>
      </c>
      <c r="E14" s="8" t="str">
        <f>VLOOKUP(D14,Finaal!$M$8:$W$12,2,FALSE)</f>
        <v>Mart LUUK</v>
      </c>
      <c r="F14" s="82" t="str">
        <f>IF(Finaal!E21=0,"",Finaal!E21)</f>
        <v>11:8</v>
      </c>
      <c r="G14" s="82" t="str">
        <f>IF(Finaal!H21=0,"",Finaal!H21)</f>
        <v>11:8</v>
      </c>
      <c r="H14" s="82" t="str">
        <f>IF(Finaal!K21=0,"",Finaal!K21)</f>
        <v>11:7</v>
      </c>
      <c r="I14" s="82" t="str">
        <f>IF(Finaal!N21=0,"",Finaal!N21)</f>
        <v/>
      </c>
      <c r="J14" s="82" t="str">
        <f>IF(Finaal!Q21=0,"",Finaal!Q21)</f>
        <v/>
      </c>
      <c r="K14" s="53" t="s">
        <v>107</v>
      </c>
      <c r="L14" s="35">
        <f>IF(K14="","",IF(LEFT(K14,1)&lt;RIGHT(K14,1),0,1))</f>
        <v>1</v>
      </c>
      <c r="M14" s="35">
        <f>IF(L14="","",IF(LEFT(K14,1)&gt;RIGHT(K14,1),0,1))</f>
        <v>0</v>
      </c>
      <c r="Q14" s="1" t="str">
        <f t="shared" si="2"/>
        <v/>
      </c>
    </row>
    <row r="15" spans="1:18">
      <c r="A15" s="7"/>
      <c r="B15" s="9" t="s">
        <v>11</v>
      </c>
      <c r="C15" s="8" t="str">
        <f>VLOOKUP(B15,Finaal!$B$8:$K$12,2,FALSE)</f>
        <v>Sergei PETROV</v>
      </c>
      <c r="D15" s="9" t="s">
        <v>14</v>
      </c>
      <c r="E15" s="8" t="str">
        <f>VLOOKUP(D15,Finaal!$M$8:$W$12,2,FALSE)</f>
        <v>Arttu Antero PIHKALA</v>
      </c>
      <c r="F15" s="82" t="str">
        <f>IF(Finaal!E22=0,"",Finaal!E22)</f>
        <v/>
      </c>
      <c r="G15" s="82" t="str">
        <f>IF(Finaal!H22=0,"",Finaal!H22)</f>
        <v/>
      </c>
      <c r="H15" s="82" t="str">
        <f>IF(Finaal!K22=0,"",Finaal!K22)</f>
        <v/>
      </c>
      <c r="I15" s="82" t="str">
        <f>IF(Finaal!N22=0,"",Finaal!N22)</f>
        <v/>
      </c>
      <c r="J15" s="82" t="str">
        <f>IF(Finaal!Q22=0,"",Finaal!Q22)</f>
        <v/>
      </c>
      <c r="K15" s="53" t="str">
        <f>IF(F15="","",CONCATENATE(Abitabel6!G9,":",Abitabel6!N9))</f>
        <v/>
      </c>
      <c r="L15" s="35" t="str">
        <f>IF(K15="","",IF(LEFT(K15,1)&lt;RIGHT(K15,1),0,1))</f>
        <v/>
      </c>
      <c r="M15" s="35" t="str">
        <f>IF(L15="","",IF(LEFT(K15,1)&gt;RIGHT(K15,1),0,1))</f>
        <v/>
      </c>
      <c r="Q15" s="1" t="str">
        <f t="shared" si="2"/>
        <v>ERROR</v>
      </c>
    </row>
    <row r="16" spans="1:18">
      <c r="A16" s="7"/>
      <c r="B16" s="10"/>
      <c r="C16" s="33" t="str">
        <f>VLOOKUP(C7,Koosseisud!A:B,2,FALSE )</f>
        <v>Meeskond2</v>
      </c>
      <c r="D16" s="10"/>
      <c r="E16" s="33" t="str">
        <f>VLOOKUP(E7,Koosseisud!A:B,2,FALSE)</f>
        <v>Meeskond4</v>
      </c>
      <c r="F16" s="10"/>
      <c r="G16" s="10"/>
      <c r="H16" s="10"/>
      <c r="I16" s="10"/>
      <c r="J16" s="11"/>
      <c r="K16" s="12"/>
      <c r="L16" s="13">
        <v>4</v>
      </c>
      <c r="M16" s="13">
        <v>2</v>
      </c>
    </row>
    <row r="17" spans="1:18">
      <c r="A17" s="7"/>
      <c r="B17" s="10"/>
      <c r="C17" s="33"/>
      <c r="D17" s="10"/>
      <c r="E17" s="33"/>
      <c r="F17" s="10"/>
      <c r="G17" s="10"/>
      <c r="H17" s="10"/>
      <c r="I17" s="10"/>
      <c r="J17" s="11"/>
      <c r="K17" s="12"/>
      <c r="L17" s="13"/>
      <c r="M17" s="13"/>
    </row>
    <row r="18" spans="1:18" ht="15">
      <c r="A18" s="2" t="s">
        <v>69</v>
      </c>
      <c r="B18" s="3">
        <f>IF(K19="","",SUM(L19:L26))</f>
        <v>2</v>
      </c>
      <c r="C18" s="4" t="str">
        <f>Finaal!G37</f>
        <v>Viimsi LTK/EM-SERV</v>
      </c>
      <c r="D18" s="3">
        <f>IF(K19="","",SUM(M19:M26))</f>
        <v>4</v>
      </c>
      <c r="E18" s="4" t="str">
        <f>Finaal!R37</f>
        <v>TalTech Spordiklubi</v>
      </c>
      <c r="F18" s="5" t="s">
        <v>2</v>
      </c>
      <c r="G18" s="5" t="s">
        <v>3</v>
      </c>
      <c r="H18" s="5" t="s">
        <v>4</v>
      </c>
      <c r="I18" s="5" t="s">
        <v>5</v>
      </c>
      <c r="J18" s="5" t="s">
        <v>6</v>
      </c>
      <c r="K18" s="6" t="s">
        <v>7</v>
      </c>
      <c r="L18" s="287" t="s">
        <v>8</v>
      </c>
      <c r="M18" s="287"/>
      <c r="R18" s="1" t="str">
        <f>IF(OR(B18=4,D18=4),"","ERROR")</f>
        <v/>
      </c>
    </row>
    <row r="19" spans="1:18">
      <c r="A19" s="7" t="s">
        <v>624</v>
      </c>
      <c r="B19" s="9" t="s">
        <v>9</v>
      </c>
      <c r="C19" s="8" t="str">
        <f>VLOOKUP(B19,Finaal!$B$38:$K$42,2,FALSE)</f>
        <v>Ilmar VUHKA</v>
      </c>
      <c r="D19" s="9" t="s">
        <v>10</v>
      </c>
      <c r="E19" s="8" t="str">
        <f>VLOOKUP(D19,Finaal!$M$38:$W$42,2,FALSE)</f>
        <v>Tomasz LEWANDOWSKI</v>
      </c>
      <c r="F19" s="9" t="str">
        <f>IF(Finaal!E46=0,"",Finaal!E46)</f>
        <v>8:11</v>
      </c>
      <c r="G19" s="9" t="str">
        <f>IF(Finaal!H46=0,"",Finaal!H46)</f>
        <v>9:11</v>
      </c>
      <c r="H19" s="9" t="str">
        <f>IF(Finaal!K46=0,"",Finaal!K46)</f>
        <v>8:11</v>
      </c>
      <c r="I19" s="9" t="str">
        <f>IF(Finaal!N46=0,"",Finaal!N46)</f>
        <v/>
      </c>
      <c r="J19" s="9" t="str">
        <f>IF(Finaal!Q46=0,"",Finaal!Q46)</f>
        <v/>
      </c>
      <c r="K19" s="53" t="s">
        <v>104</v>
      </c>
      <c r="L19" s="35">
        <f>IF(K19="","",IF(LEFT(K19,1)&lt;RIGHT(K19,1),0,1))</f>
        <v>0</v>
      </c>
      <c r="M19" s="35">
        <f>IF(K19="","",IF(LEFT(K19,1)&gt;RIGHT(K19,1),0,1))</f>
        <v>1</v>
      </c>
      <c r="Q19" s="1" t="str">
        <f t="shared" si="2"/>
        <v/>
      </c>
    </row>
    <row r="20" spans="1:18">
      <c r="A20" s="7" t="s">
        <v>464</v>
      </c>
      <c r="B20" s="9" t="s">
        <v>11</v>
      </c>
      <c r="C20" s="8" t="str">
        <f>VLOOKUP(B20,Finaal!$B$38:$K$42,2,FALSE)</f>
        <v>Daniels KOGANS</v>
      </c>
      <c r="D20" s="9" t="s">
        <v>12</v>
      </c>
      <c r="E20" s="8" t="str">
        <f>VLOOKUP(D20,Finaal!$M$38:$W$42,2,FALSE)</f>
        <v>Stanislav STROGOV</v>
      </c>
      <c r="F20" s="9" t="str">
        <f>IF(Finaal!E47=0,"",Finaal!E47)</f>
        <v>11:2</v>
      </c>
      <c r="G20" s="9" t="str">
        <f>IF(Finaal!H47=0,"",Finaal!H47)</f>
        <v>11:9</v>
      </c>
      <c r="H20" s="9" t="str">
        <f>IF(Finaal!K47=0,"",Finaal!K47)</f>
        <v>8:11</v>
      </c>
      <c r="I20" s="9" t="str">
        <f>IF(Finaal!N47=0,"",Finaal!N47)</f>
        <v>11:5</v>
      </c>
      <c r="J20" s="9" t="str">
        <f>IF(Finaal!Q47=0,"",Finaal!Q47)</f>
        <v/>
      </c>
      <c r="K20" s="53" t="s">
        <v>102</v>
      </c>
      <c r="L20" s="35">
        <f t="shared" ref="L20:L21" si="3">IF(K20="","",IF(LEFT(K20,1)&lt;RIGHT(K20,1),0,1))</f>
        <v>1</v>
      </c>
      <c r="M20" s="35">
        <f t="shared" ref="M20:M21" si="4">IF(K20="","",IF(LEFT(K20,1)&gt;RIGHT(K20,1),0,1))</f>
        <v>0</v>
      </c>
      <c r="Q20" s="1" t="str">
        <f t="shared" si="2"/>
        <v/>
      </c>
    </row>
    <row r="21" spans="1:18">
      <c r="A21" s="7"/>
      <c r="B21" s="9" t="s">
        <v>13</v>
      </c>
      <c r="C21" s="8" t="str">
        <f>VLOOKUP(B21,Finaal!$B$38:$K$42,2,FALSE)</f>
        <v>Pert Marten LEHTLAAN</v>
      </c>
      <c r="D21" s="9" t="s">
        <v>14</v>
      </c>
      <c r="E21" s="8" t="str">
        <f>VLOOKUP(D21,Finaal!$M$38:$W$42,2,FALSE)</f>
        <v>Madis MOOS</v>
      </c>
      <c r="F21" s="9" t="str">
        <f>IF(Finaal!E48=0,"",Finaal!E48)</f>
        <v>11:7</v>
      </c>
      <c r="G21" s="9" t="str">
        <f>IF(Finaal!H48=0,"",Finaal!H48)</f>
        <v>11:9</v>
      </c>
      <c r="H21" s="9" t="str">
        <f>IF(Finaal!K48=0,"",Finaal!K48)</f>
        <v>11:5</v>
      </c>
      <c r="I21" s="9" t="str">
        <f>IF(Finaal!N48=0,"",Finaal!N48)</f>
        <v/>
      </c>
      <c r="J21" s="9" t="str">
        <f>IF(Finaal!Q48=0,"",Finaal!Q48)</f>
        <v/>
      </c>
      <c r="K21" s="53" t="s">
        <v>107</v>
      </c>
      <c r="L21" s="35">
        <f t="shared" si="3"/>
        <v>1</v>
      </c>
      <c r="M21" s="35">
        <f t="shared" si="4"/>
        <v>0</v>
      </c>
      <c r="Q21" s="1" t="str">
        <f t="shared" si="2"/>
        <v/>
      </c>
    </row>
    <row r="22" spans="1:18">
      <c r="A22" s="7"/>
      <c r="B22" s="290" t="s">
        <v>15</v>
      </c>
      <c r="C22" s="8" t="str">
        <f>IF(ISBLANK(Finaal!C49), "", INDEX(Finaal!C38:C42, MATCH(MID(Finaal!C49,1,1), Finaal!B38:B42, 0)))</f>
        <v>Ilmar VUHKA</v>
      </c>
      <c r="D22" s="290" t="s">
        <v>15</v>
      </c>
      <c r="E22" s="8" t="str">
        <f>IF(ISBLANK(Finaal!C49), "", INDEX(Finaal!N38:N42, MATCH(MID(Finaal!C49,4,1), Finaal!M38:M42, 0)))</f>
        <v>Tomasz LEWANDOWSKI</v>
      </c>
      <c r="F22" s="292" t="str">
        <f>IF(Finaal!E49=0,"",Finaal!E49)</f>
        <v>11:7</v>
      </c>
      <c r="G22" s="292" t="str">
        <f>IF(Finaal!H49=0,"",Finaal!H49)</f>
        <v>11:4</v>
      </c>
      <c r="H22" s="292" t="str">
        <f>IF(Finaal!K49=0,"",Finaal!K49)</f>
        <v>5:11</v>
      </c>
      <c r="I22" s="292" t="str">
        <f>IF(Finaal!N49=0,"",Finaal!N49)</f>
        <v>7:11</v>
      </c>
      <c r="J22" s="292" t="str">
        <f>IF(Finaal!Q49=0,"",Finaal!Q49)</f>
        <v>7:11</v>
      </c>
      <c r="K22" s="294" t="s">
        <v>103</v>
      </c>
      <c r="L22" s="295">
        <f>IF(K22="","",IF(LEFT(K22,1)&lt;RIGHT(K22,1),0,1))</f>
        <v>0</v>
      </c>
      <c r="M22" s="295">
        <f>IF(K22="","",IF(LEFT(K22,1)&gt;RIGHT(K22,1),0,1))</f>
        <v>1</v>
      </c>
      <c r="Q22" s="1" t="str">
        <f t="shared" si="2"/>
        <v/>
      </c>
    </row>
    <row r="23" spans="1:18">
      <c r="A23" s="7"/>
      <c r="B23" s="291"/>
      <c r="C23" s="8" t="str">
        <f>IF(ISBLANK(Finaal!C49), "", INDEX(Finaal!C38:C42, MATCH(MID(Finaal!C49,2,1), Finaal!B38:B42, 0)))</f>
        <v>Pert Marten LEHTLAAN</v>
      </c>
      <c r="D23" s="291"/>
      <c r="E23" s="8" t="str">
        <f>IF(ISBLANK(Finaal!C49), "", INDEX(Finaal!N38:N42, MATCH(MID(Finaal!C49,5,1), Finaal!M38:M42, 0)))</f>
        <v>Madis MOOS</v>
      </c>
      <c r="F23" s="293"/>
      <c r="G23" s="293"/>
      <c r="H23" s="293"/>
      <c r="I23" s="293"/>
      <c r="J23" s="293"/>
      <c r="K23" s="294"/>
      <c r="L23" s="295"/>
      <c r="M23" s="295"/>
    </row>
    <row r="24" spans="1:18">
      <c r="A24" s="7"/>
      <c r="B24" s="9" t="s">
        <v>9</v>
      </c>
      <c r="C24" s="8" t="str">
        <f>VLOOKUP(B24,Finaal!$B$38:$K$42,2,FALSE)</f>
        <v>Ilmar VUHKA</v>
      </c>
      <c r="D24" s="9" t="s">
        <v>12</v>
      </c>
      <c r="E24" s="8" t="str">
        <f>VLOOKUP(D24,Finaal!$M$38:$W$42,2,FALSE)</f>
        <v>Stanislav STROGOV</v>
      </c>
      <c r="F24" s="82" t="str">
        <f>IF(Finaal!E50=0,"",Finaal!E50)</f>
        <v>11:7</v>
      </c>
      <c r="G24" s="82" t="str">
        <f>IF(Finaal!H50=0,"",Finaal!H50)</f>
        <v>2:11</v>
      </c>
      <c r="H24" s="82" t="str">
        <f>IF(Finaal!K50=0,"",Finaal!K50)</f>
        <v>7:11</v>
      </c>
      <c r="I24" s="82" t="str">
        <f>IF(Finaal!N50=0,"",Finaal!N50)</f>
        <v>8:11</v>
      </c>
      <c r="J24" s="82" t="str">
        <f>IF(Finaal!Q50=0,"",Finaal!Q50)</f>
        <v/>
      </c>
      <c r="K24" s="53" t="s">
        <v>106</v>
      </c>
      <c r="L24" s="35">
        <f>IF(K24="","",IF(LEFT(K24,1)&lt;RIGHT(K24,1),0,1))</f>
        <v>0</v>
      </c>
      <c r="M24" s="35">
        <f>IF(K24="","",IF(LEFT(K24,1)&gt;RIGHT(K24,1),0,1))</f>
        <v>1</v>
      </c>
      <c r="Q24" s="1" t="str">
        <f t="shared" si="2"/>
        <v/>
      </c>
    </row>
    <row r="25" spans="1:18">
      <c r="A25" s="7"/>
      <c r="B25" s="9" t="s">
        <v>13</v>
      </c>
      <c r="C25" s="8" t="str">
        <f>VLOOKUP(B25,Finaal!$B$38:$K$42,2,FALSE)</f>
        <v>Pert Marten LEHTLAAN</v>
      </c>
      <c r="D25" s="9" t="s">
        <v>10</v>
      </c>
      <c r="E25" s="8" t="str">
        <f>VLOOKUP(D25,Finaal!$M$38:$W$42,2,FALSE)</f>
        <v>Tomasz LEWANDOWSKI</v>
      </c>
      <c r="F25" s="82" t="str">
        <f>IF(Finaal!E51=0,"",Finaal!E51)</f>
        <v>11:7</v>
      </c>
      <c r="G25" s="82" t="str">
        <f>IF(Finaal!H51=0,"",Finaal!H51)</f>
        <v>4:11</v>
      </c>
      <c r="H25" s="82" t="str">
        <f>IF(Finaal!K51=0,"",Finaal!K51)</f>
        <v>11:8</v>
      </c>
      <c r="I25" s="82" t="str">
        <f>IF(Finaal!N51=0,"",Finaal!N51)</f>
        <v>8:11</v>
      </c>
      <c r="J25" s="82" t="str">
        <f>IF(Finaal!Q51=0,"",Finaal!Q51)</f>
        <v>9:11</v>
      </c>
      <c r="K25" s="53" t="s">
        <v>103</v>
      </c>
      <c r="L25" s="35">
        <f>IF(K25="","",IF(LEFT(K25,1)&lt;RIGHT(K25,1),0,1))</f>
        <v>0</v>
      </c>
      <c r="M25" s="35">
        <f>IF(L25="","",IF(LEFT(K25,1)&gt;RIGHT(K25,1),0,1))</f>
        <v>1</v>
      </c>
      <c r="Q25" s="1" t="str">
        <f t="shared" si="2"/>
        <v/>
      </c>
    </row>
    <row r="26" spans="1:18">
      <c r="A26" s="7"/>
      <c r="B26" s="9" t="s">
        <v>11</v>
      </c>
      <c r="C26" s="8" t="str">
        <f>VLOOKUP(B26,Finaal!$B$38:$K$42,2,FALSE)</f>
        <v>Daniels KOGANS</v>
      </c>
      <c r="D26" s="9" t="s">
        <v>14</v>
      </c>
      <c r="E26" s="8" t="str">
        <f>VLOOKUP(D26,Finaal!$M$38:$W$42,2,FALSE)</f>
        <v>Madis MOOS</v>
      </c>
      <c r="F26" s="82" t="str">
        <f>IF(Finaal!E52=0,"",Finaal!E52)</f>
        <v/>
      </c>
      <c r="G26" s="82" t="str">
        <f>IF(Finaal!H52=0,"",Finaal!H52)</f>
        <v/>
      </c>
      <c r="H26" s="82" t="str">
        <f>IF(Finaal!K52=0,"",Finaal!K52)</f>
        <v/>
      </c>
      <c r="I26" s="82" t="str">
        <f>IF(Finaal!N52=0,"",Finaal!N52)</f>
        <v/>
      </c>
      <c r="J26" s="82" t="str">
        <f>IF(Finaal!Q52=0,"",Finaal!Q52)</f>
        <v/>
      </c>
      <c r="K26" s="53" t="str">
        <f>IF(F26="","",CONCATENATE(Abitabel6!G19,":",Abitabel6!N19))</f>
        <v/>
      </c>
      <c r="L26" s="35" t="str">
        <f>IF(K26="","",IF(LEFT(K26,1)&lt;RIGHT(K26,1),0,1))</f>
        <v/>
      </c>
      <c r="M26" s="35" t="str">
        <f>IF(L26="","",IF(LEFT(K26,1)&gt;RIGHT(K26,1),0,1))</f>
        <v/>
      </c>
      <c r="Q26" s="1" t="str">
        <f t="shared" si="2"/>
        <v>ERROR</v>
      </c>
    </row>
    <row r="27" spans="1:18">
      <c r="A27" s="7"/>
      <c r="B27" s="10"/>
      <c r="C27" s="33" t="str">
        <f>VLOOKUP(C18,Koosseisud!A:B,2,FALSE )</f>
        <v>Meeskond7</v>
      </c>
      <c r="D27" s="10"/>
      <c r="E27" s="33" t="str">
        <f>VLOOKUP(E18,Koosseisud!A:B,2,FALSE)</f>
        <v>Meeskond3</v>
      </c>
      <c r="F27" s="10"/>
      <c r="G27" s="10"/>
      <c r="H27" s="10"/>
      <c r="I27" s="10"/>
      <c r="J27" s="11"/>
      <c r="K27" s="12"/>
      <c r="L27" s="13">
        <v>2</v>
      </c>
      <c r="M27" s="13">
        <v>4</v>
      </c>
    </row>
    <row r="28" spans="1:18" ht="15">
      <c r="A28" s="2" t="s">
        <v>70</v>
      </c>
      <c r="B28" s="3">
        <f>IF(K29="","",SUM(L29:L36))</f>
        <v>1</v>
      </c>
      <c r="C28" s="4" t="str">
        <f>Finaal!G67</f>
        <v>Viimsi PINX</v>
      </c>
      <c r="D28" s="3">
        <f>IF(K29="","",SUM(M29:M36))</f>
        <v>4</v>
      </c>
      <c r="E28" s="4" t="str">
        <f>Finaal!R67</f>
        <v>TalTech Spordiklubi</v>
      </c>
      <c r="F28" s="5" t="s">
        <v>2</v>
      </c>
      <c r="G28" s="5" t="s">
        <v>3</v>
      </c>
      <c r="H28" s="5" t="s">
        <v>4</v>
      </c>
      <c r="I28" s="5" t="s">
        <v>5</v>
      </c>
      <c r="J28" s="5" t="s">
        <v>6</v>
      </c>
      <c r="K28" s="6" t="s">
        <v>7</v>
      </c>
      <c r="L28" s="287" t="s">
        <v>8</v>
      </c>
      <c r="M28" s="287"/>
      <c r="R28" s="1" t="str">
        <f>IF(OR(B28=4,D28=4),"","ERROR")</f>
        <v/>
      </c>
    </row>
    <row r="29" spans="1:18">
      <c r="A29" s="7" t="s">
        <v>625</v>
      </c>
      <c r="B29" s="9" t="s">
        <v>9</v>
      </c>
      <c r="C29" s="8" t="str">
        <f>VLOOKUP(B29,Finaal!$B$68:$K$72,2,FALSE)</f>
        <v>Sergei PETROV</v>
      </c>
      <c r="D29" s="9" t="s">
        <v>10</v>
      </c>
      <c r="E29" s="8" t="str">
        <f>VLOOKUP(D29,Finaal!$M$68:$W$72,2,FALSE)</f>
        <v>Tomasz LEWANDOWSKI</v>
      </c>
      <c r="F29" s="9" t="str">
        <f>IF(Finaal!E76=0,"",Finaal!E76)</f>
        <v>3:11</v>
      </c>
      <c r="G29" s="9" t="str">
        <f>IF(Finaal!H76=0,"",Finaal!H76)</f>
        <v>10:12</v>
      </c>
      <c r="H29" s="9" t="str">
        <f>IF(Finaal!K76=0,"",Finaal!K76)</f>
        <v>5:11</v>
      </c>
      <c r="I29" s="9" t="str">
        <f>IF(Finaal!N76=0,"",Finaal!N76)</f>
        <v/>
      </c>
      <c r="J29" s="9" t="str">
        <f>IF(Finaal!Q76=0,"",Finaal!Q76)</f>
        <v/>
      </c>
      <c r="K29" s="53" t="str">
        <f>IF(F29="","",CONCATENATE(Abitabel6!G22,":",Abitabel6!N22))</f>
        <v>0:3</v>
      </c>
      <c r="L29" s="35">
        <f>IF(K29="","",IF(LEFT(K29,1)&lt;RIGHT(K29,1),0,1))</f>
        <v>0</v>
      </c>
      <c r="M29" s="35">
        <f>IF(K29="","",IF(LEFT(K29,1)&gt;RIGHT(K29,1),0,1))</f>
        <v>1</v>
      </c>
      <c r="Q29" s="1" t="str">
        <f t="shared" si="2"/>
        <v/>
      </c>
    </row>
    <row r="30" spans="1:18">
      <c r="A30" s="7" t="s">
        <v>80</v>
      </c>
      <c r="B30" s="9" t="s">
        <v>11</v>
      </c>
      <c r="C30" s="8" t="str">
        <f>VLOOKUP(B30,Finaal!$B$68:$K$72,2,FALSE)</f>
        <v>Toomas LIBENE</v>
      </c>
      <c r="D30" s="9" t="s">
        <v>12</v>
      </c>
      <c r="E30" s="8" t="str">
        <f>VLOOKUP(D30,Finaal!$M$68:$W$72,2,FALSE)</f>
        <v>Madis MOOS</v>
      </c>
      <c r="F30" s="9" t="str">
        <f>IF(Finaal!E77=0,"",Finaal!E77)</f>
        <v>9:11</v>
      </c>
      <c r="G30" s="9" t="str">
        <f>IF(Finaal!H77=0,"",Finaal!H77)</f>
        <v>11:7</v>
      </c>
      <c r="H30" s="9" t="str">
        <f>IF(Finaal!K77=0,"",Finaal!K77)</f>
        <v>7:11</v>
      </c>
      <c r="I30" s="9" t="str">
        <f>IF(Finaal!N77=0,"",Finaal!N77)</f>
        <v>11:8</v>
      </c>
      <c r="J30" s="9" t="str">
        <f>IF(Finaal!Q77=0,"",Finaal!Q77)</f>
        <v>5:11</v>
      </c>
      <c r="K30" s="53" t="s">
        <v>103</v>
      </c>
      <c r="L30" s="35">
        <f t="shared" ref="L30:L31" si="5">IF(K30="","",IF(LEFT(K30,1)&lt;RIGHT(K30,1),0,1))</f>
        <v>0</v>
      </c>
      <c r="M30" s="35">
        <f t="shared" ref="M30:M31" si="6">IF(K30="","",IF(LEFT(K30,1)&gt;RIGHT(K30,1),0,1))</f>
        <v>1</v>
      </c>
      <c r="Q30" s="1" t="str">
        <f t="shared" si="2"/>
        <v/>
      </c>
    </row>
    <row r="31" spans="1:18">
      <c r="A31" s="7"/>
      <c r="B31" s="9" t="s">
        <v>13</v>
      </c>
      <c r="C31" s="8" t="str">
        <f>VLOOKUP(B31,Finaal!$B$68:$K$72,2,FALSE)</f>
        <v>Daniel KOSIBA</v>
      </c>
      <c r="D31" s="9" t="s">
        <v>14</v>
      </c>
      <c r="E31" s="8" t="str">
        <f>VLOOKUP(D31,Finaal!$M$68:$W$72,2,FALSE)</f>
        <v>Vallot VAINULA</v>
      </c>
      <c r="F31" s="9" t="str">
        <f>IF(Finaal!E78=0,"",Finaal!E78)</f>
        <v>13:11</v>
      </c>
      <c r="G31" s="9" t="str">
        <f>IF(Finaal!H78=0,"",Finaal!H78)</f>
        <v>11:7</v>
      </c>
      <c r="H31" s="9" t="str">
        <f>IF(Finaal!K78=0,"",Finaal!K78)</f>
        <v>11:7</v>
      </c>
      <c r="I31" s="9" t="str">
        <f>IF(Finaal!N78=0,"",Finaal!N78)</f>
        <v/>
      </c>
      <c r="J31" s="9" t="str">
        <f>IF(Finaal!Q78=0,"",Finaal!Q78)</f>
        <v/>
      </c>
      <c r="K31" s="53" t="s">
        <v>107</v>
      </c>
      <c r="L31" s="35">
        <f t="shared" si="5"/>
        <v>1</v>
      </c>
      <c r="M31" s="35">
        <f t="shared" si="6"/>
        <v>0</v>
      </c>
      <c r="Q31" s="1" t="str">
        <f t="shared" si="2"/>
        <v/>
      </c>
    </row>
    <row r="32" spans="1:18">
      <c r="A32" s="7"/>
      <c r="B32" s="290" t="s">
        <v>15</v>
      </c>
      <c r="C32" s="8" t="str">
        <f>IF(ISBLANK(Finaal!C79), "", INDEX(Finaal!C68:C72, MATCH(MID(Finaal!C79,1,1), Finaal!B68:B72, 0)))</f>
        <v>Toomas LIBENE</v>
      </c>
      <c r="D32" s="290" t="s">
        <v>15</v>
      </c>
      <c r="E32" s="8" t="str">
        <f>IF(ISBLANK(Finaal!C79), "", INDEX(Finaal!N68:N72, MATCH(MID(Finaal!C79,4,1), Finaal!M68:M72, 0)))</f>
        <v>Madis MOOS</v>
      </c>
      <c r="F32" s="292" t="str">
        <f>IF(Finaal!E79=0,"",Finaal!E79)</f>
        <v>2:11</v>
      </c>
      <c r="G32" s="292" t="str">
        <f>IF(Finaal!H79=0,"",Finaal!H79)</f>
        <v>9:11</v>
      </c>
      <c r="H32" s="292" t="str">
        <f>IF(Finaal!K79=0,"",Finaal!K79)</f>
        <v>11:13</v>
      </c>
      <c r="I32" s="292" t="str">
        <f>IF(Finaal!N79=0,"",Finaal!N79)</f>
        <v/>
      </c>
      <c r="J32" s="292" t="str">
        <f>IF(Finaal!Q79=0,"",Finaal!Q79)</f>
        <v/>
      </c>
      <c r="K32" s="294" t="s">
        <v>104</v>
      </c>
      <c r="L32" s="295">
        <f>IF(K32="","",IF(LEFT(K32,1)&lt;RIGHT(K32,1),0,1))</f>
        <v>0</v>
      </c>
      <c r="M32" s="295">
        <f>IF(K32="","",IF(LEFT(K32,1)&gt;RIGHT(K32,1),0,1))</f>
        <v>1</v>
      </c>
      <c r="Q32" s="1" t="str">
        <f t="shared" si="2"/>
        <v/>
      </c>
    </row>
    <row r="33" spans="1:18">
      <c r="A33" s="7"/>
      <c r="B33" s="291"/>
      <c r="C33" s="8" t="str">
        <f>IF(ISBLANK(Finaal!C79), "", INDEX(Finaal!C68:C72, MATCH(MID(Finaal!C79,2,1), Finaal!B68:B72, 0)))</f>
        <v>Daniel KOSIBA</v>
      </c>
      <c r="D33" s="291"/>
      <c r="E33" s="8" t="str">
        <f>IF(ISBLANK(Finaal!C79), "", INDEX(Finaal!N68:N72, MATCH(MID(Finaal!C79,5,1), Finaal!M68:M72, 0)))</f>
        <v>Tomasz LEWANDOWSKI</v>
      </c>
      <c r="F33" s="293"/>
      <c r="G33" s="293"/>
      <c r="H33" s="293"/>
      <c r="I33" s="293"/>
      <c r="J33" s="293"/>
      <c r="K33" s="294"/>
      <c r="L33" s="295"/>
      <c r="M33" s="295"/>
    </row>
    <row r="34" spans="1:18">
      <c r="A34" s="7"/>
      <c r="B34" s="9" t="s">
        <v>9</v>
      </c>
      <c r="C34" s="8" t="str">
        <f>VLOOKUP(B34,Finaal!$B$68:$K$72,2,FALSE)</f>
        <v>Sergei PETROV</v>
      </c>
      <c r="D34" s="9" t="s">
        <v>12</v>
      </c>
      <c r="E34" s="8" t="str">
        <f>VLOOKUP(D34,Finaal!$M$68:$W$72,2,FALSE)</f>
        <v>Madis MOOS</v>
      </c>
      <c r="F34" s="82" t="str">
        <f>IF(Finaal!E80=0,"",Finaal!E80)</f>
        <v>10:12</v>
      </c>
      <c r="G34" s="82" t="str">
        <f>IF(Finaal!H80=0,"",Finaal!H80)</f>
        <v>9:11</v>
      </c>
      <c r="H34" s="82" t="str">
        <f>IF(Finaal!K80=0,"",Finaal!K80)</f>
        <v>2:11</v>
      </c>
      <c r="I34" s="82" t="str">
        <f>IF(Finaal!N80=0,"",Finaal!N80)</f>
        <v/>
      </c>
      <c r="J34" s="82" t="str">
        <f>IF(Finaal!Q80=0,"",Finaal!Q80)</f>
        <v/>
      </c>
      <c r="K34" s="53" t="str">
        <f>IF(F34="","",CONCATENATE(Abitabel6!G27,":",Abitabel6!N27))</f>
        <v>0:3</v>
      </c>
      <c r="L34" s="35">
        <f>IF(K34="","",IF(LEFT(K34,1)&lt;RIGHT(K34,1),0,1))</f>
        <v>0</v>
      </c>
      <c r="M34" s="35">
        <f>IF(K34="","",IF(LEFT(K34,1)&gt;RIGHT(K34,1),0,1))</f>
        <v>1</v>
      </c>
      <c r="Q34" s="1" t="str">
        <f t="shared" si="2"/>
        <v/>
      </c>
    </row>
    <row r="35" spans="1:18">
      <c r="A35" s="7"/>
      <c r="B35" s="9" t="s">
        <v>13</v>
      </c>
      <c r="C35" s="8" t="str">
        <f>VLOOKUP(B35,Finaal!$B$68:$K$72,2,FALSE)</f>
        <v>Daniel KOSIBA</v>
      </c>
      <c r="D35" s="9" t="s">
        <v>10</v>
      </c>
      <c r="E35" s="8" t="str">
        <f>VLOOKUP(D35,Finaal!$M$68:$W$72,2,FALSE)</f>
        <v>Tomasz LEWANDOWSKI</v>
      </c>
      <c r="F35" s="82" t="str">
        <f>IF(Finaal!E81=0,"",Finaal!E81)</f>
        <v/>
      </c>
      <c r="G35" s="82" t="str">
        <f>IF(Finaal!H81=0,"",Finaal!H81)</f>
        <v/>
      </c>
      <c r="H35" s="82" t="str">
        <f>IF(Finaal!K81=0,"",Finaal!K81)</f>
        <v/>
      </c>
      <c r="I35" s="82" t="str">
        <f>IF(Finaal!N81=0,"",Finaal!N81)</f>
        <v/>
      </c>
      <c r="J35" s="82" t="str">
        <f>IF(Finaal!Q81=0,"",Finaal!Q81)</f>
        <v/>
      </c>
      <c r="K35" s="53" t="str">
        <f>IF(F35="","",CONCATENATE(Abitabel6!G28,":",Abitabel6!N28))</f>
        <v/>
      </c>
      <c r="L35" s="35" t="str">
        <f>IF(K35="","",IF(LEFT(K35,1)&lt;RIGHT(K35,1),0,1))</f>
        <v/>
      </c>
      <c r="M35" s="35" t="str">
        <f>IF(L35="","",IF(LEFT(K35,1)&gt;RIGHT(K35,1),0,1))</f>
        <v/>
      </c>
      <c r="Q35" s="1" t="str">
        <f t="shared" si="2"/>
        <v>ERROR</v>
      </c>
    </row>
    <row r="36" spans="1:18">
      <c r="A36" s="7"/>
      <c r="B36" s="9" t="s">
        <v>11</v>
      </c>
      <c r="C36" s="8" t="str">
        <f>VLOOKUP(B36,Finaal!$B$68:$K$72,2,FALSE)</f>
        <v>Toomas LIBENE</v>
      </c>
      <c r="D36" s="9" t="s">
        <v>14</v>
      </c>
      <c r="E36" s="8" t="str">
        <f>VLOOKUP(D36,Finaal!$M$68:$W$72,2,FALSE)</f>
        <v>Vallot VAINULA</v>
      </c>
      <c r="F36" s="82" t="str">
        <f>IF(Finaal!E82=0,"",Finaal!E82)</f>
        <v/>
      </c>
      <c r="G36" s="82" t="str">
        <f>IF(Finaal!H82=0,"",Finaal!H82)</f>
        <v/>
      </c>
      <c r="H36" s="82" t="str">
        <f>IF(Finaal!K82=0,"",Finaal!K82)</f>
        <v/>
      </c>
      <c r="I36" s="82" t="str">
        <f>IF(Finaal!N82=0,"",Finaal!N82)</f>
        <v/>
      </c>
      <c r="J36" s="82" t="str">
        <f>IF(Finaal!Q82=0,"",Finaal!Q82)</f>
        <v/>
      </c>
      <c r="K36" s="53" t="str">
        <f>IF(F36="","",CONCATENATE(Abitabel6!G29,":",Abitabel6!N29))</f>
        <v/>
      </c>
      <c r="L36" s="35" t="str">
        <f>IF(K36="","",IF(LEFT(K36,1)&lt;RIGHT(K36,1),0,1))</f>
        <v/>
      </c>
      <c r="M36" s="35" t="str">
        <f>IF(L36="","",IF(LEFT(K36,1)&gt;RIGHT(K36,1),0,1))</f>
        <v/>
      </c>
      <c r="Q36" s="1" t="str">
        <f t="shared" si="2"/>
        <v>ERROR</v>
      </c>
    </row>
    <row r="37" spans="1:18">
      <c r="A37" s="7"/>
      <c r="B37" s="10"/>
      <c r="C37" s="33" t="str">
        <f>VLOOKUP(C28,Koosseisud!A:B,2,FALSE )</f>
        <v>Meeskond2</v>
      </c>
      <c r="D37" s="10"/>
      <c r="E37" s="33" t="str">
        <f>VLOOKUP(E28,Koosseisud!A:B,2,FALSE)</f>
        <v>Meeskond3</v>
      </c>
      <c r="F37" s="10"/>
      <c r="G37" s="10"/>
      <c r="H37" s="10"/>
      <c r="I37" s="10"/>
      <c r="J37" s="11"/>
      <c r="K37" s="12"/>
      <c r="L37" s="13">
        <v>1</v>
      </c>
      <c r="M37" s="13">
        <v>4</v>
      </c>
    </row>
    <row r="38" spans="1:18" ht="15">
      <c r="A38" s="2" t="s">
        <v>71</v>
      </c>
      <c r="B38" s="3">
        <f>IF(K39="","",SUM(L39:L46))</f>
        <v>4</v>
      </c>
      <c r="C38" s="4" t="str">
        <f>Finaal!G97</f>
        <v>Viimsi LTK/EM-SERV</v>
      </c>
      <c r="D38" s="3">
        <f>IF(K39="","",SUM(M39:M46))</f>
        <v>3</v>
      </c>
      <c r="E38" s="4" t="str">
        <f>Finaal!R97</f>
        <v>Tartu SS Kalev</v>
      </c>
      <c r="F38" s="5" t="s">
        <v>2</v>
      </c>
      <c r="G38" s="5" t="s">
        <v>3</v>
      </c>
      <c r="H38" s="5" t="s">
        <v>4</v>
      </c>
      <c r="I38" s="5" t="s">
        <v>5</v>
      </c>
      <c r="J38" s="5" t="s">
        <v>6</v>
      </c>
      <c r="K38" s="6" t="s">
        <v>7</v>
      </c>
      <c r="L38" s="287" t="s">
        <v>8</v>
      </c>
      <c r="M38" s="287"/>
      <c r="R38" s="1" t="str">
        <f>IF(OR(B38=4,D38=4),"","ERROR")</f>
        <v/>
      </c>
    </row>
    <row r="39" spans="1:18">
      <c r="A39" s="7" t="s">
        <v>630</v>
      </c>
      <c r="B39" s="9" t="s">
        <v>9</v>
      </c>
      <c r="C39" s="8" t="str">
        <f>VLOOKUP(B39,Finaal!$B$98:$K$102,2,FALSE)</f>
        <v>Daniels KOGANS</v>
      </c>
      <c r="D39" s="9" t="s">
        <v>10</v>
      </c>
      <c r="E39" s="8" t="str">
        <f>VLOOKUP(D39,Finaal!$M$98:$W$102,2,FALSE)</f>
        <v>Arttu Antero PIHKALA</v>
      </c>
      <c r="F39" s="9" t="str">
        <f>IF(Finaal!E106=0,"",Finaal!E106)</f>
        <v>9:11</v>
      </c>
      <c r="G39" s="9" t="str">
        <f>IF(Finaal!H106=0,"",Finaal!H106)</f>
        <v>11:7</v>
      </c>
      <c r="H39" s="9" t="str">
        <f>IF(Finaal!K106=0,"",Finaal!K106)</f>
        <v>5:11</v>
      </c>
      <c r="I39" s="9" t="str">
        <f>IF(Finaal!N106=0,"",Finaal!N106)</f>
        <v>11:9</v>
      </c>
      <c r="J39" s="9" t="str">
        <f>IF(Finaal!Q106=0,"",Finaal!Q106)</f>
        <v>11:4</v>
      </c>
      <c r="K39" s="53" t="s">
        <v>105</v>
      </c>
      <c r="L39" s="35">
        <f>IF(K39="","",IF(LEFT(K39,1)&lt;RIGHT(K39,1),0,1))</f>
        <v>1</v>
      </c>
      <c r="M39" s="35">
        <f>IF(K39="","",IF(LEFT(K39,1)&gt;RIGHT(K39,1),0,1))</f>
        <v>0</v>
      </c>
      <c r="Q39" s="1" t="str">
        <f t="shared" si="2"/>
        <v/>
      </c>
    </row>
    <row r="40" spans="1:18">
      <c r="A40" s="7" t="s">
        <v>464</v>
      </c>
      <c r="B40" s="9" t="s">
        <v>11</v>
      </c>
      <c r="C40" s="8" t="str">
        <f>VLOOKUP(B40,Finaal!$B$98:$K$102,2,FALSE)</f>
        <v>Pert Marten LEHTLAAN</v>
      </c>
      <c r="D40" s="9" t="s">
        <v>12</v>
      </c>
      <c r="E40" s="8" t="str">
        <f>VLOOKUP(D40,Finaal!$M$98:$W$102,2,FALSE)</f>
        <v>Markkos PUKK</v>
      </c>
      <c r="F40" s="9" t="str">
        <f>IF(Finaal!E107=0,"",Finaal!E107)</f>
        <v>4:11</v>
      </c>
      <c r="G40" s="9" t="str">
        <f>IF(Finaal!H107=0,"",Finaal!H107)</f>
        <v>8:11</v>
      </c>
      <c r="H40" s="9" t="str">
        <f>IF(Finaal!K107=0,"",Finaal!K107)</f>
        <v>11:9</v>
      </c>
      <c r="I40" s="9" t="str">
        <f>IF(Finaal!N107=0,"",Finaal!N107)</f>
        <v>11:7</v>
      </c>
      <c r="J40" s="9" t="str">
        <f>IF(Finaal!Q107=0,"",Finaal!Q107)</f>
        <v>11:7</v>
      </c>
      <c r="K40" s="53" t="s">
        <v>105</v>
      </c>
      <c r="L40" s="35">
        <f t="shared" ref="L40:L41" si="7">IF(K40="","",IF(LEFT(K40,1)&lt;RIGHT(K40,1),0,1))</f>
        <v>1</v>
      </c>
      <c r="M40" s="35">
        <f t="shared" ref="M40:M41" si="8">IF(K40="","",IF(LEFT(K40,1)&gt;RIGHT(K40,1),0,1))</f>
        <v>0</v>
      </c>
      <c r="Q40" s="1" t="str">
        <f t="shared" si="2"/>
        <v/>
      </c>
    </row>
    <row r="41" spans="1:18">
      <c r="A41" s="7"/>
      <c r="B41" s="9" t="s">
        <v>13</v>
      </c>
      <c r="C41" s="8" t="str">
        <f>VLOOKUP(B41,Finaal!$B$98:$K$102,2,FALSE)</f>
        <v>Ilmar VUHKA</v>
      </c>
      <c r="D41" s="9" t="s">
        <v>14</v>
      </c>
      <c r="E41" s="8" t="str">
        <f>VLOOKUP(D41,Finaal!$M$98:$W$102,2,FALSE)</f>
        <v>Mart LUUK</v>
      </c>
      <c r="F41" s="9" t="str">
        <f>IF(Finaal!E108=0,"",Finaal!E108)</f>
        <v>7:11</v>
      </c>
      <c r="G41" s="9" t="str">
        <f>IF(Finaal!H108=0,"",Finaal!H108)</f>
        <v>11:5</v>
      </c>
      <c r="H41" s="9" t="str">
        <f>IF(Finaal!K108=0,"",Finaal!K108)</f>
        <v>9:11</v>
      </c>
      <c r="I41" s="9" t="str">
        <f>IF(Finaal!N108=0,"",Finaal!N108)</f>
        <v>11:7</v>
      </c>
      <c r="J41" s="9" t="str">
        <f>IF(Finaal!Q108=0,"",Finaal!Q108)</f>
        <v>4:11</v>
      </c>
      <c r="K41" s="53" t="s">
        <v>103</v>
      </c>
      <c r="L41" s="35">
        <f t="shared" si="7"/>
        <v>0</v>
      </c>
      <c r="M41" s="35">
        <f t="shared" si="8"/>
        <v>1</v>
      </c>
      <c r="Q41" s="1" t="str">
        <f t="shared" si="2"/>
        <v/>
      </c>
    </row>
    <row r="42" spans="1:18">
      <c r="A42" s="7"/>
      <c r="B42" s="290" t="s">
        <v>15</v>
      </c>
      <c r="C42" s="8" t="str">
        <f>IF(ISBLANK(Finaal!C109), "", INDEX(Finaal!C98:C102, MATCH(MID(Finaal!C109,1,1), Finaal!B98:B102, 0)))</f>
        <v>Pert Marten LEHTLAAN</v>
      </c>
      <c r="D42" s="290" t="s">
        <v>15</v>
      </c>
      <c r="E42" s="8" t="str">
        <f>IF(ISBLANK(Finaal!C109), "", INDEX(Finaal!N98:N102, MATCH(MID(Finaal!C109,4,1), Finaal!M98:M102, 0)))</f>
        <v>Markkos PUKK</v>
      </c>
      <c r="F42" s="292" t="str">
        <f>IF(Finaal!E109=0,"",Finaal!E109)</f>
        <v>11:4</v>
      </c>
      <c r="G42" s="292" t="str">
        <f>IF(Finaal!H109=0,"",Finaal!H109)</f>
        <v>12:10</v>
      </c>
      <c r="H42" s="292" t="str">
        <f>IF(Finaal!K109=0,"",Finaal!K109)</f>
        <v>11:8</v>
      </c>
      <c r="I42" s="292" t="str">
        <f>IF(Finaal!N109=0,"",Finaal!N109)</f>
        <v/>
      </c>
      <c r="J42" s="292" t="str">
        <f>IF(Finaal!Q109=0,"",Finaal!Q109)</f>
        <v/>
      </c>
      <c r="K42" s="294" t="str">
        <f>IF(F42="","",CONCATENATE(Abitabel6!G35,":",Abitabel6!N35))</f>
        <v>3:0</v>
      </c>
      <c r="L42" s="295">
        <f>IF(K42="","",IF(LEFT(K42,1)&lt;RIGHT(K42,1),0,1))</f>
        <v>1</v>
      </c>
      <c r="M42" s="295">
        <f>IF(K42="","",IF(LEFT(K42,1)&gt;RIGHT(K42,1),0,1))</f>
        <v>0</v>
      </c>
      <c r="Q42" s="1" t="str">
        <f t="shared" si="2"/>
        <v/>
      </c>
    </row>
    <row r="43" spans="1:18">
      <c r="A43" s="7"/>
      <c r="B43" s="291"/>
      <c r="C43" s="8" t="str">
        <f>IF(ISBLANK(Finaal!C109), "", INDEX(Finaal!C98:C102, MATCH(MID(Finaal!C109,2,1), Finaal!B98:B102, 0)))</f>
        <v>Ilmar VUHKA</v>
      </c>
      <c r="D43" s="291"/>
      <c r="E43" s="8" t="str">
        <f>IF(ISBLANK(Finaal!C109), "", INDEX(Finaal!N98:N102, MATCH(MID(Finaal!C109,5,1), Finaal!M98:M102, 0)))</f>
        <v>Mart LUUK</v>
      </c>
      <c r="F43" s="293"/>
      <c r="G43" s="293"/>
      <c r="H43" s="293"/>
      <c r="I43" s="293"/>
      <c r="J43" s="293"/>
      <c r="K43" s="294"/>
      <c r="L43" s="295"/>
      <c r="M43" s="295"/>
    </row>
    <row r="44" spans="1:18">
      <c r="A44" s="7"/>
      <c r="B44" s="9" t="s">
        <v>9</v>
      </c>
      <c r="C44" s="8" t="str">
        <f>VLOOKUP(B44,Finaal!$B$98:$K$102,2,FALSE)</f>
        <v>Daniels KOGANS</v>
      </c>
      <c r="D44" s="9" t="s">
        <v>12</v>
      </c>
      <c r="E44" s="8" t="str">
        <f>VLOOKUP(D44,Finaal!$M$98:$W$102,2,FALSE)</f>
        <v>Markkos PUKK</v>
      </c>
      <c r="F44" s="82" t="str">
        <f>IF(Finaal!E110=0,"",Finaal!E110)</f>
        <v>13:11</v>
      </c>
      <c r="G44" s="82" t="str">
        <f>IF(Finaal!H110=0,"",Finaal!H110)</f>
        <v>9:11</v>
      </c>
      <c r="H44" s="82" t="str">
        <f>IF(Finaal!K110=0,"",Finaal!K110)</f>
        <v>8:11</v>
      </c>
      <c r="I44" s="82" t="str">
        <f>IF(Finaal!N110=0,"",Finaal!N110)</f>
        <v>9:11</v>
      </c>
      <c r="J44" s="82" t="str">
        <f>IF(Finaal!Q110=0,"",Finaal!Q110)</f>
        <v/>
      </c>
      <c r="K44" s="53" t="s">
        <v>106</v>
      </c>
      <c r="L44" s="35">
        <f>IF(K44="","",IF(LEFT(K44,1)&lt;RIGHT(K44,1),0,1))</f>
        <v>0</v>
      </c>
      <c r="M44" s="35">
        <f>IF(K44="","",IF(LEFT(K44,1)&gt;RIGHT(K44,1),0,1))</f>
        <v>1</v>
      </c>
      <c r="Q44" s="1" t="str">
        <f t="shared" si="2"/>
        <v/>
      </c>
    </row>
    <row r="45" spans="1:18">
      <c r="A45" s="7"/>
      <c r="B45" s="9" t="s">
        <v>13</v>
      </c>
      <c r="C45" s="8" t="str">
        <f>VLOOKUP(B45,Finaal!$B$98:$K$102,2,FALSE)</f>
        <v>Ilmar VUHKA</v>
      </c>
      <c r="D45" s="9" t="s">
        <v>10</v>
      </c>
      <c r="E45" s="8" t="str">
        <f>VLOOKUP(D45,Finaal!$M$98:$W$102,2,FALSE)</f>
        <v>Arttu Antero PIHKALA</v>
      </c>
      <c r="F45" s="82" t="str">
        <f>IF(Finaal!E111=0,"",Finaal!E111)</f>
        <v>11:2</v>
      </c>
      <c r="G45" s="82" t="str">
        <f>IF(Finaal!H111=0,"",Finaal!H111)</f>
        <v>13:15</v>
      </c>
      <c r="H45" s="82" t="str">
        <f>IF(Finaal!K111=0,"",Finaal!K111)</f>
        <v>7:11</v>
      </c>
      <c r="I45" s="82" t="str">
        <f>IF(Finaal!N111=0,"",Finaal!N111)</f>
        <v>9:11</v>
      </c>
      <c r="J45" s="82" t="str">
        <f>IF(Finaal!Q111=0,"",Finaal!Q111)</f>
        <v/>
      </c>
      <c r="K45" s="53" t="s">
        <v>106</v>
      </c>
      <c r="L45" s="35">
        <f>IF(K45="","",IF(LEFT(K45,1)&lt;RIGHT(K45,1),0,1))</f>
        <v>0</v>
      </c>
      <c r="M45" s="35">
        <f>IF(L45="","",IF(LEFT(K45,1)&gt;RIGHT(K45,1),0,1))</f>
        <v>1</v>
      </c>
      <c r="Q45" s="1" t="str">
        <f t="shared" si="2"/>
        <v/>
      </c>
    </row>
    <row r="46" spans="1:18">
      <c r="A46" s="7"/>
      <c r="B46" s="9" t="s">
        <v>11</v>
      </c>
      <c r="C46" s="8" t="str">
        <f>VLOOKUP(B46,Finaal!$B$98:$K$102,2,FALSE)</f>
        <v>Pert Marten LEHTLAAN</v>
      </c>
      <c r="D46" s="9" t="s">
        <v>14</v>
      </c>
      <c r="E46" s="8" t="str">
        <f>VLOOKUP(D46,Finaal!$M$98:$W$102,2,FALSE)</f>
        <v>Mart LUUK</v>
      </c>
      <c r="F46" s="82" t="str">
        <f>IF(Finaal!E112=0,"",Finaal!E112)</f>
        <v>11:3</v>
      </c>
      <c r="G46" s="82" t="str">
        <f>IF(Finaal!H112=0,"",Finaal!H112)</f>
        <v>11:9</v>
      </c>
      <c r="H46" s="82" t="str">
        <f>IF(Finaal!K112=0,"",Finaal!K112)</f>
        <v>11:7</v>
      </c>
      <c r="I46" s="82" t="str">
        <f>IF(Finaal!N112=0,"",Finaal!N112)</f>
        <v/>
      </c>
      <c r="J46" s="82" t="str">
        <f>IF(Finaal!Q112=0,"",Finaal!Q112)</f>
        <v/>
      </c>
      <c r="K46" s="53" t="s">
        <v>107</v>
      </c>
      <c r="L46" s="35">
        <f>IF(K46="","",IF(LEFT(K46,1)&lt;RIGHT(K46,1),0,1))</f>
        <v>1</v>
      </c>
      <c r="M46" s="35">
        <f>IF(L46="","",IF(LEFT(K46,1)&gt;RIGHT(K46,1),0,1))</f>
        <v>0</v>
      </c>
      <c r="Q46" s="1" t="str">
        <f t="shared" si="2"/>
        <v/>
      </c>
    </row>
    <row r="47" spans="1:18">
      <c r="A47" s="7"/>
      <c r="B47" s="10"/>
      <c r="C47" s="33" t="str">
        <f>VLOOKUP(C38,Koosseisud!A:B,2,FALSE )</f>
        <v>Meeskond7</v>
      </c>
      <c r="D47" s="10"/>
      <c r="E47" s="33" t="str">
        <f>VLOOKUP(E38,Koosseisud!A:B,2,FALSE)</f>
        <v>Meeskond4</v>
      </c>
      <c r="F47" s="10"/>
      <c r="G47" s="10"/>
      <c r="H47" s="10"/>
      <c r="I47" s="10"/>
      <c r="J47" s="11"/>
      <c r="K47" s="12"/>
      <c r="L47" s="13">
        <v>4</v>
      </c>
      <c r="M47" s="13">
        <v>3</v>
      </c>
    </row>
    <row r="48" spans="1:18">
      <c r="C48" s="34" t="e">
        <f>VLOOKUP(#REF!,Koosseisud!A:B,2,FALSE)</f>
        <v>#REF!</v>
      </c>
      <c r="E48" s="34" t="e">
        <f>VLOOKUP(#REF!,Koosseisud!A:B,2,FALSE)</f>
        <v>#REF!</v>
      </c>
    </row>
  </sheetData>
  <mergeCells count="49">
    <mergeCell ref="M32:M33"/>
    <mergeCell ref="L38:M38"/>
    <mergeCell ref="I42:I43"/>
    <mergeCell ref="J42:J43"/>
    <mergeCell ref="K42:K43"/>
    <mergeCell ref="L42:L43"/>
    <mergeCell ref="M42:M43"/>
    <mergeCell ref="I32:I33"/>
    <mergeCell ref="B42:B43"/>
    <mergeCell ref="D42:D43"/>
    <mergeCell ref="F42:F43"/>
    <mergeCell ref="G42:G43"/>
    <mergeCell ref="H42:H43"/>
    <mergeCell ref="B32:B33"/>
    <mergeCell ref="D32:D33"/>
    <mergeCell ref="F32:F33"/>
    <mergeCell ref="G32:G33"/>
    <mergeCell ref="H32:H33"/>
    <mergeCell ref="I22:I23"/>
    <mergeCell ref="J22:J23"/>
    <mergeCell ref="K22:K23"/>
    <mergeCell ref="L22:L23"/>
    <mergeCell ref="J32:J33"/>
    <mergeCell ref="K32:K33"/>
    <mergeCell ref="L32:L33"/>
    <mergeCell ref="M22:M23"/>
    <mergeCell ref="L28:M28"/>
    <mergeCell ref="J11:J12"/>
    <mergeCell ref="K11:K12"/>
    <mergeCell ref="L11:L12"/>
    <mergeCell ref="M11:M12"/>
    <mergeCell ref="L18:M18"/>
    <mergeCell ref="B22:B23"/>
    <mergeCell ref="D22:D23"/>
    <mergeCell ref="F22:F23"/>
    <mergeCell ref="G22:G23"/>
    <mergeCell ref="H22:H23"/>
    <mergeCell ref="I11:I12"/>
    <mergeCell ref="A1:N1"/>
    <mergeCell ref="A2:N2"/>
    <mergeCell ref="A3:N3"/>
    <mergeCell ref="A4:N4"/>
    <mergeCell ref="A5:N5"/>
    <mergeCell ref="L7:M7"/>
    <mergeCell ref="B11:B12"/>
    <mergeCell ref="D11:D12"/>
    <mergeCell ref="F11:F12"/>
    <mergeCell ref="G11:G12"/>
    <mergeCell ref="H11:H12"/>
  </mergeCells>
  <conditionalFormatting sqref="D8:D10 B8:B10 B13:B17 D19:D21 B19:B21 D13:D17 B24:B47 D24:D31 D34:D41 D44:D47">
    <cfRule type="expression" dxfId="10" priority="26" stopIfTrue="1">
      <formula>#REF!=3</formula>
    </cfRule>
  </conditionalFormatting>
  <conditionalFormatting sqref="E7:E10 C7:C10 C13:C21 E13:E21 E24:E31 C24:C31 C34:C41 E34:E41 E44:E47 C44:C47">
    <cfRule type="cellIs" dxfId="9" priority="25" stopIfTrue="1" operator="equal">
      <formula>0</formula>
    </cfRule>
  </conditionalFormatting>
  <conditionalFormatting sqref="B11 B37 D37 B46 D46 D40 B40 B22 D30:D31 B30:B32 B42">
    <cfRule type="expression" dxfId="8" priority="24" stopIfTrue="1">
      <formula>#REF!=3</formula>
    </cfRule>
  </conditionalFormatting>
  <conditionalFormatting sqref="E11:E12 C11:C12">
    <cfRule type="cellIs" dxfId="7" priority="23" stopIfTrue="1" operator="equal">
      <formula>0</formula>
    </cfRule>
  </conditionalFormatting>
  <conditionalFormatting sqref="D11">
    <cfRule type="expression" dxfId="6" priority="22" stopIfTrue="1">
      <formula>#REF!=3</formula>
    </cfRule>
  </conditionalFormatting>
  <conditionalFormatting sqref="E22:E23 C22:C23">
    <cfRule type="cellIs" dxfId="5" priority="21" stopIfTrue="1" operator="equal">
      <formula>0</formula>
    </cfRule>
  </conditionalFormatting>
  <conditionalFormatting sqref="D22">
    <cfRule type="expression" dxfId="4" priority="20" stopIfTrue="1">
      <formula>#REF!=3</formula>
    </cfRule>
  </conditionalFormatting>
  <conditionalFormatting sqref="E32:E33 C32:C33">
    <cfRule type="cellIs" dxfId="3" priority="19" stopIfTrue="1" operator="equal">
      <formula>0</formula>
    </cfRule>
  </conditionalFormatting>
  <conditionalFormatting sqref="D32">
    <cfRule type="expression" dxfId="2" priority="18" stopIfTrue="1">
      <formula>#REF!=3</formula>
    </cfRule>
  </conditionalFormatting>
  <conditionalFormatting sqref="E42:E43 C42:C43">
    <cfRule type="cellIs" dxfId="1" priority="17" stopIfTrue="1" operator="equal">
      <formula>0</formula>
    </cfRule>
  </conditionalFormatting>
  <conditionalFormatting sqref="D42">
    <cfRule type="expression" dxfId="0" priority="16" stopIfTrue="1">
      <formula>#REF!=3</formula>
    </cfRule>
  </conditionalFormatting>
  <pageMargins left="0.7" right="0.7" top="0.75" bottom="0.75" header="0.3" footer="0.3"/>
  <pageSetup paperSize="9" scale="95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E87088-6E40-46D0-8E1E-45A4939B22E4}">
          <x14:formula1>
            <xm:f>Abitabel!$J$1:$J$20</xm:f>
          </x14:formula1>
          <xm:sqref>K39:K46 K19:K26 K29:K36 K8:K15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98"/>
  <sheetViews>
    <sheetView topLeftCell="A15" zoomScaleNormal="100" workbookViewId="0">
      <selection activeCell="E31" sqref="E31"/>
    </sheetView>
  </sheetViews>
  <sheetFormatPr defaultRowHeight="12.75"/>
  <cols>
    <col min="1" max="1" width="34.42578125" style="1" bestFit="1" customWidth="1"/>
    <col min="2" max="2" width="10.5703125" style="1" bestFit="1" customWidth="1"/>
    <col min="3" max="3" width="9.28515625" style="1"/>
    <col min="4" max="4" width="3.7109375" style="1" customWidth="1"/>
    <col min="5" max="5" width="6.28515625" style="1" customWidth="1"/>
    <col min="6" max="6" width="12.28515625" style="1" bestFit="1" customWidth="1"/>
    <col min="7" max="7" width="21" style="1" bestFit="1" customWidth="1"/>
    <col min="8" max="8" width="23.7109375" style="1" bestFit="1" customWidth="1"/>
    <col min="9" max="9" width="24.42578125" style="1" customWidth="1"/>
    <col min="10" max="10" width="20.28515625" style="1" customWidth="1"/>
    <col min="11" max="11" width="17.7109375" style="1" customWidth="1"/>
    <col min="12" max="12" width="9.28515625" style="1" customWidth="1"/>
    <col min="13" max="256" width="9.28515625" style="1"/>
    <col min="257" max="257" width="3.7109375" style="1" customWidth="1"/>
    <col min="258" max="258" width="5" style="1" bestFit="1" customWidth="1"/>
    <col min="259" max="259" width="11.42578125" style="1" customWidth="1"/>
    <col min="260" max="260" width="14.28515625" style="1" bestFit="1" customWidth="1"/>
    <col min="261" max="261" width="9.7109375" style="1" bestFit="1" customWidth="1"/>
    <col min="262" max="262" width="22.5703125" style="1" bestFit="1" customWidth="1"/>
    <col min="263" max="512" width="9.28515625" style="1"/>
    <col min="513" max="513" width="3.7109375" style="1" customWidth="1"/>
    <col min="514" max="514" width="5" style="1" bestFit="1" customWidth="1"/>
    <col min="515" max="515" width="11.42578125" style="1" customWidth="1"/>
    <col min="516" max="516" width="14.28515625" style="1" bestFit="1" customWidth="1"/>
    <col min="517" max="517" width="9.7109375" style="1" bestFit="1" customWidth="1"/>
    <col min="518" max="518" width="22.5703125" style="1" bestFit="1" customWidth="1"/>
    <col min="519" max="768" width="9.28515625" style="1"/>
    <col min="769" max="769" width="3.7109375" style="1" customWidth="1"/>
    <col min="770" max="770" width="5" style="1" bestFit="1" customWidth="1"/>
    <col min="771" max="771" width="11.42578125" style="1" customWidth="1"/>
    <col min="772" max="772" width="14.28515625" style="1" bestFit="1" customWidth="1"/>
    <col min="773" max="773" width="9.7109375" style="1" bestFit="1" customWidth="1"/>
    <col min="774" max="774" width="22.5703125" style="1" bestFit="1" customWidth="1"/>
    <col min="775" max="1024" width="9.28515625" style="1"/>
    <col min="1025" max="1025" width="3.7109375" style="1" customWidth="1"/>
    <col min="1026" max="1026" width="5" style="1" bestFit="1" customWidth="1"/>
    <col min="1027" max="1027" width="11.42578125" style="1" customWidth="1"/>
    <col min="1028" max="1028" width="14.28515625" style="1" bestFit="1" customWidth="1"/>
    <col min="1029" max="1029" width="9.7109375" style="1" bestFit="1" customWidth="1"/>
    <col min="1030" max="1030" width="22.5703125" style="1" bestFit="1" customWidth="1"/>
    <col min="1031" max="1280" width="9.28515625" style="1"/>
    <col min="1281" max="1281" width="3.7109375" style="1" customWidth="1"/>
    <col min="1282" max="1282" width="5" style="1" bestFit="1" customWidth="1"/>
    <col min="1283" max="1283" width="11.42578125" style="1" customWidth="1"/>
    <col min="1284" max="1284" width="14.28515625" style="1" bestFit="1" customWidth="1"/>
    <col min="1285" max="1285" width="9.7109375" style="1" bestFit="1" customWidth="1"/>
    <col min="1286" max="1286" width="22.5703125" style="1" bestFit="1" customWidth="1"/>
    <col min="1287" max="1536" width="9.28515625" style="1"/>
    <col min="1537" max="1537" width="3.7109375" style="1" customWidth="1"/>
    <col min="1538" max="1538" width="5" style="1" bestFit="1" customWidth="1"/>
    <col min="1539" max="1539" width="11.42578125" style="1" customWidth="1"/>
    <col min="1540" max="1540" width="14.28515625" style="1" bestFit="1" customWidth="1"/>
    <col min="1541" max="1541" width="9.7109375" style="1" bestFit="1" customWidth="1"/>
    <col min="1542" max="1542" width="22.5703125" style="1" bestFit="1" customWidth="1"/>
    <col min="1543" max="1792" width="9.28515625" style="1"/>
    <col min="1793" max="1793" width="3.7109375" style="1" customWidth="1"/>
    <col min="1794" max="1794" width="5" style="1" bestFit="1" customWidth="1"/>
    <col min="1795" max="1795" width="11.42578125" style="1" customWidth="1"/>
    <col min="1796" max="1796" width="14.28515625" style="1" bestFit="1" customWidth="1"/>
    <col min="1797" max="1797" width="9.7109375" style="1" bestFit="1" customWidth="1"/>
    <col min="1798" max="1798" width="22.5703125" style="1" bestFit="1" customWidth="1"/>
    <col min="1799" max="2048" width="9.28515625" style="1"/>
    <col min="2049" max="2049" width="3.7109375" style="1" customWidth="1"/>
    <col min="2050" max="2050" width="5" style="1" bestFit="1" customWidth="1"/>
    <col min="2051" max="2051" width="11.42578125" style="1" customWidth="1"/>
    <col min="2052" max="2052" width="14.28515625" style="1" bestFit="1" customWidth="1"/>
    <col min="2053" max="2053" width="9.7109375" style="1" bestFit="1" customWidth="1"/>
    <col min="2054" max="2054" width="22.5703125" style="1" bestFit="1" customWidth="1"/>
    <col min="2055" max="2304" width="9.28515625" style="1"/>
    <col min="2305" max="2305" width="3.7109375" style="1" customWidth="1"/>
    <col min="2306" max="2306" width="5" style="1" bestFit="1" customWidth="1"/>
    <col min="2307" max="2307" width="11.42578125" style="1" customWidth="1"/>
    <col min="2308" max="2308" width="14.28515625" style="1" bestFit="1" customWidth="1"/>
    <col min="2309" max="2309" width="9.7109375" style="1" bestFit="1" customWidth="1"/>
    <col min="2310" max="2310" width="22.5703125" style="1" bestFit="1" customWidth="1"/>
    <col min="2311" max="2560" width="9.28515625" style="1"/>
    <col min="2561" max="2561" width="3.7109375" style="1" customWidth="1"/>
    <col min="2562" max="2562" width="5" style="1" bestFit="1" customWidth="1"/>
    <col min="2563" max="2563" width="11.42578125" style="1" customWidth="1"/>
    <col min="2564" max="2564" width="14.28515625" style="1" bestFit="1" customWidth="1"/>
    <col min="2565" max="2565" width="9.7109375" style="1" bestFit="1" customWidth="1"/>
    <col min="2566" max="2566" width="22.5703125" style="1" bestFit="1" customWidth="1"/>
    <col min="2567" max="2816" width="9.28515625" style="1"/>
    <col min="2817" max="2817" width="3.7109375" style="1" customWidth="1"/>
    <col min="2818" max="2818" width="5" style="1" bestFit="1" customWidth="1"/>
    <col min="2819" max="2819" width="11.42578125" style="1" customWidth="1"/>
    <col min="2820" max="2820" width="14.28515625" style="1" bestFit="1" customWidth="1"/>
    <col min="2821" max="2821" width="9.7109375" style="1" bestFit="1" customWidth="1"/>
    <col min="2822" max="2822" width="22.5703125" style="1" bestFit="1" customWidth="1"/>
    <col min="2823" max="3072" width="9.28515625" style="1"/>
    <col min="3073" max="3073" width="3.7109375" style="1" customWidth="1"/>
    <col min="3074" max="3074" width="5" style="1" bestFit="1" customWidth="1"/>
    <col min="3075" max="3075" width="11.42578125" style="1" customWidth="1"/>
    <col min="3076" max="3076" width="14.28515625" style="1" bestFit="1" customWidth="1"/>
    <col min="3077" max="3077" width="9.7109375" style="1" bestFit="1" customWidth="1"/>
    <col min="3078" max="3078" width="22.5703125" style="1" bestFit="1" customWidth="1"/>
    <col min="3079" max="3328" width="9.28515625" style="1"/>
    <col min="3329" max="3329" width="3.7109375" style="1" customWidth="1"/>
    <col min="3330" max="3330" width="5" style="1" bestFit="1" customWidth="1"/>
    <col min="3331" max="3331" width="11.42578125" style="1" customWidth="1"/>
    <col min="3332" max="3332" width="14.28515625" style="1" bestFit="1" customWidth="1"/>
    <col min="3333" max="3333" width="9.7109375" style="1" bestFit="1" customWidth="1"/>
    <col min="3334" max="3334" width="22.5703125" style="1" bestFit="1" customWidth="1"/>
    <col min="3335" max="3584" width="9.28515625" style="1"/>
    <col min="3585" max="3585" width="3.7109375" style="1" customWidth="1"/>
    <col min="3586" max="3586" width="5" style="1" bestFit="1" customWidth="1"/>
    <col min="3587" max="3587" width="11.42578125" style="1" customWidth="1"/>
    <col min="3588" max="3588" width="14.28515625" style="1" bestFit="1" customWidth="1"/>
    <col min="3589" max="3589" width="9.7109375" style="1" bestFit="1" customWidth="1"/>
    <col min="3590" max="3590" width="22.5703125" style="1" bestFit="1" customWidth="1"/>
    <col min="3591" max="3840" width="9.28515625" style="1"/>
    <col min="3841" max="3841" width="3.7109375" style="1" customWidth="1"/>
    <col min="3842" max="3842" width="5" style="1" bestFit="1" customWidth="1"/>
    <col min="3843" max="3843" width="11.42578125" style="1" customWidth="1"/>
    <col min="3844" max="3844" width="14.28515625" style="1" bestFit="1" customWidth="1"/>
    <col min="3845" max="3845" width="9.7109375" style="1" bestFit="1" customWidth="1"/>
    <col min="3846" max="3846" width="22.5703125" style="1" bestFit="1" customWidth="1"/>
    <col min="3847" max="4096" width="9.28515625" style="1"/>
    <col min="4097" max="4097" width="3.7109375" style="1" customWidth="1"/>
    <col min="4098" max="4098" width="5" style="1" bestFit="1" customWidth="1"/>
    <col min="4099" max="4099" width="11.42578125" style="1" customWidth="1"/>
    <col min="4100" max="4100" width="14.28515625" style="1" bestFit="1" customWidth="1"/>
    <col min="4101" max="4101" width="9.7109375" style="1" bestFit="1" customWidth="1"/>
    <col min="4102" max="4102" width="22.5703125" style="1" bestFit="1" customWidth="1"/>
    <col min="4103" max="4352" width="9.28515625" style="1"/>
    <col min="4353" max="4353" width="3.7109375" style="1" customWidth="1"/>
    <col min="4354" max="4354" width="5" style="1" bestFit="1" customWidth="1"/>
    <col min="4355" max="4355" width="11.42578125" style="1" customWidth="1"/>
    <col min="4356" max="4356" width="14.28515625" style="1" bestFit="1" customWidth="1"/>
    <col min="4357" max="4357" width="9.7109375" style="1" bestFit="1" customWidth="1"/>
    <col min="4358" max="4358" width="22.5703125" style="1" bestFit="1" customWidth="1"/>
    <col min="4359" max="4608" width="9.28515625" style="1"/>
    <col min="4609" max="4609" width="3.7109375" style="1" customWidth="1"/>
    <col min="4610" max="4610" width="5" style="1" bestFit="1" customWidth="1"/>
    <col min="4611" max="4611" width="11.42578125" style="1" customWidth="1"/>
    <col min="4612" max="4612" width="14.28515625" style="1" bestFit="1" customWidth="1"/>
    <col min="4613" max="4613" width="9.7109375" style="1" bestFit="1" customWidth="1"/>
    <col min="4614" max="4614" width="22.5703125" style="1" bestFit="1" customWidth="1"/>
    <col min="4615" max="4864" width="9.28515625" style="1"/>
    <col min="4865" max="4865" width="3.7109375" style="1" customWidth="1"/>
    <col min="4866" max="4866" width="5" style="1" bestFit="1" customWidth="1"/>
    <col min="4867" max="4867" width="11.42578125" style="1" customWidth="1"/>
    <col min="4868" max="4868" width="14.28515625" style="1" bestFit="1" customWidth="1"/>
    <col min="4869" max="4869" width="9.7109375" style="1" bestFit="1" customWidth="1"/>
    <col min="4870" max="4870" width="22.5703125" style="1" bestFit="1" customWidth="1"/>
    <col min="4871" max="5120" width="9.28515625" style="1"/>
    <col min="5121" max="5121" width="3.7109375" style="1" customWidth="1"/>
    <col min="5122" max="5122" width="5" style="1" bestFit="1" customWidth="1"/>
    <col min="5123" max="5123" width="11.42578125" style="1" customWidth="1"/>
    <col min="5124" max="5124" width="14.28515625" style="1" bestFit="1" customWidth="1"/>
    <col min="5125" max="5125" width="9.7109375" style="1" bestFit="1" customWidth="1"/>
    <col min="5126" max="5126" width="22.5703125" style="1" bestFit="1" customWidth="1"/>
    <col min="5127" max="5376" width="9.28515625" style="1"/>
    <col min="5377" max="5377" width="3.7109375" style="1" customWidth="1"/>
    <col min="5378" max="5378" width="5" style="1" bestFit="1" customWidth="1"/>
    <col min="5379" max="5379" width="11.42578125" style="1" customWidth="1"/>
    <col min="5380" max="5380" width="14.28515625" style="1" bestFit="1" customWidth="1"/>
    <col min="5381" max="5381" width="9.7109375" style="1" bestFit="1" customWidth="1"/>
    <col min="5382" max="5382" width="22.5703125" style="1" bestFit="1" customWidth="1"/>
    <col min="5383" max="5632" width="9.28515625" style="1"/>
    <col min="5633" max="5633" width="3.7109375" style="1" customWidth="1"/>
    <col min="5634" max="5634" width="5" style="1" bestFit="1" customWidth="1"/>
    <col min="5635" max="5635" width="11.42578125" style="1" customWidth="1"/>
    <col min="5636" max="5636" width="14.28515625" style="1" bestFit="1" customWidth="1"/>
    <col min="5637" max="5637" width="9.7109375" style="1" bestFit="1" customWidth="1"/>
    <col min="5638" max="5638" width="22.5703125" style="1" bestFit="1" customWidth="1"/>
    <col min="5639" max="5888" width="9.28515625" style="1"/>
    <col min="5889" max="5889" width="3.7109375" style="1" customWidth="1"/>
    <col min="5890" max="5890" width="5" style="1" bestFit="1" customWidth="1"/>
    <col min="5891" max="5891" width="11.42578125" style="1" customWidth="1"/>
    <col min="5892" max="5892" width="14.28515625" style="1" bestFit="1" customWidth="1"/>
    <col min="5893" max="5893" width="9.7109375" style="1" bestFit="1" customWidth="1"/>
    <col min="5894" max="5894" width="22.5703125" style="1" bestFit="1" customWidth="1"/>
    <col min="5895" max="6144" width="9.28515625" style="1"/>
    <col min="6145" max="6145" width="3.7109375" style="1" customWidth="1"/>
    <col min="6146" max="6146" width="5" style="1" bestFit="1" customWidth="1"/>
    <col min="6147" max="6147" width="11.42578125" style="1" customWidth="1"/>
    <col min="6148" max="6148" width="14.28515625" style="1" bestFit="1" customWidth="1"/>
    <col min="6149" max="6149" width="9.7109375" style="1" bestFit="1" customWidth="1"/>
    <col min="6150" max="6150" width="22.5703125" style="1" bestFit="1" customWidth="1"/>
    <col min="6151" max="6400" width="9.28515625" style="1"/>
    <col min="6401" max="6401" width="3.7109375" style="1" customWidth="1"/>
    <col min="6402" max="6402" width="5" style="1" bestFit="1" customWidth="1"/>
    <col min="6403" max="6403" width="11.42578125" style="1" customWidth="1"/>
    <col min="6404" max="6404" width="14.28515625" style="1" bestFit="1" customWidth="1"/>
    <col min="6405" max="6405" width="9.7109375" style="1" bestFit="1" customWidth="1"/>
    <col min="6406" max="6406" width="22.5703125" style="1" bestFit="1" customWidth="1"/>
    <col min="6407" max="6656" width="9.28515625" style="1"/>
    <col min="6657" max="6657" width="3.7109375" style="1" customWidth="1"/>
    <col min="6658" max="6658" width="5" style="1" bestFit="1" customWidth="1"/>
    <col min="6659" max="6659" width="11.42578125" style="1" customWidth="1"/>
    <col min="6660" max="6660" width="14.28515625" style="1" bestFit="1" customWidth="1"/>
    <col min="6661" max="6661" width="9.7109375" style="1" bestFit="1" customWidth="1"/>
    <col min="6662" max="6662" width="22.5703125" style="1" bestFit="1" customWidth="1"/>
    <col min="6663" max="6912" width="9.28515625" style="1"/>
    <col min="6913" max="6913" width="3.7109375" style="1" customWidth="1"/>
    <col min="6914" max="6914" width="5" style="1" bestFit="1" customWidth="1"/>
    <col min="6915" max="6915" width="11.42578125" style="1" customWidth="1"/>
    <col min="6916" max="6916" width="14.28515625" style="1" bestFit="1" customWidth="1"/>
    <col min="6917" max="6917" width="9.7109375" style="1" bestFit="1" customWidth="1"/>
    <col min="6918" max="6918" width="22.5703125" style="1" bestFit="1" customWidth="1"/>
    <col min="6919" max="7168" width="9.28515625" style="1"/>
    <col min="7169" max="7169" width="3.7109375" style="1" customWidth="1"/>
    <col min="7170" max="7170" width="5" style="1" bestFit="1" customWidth="1"/>
    <col min="7171" max="7171" width="11.42578125" style="1" customWidth="1"/>
    <col min="7172" max="7172" width="14.28515625" style="1" bestFit="1" customWidth="1"/>
    <col min="7173" max="7173" width="9.7109375" style="1" bestFit="1" customWidth="1"/>
    <col min="7174" max="7174" width="22.5703125" style="1" bestFit="1" customWidth="1"/>
    <col min="7175" max="7424" width="9.28515625" style="1"/>
    <col min="7425" max="7425" width="3.7109375" style="1" customWidth="1"/>
    <col min="7426" max="7426" width="5" style="1" bestFit="1" customWidth="1"/>
    <col min="7427" max="7427" width="11.42578125" style="1" customWidth="1"/>
    <col min="7428" max="7428" width="14.28515625" style="1" bestFit="1" customWidth="1"/>
    <col min="7429" max="7429" width="9.7109375" style="1" bestFit="1" customWidth="1"/>
    <col min="7430" max="7430" width="22.5703125" style="1" bestFit="1" customWidth="1"/>
    <col min="7431" max="7680" width="9.28515625" style="1"/>
    <col min="7681" max="7681" width="3.7109375" style="1" customWidth="1"/>
    <col min="7682" max="7682" width="5" style="1" bestFit="1" customWidth="1"/>
    <col min="7683" max="7683" width="11.42578125" style="1" customWidth="1"/>
    <col min="7684" max="7684" width="14.28515625" style="1" bestFit="1" customWidth="1"/>
    <col min="7685" max="7685" width="9.7109375" style="1" bestFit="1" customWidth="1"/>
    <col min="7686" max="7686" width="22.5703125" style="1" bestFit="1" customWidth="1"/>
    <col min="7687" max="7936" width="9.28515625" style="1"/>
    <col min="7937" max="7937" width="3.7109375" style="1" customWidth="1"/>
    <col min="7938" max="7938" width="5" style="1" bestFit="1" customWidth="1"/>
    <col min="7939" max="7939" width="11.42578125" style="1" customWidth="1"/>
    <col min="7940" max="7940" width="14.28515625" style="1" bestFit="1" customWidth="1"/>
    <col min="7941" max="7941" width="9.7109375" style="1" bestFit="1" customWidth="1"/>
    <col min="7942" max="7942" width="22.5703125" style="1" bestFit="1" customWidth="1"/>
    <col min="7943" max="8192" width="9.28515625" style="1"/>
    <col min="8193" max="8193" width="3.7109375" style="1" customWidth="1"/>
    <col min="8194" max="8194" width="5" style="1" bestFit="1" customWidth="1"/>
    <col min="8195" max="8195" width="11.42578125" style="1" customWidth="1"/>
    <col min="8196" max="8196" width="14.28515625" style="1" bestFit="1" customWidth="1"/>
    <col min="8197" max="8197" width="9.7109375" style="1" bestFit="1" customWidth="1"/>
    <col min="8198" max="8198" width="22.5703125" style="1" bestFit="1" customWidth="1"/>
    <col min="8199" max="8448" width="9.28515625" style="1"/>
    <col min="8449" max="8449" width="3.7109375" style="1" customWidth="1"/>
    <col min="8450" max="8450" width="5" style="1" bestFit="1" customWidth="1"/>
    <col min="8451" max="8451" width="11.42578125" style="1" customWidth="1"/>
    <col min="8452" max="8452" width="14.28515625" style="1" bestFit="1" customWidth="1"/>
    <col min="8453" max="8453" width="9.7109375" style="1" bestFit="1" customWidth="1"/>
    <col min="8454" max="8454" width="22.5703125" style="1" bestFit="1" customWidth="1"/>
    <col min="8455" max="8704" width="9.28515625" style="1"/>
    <col min="8705" max="8705" width="3.7109375" style="1" customWidth="1"/>
    <col min="8706" max="8706" width="5" style="1" bestFit="1" customWidth="1"/>
    <col min="8707" max="8707" width="11.42578125" style="1" customWidth="1"/>
    <col min="8708" max="8708" width="14.28515625" style="1" bestFit="1" customWidth="1"/>
    <col min="8709" max="8709" width="9.7109375" style="1" bestFit="1" customWidth="1"/>
    <col min="8710" max="8710" width="22.5703125" style="1" bestFit="1" customWidth="1"/>
    <col min="8711" max="8960" width="9.28515625" style="1"/>
    <col min="8961" max="8961" width="3.7109375" style="1" customWidth="1"/>
    <col min="8962" max="8962" width="5" style="1" bestFit="1" customWidth="1"/>
    <col min="8963" max="8963" width="11.42578125" style="1" customWidth="1"/>
    <col min="8964" max="8964" width="14.28515625" style="1" bestFit="1" customWidth="1"/>
    <col min="8965" max="8965" width="9.7109375" style="1" bestFit="1" customWidth="1"/>
    <col min="8966" max="8966" width="22.5703125" style="1" bestFit="1" customWidth="1"/>
    <col min="8967" max="9216" width="9.28515625" style="1"/>
    <col min="9217" max="9217" width="3.7109375" style="1" customWidth="1"/>
    <col min="9218" max="9218" width="5" style="1" bestFit="1" customWidth="1"/>
    <col min="9219" max="9219" width="11.42578125" style="1" customWidth="1"/>
    <col min="9220" max="9220" width="14.28515625" style="1" bestFit="1" customWidth="1"/>
    <col min="9221" max="9221" width="9.7109375" style="1" bestFit="1" customWidth="1"/>
    <col min="9222" max="9222" width="22.5703125" style="1" bestFit="1" customWidth="1"/>
    <col min="9223" max="9472" width="9.28515625" style="1"/>
    <col min="9473" max="9473" width="3.7109375" style="1" customWidth="1"/>
    <col min="9474" max="9474" width="5" style="1" bestFit="1" customWidth="1"/>
    <col min="9475" max="9475" width="11.42578125" style="1" customWidth="1"/>
    <col min="9476" max="9476" width="14.28515625" style="1" bestFit="1" customWidth="1"/>
    <col min="9477" max="9477" width="9.7109375" style="1" bestFit="1" customWidth="1"/>
    <col min="9478" max="9478" width="22.5703125" style="1" bestFit="1" customWidth="1"/>
    <col min="9479" max="9728" width="9.28515625" style="1"/>
    <col min="9729" max="9729" width="3.7109375" style="1" customWidth="1"/>
    <col min="9730" max="9730" width="5" style="1" bestFit="1" customWidth="1"/>
    <col min="9731" max="9731" width="11.42578125" style="1" customWidth="1"/>
    <col min="9732" max="9732" width="14.28515625" style="1" bestFit="1" customWidth="1"/>
    <col min="9733" max="9733" width="9.7109375" style="1" bestFit="1" customWidth="1"/>
    <col min="9734" max="9734" width="22.5703125" style="1" bestFit="1" customWidth="1"/>
    <col min="9735" max="9984" width="9.28515625" style="1"/>
    <col min="9985" max="9985" width="3.7109375" style="1" customWidth="1"/>
    <col min="9986" max="9986" width="5" style="1" bestFit="1" customWidth="1"/>
    <col min="9987" max="9987" width="11.42578125" style="1" customWidth="1"/>
    <col min="9988" max="9988" width="14.28515625" style="1" bestFit="1" customWidth="1"/>
    <col min="9989" max="9989" width="9.7109375" style="1" bestFit="1" customWidth="1"/>
    <col min="9990" max="9990" width="22.5703125" style="1" bestFit="1" customWidth="1"/>
    <col min="9991" max="10240" width="9.28515625" style="1"/>
    <col min="10241" max="10241" width="3.7109375" style="1" customWidth="1"/>
    <col min="10242" max="10242" width="5" style="1" bestFit="1" customWidth="1"/>
    <col min="10243" max="10243" width="11.42578125" style="1" customWidth="1"/>
    <col min="10244" max="10244" width="14.28515625" style="1" bestFit="1" customWidth="1"/>
    <col min="10245" max="10245" width="9.7109375" style="1" bestFit="1" customWidth="1"/>
    <col min="10246" max="10246" width="22.5703125" style="1" bestFit="1" customWidth="1"/>
    <col min="10247" max="10496" width="9.28515625" style="1"/>
    <col min="10497" max="10497" width="3.7109375" style="1" customWidth="1"/>
    <col min="10498" max="10498" width="5" style="1" bestFit="1" customWidth="1"/>
    <col min="10499" max="10499" width="11.42578125" style="1" customWidth="1"/>
    <col min="10500" max="10500" width="14.28515625" style="1" bestFit="1" customWidth="1"/>
    <col min="10501" max="10501" width="9.7109375" style="1" bestFit="1" customWidth="1"/>
    <col min="10502" max="10502" width="22.5703125" style="1" bestFit="1" customWidth="1"/>
    <col min="10503" max="10752" width="9.28515625" style="1"/>
    <col min="10753" max="10753" width="3.7109375" style="1" customWidth="1"/>
    <col min="10754" max="10754" width="5" style="1" bestFit="1" customWidth="1"/>
    <col min="10755" max="10755" width="11.42578125" style="1" customWidth="1"/>
    <col min="10756" max="10756" width="14.28515625" style="1" bestFit="1" customWidth="1"/>
    <col min="10757" max="10757" width="9.7109375" style="1" bestFit="1" customWidth="1"/>
    <col min="10758" max="10758" width="22.5703125" style="1" bestFit="1" customWidth="1"/>
    <col min="10759" max="11008" width="9.28515625" style="1"/>
    <col min="11009" max="11009" width="3.7109375" style="1" customWidth="1"/>
    <col min="11010" max="11010" width="5" style="1" bestFit="1" customWidth="1"/>
    <col min="11011" max="11011" width="11.42578125" style="1" customWidth="1"/>
    <col min="11012" max="11012" width="14.28515625" style="1" bestFit="1" customWidth="1"/>
    <col min="11013" max="11013" width="9.7109375" style="1" bestFit="1" customWidth="1"/>
    <col min="11014" max="11014" width="22.5703125" style="1" bestFit="1" customWidth="1"/>
    <col min="11015" max="11264" width="9.28515625" style="1"/>
    <col min="11265" max="11265" width="3.7109375" style="1" customWidth="1"/>
    <col min="11266" max="11266" width="5" style="1" bestFit="1" customWidth="1"/>
    <col min="11267" max="11267" width="11.42578125" style="1" customWidth="1"/>
    <col min="11268" max="11268" width="14.28515625" style="1" bestFit="1" customWidth="1"/>
    <col min="11269" max="11269" width="9.7109375" style="1" bestFit="1" customWidth="1"/>
    <col min="11270" max="11270" width="22.5703125" style="1" bestFit="1" customWidth="1"/>
    <col min="11271" max="11520" width="9.28515625" style="1"/>
    <col min="11521" max="11521" width="3.7109375" style="1" customWidth="1"/>
    <col min="11522" max="11522" width="5" style="1" bestFit="1" customWidth="1"/>
    <col min="11523" max="11523" width="11.42578125" style="1" customWidth="1"/>
    <col min="11524" max="11524" width="14.28515625" style="1" bestFit="1" customWidth="1"/>
    <col min="11525" max="11525" width="9.7109375" style="1" bestFit="1" customWidth="1"/>
    <col min="11526" max="11526" width="22.5703125" style="1" bestFit="1" customWidth="1"/>
    <col min="11527" max="11776" width="9.28515625" style="1"/>
    <col min="11777" max="11777" width="3.7109375" style="1" customWidth="1"/>
    <col min="11778" max="11778" width="5" style="1" bestFit="1" customWidth="1"/>
    <col min="11779" max="11779" width="11.42578125" style="1" customWidth="1"/>
    <col min="11780" max="11780" width="14.28515625" style="1" bestFit="1" customWidth="1"/>
    <col min="11781" max="11781" width="9.7109375" style="1" bestFit="1" customWidth="1"/>
    <col min="11782" max="11782" width="22.5703125" style="1" bestFit="1" customWidth="1"/>
    <col min="11783" max="12032" width="9.28515625" style="1"/>
    <col min="12033" max="12033" width="3.7109375" style="1" customWidth="1"/>
    <col min="12034" max="12034" width="5" style="1" bestFit="1" customWidth="1"/>
    <col min="12035" max="12035" width="11.42578125" style="1" customWidth="1"/>
    <col min="12036" max="12036" width="14.28515625" style="1" bestFit="1" customWidth="1"/>
    <col min="12037" max="12037" width="9.7109375" style="1" bestFit="1" customWidth="1"/>
    <col min="12038" max="12038" width="22.5703125" style="1" bestFit="1" customWidth="1"/>
    <col min="12039" max="12288" width="9.28515625" style="1"/>
    <col min="12289" max="12289" width="3.7109375" style="1" customWidth="1"/>
    <col min="12290" max="12290" width="5" style="1" bestFit="1" customWidth="1"/>
    <col min="12291" max="12291" width="11.42578125" style="1" customWidth="1"/>
    <col min="12292" max="12292" width="14.28515625" style="1" bestFit="1" customWidth="1"/>
    <col min="12293" max="12293" width="9.7109375" style="1" bestFit="1" customWidth="1"/>
    <col min="12294" max="12294" width="22.5703125" style="1" bestFit="1" customWidth="1"/>
    <col min="12295" max="12544" width="9.28515625" style="1"/>
    <col min="12545" max="12545" width="3.7109375" style="1" customWidth="1"/>
    <col min="12546" max="12546" width="5" style="1" bestFit="1" customWidth="1"/>
    <col min="12547" max="12547" width="11.42578125" style="1" customWidth="1"/>
    <col min="12548" max="12548" width="14.28515625" style="1" bestFit="1" customWidth="1"/>
    <col min="12549" max="12549" width="9.7109375" style="1" bestFit="1" customWidth="1"/>
    <col min="12550" max="12550" width="22.5703125" style="1" bestFit="1" customWidth="1"/>
    <col min="12551" max="12800" width="9.28515625" style="1"/>
    <col min="12801" max="12801" width="3.7109375" style="1" customWidth="1"/>
    <col min="12802" max="12802" width="5" style="1" bestFit="1" customWidth="1"/>
    <col min="12803" max="12803" width="11.42578125" style="1" customWidth="1"/>
    <col min="12804" max="12804" width="14.28515625" style="1" bestFit="1" customWidth="1"/>
    <col min="12805" max="12805" width="9.7109375" style="1" bestFit="1" customWidth="1"/>
    <col min="12806" max="12806" width="22.5703125" style="1" bestFit="1" customWidth="1"/>
    <col min="12807" max="13056" width="9.28515625" style="1"/>
    <col min="13057" max="13057" width="3.7109375" style="1" customWidth="1"/>
    <col min="13058" max="13058" width="5" style="1" bestFit="1" customWidth="1"/>
    <col min="13059" max="13059" width="11.42578125" style="1" customWidth="1"/>
    <col min="13060" max="13060" width="14.28515625" style="1" bestFit="1" customWidth="1"/>
    <col min="13061" max="13061" width="9.7109375" style="1" bestFit="1" customWidth="1"/>
    <col min="13062" max="13062" width="22.5703125" style="1" bestFit="1" customWidth="1"/>
    <col min="13063" max="13312" width="9.28515625" style="1"/>
    <col min="13313" max="13313" width="3.7109375" style="1" customWidth="1"/>
    <col min="13314" max="13314" width="5" style="1" bestFit="1" customWidth="1"/>
    <col min="13315" max="13315" width="11.42578125" style="1" customWidth="1"/>
    <col min="13316" max="13316" width="14.28515625" style="1" bestFit="1" customWidth="1"/>
    <col min="13317" max="13317" width="9.7109375" style="1" bestFit="1" customWidth="1"/>
    <col min="13318" max="13318" width="22.5703125" style="1" bestFit="1" customWidth="1"/>
    <col min="13319" max="13568" width="9.28515625" style="1"/>
    <col min="13569" max="13569" width="3.7109375" style="1" customWidth="1"/>
    <col min="13570" max="13570" width="5" style="1" bestFit="1" customWidth="1"/>
    <col min="13571" max="13571" width="11.42578125" style="1" customWidth="1"/>
    <col min="13572" max="13572" width="14.28515625" style="1" bestFit="1" customWidth="1"/>
    <col min="13573" max="13573" width="9.7109375" style="1" bestFit="1" customWidth="1"/>
    <col min="13574" max="13574" width="22.5703125" style="1" bestFit="1" customWidth="1"/>
    <col min="13575" max="13824" width="9.28515625" style="1"/>
    <col min="13825" max="13825" width="3.7109375" style="1" customWidth="1"/>
    <col min="13826" max="13826" width="5" style="1" bestFit="1" customWidth="1"/>
    <col min="13827" max="13827" width="11.42578125" style="1" customWidth="1"/>
    <col min="13828" max="13828" width="14.28515625" style="1" bestFit="1" customWidth="1"/>
    <col min="13829" max="13829" width="9.7109375" style="1" bestFit="1" customWidth="1"/>
    <col min="13830" max="13830" width="22.5703125" style="1" bestFit="1" customWidth="1"/>
    <col min="13831" max="14080" width="9.28515625" style="1"/>
    <col min="14081" max="14081" width="3.7109375" style="1" customWidth="1"/>
    <col min="14082" max="14082" width="5" style="1" bestFit="1" customWidth="1"/>
    <col min="14083" max="14083" width="11.42578125" style="1" customWidth="1"/>
    <col min="14084" max="14084" width="14.28515625" style="1" bestFit="1" customWidth="1"/>
    <col min="14085" max="14085" width="9.7109375" style="1" bestFit="1" customWidth="1"/>
    <col min="14086" max="14086" width="22.5703125" style="1" bestFit="1" customWidth="1"/>
    <col min="14087" max="14336" width="9.28515625" style="1"/>
    <col min="14337" max="14337" width="3.7109375" style="1" customWidth="1"/>
    <col min="14338" max="14338" width="5" style="1" bestFit="1" customWidth="1"/>
    <col min="14339" max="14339" width="11.42578125" style="1" customWidth="1"/>
    <col min="14340" max="14340" width="14.28515625" style="1" bestFit="1" customWidth="1"/>
    <col min="14341" max="14341" width="9.7109375" style="1" bestFit="1" customWidth="1"/>
    <col min="14342" max="14342" width="22.5703125" style="1" bestFit="1" customWidth="1"/>
    <col min="14343" max="14592" width="9.28515625" style="1"/>
    <col min="14593" max="14593" width="3.7109375" style="1" customWidth="1"/>
    <col min="14594" max="14594" width="5" style="1" bestFit="1" customWidth="1"/>
    <col min="14595" max="14595" width="11.42578125" style="1" customWidth="1"/>
    <col min="14596" max="14596" width="14.28515625" style="1" bestFit="1" customWidth="1"/>
    <col min="14597" max="14597" width="9.7109375" style="1" bestFit="1" customWidth="1"/>
    <col min="14598" max="14598" width="22.5703125" style="1" bestFit="1" customWidth="1"/>
    <col min="14599" max="14848" width="9.28515625" style="1"/>
    <col min="14849" max="14849" width="3.7109375" style="1" customWidth="1"/>
    <col min="14850" max="14850" width="5" style="1" bestFit="1" customWidth="1"/>
    <col min="14851" max="14851" width="11.42578125" style="1" customWidth="1"/>
    <col min="14852" max="14852" width="14.28515625" style="1" bestFit="1" customWidth="1"/>
    <col min="14853" max="14853" width="9.7109375" style="1" bestFit="1" customWidth="1"/>
    <col min="14854" max="14854" width="22.5703125" style="1" bestFit="1" customWidth="1"/>
    <col min="14855" max="15104" width="9.28515625" style="1"/>
    <col min="15105" max="15105" width="3.7109375" style="1" customWidth="1"/>
    <col min="15106" max="15106" width="5" style="1" bestFit="1" customWidth="1"/>
    <col min="15107" max="15107" width="11.42578125" style="1" customWidth="1"/>
    <col min="15108" max="15108" width="14.28515625" style="1" bestFit="1" customWidth="1"/>
    <col min="15109" max="15109" width="9.7109375" style="1" bestFit="1" customWidth="1"/>
    <col min="15110" max="15110" width="22.5703125" style="1" bestFit="1" customWidth="1"/>
    <col min="15111" max="15360" width="9.28515625" style="1"/>
    <col min="15361" max="15361" width="3.7109375" style="1" customWidth="1"/>
    <col min="15362" max="15362" width="5" style="1" bestFit="1" customWidth="1"/>
    <col min="15363" max="15363" width="11.42578125" style="1" customWidth="1"/>
    <col min="15364" max="15364" width="14.28515625" style="1" bestFit="1" customWidth="1"/>
    <col min="15365" max="15365" width="9.7109375" style="1" bestFit="1" customWidth="1"/>
    <col min="15366" max="15366" width="22.5703125" style="1" bestFit="1" customWidth="1"/>
    <col min="15367" max="15616" width="9.28515625" style="1"/>
    <col min="15617" max="15617" width="3.7109375" style="1" customWidth="1"/>
    <col min="15618" max="15618" width="5" style="1" bestFit="1" customWidth="1"/>
    <col min="15619" max="15619" width="11.42578125" style="1" customWidth="1"/>
    <col min="15620" max="15620" width="14.28515625" style="1" bestFit="1" customWidth="1"/>
    <col min="15621" max="15621" width="9.7109375" style="1" bestFit="1" customWidth="1"/>
    <col min="15622" max="15622" width="22.5703125" style="1" bestFit="1" customWidth="1"/>
    <col min="15623" max="15872" width="9.28515625" style="1"/>
    <col min="15873" max="15873" width="3.7109375" style="1" customWidth="1"/>
    <col min="15874" max="15874" width="5" style="1" bestFit="1" customWidth="1"/>
    <col min="15875" max="15875" width="11.42578125" style="1" customWidth="1"/>
    <col min="15876" max="15876" width="14.28515625" style="1" bestFit="1" customWidth="1"/>
    <col min="15877" max="15877" width="9.7109375" style="1" bestFit="1" customWidth="1"/>
    <col min="15878" max="15878" width="22.5703125" style="1" bestFit="1" customWidth="1"/>
    <col min="15879" max="16128" width="9.28515625" style="1"/>
    <col min="16129" max="16129" width="3.7109375" style="1" customWidth="1"/>
    <col min="16130" max="16130" width="5" style="1" bestFit="1" customWidth="1"/>
    <col min="16131" max="16131" width="11.42578125" style="1" customWidth="1"/>
    <col min="16132" max="16132" width="14.28515625" style="1" bestFit="1" customWidth="1"/>
    <col min="16133" max="16133" width="9.7109375" style="1" bestFit="1" customWidth="1"/>
    <col min="16134" max="16134" width="22.5703125" style="1" bestFit="1" customWidth="1"/>
    <col min="16135" max="16382" width="9.28515625" style="1"/>
    <col min="16383" max="16384" width="9.28515625" style="1" customWidth="1"/>
  </cols>
  <sheetData>
    <row r="1" spans="1:12" ht="15">
      <c r="A1" s="73" t="s">
        <v>230</v>
      </c>
      <c r="B1" s="1" t="s">
        <v>113</v>
      </c>
      <c r="D1" s="14" t="s">
        <v>122</v>
      </c>
    </row>
    <row r="2" spans="1:12" ht="15">
      <c r="A2" s="73" t="s">
        <v>231</v>
      </c>
      <c r="B2" s="1" t="s">
        <v>114</v>
      </c>
      <c r="D2" s="14"/>
    </row>
    <row r="3" spans="1:12">
      <c r="A3" s="36" t="s">
        <v>232</v>
      </c>
      <c r="B3" s="1" t="s">
        <v>115</v>
      </c>
      <c r="D3" s="36" t="str">
        <f>A1</f>
        <v>Tiim FORUS - Maardu LTK</v>
      </c>
      <c r="I3" s="1" t="s">
        <v>230</v>
      </c>
    </row>
    <row r="4" spans="1:12">
      <c r="A4" s="14" t="s">
        <v>233</v>
      </c>
      <c r="B4" s="1" t="s">
        <v>116</v>
      </c>
      <c r="D4" s="15" t="s">
        <v>16</v>
      </c>
      <c r="E4" s="16">
        <f>VLOOKUP(I4,[1]Sheet2!$A:$B,2,0)</f>
        <v>2724</v>
      </c>
      <c r="F4" s="16" t="s">
        <v>314</v>
      </c>
      <c r="G4" s="16" t="s">
        <v>236</v>
      </c>
      <c r="H4" s="1" t="s">
        <v>230</v>
      </c>
      <c r="I4" s="1" t="s">
        <v>320</v>
      </c>
      <c r="J4" s="1" t="str">
        <f>CONCATENATE(F4," ",G4)</f>
        <v>Aleksandr LUŠIN</v>
      </c>
      <c r="K4" s="1" t="str">
        <f t="shared" ref="K4:K15" si="0">CONCATENATE(F4," ",PROPER(G4))</f>
        <v>Aleksandr Lušin</v>
      </c>
      <c r="L4" s="1" t="str">
        <f>PROPER(G4)</f>
        <v>Lušin</v>
      </c>
    </row>
    <row r="5" spans="1:12">
      <c r="A5" s="14" t="s">
        <v>234</v>
      </c>
      <c r="B5" s="1" t="s">
        <v>117</v>
      </c>
      <c r="D5" s="15" t="s">
        <v>17</v>
      </c>
      <c r="E5" s="16">
        <f>VLOOKUP(I5,[1]Sheet2!$A:$B,2,0)</f>
        <v>296</v>
      </c>
      <c r="F5" s="16" t="s">
        <v>124</v>
      </c>
      <c r="G5" s="16" t="s">
        <v>308</v>
      </c>
      <c r="H5" s="1" t="s">
        <v>230</v>
      </c>
      <c r="I5" s="1" t="s">
        <v>321</v>
      </c>
      <c r="J5" s="1" t="str">
        <f t="shared" ref="J5:J51" si="1">CONCATENATE(F5," ",G5)</f>
        <v>Lauri LAANE</v>
      </c>
      <c r="K5" s="1" t="str">
        <f t="shared" si="0"/>
        <v>Lauri Laane</v>
      </c>
      <c r="L5" s="1" t="str">
        <f t="shared" ref="L5:L68" si="2">PROPER(G5)</f>
        <v>Laane</v>
      </c>
    </row>
    <row r="6" spans="1:12">
      <c r="A6" s="14" t="s">
        <v>235</v>
      </c>
      <c r="B6" s="1" t="s">
        <v>118</v>
      </c>
      <c r="D6" s="15" t="s">
        <v>18</v>
      </c>
      <c r="E6" s="16">
        <f>VLOOKUP(I6,[1]Sheet2!$A:$B,2,0)</f>
        <v>496</v>
      </c>
      <c r="F6" s="16" t="s">
        <v>62</v>
      </c>
      <c r="G6" s="16" t="s">
        <v>309</v>
      </c>
      <c r="H6" s="1" t="s">
        <v>230</v>
      </c>
      <c r="I6" s="1" t="s">
        <v>322</v>
      </c>
      <c r="J6" s="1" t="str">
        <f t="shared" si="1"/>
        <v>Sergei DANILOV</v>
      </c>
      <c r="K6" s="1" t="str">
        <f t="shared" si="0"/>
        <v>Sergei Danilov</v>
      </c>
      <c r="L6" s="1" t="str">
        <f t="shared" si="2"/>
        <v>Danilov</v>
      </c>
    </row>
    <row r="7" spans="1:12">
      <c r="A7" s="14" t="s">
        <v>237</v>
      </c>
      <c r="B7" s="1" t="s">
        <v>119</v>
      </c>
      <c r="D7" s="15" t="s">
        <v>19</v>
      </c>
      <c r="E7" s="16">
        <f>VLOOKUP(I7,[1]Sheet2!$A:$B,2,0)</f>
        <v>2743</v>
      </c>
      <c r="F7" s="16" t="s">
        <v>315</v>
      </c>
      <c r="G7" s="16" t="s">
        <v>310</v>
      </c>
      <c r="H7" s="1" t="s">
        <v>230</v>
      </c>
      <c r="I7" s="1" t="s">
        <v>323</v>
      </c>
      <c r="J7" s="1" t="str">
        <f t="shared" si="1"/>
        <v>Artjom HIISKU</v>
      </c>
      <c r="K7" s="1" t="str">
        <f t="shared" si="0"/>
        <v>Artjom Hiisku</v>
      </c>
      <c r="L7" s="1" t="str">
        <f t="shared" si="2"/>
        <v>Hiisku</v>
      </c>
    </row>
    <row r="8" spans="1:12">
      <c r="A8" s="36" t="s">
        <v>238</v>
      </c>
      <c r="B8" s="1" t="s">
        <v>120</v>
      </c>
      <c r="D8" s="15" t="s">
        <v>20</v>
      </c>
      <c r="E8" s="16">
        <f>VLOOKUP(I8,[1]Sheet2!$A:$B,2,0)</f>
        <v>10611</v>
      </c>
      <c r="F8" s="16" t="s">
        <v>316</v>
      </c>
      <c r="G8" s="16" t="s">
        <v>311</v>
      </c>
      <c r="H8" s="1" t="s">
        <v>230</v>
      </c>
      <c r="I8" s="1" t="s">
        <v>324</v>
      </c>
      <c r="J8" s="1" t="str">
        <f t="shared" si="1"/>
        <v>Vladislav URSU</v>
      </c>
      <c r="K8" s="1" t="str">
        <f t="shared" si="0"/>
        <v>Vladislav Ursu</v>
      </c>
      <c r="L8" s="1" t="str">
        <f t="shared" si="2"/>
        <v>Ursu</v>
      </c>
    </row>
    <row r="9" spans="1:12">
      <c r="D9" s="15" t="s">
        <v>21</v>
      </c>
      <c r="E9" s="16">
        <f>VLOOKUP(I9,[1]Sheet2!$A:$B,2,0)</f>
        <v>10336</v>
      </c>
      <c r="F9" s="16" t="s">
        <v>317</v>
      </c>
      <c r="G9" s="16" t="s">
        <v>312</v>
      </c>
      <c r="H9" s="1" t="s">
        <v>230</v>
      </c>
      <c r="I9" s="1" t="s">
        <v>325</v>
      </c>
      <c r="J9" s="1" t="str">
        <f t="shared" si="1"/>
        <v>Antoni WITKOWSKI</v>
      </c>
      <c r="K9" s="1" t="str">
        <f t="shared" si="0"/>
        <v>Antoni Witkowski</v>
      </c>
      <c r="L9" s="1" t="str">
        <f t="shared" si="2"/>
        <v>Witkowski</v>
      </c>
    </row>
    <row r="10" spans="1:12">
      <c r="D10" s="15" t="s">
        <v>22</v>
      </c>
      <c r="E10" s="16">
        <f>VLOOKUP(I10,[1]Sheet2!$A:$B,2,0)</f>
        <v>2003</v>
      </c>
      <c r="F10" s="16" t="s">
        <v>318</v>
      </c>
      <c r="G10" s="16" t="s">
        <v>313</v>
      </c>
      <c r="H10" s="1" t="s">
        <v>230</v>
      </c>
      <c r="I10" s="1" t="s">
        <v>326</v>
      </c>
      <c r="J10" s="1" t="str">
        <f t="shared" si="1"/>
        <v>Otto TENNILÄ</v>
      </c>
      <c r="K10" s="1" t="str">
        <f t="shared" si="0"/>
        <v>Otto Tennilä</v>
      </c>
      <c r="L10" s="1" t="str">
        <f t="shared" si="2"/>
        <v>Tennilä</v>
      </c>
    </row>
    <row r="11" spans="1:12">
      <c r="D11" s="15" t="s">
        <v>23</v>
      </c>
      <c r="E11" s="16">
        <f>VLOOKUP(I11,[1]Sheet2!$A:$B,2,0)</f>
        <v>376</v>
      </c>
      <c r="F11" s="16" t="s">
        <v>314</v>
      </c>
      <c r="G11" s="16" t="s">
        <v>319</v>
      </c>
      <c r="H11" s="1" t="s">
        <v>230</v>
      </c>
      <c r="I11" s="1" t="s">
        <v>539</v>
      </c>
      <c r="J11" s="1" t="str">
        <f t="shared" si="1"/>
        <v>Aleksandr SMIRNOV</v>
      </c>
      <c r="K11" s="1" t="str">
        <f t="shared" si="0"/>
        <v>Aleksandr Smirnov</v>
      </c>
      <c r="L11" s="1" t="str">
        <f t="shared" si="2"/>
        <v>Smirnov</v>
      </c>
    </row>
    <row r="12" spans="1:12">
      <c r="D12" s="15" t="s">
        <v>24</v>
      </c>
      <c r="E12" s="16"/>
      <c r="F12" s="16"/>
      <c r="G12" s="16"/>
    </row>
    <row r="13" spans="1:12">
      <c r="D13" s="15" t="s">
        <v>25</v>
      </c>
      <c r="E13" s="16"/>
      <c r="F13" s="16"/>
      <c r="G13" s="16"/>
      <c r="J13" s="1" t="str">
        <f t="shared" si="1"/>
        <v xml:space="preserve"> </v>
      </c>
      <c r="K13" s="1" t="str">
        <f t="shared" si="0"/>
        <v xml:space="preserve"> </v>
      </c>
      <c r="L13" s="1" t="str">
        <f t="shared" si="2"/>
        <v/>
      </c>
    </row>
    <row r="14" spans="1:12">
      <c r="I14" s="1" t="s">
        <v>58</v>
      </c>
      <c r="J14" s="1" t="str">
        <f t="shared" si="1"/>
        <v xml:space="preserve"> </v>
      </c>
      <c r="K14" s="1" t="str">
        <f t="shared" si="0"/>
        <v xml:space="preserve"> </v>
      </c>
      <c r="L14" s="1" t="str">
        <f t="shared" si="2"/>
        <v/>
      </c>
    </row>
    <row r="15" spans="1:12">
      <c r="D15" s="36" t="str">
        <f>A2</f>
        <v>Viimsi PINX</v>
      </c>
      <c r="I15" s="1" t="s">
        <v>58</v>
      </c>
      <c r="J15" s="1" t="str">
        <f t="shared" si="1"/>
        <v xml:space="preserve"> </v>
      </c>
      <c r="K15" s="1" t="str">
        <f t="shared" si="0"/>
        <v xml:space="preserve"> </v>
      </c>
      <c r="L15" s="1" t="str">
        <f t="shared" si="2"/>
        <v/>
      </c>
    </row>
    <row r="16" spans="1:12">
      <c r="D16" s="15" t="s">
        <v>16</v>
      </c>
      <c r="E16" s="16">
        <f>VLOOKUP(I16,[1]Sheet2!$A:$B,2,0)</f>
        <v>370</v>
      </c>
      <c r="F16" s="16" t="s">
        <v>62</v>
      </c>
      <c r="G16" s="16" t="s">
        <v>327</v>
      </c>
      <c r="H16" s="1" t="s">
        <v>231</v>
      </c>
      <c r="I16" s="1" t="s">
        <v>336</v>
      </c>
      <c r="J16" s="1" t="str">
        <f t="shared" si="1"/>
        <v>Sergei PETROV</v>
      </c>
      <c r="K16" s="1" t="str">
        <f>CONCATENATE(F16," ",PROPER(G16))</f>
        <v>Sergei Petrov</v>
      </c>
      <c r="L16" s="1" t="str">
        <f t="shared" si="2"/>
        <v>Petrov</v>
      </c>
    </row>
    <row r="17" spans="4:12">
      <c r="D17" s="17" t="s">
        <v>17</v>
      </c>
      <c r="E17" s="16">
        <f>VLOOKUP(I17,[1]Sheet2!$A:$B,2,0)</f>
        <v>3612</v>
      </c>
      <c r="F17" s="16" t="s">
        <v>328</v>
      </c>
      <c r="G17" s="16" t="s">
        <v>61</v>
      </c>
      <c r="H17" s="1" t="s">
        <v>231</v>
      </c>
      <c r="I17" s="1" t="s">
        <v>337</v>
      </c>
      <c r="J17" s="1" t="str">
        <f t="shared" si="1"/>
        <v>Maksim VUHKA</v>
      </c>
      <c r="K17" s="1" t="str">
        <f t="shared" ref="K17:K80" si="3">CONCATENATE(F17," ",PROPER(G17))</f>
        <v>Maksim Vuhka</v>
      </c>
      <c r="L17" s="1" t="str">
        <f t="shared" si="2"/>
        <v>Vuhka</v>
      </c>
    </row>
    <row r="18" spans="4:12">
      <c r="D18" s="15" t="s">
        <v>18</v>
      </c>
      <c r="E18" s="16">
        <f>VLOOKUP(I18,[1]Sheet2!$A:$B,2,0)</f>
        <v>1871</v>
      </c>
      <c r="F18" s="16" t="s">
        <v>66</v>
      </c>
      <c r="G18" s="16" t="s">
        <v>329</v>
      </c>
      <c r="H18" s="1" t="s">
        <v>231</v>
      </c>
      <c r="I18" s="1" t="s">
        <v>338</v>
      </c>
      <c r="J18" s="1" t="str">
        <f t="shared" si="1"/>
        <v>Toomas LIBENE</v>
      </c>
      <c r="K18" s="1" t="str">
        <f t="shared" si="3"/>
        <v>Toomas Libene</v>
      </c>
      <c r="L18" s="1" t="str">
        <f t="shared" si="2"/>
        <v>Libene</v>
      </c>
    </row>
    <row r="19" spans="4:12">
      <c r="D19" s="15" t="s">
        <v>19</v>
      </c>
      <c r="E19" s="16">
        <f>VLOOKUP(I19,[1]Sheet2!$A:$B,2,0)</f>
        <v>3096</v>
      </c>
      <c r="F19" s="16" t="s">
        <v>330</v>
      </c>
      <c r="G19" s="16" t="s">
        <v>331</v>
      </c>
      <c r="H19" s="1" t="s">
        <v>231</v>
      </c>
      <c r="I19" s="1" t="s">
        <v>339</v>
      </c>
      <c r="J19" s="1" t="str">
        <f t="shared" si="1"/>
        <v>Carlo ACCORSI</v>
      </c>
      <c r="K19" s="1" t="str">
        <f t="shared" si="3"/>
        <v>Carlo Accorsi</v>
      </c>
      <c r="L19" s="1" t="str">
        <f t="shared" si="2"/>
        <v>Accorsi</v>
      </c>
    </row>
    <row r="20" spans="4:12">
      <c r="D20" s="15" t="s">
        <v>20</v>
      </c>
      <c r="E20" s="16">
        <f>VLOOKUP(I20,[1]Sheet2!$A:$B,2,0)</f>
        <v>10335</v>
      </c>
      <c r="F20" s="16" t="s">
        <v>332</v>
      </c>
      <c r="G20" s="16" t="s">
        <v>333</v>
      </c>
      <c r="H20" s="1" t="s">
        <v>231</v>
      </c>
      <c r="I20" s="1" t="s">
        <v>340</v>
      </c>
      <c r="J20" s="1" t="str">
        <f t="shared" si="1"/>
        <v>Daniel KOSIBA</v>
      </c>
      <c r="K20" s="1" t="str">
        <f t="shared" si="3"/>
        <v>Daniel Kosiba</v>
      </c>
      <c r="L20" s="1" t="str">
        <f t="shared" si="2"/>
        <v>Kosiba</v>
      </c>
    </row>
    <row r="21" spans="4:12">
      <c r="D21" s="15" t="s">
        <v>21</v>
      </c>
      <c r="E21" s="16">
        <f>VLOOKUP(I21,[1]Sheet2!$A:$B,2,0)</f>
        <v>10339</v>
      </c>
      <c r="F21" s="16" t="s">
        <v>334</v>
      </c>
      <c r="G21" s="16" t="s">
        <v>335</v>
      </c>
      <c r="H21" s="1" t="s">
        <v>231</v>
      </c>
      <c r="I21" s="1" t="s">
        <v>499</v>
      </c>
      <c r="J21" s="1" t="str">
        <f t="shared" si="1"/>
        <v>Dmitri BOBROV</v>
      </c>
      <c r="K21" s="1" t="str">
        <f t="shared" si="3"/>
        <v>Dmitri Bobrov</v>
      </c>
      <c r="L21" s="1" t="str">
        <f t="shared" si="2"/>
        <v>Bobrov</v>
      </c>
    </row>
    <row r="22" spans="4:12">
      <c r="D22" s="15" t="s">
        <v>22</v>
      </c>
      <c r="E22" s="16"/>
      <c r="F22" s="16"/>
      <c r="G22" s="16"/>
    </row>
    <row r="23" spans="4:12">
      <c r="D23" s="15" t="s">
        <v>23</v>
      </c>
      <c r="E23" s="16"/>
      <c r="F23" s="16"/>
      <c r="G23" s="16"/>
      <c r="I23" s="1" t="s">
        <v>58</v>
      </c>
      <c r="J23" s="1" t="str">
        <f t="shared" si="1"/>
        <v xml:space="preserve"> </v>
      </c>
      <c r="K23" s="1" t="str">
        <f t="shared" si="3"/>
        <v xml:space="preserve"> </v>
      </c>
      <c r="L23" s="1" t="str">
        <f t="shared" si="2"/>
        <v/>
      </c>
    </row>
    <row r="24" spans="4:12">
      <c r="D24" s="15" t="s">
        <v>24</v>
      </c>
      <c r="E24" s="16"/>
      <c r="F24" s="16"/>
      <c r="G24" s="16"/>
      <c r="I24" s="1" t="s">
        <v>58</v>
      </c>
      <c r="J24" s="1" t="str">
        <f t="shared" si="1"/>
        <v xml:space="preserve"> </v>
      </c>
      <c r="K24" s="1" t="str">
        <f t="shared" si="3"/>
        <v xml:space="preserve"> </v>
      </c>
      <c r="L24" s="1" t="str">
        <f t="shared" si="2"/>
        <v/>
      </c>
    </row>
    <row r="25" spans="4:12">
      <c r="D25" s="15" t="s">
        <v>25</v>
      </c>
      <c r="E25" s="16"/>
      <c r="F25" s="16"/>
      <c r="G25" s="16"/>
      <c r="I25" s="1" t="s">
        <v>58</v>
      </c>
      <c r="J25" s="1" t="str">
        <f t="shared" si="1"/>
        <v xml:space="preserve"> </v>
      </c>
      <c r="K25" s="1" t="str">
        <f t="shared" si="3"/>
        <v xml:space="preserve"> </v>
      </c>
      <c r="L25" s="1" t="str">
        <f t="shared" si="2"/>
        <v/>
      </c>
    </row>
    <row r="26" spans="4:12">
      <c r="I26" s="1" t="s">
        <v>58</v>
      </c>
      <c r="J26" s="1" t="str">
        <f t="shared" si="1"/>
        <v xml:space="preserve"> </v>
      </c>
      <c r="K26" s="1" t="str">
        <f t="shared" si="3"/>
        <v xml:space="preserve"> </v>
      </c>
      <c r="L26" s="1" t="str">
        <f t="shared" si="2"/>
        <v/>
      </c>
    </row>
    <row r="27" spans="4:12" ht="15">
      <c r="D27" s="37" t="str">
        <f>A3</f>
        <v>TalTech Spordiklubi</v>
      </c>
      <c r="E27"/>
      <c r="I27" s="1" t="s">
        <v>58</v>
      </c>
      <c r="J27" s="1" t="str">
        <f t="shared" si="1"/>
        <v xml:space="preserve"> </v>
      </c>
      <c r="K27" s="1" t="str">
        <f t="shared" si="3"/>
        <v xml:space="preserve"> </v>
      </c>
      <c r="L27" s="1" t="str">
        <f t="shared" si="2"/>
        <v/>
      </c>
    </row>
    <row r="28" spans="4:12">
      <c r="D28" s="15" t="s">
        <v>16</v>
      </c>
      <c r="E28" s="16">
        <f>VLOOKUP(I28,[1]Sheet2!$A:$B,2,0)</f>
        <v>5954</v>
      </c>
      <c r="F28" s="16" t="s">
        <v>341</v>
      </c>
      <c r="G28" s="16" t="s">
        <v>342</v>
      </c>
      <c r="H28" s="1" t="s">
        <v>232</v>
      </c>
      <c r="I28" s="1" t="s">
        <v>355</v>
      </c>
      <c r="J28" s="1" t="str">
        <f>CONCATENATE(F28," ",G28)</f>
        <v>Madis MOOS</v>
      </c>
      <c r="K28" s="1" t="str">
        <f t="shared" si="3"/>
        <v>Madis Moos</v>
      </c>
      <c r="L28" s="1" t="str">
        <f t="shared" si="2"/>
        <v>Moos</v>
      </c>
    </row>
    <row r="29" spans="4:12">
      <c r="D29" s="15" t="s">
        <v>17</v>
      </c>
      <c r="E29" s="16">
        <f>VLOOKUP(I29,[1]Sheet2!$A:$B,2,0)</f>
        <v>3639</v>
      </c>
      <c r="F29" s="16" t="s">
        <v>343</v>
      </c>
      <c r="G29" s="16" t="s">
        <v>344</v>
      </c>
      <c r="H29" s="1" t="s">
        <v>232</v>
      </c>
      <c r="I29" s="1" t="s">
        <v>356</v>
      </c>
      <c r="J29" s="1" t="str">
        <f t="shared" si="1"/>
        <v>Stanislav STROGOV</v>
      </c>
      <c r="K29" s="1" t="str">
        <f t="shared" si="3"/>
        <v>Stanislav Strogov</v>
      </c>
      <c r="L29" s="1" t="str">
        <f t="shared" si="2"/>
        <v>Strogov</v>
      </c>
    </row>
    <row r="30" spans="4:12">
      <c r="D30" s="15" t="s">
        <v>18</v>
      </c>
      <c r="E30" s="16">
        <f>VLOOKUP(I30,[1]Sheet2!$A:$B,2,0)</f>
        <v>6162</v>
      </c>
      <c r="F30" s="16" t="s">
        <v>345</v>
      </c>
      <c r="G30" s="16" t="s">
        <v>346</v>
      </c>
      <c r="H30" s="1" t="s">
        <v>232</v>
      </c>
      <c r="I30" s="1" t="s">
        <v>357</v>
      </c>
      <c r="J30" s="1" t="str">
        <f t="shared" si="1"/>
        <v>Andrei MALTIZOV</v>
      </c>
      <c r="K30" s="1" t="str">
        <f t="shared" si="3"/>
        <v>Andrei Maltizov</v>
      </c>
      <c r="L30" s="1" t="str">
        <f t="shared" si="2"/>
        <v>Maltizov</v>
      </c>
    </row>
    <row r="31" spans="4:12">
      <c r="D31" s="15" t="s">
        <v>19</v>
      </c>
      <c r="E31" s="16">
        <f>VLOOKUP(I31,[1]Sheet2!$A:$B,2,0)</f>
        <v>282</v>
      </c>
      <c r="F31" s="16" t="s">
        <v>347</v>
      </c>
      <c r="G31" s="16" t="s">
        <v>348</v>
      </c>
      <c r="H31" s="1" t="s">
        <v>232</v>
      </c>
      <c r="I31" s="1" t="s">
        <v>358</v>
      </c>
      <c r="J31" s="1" t="str">
        <f t="shared" si="1"/>
        <v>Vallot VAINULA</v>
      </c>
      <c r="K31" s="1" t="str">
        <f t="shared" si="3"/>
        <v>Vallot Vainula</v>
      </c>
      <c r="L31" s="1" t="str">
        <f t="shared" si="2"/>
        <v>Vainula</v>
      </c>
    </row>
    <row r="32" spans="4:12">
      <c r="D32" s="15" t="s">
        <v>20</v>
      </c>
      <c r="E32" s="16">
        <f>VLOOKUP(I32,[1]Sheet2!$A:$B,2,0)</f>
        <v>1561</v>
      </c>
      <c r="F32" s="16" t="s">
        <v>349</v>
      </c>
      <c r="G32" s="16" t="s">
        <v>350</v>
      </c>
      <c r="H32" s="1" t="s">
        <v>232</v>
      </c>
      <c r="I32" s="1" t="s">
        <v>359</v>
      </c>
      <c r="J32" s="1" t="str">
        <f t="shared" si="1"/>
        <v>Samuli SOINE</v>
      </c>
      <c r="K32" s="1" t="str">
        <f t="shared" si="3"/>
        <v>Samuli Soine</v>
      </c>
      <c r="L32" s="1" t="str">
        <f t="shared" si="2"/>
        <v>Soine</v>
      </c>
    </row>
    <row r="33" spans="4:12">
      <c r="D33" s="15" t="s">
        <v>21</v>
      </c>
      <c r="E33" s="16">
        <f>VLOOKUP(I33,[1]Sheet2!$A:$B,2,0)</f>
        <v>10094</v>
      </c>
      <c r="F33" s="16" t="s">
        <v>351</v>
      </c>
      <c r="G33" s="16" t="s">
        <v>352</v>
      </c>
      <c r="H33" s="1" t="s">
        <v>232</v>
      </c>
      <c r="I33" s="1" t="s">
        <v>360</v>
      </c>
      <c r="J33" s="1" t="str">
        <f t="shared" si="1"/>
        <v>Tomasz LEWANDOWSKI</v>
      </c>
      <c r="K33" s="1" t="str">
        <f t="shared" si="3"/>
        <v>Tomasz Lewandowski</v>
      </c>
      <c r="L33" s="1" t="str">
        <f t="shared" si="2"/>
        <v>Lewandowski</v>
      </c>
    </row>
    <row r="34" spans="4:12">
      <c r="D34" s="15" t="s">
        <v>22</v>
      </c>
      <c r="E34" s="16">
        <f>VLOOKUP(I34,[1]Sheet2!$A:$B,2,0)</f>
        <v>1664</v>
      </c>
      <c r="F34" s="16" t="s">
        <v>353</v>
      </c>
      <c r="G34" s="16" t="s">
        <v>354</v>
      </c>
      <c r="H34" s="1" t="s">
        <v>232</v>
      </c>
      <c r="I34" s="1" t="s">
        <v>361</v>
      </c>
      <c r="J34" s="1" t="str">
        <f t="shared" si="1"/>
        <v>Arturs REINHOLDS</v>
      </c>
      <c r="K34" s="1" t="str">
        <f t="shared" si="3"/>
        <v>Arturs Reinholds</v>
      </c>
      <c r="L34" s="1" t="str">
        <f t="shared" si="2"/>
        <v>Reinholds</v>
      </c>
    </row>
    <row r="35" spans="4:12">
      <c r="D35" s="15" t="s">
        <v>23</v>
      </c>
      <c r="E35" s="16"/>
      <c r="F35" s="16"/>
      <c r="G35" s="16"/>
      <c r="J35" s="1" t="str">
        <f t="shared" si="1"/>
        <v xml:space="preserve"> </v>
      </c>
      <c r="K35" s="1" t="str">
        <f t="shared" si="3"/>
        <v xml:space="preserve"> </v>
      </c>
      <c r="L35" s="1" t="str">
        <f t="shared" si="2"/>
        <v/>
      </c>
    </row>
    <row r="36" spans="4:12">
      <c r="D36" s="15" t="s">
        <v>24</v>
      </c>
      <c r="E36" s="16"/>
      <c r="F36" s="16"/>
      <c r="G36" s="16"/>
      <c r="J36" s="1" t="str">
        <f t="shared" si="1"/>
        <v xml:space="preserve"> </v>
      </c>
      <c r="K36" s="1" t="str">
        <f t="shared" si="3"/>
        <v xml:space="preserve"> </v>
      </c>
      <c r="L36" s="1" t="str">
        <f t="shared" si="2"/>
        <v/>
      </c>
    </row>
    <row r="37" spans="4:12">
      <c r="D37" s="15" t="s">
        <v>25</v>
      </c>
      <c r="E37" s="16"/>
      <c r="F37" s="16"/>
      <c r="G37" s="16"/>
      <c r="J37" s="1" t="str">
        <f t="shared" si="1"/>
        <v xml:space="preserve"> </v>
      </c>
      <c r="K37" s="1" t="str">
        <f t="shared" si="3"/>
        <v xml:space="preserve"> </v>
      </c>
      <c r="L37" s="1" t="str">
        <f t="shared" si="2"/>
        <v/>
      </c>
    </row>
    <row r="38" spans="4:12">
      <c r="I38" s="1" t="s">
        <v>58</v>
      </c>
      <c r="J38" s="1" t="str">
        <f t="shared" si="1"/>
        <v xml:space="preserve"> </v>
      </c>
      <c r="K38" s="1" t="str">
        <f t="shared" si="3"/>
        <v xml:space="preserve"> </v>
      </c>
      <c r="L38" s="1" t="str">
        <f t="shared" si="2"/>
        <v/>
      </c>
    </row>
    <row r="39" spans="4:12">
      <c r="D39" s="37" t="str">
        <f>A4</f>
        <v>Tartu SS Kalev</v>
      </c>
      <c r="I39" s="1" t="s">
        <v>58</v>
      </c>
      <c r="J39" s="1" t="str">
        <f t="shared" si="1"/>
        <v xml:space="preserve"> </v>
      </c>
      <c r="K39" s="1" t="str">
        <f t="shared" si="3"/>
        <v xml:space="preserve"> </v>
      </c>
      <c r="L39" s="1" t="str">
        <f t="shared" si="2"/>
        <v/>
      </c>
    </row>
    <row r="40" spans="4:12">
      <c r="D40" s="15" t="s">
        <v>16</v>
      </c>
      <c r="E40" s="16">
        <f>VLOOKUP(I40,[1]Sheet2!$A:$B,2,0)</f>
        <v>5470</v>
      </c>
      <c r="F40" s="16" t="s">
        <v>362</v>
      </c>
      <c r="G40" s="16" t="s">
        <v>363</v>
      </c>
      <c r="H40" s="1" t="s">
        <v>233</v>
      </c>
      <c r="I40" s="1" t="s">
        <v>370</v>
      </c>
      <c r="J40" s="1" t="str">
        <f t="shared" si="1"/>
        <v>Markkos PUKK</v>
      </c>
      <c r="K40" s="1" t="str">
        <f t="shared" si="3"/>
        <v>Markkos Pukk</v>
      </c>
      <c r="L40" s="1" t="str">
        <f t="shared" si="2"/>
        <v>Pukk</v>
      </c>
    </row>
    <row r="41" spans="4:12">
      <c r="D41" s="15" t="s">
        <v>17</v>
      </c>
      <c r="E41" s="16">
        <f>VLOOKUP(I41,[1]Sheet2!$A:$B,2,0)</f>
        <v>5474</v>
      </c>
      <c r="F41" s="16" t="s">
        <v>364</v>
      </c>
      <c r="G41" s="16" t="s">
        <v>363</v>
      </c>
      <c r="H41" s="1" t="s">
        <v>233</v>
      </c>
      <c r="I41" s="1" t="s">
        <v>371</v>
      </c>
      <c r="J41" s="1" t="str">
        <f t="shared" si="1"/>
        <v>Osqar PUKK</v>
      </c>
      <c r="K41" s="1" t="str">
        <f t="shared" si="3"/>
        <v>Osqar Pukk</v>
      </c>
      <c r="L41" s="1" t="str">
        <f t="shared" si="2"/>
        <v>Pukk</v>
      </c>
    </row>
    <row r="42" spans="4:12">
      <c r="D42" s="15" t="s">
        <v>18</v>
      </c>
      <c r="E42" s="16">
        <f>VLOOKUP(I42,[1]Sheet2!$A:$B,2,0)</f>
        <v>277</v>
      </c>
      <c r="F42" s="16" t="s">
        <v>365</v>
      </c>
      <c r="G42" s="16" t="s">
        <v>366</v>
      </c>
      <c r="H42" s="1" t="s">
        <v>233</v>
      </c>
      <c r="I42" s="1" t="s">
        <v>372</v>
      </c>
      <c r="J42" s="1" t="str">
        <f t="shared" si="1"/>
        <v>Raini TSÄKO</v>
      </c>
      <c r="K42" s="1" t="str">
        <f t="shared" si="3"/>
        <v>Raini Tsäko</v>
      </c>
      <c r="L42" s="1" t="str">
        <f t="shared" si="2"/>
        <v>Tsäko</v>
      </c>
    </row>
    <row r="43" spans="4:12">
      <c r="D43" s="15" t="s">
        <v>19</v>
      </c>
      <c r="E43" s="16">
        <f>VLOOKUP(I43,[1]Sheet2!$A:$B,2,0)</f>
        <v>5957</v>
      </c>
      <c r="F43" s="16" t="s">
        <v>367</v>
      </c>
      <c r="G43" s="16" t="s">
        <v>368</v>
      </c>
      <c r="H43" s="1" t="s">
        <v>233</v>
      </c>
      <c r="I43" s="1" t="s">
        <v>373</v>
      </c>
      <c r="J43" s="1" t="str">
        <f t="shared" si="1"/>
        <v>Arttu Antero PIHKALA</v>
      </c>
      <c r="K43" s="1" t="str">
        <f t="shared" si="3"/>
        <v>Arttu Antero Pihkala</v>
      </c>
      <c r="L43" s="1" t="str">
        <f t="shared" si="2"/>
        <v>Pihkala</v>
      </c>
    </row>
    <row r="44" spans="4:12">
      <c r="D44" s="15" t="s">
        <v>20</v>
      </c>
      <c r="E44" s="16">
        <f>VLOOKUP(I44,[1]Sheet2!$A:$B,2,0)</f>
        <v>189</v>
      </c>
      <c r="F44" s="16" t="s">
        <v>121</v>
      </c>
      <c r="G44" s="16" t="s">
        <v>123</v>
      </c>
      <c r="H44" s="1" t="s">
        <v>233</v>
      </c>
      <c r="I44" s="1" t="s">
        <v>125</v>
      </c>
      <c r="J44" s="1" t="str">
        <f t="shared" si="1"/>
        <v>Veiko KIBENA</v>
      </c>
      <c r="K44" s="1" t="str">
        <f t="shared" si="3"/>
        <v>Veiko Kibena</v>
      </c>
      <c r="L44" s="1" t="str">
        <f t="shared" si="2"/>
        <v>Kibena</v>
      </c>
    </row>
    <row r="45" spans="4:12">
      <c r="D45" s="15" t="s">
        <v>21</v>
      </c>
      <c r="E45" s="16">
        <f>VLOOKUP(I45,[1]Sheet2!$A:$B,2,0)</f>
        <v>3816</v>
      </c>
      <c r="F45" s="16" t="s">
        <v>126</v>
      </c>
      <c r="G45" s="16" t="s">
        <v>369</v>
      </c>
      <c r="H45" s="1" t="s">
        <v>233</v>
      </c>
      <c r="I45" s="1" t="s">
        <v>374</v>
      </c>
      <c r="J45" s="1" t="str">
        <f t="shared" si="1"/>
        <v>Mart LUUK</v>
      </c>
      <c r="K45" s="1" t="str">
        <f t="shared" si="3"/>
        <v>Mart Luuk</v>
      </c>
      <c r="L45" s="1" t="str">
        <f t="shared" si="2"/>
        <v>Luuk</v>
      </c>
    </row>
    <row r="46" spans="4:12">
      <c r="D46" s="15" t="s">
        <v>22</v>
      </c>
      <c r="E46" s="16"/>
      <c r="F46" s="16"/>
      <c r="G46" s="16"/>
      <c r="I46" s="1" t="s">
        <v>58</v>
      </c>
      <c r="J46" s="1" t="str">
        <f t="shared" si="1"/>
        <v xml:space="preserve"> </v>
      </c>
      <c r="K46" s="1" t="str">
        <f t="shared" si="3"/>
        <v xml:space="preserve"> </v>
      </c>
      <c r="L46" s="1" t="str">
        <f t="shared" si="2"/>
        <v/>
      </c>
    </row>
    <row r="47" spans="4:12">
      <c r="D47" s="15" t="s">
        <v>23</v>
      </c>
      <c r="E47" s="16"/>
      <c r="F47" s="16"/>
      <c r="G47" s="16"/>
      <c r="I47" s="1" t="s">
        <v>58</v>
      </c>
      <c r="J47" s="1" t="str">
        <f t="shared" si="1"/>
        <v xml:space="preserve"> </v>
      </c>
      <c r="K47" s="1" t="str">
        <f t="shared" si="3"/>
        <v xml:space="preserve"> </v>
      </c>
      <c r="L47" s="1" t="str">
        <f t="shared" si="2"/>
        <v/>
      </c>
    </row>
    <row r="48" spans="4:12">
      <c r="D48" s="15" t="s">
        <v>24</v>
      </c>
      <c r="E48" s="16"/>
      <c r="F48" s="16"/>
      <c r="G48" s="16"/>
      <c r="I48" s="1" t="s">
        <v>58</v>
      </c>
      <c r="J48" s="1" t="str">
        <f t="shared" si="1"/>
        <v xml:space="preserve"> </v>
      </c>
      <c r="K48" s="1" t="str">
        <f t="shared" si="3"/>
        <v xml:space="preserve"> </v>
      </c>
      <c r="L48" s="1" t="str">
        <f t="shared" si="2"/>
        <v/>
      </c>
    </row>
    <row r="49" spans="4:12">
      <c r="D49" s="15" t="s">
        <v>25</v>
      </c>
      <c r="E49" s="16"/>
      <c r="F49" s="16"/>
      <c r="G49" s="16"/>
      <c r="I49" s="1" t="s">
        <v>58</v>
      </c>
      <c r="J49" s="1" t="str">
        <f t="shared" si="1"/>
        <v xml:space="preserve"> </v>
      </c>
      <c r="K49" s="1" t="str">
        <f t="shared" si="3"/>
        <v xml:space="preserve"> </v>
      </c>
      <c r="L49" s="1" t="str">
        <f t="shared" si="2"/>
        <v/>
      </c>
    </row>
    <row r="50" spans="4:12">
      <c r="I50" s="1" t="s">
        <v>58</v>
      </c>
      <c r="J50" s="1" t="str">
        <f t="shared" si="1"/>
        <v xml:space="preserve"> </v>
      </c>
      <c r="K50" s="1" t="str">
        <f t="shared" si="3"/>
        <v xml:space="preserve"> </v>
      </c>
      <c r="L50" s="1" t="str">
        <f t="shared" si="2"/>
        <v/>
      </c>
    </row>
    <row r="51" spans="4:12">
      <c r="D51" s="36" t="str">
        <f>A5</f>
        <v>Viljandi LTK Sakala</v>
      </c>
      <c r="I51" s="1" t="s">
        <v>58</v>
      </c>
      <c r="J51" s="1" t="str">
        <f t="shared" si="1"/>
        <v xml:space="preserve"> </v>
      </c>
      <c r="K51" s="1" t="str">
        <f t="shared" si="3"/>
        <v xml:space="preserve"> </v>
      </c>
      <c r="L51" s="1" t="str">
        <f t="shared" si="2"/>
        <v/>
      </c>
    </row>
    <row r="52" spans="4:12">
      <c r="D52" s="15" t="s">
        <v>16</v>
      </c>
      <c r="E52" s="16">
        <f>VLOOKUP(I52,[1]Sheet2!$A:$B,2,0)</f>
        <v>2763</v>
      </c>
      <c r="F52" s="16" t="s">
        <v>375</v>
      </c>
      <c r="G52" s="16" t="s">
        <v>376</v>
      </c>
      <c r="H52" s="1" t="s">
        <v>234</v>
      </c>
      <c r="I52" s="1" t="s">
        <v>564</v>
      </c>
      <c r="J52" s="1" t="str">
        <f>CONCATENATE(F52," ",G52)</f>
        <v>Valdas  MARTINKUS</v>
      </c>
      <c r="K52" s="1" t="str">
        <f t="shared" si="3"/>
        <v>Valdas  Martinkus</v>
      </c>
      <c r="L52" s="1" t="str">
        <f t="shared" si="2"/>
        <v>Martinkus</v>
      </c>
    </row>
    <row r="53" spans="4:12">
      <c r="D53" s="15" t="s">
        <v>17</v>
      </c>
      <c r="E53" s="16">
        <f>VLOOKUP(I53,[1]Sheet2!$A:$B,2,0)</f>
        <v>8754</v>
      </c>
      <c r="F53" s="16" t="s">
        <v>377</v>
      </c>
      <c r="G53" s="16" t="s">
        <v>378</v>
      </c>
      <c r="H53" s="1" t="s">
        <v>234</v>
      </c>
      <c r="I53" s="1" t="s">
        <v>386</v>
      </c>
      <c r="J53" s="1" t="str">
        <f t="shared" ref="J53:J97" si="4">CONCATENATE(F53," ",G53)</f>
        <v>Erik NÜÜD</v>
      </c>
      <c r="K53" s="1" t="str">
        <f t="shared" si="3"/>
        <v>Erik Nüüd</v>
      </c>
      <c r="L53" s="1" t="str">
        <f t="shared" si="2"/>
        <v>Nüüd</v>
      </c>
    </row>
    <row r="54" spans="4:12">
      <c r="D54" s="15" t="s">
        <v>18</v>
      </c>
      <c r="E54" s="16">
        <f>VLOOKUP(I54,[1]Sheet2!$A:$B,2,0)</f>
        <v>8867</v>
      </c>
      <c r="F54" s="16" t="s">
        <v>379</v>
      </c>
      <c r="G54" s="16" t="s">
        <v>380</v>
      </c>
      <c r="H54" s="1" t="s">
        <v>234</v>
      </c>
      <c r="I54" s="1" t="s">
        <v>387</v>
      </c>
      <c r="J54" s="1" t="str">
        <f t="shared" si="4"/>
        <v>Robi TOOMING</v>
      </c>
      <c r="K54" s="1" t="str">
        <f t="shared" si="3"/>
        <v>Robi Tooming</v>
      </c>
      <c r="L54" s="1" t="str">
        <f t="shared" si="2"/>
        <v>Tooming</v>
      </c>
    </row>
    <row r="55" spans="4:12">
      <c r="D55" s="15" t="s">
        <v>19</v>
      </c>
      <c r="E55" s="16">
        <f>VLOOKUP(I55,[1]Sheet2!$A:$B,2,0)</f>
        <v>2319</v>
      </c>
      <c r="F55" s="16" t="s">
        <v>381</v>
      </c>
      <c r="G55" s="16" t="s">
        <v>382</v>
      </c>
      <c r="H55" s="1" t="s">
        <v>234</v>
      </c>
      <c r="I55" s="1" t="s">
        <v>388</v>
      </c>
      <c r="J55" s="1" t="str">
        <f t="shared" si="4"/>
        <v>Märt KURVET</v>
      </c>
      <c r="K55" s="1" t="str">
        <f t="shared" si="3"/>
        <v>Märt Kurvet</v>
      </c>
      <c r="L55" s="1" t="str">
        <f t="shared" si="2"/>
        <v>Kurvet</v>
      </c>
    </row>
    <row r="56" spans="4:12">
      <c r="D56" s="15" t="s">
        <v>20</v>
      </c>
      <c r="E56" s="16">
        <f>VLOOKUP(I56,[1]Sheet2!$A:$B,2,0)</f>
        <v>3014</v>
      </c>
      <c r="F56" s="16" t="s">
        <v>383</v>
      </c>
      <c r="G56" s="16" t="s">
        <v>384</v>
      </c>
      <c r="H56" s="1" t="s">
        <v>234</v>
      </c>
      <c r="I56" s="1" t="s">
        <v>389</v>
      </c>
      <c r="J56" s="1" t="str">
        <f t="shared" si="4"/>
        <v>Aaro ÕISMETS</v>
      </c>
      <c r="K56" s="1" t="str">
        <f t="shared" si="3"/>
        <v>Aaro Õismets</v>
      </c>
      <c r="L56" s="1" t="str">
        <f t="shared" si="2"/>
        <v>Õismets</v>
      </c>
    </row>
    <row r="57" spans="4:12">
      <c r="D57" s="15" t="s">
        <v>21</v>
      </c>
      <c r="E57" s="16"/>
      <c r="F57" s="16"/>
      <c r="G57" s="16"/>
    </row>
    <row r="58" spans="4:12">
      <c r="D58" s="15" t="s">
        <v>22</v>
      </c>
      <c r="E58" s="16"/>
      <c r="F58" s="16"/>
      <c r="G58" s="16"/>
      <c r="J58" s="1" t="str">
        <f t="shared" si="4"/>
        <v xml:space="preserve"> </v>
      </c>
      <c r="K58" s="1" t="str">
        <f t="shared" si="3"/>
        <v xml:space="preserve"> </v>
      </c>
      <c r="L58" s="1" t="str">
        <f t="shared" si="2"/>
        <v/>
      </c>
    </row>
    <row r="59" spans="4:12">
      <c r="D59" s="15" t="s">
        <v>23</v>
      </c>
      <c r="E59" s="16"/>
      <c r="F59" s="16"/>
      <c r="G59" s="16"/>
      <c r="J59" s="1" t="str">
        <f t="shared" si="4"/>
        <v xml:space="preserve"> </v>
      </c>
      <c r="K59" s="1" t="str">
        <f t="shared" si="3"/>
        <v xml:space="preserve"> </v>
      </c>
      <c r="L59" s="1" t="str">
        <f t="shared" si="2"/>
        <v/>
      </c>
    </row>
    <row r="60" spans="4:12">
      <c r="D60" s="15" t="s">
        <v>24</v>
      </c>
      <c r="E60" s="16"/>
      <c r="F60" s="16"/>
      <c r="G60" s="16"/>
      <c r="J60" s="1" t="str">
        <f t="shared" si="4"/>
        <v xml:space="preserve"> </v>
      </c>
      <c r="K60" s="1" t="str">
        <f t="shared" si="3"/>
        <v xml:space="preserve"> </v>
      </c>
      <c r="L60" s="1" t="str">
        <f t="shared" si="2"/>
        <v/>
      </c>
    </row>
    <row r="61" spans="4:12">
      <c r="D61" s="15" t="s">
        <v>25</v>
      </c>
      <c r="E61" s="16"/>
      <c r="F61" s="16"/>
      <c r="G61" s="16"/>
      <c r="I61" s="1" t="s">
        <v>58</v>
      </c>
      <c r="J61" s="1" t="str">
        <f t="shared" si="4"/>
        <v xml:space="preserve"> </v>
      </c>
      <c r="K61" s="1" t="str">
        <f t="shared" si="3"/>
        <v xml:space="preserve"> </v>
      </c>
      <c r="L61" s="1" t="str">
        <f t="shared" si="2"/>
        <v/>
      </c>
    </row>
    <row r="62" spans="4:12">
      <c r="I62" s="1" t="s">
        <v>58</v>
      </c>
      <c r="J62" s="1" t="str">
        <f t="shared" si="4"/>
        <v xml:space="preserve"> </v>
      </c>
      <c r="K62" s="1" t="str">
        <f t="shared" si="3"/>
        <v xml:space="preserve"> </v>
      </c>
      <c r="L62" s="1" t="str">
        <f t="shared" si="2"/>
        <v/>
      </c>
    </row>
    <row r="63" spans="4:12">
      <c r="D63" s="14" t="str">
        <f>A6</f>
        <v>SPINMASTER</v>
      </c>
      <c r="I63" s="1" t="s">
        <v>58</v>
      </c>
      <c r="J63" s="1" t="str">
        <f t="shared" si="4"/>
        <v xml:space="preserve"> </v>
      </c>
      <c r="K63" s="1" t="str">
        <f t="shared" si="3"/>
        <v xml:space="preserve"> </v>
      </c>
      <c r="L63" s="1" t="str">
        <f t="shared" si="2"/>
        <v/>
      </c>
    </row>
    <row r="64" spans="4:12">
      <c r="D64" s="15" t="s">
        <v>16</v>
      </c>
      <c r="E64" s="16">
        <f>VLOOKUP(I64,[1]Sheet2!$A:$B,2,0)</f>
        <v>8928</v>
      </c>
      <c r="F64" s="16" t="s">
        <v>63</v>
      </c>
      <c r="G64" s="16" t="s">
        <v>60</v>
      </c>
      <c r="H64" s="1" t="s">
        <v>235</v>
      </c>
      <c r="I64" s="1" t="s">
        <v>64</v>
      </c>
      <c r="J64" s="1" t="str">
        <f t="shared" si="4"/>
        <v>Kevin KUKK</v>
      </c>
      <c r="K64" s="1" t="str">
        <f t="shared" si="3"/>
        <v>Kevin Kukk</v>
      </c>
      <c r="L64" s="1" t="str">
        <f t="shared" si="2"/>
        <v>Kukk</v>
      </c>
    </row>
    <row r="65" spans="4:12">
      <c r="D65" s="15" t="s">
        <v>17</v>
      </c>
      <c r="E65" s="16">
        <f>VLOOKUP(I65,[1]Sheet2!$A:$B,2,0)</f>
        <v>7461</v>
      </c>
      <c r="F65" s="16" t="s">
        <v>390</v>
      </c>
      <c r="G65" s="16" t="s">
        <v>391</v>
      </c>
      <c r="H65" s="1" t="s">
        <v>235</v>
      </c>
      <c r="I65" s="1" t="s">
        <v>403</v>
      </c>
      <c r="J65" s="1" t="str">
        <f t="shared" si="4"/>
        <v>Jan Kenneth TOMING</v>
      </c>
      <c r="K65" s="1" t="str">
        <f t="shared" si="3"/>
        <v>Jan Kenneth Toming</v>
      </c>
      <c r="L65" s="1" t="str">
        <f t="shared" si="2"/>
        <v>Toming</v>
      </c>
    </row>
    <row r="66" spans="4:12">
      <c r="D66" s="15" t="s">
        <v>18</v>
      </c>
      <c r="E66" s="16">
        <f>VLOOKUP(I66,[1]Sheet2!$A:$B,2,0)</f>
        <v>836</v>
      </c>
      <c r="F66" s="16" t="s">
        <v>62</v>
      </c>
      <c r="G66" s="16" t="s">
        <v>392</v>
      </c>
      <c r="H66" s="1" t="s">
        <v>235</v>
      </c>
      <c r="I66" s="1" t="s">
        <v>404</v>
      </c>
      <c r="J66" s="1" t="str">
        <f t="shared" si="4"/>
        <v>Sergei KLJUTSENKOV</v>
      </c>
      <c r="K66" s="1" t="str">
        <f t="shared" si="3"/>
        <v>Sergei Kljutsenkov</v>
      </c>
      <c r="L66" s="1" t="str">
        <f t="shared" si="2"/>
        <v>Kljutsenkov</v>
      </c>
    </row>
    <row r="67" spans="4:12">
      <c r="D67" s="15" t="s">
        <v>19</v>
      </c>
      <c r="E67" s="16">
        <f>VLOOKUP(I67,[1]Sheet2!$A:$B,2,0)</f>
        <v>10602</v>
      </c>
      <c r="F67" s="16" t="s">
        <v>393</v>
      </c>
      <c r="G67" s="16" t="s">
        <v>394</v>
      </c>
      <c r="H67" s="1" t="s">
        <v>235</v>
      </c>
      <c r="I67" s="1" t="s">
        <v>405</v>
      </c>
      <c r="J67" s="1" t="str">
        <f t="shared" si="4"/>
        <v>Filat ANDREEV</v>
      </c>
      <c r="K67" s="1" t="str">
        <f t="shared" si="3"/>
        <v>Filat Andreev</v>
      </c>
      <c r="L67" s="1" t="str">
        <f t="shared" si="2"/>
        <v>Andreev</v>
      </c>
    </row>
    <row r="68" spans="4:12">
      <c r="D68" s="15" t="s">
        <v>20</v>
      </c>
      <c r="E68" s="16">
        <f>VLOOKUP(I68,[1]Sheet2!$A:$B,2,0)</f>
        <v>3123</v>
      </c>
      <c r="F68" s="16" t="s">
        <v>395</v>
      </c>
      <c r="G68" s="16" t="s">
        <v>329</v>
      </c>
      <c r="H68" s="1" t="s">
        <v>235</v>
      </c>
      <c r="I68" s="1" t="s">
        <v>406</v>
      </c>
      <c r="J68" s="1" t="str">
        <f t="shared" si="4"/>
        <v>Elvis LIBENE</v>
      </c>
      <c r="K68" s="1" t="str">
        <f t="shared" si="3"/>
        <v>Elvis Libene</v>
      </c>
      <c r="L68" s="1" t="str">
        <f t="shared" si="2"/>
        <v>Libene</v>
      </c>
    </row>
    <row r="69" spans="4:12">
      <c r="D69" s="15" t="s">
        <v>21</v>
      </c>
      <c r="E69" s="16">
        <f>VLOOKUP(I69,[1]Sheet2!$A:$B,2,0)</f>
        <v>10340</v>
      </c>
      <c r="F69" s="16" t="s">
        <v>396</v>
      </c>
      <c r="G69" s="16" t="s">
        <v>397</v>
      </c>
      <c r="H69" s="1" t="s">
        <v>235</v>
      </c>
      <c r="I69" s="1" t="s">
        <v>407</v>
      </c>
      <c r="J69" s="1" t="str">
        <f t="shared" si="4"/>
        <v>Josef KELLER</v>
      </c>
      <c r="K69" s="1" t="str">
        <f t="shared" si="3"/>
        <v>Josef Keller</v>
      </c>
      <c r="L69" s="1" t="str">
        <f t="shared" ref="L69:L98" si="5">PROPER(G69)</f>
        <v>Keller</v>
      </c>
    </row>
    <row r="70" spans="4:12">
      <c r="D70" s="15" t="s">
        <v>22</v>
      </c>
      <c r="E70" s="16">
        <f>VLOOKUP(I70,[1]Sheet2!$A:$B,2,0)</f>
        <v>2257</v>
      </c>
      <c r="F70" s="16" t="s">
        <v>353</v>
      </c>
      <c r="G70" s="16" t="s">
        <v>398</v>
      </c>
      <c r="H70" s="1" t="s">
        <v>235</v>
      </c>
      <c r="I70" s="1" t="s">
        <v>408</v>
      </c>
      <c r="J70" s="1" t="str">
        <f t="shared" si="4"/>
        <v>Arturs RUDNIKOVS</v>
      </c>
      <c r="K70" s="1" t="str">
        <f t="shared" si="3"/>
        <v>Arturs Rudnikovs</v>
      </c>
      <c r="L70" s="1" t="str">
        <f t="shared" si="5"/>
        <v>Rudnikovs</v>
      </c>
    </row>
    <row r="71" spans="4:12">
      <c r="D71" s="15" t="s">
        <v>23</v>
      </c>
      <c r="E71" s="16">
        <f>VLOOKUP(I71,[1]Sheet2!$A:$B,2,0)</f>
        <v>8541</v>
      </c>
      <c r="F71" s="16" t="s">
        <v>353</v>
      </c>
      <c r="G71" s="16" t="s">
        <v>399</v>
      </c>
      <c r="H71" s="1" t="s">
        <v>235</v>
      </c>
      <c r="I71" s="1" t="s">
        <v>409</v>
      </c>
      <c r="J71" s="1" t="str">
        <f t="shared" si="4"/>
        <v>Arturs SPALIS</v>
      </c>
      <c r="K71" s="1" t="str">
        <f t="shared" si="3"/>
        <v>Arturs Spalis</v>
      </c>
      <c r="L71" s="1" t="str">
        <f t="shared" si="5"/>
        <v>Spalis</v>
      </c>
    </row>
    <row r="72" spans="4:12">
      <c r="D72" s="15" t="s">
        <v>24</v>
      </c>
      <c r="E72" s="16">
        <f>VLOOKUP(I72,[1]Sheet2!$A:$B,2,0)</f>
        <v>7424</v>
      </c>
      <c r="F72" s="16" t="s">
        <v>400</v>
      </c>
      <c r="G72" s="16" t="s">
        <v>401</v>
      </c>
      <c r="H72" s="1" t="s">
        <v>235</v>
      </c>
      <c r="I72" s="1" t="s">
        <v>410</v>
      </c>
      <c r="J72" s="1" t="str">
        <f t="shared" si="4"/>
        <v>Andrejs CEMIRTANS</v>
      </c>
      <c r="K72" s="1" t="str">
        <f t="shared" si="3"/>
        <v>Andrejs Cemirtans</v>
      </c>
      <c r="L72" s="1" t="str">
        <f t="shared" si="5"/>
        <v>Cemirtans</v>
      </c>
    </row>
    <row r="73" spans="4:12">
      <c r="D73" s="15" t="s">
        <v>25</v>
      </c>
      <c r="E73" s="16"/>
      <c r="F73" s="74" t="s">
        <v>402</v>
      </c>
      <c r="G73" s="74" t="s">
        <v>327</v>
      </c>
      <c r="J73" s="1" t="str">
        <f t="shared" si="4"/>
        <v>Vladimir PETROV</v>
      </c>
      <c r="K73" s="1" t="str">
        <f t="shared" si="3"/>
        <v>Vladimir Petrov</v>
      </c>
      <c r="L73" s="1" t="str">
        <f t="shared" si="5"/>
        <v>Petrov</v>
      </c>
    </row>
    <row r="74" spans="4:12">
      <c r="I74" s="1" t="s">
        <v>58</v>
      </c>
      <c r="J74" s="1" t="str">
        <f t="shared" si="4"/>
        <v xml:space="preserve"> </v>
      </c>
      <c r="K74" s="1" t="str">
        <f t="shared" si="3"/>
        <v xml:space="preserve"> </v>
      </c>
      <c r="L74" s="1" t="str">
        <f t="shared" si="5"/>
        <v/>
      </c>
    </row>
    <row r="75" spans="4:12">
      <c r="D75" s="14" t="str">
        <f>A7</f>
        <v>Viimsi LTK/EM-SERV</v>
      </c>
      <c r="I75" s="1" t="s">
        <v>58</v>
      </c>
      <c r="J75" s="1" t="str">
        <f t="shared" si="4"/>
        <v xml:space="preserve"> </v>
      </c>
      <c r="K75" s="1" t="str">
        <f t="shared" si="3"/>
        <v xml:space="preserve"> </v>
      </c>
      <c r="L75" s="1" t="str">
        <f t="shared" si="5"/>
        <v/>
      </c>
    </row>
    <row r="76" spans="4:12">
      <c r="D76" s="15" t="s">
        <v>16</v>
      </c>
      <c r="E76" s="16">
        <f>VLOOKUP(I76,[1]Sheet2!$A:$B,2,0)</f>
        <v>7516</v>
      </c>
      <c r="F76" s="16" t="s">
        <v>411</v>
      </c>
      <c r="G76" s="16" t="s">
        <v>412</v>
      </c>
      <c r="H76" s="1" t="s">
        <v>237</v>
      </c>
      <c r="I76" s="1" t="s">
        <v>421</v>
      </c>
      <c r="J76" s="1" t="str">
        <f t="shared" si="4"/>
        <v>Pert Marten LEHTLAAN</v>
      </c>
      <c r="K76" s="1" t="str">
        <f t="shared" si="3"/>
        <v>Pert Marten Lehtlaan</v>
      </c>
      <c r="L76" s="1" t="str">
        <f t="shared" si="5"/>
        <v>Lehtlaan</v>
      </c>
    </row>
    <row r="77" spans="4:12">
      <c r="D77" s="15" t="s">
        <v>17</v>
      </c>
      <c r="E77" s="16">
        <f>VLOOKUP(I77,[1]Sheet2!$A:$B,2,0)</f>
        <v>8386</v>
      </c>
      <c r="F77" s="16" t="s">
        <v>413</v>
      </c>
      <c r="G77" s="16" t="s">
        <v>61</v>
      </c>
      <c r="H77" s="1" t="s">
        <v>237</v>
      </c>
      <c r="I77" s="1" t="s">
        <v>422</v>
      </c>
      <c r="J77" s="1" t="str">
        <f t="shared" si="4"/>
        <v>Ilmar VUHKA</v>
      </c>
      <c r="K77" s="1" t="str">
        <f t="shared" si="3"/>
        <v>Ilmar Vuhka</v>
      </c>
      <c r="L77" s="1" t="str">
        <f t="shared" si="5"/>
        <v>Vuhka</v>
      </c>
    </row>
    <row r="78" spans="4:12">
      <c r="D78" s="15" t="s">
        <v>18</v>
      </c>
      <c r="E78" s="16">
        <f>VLOOKUP(I78,[1]Sheet2!$A:$B,2,0)</f>
        <v>224</v>
      </c>
      <c r="F78" s="16" t="s">
        <v>127</v>
      </c>
      <c r="G78" s="16" t="s">
        <v>414</v>
      </c>
      <c r="H78" s="1" t="s">
        <v>237</v>
      </c>
      <c r="I78" s="1" t="s">
        <v>423</v>
      </c>
      <c r="J78" s="1" t="str">
        <f t="shared" si="4"/>
        <v>Aleksei NIKONOROV</v>
      </c>
      <c r="K78" s="1" t="str">
        <f t="shared" si="3"/>
        <v>Aleksei Nikonorov</v>
      </c>
      <c r="L78" s="1" t="str">
        <f t="shared" si="5"/>
        <v>Nikonorov</v>
      </c>
    </row>
    <row r="79" spans="4:12">
      <c r="D79" s="15" t="s">
        <v>19</v>
      </c>
      <c r="E79" s="16">
        <f>VLOOKUP(I79,[1]Sheet2!$A:$B,2,0)</f>
        <v>482</v>
      </c>
      <c r="F79" s="16" t="s">
        <v>415</v>
      </c>
      <c r="G79" s="16" t="s">
        <v>416</v>
      </c>
      <c r="H79" s="1" t="s">
        <v>237</v>
      </c>
      <c r="I79" s="1" t="s">
        <v>424</v>
      </c>
      <c r="J79" s="1" t="str">
        <f t="shared" si="4"/>
        <v>Raimond EINER</v>
      </c>
      <c r="K79" s="1" t="str">
        <f t="shared" si="3"/>
        <v>Raimond Einer</v>
      </c>
      <c r="L79" s="1" t="str">
        <f t="shared" si="5"/>
        <v>Einer</v>
      </c>
    </row>
    <row r="80" spans="4:12">
      <c r="D80" s="15" t="s">
        <v>20</v>
      </c>
      <c r="E80" s="16">
        <f>VLOOKUP(I80,[1]Sheet2!$A:$B,2,0)</f>
        <v>4818</v>
      </c>
      <c r="F80" s="16" t="s">
        <v>417</v>
      </c>
      <c r="G80" s="16" t="s">
        <v>418</v>
      </c>
      <c r="H80" s="1" t="s">
        <v>237</v>
      </c>
      <c r="I80" s="1" t="s">
        <v>425</v>
      </c>
      <c r="J80" s="1" t="str">
        <f t="shared" si="4"/>
        <v>Daniels KOGANS</v>
      </c>
      <c r="K80" s="1" t="str">
        <f t="shared" si="3"/>
        <v>Daniels Kogans</v>
      </c>
      <c r="L80" s="1" t="str">
        <f t="shared" si="5"/>
        <v>Kogans</v>
      </c>
    </row>
    <row r="81" spans="4:12">
      <c r="D81" s="15" t="s">
        <v>21</v>
      </c>
      <c r="E81" s="16">
        <f>VLOOKUP(I81,[1]Sheet2!$A:$B,2,0)</f>
        <v>8270</v>
      </c>
      <c r="F81" s="16" t="s">
        <v>419</v>
      </c>
      <c r="G81" s="16" t="s">
        <v>566</v>
      </c>
      <c r="H81" s="1" t="s">
        <v>237</v>
      </c>
      <c r="I81" s="1" t="s">
        <v>565</v>
      </c>
      <c r="J81" s="1" t="str">
        <f t="shared" si="4"/>
        <v>Aleksi RÄSÄNEN</v>
      </c>
      <c r="K81" s="1" t="str">
        <f t="shared" ref="K81:K97" si="6">CONCATENATE(F81," ",PROPER(G81))</f>
        <v>Aleksi Räsänen</v>
      </c>
      <c r="L81" s="1" t="str">
        <f t="shared" si="5"/>
        <v>Räsänen</v>
      </c>
    </row>
    <row r="82" spans="4:12">
      <c r="D82" s="15" t="s">
        <v>22</v>
      </c>
      <c r="E82" s="16">
        <f>VLOOKUP(I82,[1]Sheet2!$A:$B,2,0)</f>
        <v>9007</v>
      </c>
      <c r="F82" s="16" t="s">
        <v>332</v>
      </c>
      <c r="G82" s="16" t="s">
        <v>420</v>
      </c>
      <c r="H82" s="1" t="s">
        <v>237</v>
      </c>
      <c r="I82" s="1" t="s">
        <v>426</v>
      </c>
      <c r="J82" s="1" t="str">
        <f t="shared" si="4"/>
        <v>Daniel LINDSÖ</v>
      </c>
      <c r="K82" s="1" t="str">
        <f t="shared" si="6"/>
        <v>Daniel Lindsö</v>
      </c>
      <c r="L82" s="1" t="str">
        <f t="shared" si="5"/>
        <v>Lindsö</v>
      </c>
    </row>
    <row r="83" spans="4:12">
      <c r="D83" s="15" t="s">
        <v>23</v>
      </c>
      <c r="E83" s="16"/>
      <c r="F83" s="16"/>
      <c r="G83" s="16"/>
      <c r="J83" s="1" t="str">
        <f t="shared" si="4"/>
        <v xml:space="preserve"> </v>
      </c>
      <c r="K83" s="1" t="str">
        <f t="shared" si="6"/>
        <v xml:space="preserve"> </v>
      </c>
      <c r="L83" s="1" t="str">
        <f t="shared" si="5"/>
        <v/>
      </c>
    </row>
    <row r="84" spans="4:12">
      <c r="D84" s="15" t="s">
        <v>24</v>
      </c>
      <c r="E84" s="16"/>
      <c r="F84" s="16"/>
      <c r="G84" s="16"/>
      <c r="J84" s="1" t="str">
        <f t="shared" si="4"/>
        <v xml:space="preserve"> </v>
      </c>
      <c r="K84" s="1" t="str">
        <f t="shared" si="6"/>
        <v xml:space="preserve"> </v>
      </c>
      <c r="L84" s="1" t="str">
        <f t="shared" si="5"/>
        <v/>
      </c>
    </row>
    <row r="85" spans="4:12">
      <c r="D85" s="15" t="s">
        <v>25</v>
      </c>
      <c r="E85" s="16"/>
      <c r="F85" s="16"/>
      <c r="G85" s="16"/>
      <c r="J85" s="1" t="str">
        <f t="shared" si="4"/>
        <v xml:space="preserve"> </v>
      </c>
      <c r="K85" s="1" t="str">
        <f t="shared" si="6"/>
        <v xml:space="preserve"> </v>
      </c>
      <c r="L85" s="1" t="str">
        <f t="shared" si="5"/>
        <v/>
      </c>
    </row>
    <row r="86" spans="4:12">
      <c r="I86" s="1" t="s">
        <v>58</v>
      </c>
      <c r="J86" s="1" t="str">
        <f t="shared" si="4"/>
        <v xml:space="preserve"> </v>
      </c>
      <c r="K86" s="1" t="str">
        <f t="shared" si="6"/>
        <v xml:space="preserve"> </v>
      </c>
      <c r="L86" s="1" t="str">
        <f t="shared" si="5"/>
        <v/>
      </c>
    </row>
    <row r="87" spans="4:12">
      <c r="D87" s="36" t="str">
        <f>A8</f>
        <v>LTK Kalev/Radiaatorikeskus</v>
      </c>
      <c r="I87" s="1" t="s">
        <v>58</v>
      </c>
      <c r="J87" s="1" t="str">
        <f t="shared" si="4"/>
        <v xml:space="preserve"> </v>
      </c>
      <c r="K87" s="1" t="str">
        <f t="shared" si="6"/>
        <v xml:space="preserve"> </v>
      </c>
      <c r="L87" s="1" t="str">
        <f t="shared" si="5"/>
        <v/>
      </c>
    </row>
    <row r="88" spans="4:12">
      <c r="D88" s="15" t="s">
        <v>16</v>
      </c>
      <c r="E88" s="16">
        <f>VLOOKUP(I88,[1]Sheet2!$A:$B,2,0)</f>
        <v>360</v>
      </c>
      <c r="F88" s="16" t="s">
        <v>345</v>
      </c>
      <c r="G88" s="16" t="s">
        <v>427</v>
      </c>
      <c r="H88" s="1" t="s">
        <v>238</v>
      </c>
      <c r="I88" s="1" t="s">
        <v>567</v>
      </c>
      <c r="J88" s="1" t="str">
        <f t="shared" si="4"/>
        <v xml:space="preserve">Andrei SIREL </v>
      </c>
      <c r="K88" s="1" t="str">
        <f t="shared" si="6"/>
        <v xml:space="preserve">Andrei Sirel </v>
      </c>
      <c r="L88" s="1" t="str">
        <f t="shared" si="5"/>
        <v xml:space="preserve">Sirel </v>
      </c>
    </row>
    <row r="89" spans="4:12">
      <c r="D89" s="15" t="s">
        <v>17</v>
      </c>
      <c r="E89" s="16">
        <f>VLOOKUP(I89,[1]Sheet2!$A:$B,2,0)</f>
        <v>182</v>
      </c>
      <c r="F89" s="16" t="s">
        <v>428</v>
      </c>
      <c r="G89" s="16" t="s">
        <v>429</v>
      </c>
      <c r="H89" s="1" t="s">
        <v>238</v>
      </c>
      <c r="I89" s="1" t="s">
        <v>435</v>
      </c>
      <c r="J89" s="1" t="str">
        <f t="shared" si="4"/>
        <v>Allan KOTTISE</v>
      </c>
      <c r="K89" s="1" t="str">
        <f t="shared" si="6"/>
        <v>Allan Kottise</v>
      </c>
      <c r="L89" s="1" t="str">
        <f t="shared" si="5"/>
        <v>Kottise</v>
      </c>
    </row>
    <row r="90" spans="4:12">
      <c r="D90" s="15" t="s">
        <v>18</v>
      </c>
      <c r="E90" s="16">
        <f>VLOOKUP(I90,[1]Sheet2!$A:$B,2,0)</f>
        <v>1269</v>
      </c>
      <c r="F90" s="16" t="s">
        <v>430</v>
      </c>
      <c r="G90" s="16" t="s">
        <v>431</v>
      </c>
      <c r="H90" s="1" t="s">
        <v>238</v>
      </c>
      <c r="I90" s="1" t="s">
        <v>436</v>
      </c>
      <c r="J90" s="1" t="str">
        <f t="shared" si="4"/>
        <v>Kristjan KANT</v>
      </c>
      <c r="K90" s="1" t="str">
        <f t="shared" si="6"/>
        <v>Kristjan Kant</v>
      </c>
      <c r="L90" s="1" t="str">
        <f t="shared" si="5"/>
        <v>Kant</v>
      </c>
    </row>
    <row r="91" spans="4:12">
      <c r="D91" s="15" t="s">
        <v>19</v>
      </c>
      <c r="E91" s="16">
        <f>VLOOKUP(I91,[1]Sheet2!$A:$B,2,0)</f>
        <v>7285</v>
      </c>
      <c r="F91" s="16" t="s">
        <v>65</v>
      </c>
      <c r="G91" s="16" t="s">
        <v>432</v>
      </c>
      <c r="H91" s="1" t="s">
        <v>238</v>
      </c>
      <c r="I91" s="1" t="s">
        <v>568</v>
      </c>
      <c r="J91" s="1" t="str">
        <f t="shared" si="4"/>
        <v xml:space="preserve">Martin KRAIKO </v>
      </c>
      <c r="K91" s="1" t="str">
        <f t="shared" si="6"/>
        <v xml:space="preserve">Martin Kraiko </v>
      </c>
      <c r="L91" s="1" t="str">
        <f t="shared" si="5"/>
        <v xml:space="preserve">Kraiko </v>
      </c>
    </row>
    <row r="92" spans="4:12">
      <c r="D92" s="15" t="s">
        <v>20</v>
      </c>
      <c r="E92" s="16">
        <f>VLOOKUP(I92,[1]Sheet2!$A:$B,2,0)</f>
        <v>9878</v>
      </c>
      <c r="F92" s="16" t="s">
        <v>433</v>
      </c>
      <c r="G92" s="16" t="s">
        <v>434</v>
      </c>
      <c r="H92" s="1" t="s">
        <v>238</v>
      </c>
      <c r="I92" s="1" t="s">
        <v>438</v>
      </c>
      <c r="J92" s="1" t="str">
        <f t="shared" si="4"/>
        <v>Jorma LAHTINEN</v>
      </c>
      <c r="K92" s="1" t="str">
        <f t="shared" si="6"/>
        <v>Jorma Lahtinen</v>
      </c>
      <c r="L92" s="1" t="str">
        <f t="shared" si="5"/>
        <v>Lahtinen</v>
      </c>
    </row>
    <row r="93" spans="4:12">
      <c r="D93" s="15" t="s">
        <v>21</v>
      </c>
      <c r="E93" s="16"/>
      <c r="F93" s="16"/>
      <c r="G93" s="16"/>
    </row>
    <row r="94" spans="4:12">
      <c r="D94" s="15" t="s">
        <v>22</v>
      </c>
      <c r="E94" s="16"/>
      <c r="F94" s="16"/>
      <c r="G94" s="16"/>
      <c r="J94" s="1" t="str">
        <f t="shared" si="4"/>
        <v xml:space="preserve"> </v>
      </c>
      <c r="K94" s="1" t="str">
        <f t="shared" si="6"/>
        <v xml:space="preserve"> </v>
      </c>
      <c r="L94" s="1" t="str">
        <f t="shared" si="5"/>
        <v/>
      </c>
    </row>
    <row r="95" spans="4:12">
      <c r="D95" s="15" t="s">
        <v>23</v>
      </c>
      <c r="E95" s="16"/>
      <c r="F95" s="16"/>
      <c r="G95" s="16"/>
      <c r="J95" s="1" t="str">
        <f t="shared" si="4"/>
        <v xml:space="preserve"> </v>
      </c>
      <c r="K95" s="1" t="str">
        <f t="shared" si="6"/>
        <v xml:space="preserve"> </v>
      </c>
      <c r="L95" s="1" t="str">
        <f t="shared" si="5"/>
        <v/>
      </c>
    </row>
    <row r="96" spans="4:12">
      <c r="D96" s="15" t="s">
        <v>24</v>
      </c>
      <c r="E96" s="16"/>
      <c r="F96" s="16"/>
      <c r="G96" s="16"/>
      <c r="J96" s="1" t="str">
        <f t="shared" si="4"/>
        <v xml:space="preserve"> </v>
      </c>
      <c r="K96" s="1" t="str">
        <f t="shared" si="6"/>
        <v xml:space="preserve"> </v>
      </c>
      <c r="L96" s="1" t="str">
        <f t="shared" si="5"/>
        <v/>
      </c>
    </row>
    <row r="97" spans="4:12">
      <c r="D97" s="15" t="s">
        <v>25</v>
      </c>
      <c r="E97" s="16"/>
      <c r="F97" s="16"/>
      <c r="G97" s="16"/>
      <c r="I97" s="1" t="s">
        <v>58</v>
      </c>
      <c r="J97" s="1" t="str">
        <f t="shared" si="4"/>
        <v xml:space="preserve"> </v>
      </c>
      <c r="K97" s="1" t="str">
        <f t="shared" si="6"/>
        <v xml:space="preserve"> </v>
      </c>
      <c r="L97" s="1" t="str">
        <f t="shared" si="5"/>
        <v/>
      </c>
    </row>
    <row r="98" spans="4:12">
      <c r="L98" s="1" t="str">
        <f t="shared" si="5"/>
        <v/>
      </c>
    </row>
  </sheetData>
  <phoneticPr fontId="31" type="noConversion"/>
  <pageMargins left="0.7" right="0.7" top="0.75" bottom="0.75" header="0.3" footer="0.3"/>
  <pageSetup paperSize="9" orientation="portrait" r:id="rId1"/>
  <rowBreaks count="1" manualBreakCount="1">
    <brk id="50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64"/>
  <sheetViews>
    <sheetView topLeftCell="A6" workbookViewId="0">
      <selection activeCell="A6" sqref="A1:XFD1048576"/>
    </sheetView>
  </sheetViews>
  <sheetFormatPr defaultRowHeight="15"/>
  <cols>
    <col min="1" max="1" width="16.28515625" bestFit="1" customWidth="1"/>
    <col min="2" max="2" width="12.5703125" customWidth="1"/>
    <col min="3" max="3" width="13.28515625" bestFit="1" customWidth="1"/>
    <col min="4" max="4" width="18.85546875" bestFit="1" customWidth="1"/>
    <col min="5" max="5" width="15.28515625" customWidth="1"/>
    <col min="6" max="6" width="20.28515625" bestFit="1" customWidth="1"/>
    <col min="7" max="7" width="7.7109375" bestFit="1" customWidth="1"/>
    <col min="8" max="8" width="17.7109375" hidden="1" customWidth="1"/>
    <col min="9" max="20" width="17.7109375" customWidth="1"/>
    <col min="22" max="22" width="18.42578125" customWidth="1"/>
    <col min="23" max="23" width="9.28515625" customWidth="1"/>
  </cols>
  <sheetData>
    <row r="1" spans="1:23" s="43" customFormat="1" ht="15.75">
      <c r="A1" s="42" t="s">
        <v>9</v>
      </c>
      <c r="B1" s="42" t="s">
        <v>11</v>
      </c>
      <c r="C1" s="42" t="s">
        <v>13</v>
      </c>
      <c r="D1" s="42" t="s">
        <v>54</v>
      </c>
      <c r="E1" s="42" t="s">
        <v>55</v>
      </c>
      <c r="F1" s="42" t="s">
        <v>82</v>
      </c>
      <c r="G1" s="42" t="s">
        <v>83</v>
      </c>
      <c r="H1" s="54" t="s">
        <v>84</v>
      </c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</row>
    <row r="2" spans="1:23" s="43" customFormat="1" ht="15.75">
      <c r="A2" s="44" t="s">
        <v>85</v>
      </c>
      <c r="B2" s="45" t="s">
        <v>632</v>
      </c>
      <c r="C2" s="45"/>
      <c r="D2" s="46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</row>
    <row r="3" spans="1:23" s="43" customFormat="1" ht="15.75">
      <c r="A3" s="48" t="s">
        <v>86</v>
      </c>
      <c r="B3" s="49">
        <v>45780</v>
      </c>
      <c r="C3" s="45"/>
      <c r="D3" s="46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</row>
    <row r="4" spans="1:23" s="43" customFormat="1" ht="15.75">
      <c r="A4" s="48" t="s">
        <v>87</v>
      </c>
      <c r="B4" s="45" t="s">
        <v>569</v>
      </c>
      <c r="C4" s="45"/>
      <c r="D4" s="46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</row>
    <row r="5" spans="1:23" s="43" customFormat="1" ht="15.75">
      <c r="A5" s="48" t="s">
        <v>88</v>
      </c>
      <c r="B5" s="45" t="s">
        <v>570</v>
      </c>
      <c r="C5" s="45"/>
      <c r="D5" s="46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</row>
    <row r="6" spans="1:23" s="43" customFormat="1" ht="15.75">
      <c r="A6" s="48" t="s">
        <v>89</v>
      </c>
      <c r="B6" s="45" t="s">
        <v>26</v>
      </c>
      <c r="C6" s="45"/>
      <c r="D6" s="46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</row>
    <row r="7" spans="1:23" s="45" customFormat="1" ht="15.75">
      <c r="A7" s="41" t="s">
        <v>90</v>
      </c>
      <c r="B7" s="41" t="s">
        <v>91</v>
      </c>
      <c r="C7" s="41" t="s">
        <v>92</v>
      </c>
      <c r="D7" s="42" t="s">
        <v>93</v>
      </c>
      <c r="F7" s="46"/>
      <c r="G7" s="46"/>
      <c r="V7" s="46"/>
    </row>
    <row r="8" spans="1:23">
      <c r="A8">
        <v>4</v>
      </c>
      <c r="B8" t="s">
        <v>582</v>
      </c>
      <c r="C8" t="s">
        <v>62</v>
      </c>
      <c r="D8">
        <v>370</v>
      </c>
      <c r="H8">
        <v>3</v>
      </c>
      <c r="V8" t="s">
        <v>571</v>
      </c>
      <c r="W8">
        <v>4</v>
      </c>
    </row>
    <row r="9" spans="1:23">
      <c r="A9">
        <v>7</v>
      </c>
      <c r="B9" t="s">
        <v>586</v>
      </c>
      <c r="C9" t="s">
        <v>332</v>
      </c>
      <c r="D9">
        <v>10335</v>
      </c>
      <c r="H9">
        <v>1</v>
      </c>
      <c r="V9" t="s">
        <v>587</v>
      </c>
      <c r="W9">
        <v>7</v>
      </c>
    </row>
    <row r="10" spans="1:23">
      <c r="A10">
        <v>8</v>
      </c>
      <c r="B10" t="s">
        <v>588</v>
      </c>
      <c r="C10" t="s">
        <v>341</v>
      </c>
      <c r="D10">
        <v>5954</v>
      </c>
      <c r="H10">
        <v>4</v>
      </c>
      <c r="V10" t="s">
        <v>589</v>
      </c>
      <c r="W10">
        <v>8</v>
      </c>
    </row>
    <row r="11" spans="1:23">
      <c r="A11">
        <v>9</v>
      </c>
      <c r="B11" t="s">
        <v>590</v>
      </c>
      <c r="C11" t="s">
        <v>343</v>
      </c>
      <c r="D11">
        <v>3639</v>
      </c>
      <c r="H11">
        <v>2</v>
      </c>
      <c r="V11" t="s">
        <v>591</v>
      </c>
      <c r="W11">
        <v>9</v>
      </c>
    </row>
    <row r="12" spans="1:23">
      <c r="A12">
        <v>12</v>
      </c>
      <c r="B12" t="s">
        <v>594</v>
      </c>
      <c r="C12" t="s">
        <v>362</v>
      </c>
      <c r="D12">
        <v>5470</v>
      </c>
    </row>
    <row r="13" spans="1:23">
      <c r="A13">
        <v>14</v>
      </c>
      <c r="B13" t="s">
        <v>596</v>
      </c>
      <c r="C13" t="s">
        <v>367</v>
      </c>
      <c r="D13">
        <v>5957</v>
      </c>
    </row>
    <row r="14" spans="1:23">
      <c r="A14">
        <v>15</v>
      </c>
      <c r="B14" t="s">
        <v>598</v>
      </c>
      <c r="C14" t="s">
        <v>126</v>
      </c>
      <c r="D14">
        <v>3816</v>
      </c>
    </row>
    <row r="15" spans="1:23">
      <c r="A15">
        <v>24</v>
      </c>
      <c r="B15" t="s">
        <v>608</v>
      </c>
      <c r="C15" t="s">
        <v>411</v>
      </c>
      <c r="D15">
        <v>7516</v>
      </c>
    </row>
    <row r="16" spans="1:23">
      <c r="A16">
        <v>25</v>
      </c>
      <c r="B16" t="s">
        <v>583</v>
      </c>
      <c r="C16" t="s">
        <v>413</v>
      </c>
      <c r="D16">
        <v>8386</v>
      </c>
    </row>
    <row r="17" spans="1:20">
      <c r="A17">
        <v>28</v>
      </c>
      <c r="B17" t="s">
        <v>612</v>
      </c>
      <c r="C17" t="s">
        <v>417</v>
      </c>
      <c r="D17">
        <v>4818</v>
      </c>
    </row>
    <row r="18" spans="1:20" s="43" customFormat="1" ht="15.75">
      <c r="A18" s="42" t="s">
        <v>94</v>
      </c>
      <c r="B18" s="42" t="s">
        <v>95</v>
      </c>
      <c r="C18" s="42" t="s">
        <v>96</v>
      </c>
      <c r="D18" s="42" t="s">
        <v>97</v>
      </c>
      <c r="E18" s="42" t="s">
        <v>98</v>
      </c>
      <c r="F18" s="42" t="s">
        <v>99</v>
      </c>
      <c r="G18" s="42" t="s">
        <v>100</v>
      </c>
      <c r="H18" s="54" t="s">
        <v>101</v>
      </c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</row>
    <row r="19" spans="1:20">
      <c r="A19">
        <v>101</v>
      </c>
      <c r="C19">
        <v>7</v>
      </c>
      <c r="D19" t="s">
        <v>587</v>
      </c>
      <c r="E19">
        <v>15</v>
      </c>
      <c r="F19" t="s">
        <v>599</v>
      </c>
      <c r="G19" t="s">
        <v>107</v>
      </c>
      <c r="H19" t="s">
        <v>617</v>
      </c>
    </row>
    <row r="20" spans="1:20">
      <c r="A20">
        <v>102</v>
      </c>
      <c r="C20">
        <v>5</v>
      </c>
      <c r="D20" t="s">
        <v>584</v>
      </c>
      <c r="E20">
        <v>14</v>
      </c>
      <c r="F20" t="s">
        <v>597</v>
      </c>
      <c r="G20" t="s">
        <v>102</v>
      </c>
      <c r="H20" t="s">
        <v>617</v>
      </c>
    </row>
    <row r="21" spans="1:20">
      <c r="A21">
        <v>103</v>
      </c>
      <c r="C21">
        <v>12</v>
      </c>
      <c r="D21" t="s">
        <v>595</v>
      </c>
      <c r="E21">
        <v>4</v>
      </c>
      <c r="F21" t="s">
        <v>571</v>
      </c>
      <c r="G21" t="s">
        <v>105</v>
      </c>
      <c r="H21" t="s">
        <v>617</v>
      </c>
    </row>
    <row r="22" spans="1:20">
      <c r="A22">
        <v>107</v>
      </c>
      <c r="C22">
        <v>8</v>
      </c>
      <c r="D22" t="s">
        <v>589</v>
      </c>
      <c r="E22">
        <v>1</v>
      </c>
      <c r="F22" t="s">
        <v>580</v>
      </c>
      <c r="G22" t="s">
        <v>107</v>
      </c>
      <c r="H22" t="s">
        <v>617</v>
      </c>
    </row>
    <row r="23" spans="1:20">
      <c r="A23">
        <v>108</v>
      </c>
      <c r="C23">
        <v>3</v>
      </c>
      <c r="D23" t="s">
        <v>581</v>
      </c>
      <c r="E23">
        <v>11</v>
      </c>
      <c r="F23" t="s">
        <v>593</v>
      </c>
      <c r="G23" t="s">
        <v>102</v>
      </c>
      <c r="H23" t="s">
        <v>617</v>
      </c>
    </row>
    <row r="24" spans="1:20">
      <c r="A24">
        <v>109</v>
      </c>
      <c r="C24">
        <v>9</v>
      </c>
      <c r="D24" t="s">
        <v>591</v>
      </c>
      <c r="E24">
        <v>2</v>
      </c>
      <c r="F24" t="s">
        <v>572</v>
      </c>
      <c r="G24" t="s">
        <v>102</v>
      </c>
      <c r="H24" t="s">
        <v>617</v>
      </c>
    </row>
    <row r="25" spans="1:20">
      <c r="A25">
        <v>113</v>
      </c>
      <c r="C25">
        <v>25</v>
      </c>
      <c r="D25" t="s">
        <v>610</v>
      </c>
      <c r="E25">
        <v>30</v>
      </c>
      <c r="F25" t="s">
        <v>615</v>
      </c>
      <c r="G25" t="s">
        <v>107</v>
      </c>
      <c r="H25" t="s">
        <v>617</v>
      </c>
    </row>
    <row r="26" spans="1:20">
      <c r="A26">
        <v>114</v>
      </c>
      <c r="C26">
        <v>24</v>
      </c>
      <c r="D26" t="s">
        <v>609</v>
      </c>
      <c r="E26">
        <v>31</v>
      </c>
      <c r="F26" t="s">
        <v>616</v>
      </c>
      <c r="G26" t="s">
        <v>102</v>
      </c>
      <c r="H26" t="s">
        <v>617</v>
      </c>
    </row>
    <row r="27" spans="1:20">
      <c r="A27">
        <v>115</v>
      </c>
      <c r="C27">
        <v>26</v>
      </c>
      <c r="D27" t="s">
        <v>611</v>
      </c>
      <c r="E27">
        <v>29</v>
      </c>
      <c r="F27" t="s">
        <v>614</v>
      </c>
      <c r="G27" t="s">
        <v>107</v>
      </c>
      <c r="H27" t="s">
        <v>617</v>
      </c>
    </row>
    <row r="28" spans="1:20">
      <c r="A28">
        <v>116</v>
      </c>
      <c r="C28">
        <v>24</v>
      </c>
      <c r="D28" t="s">
        <v>609</v>
      </c>
      <c r="E28">
        <v>30</v>
      </c>
      <c r="F28" t="s">
        <v>615</v>
      </c>
      <c r="G28" t="s">
        <v>107</v>
      </c>
      <c r="H28" t="s">
        <v>617</v>
      </c>
    </row>
    <row r="29" spans="1:20">
      <c r="A29">
        <v>117</v>
      </c>
      <c r="C29">
        <v>25</v>
      </c>
      <c r="D29" t="s">
        <v>610</v>
      </c>
      <c r="E29">
        <v>29</v>
      </c>
      <c r="F29" t="s">
        <v>614</v>
      </c>
      <c r="G29" t="s">
        <v>617</v>
      </c>
      <c r="H29">
        <v>0</v>
      </c>
    </row>
    <row r="30" spans="1:20">
      <c r="A30">
        <v>118</v>
      </c>
      <c r="C30">
        <v>26</v>
      </c>
      <c r="D30" t="s">
        <v>611</v>
      </c>
      <c r="E30">
        <v>31</v>
      </c>
      <c r="F30" t="s">
        <v>616</v>
      </c>
      <c r="G30" t="s">
        <v>617</v>
      </c>
      <c r="H30">
        <v>0</v>
      </c>
    </row>
    <row r="31" spans="1:20">
      <c r="A31">
        <v>119</v>
      </c>
      <c r="C31">
        <v>16</v>
      </c>
      <c r="D31" t="s">
        <v>600</v>
      </c>
      <c r="E31">
        <v>23</v>
      </c>
      <c r="F31" t="s">
        <v>607</v>
      </c>
      <c r="G31" t="s">
        <v>102</v>
      </c>
      <c r="H31" t="s">
        <v>617</v>
      </c>
    </row>
    <row r="32" spans="1:20">
      <c r="A32">
        <v>120</v>
      </c>
      <c r="C32">
        <v>19</v>
      </c>
      <c r="D32" t="s">
        <v>603</v>
      </c>
      <c r="E32">
        <v>22</v>
      </c>
      <c r="F32" t="s">
        <v>606</v>
      </c>
      <c r="G32" t="s">
        <v>105</v>
      </c>
      <c r="H32" t="s">
        <v>617</v>
      </c>
    </row>
    <row r="33" spans="1:8">
      <c r="A33">
        <v>121</v>
      </c>
      <c r="C33">
        <v>21</v>
      </c>
      <c r="D33" t="s">
        <v>605</v>
      </c>
      <c r="E33">
        <v>17</v>
      </c>
      <c r="F33" t="s">
        <v>601</v>
      </c>
      <c r="G33" t="s">
        <v>107</v>
      </c>
      <c r="H33" t="s">
        <v>617</v>
      </c>
    </row>
    <row r="34" spans="1:8">
      <c r="A34">
        <v>122</v>
      </c>
      <c r="C34">
        <v>23</v>
      </c>
      <c r="D34" t="s">
        <v>607</v>
      </c>
      <c r="E34">
        <v>19</v>
      </c>
      <c r="F34" t="s">
        <v>603</v>
      </c>
      <c r="G34" t="s">
        <v>102</v>
      </c>
      <c r="H34" t="s">
        <v>617</v>
      </c>
    </row>
    <row r="35" spans="1:8">
      <c r="A35">
        <v>123</v>
      </c>
      <c r="C35">
        <v>16</v>
      </c>
      <c r="D35" t="s">
        <v>600</v>
      </c>
      <c r="E35">
        <v>21</v>
      </c>
      <c r="F35" t="s">
        <v>605</v>
      </c>
      <c r="G35" t="s">
        <v>107</v>
      </c>
      <c r="H35" t="s">
        <v>617</v>
      </c>
    </row>
    <row r="36" spans="1:8">
      <c r="A36">
        <v>125</v>
      </c>
      <c r="C36">
        <v>16</v>
      </c>
      <c r="D36" t="s">
        <v>600</v>
      </c>
      <c r="E36">
        <v>30</v>
      </c>
      <c r="F36" t="s">
        <v>615</v>
      </c>
      <c r="G36" t="s">
        <v>107</v>
      </c>
      <c r="H36" t="s">
        <v>617</v>
      </c>
    </row>
    <row r="37" spans="1:8">
      <c r="A37">
        <v>126</v>
      </c>
      <c r="C37">
        <v>19</v>
      </c>
      <c r="D37" t="s">
        <v>603</v>
      </c>
      <c r="E37">
        <v>29</v>
      </c>
      <c r="F37" t="s">
        <v>614</v>
      </c>
      <c r="G37" t="s">
        <v>105</v>
      </c>
      <c r="H37" t="s">
        <v>617</v>
      </c>
    </row>
    <row r="38" spans="1:8">
      <c r="A38">
        <v>127</v>
      </c>
      <c r="C38">
        <v>4</v>
      </c>
      <c r="D38" t="s">
        <v>571</v>
      </c>
      <c r="E38">
        <v>2</v>
      </c>
      <c r="F38" t="s">
        <v>572</v>
      </c>
      <c r="G38" t="s">
        <v>563</v>
      </c>
      <c r="H38" t="s">
        <v>617</v>
      </c>
    </row>
    <row r="39" spans="1:8">
      <c r="A39">
        <v>131</v>
      </c>
      <c r="C39">
        <v>4</v>
      </c>
      <c r="D39" t="s">
        <v>571</v>
      </c>
      <c r="E39">
        <v>23</v>
      </c>
      <c r="F39" t="s">
        <v>607</v>
      </c>
      <c r="G39" t="s">
        <v>105</v>
      </c>
      <c r="H39" t="s">
        <v>617</v>
      </c>
    </row>
    <row r="40" spans="1:8">
      <c r="A40">
        <v>132</v>
      </c>
      <c r="C40">
        <v>5</v>
      </c>
      <c r="D40" t="s">
        <v>584</v>
      </c>
      <c r="E40">
        <v>22</v>
      </c>
      <c r="F40" t="s">
        <v>606</v>
      </c>
      <c r="G40" t="s">
        <v>107</v>
      </c>
      <c r="H40" t="s">
        <v>617</v>
      </c>
    </row>
    <row r="41" spans="1:8">
      <c r="A41">
        <v>133</v>
      </c>
      <c r="C41">
        <v>6</v>
      </c>
      <c r="D41" t="s">
        <v>585</v>
      </c>
      <c r="E41">
        <v>21</v>
      </c>
      <c r="F41" t="s">
        <v>605</v>
      </c>
      <c r="G41" t="s">
        <v>102</v>
      </c>
      <c r="H41" t="s">
        <v>617</v>
      </c>
    </row>
    <row r="42" spans="1:8">
      <c r="A42">
        <v>134</v>
      </c>
      <c r="C42">
        <v>5</v>
      </c>
      <c r="D42" t="s">
        <v>584</v>
      </c>
      <c r="E42">
        <v>23</v>
      </c>
      <c r="F42" t="s">
        <v>607</v>
      </c>
      <c r="G42" t="s">
        <v>617</v>
      </c>
      <c r="H42">
        <v>0</v>
      </c>
    </row>
    <row r="43" spans="1:8">
      <c r="A43">
        <v>137</v>
      </c>
      <c r="C43">
        <v>11</v>
      </c>
      <c r="D43" t="s">
        <v>593</v>
      </c>
      <c r="E43">
        <v>25</v>
      </c>
      <c r="F43" t="s">
        <v>610</v>
      </c>
      <c r="G43" t="s">
        <v>107</v>
      </c>
      <c r="H43" t="s">
        <v>617</v>
      </c>
    </row>
    <row r="44" spans="1:8">
      <c r="A44">
        <v>138</v>
      </c>
      <c r="C44">
        <v>28</v>
      </c>
      <c r="D44" t="s">
        <v>613</v>
      </c>
      <c r="E44">
        <v>10</v>
      </c>
      <c r="F44" t="s">
        <v>592</v>
      </c>
      <c r="G44" t="s">
        <v>563</v>
      </c>
      <c r="H44" t="s">
        <v>617</v>
      </c>
    </row>
    <row r="45" spans="1:8">
      <c r="A45">
        <v>139</v>
      </c>
      <c r="C45">
        <v>24</v>
      </c>
      <c r="D45" t="s">
        <v>609</v>
      </c>
      <c r="E45">
        <v>8</v>
      </c>
      <c r="F45" t="s">
        <v>589</v>
      </c>
      <c r="G45" t="s">
        <v>107</v>
      </c>
      <c r="H45" t="s">
        <v>617</v>
      </c>
    </row>
    <row r="46" spans="1:8">
      <c r="A46">
        <v>143</v>
      </c>
      <c r="C46">
        <v>15</v>
      </c>
      <c r="D46" t="s">
        <v>599</v>
      </c>
      <c r="E46">
        <v>2</v>
      </c>
      <c r="F46" t="s">
        <v>572</v>
      </c>
      <c r="G46" t="s">
        <v>107</v>
      </c>
      <c r="H46" t="s">
        <v>617</v>
      </c>
    </row>
    <row r="47" spans="1:8">
      <c r="A47">
        <v>144</v>
      </c>
      <c r="C47">
        <v>12</v>
      </c>
      <c r="D47" t="s">
        <v>595</v>
      </c>
      <c r="E47">
        <v>3</v>
      </c>
      <c r="F47" t="s">
        <v>581</v>
      </c>
      <c r="G47" t="s">
        <v>102</v>
      </c>
      <c r="H47" t="s">
        <v>617</v>
      </c>
    </row>
    <row r="48" spans="1:8">
      <c r="A48">
        <v>145</v>
      </c>
      <c r="C48">
        <v>14</v>
      </c>
      <c r="D48" t="s">
        <v>597</v>
      </c>
      <c r="E48">
        <v>1</v>
      </c>
      <c r="F48" t="s">
        <v>580</v>
      </c>
      <c r="G48" t="s">
        <v>102</v>
      </c>
      <c r="H48" t="s">
        <v>617</v>
      </c>
    </row>
    <row r="49" spans="1:8">
      <c r="A49">
        <v>146</v>
      </c>
      <c r="C49">
        <v>3</v>
      </c>
      <c r="D49" t="s">
        <v>581</v>
      </c>
      <c r="E49">
        <v>15</v>
      </c>
      <c r="F49" t="s">
        <v>599</v>
      </c>
      <c r="G49" t="s">
        <v>617</v>
      </c>
      <c r="H49">
        <v>0</v>
      </c>
    </row>
    <row r="50" spans="1:8">
      <c r="A50">
        <v>147</v>
      </c>
      <c r="C50">
        <v>2</v>
      </c>
      <c r="D50" t="s">
        <v>572</v>
      </c>
      <c r="E50">
        <v>14</v>
      </c>
      <c r="F50" t="s">
        <v>597</v>
      </c>
      <c r="G50" t="s">
        <v>617</v>
      </c>
      <c r="H50">
        <v>0</v>
      </c>
    </row>
    <row r="51" spans="1:8">
      <c r="A51">
        <v>149</v>
      </c>
      <c r="C51">
        <v>25</v>
      </c>
      <c r="D51" t="s">
        <v>610</v>
      </c>
      <c r="E51">
        <v>1</v>
      </c>
      <c r="F51" t="s">
        <v>580</v>
      </c>
      <c r="G51" t="s">
        <v>105</v>
      </c>
      <c r="H51" t="s">
        <v>617</v>
      </c>
    </row>
    <row r="52" spans="1:8">
      <c r="A52">
        <v>150</v>
      </c>
      <c r="C52">
        <v>28</v>
      </c>
      <c r="D52" t="s">
        <v>613</v>
      </c>
      <c r="E52" t="e">
        <v>#N/A</v>
      </c>
      <c r="F52" t="s">
        <v>573</v>
      </c>
      <c r="G52" t="s">
        <v>102</v>
      </c>
      <c r="H52" t="s">
        <v>617</v>
      </c>
    </row>
    <row r="53" spans="1:8">
      <c r="A53">
        <v>151</v>
      </c>
      <c r="C53">
        <v>24</v>
      </c>
      <c r="D53" t="s">
        <v>609</v>
      </c>
      <c r="E53">
        <v>2</v>
      </c>
      <c r="F53" t="s">
        <v>572</v>
      </c>
      <c r="G53" t="s">
        <v>107</v>
      </c>
      <c r="H53" t="s">
        <v>617</v>
      </c>
    </row>
    <row r="54" spans="1:8">
      <c r="A54">
        <v>152</v>
      </c>
      <c r="C54">
        <v>3</v>
      </c>
      <c r="D54" t="s">
        <v>581</v>
      </c>
      <c r="E54" t="e">
        <v>#N/A</v>
      </c>
      <c r="F54" t="s">
        <v>573</v>
      </c>
      <c r="G54" t="s">
        <v>617</v>
      </c>
      <c r="H54">
        <v>0</v>
      </c>
    </row>
    <row r="55" spans="1:8">
      <c r="A55">
        <v>155</v>
      </c>
      <c r="C55">
        <v>9</v>
      </c>
      <c r="D55" t="s">
        <v>591</v>
      </c>
      <c r="E55">
        <v>20</v>
      </c>
      <c r="F55" t="s">
        <v>604</v>
      </c>
      <c r="G55" t="s">
        <v>102</v>
      </c>
      <c r="H55" t="s">
        <v>617</v>
      </c>
    </row>
    <row r="56" spans="1:8">
      <c r="A56">
        <v>156</v>
      </c>
      <c r="C56">
        <v>8</v>
      </c>
      <c r="D56" t="s">
        <v>589</v>
      </c>
      <c r="E56">
        <v>23</v>
      </c>
      <c r="F56" t="s">
        <v>607</v>
      </c>
      <c r="G56" t="s">
        <v>107</v>
      </c>
      <c r="H56" t="s">
        <v>617</v>
      </c>
    </row>
    <row r="57" spans="1:8">
      <c r="A57">
        <v>157</v>
      </c>
      <c r="C57">
        <v>10</v>
      </c>
      <c r="D57" t="s">
        <v>592</v>
      </c>
      <c r="E57">
        <v>21</v>
      </c>
      <c r="F57" t="s">
        <v>605</v>
      </c>
      <c r="G57" t="s">
        <v>107</v>
      </c>
      <c r="H57" t="s">
        <v>617</v>
      </c>
    </row>
    <row r="58" spans="1:8">
      <c r="A58">
        <v>158</v>
      </c>
      <c r="C58">
        <v>8</v>
      </c>
      <c r="D58" t="s">
        <v>589</v>
      </c>
      <c r="E58">
        <v>20</v>
      </c>
      <c r="F58" t="s">
        <v>604</v>
      </c>
      <c r="G58" t="s">
        <v>617</v>
      </c>
      <c r="H58">
        <v>0</v>
      </c>
    </row>
    <row r="59" spans="1:8">
      <c r="A59">
        <v>161</v>
      </c>
      <c r="C59">
        <v>12</v>
      </c>
      <c r="D59" t="s">
        <v>595</v>
      </c>
      <c r="E59">
        <v>17</v>
      </c>
      <c r="F59" t="s">
        <v>601</v>
      </c>
      <c r="G59" t="s">
        <v>107</v>
      </c>
      <c r="H59" t="s">
        <v>617</v>
      </c>
    </row>
    <row r="60" spans="1:8">
      <c r="A60">
        <v>162</v>
      </c>
      <c r="C60">
        <v>15</v>
      </c>
      <c r="D60" t="s">
        <v>599</v>
      </c>
      <c r="E60">
        <v>19</v>
      </c>
      <c r="F60" t="s">
        <v>603</v>
      </c>
      <c r="G60" t="s">
        <v>107</v>
      </c>
      <c r="H60" t="s">
        <v>617</v>
      </c>
    </row>
    <row r="61" spans="1:8">
      <c r="A61">
        <v>163</v>
      </c>
      <c r="C61">
        <v>14</v>
      </c>
      <c r="D61" t="s">
        <v>597</v>
      </c>
      <c r="E61">
        <v>18</v>
      </c>
      <c r="F61" t="s">
        <v>602</v>
      </c>
      <c r="G61" t="s">
        <v>105</v>
      </c>
      <c r="H61" t="s">
        <v>617</v>
      </c>
    </row>
    <row r="62" spans="1:8">
      <c r="A62">
        <v>167</v>
      </c>
      <c r="C62">
        <v>7</v>
      </c>
      <c r="D62" t="s">
        <v>587</v>
      </c>
      <c r="E62">
        <v>30</v>
      </c>
      <c r="F62" t="s">
        <v>615</v>
      </c>
      <c r="G62" t="s">
        <v>107</v>
      </c>
      <c r="H62" t="s">
        <v>617</v>
      </c>
    </row>
    <row r="63" spans="1:8">
      <c r="A63">
        <v>168</v>
      </c>
      <c r="C63">
        <v>5</v>
      </c>
      <c r="D63" t="s">
        <v>584</v>
      </c>
      <c r="E63">
        <v>31</v>
      </c>
      <c r="F63" t="s">
        <v>616</v>
      </c>
      <c r="G63" t="s">
        <v>102</v>
      </c>
      <c r="H63" t="s">
        <v>617</v>
      </c>
    </row>
    <row r="64" spans="1:8">
      <c r="A64">
        <v>169</v>
      </c>
      <c r="C64">
        <v>6</v>
      </c>
      <c r="D64" t="s">
        <v>585</v>
      </c>
      <c r="E64">
        <v>29</v>
      </c>
      <c r="F64" t="s">
        <v>614</v>
      </c>
      <c r="G64" t="s">
        <v>107</v>
      </c>
      <c r="H64" t="s">
        <v>617</v>
      </c>
    </row>
  </sheetData>
  <autoFilter ref="A7:D64" xr:uid="{00000000-0001-0000-0500-000000000000}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151"/>
  <sheetViews>
    <sheetView workbookViewId="0">
      <selection activeCell="I26" sqref="I26"/>
    </sheetView>
  </sheetViews>
  <sheetFormatPr defaultRowHeight="15"/>
  <cols>
    <col min="1" max="1" width="19.7109375" bestFit="1" customWidth="1"/>
    <col min="2" max="2" width="17.7109375" bestFit="1" customWidth="1"/>
    <col min="3" max="3" width="18.42578125" bestFit="1" customWidth="1"/>
    <col min="4" max="4" width="17.7109375" bestFit="1" customWidth="1"/>
    <col min="6" max="6" width="17.7109375" bestFit="1" customWidth="1"/>
    <col min="7" max="7" width="19.28515625" bestFit="1" customWidth="1"/>
  </cols>
  <sheetData>
    <row r="1" spans="1:21">
      <c r="A1" s="306" t="s">
        <v>109</v>
      </c>
      <c r="B1" s="306"/>
      <c r="C1" s="306" t="s">
        <v>110</v>
      </c>
      <c r="D1" s="306"/>
      <c r="E1" t="s">
        <v>108</v>
      </c>
      <c r="F1" t="s">
        <v>111</v>
      </c>
      <c r="G1" t="s">
        <v>112</v>
      </c>
      <c r="H1" t="s">
        <v>108</v>
      </c>
      <c r="J1" s="50" t="s">
        <v>107</v>
      </c>
      <c r="K1" s="51"/>
      <c r="L1" t="s">
        <v>130</v>
      </c>
      <c r="M1" s="50" t="s">
        <v>130</v>
      </c>
      <c r="N1" s="50" t="s">
        <v>130</v>
      </c>
      <c r="O1" t="s">
        <v>159</v>
      </c>
      <c r="P1" s="50" t="s">
        <v>202</v>
      </c>
      <c r="Q1" t="str">
        <f>IF(Üldtabel!A46="","",Üldtabel!A46)</f>
        <v>1-2</v>
      </c>
      <c r="R1" t="str">
        <f>IF(Üldtabel!L46="","",Üldtabel!L46)</f>
        <v>0:4</v>
      </c>
      <c r="T1" t="s">
        <v>130</v>
      </c>
      <c r="U1" t="s">
        <v>134</v>
      </c>
    </row>
    <row r="2" spans="1:21">
      <c r="A2" t="str">
        <f>IF(Protokoll_5p!C8=0,"",Protokoll_5p!C8)</f>
        <v>Mart LUUK</v>
      </c>
      <c r="B2" t="str">
        <f>IF(A2="","",VLOOKUP(A2,Koosseisud!$J:$K,2,FALSE))</f>
        <v>Mart Luuk</v>
      </c>
      <c r="C2" t="str">
        <f>IF(Protokoll_5p!E8=0,"",Protokoll_5p!E8)</f>
        <v>Daniel KOSIBA</v>
      </c>
      <c r="D2" t="str">
        <f>IF(C2="","",VLOOKUP(C2,Koosseisud!$J:$K,2,FALSE))</f>
        <v>Daniel Kosiba</v>
      </c>
      <c r="E2" t="str">
        <f>IF(Protokoll_5p!K8="","",Protokoll_5p!K8)</f>
        <v>0:3</v>
      </c>
      <c r="F2" t="str">
        <f>IF(LEFT(E2,1)="3",B2,D2)</f>
        <v>Daniel Kosiba</v>
      </c>
      <c r="G2" t="str">
        <f>IF(LEFT(E2,1)="3",D2,B2)</f>
        <v>Mart Luuk</v>
      </c>
      <c r="H2" t="str">
        <f>IF(E2="","",VLOOKUP(E2,$A$81:$B$86,2,FALSE))</f>
        <v>3:0</v>
      </c>
      <c r="J2" s="50" t="s">
        <v>102</v>
      </c>
      <c r="L2" t="s">
        <v>131</v>
      </c>
      <c r="M2" s="50" t="s">
        <v>131</v>
      </c>
      <c r="N2" s="50" t="s">
        <v>131</v>
      </c>
      <c r="O2" t="s">
        <v>166</v>
      </c>
      <c r="P2" s="50" t="s">
        <v>203</v>
      </c>
      <c r="Q2" t="str">
        <f>IF(Üldtabel!A47="","",Üldtabel!A47)</f>
        <v>3-8</v>
      </c>
      <c r="R2" t="str">
        <f>IF(Üldtabel!L47="","",Üldtabel!L47)</f>
        <v>4:0</v>
      </c>
      <c r="T2" t="s">
        <v>131</v>
      </c>
      <c r="U2" t="s">
        <v>135</v>
      </c>
    </row>
    <row r="3" spans="1:21">
      <c r="A3" t="str">
        <f>IF(Protokoll_5p!C9=0,"",Protokoll_5p!C9)</f>
        <v>Arttu Antero PIHKALA</v>
      </c>
      <c r="B3" t="str">
        <f>IF(A3="","",VLOOKUP(A3,Koosseisud!$J:$K,2,FALSE))</f>
        <v>Arttu Antero Pihkala</v>
      </c>
      <c r="C3" t="str">
        <f>IF(Protokoll_5p!E9=0,"",Protokoll_5p!E9)</f>
        <v>Maksim VUHKA</v>
      </c>
      <c r="D3" t="str">
        <f>IF(C3="","",VLOOKUP(C3,Koosseisud!$J:$K,2,FALSE))</f>
        <v>Maksim Vuhka</v>
      </c>
      <c r="E3" t="str">
        <f>IF(Protokoll_5p!K9="","",Protokoll_5p!K9)</f>
        <v>1:3</v>
      </c>
      <c r="F3" t="str">
        <f t="shared" ref="F3:F40" si="0">IF(LEFT(E3,1)="3",B3,D3)</f>
        <v>Maksim Vuhka</v>
      </c>
      <c r="G3" t="str">
        <f t="shared" ref="G3:G40" si="1">IF(LEFT(E3,1)="3",D3,B3)</f>
        <v>Arttu Antero Pihkala</v>
      </c>
      <c r="H3" t="str">
        <f t="shared" ref="H3:H66" si="2">IF(E3="","",VLOOKUP(E3,$A$81:$B$86,2,FALSE))</f>
        <v>3:1</v>
      </c>
      <c r="J3" s="50" t="s">
        <v>105</v>
      </c>
      <c r="L3" t="s">
        <v>132</v>
      </c>
      <c r="M3" s="50" t="s">
        <v>132</v>
      </c>
      <c r="N3" s="50" t="s">
        <v>132</v>
      </c>
      <c r="O3" t="s">
        <v>173</v>
      </c>
      <c r="P3" s="50" t="s">
        <v>204</v>
      </c>
      <c r="Q3" t="str">
        <f>IF(Üldtabel!A48="","",Üldtabel!A48)</f>
        <v>4-7</v>
      </c>
      <c r="R3" t="str">
        <f>IF(Üldtabel!L48="","",Üldtabel!L48)</f>
        <v>4:2</v>
      </c>
      <c r="T3" t="s">
        <v>132</v>
      </c>
      <c r="U3" t="s">
        <v>136</v>
      </c>
    </row>
    <row r="4" spans="1:21">
      <c r="A4" t="str">
        <f>IF(Protokoll_5p!C10=0,"",Protokoll_5p!C10)</f>
        <v>Markkos PUKK</v>
      </c>
      <c r="B4" t="str">
        <f>IF(A4="","",VLOOKUP(A4,Koosseisud!$J:$K,2,FALSE))</f>
        <v>Markkos Pukk</v>
      </c>
      <c r="C4" t="str">
        <f>IF(Protokoll_5p!E10=0,"",Protokoll_5p!E10)</f>
        <v>Sergei PETROV</v>
      </c>
      <c r="D4" t="str">
        <f>IF(C4="","",VLOOKUP(C4,Koosseisud!$J:$K,2,FALSE))</f>
        <v>Sergei Petrov</v>
      </c>
      <c r="E4" t="str">
        <f>IF(Protokoll_5p!K10="","",Protokoll_5p!K10)</f>
        <v>3:2</v>
      </c>
      <c r="F4" t="str">
        <f t="shared" si="0"/>
        <v>Markkos Pukk</v>
      </c>
      <c r="G4" t="str">
        <f t="shared" si="1"/>
        <v>Sergei Petrov</v>
      </c>
      <c r="H4" t="str">
        <f t="shared" si="2"/>
        <v>3:2</v>
      </c>
      <c r="J4" s="50" t="s">
        <v>141</v>
      </c>
      <c r="L4" t="s">
        <v>133</v>
      </c>
      <c r="M4" s="50" t="s">
        <v>133</v>
      </c>
      <c r="N4" s="50" t="s">
        <v>133</v>
      </c>
      <c r="O4" t="s">
        <v>180</v>
      </c>
      <c r="P4" s="50" t="s">
        <v>205</v>
      </c>
      <c r="Q4" t="str">
        <f>IF(Üldtabel!A49="","",Üldtabel!A49)</f>
        <v>5-6</v>
      </c>
      <c r="R4" t="str">
        <f>IF(Üldtabel!L49="","",Üldtabel!L49)</f>
        <v>4:0</v>
      </c>
      <c r="T4" t="s">
        <v>133</v>
      </c>
      <c r="U4" t="s">
        <v>129</v>
      </c>
    </row>
    <row r="5" spans="1:21">
      <c r="A5" t="str">
        <f>IF(Protokoll_5p!C13=0,"",Protokoll_5p!C13)</f>
        <v>Mart LUUK</v>
      </c>
      <c r="B5" t="str">
        <f>IF(A5="","",VLOOKUP(A5,Koosseisud!$J:$K,2,FALSE))</f>
        <v>Mart Luuk</v>
      </c>
      <c r="C5" t="str">
        <f>IF(Protokoll_5p!E13=0,"",Protokoll_5p!E13)</f>
        <v>Maksim VUHKA</v>
      </c>
      <c r="D5" t="str">
        <f>IF(C5="","",VLOOKUP(C5,Koosseisud!$J:$K,2,FALSE))</f>
        <v>Maksim Vuhka</v>
      </c>
      <c r="E5" t="str">
        <f>IF(Protokoll_5p!K13="","",Protokoll_5p!K13)</f>
        <v>3:1</v>
      </c>
      <c r="F5" t="str">
        <f t="shared" si="0"/>
        <v>Mart Luuk</v>
      </c>
      <c r="G5" t="str">
        <f t="shared" si="1"/>
        <v>Maksim Vuhka</v>
      </c>
      <c r="H5" t="str">
        <f t="shared" si="2"/>
        <v>3:1</v>
      </c>
      <c r="J5" s="50" t="s">
        <v>142</v>
      </c>
      <c r="L5" t="s">
        <v>134</v>
      </c>
      <c r="M5" s="50" t="s">
        <v>134</v>
      </c>
      <c r="N5" s="50" t="s">
        <v>130</v>
      </c>
      <c r="O5" t="s">
        <v>160</v>
      </c>
      <c r="P5" s="50" t="s">
        <v>206</v>
      </c>
      <c r="Q5" t="str">
        <f>IF(Üldtabel!A51="","",Üldtabel!A51)</f>
        <v>1-6</v>
      </c>
      <c r="R5" t="str">
        <f>IF(Üldtabel!L51="","",Üldtabel!L51)</f>
        <v>4:1</v>
      </c>
      <c r="T5" t="s">
        <v>134</v>
      </c>
      <c r="U5" t="s">
        <v>130</v>
      </c>
    </row>
    <row r="6" spans="1:21">
      <c r="A6" t="str">
        <f>IF(Protokoll_5p!C14=0,"",Protokoll_5p!C14)</f>
        <v>Markkos PUKK</v>
      </c>
      <c r="B6" t="str">
        <f>IF(A6="","",VLOOKUP(A6,Koosseisud!$J:$K,2,FALSE))</f>
        <v>Markkos Pukk</v>
      </c>
      <c r="C6" t="str">
        <f>IF(Protokoll_5p!E14=0,"",Protokoll_5p!E14)</f>
        <v>Daniel KOSIBA</v>
      </c>
      <c r="D6" t="str">
        <f>IF(C6="","",VLOOKUP(C6,Koosseisud!$J:$K,2,FALSE))</f>
        <v>Daniel Kosiba</v>
      </c>
      <c r="E6" t="str">
        <f>IF(Protokoll_5p!K14="","",Protokoll_5p!K14)</f>
        <v>0:3</v>
      </c>
      <c r="F6" t="str">
        <f t="shared" si="0"/>
        <v>Daniel Kosiba</v>
      </c>
      <c r="G6" t="str">
        <f t="shared" si="1"/>
        <v>Markkos Pukk</v>
      </c>
      <c r="H6" t="str">
        <f t="shared" si="2"/>
        <v>3:0</v>
      </c>
      <c r="J6" s="50" t="s">
        <v>104</v>
      </c>
      <c r="L6" t="s">
        <v>135</v>
      </c>
      <c r="M6" s="50" t="s">
        <v>135</v>
      </c>
      <c r="N6" s="50" t="s">
        <v>131</v>
      </c>
      <c r="O6" t="s">
        <v>167</v>
      </c>
      <c r="P6" s="50" t="s">
        <v>207</v>
      </c>
      <c r="Q6" t="str">
        <f>IF(Üldtabel!A52="","",Üldtabel!A52)</f>
        <v>5-7</v>
      </c>
      <c r="R6" t="str">
        <f>IF(Üldtabel!L52="","",Üldtabel!L52)</f>
        <v>2:4</v>
      </c>
      <c r="T6" t="s">
        <v>135</v>
      </c>
      <c r="U6" t="s">
        <v>131</v>
      </c>
    </row>
    <row r="7" spans="1:21">
      <c r="A7" t="str">
        <f>IF(Protokoll_5p!C15=0,"",Protokoll_5p!C15)</f>
        <v>Arttu Antero PIHKALA</v>
      </c>
      <c r="B7" t="str">
        <f>IF(A7="","",VLOOKUP(A7,Koosseisud!$J:$K,2,FALSE))</f>
        <v>Arttu Antero Pihkala</v>
      </c>
      <c r="C7" t="str">
        <f>IF(Protokoll_5p!E15=0,"",Protokoll_5p!E15)</f>
        <v>Sergei PETROV</v>
      </c>
      <c r="D7" t="str">
        <f>IF(C7="","",VLOOKUP(C7,Koosseisud!$J:$K,2,FALSE))</f>
        <v>Sergei Petrov</v>
      </c>
      <c r="E7" t="str">
        <f>IF(Protokoll_5p!K15="","",Protokoll_5p!K15)</f>
        <v/>
      </c>
      <c r="F7" t="str">
        <f t="shared" si="0"/>
        <v>Sergei Petrov</v>
      </c>
      <c r="G7" t="str">
        <f t="shared" si="1"/>
        <v>Arttu Antero Pihkala</v>
      </c>
      <c r="H7" t="str">
        <f t="shared" si="2"/>
        <v/>
      </c>
      <c r="J7" s="50" t="s">
        <v>106</v>
      </c>
      <c r="L7" t="s">
        <v>136</v>
      </c>
      <c r="M7" s="50" t="s">
        <v>136</v>
      </c>
      <c r="N7" s="50" t="s">
        <v>132</v>
      </c>
      <c r="O7" t="s">
        <v>174</v>
      </c>
      <c r="P7" s="50" t="s">
        <v>208</v>
      </c>
      <c r="Q7" t="str">
        <f>IF(Üldtabel!A53="","",Üldtabel!A53)</f>
        <v>4-8</v>
      </c>
      <c r="R7" t="str">
        <f>IF(Üldtabel!L53="","",Üldtabel!L53)</f>
        <v>4:0</v>
      </c>
      <c r="T7" t="s">
        <v>136</v>
      </c>
      <c r="U7" t="s">
        <v>132</v>
      </c>
    </row>
    <row r="8" spans="1:21">
      <c r="A8" t="str">
        <f>IF(Protokoll_5p!C18=0,"",Protokoll_5p!C18)</f>
        <v>Madis MOOS</v>
      </c>
      <c r="B8" t="str">
        <f>IF(A8="","",VLOOKUP(A8,Koosseisud!$J:$K,2,FALSE))</f>
        <v>Madis Moos</v>
      </c>
      <c r="C8" t="str">
        <f>IF(Protokoll_5p!E18=0,"",Protokoll_5p!E18)</f>
        <v>Lauri LAANE</v>
      </c>
      <c r="D8" t="str">
        <f>IF(C8="","",VLOOKUP(C8,Koosseisud!$J:$K,2,FALSE))</f>
        <v>Lauri Laane</v>
      </c>
      <c r="E8" t="str">
        <f>IF(Protokoll_5p!K18="","",Protokoll_5p!K18)</f>
        <v>3:0</v>
      </c>
      <c r="F8" t="str">
        <f t="shared" si="0"/>
        <v>Madis Moos</v>
      </c>
      <c r="G8" t="str">
        <f t="shared" si="1"/>
        <v>Lauri Laane</v>
      </c>
      <c r="H8" t="str">
        <f t="shared" si="2"/>
        <v>3:0</v>
      </c>
      <c r="J8" s="50" t="s">
        <v>103</v>
      </c>
      <c r="L8" t="s">
        <v>129</v>
      </c>
      <c r="M8" s="50" t="s">
        <v>129</v>
      </c>
      <c r="N8" s="50" t="s">
        <v>133</v>
      </c>
      <c r="O8" t="s">
        <v>181</v>
      </c>
      <c r="P8" s="50" t="s">
        <v>209</v>
      </c>
      <c r="Q8" t="str">
        <f>IF(Üldtabel!A54="","",Üldtabel!A54)</f>
        <v>2-3</v>
      </c>
      <c r="R8" t="str">
        <f>IF(Üldtabel!L54="","",Üldtabel!L54)</f>
        <v>4:2</v>
      </c>
      <c r="T8" t="s">
        <v>129</v>
      </c>
      <c r="U8" t="s">
        <v>133</v>
      </c>
    </row>
    <row r="9" spans="1:21">
      <c r="A9" t="str">
        <f>IF(Protokoll_5p!C19=0,"",Protokoll_5p!C19)</f>
        <v>Samuli SOINE</v>
      </c>
      <c r="B9" t="str">
        <f>IF(A9="","",VLOOKUP(A9,Koosseisud!$J:$K,2,FALSE))</f>
        <v>Samuli Soine</v>
      </c>
      <c r="C9" t="str">
        <f>IF(Protokoll_5p!E19=0,"",Protokoll_5p!E19)</f>
        <v>Aleksandr SMIRNOV</v>
      </c>
      <c r="D9" t="str">
        <f>IF(C9="","",VLOOKUP(C9,Koosseisud!$J:$K,2,FALSE))</f>
        <v>Aleksandr Smirnov</v>
      </c>
      <c r="E9" t="str">
        <f>IF(Protokoll_5p!K19="","",Protokoll_5p!K19)</f>
        <v>1:3</v>
      </c>
      <c r="F9" t="str">
        <f t="shared" si="0"/>
        <v>Aleksandr Smirnov</v>
      </c>
      <c r="G9" t="str">
        <f t="shared" si="1"/>
        <v>Samuli Soine</v>
      </c>
      <c r="H9" t="str">
        <f t="shared" si="2"/>
        <v>3:1</v>
      </c>
      <c r="J9" s="50" t="s">
        <v>130</v>
      </c>
      <c r="O9" t="s">
        <v>161</v>
      </c>
      <c r="P9" s="50" t="s">
        <v>210</v>
      </c>
      <c r="Q9" t="str">
        <f>IF(Üldtabel!A56="","",Üldtabel!A56)</f>
        <v>1-4</v>
      </c>
      <c r="R9" t="str">
        <f>IF(Üldtabel!L56="","",Üldtabel!L56)</f>
        <v>1:4</v>
      </c>
    </row>
    <row r="10" spans="1:21">
      <c r="A10" t="str">
        <f>IF(Protokoll_5p!C20=0,"",Protokoll_5p!C20)</f>
        <v>Stanislav STROGOV</v>
      </c>
      <c r="B10" t="str">
        <f>IF(A10="","",VLOOKUP(A10,Koosseisud!$J:$K,2,FALSE))</f>
        <v>Stanislav Strogov</v>
      </c>
      <c r="C10" t="str">
        <f>IF(Protokoll_5p!E20=0,"",Protokoll_5p!E20)</f>
        <v>Sergei DANILOV</v>
      </c>
      <c r="D10" t="str">
        <f>IF(C10="","",VLOOKUP(C10,Koosseisud!$J:$K,2,FALSE))</f>
        <v>Sergei Danilov</v>
      </c>
      <c r="E10" t="str">
        <f>IF(Protokoll_5p!K20="","",Protokoll_5p!K20)</f>
        <v>3:1</v>
      </c>
      <c r="F10" t="str">
        <f t="shared" si="0"/>
        <v>Stanislav Strogov</v>
      </c>
      <c r="G10" t="str">
        <f t="shared" si="1"/>
        <v>Sergei Danilov</v>
      </c>
      <c r="H10" t="str">
        <f t="shared" si="2"/>
        <v>3:1</v>
      </c>
      <c r="J10" s="50" t="s">
        <v>131</v>
      </c>
      <c r="O10" t="s">
        <v>168</v>
      </c>
      <c r="P10" s="50" t="s">
        <v>211</v>
      </c>
      <c r="Q10" t="str">
        <f>IF(Üldtabel!A57="","",Üldtabel!A57)</f>
        <v>3-5</v>
      </c>
      <c r="R10" t="str">
        <f>IF(Üldtabel!L57="","",Üldtabel!L57)</f>
        <v>4:0</v>
      </c>
    </row>
    <row r="11" spans="1:21">
      <c r="A11" t="str">
        <f>IF(Protokoll_5p!C23=0,"",Protokoll_5p!C23)</f>
        <v>Madis MOOS</v>
      </c>
      <c r="B11" t="str">
        <f>IF(A11="","",VLOOKUP(A11,Koosseisud!$J:$K,2,FALSE))</f>
        <v>Madis Moos</v>
      </c>
      <c r="C11" t="str">
        <f>IF(Protokoll_5p!E23=0,"",Protokoll_5p!E23)</f>
        <v>Aleksandr SMIRNOV</v>
      </c>
      <c r="D11" t="str">
        <f>IF(C11="","",VLOOKUP(C11,Koosseisud!$J:$K,2,FALSE))</f>
        <v>Aleksandr Smirnov</v>
      </c>
      <c r="E11" t="str">
        <f>IF(Protokoll_5p!K23="","",Protokoll_5p!K23)</f>
        <v>3:0</v>
      </c>
      <c r="F11" t="str">
        <f t="shared" si="0"/>
        <v>Madis Moos</v>
      </c>
      <c r="G11" t="str">
        <f t="shared" si="1"/>
        <v>Aleksandr Smirnov</v>
      </c>
      <c r="H11" t="str">
        <f t="shared" si="2"/>
        <v>3:0</v>
      </c>
      <c r="J11" s="50" t="s">
        <v>132</v>
      </c>
      <c r="O11" t="s">
        <v>175</v>
      </c>
      <c r="P11" s="50" t="s">
        <v>212</v>
      </c>
      <c r="Q11" t="str">
        <f>IF(Üldtabel!A58="","",Üldtabel!A58)</f>
        <v>2-6</v>
      </c>
      <c r="R11" t="str">
        <f>IF(Üldtabel!L58="","",Üldtabel!L58)</f>
        <v>4:1</v>
      </c>
    </row>
    <row r="12" spans="1:21">
      <c r="A12" t="str">
        <f>IF(Protokoll_5p!C24=0,"",Protokoll_5p!C24)</f>
        <v>Stanislav STROGOV</v>
      </c>
      <c r="B12" t="str">
        <f>IF(A12="","",VLOOKUP(A12,Koosseisud!$J:$K,2,FALSE))</f>
        <v>Stanislav Strogov</v>
      </c>
      <c r="C12" t="str">
        <f>IF(Protokoll_5p!E24=0,"",Protokoll_5p!E24)</f>
        <v>Lauri LAANE</v>
      </c>
      <c r="D12" t="str">
        <f>IF(C12="","",VLOOKUP(C12,Koosseisud!$J:$K,2,FALSE))</f>
        <v>Lauri Laane</v>
      </c>
      <c r="E12" t="str">
        <f>IF(Protokoll_5p!K24="","",Protokoll_5p!K24)</f>
        <v/>
      </c>
      <c r="F12" t="str">
        <f t="shared" si="0"/>
        <v>Lauri Laane</v>
      </c>
      <c r="G12" t="str">
        <f t="shared" si="1"/>
        <v>Stanislav Strogov</v>
      </c>
      <c r="H12" t="str">
        <f t="shared" si="2"/>
        <v/>
      </c>
      <c r="J12" s="50" t="s">
        <v>133</v>
      </c>
      <c r="O12" t="s">
        <v>182</v>
      </c>
      <c r="P12" s="50" t="s">
        <v>213</v>
      </c>
      <c r="Q12" t="str">
        <f>IF(Üldtabel!A59="","",Üldtabel!A59)</f>
        <v>7-8</v>
      </c>
      <c r="R12" t="str">
        <f>IF(Üldtabel!L59="","",Üldtabel!L59)</f>
        <v>4:0</v>
      </c>
    </row>
    <row r="13" spans="1:21">
      <c r="A13" t="str">
        <f>IF(Protokoll_5p!C25=0,"",Protokoll_5p!C25)</f>
        <v>Samuli SOINE</v>
      </c>
      <c r="B13" t="str">
        <f>IF(A13="","",VLOOKUP(A13,Koosseisud!$J:$K,2,FALSE))</f>
        <v>Samuli Soine</v>
      </c>
      <c r="C13" t="str">
        <f>IF(Protokoll_5p!E25=0,"",Protokoll_5p!E25)</f>
        <v>Sergei DANILOV</v>
      </c>
      <c r="D13" t="str">
        <f>IF(C13="","",VLOOKUP(C13,Koosseisud!$J:$K,2,FALSE))</f>
        <v>Sergei Danilov</v>
      </c>
      <c r="E13" t="str">
        <f>IF(Protokoll_5p!K25="","",Protokoll_5p!K25)</f>
        <v/>
      </c>
      <c r="F13" t="str">
        <f t="shared" si="0"/>
        <v>Sergei Danilov</v>
      </c>
      <c r="G13" t="str">
        <f t="shared" si="1"/>
        <v>Samuli Soine</v>
      </c>
      <c r="H13" t="str">
        <f t="shared" si="2"/>
        <v/>
      </c>
      <c r="J13" s="50" t="s">
        <v>134</v>
      </c>
      <c r="O13" t="s">
        <v>162</v>
      </c>
      <c r="P13" s="50" t="s">
        <v>214</v>
      </c>
      <c r="Q13" t="str">
        <f>IF(Üldtabel!A61="","",Üldtabel!A61)</f>
        <v>1-5</v>
      </c>
      <c r="R13" t="str">
        <f>IF(Üldtabel!L61="","",Üldtabel!L61)</f>
        <v>4:0</v>
      </c>
    </row>
    <row r="14" spans="1:21">
      <c r="A14" t="str">
        <f>IF(Protokoll_5p!C28=0,"",Protokoll_5p!C28)</f>
        <v xml:space="preserve">Martin KRAIKO </v>
      </c>
      <c r="B14" t="str">
        <f>IF(A14="","",VLOOKUP(A14,Koosseisud!$J:$K,2,FALSE))</f>
        <v xml:space="preserve">Martin Kraiko </v>
      </c>
      <c r="C14" t="str">
        <f>IF(Protokoll_5p!E28=0,"",Protokoll_5p!E28)</f>
        <v>Ilmar VUHKA</v>
      </c>
      <c r="D14" t="str">
        <f>IF(C14="","",VLOOKUP(C14,Koosseisud!$J:$K,2,FALSE))</f>
        <v>Ilmar Vuhka</v>
      </c>
      <c r="E14" t="str">
        <f>IF(Protokoll_5p!K28="","",Protokoll_5p!K28)</f>
        <v>0:3</v>
      </c>
      <c r="F14" t="str">
        <f t="shared" si="0"/>
        <v>Ilmar Vuhka</v>
      </c>
      <c r="G14" t="str">
        <f t="shared" si="1"/>
        <v xml:space="preserve">Martin Kraiko </v>
      </c>
      <c r="H14" t="str">
        <f t="shared" si="2"/>
        <v>3:0</v>
      </c>
      <c r="J14" s="50" t="s">
        <v>135</v>
      </c>
      <c r="O14" t="s">
        <v>169</v>
      </c>
      <c r="P14" s="50" t="s">
        <v>215</v>
      </c>
      <c r="Q14" t="str">
        <f>IF(Üldtabel!A62="","",Üldtabel!A62)</f>
        <v>4-6</v>
      </c>
      <c r="R14" t="str">
        <f>IF(Üldtabel!L62="","",Üldtabel!L62)</f>
        <v>4:0</v>
      </c>
    </row>
    <row r="15" spans="1:21">
      <c r="A15" t="str">
        <f>IF(Protokoll_5p!C29=0,"",Protokoll_5p!C29)</f>
        <v>Jorma LAHTINEN</v>
      </c>
      <c r="B15" t="str">
        <f>IF(A15="","",VLOOKUP(A15,Koosseisud!$J:$K,2,FALSE))</f>
        <v>Jorma Lahtinen</v>
      </c>
      <c r="C15" t="str">
        <f>IF(Protokoll_5p!E29=0,"",Protokoll_5p!E29)</f>
        <v>Pert Marten LEHTLAAN</v>
      </c>
      <c r="D15" t="str">
        <f>IF(C15="","",VLOOKUP(C15,Koosseisud!$J:$K,2,FALSE))</f>
        <v>Pert Marten Lehtlaan</v>
      </c>
      <c r="E15" t="str">
        <f>IF(Protokoll_5p!K29="","",Protokoll_5p!K29)</f>
        <v>1:3</v>
      </c>
      <c r="F15" t="str">
        <f t="shared" si="0"/>
        <v>Pert Marten Lehtlaan</v>
      </c>
      <c r="G15" t="str">
        <f t="shared" si="1"/>
        <v>Jorma Lahtinen</v>
      </c>
      <c r="H15" t="str">
        <f t="shared" si="2"/>
        <v>3:1</v>
      </c>
      <c r="J15" s="50" t="s">
        <v>136</v>
      </c>
      <c r="O15" t="s">
        <v>176</v>
      </c>
      <c r="P15" s="50" t="s">
        <v>216</v>
      </c>
      <c r="Q15" t="str">
        <f>IF(Üldtabel!A63="","",Üldtabel!A63)</f>
        <v>3-7</v>
      </c>
      <c r="R15" t="str">
        <f>IF(Üldtabel!L63="","",Üldtabel!L63)</f>
        <v>4:1</v>
      </c>
    </row>
    <row r="16" spans="1:21">
      <c r="A16" t="str">
        <f>IF(Protokoll_5p!C30=0,"",Protokoll_5p!C30)</f>
        <v>Kristjan KANT</v>
      </c>
      <c r="B16" t="str">
        <f>IF(A16="","",VLOOKUP(A16,Koosseisud!$J:$K,2,FALSE))</f>
        <v>Kristjan Kant</v>
      </c>
      <c r="C16" t="str">
        <f>IF(Protokoll_5p!E30=0,"",Protokoll_5p!E30)</f>
        <v>Aleksei NIKONOROV</v>
      </c>
      <c r="D16" t="str">
        <f>IF(C16="","",VLOOKUP(C16,Koosseisud!$J:$K,2,FALSE))</f>
        <v>Aleksei Nikonorov</v>
      </c>
      <c r="E16" t="str">
        <f>IF(Protokoll_5p!K30="","",Protokoll_5p!K30)</f>
        <v>0:3</v>
      </c>
      <c r="F16" t="str">
        <f t="shared" si="0"/>
        <v>Aleksei Nikonorov</v>
      </c>
      <c r="G16" t="str">
        <f t="shared" si="1"/>
        <v>Kristjan Kant</v>
      </c>
      <c r="H16" t="str">
        <f t="shared" si="2"/>
        <v>3:0</v>
      </c>
      <c r="J16" s="50" t="s">
        <v>129</v>
      </c>
      <c r="O16" t="s">
        <v>183</v>
      </c>
      <c r="P16" s="50" t="s">
        <v>217</v>
      </c>
      <c r="Q16" t="str">
        <f>IF(Üldtabel!A64="","",Üldtabel!A64)</f>
        <v>2-8</v>
      </c>
      <c r="R16" t="str">
        <f>IF(Üldtabel!L64="","",Üldtabel!L64)</f>
        <v>4:0</v>
      </c>
    </row>
    <row r="17" spans="1:18">
      <c r="A17" t="str">
        <f>IF(Protokoll_5p!C33=0,"",Protokoll_5p!C33)</f>
        <v xml:space="preserve">Martin KRAIKO </v>
      </c>
      <c r="B17" t="str">
        <f>IF(A17="","",VLOOKUP(A17,Koosseisud!$J:$K,2,FALSE))</f>
        <v xml:space="preserve">Martin Kraiko </v>
      </c>
      <c r="C17" t="str">
        <f>IF(Protokoll_5p!E33=0,"",Protokoll_5p!E33)</f>
        <v>Pert Marten LEHTLAAN</v>
      </c>
      <c r="D17" t="str">
        <f>IF(C17="","",VLOOKUP(C17,Koosseisud!$J:$K,2,FALSE))</f>
        <v>Pert Marten Lehtlaan</v>
      </c>
      <c r="E17" t="str">
        <f>IF(Protokoll_5p!K33="","",Protokoll_5p!K33)</f>
        <v>0:3</v>
      </c>
      <c r="F17" t="str">
        <f t="shared" si="0"/>
        <v>Pert Marten Lehtlaan</v>
      </c>
      <c r="G17" t="str">
        <f t="shared" si="1"/>
        <v xml:space="preserve">Martin Kraiko </v>
      </c>
      <c r="H17" t="str">
        <f t="shared" si="2"/>
        <v>3:0</v>
      </c>
      <c r="J17" s="50" t="s">
        <v>137</v>
      </c>
      <c r="O17" t="s">
        <v>163</v>
      </c>
      <c r="P17" s="50" t="s">
        <v>218</v>
      </c>
      <c r="Q17" t="str">
        <f>IF(Üldtabel!A66="","",Üldtabel!A66)</f>
        <v>1-3</v>
      </c>
      <c r="R17" t="str">
        <f>IF(Üldtabel!L66="","",Üldtabel!L66)</f>
        <v>4:2</v>
      </c>
    </row>
    <row r="18" spans="1:18">
      <c r="A18" t="str">
        <f>IF(Protokoll_5p!C34=0,"",Protokoll_5p!C34)</f>
        <v>Kristjan KANT</v>
      </c>
      <c r="B18" t="str">
        <f>IF(A18="","",VLOOKUP(A18,Koosseisud!$J:$K,2,FALSE))</f>
        <v>Kristjan Kant</v>
      </c>
      <c r="C18" t="str">
        <f>IF(Protokoll_5p!E34=0,"",Protokoll_5p!E34)</f>
        <v>Ilmar VUHKA</v>
      </c>
      <c r="D18" t="str">
        <f>IF(C18="","",VLOOKUP(C18,Koosseisud!$J:$K,2,FALSE))</f>
        <v>Ilmar Vuhka</v>
      </c>
      <c r="E18" t="str">
        <f>IF(Protokoll_5p!K34="","",Protokoll_5p!K34)</f>
        <v/>
      </c>
      <c r="F18" t="str">
        <f t="shared" si="0"/>
        <v>Ilmar Vuhka</v>
      </c>
      <c r="G18" t="str">
        <f t="shared" si="1"/>
        <v>Kristjan Kant</v>
      </c>
      <c r="H18" t="str">
        <f t="shared" si="2"/>
        <v/>
      </c>
      <c r="J18" s="50" t="s">
        <v>138</v>
      </c>
      <c r="O18" t="s">
        <v>170</v>
      </c>
      <c r="P18" s="50" t="s">
        <v>219</v>
      </c>
      <c r="Q18" t="str">
        <f>IF(Üldtabel!A67="","",Üldtabel!A67)</f>
        <v>2-4</v>
      </c>
      <c r="R18" t="str">
        <f>IF(Üldtabel!L67="","",Üldtabel!L67)</f>
        <v>4:1</v>
      </c>
    </row>
    <row r="19" spans="1:18">
      <c r="A19" t="str">
        <f>IF(Protokoll_5p!C35=0,"",Protokoll_5p!C35)</f>
        <v>Jorma LAHTINEN</v>
      </c>
      <c r="B19" t="str">
        <f>IF(A19="","",VLOOKUP(A19,Koosseisud!$J:$K,2,FALSE))</f>
        <v>Jorma Lahtinen</v>
      </c>
      <c r="C19" t="str">
        <f>IF(Protokoll_5p!E35=0,"",Protokoll_5p!E35)</f>
        <v>Aleksei NIKONOROV</v>
      </c>
      <c r="D19" t="str">
        <f>IF(C19="","",VLOOKUP(C19,Koosseisud!$J:$K,2,FALSE))</f>
        <v>Aleksei Nikonorov</v>
      </c>
      <c r="E19" t="str">
        <f>IF(Protokoll_5p!K35="","",Protokoll_5p!K35)</f>
        <v/>
      </c>
      <c r="F19" t="str">
        <f t="shared" si="0"/>
        <v>Aleksei Nikonorov</v>
      </c>
      <c r="G19" t="str">
        <f t="shared" si="1"/>
        <v>Jorma Lahtinen</v>
      </c>
      <c r="H19" t="str">
        <f t="shared" si="2"/>
        <v/>
      </c>
      <c r="J19" s="50" t="s">
        <v>139</v>
      </c>
      <c r="O19" t="s">
        <v>177</v>
      </c>
      <c r="P19" s="50" t="s">
        <v>220</v>
      </c>
      <c r="Q19" t="str">
        <f>IF(Üldtabel!A68="","",Üldtabel!A68)</f>
        <v>5-8</v>
      </c>
      <c r="R19" t="str">
        <f>IF(Üldtabel!L68="","",Üldtabel!L68)</f>
        <v>4:0</v>
      </c>
    </row>
    <row r="20" spans="1:18">
      <c r="A20" t="str">
        <f>IF(Protokoll_5p!C38=0,"",Protokoll_5p!C38)</f>
        <v>Arturs RUDNIKOVS</v>
      </c>
      <c r="B20" t="str">
        <f>IF(A20="","",VLOOKUP(A20,Koosseisud!$J:$K,2,FALSE))</f>
        <v>Arturs Rudnikovs</v>
      </c>
      <c r="C20" t="str">
        <f>IF(Protokoll_5p!E38=0,"",Protokoll_5p!E38)</f>
        <v>Valdas  MARTINKUS</v>
      </c>
      <c r="D20" t="str">
        <f>IF(C20="","",VLOOKUP(C20,Koosseisud!$J:$K,2,FALSE))</f>
        <v>Valdas  Martinkus</v>
      </c>
      <c r="E20" t="str">
        <f>IF(Protokoll_5p!K38="","",Protokoll_5p!K38)</f>
        <v>1:3</v>
      </c>
      <c r="F20" t="str">
        <f t="shared" si="0"/>
        <v>Valdas  Martinkus</v>
      </c>
      <c r="G20" t="str">
        <f t="shared" si="1"/>
        <v>Arturs Rudnikovs</v>
      </c>
      <c r="H20" t="str">
        <f t="shared" si="2"/>
        <v>3:1</v>
      </c>
      <c r="J20" s="50" t="s">
        <v>140</v>
      </c>
      <c r="O20" t="s">
        <v>184</v>
      </c>
      <c r="P20" s="50" t="s">
        <v>221</v>
      </c>
      <c r="Q20" t="str">
        <f>IF(Üldtabel!A69="","",Üldtabel!A69)</f>
        <v>6-7</v>
      </c>
      <c r="R20" t="str">
        <f>IF(Üldtabel!L69="","",Üldtabel!L69)</f>
        <v>0:4</v>
      </c>
    </row>
    <row r="21" spans="1:18">
      <c r="A21" t="str">
        <f>IF(Protokoll_5p!C39=0,"",Protokoll_5p!C39)</f>
        <v>Filat ANDREEV</v>
      </c>
      <c r="B21" t="str">
        <f>IF(A21="","",VLOOKUP(A21,Koosseisud!$J:$K,2,FALSE))</f>
        <v>Filat Andreev</v>
      </c>
      <c r="C21" t="str">
        <f>IF(Protokoll_5p!E39=0,"",Protokoll_5p!E39)</f>
        <v>Märt KURVET</v>
      </c>
      <c r="D21" t="str">
        <f>IF(C21="","",VLOOKUP(C21,Koosseisud!$J:$K,2,FALSE))</f>
        <v>Märt Kurvet</v>
      </c>
      <c r="E21" t="str">
        <f>IF(Protokoll_5p!K39="","",Protokoll_5p!K39)</f>
        <v>2:3</v>
      </c>
      <c r="F21" t="str">
        <f t="shared" si="0"/>
        <v>Märt Kurvet</v>
      </c>
      <c r="G21" t="str">
        <f t="shared" si="1"/>
        <v>Filat Andreev</v>
      </c>
      <c r="H21" t="str">
        <f t="shared" si="2"/>
        <v>3:2</v>
      </c>
      <c r="J21" s="50"/>
      <c r="O21" t="s">
        <v>164</v>
      </c>
      <c r="P21" s="50" t="s">
        <v>222</v>
      </c>
      <c r="Q21" t="str">
        <f>IF(Üldtabel!A71="","",Üldtabel!A71)</f>
        <v>1-7</v>
      </c>
      <c r="R21" t="str">
        <f>IF(Üldtabel!L71="","",Üldtabel!L71)</f>
        <v>4:3</v>
      </c>
    </row>
    <row r="22" spans="1:18">
      <c r="A22" t="str">
        <f>IF(Protokoll_5p!C40=0,"",Protokoll_5p!C40)</f>
        <v>Jan Kenneth TOMING</v>
      </c>
      <c r="B22" t="str">
        <f>IF(A22="","",VLOOKUP(A22,Koosseisud!$J:$K,2,FALSE))</f>
        <v>Jan Kenneth Toming</v>
      </c>
      <c r="C22" t="str">
        <f>IF(Protokoll_5p!E40=0,"",Protokoll_5p!E40)</f>
        <v>Erik NÜÜD</v>
      </c>
      <c r="D22" t="str">
        <f>IF(C22="","",VLOOKUP(C22,Koosseisud!$J:$K,2,FALSE))</f>
        <v>Erik Nüüd</v>
      </c>
      <c r="E22" t="str">
        <f>IF(Protokoll_5p!K40="","",Protokoll_5p!K40)</f>
        <v>3:0</v>
      </c>
      <c r="F22" t="str">
        <f t="shared" si="0"/>
        <v>Jan Kenneth Toming</v>
      </c>
      <c r="G22" t="str">
        <f t="shared" si="1"/>
        <v>Erik Nüüd</v>
      </c>
      <c r="H22" t="str">
        <f t="shared" si="2"/>
        <v>3:0</v>
      </c>
      <c r="O22" t="s">
        <v>171</v>
      </c>
      <c r="P22" s="50" t="s">
        <v>223</v>
      </c>
      <c r="Q22" t="str">
        <f>IF(Üldtabel!A72="","",Üldtabel!A72)</f>
        <v>6-8</v>
      </c>
      <c r="R22" t="str">
        <f>IF(Üldtabel!L72="","",Üldtabel!L72)</f>
        <v>4:3</v>
      </c>
    </row>
    <row r="23" spans="1:18">
      <c r="A23" t="str">
        <f>IF(Protokoll_5p!C43=0,"",Protokoll_5p!C43)</f>
        <v>Arturs RUDNIKOVS</v>
      </c>
      <c r="B23" t="str">
        <f>IF(A23="","",VLOOKUP(A23,Koosseisud!$J:$K,2,FALSE))</f>
        <v>Arturs Rudnikovs</v>
      </c>
      <c r="C23" t="str">
        <f>IF(Protokoll_5p!E43=0,"",Protokoll_5p!E43)</f>
        <v>Märt KURVET</v>
      </c>
      <c r="D23" t="str">
        <f>IF(C23="","",VLOOKUP(C23,Koosseisud!$J:$K,2,FALSE))</f>
        <v>Märt Kurvet</v>
      </c>
      <c r="E23" t="str">
        <f>IF(Protokoll_5p!K43="","",Protokoll_5p!K43)</f>
        <v>3:1</v>
      </c>
      <c r="F23" t="str">
        <f t="shared" si="0"/>
        <v>Arturs Rudnikovs</v>
      </c>
      <c r="G23" t="str">
        <f t="shared" si="1"/>
        <v>Märt Kurvet</v>
      </c>
      <c r="H23" t="str">
        <f t="shared" si="2"/>
        <v>3:1</v>
      </c>
      <c r="O23" t="s">
        <v>178</v>
      </c>
      <c r="P23" s="50" t="s">
        <v>224</v>
      </c>
      <c r="Q23" t="str">
        <f>IF(Üldtabel!A73="","",Üldtabel!A73)</f>
        <v>2-5</v>
      </c>
      <c r="R23" t="str">
        <f>IF(Üldtabel!L73="","",Üldtabel!L73)</f>
        <v>4:2</v>
      </c>
    </row>
    <row r="24" spans="1:18">
      <c r="A24" t="str">
        <f>IF(Protokoll_5p!C44=0,"",Protokoll_5p!C44)</f>
        <v>Jan Kenneth TOMING</v>
      </c>
      <c r="B24" t="str">
        <f>IF(A24="","",VLOOKUP(A24,Koosseisud!$J:$K,2,FALSE))</f>
        <v>Jan Kenneth Toming</v>
      </c>
      <c r="C24" t="str">
        <f>IF(Protokoll_5p!E44=0,"",Protokoll_5p!E44)</f>
        <v>Valdas  MARTINKUS</v>
      </c>
      <c r="D24" t="str">
        <f>IF(C24="","",VLOOKUP(C24,Koosseisud!$J:$K,2,FALSE))</f>
        <v>Valdas  Martinkus</v>
      </c>
      <c r="E24" t="str">
        <f>IF(Protokoll_5p!K44="","",Protokoll_5p!K44)</f>
        <v>0:3</v>
      </c>
      <c r="F24" t="str">
        <f t="shared" si="0"/>
        <v>Valdas  Martinkus</v>
      </c>
      <c r="G24" t="str">
        <f t="shared" si="1"/>
        <v>Jan Kenneth Toming</v>
      </c>
      <c r="H24" t="str">
        <f t="shared" si="2"/>
        <v>3:0</v>
      </c>
      <c r="O24" t="s">
        <v>185</v>
      </c>
      <c r="P24" s="50" t="s">
        <v>225</v>
      </c>
      <c r="Q24" t="str">
        <f>IF(Üldtabel!A74="","",Üldtabel!A74)</f>
        <v>3-4</v>
      </c>
      <c r="R24" t="str">
        <f>IF(Üldtabel!L74="","",Üldtabel!L74)</f>
        <v>4:1</v>
      </c>
    </row>
    <row r="25" spans="1:18">
      <c r="A25" t="str">
        <f>IF(Protokoll_5p!C45=0,"",Protokoll_5p!C45)</f>
        <v>Filat ANDREEV</v>
      </c>
      <c r="B25" t="str">
        <f>IF(A25="","",VLOOKUP(A25,Koosseisud!$J:$K,2,FALSE))</f>
        <v>Filat Andreev</v>
      </c>
      <c r="C25" t="str">
        <f>IF(Protokoll_5p!E45=0,"",Protokoll_5p!E45)</f>
        <v>Erik NÜÜD</v>
      </c>
      <c r="D25" t="str">
        <f>IF(C25="","",VLOOKUP(C25,Koosseisud!$J:$K,2,FALSE))</f>
        <v>Erik Nüüd</v>
      </c>
      <c r="E25" t="str">
        <f>IF(Protokoll_5p!K45="","",Protokoll_5p!K45)</f>
        <v>3:1</v>
      </c>
      <c r="F25" t="str">
        <f t="shared" si="0"/>
        <v>Filat Andreev</v>
      </c>
      <c r="G25" t="str">
        <f t="shared" si="1"/>
        <v>Erik Nüüd</v>
      </c>
      <c r="H25" t="str">
        <f t="shared" si="2"/>
        <v>3:1</v>
      </c>
      <c r="O25" t="s">
        <v>165</v>
      </c>
      <c r="P25" s="50" t="s">
        <v>226</v>
      </c>
      <c r="Q25" t="str">
        <f>IF(Üldtabel!A76="","",Üldtabel!A76)</f>
        <v>1-8</v>
      </c>
      <c r="R25" t="str">
        <f>IF(Üldtabel!L76="","",Üldtabel!L76)</f>
        <v>4:0</v>
      </c>
    </row>
    <row r="26" spans="1:18">
      <c r="A26" t="str">
        <f>IF(Protokoll_5p!C48=0,"",Protokoll_5p!C48)</f>
        <v xml:space="preserve">Martin KRAIKO </v>
      </c>
      <c r="B26" t="str">
        <f>IF(A26="","",VLOOKUP(A26,Koosseisud!$J:$K,2,FALSE))</f>
        <v xml:space="preserve">Martin Kraiko </v>
      </c>
      <c r="C26" t="str">
        <f>IF(Protokoll_5p!E48=0,"",Protokoll_5p!E48)</f>
        <v>Valdas  MARTINKUS</v>
      </c>
      <c r="D26" t="str">
        <f>IF(C26="","",VLOOKUP(C26,Koosseisud!$J:$K,2,FALSE))</f>
        <v>Valdas  Martinkus</v>
      </c>
      <c r="E26" t="str">
        <f>IF(Protokoll_5p!K48="","",Protokoll_5p!K48)</f>
        <v>0:3</v>
      </c>
      <c r="F26" t="str">
        <f t="shared" si="0"/>
        <v>Valdas  Martinkus</v>
      </c>
      <c r="G26" t="str">
        <f t="shared" si="1"/>
        <v xml:space="preserve">Martin Kraiko </v>
      </c>
      <c r="H26" t="str">
        <f t="shared" si="2"/>
        <v>3:0</v>
      </c>
      <c r="O26" t="s">
        <v>172</v>
      </c>
      <c r="P26" s="50" t="s">
        <v>227</v>
      </c>
      <c r="Q26" t="str">
        <f>IF(Üldtabel!A77="","",Üldtabel!A77)</f>
        <v>2-7</v>
      </c>
      <c r="R26" t="str">
        <f>IF(Üldtabel!L77="","",Üldtabel!L77)</f>
        <v>3:4</v>
      </c>
    </row>
    <row r="27" spans="1:18">
      <c r="A27" t="str">
        <f>IF(Protokoll_5p!C49=0,"",Protokoll_5p!C49)</f>
        <v>Kristjan KANT</v>
      </c>
      <c r="B27" t="str">
        <f>IF(A27="","",VLOOKUP(A27,Koosseisud!$J:$K,2,FALSE))</f>
        <v>Kristjan Kant</v>
      </c>
      <c r="C27" t="str">
        <f>IF(Protokoll_5p!E49=0,"",Protokoll_5p!E49)</f>
        <v>Märt KURVET</v>
      </c>
      <c r="D27" t="str">
        <f>IF(C27="","",VLOOKUP(C27,Koosseisud!$J:$K,2,FALSE))</f>
        <v>Märt Kurvet</v>
      </c>
      <c r="E27" t="str">
        <f>IF(Protokoll_5p!K49="","",Protokoll_5p!K49)</f>
        <v>2:3</v>
      </c>
      <c r="F27" t="str">
        <f t="shared" si="0"/>
        <v>Märt Kurvet</v>
      </c>
      <c r="G27" t="str">
        <f t="shared" si="1"/>
        <v>Kristjan Kant</v>
      </c>
      <c r="H27" t="str">
        <f t="shared" si="2"/>
        <v>3:2</v>
      </c>
      <c r="O27" t="s">
        <v>179</v>
      </c>
      <c r="P27" s="50" t="s">
        <v>228</v>
      </c>
      <c r="Q27" t="str">
        <f>IF(Üldtabel!A78="","",Üldtabel!A78)</f>
        <v>3-6</v>
      </c>
      <c r="R27" t="str">
        <f>IF(Üldtabel!L78="","",Üldtabel!L78)</f>
        <v>4:0</v>
      </c>
    </row>
    <row r="28" spans="1:18">
      <c r="A28" t="str">
        <f>IF(Protokoll_5p!C50=0,"",Protokoll_5p!C50)</f>
        <v>Jorma LAHTINEN</v>
      </c>
      <c r="B28" t="str">
        <f>IF(A28="","",VLOOKUP(A28,Koosseisud!$J:$K,2,FALSE))</f>
        <v>Jorma Lahtinen</v>
      </c>
      <c r="C28" t="str">
        <f>IF(Protokoll_5p!E50=0,"",Protokoll_5p!E50)</f>
        <v>Erik NÜÜD</v>
      </c>
      <c r="D28" t="str">
        <f>IF(C28="","",VLOOKUP(C28,Koosseisud!$J:$K,2,FALSE))</f>
        <v>Erik Nüüd</v>
      </c>
      <c r="E28" t="str">
        <f>IF(Protokoll_5p!K50="","",Protokoll_5p!K50)</f>
        <v>1:3</v>
      </c>
      <c r="F28" t="str">
        <f t="shared" si="0"/>
        <v>Erik Nüüd</v>
      </c>
      <c r="G28" t="str">
        <f t="shared" si="1"/>
        <v>Jorma Lahtinen</v>
      </c>
      <c r="H28" t="str">
        <f t="shared" si="2"/>
        <v>3:1</v>
      </c>
      <c r="O28" t="s">
        <v>186</v>
      </c>
      <c r="P28" s="50" t="s">
        <v>229</v>
      </c>
      <c r="Q28" t="str">
        <f>IF(Üldtabel!A79="","",Üldtabel!A79)</f>
        <v>4-5</v>
      </c>
      <c r="R28" t="str">
        <f>IF(Üldtabel!L79="","",Üldtabel!L79)</f>
        <v>4:1</v>
      </c>
    </row>
    <row r="29" spans="1:18">
      <c r="A29" t="str">
        <f>IF(Protokoll_5p!C53=0,"",Protokoll_5p!C53)</f>
        <v xml:space="preserve">Martin KRAIKO </v>
      </c>
      <c r="B29" t="str">
        <f>IF(A29="","",VLOOKUP(A29,Koosseisud!$J:$K,2,FALSE))</f>
        <v xml:space="preserve">Martin Kraiko </v>
      </c>
      <c r="C29" t="str">
        <f>IF(Protokoll_5p!E53=0,"",Protokoll_5p!E53)</f>
        <v>Märt KURVET</v>
      </c>
      <c r="D29" t="str">
        <f>IF(C29="","",VLOOKUP(C29,Koosseisud!$J:$K,2,FALSE))</f>
        <v>Märt Kurvet</v>
      </c>
      <c r="E29" t="str">
        <f>IF(Protokoll_5p!K53="","",Protokoll_5p!K53)</f>
        <v>1:3</v>
      </c>
      <c r="F29" t="str">
        <f t="shared" si="0"/>
        <v>Märt Kurvet</v>
      </c>
      <c r="G29" t="str">
        <f t="shared" si="1"/>
        <v xml:space="preserve">Martin Kraiko </v>
      </c>
      <c r="H29" t="str">
        <f t="shared" si="2"/>
        <v>3:1</v>
      </c>
      <c r="O29" s="50" t="s">
        <v>202</v>
      </c>
      <c r="P29" t="s">
        <v>159</v>
      </c>
      <c r="Q29" s="72" t="str">
        <f>IF(Q1="","",VLOOKUP(Q1,O:P,2,FALSE))</f>
        <v>2-1</v>
      </c>
      <c r="R29" t="str">
        <f>IF(R1="","",VLOOKUP(R1,T:U,2,FALSE))</f>
        <v>4:0</v>
      </c>
    </row>
    <row r="30" spans="1:18">
      <c r="A30" t="str">
        <f>IF(Protokoll_5p!C54=0,"",Protokoll_5p!C54)</f>
        <v>Jorma LAHTINEN</v>
      </c>
      <c r="B30" t="str">
        <f>IF(A30="","",VLOOKUP(A30,Koosseisud!$J:$K,2,FALSE))</f>
        <v>Jorma Lahtinen</v>
      </c>
      <c r="C30" t="str">
        <f>IF(Protokoll_5p!E54=0,"",Protokoll_5p!E54)</f>
        <v>Valdas  MARTINKUS</v>
      </c>
      <c r="D30" t="str">
        <f>IF(C30="","",VLOOKUP(C30,Koosseisud!$J:$K,2,FALSE))</f>
        <v>Valdas  Martinkus</v>
      </c>
      <c r="E30" t="str">
        <f>IF(Protokoll_5p!K54="","",Protokoll_5p!K54)</f>
        <v/>
      </c>
      <c r="F30" t="str">
        <f t="shared" si="0"/>
        <v>Valdas  Martinkus</v>
      </c>
      <c r="G30" t="str">
        <f t="shared" si="1"/>
        <v>Jorma Lahtinen</v>
      </c>
      <c r="H30" t="str">
        <f t="shared" si="2"/>
        <v/>
      </c>
      <c r="O30" s="50" t="s">
        <v>203</v>
      </c>
      <c r="P30" t="s">
        <v>166</v>
      </c>
      <c r="Q30" s="72" t="str">
        <f t="shared" ref="Q30:Q56" si="3">IF(Q2="","",VLOOKUP(Q2,O:P,2,FALSE))</f>
        <v>8-3</v>
      </c>
      <c r="R30" t="str">
        <f t="shared" ref="R30:R56" si="4">IF(R2="","",VLOOKUP(R2,T:U,2,FALSE))</f>
        <v>0:4</v>
      </c>
    </row>
    <row r="31" spans="1:18">
      <c r="A31" t="str">
        <f>IF(Protokoll_5p!C55=0,"",Protokoll_5p!C55)</f>
        <v>Kristjan KANT</v>
      </c>
      <c r="B31" t="str">
        <f>IF(A31="","",VLOOKUP(A31,Koosseisud!$J:$K,2,FALSE))</f>
        <v>Kristjan Kant</v>
      </c>
      <c r="C31" t="str">
        <f>IF(Protokoll_5p!E55=0,"",Protokoll_5p!E55)</f>
        <v>Erik NÜÜD</v>
      </c>
      <c r="D31" t="str">
        <f>IF(C31="","",VLOOKUP(C31,Koosseisud!$J:$K,2,FALSE))</f>
        <v>Erik Nüüd</v>
      </c>
      <c r="E31" t="str">
        <f>IF(Protokoll_5p!K55="","",Protokoll_5p!K55)</f>
        <v/>
      </c>
      <c r="F31" t="str">
        <f t="shared" si="0"/>
        <v>Erik Nüüd</v>
      </c>
      <c r="G31" t="str">
        <f t="shared" si="1"/>
        <v>Kristjan Kant</v>
      </c>
      <c r="H31" t="str">
        <f t="shared" si="2"/>
        <v/>
      </c>
      <c r="O31" s="50" t="s">
        <v>204</v>
      </c>
      <c r="P31" t="s">
        <v>173</v>
      </c>
      <c r="Q31" s="72" t="str">
        <f t="shared" si="3"/>
        <v>7-4</v>
      </c>
      <c r="R31" t="str">
        <f t="shared" si="4"/>
        <v>2:4</v>
      </c>
    </row>
    <row r="32" spans="1:18">
      <c r="A32" t="str">
        <f>IF(Protokoll_5p!C58=0,"",Protokoll_5p!C58)</f>
        <v>Arturs RUDNIKOVS</v>
      </c>
      <c r="B32" t="str">
        <f>IF(A32="","",VLOOKUP(A32,Koosseisud!$J:$K,2,FALSE))</f>
        <v>Arturs Rudnikovs</v>
      </c>
      <c r="C32" t="str">
        <f>IF(Protokoll_5p!E58=0,"",Protokoll_5p!E58)</f>
        <v>Sergei PETROV</v>
      </c>
      <c r="D32" t="str">
        <f>IF(C32="","",VLOOKUP(C32,Koosseisud!$J:$K,2,FALSE))</f>
        <v>Sergei Petrov</v>
      </c>
      <c r="E32" t="str">
        <f>IF(Protokoll_5p!K58="","",Protokoll_5p!K58)</f>
        <v>2:3</v>
      </c>
      <c r="F32" t="str">
        <f t="shared" si="0"/>
        <v>Sergei Petrov</v>
      </c>
      <c r="G32" t="str">
        <f t="shared" si="1"/>
        <v>Arturs Rudnikovs</v>
      </c>
      <c r="H32" t="str">
        <f t="shared" si="2"/>
        <v>3:2</v>
      </c>
      <c r="O32" s="50" t="s">
        <v>205</v>
      </c>
      <c r="P32" t="s">
        <v>180</v>
      </c>
      <c r="Q32" s="72" t="str">
        <f t="shared" si="3"/>
        <v>6-5</v>
      </c>
      <c r="R32" t="str">
        <f t="shared" si="4"/>
        <v>0:4</v>
      </c>
    </row>
    <row r="33" spans="1:18">
      <c r="A33" t="str">
        <f>IF(Protokoll_5p!C59=0,"",Protokoll_5p!C59)</f>
        <v>Filat ANDREEV</v>
      </c>
      <c r="B33" t="str">
        <f>IF(A33="","",VLOOKUP(A33,Koosseisud!$J:$K,2,FALSE))</f>
        <v>Filat Andreev</v>
      </c>
      <c r="C33" t="str">
        <f>IF(Protokoll_5p!E59=0,"",Protokoll_5p!E59)</f>
        <v>Maksim VUHKA</v>
      </c>
      <c r="D33" t="str">
        <f>IF(C33="","",VLOOKUP(C33,Koosseisud!$J:$K,2,FALSE))</f>
        <v>Maksim Vuhka</v>
      </c>
      <c r="E33" t="str">
        <f>IF(Protokoll_5p!K59="","",Protokoll_5p!K59)</f>
        <v>0:3</v>
      </c>
      <c r="F33" t="str">
        <f t="shared" si="0"/>
        <v>Maksim Vuhka</v>
      </c>
      <c r="G33" t="str">
        <f t="shared" si="1"/>
        <v>Filat Andreev</v>
      </c>
      <c r="H33" t="str">
        <f t="shared" si="2"/>
        <v>3:0</v>
      </c>
      <c r="O33" s="50" t="s">
        <v>206</v>
      </c>
      <c r="P33" t="s">
        <v>160</v>
      </c>
      <c r="Q33" s="72" t="str">
        <f t="shared" si="3"/>
        <v>6-1</v>
      </c>
      <c r="R33" t="str">
        <f t="shared" si="4"/>
        <v>1:4</v>
      </c>
    </row>
    <row r="34" spans="1:18">
      <c r="A34" t="str">
        <f>IF(Protokoll_5p!C60=0,"",Protokoll_5p!C60)</f>
        <v>Jan Kenneth TOMING</v>
      </c>
      <c r="B34" t="str">
        <f>IF(A34="","",VLOOKUP(A34,Koosseisud!$J:$K,2,FALSE))</f>
        <v>Jan Kenneth Toming</v>
      </c>
      <c r="C34" t="str">
        <f>IF(Protokoll_5p!E60=0,"",Protokoll_5p!E60)</f>
        <v>Carlo ACCORSI</v>
      </c>
      <c r="D34" t="str">
        <f>IF(C34="","",VLOOKUP(C34,Koosseisud!$J:$K,2,FALSE))</f>
        <v>Carlo Accorsi</v>
      </c>
      <c r="E34" t="str">
        <f>IF(Protokoll_5p!K60="","",Protokoll_5p!K60)</f>
        <v>1:3</v>
      </c>
      <c r="F34" t="str">
        <f t="shared" si="0"/>
        <v>Carlo Accorsi</v>
      </c>
      <c r="G34" t="str">
        <f t="shared" si="1"/>
        <v>Jan Kenneth Toming</v>
      </c>
      <c r="H34" t="str">
        <f t="shared" si="2"/>
        <v>3:1</v>
      </c>
      <c r="O34" s="50" t="s">
        <v>207</v>
      </c>
      <c r="P34" t="s">
        <v>167</v>
      </c>
      <c r="Q34" s="72" t="str">
        <f t="shared" si="3"/>
        <v>7-5</v>
      </c>
      <c r="R34" t="str">
        <f t="shared" si="4"/>
        <v>4:2</v>
      </c>
    </row>
    <row r="35" spans="1:18">
      <c r="A35" t="str">
        <f>IF(Protokoll_5p!C63=0,"",Protokoll_5p!C63)</f>
        <v>Arturs RUDNIKOVS</v>
      </c>
      <c r="B35" t="str">
        <f>IF(A35="","",VLOOKUP(A35,Koosseisud!$J:$K,2,FALSE))</f>
        <v>Arturs Rudnikovs</v>
      </c>
      <c r="C35" t="str">
        <f>IF(Protokoll_5p!E63=0,"",Protokoll_5p!E63)</f>
        <v>Maksim VUHKA</v>
      </c>
      <c r="D35" t="str">
        <f>IF(C35="","",VLOOKUP(C35,Koosseisud!$J:$K,2,FALSE))</f>
        <v>Maksim Vuhka</v>
      </c>
      <c r="E35" t="str">
        <f>IF(Protokoll_5p!K63="","",Protokoll_5p!K63)</f>
        <v/>
      </c>
      <c r="F35" t="str">
        <f t="shared" si="0"/>
        <v>Maksim Vuhka</v>
      </c>
      <c r="G35" t="str">
        <f t="shared" si="1"/>
        <v>Arturs Rudnikovs</v>
      </c>
      <c r="H35" t="str">
        <f t="shared" si="2"/>
        <v/>
      </c>
      <c r="O35" s="50" t="s">
        <v>208</v>
      </c>
      <c r="P35" t="s">
        <v>174</v>
      </c>
      <c r="Q35" s="72" t="str">
        <f t="shared" si="3"/>
        <v>8-4</v>
      </c>
      <c r="R35" t="str">
        <f t="shared" si="4"/>
        <v>0:4</v>
      </c>
    </row>
    <row r="36" spans="1:18">
      <c r="A36" t="str">
        <f>IF(Protokoll_5p!C64=0,"",Protokoll_5p!C64)</f>
        <v>Jan Kenneth TOMING</v>
      </c>
      <c r="B36" t="str">
        <f>IF(A36="","",VLOOKUP(A36,Koosseisud!$J:$K,2,FALSE))</f>
        <v>Jan Kenneth Toming</v>
      </c>
      <c r="C36" t="str">
        <f>IF(Protokoll_5p!E64=0,"",Protokoll_5p!E64)</f>
        <v>Sergei PETROV</v>
      </c>
      <c r="D36" t="str">
        <f>IF(C36="","",VLOOKUP(C36,Koosseisud!$J:$K,2,FALSE))</f>
        <v>Sergei Petrov</v>
      </c>
      <c r="E36" t="str">
        <f>IF(Protokoll_5p!K64="","",Protokoll_5p!K64)</f>
        <v/>
      </c>
      <c r="F36" t="str">
        <f t="shared" si="0"/>
        <v>Sergei Petrov</v>
      </c>
      <c r="G36" t="str">
        <f t="shared" si="1"/>
        <v>Jan Kenneth Toming</v>
      </c>
      <c r="H36" t="str">
        <f t="shared" si="2"/>
        <v/>
      </c>
      <c r="O36" s="50" t="s">
        <v>209</v>
      </c>
      <c r="P36" t="s">
        <v>181</v>
      </c>
      <c r="Q36" s="72" t="str">
        <f t="shared" si="3"/>
        <v>3-2</v>
      </c>
      <c r="R36" t="str">
        <f t="shared" si="4"/>
        <v>2:4</v>
      </c>
    </row>
    <row r="37" spans="1:18">
      <c r="A37" t="str">
        <f>IF(Protokoll_5p!C65=0,"",Protokoll_5p!C65)</f>
        <v>Filat ANDREEV</v>
      </c>
      <c r="B37" t="str">
        <f>IF(A37="","",VLOOKUP(A37,Koosseisud!$J:$K,2,FALSE))</f>
        <v>Filat Andreev</v>
      </c>
      <c r="C37" t="str">
        <f>IF(Protokoll_5p!E65=0,"",Protokoll_5p!E65)</f>
        <v>Carlo ACCORSI</v>
      </c>
      <c r="D37" t="str">
        <f>IF(C37="","",VLOOKUP(C37,Koosseisud!$J:$K,2,FALSE))</f>
        <v>Carlo Accorsi</v>
      </c>
      <c r="E37" t="str">
        <f>IF(Protokoll_5p!K65="","",Protokoll_5p!K65)</f>
        <v/>
      </c>
      <c r="F37" t="str">
        <f t="shared" si="0"/>
        <v>Carlo Accorsi</v>
      </c>
      <c r="G37" t="str">
        <f t="shared" si="1"/>
        <v>Filat Andreev</v>
      </c>
      <c r="H37" t="str">
        <f>IF(E37="","",VLOOKUP(E37,$A$81:$B$86,2,FALSE))</f>
        <v/>
      </c>
      <c r="O37" s="50" t="s">
        <v>210</v>
      </c>
      <c r="P37" t="s">
        <v>161</v>
      </c>
      <c r="Q37" s="72" t="str">
        <f t="shared" si="3"/>
        <v>4-1</v>
      </c>
      <c r="R37" t="str">
        <f t="shared" si="4"/>
        <v>4:1</v>
      </c>
    </row>
    <row r="38" spans="1:18">
      <c r="A38" t="str">
        <f>IF(Protokoll_5p!C68=0,"",Protokoll_5p!C68)</f>
        <v>Ilmar VUHKA</v>
      </c>
      <c r="B38" t="str">
        <f>IF(A38="","",VLOOKUP(A38,Koosseisud!$J:$K,2,FALSE))</f>
        <v>Ilmar Vuhka</v>
      </c>
      <c r="C38" t="str">
        <f>IF(Protokoll_5p!E68=0,"",Protokoll_5p!E68)</f>
        <v>Samuli SOINE</v>
      </c>
      <c r="D38" t="str">
        <f>IF(C38="","",VLOOKUP(C38,Koosseisud!$J:$K,2,FALSE))</f>
        <v>Samuli Soine</v>
      </c>
      <c r="E38" t="str">
        <f>IF(Protokoll_5p!K68="","",Protokoll_5p!K68)</f>
        <v>0:3</v>
      </c>
      <c r="F38" t="str">
        <f t="shared" si="0"/>
        <v>Samuli Soine</v>
      </c>
      <c r="G38" t="str">
        <f t="shared" si="1"/>
        <v>Ilmar Vuhka</v>
      </c>
      <c r="H38" t="str">
        <f t="shared" si="2"/>
        <v>3:0</v>
      </c>
      <c r="O38" s="50" t="s">
        <v>211</v>
      </c>
      <c r="P38" t="s">
        <v>168</v>
      </c>
      <c r="Q38" s="72" t="str">
        <f t="shared" si="3"/>
        <v>5-3</v>
      </c>
      <c r="R38" t="str">
        <f t="shared" si="4"/>
        <v>0:4</v>
      </c>
    </row>
    <row r="39" spans="1:18">
      <c r="A39" t="str">
        <f>IF(Protokoll_5p!C69=0,"",Protokoll_5p!C69)</f>
        <v>Daniels KOGANS</v>
      </c>
      <c r="B39" t="str">
        <f>IF(A39="","",VLOOKUP(A39,Koosseisud!$J:$K,2,FALSE))</f>
        <v>Daniels Kogans</v>
      </c>
      <c r="C39" t="str">
        <f>IF(Protokoll_5p!E69=0,"",Protokoll_5p!E69)</f>
        <v>Andrei MALTIZOV</v>
      </c>
      <c r="D39" t="str">
        <f>IF(C39="","",VLOOKUP(C39,Koosseisud!$J:$K,2,FALSE))</f>
        <v>Andrei Maltizov</v>
      </c>
      <c r="E39" t="str">
        <f>IF(Protokoll_5p!K69="","",Protokoll_5p!K69)</f>
        <v>3:1</v>
      </c>
      <c r="F39" t="str">
        <f t="shared" si="0"/>
        <v>Daniels Kogans</v>
      </c>
      <c r="G39" t="str">
        <f t="shared" si="1"/>
        <v>Andrei Maltizov</v>
      </c>
      <c r="H39" t="str">
        <f t="shared" si="2"/>
        <v>3:1</v>
      </c>
      <c r="O39" s="50" t="s">
        <v>212</v>
      </c>
      <c r="P39" t="s">
        <v>175</v>
      </c>
      <c r="Q39" s="72" t="str">
        <f t="shared" si="3"/>
        <v>6-2</v>
      </c>
      <c r="R39" t="str">
        <f t="shared" si="4"/>
        <v>1:4</v>
      </c>
    </row>
    <row r="40" spans="1:18">
      <c r="A40" t="str">
        <f>IF(Protokoll_5p!C70=0,"",Protokoll_5p!C70)</f>
        <v>Pert Marten LEHTLAAN</v>
      </c>
      <c r="B40" t="str">
        <f>IF(A40="","",VLOOKUP(A40,Koosseisud!$J:$K,2,FALSE))</f>
        <v>Pert Marten Lehtlaan</v>
      </c>
      <c r="C40" t="str">
        <f>IF(Protokoll_5p!E70=0,"",Protokoll_5p!E70)</f>
        <v>Madis MOOS</v>
      </c>
      <c r="D40" t="str">
        <f>IF(C40="","",VLOOKUP(C40,Koosseisud!$J:$K,2,FALSE))</f>
        <v>Madis Moos</v>
      </c>
      <c r="E40" t="str">
        <f>IF(Protokoll_5p!K70="","",Protokoll_5p!K70)</f>
        <v>3:0</v>
      </c>
      <c r="F40" t="str">
        <f t="shared" si="0"/>
        <v>Pert Marten Lehtlaan</v>
      </c>
      <c r="G40" t="str">
        <f t="shared" si="1"/>
        <v>Madis Moos</v>
      </c>
      <c r="H40" t="str">
        <f t="shared" si="2"/>
        <v>3:0</v>
      </c>
      <c r="O40" s="50" t="s">
        <v>213</v>
      </c>
      <c r="P40" t="s">
        <v>182</v>
      </c>
      <c r="Q40" s="72" t="str">
        <f t="shared" si="3"/>
        <v>8-7</v>
      </c>
      <c r="R40" t="str">
        <f t="shared" si="4"/>
        <v>0:4</v>
      </c>
    </row>
    <row r="41" spans="1:18">
      <c r="A41" t="str">
        <f>IF(Protokoll_5p!C73=0,"",Protokoll_5p!C73)</f>
        <v>Ilmar VUHKA</v>
      </c>
      <c r="B41" t="str">
        <f>IF(A41="","",VLOOKUP(A41,Koosseisud!$J:$K,2,FALSE))</f>
        <v>Ilmar Vuhka</v>
      </c>
      <c r="C41" t="str">
        <f>IF(Protokoll_5p!E73=0,"",Protokoll_5p!E73)</f>
        <v>Andrei MALTIZOV</v>
      </c>
      <c r="D41" t="str">
        <f>IF(C41="","",VLOOKUP(C41,Koosseisud!$J:$K,2,FALSE))</f>
        <v>Andrei Maltizov</v>
      </c>
      <c r="E41" t="str">
        <f>IF(Protokoll_5p!K73="","",Protokoll_5p!K73)</f>
        <v>1:3</v>
      </c>
      <c r="F41" t="str">
        <f t="shared" ref="F41:F73" si="5">IF(LEFT(E41,1)="3",B41,D41)</f>
        <v>Andrei Maltizov</v>
      </c>
      <c r="G41" t="str">
        <f t="shared" ref="G41:G73" si="6">IF(LEFT(E41,1)="3",D41,B41)</f>
        <v>Ilmar Vuhka</v>
      </c>
      <c r="H41" t="str">
        <f t="shared" si="2"/>
        <v>3:1</v>
      </c>
      <c r="O41" s="50" t="s">
        <v>214</v>
      </c>
      <c r="P41" t="s">
        <v>162</v>
      </c>
      <c r="Q41" s="72" t="str">
        <f t="shared" si="3"/>
        <v>5-1</v>
      </c>
      <c r="R41" t="str">
        <f t="shared" si="4"/>
        <v>0:4</v>
      </c>
    </row>
    <row r="42" spans="1:18">
      <c r="A42" t="str">
        <f>IF(Protokoll_5p!C74=0,"",Protokoll_5p!C74)</f>
        <v>Pert Marten LEHTLAAN</v>
      </c>
      <c r="B42" t="str">
        <f>IF(A42="","",VLOOKUP(A42,Koosseisud!$J:$K,2,FALSE))</f>
        <v>Pert Marten Lehtlaan</v>
      </c>
      <c r="C42" t="str">
        <f>IF(Protokoll_5p!E74=0,"",Protokoll_5p!E74)</f>
        <v>Samuli SOINE</v>
      </c>
      <c r="D42" t="str">
        <f>IF(C42="","",VLOOKUP(C42,Koosseisud!$J:$K,2,FALSE))</f>
        <v>Samuli Soine</v>
      </c>
      <c r="E42" t="str">
        <f>IF(Protokoll_5p!K74="","",Protokoll_5p!K74)</f>
        <v>3:2</v>
      </c>
      <c r="F42" t="str">
        <f t="shared" si="5"/>
        <v>Pert Marten Lehtlaan</v>
      </c>
      <c r="G42" t="str">
        <f t="shared" si="6"/>
        <v>Samuli Soine</v>
      </c>
      <c r="H42" t="str">
        <f t="shared" si="2"/>
        <v>3:2</v>
      </c>
      <c r="O42" s="50" t="s">
        <v>215</v>
      </c>
      <c r="P42" t="s">
        <v>169</v>
      </c>
      <c r="Q42" s="72" t="str">
        <f t="shared" si="3"/>
        <v>6-4</v>
      </c>
      <c r="R42" t="str">
        <f t="shared" si="4"/>
        <v>0:4</v>
      </c>
    </row>
    <row r="43" spans="1:18">
      <c r="A43" t="str">
        <f>IF(Protokoll_5p!C75=0,"",Protokoll_5p!C75)</f>
        <v>Daniels KOGANS</v>
      </c>
      <c r="B43" t="str">
        <f>IF(A43="","",VLOOKUP(A43,Koosseisud!$J:$K,2,FALSE))</f>
        <v>Daniels Kogans</v>
      </c>
      <c r="C43" t="str">
        <f>IF(Protokoll_5p!E75=0,"",Protokoll_5p!E75)</f>
        <v>Madis MOOS</v>
      </c>
      <c r="D43" t="str">
        <f>IF(C43="","",VLOOKUP(C43,Koosseisud!$J:$K,2,FALSE))</f>
        <v>Madis Moos</v>
      </c>
      <c r="E43" t="str">
        <f>IF(Protokoll_5p!K75="","",Protokoll_5p!K75)</f>
        <v>3:1</v>
      </c>
      <c r="F43" t="str">
        <f t="shared" si="5"/>
        <v>Daniels Kogans</v>
      </c>
      <c r="G43" t="str">
        <f t="shared" si="6"/>
        <v>Madis Moos</v>
      </c>
      <c r="H43" t="str">
        <f t="shared" si="2"/>
        <v>3:1</v>
      </c>
      <c r="O43" s="50" t="s">
        <v>216</v>
      </c>
      <c r="P43" t="s">
        <v>176</v>
      </c>
      <c r="Q43" s="72" t="str">
        <f t="shared" si="3"/>
        <v>7-3</v>
      </c>
      <c r="R43" t="str">
        <f t="shared" si="4"/>
        <v>1:4</v>
      </c>
    </row>
    <row r="44" spans="1:18">
      <c r="A44" t="str">
        <f>IF(Protokoll_5p!C78=0,"",Protokoll_5p!C78)</f>
        <v>Mart LUUK</v>
      </c>
      <c r="B44" t="str">
        <f>IF(A44="","",VLOOKUP(A44,Koosseisud!$J:$K,2,FALSE))</f>
        <v>Mart Luuk</v>
      </c>
      <c r="C44" t="str">
        <f>IF(Protokoll_5p!E78=0,"",Protokoll_5p!E78)</f>
        <v>Sergei DANILOV</v>
      </c>
      <c r="D44" t="str">
        <f>IF(C44="","",VLOOKUP(C44,Koosseisud!$J:$K,2,FALSE))</f>
        <v>Sergei Danilov</v>
      </c>
      <c r="E44" t="str">
        <f>IF(Protokoll_5p!K78="","",Protokoll_5p!K78)</f>
        <v>3:0</v>
      </c>
      <c r="F44" t="str">
        <f t="shared" si="5"/>
        <v>Mart Luuk</v>
      </c>
      <c r="G44" t="str">
        <f t="shared" si="6"/>
        <v>Sergei Danilov</v>
      </c>
      <c r="H44" t="str">
        <f t="shared" si="2"/>
        <v>3:0</v>
      </c>
      <c r="O44" s="50" t="s">
        <v>217</v>
      </c>
      <c r="P44" t="s">
        <v>183</v>
      </c>
      <c r="Q44" s="72" t="str">
        <f t="shared" si="3"/>
        <v>8-2</v>
      </c>
      <c r="R44" t="str">
        <f t="shared" si="4"/>
        <v>0:4</v>
      </c>
    </row>
    <row r="45" spans="1:18">
      <c r="A45" t="str">
        <f>IF(Protokoll_5p!C79=0,"",Protokoll_5p!C79)</f>
        <v>Markkos PUKK</v>
      </c>
      <c r="B45" t="str">
        <f>IF(A45="","",VLOOKUP(A45,Koosseisud!$J:$K,2,FALSE))</f>
        <v>Markkos Pukk</v>
      </c>
      <c r="C45" t="str">
        <f>IF(Protokoll_5p!E79=0,"",Protokoll_5p!E79)</f>
        <v>Aleksandr SMIRNOV</v>
      </c>
      <c r="D45" t="str">
        <f>IF(C45="","",VLOOKUP(C45,Koosseisud!$J:$K,2,FALSE))</f>
        <v>Aleksandr Smirnov</v>
      </c>
      <c r="E45" t="str">
        <f>IF(Protokoll_5p!K79="","",Protokoll_5p!K79)</f>
        <v>3:1</v>
      </c>
      <c r="F45" t="str">
        <f t="shared" si="5"/>
        <v>Markkos Pukk</v>
      </c>
      <c r="G45" t="str">
        <f t="shared" si="6"/>
        <v>Aleksandr Smirnov</v>
      </c>
      <c r="H45" t="str">
        <f t="shared" si="2"/>
        <v>3:1</v>
      </c>
      <c r="O45" s="50" t="s">
        <v>218</v>
      </c>
      <c r="P45" t="s">
        <v>163</v>
      </c>
      <c r="Q45" s="72" t="str">
        <f t="shared" si="3"/>
        <v>3-1</v>
      </c>
      <c r="R45" t="str">
        <f t="shared" si="4"/>
        <v>2:4</v>
      </c>
    </row>
    <row r="46" spans="1:18">
      <c r="A46" t="str">
        <f>IF(Protokoll_5p!C80=0,"",Protokoll_5p!C80)</f>
        <v>Arttu Antero PIHKALA</v>
      </c>
      <c r="B46" t="str">
        <f>IF(A46="","",VLOOKUP(A46,Koosseisud!$J:$K,2,FALSE))</f>
        <v>Arttu Antero Pihkala</v>
      </c>
      <c r="C46" t="str">
        <f>IF(Protokoll_5p!E80=0,"",Protokoll_5p!E80)</f>
        <v>Lauri LAANE</v>
      </c>
      <c r="D46" t="str">
        <f>IF(C46="","",VLOOKUP(C46,Koosseisud!$J:$K,2,FALSE))</f>
        <v>Lauri Laane</v>
      </c>
      <c r="E46" t="str">
        <f>IF(Protokoll_5p!K80="","",Protokoll_5p!K80)</f>
        <v>3:1</v>
      </c>
      <c r="F46" t="str">
        <f t="shared" si="5"/>
        <v>Arttu Antero Pihkala</v>
      </c>
      <c r="G46" t="str">
        <f t="shared" si="6"/>
        <v>Lauri Laane</v>
      </c>
      <c r="H46" t="str">
        <f t="shared" si="2"/>
        <v>3:1</v>
      </c>
      <c r="O46" s="50" t="s">
        <v>219</v>
      </c>
      <c r="P46" t="s">
        <v>170</v>
      </c>
      <c r="Q46" s="72" t="str">
        <f t="shared" si="3"/>
        <v>4-2</v>
      </c>
      <c r="R46" t="str">
        <f t="shared" si="4"/>
        <v>1:4</v>
      </c>
    </row>
    <row r="47" spans="1:18">
      <c r="A47" t="str">
        <f>IF(Protokoll_5p!C83=0,"",Protokoll_5p!C83)</f>
        <v>Mart LUUK</v>
      </c>
      <c r="B47" t="str">
        <f>IF(A47="","",VLOOKUP(A47,Koosseisud!$J:$K,2,FALSE))</f>
        <v>Mart Luuk</v>
      </c>
      <c r="C47" t="str">
        <f>IF(Protokoll_5p!E83=0,"",Protokoll_5p!E83)</f>
        <v>Aleksandr SMIRNOV</v>
      </c>
      <c r="D47" t="str">
        <f>IF(C47="","",VLOOKUP(C47,Koosseisud!$J:$K,2,FALSE))</f>
        <v>Aleksandr Smirnov</v>
      </c>
      <c r="E47" t="str">
        <f>IF(Protokoll_5p!K83="","",Protokoll_5p!K83)</f>
        <v/>
      </c>
      <c r="F47" t="str">
        <f t="shared" si="5"/>
        <v>Aleksandr Smirnov</v>
      </c>
      <c r="G47" t="str">
        <f t="shared" si="6"/>
        <v>Mart Luuk</v>
      </c>
      <c r="H47" t="str">
        <f t="shared" si="2"/>
        <v/>
      </c>
      <c r="O47" s="50" t="s">
        <v>220</v>
      </c>
      <c r="P47" t="s">
        <v>177</v>
      </c>
      <c r="Q47" s="72" t="str">
        <f t="shared" si="3"/>
        <v>8-5</v>
      </c>
      <c r="R47" t="str">
        <f t="shared" si="4"/>
        <v>0:4</v>
      </c>
    </row>
    <row r="48" spans="1:18">
      <c r="A48" t="str">
        <f>IF(Protokoll_5p!C84=0,"",Protokoll_5p!C84)</f>
        <v>Arttu Antero PIHKALA</v>
      </c>
      <c r="B48" t="str">
        <f>IF(A48="","",VLOOKUP(A48,Koosseisud!$J:$K,2,FALSE))</f>
        <v>Arttu Antero Pihkala</v>
      </c>
      <c r="C48" t="str">
        <f>IF(Protokoll_5p!E84=0,"",Protokoll_5p!E84)</f>
        <v>Sergei DANILOV</v>
      </c>
      <c r="D48" t="str">
        <f>IF(C48="","",VLOOKUP(C48,Koosseisud!$J:$K,2,FALSE))</f>
        <v>Sergei Danilov</v>
      </c>
      <c r="E48" t="str">
        <f>IF(Protokoll_5p!K84="","",Protokoll_5p!K84)</f>
        <v/>
      </c>
      <c r="F48" t="str">
        <f t="shared" si="5"/>
        <v>Sergei Danilov</v>
      </c>
      <c r="G48" t="str">
        <f t="shared" si="6"/>
        <v>Arttu Antero Pihkala</v>
      </c>
      <c r="H48" t="str">
        <f t="shared" si="2"/>
        <v/>
      </c>
      <c r="O48" s="50" t="s">
        <v>221</v>
      </c>
      <c r="P48" t="s">
        <v>184</v>
      </c>
      <c r="Q48" s="72" t="str">
        <f t="shared" si="3"/>
        <v>7-6</v>
      </c>
      <c r="R48" t="str">
        <f t="shared" si="4"/>
        <v>4:0</v>
      </c>
    </row>
    <row r="49" spans="1:18">
      <c r="A49" t="str">
        <f>IF(Protokoll_5p!C85=0,"",Protokoll_5p!C85)</f>
        <v>Markkos PUKK</v>
      </c>
      <c r="B49" t="str">
        <f>IF(A49="","",VLOOKUP(A49,Koosseisud!$J:$K,2,FALSE))</f>
        <v>Markkos Pukk</v>
      </c>
      <c r="C49" t="str">
        <f>IF(Protokoll_5p!E85=0,"",Protokoll_5p!E85)</f>
        <v>Lauri LAANE</v>
      </c>
      <c r="D49" t="str">
        <f>IF(C49="","",VLOOKUP(C49,Koosseisud!$J:$K,2,FALSE))</f>
        <v>Lauri Laane</v>
      </c>
      <c r="E49" t="str">
        <f>IF(Protokoll_5p!K85="","",Protokoll_5p!K85)</f>
        <v/>
      </c>
      <c r="F49" t="str">
        <f t="shared" si="5"/>
        <v>Lauri Laane</v>
      </c>
      <c r="G49" t="str">
        <f t="shared" si="6"/>
        <v>Markkos Pukk</v>
      </c>
      <c r="H49" t="str">
        <f t="shared" si="2"/>
        <v/>
      </c>
      <c r="O49" s="50" t="s">
        <v>222</v>
      </c>
      <c r="P49" t="s">
        <v>164</v>
      </c>
      <c r="Q49" s="72" t="str">
        <f t="shared" si="3"/>
        <v>7-1</v>
      </c>
      <c r="R49" t="str">
        <f t="shared" si="4"/>
        <v>3:4</v>
      </c>
    </row>
    <row r="50" spans="1:18">
      <c r="A50" t="str">
        <f>IF(Protokoll_5p!C88=0,"",Protokoll_5p!C88)</f>
        <v>Ilmar VUHKA</v>
      </c>
      <c r="B50" t="str">
        <f>IF(A50="","",VLOOKUP(A50,Koosseisud!$J:$K,2,FALSE))</f>
        <v>Ilmar Vuhka</v>
      </c>
      <c r="C50" t="str">
        <f>IF(Protokoll_5p!E88=0,"",Protokoll_5p!E88)</f>
        <v>Lauri LAANE</v>
      </c>
      <c r="D50" t="str">
        <f>IF(C50="","",VLOOKUP(C50,Koosseisud!$J:$K,2,FALSE))</f>
        <v>Lauri Laane</v>
      </c>
      <c r="E50" t="str">
        <f>IF(Protokoll_5p!K88="","",Protokoll_5p!K88)</f>
        <v>3:2</v>
      </c>
      <c r="F50" t="str">
        <f t="shared" si="5"/>
        <v>Ilmar Vuhka</v>
      </c>
      <c r="G50" t="str">
        <f t="shared" si="6"/>
        <v>Lauri Laane</v>
      </c>
      <c r="H50" t="str">
        <f t="shared" si="2"/>
        <v>3:2</v>
      </c>
      <c r="O50" s="50" t="s">
        <v>223</v>
      </c>
      <c r="P50" t="s">
        <v>171</v>
      </c>
      <c r="Q50" s="72" t="str">
        <f t="shared" si="3"/>
        <v>8-6</v>
      </c>
      <c r="R50" t="str">
        <f t="shared" si="4"/>
        <v>3:4</v>
      </c>
    </row>
    <row r="51" spans="1:18">
      <c r="A51" t="str">
        <f>IF(Protokoll_5p!C89=0,"",Protokoll_5p!C89)</f>
        <v>Daniels KOGANS</v>
      </c>
      <c r="B51" t="str">
        <f>IF(A51="","",VLOOKUP(A51,Koosseisud!$J:$K,2,FALSE))</f>
        <v>Daniels Kogans</v>
      </c>
      <c r="C51" t="str">
        <f>IF(Protokoll_5p!E89=0,"",Protokoll_5p!E89)</f>
        <v>Aleksandr SMIRNOV</v>
      </c>
      <c r="D51" t="str">
        <f>IF(C51="","",VLOOKUP(C51,Koosseisud!$J:$K,2,FALSE))</f>
        <v>Aleksandr Smirnov</v>
      </c>
      <c r="E51" t="str">
        <f>IF(Protokoll_5p!K89="","",Protokoll_5p!K89)</f>
        <v>3:1</v>
      </c>
      <c r="F51" t="str">
        <f t="shared" si="5"/>
        <v>Daniels Kogans</v>
      </c>
      <c r="G51" t="str">
        <f t="shared" si="6"/>
        <v>Aleksandr Smirnov</v>
      </c>
      <c r="H51" t="str">
        <f t="shared" si="2"/>
        <v>3:1</v>
      </c>
      <c r="O51" s="50" t="s">
        <v>224</v>
      </c>
      <c r="P51" t="s">
        <v>178</v>
      </c>
      <c r="Q51" s="72" t="str">
        <f t="shared" si="3"/>
        <v>5-2</v>
      </c>
      <c r="R51" t="str">
        <f t="shared" si="4"/>
        <v>2:4</v>
      </c>
    </row>
    <row r="52" spans="1:18">
      <c r="A52" t="str">
        <f>IF(Protokoll_5p!C90=0,"",Protokoll_5p!C90)</f>
        <v>Pert Marten LEHTLAAN</v>
      </c>
      <c r="B52" t="str">
        <f>IF(A52="","",VLOOKUP(A52,Koosseisud!$J:$K,2,FALSE))</f>
        <v>Pert Marten Lehtlaan</v>
      </c>
      <c r="C52" t="str">
        <f>IF(Protokoll_5p!E90=0,"",Protokoll_5p!E90)</f>
        <v>Sergei DANILOV</v>
      </c>
      <c r="D52" t="str">
        <f>IF(C52="","",VLOOKUP(C52,Koosseisud!$J:$K,2,FALSE))</f>
        <v>Sergei Danilov</v>
      </c>
      <c r="E52" t="str">
        <f>IF(Protokoll_5p!K90="","",Protokoll_5p!K90)</f>
        <v>3:0</v>
      </c>
      <c r="F52" t="str">
        <f t="shared" si="5"/>
        <v>Pert Marten Lehtlaan</v>
      </c>
      <c r="G52" t="str">
        <f t="shared" si="6"/>
        <v>Sergei Danilov</v>
      </c>
      <c r="H52" t="str">
        <f t="shared" si="2"/>
        <v>3:0</v>
      </c>
      <c r="O52" s="50" t="s">
        <v>225</v>
      </c>
      <c r="P52" t="s">
        <v>185</v>
      </c>
      <c r="Q52" s="72" t="str">
        <f t="shared" si="3"/>
        <v>4-3</v>
      </c>
      <c r="R52" t="str">
        <f t="shared" si="4"/>
        <v>1:4</v>
      </c>
    </row>
    <row r="53" spans="1:18">
      <c r="A53" t="str">
        <f>IF(Protokoll_5p!C93=0,"",Protokoll_5p!C93)</f>
        <v>Ilmar VUHKA</v>
      </c>
      <c r="B53" t="str">
        <f>IF(A53="","",VLOOKUP(A53,Koosseisud!$J:$K,2,FALSE))</f>
        <v>Ilmar Vuhka</v>
      </c>
      <c r="C53" t="str">
        <f>IF(Protokoll_5p!E93=0,"",Protokoll_5p!E93)</f>
        <v>Aleksandr SMIRNOV</v>
      </c>
      <c r="D53" t="str">
        <f>IF(C53="","",VLOOKUP(C53,Koosseisud!$J:$K,2,FALSE))</f>
        <v>Aleksandr Smirnov</v>
      </c>
      <c r="E53" t="str">
        <f>IF(Protokoll_5p!K93="","",Protokoll_5p!K93)</f>
        <v/>
      </c>
      <c r="F53" t="str">
        <f t="shared" si="5"/>
        <v>Aleksandr Smirnov</v>
      </c>
      <c r="G53" t="str">
        <f t="shared" si="6"/>
        <v>Ilmar Vuhka</v>
      </c>
      <c r="H53" t="str">
        <f t="shared" si="2"/>
        <v/>
      </c>
      <c r="O53" s="50" t="s">
        <v>226</v>
      </c>
      <c r="P53" t="s">
        <v>165</v>
      </c>
      <c r="Q53" s="72" t="str">
        <f t="shared" si="3"/>
        <v>8-1</v>
      </c>
      <c r="R53" t="str">
        <f t="shared" si="4"/>
        <v>0:4</v>
      </c>
    </row>
    <row r="54" spans="1:18">
      <c r="A54" t="str">
        <f>IF(Protokoll_5p!C94=0,"",Protokoll_5p!C94)</f>
        <v>Pert Marten LEHTLAAN</v>
      </c>
      <c r="B54" t="str">
        <f>IF(A54="","",VLOOKUP(A54,Koosseisud!$J:$K,2,FALSE))</f>
        <v>Pert Marten Lehtlaan</v>
      </c>
      <c r="C54" t="str">
        <f>IF(Protokoll_5p!E94=0,"",Protokoll_5p!E94)</f>
        <v>Lauri LAANE</v>
      </c>
      <c r="D54" t="str">
        <f>IF(C54="","",VLOOKUP(C54,Koosseisud!$J:$K,2,FALSE))</f>
        <v>Lauri Laane</v>
      </c>
      <c r="E54" t="str">
        <f>IF(Protokoll_5p!K94="","",Protokoll_5p!K94)</f>
        <v/>
      </c>
      <c r="F54" t="str">
        <f t="shared" si="5"/>
        <v>Lauri Laane</v>
      </c>
      <c r="G54" t="str">
        <f t="shared" si="6"/>
        <v>Pert Marten Lehtlaan</v>
      </c>
      <c r="H54" t="str">
        <f t="shared" si="2"/>
        <v/>
      </c>
      <c r="O54" s="50" t="s">
        <v>227</v>
      </c>
      <c r="P54" t="s">
        <v>172</v>
      </c>
      <c r="Q54" s="72" t="str">
        <f t="shared" si="3"/>
        <v>7-2</v>
      </c>
      <c r="R54" t="str">
        <f t="shared" si="4"/>
        <v>4:3</v>
      </c>
    </row>
    <row r="55" spans="1:18">
      <c r="A55" t="str">
        <f>IF(Protokoll_5p!C95=0,"",Protokoll_5p!C95)</f>
        <v>Daniels KOGANS</v>
      </c>
      <c r="B55" t="str">
        <f>IF(A55="","",VLOOKUP(A55,Koosseisud!$J:$K,2,FALSE))</f>
        <v>Daniels Kogans</v>
      </c>
      <c r="C55" t="str">
        <f>IF(Protokoll_5p!E95=0,"",Protokoll_5p!E95)</f>
        <v>Sergei DANILOV</v>
      </c>
      <c r="D55" t="str">
        <f>IF(C55="","",VLOOKUP(C55,Koosseisud!$J:$K,2,FALSE))</f>
        <v>Sergei Danilov</v>
      </c>
      <c r="E55" t="str">
        <f>IF(Protokoll_5p!K95="","",Protokoll_5p!K95)</f>
        <v/>
      </c>
      <c r="F55" t="str">
        <f t="shared" si="5"/>
        <v>Sergei Danilov</v>
      </c>
      <c r="G55" t="str">
        <f t="shared" si="6"/>
        <v>Daniels Kogans</v>
      </c>
      <c r="H55" t="str">
        <f t="shared" si="2"/>
        <v/>
      </c>
      <c r="O55" s="50" t="s">
        <v>228</v>
      </c>
      <c r="P55" t="s">
        <v>179</v>
      </c>
      <c r="Q55" s="72" t="str">
        <f t="shared" si="3"/>
        <v>6-3</v>
      </c>
      <c r="R55" t="str">
        <f t="shared" si="4"/>
        <v>0:4</v>
      </c>
    </row>
    <row r="56" spans="1:18">
      <c r="A56" t="str">
        <f>IF(Protokoll_5p!C98=0,"",Protokoll_5p!C98)</f>
        <v>Kevin KUKK</v>
      </c>
      <c r="B56" t="str">
        <f>IF(A56="","",VLOOKUP(A56,Koosseisud!$J:$K,2,FALSE))</f>
        <v>Kevin Kukk</v>
      </c>
      <c r="C56" t="str">
        <f>IF(Protokoll_5p!E98=0,"",Protokoll_5p!E98)</f>
        <v>Stanislav STROGOV</v>
      </c>
      <c r="D56" t="str">
        <f>IF(C56="","",VLOOKUP(C56,Koosseisud!$J:$K,2,FALSE))</f>
        <v>Stanislav Strogov</v>
      </c>
      <c r="E56" t="str">
        <f>IF(Protokoll_5p!K98="","",Protokoll_5p!K98)</f>
        <v>1:3</v>
      </c>
      <c r="F56" t="str">
        <f t="shared" si="5"/>
        <v>Stanislav Strogov</v>
      </c>
      <c r="G56" t="str">
        <f t="shared" si="6"/>
        <v>Kevin Kukk</v>
      </c>
      <c r="H56" t="str">
        <f t="shared" si="2"/>
        <v>3:1</v>
      </c>
      <c r="O56" s="50" t="s">
        <v>229</v>
      </c>
      <c r="P56" t="s">
        <v>186</v>
      </c>
      <c r="Q56" s="72" t="str">
        <f t="shared" si="3"/>
        <v>5-4</v>
      </c>
      <c r="R56" t="str">
        <f t="shared" si="4"/>
        <v>1:4</v>
      </c>
    </row>
    <row r="57" spans="1:18">
      <c r="A57" t="str">
        <f>IF(Protokoll_5p!C99=0,"",Protokoll_5p!C99)</f>
        <v>Arturs RUDNIKOVS</v>
      </c>
      <c r="B57" t="str">
        <f>IF(A57="","",VLOOKUP(A57,Koosseisud!$J:$K,2,FALSE))</f>
        <v>Arturs Rudnikovs</v>
      </c>
      <c r="C57" t="str">
        <f>IF(Protokoll_5p!E99=0,"",Protokoll_5p!E99)</f>
        <v>Madis MOOS</v>
      </c>
      <c r="D57" t="str">
        <f>IF(C57="","",VLOOKUP(C57,Koosseisud!$J:$K,2,FALSE))</f>
        <v>Madis Moos</v>
      </c>
      <c r="E57" t="str">
        <f>IF(Protokoll_5p!K99="","",Protokoll_5p!K99)</f>
        <v>0:3</v>
      </c>
      <c r="F57" t="str">
        <f t="shared" si="5"/>
        <v>Madis Moos</v>
      </c>
      <c r="G57" t="str">
        <f t="shared" si="6"/>
        <v>Arturs Rudnikovs</v>
      </c>
      <c r="H57" t="str">
        <f t="shared" si="2"/>
        <v>3:0</v>
      </c>
      <c r="O57" s="60" t="s">
        <v>240</v>
      </c>
      <c r="P57" s="50" t="s">
        <v>268</v>
      </c>
      <c r="Q57" t="str">
        <f>IF(Üldtabel!A81="","",Üldtabel!A81)</f>
        <v>2-1</v>
      </c>
      <c r="R57" t="str">
        <f>IF(Üldtabel!L81="","",Üldtabel!L81)</f>
        <v>2:4</v>
      </c>
    </row>
    <row r="58" spans="1:18">
      <c r="A58" t="str">
        <f>IF(Protokoll_5p!C100=0,"",Protokoll_5p!C100)</f>
        <v>Jan Kenneth TOMING</v>
      </c>
      <c r="B58" t="str">
        <f>IF(A58="","",VLOOKUP(A58,Koosseisud!$J:$K,2,FALSE))</f>
        <v>Jan Kenneth Toming</v>
      </c>
      <c r="C58" t="str">
        <f>IF(Protokoll_5p!E100=0,"",Protokoll_5p!E100)</f>
        <v>Andrei MALTIZOV</v>
      </c>
      <c r="D58" t="str">
        <f>IF(C58="","",VLOOKUP(C58,Koosseisud!$J:$K,2,FALSE))</f>
        <v>Andrei Maltizov</v>
      </c>
      <c r="E58" t="str">
        <f>IF(Protokoll_5p!K100="","",Protokoll_5p!K100)</f>
        <v>0:3</v>
      </c>
      <c r="F58" t="str">
        <f t="shared" si="5"/>
        <v>Andrei Maltizov</v>
      </c>
      <c r="G58" t="str">
        <f t="shared" si="6"/>
        <v>Jan Kenneth Toming</v>
      </c>
      <c r="H58" t="str">
        <f t="shared" si="2"/>
        <v>3:0</v>
      </c>
      <c r="O58" s="56" t="s">
        <v>241</v>
      </c>
      <c r="P58" s="50" t="s">
        <v>269</v>
      </c>
      <c r="Q58" t="str">
        <f>IF(Üldtabel!A82="","",Üldtabel!A82)</f>
        <v>8-3</v>
      </c>
      <c r="R58" t="str">
        <f>IF(Üldtabel!L82="","",Üldtabel!L82)</f>
        <v>1:4</v>
      </c>
    </row>
    <row r="59" spans="1:18">
      <c r="A59" t="str">
        <f>IF(Protokoll_5p!C103=0,"",Protokoll_5p!C103)</f>
        <v>Kevin KUKK</v>
      </c>
      <c r="B59" t="str">
        <f>IF(A59="","",VLOOKUP(A59,Koosseisud!$J:$K,2,FALSE))</f>
        <v>Kevin Kukk</v>
      </c>
      <c r="C59" t="str">
        <f>IF(Protokoll_5p!E103=0,"",Protokoll_5p!E103)</f>
        <v>Madis MOOS</v>
      </c>
      <c r="D59" t="str">
        <f>IF(C59="","",VLOOKUP(C59,Koosseisud!$J:$K,2,FALSE))</f>
        <v>Madis Moos</v>
      </c>
      <c r="E59" t="str">
        <f>IF(Protokoll_5p!K103="","",Protokoll_5p!K103)</f>
        <v/>
      </c>
      <c r="F59" t="str">
        <f t="shared" si="5"/>
        <v>Madis Moos</v>
      </c>
      <c r="G59" t="str">
        <f t="shared" si="6"/>
        <v>Kevin Kukk</v>
      </c>
      <c r="H59" t="str">
        <f t="shared" si="2"/>
        <v/>
      </c>
      <c r="O59" s="56" t="s">
        <v>242</v>
      </c>
      <c r="P59" s="50" t="s">
        <v>270</v>
      </c>
      <c r="Q59" t="str">
        <f>IF(Üldtabel!A83="","",Üldtabel!A83)</f>
        <v>7-4</v>
      </c>
      <c r="R59" t="str">
        <f>IF(Üldtabel!L83="","",Üldtabel!L83)</f>
        <v>2:4</v>
      </c>
    </row>
    <row r="60" spans="1:18">
      <c r="A60" t="str">
        <f>IF(Protokoll_5p!C104=0,"",Protokoll_5p!C104)</f>
        <v>Jan Kenneth TOMING</v>
      </c>
      <c r="B60" t="str">
        <f>IF(A60="","",VLOOKUP(A60,Koosseisud!$J:$K,2,FALSE))</f>
        <v>Jan Kenneth Toming</v>
      </c>
      <c r="C60" t="str">
        <f>IF(Protokoll_5p!E104=0,"",Protokoll_5p!E104)</f>
        <v>Stanislav STROGOV</v>
      </c>
      <c r="D60" t="str">
        <f>IF(C60="","",VLOOKUP(C60,Koosseisud!$J:$K,2,FALSE))</f>
        <v>Stanislav Strogov</v>
      </c>
      <c r="E60" t="str">
        <f>IF(Protokoll_5p!K104="","",Protokoll_5p!K104)</f>
        <v/>
      </c>
      <c r="F60" t="str">
        <f t="shared" si="5"/>
        <v>Stanislav Strogov</v>
      </c>
      <c r="G60" t="str">
        <f t="shared" si="6"/>
        <v>Jan Kenneth Toming</v>
      </c>
      <c r="H60" t="str">
        <f t="shared" si="2"/>
        <v/>
      </c>
      <c r="O60" s="56" t="s">
        <v>243</v>
      </c>
      <c r="P60" s="50" t="s">
        <v>271</v>
      </c>
      <c r="Q60" t="str">
        <f>IF(Üldtabel!A84="","",Üldtabel!A84)</f>
        <v>6-5</v>
      </c>
      <c r="R60" t="str">
        <f>IF(Üldtabel!L84="","",Üldtabel!L84)</f>
        <v>4:1</v>
      </c>
    </row>
    <row r="61" spans="1:18">
      <c r="A61" t="str">
        <f>IF(Protokoll_5p!C105=0,"",Protokoll_5p!C105)</f>
        <v>Arturs RUDNIKOVS</v>
      </c>
      <c r="B61" t="str">
        <f>IF(A61="","",VLOOKUP(A61,Koosseisud!$J:$K,2,FALSE))</f>
        <v>Arturs Rudnikovs</v>
      </c>
      <c r="C61" t="str">
        <f>IF(Protokoll_5p!E105=0,"",Protokoll_5p!E105)</f>
        <v>Andrei MALTIZOV</v>
      </c>
      <c r="D61" t="str">
        <f>IF(C61="","",VLOOKUP(C61,Koosseisud!$J:$K,2,FALSE))</f>
        <v>Andrei Maltizov</v>
      </c>
      <c r="E61" t="str">
        <f>IF(Protokoll_5p!K105="","",Protokoll_5p!K105)</f>
        <v/>
      </c>
      <c r="F61" t="str">
        <f t="shared" si="5"/>
        <v>Andrei Maltizov</v>
      </c>
      <c r="G61" t="str">
        <f t="shared" si="6"/>
        <v>Arturs Rudnikovs</v>
      </c>
      <c r="H61" t="str">
        <f t="shared" si="2"/>
        <v/>
      </c>
      <c r="O61" s="56" t="s">
        <v>244</v>
      </c>
      <c r="P61" s="50" t="s">
        <v>272</v>
      </c>
      <c r="Q61" t="str">
        <f>IF(Üldtabel!A86="","",Üldtabel!A86)</f>
        <v>6-1</v>
      </c>
      <c r="R61" t="str">
        <f>IF(Üldtabel!L86="","",Üldtabel!L86)</f>
        <v>0:4</v>
      </c>
    </row>
    <row r="62" spans="1:18">
      <c r="A62" t="str">
        <f>IF(Protokoll_5p!C108=0,"",Protokoll_5p!C108)</f>
        <v>Erik NÜÜD</v>
      </c>
      <c r="B62" t="str">
        <f>IF(A62="","",VLOOKUP(A62,Koosseisud!$J:$K,2,FALSE))</f>
        <v>Erik Nüüd</v>
      </c>
      <c r="C62" t="str">
        <f>IF(Protokoll_5p!E108=0,"",Protokoll_5p!E108)</f>
        <v>Markkos PUKK</v>
      </c>
      <c r="D62" t="str">
        <f>IF(C62="","",VLOOKUP(C62,Koosseisud!$J:$K,2,FALSE))</f>
        <v>Markkos Pukk</v>
      </c>
      <c r="E62" t="str">
        <f>IF(Protokoll_5p!K108="","",Protokoll_5p!K108)</f>
        <v>0:3</v>
      </c>
      <c r="F62" t="str">
        <f t="shared" si="5"/>
        <v>Markkos Pukk</v>
      </c>
      <c r="G62" t="str">
        <f t="shared" si="6"/>
        <v>Erik Nüüd</v>
      </c>
      <c r="H62" t="str">
        <f t="shared" si="2"/>
        <v>3:0</v>
      </c>
      <c r="O62" s="56" t="s">
        <v>245</v>
      </c>
      <c r="P62" s="50" t="s">
        <v>273</v>
      </c>
      <c r="Q62" t="str">
        <f>IF(Üldtabel!A87="","",Üldtabel!A87)</f>
        <v>7-5</v>
      </c>
      <c r="R62" t="str">
        <f>IF(Üldtabel!L87="","",Üldtabel!L87)</f>
        <v>4:0</v>
      </c>
    </row>
    <row r="63" spans="1:18">
      <c r="A63" t="str">
        <f>IF(Protokoll_5p!C109=0,"",Protokoll_5p!C109)</f>
        <v>Märt KURVET</v>
      </c>
      <c r="B63" t="str">
        <f>IF(A63="","",VLOOKUP(A63,Koosseisud!$J:$K,2,FALSE))</f>
        <v>Märt Kurvet</v>
      </c>
      <c r="C63" t="str">
        <f>IF(Protokoll_5p!E109=0,"",Protokoll_5p!E109)</f>
        <v>Mart LUUK</v>
      </c>
      <c r="D63" t="str">
        <f>IF(C63="","",VLOOKUP(C63,Koosseisud!$J:$K,2,FALSE))</f>
        <v>Mart Luuk</v>
      </c>
      <c r="E63" t="str">
        <f>IF(Protokoll_5p!K109="","",Protokoll_5p!K109)</f>
        <v>0:3</v>
      </c>
      <c r="F63" t="str">
        <f t="shared" si="5"/>
        <v>Mart Luuk</v>
      </c>
      <c r="G63" t="str">
        <f t="shared" si="6"/>
        <v>Märt Kurvet</v>
      </c>
      <c r="H63" t="str">
        <f>IF(E63="","",VLOOKUP(E63,$A$81:$B$86,2,FALSE))</f>
        <v>3:0</v>
      </c>
      <c r="O63" s="56" t="s">
        <v>246</v>
      </c>
      <c r="P63" s="50" t="s">
        <v>274</v>
      </c>
      <c r="Q63" t="str">
        <f>IF(Üldtabel!A88="","",Üldtabel!A88)</f>
        <v>8-4</v>
      </c>
      <c r="R63" t="str">
        <f>IF(Üldtabel!L88="","",Üldtabel!L88)</f>
        <v>3:4</v>
      </c>
    </row>
    <row r="64" spans="1:18">
      <c r="A64" t="str">
        <f>IF(Protokoll_5p!C110=0,"",Protokoll_5p!C110)</f>
        <v>Robi TOOMING</v>
      </c>
      <c r="B64" t="str">
        <f>IF(A64="","",VLOOKUP(A64,Koosseisud!$J:$K,2,FALSE))</f>
        <v>Robi Tooming</v>
      </c>
      <c r="C64" t="str">
        <f>IF(Protokoll_5p!E110=0,"",Protokoll_5p!E110)</f>
        <v>Arttu Antero PIHKALA</v>
      </c>
      <c r="D64" t="str">
        <f>IF(C64="","",VLOOKUP(C64,Koosseisud!$J:$K,2,FALSE))</f>
        <v>Arttu Antero Pihkala</v>
      </c>
      <c r="E64" t="str">
        <f>IF(Protokoll_5p!K110="","",Protokoll_5p!K110)</f>
        <v>2:3</v>
      </c>
      <c r="F64" t="str">
        <f t="shared" si="5"/>
        <v>Arttu Antero Pihkala</v>
      </c>
      <c r="G64" t="str">
        <f t="shared" si="6"/>
        <v>Robi Tooming</v>
      </c>
      <c r="H64" t="str">
        <f t="shared" si="2"/>
        <v>3:2</v>
      </c>
      <c r="O64" s="56" t="s">
        <v>247</v>
      </c>
      <c r="P64" s="50" t="s">
        <v>275</v>
      </c>
      <c r="Q64" t="str">
        <f>IF(Üldtabel!A89="","",Üldtabel!A89)</f>
        <v>3-2</v>
      </c>
      <c r="R64" t="str">
        <f>IF(Üldtabel!L89="","",Üldtabel!L89)</f>
        <v>2:4</v>
      </c>
    </row>
    <row r="65" spans="1:18">
      <c r="A65" t="str">
        <f>IF(Protokoll_5p!C113=0,"",Protokoll_5p!C113)</f>
        <v>Erik NÜÜD</v>
      </c>
      <c r="B65" t="str">
        <f>IF(A65="","",VLOOKUP(A65,Koosseisud!$J:$K,2,FALSE))</f>
        <v>Erik Nüüd</v>
      </c>
      <c r="C65" t="str">
        <f>IF(Protokoll_5p!E113=0,"",Protokoll_5p!E113)</f>
        <v>Mart LUUK</v>
      </c>
      <c r="D65" t="str">
        <f>IF(C65="","",VLOOKUP(C65,Koosseisud!$J:$K,2,FALSE))</f>
        <v>Mart Luuk</v>
      </c>
      <c r="E65" t="str">
        <f>IF(Protokoll_5p!K113="","",Protokoll_5p!K113)</f>
        <v/>
      </c>
      <c r="F65" t="str">
        <f t="shared" si="5"/>
        <v>Mart Luuk</v>
      </c>
      <c r="G65" t="str">
        <f t="shared" si="6"/>
        <v>Erik Nüüd</v>
      </c>
      <c r="H65" t="str">
        <f t="shared" si="2"/>
        <v/>
      </c>
      <c r="O65" s="56" t="s">
        <v>248</v>
      </c>
      <c r="P65" s="50" t="s">
        <v>276</v>
      </c>
      <c r="Q65" t="str">
        <f>IF(Üldtabel!A91="","",Üldtabel!A91)</f>
        <v>4-1</v>
      </c>
      <c r="R65" t="str">
        <f>IF(Üldtabel!L91="","",Üldtabel!L91)</f>
        <v/>
      </c>
    </row>
    <row r="66" spans="1:18">
      <c r="A66" t="str">
        <f>IF(Protokoll_5p!C114=0,"",Protokoll_5p!C114)</f>
        <v>Robi TOOMING</v>
      </c>
      <c r="B66" t="str">
        <f>IF(A66="","",VLOOKUP(A66,Koosseisud!$J:$K,2,FALSE))</f>
        <v>Robi Tooming</v>
      </c>
      <c r="C66" t="str">
        <f>IF(Protokoll_5p!E114=0,"",Protokoll_5p!E114)</f>
        <v>Markkos PUKK</v>
      </c>
      <c r="D66" t="str">
        <f>IF(C66="","",VLOOKUP(C66,Koosseisud!$J:$K,2,FALSE))</f>
        <v>Markkos Pukk</v>
      </c>
      <c r="E66" t="str">
        <f>IF(Protokoll_5p!K114="","",Protokoll_5p!K114)</f>
        <v/>
      </c>
      <c r="F66" t="str">
        <f t="shared" si="5"/>
        <v>Markkos Pukk</v>
      </c>
      <c r="G66" t="str">
        <f t="shared" si="6"/>
        <v>Robi Tooming</v>
      </c>
      <c r="H66" t="str">
        <f t="shared" si="2"/>
        <v/>
      </c>
      <c r="O66" s="56" t="s">
        <v>249</v>
      </c>
      <c r="P66" s="50" t="s">
        <v>277</v>
      </c>
      <c r="Q66" t="str">
        <f>IF(Üldtabel!A92="","",Üldtabel!A92)</f>
        <v>5-3</v>
      </c>
      <c r="R66" t="str">
        <f>IF(Üldtabel!L92="","",Üldtabel!L92)</f>
        <v/>
      </c>
    </row>
    <row r="67" spans="1:18">
      <c r="A67" t="str">
        <f>IF(Protokoll_5p!C115=0,"",Protokoll_5p!C115)</f>
        <v>Märt KURVET</v>
      </c>
      <c r="B67" t="str">
        <f>IF(A67="","",VLOOKUP(A67,Koosseisud!$J:$K,2,FALSE))</f>
        <v>Märt Kurvet</v>
      </c>
      <c r="C67" t="str">
        <f>IF(Protokoll_5p!E115=0,"",Protokoll_5p!E115)</f>
        <v>Arttu Antero PIHKALA</v>
      </c>
      <c r="D67" t="str">
        <f>IF(C67="","",VLOOKUP(C67,Koosseisud!$J:$K,2,FALSE))</f>
        <v>Arttu Antero Pihkala</v>
      </c>
      <c r="E67" t="str">
        <f>IF(Protokoll_5p!K115="","",Protokoll_5p!K115)</f>
        <v/>
      </c>
      <c r="F67" t="str">
        <f t="shared" si="5"/>
        <v>Arttu Antero Pihkala</v>
      </c>
      <c r="G67" t="str">
        <f t="shared" si="6"/>
        <v>Märt Kurvet</v>
      </c>
      <c r="H67" t="str">
        <f t="shared" ref="H67:H74" si="7">IF(E67="","",VLOOKUP(E67,$A$81:$B$86,2,FALSE))</f>
        <v/>
      </c>
      <c r="O67" s="56" t="s">
        <v>250</v>
      </c>
      <c r="P67" s="50" t="s">
        <v>278</v>
      </c>
      <c r="Q67" t="str">
        <f>IF(Üldtabel!A93="","",Üldtabel!A93)</f>
        <v>6-2</v>
      </c>
      <c r="R67" t="str">
        <f>IF(Üldtabel!L93="","",Üldtabel!L93)</f>
        <v/>
      </c>
    </row>
    <row r="68" spans="1:18">
      <c r="A68" t="str">
        <f>IF(Protokoll_5p!C118=0,"",Protokoll_5p!C118)</f>
        <v xml:space="preserve">Martin KRAIKO </v>
      </c>
      <c r="B68" t="str">
        <f>IF(A68="","",VLOOKUP(A68,Koosseisud!$J:$K,2,FALSE))</f>
        <v xml:space="preserve">Martin Kraiko </v>
      </c>
      <c r="C68" t="str">
        <f>IF(Protokoll_5p!E118=0,"",Protokoll_5p!E118)</f>
        <v>Daniel KOSIBA</v>
      </c>
      <c r="D68" t="str">
        <f>IF(C68="","",VLOOKUP(C68,Koosseisud!$J:$K,2,FALSE))</f>
        <v>Daniel Kosiba</v>
      </c>
      <c r="E68" t="str">
        <f>IF(Protokoll_5p!K118="","",Protokoll_5p!K118)</f>
        <v>0:3</v>
      </c>
      <c r="F68" t="str">
        <f t="shared" si="5"/>
        <v>Daniel Kosiba</v>
      </c>
      <c r="G68" t="str">
        <f t="shared" si="6"/>
        <v xml:space="preserve">Martin Kraiko </v>
      </c>
      <c r="H68" t="str">
        <f t="shared" si="7"/>
        <v>3:0</v>
      </c>
      <c r="O68" s="56" t="s">
        <v>251</v>
      </c>
      <c r="P68" s="50" t="s">
        <v>279</v>
      </c>
      <c r="Q68" t="str">
        <f>IF(Üldtabel!A94="","",Üldtabel!A94)</f>
        <v>8-7</v>
      </c>
      <c r="R68" t="str">
        <f>IF(Üldtabel!L94="","",Üldtabel!L94)</f>
        <v/>
      </c>
    </row>
    <row r="69" spans="1:18">
      <c r="A69" t="str">
        <f>IF(Protokoll_5p!C119=0,"",Protokoll_5p!C119)</f>
        <v>Jorma LAHTINEN</v>
      </c>
      <c r="B69" t="str">
        <f>IF(A69="","",VLOOKUP(A69,Koosseisud!$J:$K,2,FALSE))</f>
        <v>Jorma Lahtinen</v>
      </c>
      <c r="C69" t="str">
        <f>IF(Protokoll_5p!E119=0,"",Protokoll_5p!E119)</f>
        <v>Maksim VUHKA</v>
      </c>
      <c r="D69" t="str">
        <f>IF(C69="","",VLOOKUP(C69,Koosseisud!$J:$K,2,FALSE))</f>
        <v>Maksim Vuhka</v>
      </c>
      <c r="E69" t="str">
        <f>IF(Protokoll_5p!K119="","",Protokoll_5p!K119)</f>
        <v>1:3</v>
      </c>
      <c r="F69" t="str">
        <f t="shared" si="5"/>
        <v>Maksim Vuhka</v>
      </c>
      <c r="G69" t="str">
        <f t="shared" si="6"/>
        <v>Jorma Lahtinen</v>
      </c>
      <c r="H69" t="str">
        <f t="shared" si="7"/>
        <v>3:1</v>
      </c>
      <c r="O69" s="56" t="s">
        <v>252</v>
      </c>
      <c r="P69" s="50" t="s">
        <v>280</v>
      </c>
      <c r="Q69" t="str">
        <f>IF(Üldtabel!A96="","",Üldtabel!A96)</f>
        <v>5-1</v>
      </c>
      <c r="R69" t="str">
        <f>IF(Üldtabel!L96="","",Üldtabel!L96)</f>
        <v/>
      </c>
    </row>
    <row r="70" spans="1:18">
      <c r="A70" t="str">
        <f>IF(Protokoll_5p!C120=0,"",Protokoll_5p!C120)</f>
        <v>Kristjan KANT</v>
      </c>
      <c r="B70" t="str">
        <f>IF(A70="","",VLOOKUP(A70,Koosseisud!$J:$K,2,FALSE))</f>
        <v>Kristjan Kant</v>
      </c>
      <c r="C70" t="str">
        <f>IF(Protokoll_5p!E120=0,"",Protokoll_5p!E120)</f>
        <v>Carlo ACCORSI</v>
      </c>
      <c r="D70" t="str">
        <f>IF(C70="","",VLOOKUP(C70,Koosseisud!$J:$K,2,FALSE))</f>
        <v>Carlo Accorsi</v>
      </c>
      <c r="E70" t="str">
        <f>IF(Protokoll_5p!K120="","",Protokoll_5p!K120)</f>
        <v>0:3</v>
      </c>
      <c r="F70" t="str">
        <f t="shared" si="5"/>
        <v>Carlo Accorsi</v>
      </c>
      <c r="G70" t="str">
        <f t="shared" si="6"/>
        <v>Kristjan Kant</v>
      </c>
      <c r="H70" t="str">
        <f t="shared" si="7"/>
        <v>3:0</v>
      </c>
      <c r="O70" s="56" t="s">
        <v>253</v>
      </c>
      <c r="P70" s="50" t="s">
        <v>281</v>
      </c>
      <c r="Q70" t="str">
        <f>IF(Üldtabel!A97="","",Üldtabel!A97)</f>
        <v>6-4</v>
      </c>
      <c r="R70" t="str">
        <f>IF(Üldtabel!L97="","",Üldtabel!L97)</f>
        <v/>
      </c>
    </row>
    <row r="71" spans="1:18">
      <c r="A71" t="str">
        <f>IF(Protokoll_5p!C123=0,"",Protokoll_5p!C123)</f>
        <v xml:space="preserve">Martin KRAIKO </v>
      </c>
      <c r="B71" t="str">
        <f>IF(A71="","",VLOOKUP(A71,Koosseisud!$J:$K,2,FALSE))</f>
        <v xml:space="preserve">Martin Kraiko </v>
      </c>
      <c r="C71" t="str">
        <f>IF(Protokoll_5p!E123=0,"",Protokoll_5p!E123)</f>
        <v>Maksim VUHKA</v>
      </c>
      <c r="D71" t="str">
        <f>IF(C71="","",VLOOKUP(C71,Koosseisud!$J:$K,2,FALSE))</f>
        <v>Maksim Vuhka</v>
      </c>
      <c r="E71" t="str">
        <f>IF(Protokoll_5p!K123="","",Protokoll_5p!K123)</f>
        <v/>
      </c>
      <c r="F71" t="str">
        <f t="shared" si="5"/>
        <v>Maksim Vuhka</v>
      </c>
      <c r="G71" t="str">
        <f t="shared" si="6"/>
        <v xml:space="preserve">Martin Kraiko </v>
      </c>
      <c r="H71" t="str">
        <f t="shared" si="7"/>
        <v/>
      </c>
      <c r="O71" s="56" t="s">
        <v>254</v>
      </c>
      <c r="P71" s="50" t="s">
        <v>282</v>
      </c>
      <c r="Q71" t="str">
        <f>IF(Üldtabel!A98="","",Üldtabel!A98)</f>
        <v>7-3</v>
      </c>
      <c r="R71" t="str">
        <f>IF(Üldtabel!L98="","",Üldtabel!L98)</f>
        <v/>
      </c>
    </row>
    <row r="72" spans="1:18">
      <c r="A72" t="str">
        <f>IF(Protokoll_5p!C124=0,"",Protokoll_5p!C124)</f>
        <v>Kristjan KANT</v>
      </c>
      <c r="B72" t="str">
        <f>IF(A72="","",VLOOKUP(A72,Koosseisud!$J:$K,2,FALSE))</f>
        <v>Kristjan Kant</v>
      </c>
      <c r="C72" t="str">
        <f>IF(Protokoll_5p!E124=0,"",Protokoll_5p!E124)</f>
        <v>Daniel KOSIBA</v>
      </c>
      <c r="D72" t="str">
        <f>IF(C72="","",VLOOKUP(C72,Koosseisud!$J:$K,2,FALSE))</f>
        <v>Daniel Kosiba</v>
      </c>
      <c r="E72" t="str">
        <f>IF(Protokoll_5p!K124="","",Protokoll_5p!K124)</f>
        <v/>
      </c>
      <c r="F72" t="str">
        <f t="shared" si="5"/>
        <v>Daniel Kosiba</v>
      </c>
      <c r="G72" t="str">
        <f t="shared" si="6"/>
        <v>Kristjan Kant</v>
      </c>
      <c r="H72" t="str">
        <f t="shared" si="7"/>
        <v/>
      </c>
      <c r="O72" s="56" t="s">
        <v>255</v>
      </c>
      <c r="P72" s="50" t="s">
        <v>283</v>
      </c>
      <c r="Q72" t="str">
        <f>IF(Üldtabel!A99="","",Üldtabel!A99)</f>
        <v>8-2</v>
      </c>
      <c r="R72" t="str">
        <f>IF(Üldtabel!L99="","",Üldtabel!L99)</f>
        <v/>
      </c>
    </row>
    <row r="73" spans="1:18">
      <c r="A73" t="str">
        <f>IF(Protokoll_5p!C125=0,"",Protokoll_5p!C125)</f>
        <v>Jorma LAHTINEN</v>
      </c>
      <c r="B73" t="str">
        <f>IF(A73="","",VLOOKUP(A73,Koosseisud!$J:$K,2,FALSE))</f>
        <v>Jorma Lahtinen</v>
      </c>
      <c r="C73" t="str">
        <f>IF(Protokoll_5p!E125=0,"",Protokoll_5p!E125)</f>
        <v>Carlo ACCORSI</v>
      </c>
      <c r="D73" t="str">
        <f>IF(C73="","",VLOOKUP(C73,Koosseisud!$J:$K,2,FALSE))</f>
        <v>Carlo Accorsi</v>
      </c>
      <c r="E73" t="str">
        <f>IF(Protokoll_5p!K125="","",Protokoll_5p!K125)</f>
        <v/>
      </c>
      <c r="F73" t="str">
        <f t="shared" si="5"/>
        <v>Carlo Accorsi</v>
      </c>
      <c r="G73" t="str">
        <f t="shared" si="6"/>
        <v>Jorma Lahtinen</v>
      </c>
      <c r="H73" t="str">
        <f t="shared" si="7"/>
        <v/>
      </c>
      <c r="O73" s="56" t="s">
        <v>256</v>
      </c>
      <c r="P73" s="50" t="s">
        <v>284</v>
      </c>
      <c r="Q73" t="str">
        <f>IF(Üldtabel!A101="","",Üldtabel!A101)</f>
        <v>3-1</v>
      </c>
      <c r="R73" t="str">
        <f>IF(Üldtabel!L101="","",Üldtabel!L101)</f>
        <v/>
      </c>
    </row>
    <row r="74" spans="1:18">
      <c r="E74" s="50"/>
      <c r="H74" t="str">
        <f t="shared" si="7"/>
        <v/>
      </c>
      <c r="O74" s="56" t="s">
        <v>257</v>
      </c>
      <c r="P74" s="50" t="s">
        <v>285</v>
      </c>
      <c r="Q74" t="str">
        <f>IF(Üldtabel!A102="","",Üldtabel!A102)</f>
        <v>4-2</v>
      </c>
      <c r="R74" t="str">
        <f>IF(Üldtabel!L102="","",Üldtabel!L102)</f>
        <v/>
      </c>
    </row>
    <row r="75" spans="1:18">
      <c r="E75" s="50"/>
      <c r="O75" s="56" t="s">
        <v>258</v>
      </c>
      <c r="P75" s="50" t="s">
        <v>286</v>
      </c>
      <c r="Q75" t="str">
        <f>IF(Üldtabel!A103="","",Üldtabel!A103)</f>
        <v>8-5</v>
      </c>
      <c r="R75" t="str">
        <f>IF(Üldtabel!L103="","",Üldtabel!L103)</f>
        <v/>
      </c>
    </row>
    <row r="76" spans="1:18">
      <c r="E76" s="50"/>
      <c r="O76" s="56" t="s">
        <v>259</v>
      </c>
      <c r="P76" s="50" t="s">
        <v>287</v>
      </c>
      <c r="Q76" t="str">
        <f>IF(Üldtabel!A104="","",Üldtabel!A104)</f>
        <v>7-6</v>
      </c>
      <c r="R76" t="str">
        <f>IF(Üldtabel!L104="","",Üldtabel!L104)</f>
        <v/>
      </c>
    </row>
    <row r="77" spans="1:18">
      <c r="E77" s="50"/>
      <c r="O77" s="56" t="s">
        <v>260</v>
      </c>
      <c r="P77" s="50" t="s">
        <v>288</v>
      </c>
      <c r="Q77" t="str">
        <f>IF(Üldtabel!A106="","",Üldtabel!A106)</f>
        <v>7-1</v>
      </c>
      <c r="R77" t="str">
        <f>IF(Üldtabel!L106="","",Üldtabel!L106)</f>
        <v/>
      </c>
    </row>
    <row r="78" spans="1:18">
      <c r="E78" s="50"/>
      <c r="O78" s="56" t="s">
        <v>261</v>
      </c>
      <c r="P78" s="50" t="s">
        <v>289</v>
      </c>
      <c r="Q78" t="str">
        <f>IF(Üldtabel!A107="","",Üldtabel!A107)</f>
        <v>8-6</v>
      </c>
      <c r="R78" t="str">
        <f>IF(Üldtabel!L107="","",Üldtabel!L107)</f>
        <v/>
      </c>
    </row>
    <row r="79" spans="1:18">
      <c r="E79" s="50"/>
      <c r="O79" s="56" t="s">
        <v>262</v>
      </c>
      <c r="P79" s="50" t="s">
        <v>290</v>
      </c>
      <c r="Q79" t="str">
        <f>IF(Üldtabel!A108="","",Üldtabel!A108)</f>
        <v>5-2</v>
      </c>
      <c r="R79" t="str">
        <f>IF(Üldtabel!L108="","",Üldtabel!L108)</f>
        <v/>
      </c>
    </row>
    <row r="80" spans="1:18">
      <c r="E80" s="50"/>
      <c r="O80" s="56" t="s">
        <v>263</v>
      </c>
      <c r="P80" s="50" t="s">
        <v>291</v>
      </c>
      <c r="Q80" t="str">
        <f>IF(Üldtabel!A109="","",Üldtabel!A109)</f>
        <v>4-3</v>
      </c>
      <c r="R80" t="str">
        <f>IF(Üldtabel!L109="","",Üldtabel!L109)</f>
        <v/>
      </c>
    </row>
    <row r="81" spans="1:18">
      <c r="A81" t="s">
        <v>107</v>
      </c>
      <c r="B81" t="s">
        <v>107</v>
      </c>
      <c r="E81" s="50"/>
      <c r="O81" s="56" t="s">
        <v>239</v>
      </c>
      <c r="P81" s="50" t="s">
        <v>292</v>
      </c>
      <c r="Q81" t="str">
        <f>IF(Üldtabel!A111="","",Üldtabel!A111)</f>
        <v>8-1</v>
      </c>
      <c r="R81" t="str">
        <f>IF(Üldtabel!L111="","",Üldtabel!L111)</f>
        <v/>
      </c>
    </row>
    <row r="82" spans="1:18">
      <c r="A82" t="s">
        <v>102</v>
      </c>
      <c r="B82" t="s">
        <v>102</v>
      </c>
      <c r="E82" s="50"/>
      <c r="O82" s="56" t="s">
        <v>264</v>
      </c>
      <c r="P82" s="50" t="s">
        <v>293</v>
      </c>
      <c r="Q82" t="str">
        <f>IF(Üldtabel!A112="","",Üldtabel!A112)</f>
        <v>7-2</v>
      </c>
      <c r="R82" t="str">
        <f>IF(Üldtabel!L112="","",Üldtabel!L112)</f>
        <v/>
      </c>
    </row>
    <row r="83" spans="1:18">
      <c r="A83" t="s">
        <v>105</v>
      </c>
      <c r="B83" t="s">
        <v>105</v>
      </c>
      <c r="E83" s="50"/>
      <c r="O83" s="56" t="s">
        <v>265</v>
      </c>
      <c r="P83" s="50" t="s">
        <v>294</v>
      </c>
      <c r="Q83" t="str">
        <f>IF(Üldtabel!A113="","",Üldtabel!A113)</f>
        <v>6-3</v>
      </c>
      <c r="R83" t="str">
        <f>IF(Üldtabel!L113="","",Üldtabel!L113)</f>
        <v/>
      </c>
    </row>
    <row r="84" spans="1:18">
      <c r="A84" t="s">
        <v>104</v>
      </c>
      <c r="B84" t="s">
        <v>107</v>
      </c>
      <c r="E84" s="50"/>
      <c r="O84" s="56" t="s">
        <v>266</v>
      </c>
      <c r="P84" s="50" t="s">
        <v>295</v>
      </c>
      <c r="Q84" t="str">
        <f>IF(Üldtabel!A114="","",Üldtabel!A114)</f>
        <v>5-4</v>
      </c>
      <c r="R84" t="str">
        <f>IF(Üldtabel!L114="","",Üldtabel!L114)</f>
        <v/>
      </c>
    </row>
    <row r="85" spans="1:18">
      <c r="A85" t="s">
        <v>106</v>
      </c>
      <c r="B85" t="s">
        <v>102</v>
      </c>
      <c r="E85" s="50"/>
      <c r="O85" s="50" t="s">
        <v>268</v>
      </c>
      <c r="P85" s="60" t="s">
        <v>240</v>
      </c>
      <c r="Q85" s="72" t="str">
        <f>IF(Q57="","",VLOOKUP(Q57,O:P,2,FALSE))</f>
        <v>1-2</v>
      </c>
      <c r="R85" t="str">
        <f>IF(R57="","",VLOOKUP(R57,T:U,2,FALSE))</f>
        <v>4:2</v>
      </c>
    </row>
    <row r="86" spans="1:18">
      <c r="A86" t="s">
        <v>103</v>
      </c>
      <c r="B86" t="s">
        <v>105</v>
      </c>
      <c r="E86" s="50"/>
      <c r="O86" s="50" t="s">
        <v>269</v>
      </c>
      <c r="P86" s="56" t="s">
        <v>241</v>
      </c>
      <c r="Q86" s="72" t="str">
        <f t="shared" ref="Q86:Q112" si="8">IF(Q58="","",VLOOKUP(Q58,O:P,2,FALSE))</f>
        <v>3-8</v>
      </c>
      <c r="R86" t="str">
        <f t="shared" ref="R86:R112" si="9">IF(R58="","",VLOOKUP(R58,T:U,2,FALSE))</f>
        <v>4:1</v>
      </c>
    </row>
    <row r="87" spans="1:18">
      <c r="E87" s="50"/>
      <c r="O87" s="50" t="s">
        <v>270</v>
      </c>
      <c r="P87" s="56" t="s">
        <v>242</v>
      </c>
      <c r="Q87" s="72" t="str">
        <f t="shared" si="8"/>
        <v>4-7</v>
      </c>
      <c r="R87" t="str">
        <f t="shared" si="9"/>
        <v>4:2</v>
      </c>
    </row>
    <row r="88" spans="1:18">
      <c r="E88" s="50"/>
      <c r="O88" s="50" t="s">
        <v>271</v>
      </c>
      <c r="P88" s="56" t="s">
        <v>243</v>
      </c>
      <c r="Q88" s="72" t="str">
        <f t="shared" si="8"/>
        <v>5-6</v>
      </c>
      <c r="R88" t="str">
        <f t="shared" si="9"/>
        <v>1:4</v>
      </c>
    </row>
    <row r="89" spans="1:18">
      <c r="E89" s="50"/>
      <c r="O89" s="50" t="s">
        <v>272</v>
      </c>
      <c r="P89" s="56" t="s">
        <v>244</v>
      </c>
      <c r="Q89" s="72" t="str">
        <f t="shared" si="8"/>
        <v>1-6</v>
      </c>
      <c r="R89" t="str">
        <f t="shared" si="9"/>
        <v>4:0</v>
      </c>
    </row>
    <row r="90" spans="1:18">
      <c r="E90" s="50"/>
      <c r="O90" s="50" t="s">
        <v>273</v>
      </c>
      <c r="P90" s="56" t="s">
        <v>245</v>
      </c>
      <c r="Q90" s="72" t="str">
        <f t="shared" si="8"/>
        <v>5-7</v>
      </c>
      <c r="R90" t="str">
        <f t="shared" si="9"/>
        <v>0:4</v>
      </c>
    </row>
    <row r="91" spans="1:18">
      <c r="E91" s="50"/>
      <c r="O91" s="50" t="s">
        <v>274</v>
      </c>
      <c r="P91" s="56" t="s">
        <v>246</v>
      </c>
      <c r="Q91" s="72" t="str">
        <f t="shared" si="8"/>
        <v>4-8</v>
      </c>
      <c r="R91" t="str">
        <f t="shared" si="9"/>
        <v>4:3</v>
      </c>
    </row>
    <row r="92" spans="1:18">
      <c r="E92" s="50"/>
      <c r="O92" s="50" t="s">
        <v>275</v>
      </c>
      <c r="P92" s="56" t="s">
        <v>247</v>
      </c>
      <c r="Q92" s="72" t="str">
        <f t="shared" si="8"/>
        <v>2-3</v>
      </c>
      <c r="R92" t="str">
        <f t="shared" si="9"/>
        <v>4:2</v>
      </c>
    </row>
    <row r="93" spans="1:18">
      <c r="E93" s="50"/>
      <c r="O93" s="50" t="s">
        <v>276</v>
      </c>
      <c r="P93" s="56" t="s">
        <v>248</v>
      </c>
      <c r="Q93" s="72" t="str">
        <f t="shared" si="8"/>
        <v>1-4</v>
      </c>
      <c r="R93" t="str">
        <f t="shared" si="9"/>
        <v/>
      </c>
    </row>
    <row r="94" spans="1:18">
      <c r="E94" s="50"/>
      <c r="O94" s="50" t="s">
        <v>277</v>
      </c>
      <c r="P94" s="56" t="s">
        <v>249</v>
      </c>
      <c r="Q94" s="72" t="str">
        <f t="shared" si="8"/>
        <v>3-5</v>
      </c>
      <c r="R94" t="str">
        <f t="shared" si="9"/>
        <v/>
      </c>
    </row>
    <row r="95" spans="1:18">
      <c r="E95" s="50"/>
      <c r="O95" s="50" t="s">
        <v>278</v>
      </c>
      <c r="P95" s="56" t="s">
        <v>250</v>
      </c>
      <c r="Q95" s="72" t="str">
        <f t="shared" si="8"/>
        <v>2-6</v>
      </c>
      <c r="R95" t="str">
        <f t="shared" si="9"/>
        <v/>
      </c>
    </row>
    <row r="96" spans="1:18">
      <c r="E96" s="50"/>
      <c r="O96" s="50" t="s">
        <v>279</v>
      </c>
      <c r="P96" s="56" t="s">
        <v>251</v>
      </c>
      <c r="Q96" s="72" t="str">
        <f t="shared" si="8"/>
        <v>7-8</v>
      </c>
      <c r="R96" t="str">
        <f t="shared" si="9"/>
        <v/>
      </c>
    </row>
    <row r="97" spans="5:18">
      <c r="E97" s="50"/>
      <c r="O97" s="50" t="s">
        <v>280</v>
      </c>
      <c r="P97" s="56" t="s">
        <v>252</v>
      </c>
      <c r="Q97" s="72" t="str">
        <f t="shared" si="8"/>
        <v>1-5</v>
      </c>
      <c r="R97" t="str">
        <f t="shared" si="9"/>
        <v/>
      </c>
    </row>
    <row r="98" spans="5:18">
      <c r="E98" s="50"/>
      <c r="O98" s="50" t="s">
        <v>281</v>
      </c>
      <c r="P98" s="56" t="s">
        <v>253</v>
      </c>
      <c r="Q98" s="72" t="str">
        <f t="shared" si="8"/>
        <v>4-6</v>
      </c>
      <c r="R98" t="str">
        <f t="shared" si="9"/>
        <v/>
      </c>
    </row>
    <row r="99" spans="5:18">
      <c r="E99" s="50"/>
      <c r="O99" s="50" t="s">
        <v>282</v>
      </c>
      <c r="P99" s="56" t="s">
        <v>254</v>
      </c>
      <c r="Q99" s="72" t="str">
        <f t="shared" si="8"/>
        <v>3-7</v>
      </c>
      <c r="R99" t="str">
        <f t="shared" si="9"/>
        <v/>
      </c>
    </row>
    <row r="100" spans="5:18">
      <c r="E100" s="50"/>
      <c r="O100" s="50" t="s">
        <v>283</v>
      </c>
      <c r="P100" s="56" t="s">
        <v>255</v>
      </c>
      <c r="Q100" s="72" t="str">
        <f t="shared" si="8"/>
        <v>2-8</v>
      </c>
      <c r="R100" t="str">
        <f t="shared" si="9"/>
        <v/>
      </c>
    </row>
    <row r="101" spans="5:18">
      <c r="E101" s="50"/>
      <c r="O101" s="50" t="s">
        <v>284</v>
      </c>
      <c r="P101" s="56" t="s">
        <v>256</v>
      </c>
      <c r="Q101" s="72" t="str">
        <f t="shared" si="8"/>
        <v>1-3</v>
      </c>
      <c r="R101" t="str">
        <f t="shared" si="9"/>
        <v/>
      </c>
    </row>
    <row r="102" spans="5:18">
      <c r="E102" s="50"/>
      <c r="O102" s="50" t="s">
        <v>285</v>
      </c>
      <c r="P102" s="56" t="s">
        <v>257</v>
      </c>
      <c r="Q102" s="72" t="str">
        <f t="shared" si="8"/>
        <v>2-4</v>
      </c>
      <c r="R102" t="str">
        <f t="shared" si="9"/>
        <v/>
      </c>
    </row>
    <row r="103" spans="5:18">
      <c r="E103" s="50"/>
      <c r="O103" s="50" t="s">
        <v>286</v>
      </c>
      <c r="P103" s="56" t="s">
        <v>258</v>
      </c>
      <c r="Q103" s="72" t="str">
        <f t="shared" si="8"/>
        <v>5-8</v>
      </c>
      <c r="R103" t="str">
        <f t="shared" si="9"/>
        <v/>
      </c>
    </row>
    <row r="104" spans="5:18">
      <c r="E104" s="50"/>
      <c r="O104" s="50" t="s">
        <v>287</v>
      </c>
      <c r="P104" s="56" t="s">
        <v>259</v>
      </c>
      <c r="Q104" s="72" t="str">
        <f t="shared" si="8"/>
        <v>6-7</v>
      </c>
      <c r="R104" t="str">
        <f t="shared" si="9"/>
        <v/>
      </c>
    </row>
    <row r="105" spans="5:18">
      <c r="E105" s="50"/>
      <c r="O105" s="50" t="s">
        <v>288</v>
      </c>
      <c r="P105" s="56" t="s">
        <v>260</v>
      </c>
      <c r="Q105" s="72" t="str">
        <f t="shared" si="8"/>
        <v>1-7</v>
      </c>
      <c r="R105" t="str">
        <f t="shared" si="9"/>
        <v/>
      </c>
    </row>
    <row r="106" spans="5:18">
      <c r="E106" s="50"/>
      <c r="O106" s="50" t="s">
        <v>289</v>
      </c>
      <c r="P106" s="56" t="s">
        <v>261</v>
      </c>
      <c r="Q106" s="72" t="str">
        <f t="shared" si="8"/>
        <v>6-8</v>
      </c>
      <c r="R106" t="str">
        <f t="shared" si="9"/>
        <v/>
      </c>
    </row>
    <row r="107" spans="5:18">
      <c r="E107" s="50"/>
      <c r="O107" s="50" t="s">
        <v>290</v>
      </c>
      <c r="P107" s="56" t="s">
        <v>262</v>
      </c>
      <c r="Q107" s="72" t="str">
        <f t="shared" si="8"/>
        <v>2-5</v>
      </c>
      <c r="R107" t="str">
        <f t="shared" si="9"/>
        <v/>
      </c>
    </row>
    <row r="108" spans="5:18">
      <c r="E108" s="50"/>
      <c r="O108" s="50" t="s">
        <v>291</v>
      </c>
      <c r="P108" s="56" t="s">
        <v>263</v>
      </c>
      <c r="Q108" s="72" t="str">
        <f t="shared" si="8"/>
        <v>3-4</v>
      </c>
      <c r="R108" t="str">
        <f t="shared" si="9"/>
        <v/>
      </c>
    </row>
    <row r="109" spans="5:18">
      <c r="E109" s="50"/>
      <c r="O109" s="50" t="s">
        <v>292</v>
      </c>
      <c r="P109" s="56" t="s">
        <v>239</v>
      </c>
      <c r="Q109" s="72" t="str">
        <f t="shared" si="8"/>
        <v>1-8</v>
      </c>
      <c r="R109" t="str">
        <f t="shared" si="9"/>
        <v/>
      </c>
    </row>
    <row r="110" spans="5:18">
      <c r="E110" s="50"/>
      <c r="O110" s="50" t="s">
        <v>293</v>
      </c>
      <c r="P110" s="56" t="s">
        <v>264</v>
      </c>
      <c r="Q110" s="72" t="str">
        <f t="shared" si="8"/>
        <v>2-7</v>
      </c>
      <c r="R110" t="str">
        <f t="shared" si="9"/>
        <v/>
      </c>
    </row>
    <row r="111" spans="5:18">
      <c r="E111" s="50"/>
      <c r="O111" s="50" t="s">
        <v>294</v>
      </c>
      <c r="P111" s="56" t="s">
        <v>265</v>
      </c>
      <c r="Q111" s="72" t="str">
        <f t="shared" si="8"/>
        <v>3-6</v>
      </c>
      <c r="R111" t="str">
        <f t="shared" si="9"/>
        <v/>
      </c>
    </row>
    <row r="112" spans="5:18">
      <c r="E112" s="50"/>
      <c r="O112" s="50" t="s">
        <v>295</v>
      </c>
      <c r="P112" s="56" t="s">
        <v>266</v>
      </c>
      <c r="Q112" s="72" t="str">
        <f t="shared" si="8"/>
        <v>4-5</v>
      </c>
      <c r="R112" t="str">
        <f t="shared" si="9"/>
        <v/>
      </c>
    </row>
    <row r="113" spans="5:5">
      <c r="E113" s="50"/>
    </row>
    <row r="114" spans="5:5">
      <c r="E114" s="50"/>
    </row>
    <row r="115" spans="5:5">
      <c r="E115" s="50"/>
    </row>
    <row r="116" spans="5:5">
      <c r="E116" s="50"/>
    </row>
    <row r="117" spans="5:5">
      <c r="E117" s="50"/>
    </row>
    <row r="118" spans="5:5">
      <c r="E118" s="50"/>
    </row>
    <row r="119" spans="5:5">
      <c r="E119" s="50"/>
    </row>
    <row r="120" spans="5:5">
      <c r="E120" s="50"/>
    </row>
    <row r="121" spans="5:5">
      <c r="E121" s="50"/>
    </row>
    <row r="122" spans="5:5">
      <c r="E122" s="50"/>
    </row>
    <row r="123" spans="5:5">
      <c r="E123" s="50"/>
    </row>
    <row r="124" spans="5:5">
      <c r="E124" s="50"/>
    </row>
    <row r="125" spans="5:5">
      <c r="E125" s="50"/>
    </row>
    <row r="126" spans="5:5">
      <c r="E126" s="50"/>
    </row>
    <row r="127" spans="5:5">
      <c r="E127" s="50"/>
    </row>
    <row r="128" spans="5:5">
      <c r="E128" s="50"/>
    </row>
    <row r="129" spans="5:5">
      <c r="E129" s="50"/>
    </row>
    <row r="130" spans="5:5">
      <c r="E130" s="50"/>
    </row>
    <row r="131" spans="5:5">
      <c r="E131" s="50"/>
    </row>
    <row r="132" spans="5:5">
      <c r="E132" s="50"/>
    </row>
    <row r="133" spans="5:5">
      <c r="E133" s="50"/>
    </row>
    <row r="134" spans="5:5">
      <c r="E134" s="50"/>
    </row>
    <row r="135" spans="5:5">
      <c r="E135" s="50"/>
    </row>
    <row r="136" spans="5:5">
      <c r="E136" s="50"/>
    </row>
    <row r="137" spans="5:5">
      <c r="E137" s="50"/>
    </row>
    <row r="138" spans="5:5">
      <c r="E138" s="50"/>
    </row>
    <row r="139" spans="5:5">
      <c r="E139" s="50"/>
    </row>
    <row r="140" spans="5:5">
      <c r="E140" s="50"/>
    </row>
    <row r="141" spans="5:5">
      <c r="E141" s="50"/>
    </row>
    <row r="142" spans="5:5">
      <c r="E142" s="50"/>
    </row>
    <row r="143" spans="5:5">
      <c r="E143" s="50"/>
    </row>
    <row r="144" spans="5:5">
      <c r="E144" s="50"/>
    </row>
    <row r="145" spans="5:5">
      <c r="E145" s="50"/>
    </row>
    <row r="146" spans="5:5">
      <c r="E146" s="50"/>
    </row>
    <row r="147" spans="5:5">
      <c r="E147" s="50"/>
    </row>
    <row r="148" spans="5:5">
      <c r="E148" s="50"/>
    </row>
    <row r="149" spans="5:5">
      <c r="E149" s="50"/>
    </row>
    <row r="150" spans="5:5">
      <c r="E150" s="50"/>
    </row>
    <row r="151" spans="5:5">
      <c r="E151" s="50"/>
    </row>
  </sheetData>
  <mergeCells count="2">
    <mergeCell ref="A1:B1"/>
    <mergeCell ref="C1:D1"/>
  </mergeCells>
  <phoneticPr fontId="31" type="noConversion"/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1:N286"/>
  <sheetViews>
    <sheetView workbookViewId="0">
      <selection activeCell="A2" sqref="A2"/>
    </sheetView>
  </sheetViews>
  <sheetFormatPr defaultColWidth="3.28515625" defaultRowHeight="15"/>
  <cols>
    <col min="1" max="1" width="3.28515625" customWidth="1"/>
    <col min="2" max="4" width="8.5703125" customWidth="1"/>
    <col min="5" max="6" width="8.5703125" style="52" customWidth="1"/>
    <col min="7" max="7" width="8.42578125" bestFit="1" customWidth="1"/>
    <col min="8" max="8" width="3.28515625" customWidth="1"/>
    <col min="9" max="14" width="8.42578125" bestFit="1" customWidth="1"/>
    <col min="15" max="15" width="1.5703125" customWidth="1"/>
  </cols>
  <sheetData>
    <row r="1" spans="2:14">
      <c r="B1" s="50"/>
      <c r="G1" t="s">
        <v>143</v>
      </c>
      <c r="N1" t="s">
        <v>144</v>
      </c>
    </row>
    <row r="2" spans="2:14">
      <c r="B2" s="1">
        <f>IF(Protokoll_1p!F8="","",IF(VALUE(LEFT(Protokoll_1p!F8,FIND(":",Protokoll_1p!F8)-1))&gt;VALUE(RIGHT(Protokoll_1p!F8,LEN(Protokoll_1p!F8)-FIND(":",Protokoll_1p!F8))),1,0))</f>
        <v>0</v>
      </c>
      <c r="C2" s="1">
        <f>IF(Protokoll_1p!G8="","",IF(VALUE(LEFT(Protokoll_1p!G8,FIND(":",Protokoll_1p!G8)-1))&gt;VALUE(RIGHT(Protokoll_1p!G8,LEN(Protokoll_1p!G8)-FIND(":",Protokoll_1p!G8))),1,0))</f>
        <v>0</v>
      </c>
      <c r="D2" s="1">
        <f>IF(Protokoll_1p!H8="","",IF(VALUE(LEFT(Protokoll_1p!H8,FIND(":",Protokoll_1p!H8)-1))&gt;VALUE(RIGHT(Protokoll_1p!H8,LEN(Protokoll_1p!H8)-FIND(":",Protokoll_1p!H8))),1,0))</f>
        <v>0</v>
      </c>
      <c r="E2" s="1" t="str">
        <f>IF(Protokoll_1p!I8="","",IF(VALUE(LEFT(Protokoll_1p!I8,FIND(":",Protokoll_1p!I8)-1))&gt;VALUE(RIGHT(Protokoll_1p!I8,LEN(Protokoll_1p!I8)-FIND(":",Protokoll_1p!I8))),1,0))</f>
        <v/>
      </c>
      <c r="F2" s="1" t="str">
        <f>IF(Protokoll_1p!J8="","",IF(VALUE(LEFT(Protokoll_1p!J8,FIND(":",Protokoll_1p!J8)-1))&gt;VALUE(RIGHT(Protokoll_1p!J8,LEN(Protokoll_1p!J8)-FIND(":",Protokoll_1p!J8))),1,0))</f>
        <v/>
      </c>
      <c r="G2" s="1">
        <f>IF(B2="","",SUM(B2:F2))</f>
        <v>0</v>
      </c>
      <c r="I2" s="1">
        <f>IF(Protokoll_1p!F8="","",IF(VALUE(LEFT(Protokoll_1p!F8,FIND(":",Protokoll_1p!F8)-1))&gt;VALUE(RIGHT(Protokoll_1p!F8,LEN(Protokoll_1p!F8)-FIND(":",Protokoll_1p!F8))),0,1))</f>
        <v>1</v>
      </c>
      <c r="J2" s="1">
        <f>IF(Protokoll_1p!G8="","",IF(VALUE(LEFT(Protokoll_1p!G8,FIND(":",Protokoll_1p!G8)-1))&gt;VALUE(RIGHT(Protokoll_1p!G8,LEN(Protokoll_1p!G8)-FIND(":",Protokoll_1p!G8))),0,1))</f>
        <v>1</v>
      </c>
      <c r="K2" s="1">
        <f>IF(Protokoll_1p!H8="","",IF(VALUE(LEFT(Protokoll_1p!H8,FIND(":",Protokoll_1p!H8)-1))&gt;VALUE(RIGHT(Protokoll_1p!H8,LEN(Protokoll_1p!H8)-FIND(":",Protokoll_1p!H8))),0,1))</f>
        <v>1</v>
      </c>
      <c r="L2" s="1" t="str">
        <f>IF(Protokoll_1p!I8="","",IF(VALUE(LEFT(Protokoll_1p!I8,FIND(":",Protokoll_1p!I8)-1))&gt;VALUE(RIGHT(Protokoll_1p!I8,LEN(Protokoll_1p!I8)-FIND(":",Protokoll_1p!I8))),0,1))</f>
        <v/>
      </c>
      <c r="M2" s="1" t="str">
        <f>IF(Protokoll_1p!J8="","",IF(VALUE(LEFT(Protokoll_1p!J8,FIND(":",Protokoll_1p!J8)-1))&gt;VALUE(RIGHT(Protokoll_1p!J8,LEN(Protokoll_1p!J8)-FIND(":",Protokoll_1p!J8))),0,1))</f>
        <v/>
      </c>
      <c r="N2" s="1">
        <f>IF(I2="","",SUM(I2:M2))</f>
        <v>3</v>
      </c>
    </row>
    <row r="3" spans="2:14">
      <c r="B3" s="1">
        <f>IF(Protokoll_1p!F9="","",IF(VALUE(LEFT(Protokoll_1p!F9,FIND(":",Protokoll_1p!F9)-1))&gt;VALUE(RIGHT(Protokoll_1p!F9,LEN(Protokoll_1p!F9)-FIND(":",Protokoll_1p!F9))),1,0))</f>
        <v>0</v>
      </c>
      <c r="C3" s="1">
        <f>IF(Protokoll_1p!G9="","",IF(VALUE(LEFT(Protokoll_1p!G9,FIND(":",Protokoll_1p!G9)-1))&gt;VALUE(RIGHT(Protokoll_1p!G9,LEN(Protokoll_1p!G9)-FIND(":",Protokoll_1p!G9))),1,0))</f>
        <v>0</v>
      </c>
      <c r="D3" s="1">
        <f>IF(Protokoll_1p!H9="","",IF(VALUE(LEFT(Protokoll_1p!H9,FIND(":",Protokoll_1p!H9)-1))&gt;VALUE(RIGHT(Protokoll_1p!H9,LEN(Protokoll_1p!H9)-FIND(":",Protokoll_1p!H9))),1,0))</f>
        <v>0</v>
      </c>
      <c r="E3" s="1" t="str">
        <f>IF(Protokoll_1p!I9="","",IF(VALUE(LEFT(Protokoll_1p!I9,FIND(":",Protokoll_1p!I9)-1))&gt;VALUE(RIGHT(Protokoll_1p!I9,LEN(Protokoll_1p!I9)-FIND(":",Protokoll_1p!I9))),1,0))</f>
        <v/>
      </c>
      <c r="F3" s="1" t="str">
        <f>IF(Protokoll_1p!J9="","",IF(VALUE(LEFT(Protokoll_1p!J9,FIND(":",Protokoll_1p!J9)-1))&gt;VALUE(RIGHT(Protokoll_1p!J9,LEN(Protokoll_1p!J9)-FIND(":",Protokoll_1p!J9))),1,0))</f>
        <v/>
      </c>
      <c r="G3" s="1">
        <f t="shared" ref="G3:G66" si="0">IF(B3="","",SUM(B3:F3))</f>
        <v>0</v>
      </c>
      <c r="I3" s="1">
        <f>IF(Protokoll_1p!F9="","",IF(VALUE(LEFT(Protokoll_1p!F9,FIND(":",Protokoll_1p!F9)-1))&gt;VALUE(RIGHT(Protokoll_1p!F9,LEN(Protokoll_1p!F9)-FIND(":",Protokoll_1p!F9))),0,1))</f>
        <v>1</v>
      </c>
      <c r="J3" s="1">
        <f>IF(Protokoll_1p!G9="","",IF(VALUE(LEFT(Protokoll_1p!G9,FIND(":",Protokoll_1p!G9)-1))&gt;VALUE(RIGHT(Protokoll_1p!G9,LEN(Protokoll_1p!G9)-FIND(":",Protokoll_1p!G9))),0,1))</f>
        <v>1</v>
      </c>
      <c r="K3" s="1">
        <f>IF(Protokoll_1p!H9="","",IF(VALUE(LEFT(Protokoll_1p!H9,FIND(":",Protokoll_1p!H9)-1))&gt;VALUE(RIGHT(Protokoll_1p!H9,LEN(Protokoll_1p!H9)-FIND(":",Protokoll_1p!H9))),0,1))</f>
        <v>1</v>
      </c>
      <c r="L3" s="1" t="str">
        <f>IF(Protokoll_1p!I9="","",IF(VALUE(LEFT(Protokoll_1p!I9,FIND(":",Protokoll_1p!I9)-1))&gt;VALUE(RIGHT(Protokoll_1p!I9,LEN(Protokoll_1p!I9)-FIND(":",Protokoll_1p!I9))),0,1))</f>
        <v/>
      </c>
      <c r="M3" s="1" t="str">
        <f>IF(Protokoll_1p!J9="","",IF(VALUE(LEFT(Protokoll_1p!J9,FIND(":",Protokoll_1p!J9)-1))&gt;VALUE(RIGHT(Protokoll_1p!J9,LEN(Protokoll_1p!J9)-FIND(":",Protokoll_1p!J9))),0,1))</f>
        <v/>
      </c>
      <c r="N3" s="1">
        <f t="shared" ref="N3:N66" si="1">IF(I3="","",SUM(I3:M3))</f>
        <v>3</v>
      </c>
    </row>
    <row r="4" spans="2:14">
      <c r="B4" s="1">
        <f>IF(Protokoll_1p!F10="","",IF(VALUE(LEFT(Protokoll_1p!F10,FIND(":",Protokoll_1p!F10)-1))&gt;VALUE(RIGHT(Protokoll_1p!F10,LEN(Protokoll_1p!F10)-FIND(":",Protokoll_1p!F10))),1,0))</f>
        <v>0</v>
      </c>
      <c r="C4" s="1">
        <f>IF(Protokoll_1p!G10="","",IF(VALUE(LEFT(Protokoll_1p!G10,FIND(":",Protokoll_1p!G10)-1))&gt;VALUE(RIGHT(Protokoll_1p!G10,LEN(Protokoll_1p!G10)-FIND(":",Protokoll_1p!G10))),1,0))</f>
        <v>0</v>
      </c>
      <c r="D4" s="1">
        <f>IF(Protokoll_1p!H10="","",IF(VALUE(LEFT(Protokoll_1p!H10,FIND(":",Protokoll_1p!H10)-1))&gt;VALUE(RIGHT(Protokoll_1p!H10,LEN(Protokoll_1p!H10)-FIND(":",Protokoll_1p!H10))),1,0))</f>
        <v>0</v>
      </c>
      <c r="E4" s="1" t="str">
        <f>IF(Protokoll_1p!I10="","",IF(VALUE(LEFT(Protokoll_1p!I10,FIND(":",Protokoll_1p!I10)-1))&gt;VALUE(RIGHT(Protokoll_1p!I10,LEN(Protokoll_1p!I10)-FIND(":",Protokoll_1p!I10))),1,0))</f>
        <v/>
      </c>
      <c r="F4" s="1" t="str">
        <f>IF(Protokoll_1p!J10="","",IF(VALUE(LEFT(Protokoll_1p!J10,FIND(":",Protokoll_1p!J10)-1))&gt;VALUE(RIGHT(Protokoll_1p!J10,LEN(Protokoll_1p!J10)-FIND(":",Protokoll_1p!J10))),1,0))</f>
        <v/>
      </c>
      <c r="G4" s="1">
        <f t="shared" si="0"/>
        <v>0</v>
      </c>
      <c r="I4" s="1">
        <f>IF(Protokoll_1p!F10="","",IF(VALUE(LEFT(Protokoll_1p!F10,FIND(":",Protokoll_1p!F10)-1))&gt;VALUE(RIGHT(Protokoll_1p!F10,LEN(Protokoll_1p!F10)-FIND(":",Protokoll_1p!F10))),0,1))</f>
        <v>1</v>
      </c>
      <c r="J4" s="1">
        <f>IF(Protokoll_1p!G10="","",IF(VALUE(LEFT(Protokoll_1p!G10,FIND(":",Protokoll_1p!G10)-1))&gt;VALUE(RIGHT(Protokoll_1p!G10,LEN(Protokoll_1p!G10)-FIND(":",Protokoll_1p!G10))),0,1))</f>
        <v>1</v>
      </c>
      <c r="K4" s="1">
        <f>IF(Protokoll_1p!H10="","",IF(VALUE(LEFT(Protokoll_1p!H10,FIND(":",Protokoll_1p!H10)-1))&gt;VALUE(RIGHT(Protokoll_1p!H10,LEN(Protokoll_1p!H10)-FIND(":",Protokoll_1p!H10))),0,1))</f>
        <v>1</v>
      </c>
      <c r="L4" s="1" t="str">
        <f>IF(Protokoll_1p!I10="","",IF(VALUE(LEFT(Protokoll_1p!I10,FIND(":",Protokoll_1p!I10)-1))&gt;VALUE(RIGHT(Protokoll_1p!I10,LEN(Protokoll_1p!I10)-FIND(":",Protokoll_1p!I10))),0,1))</f>
        <v/>
      </c>
      <c r="M4" s="1" t="str">
        <f>IF(Protokoll_1p!J10="","",IF(VALUE(LEFT(Protokoll_1p!J10,FIND(":",Protokoll_1p!J10)-1))&gt;VALUE(RIGHT(Protokoll_1p!J10,LEN(Protokoll_1p!J10)-FIND(":",Protokoll_1p!J10))),0,1))</f>
        <v/>
      </c>
      <c r="N4" s="1">
        <f t="shared" si="1"/>
        <v>3</v>
      </c>
    </row>
    <row r="5" spans="2:14">
      <c r="B5" s="1">
        <f>IF(Protokoll_1p!F11="","",IF(VALUE(LEFT(Protokoll_1p!F11,FIND(":",Protokoll_1p!F11)-1))&gt;VALUE(RIGHT(Protokoll_1p!F11,LEN(Protokoll_1p!F11)-FIND(":",Protokoll_1p!F11))),1,0))</f>
        <v>0</v>
      </c>
      <c r="C5" s="1">
        <f>IF(Protokoll_1p!G11="","",IF(VALUE(LEFT(Protokoll_1p!G11,FIND(":",Protokoll_1p!G11)-1))&gt;VALUE(RIGHT(Protokoll_1p!G11,LEN(Protokoll_1p!G11)-FIND(":",Protokoll_1p!G11))),1,0))</f>
        <v>1</v>
      </c>
      <c r="D5" s="1">
        <f>IF(Protokoll_1p!H11="","",IF(VALUE(LEFT(Protokoll_1p!H11,FIND(":",Protokoll_1p!H11)-1))&gt;VALUE(RIGHT(Protokoll_1p!H11,LEN(Protokoll_1p!H11)-FIND(":",Protokoll_1p!H11))),1,0))</f>
        <v>0</v>
      </c>
      <c r="E5" s="1">
        <f>IF(Protokoll_1p!I11="","",IF(VALUE(LEFT(Protokoll_1p!I11,FIND(":",Protokoll_1p!I11)-1))&gt;VALUE(RIGHT(Protokoll_1p!I11,LEN(Protokoll_1p!I11)-FIND(":",Protokoll_1p!I11))),1,0))</f>
        <v>0</v>
      </c>
      <c r="F5" s="1" t="str">
        <f>IF(Protokoll_1p!J11="","",IF(VALUE(LEFT(Protokoll_1p!J11,FIND(":",Protokoll_1p!J11)-1))&gt;VALUE(RIGHT(Protokoll_1p!J11,LEN(Protokoll_1p!J11)-FIND(":",Protokoll_1p!J11))),1,0))</f>
        <v/>
      </c>
      <c r="G5" s="1">
        <f t="shared" si="0"/>
        <v>1</v>
      </c>
      <c r="I5" s="1">
        <f>IF(Protokoll_1p!F11="","",IF(VALUE(LEFT(Protokoll_1p!F11,FIND(":",Protokoll_1p!F11)-1))&gt;VALUE(RIGHT(Protokoll_1p!F11,LEN(Protokoll_1p!F11)-FIND(":",Protokoll_1p!F11))),0,1))</f>
        <v>1</v>
      </c>
      <c r="J5" s="1">
        <f>IF(Protokoll_1p!G11="","",IF(VALUE(LEFT(Protokoll_1p!G11,FIND(":",Protokoll_1p!G11)-1))&gt;VALUE(RIGHT(Protokoll_1p!G11,LEN(Protokoll_1p!G11)-FIND(":",Protokoll_1p!G11))),0,1))</f>
        <v>0</v>
      </c>
      <c r="K5" s="1">
        <f>IF(Protokoll_1p!H11="","",IF(VALUE(LEFT(Protokoll_1p!H11,FIND(":",Protokoll_1p!H11)-1))&gt;VALUE(RIGHT(Protokoll_1p!H11,LEN(Protokoll_1p!H11)-FIND(":",Protokoll_1p!H11))),0,1))</f>
        <v>1</v>
      </c>
      <c r="L5" s="1">
        <f>IF(Protokoll_1p!I11="","",IF(VALUE(LEFT(Protokoll_1p!I11,FIND(":",Protokoll_1p!I11)-1))&gt;VALUE(RIGHT(Protokoll_1p!I11,LEN(Protokoll_1p!I11)-FIND(":",Protokoll_1p!I11))),0,1))</f>
        <v>1</v>
      </c>
      <c r="M5" s="1" t="str">
        <f>IF(Protokoll_1p!J11="","",IF(VALUE(LEFT(Protokoll_1p!J11,FIND(":",Protokoll_1p!J11)-1))&gt;VALUE(RIGHT(Protokoll_1p!J11,LEN(Protokoll_1p!J11)-FIND(":",Protokoll_1p!J11))),0,1))</f>
        <v/>
      </c>
      <c r="N5" s="1">
        <f t="shared" si="1"/>
        <v>3</v>
      </c>
    </row>
    <row r="6" spans="2:14">
      <c r="B6" s="1" t="str">
        <f>IF(Protokoll_1p!F12="","",IF(VALUE(LEFT(Protokoll_1p!F12,FIND(":",Protokoll_1p!F12)-1))&gt;VALUE(RIGHT(Protokoll_1p!F12,LEN(Protokoll_1p!F12)-FIND(":",Protokoll_1p!F12))),1,0))</f>
        <v/>
      </c>
      <c r="C6" s="1" t="str">
        <f>IF(Protokoll_1p!G12="","",IF(VALUE(LEFT(Protokoll_1p!G12,FIND(":",Protokoll_1p!G12)-1))&gt;VALUE(RIGHT(Protokoll_1p!G12,LEN(Protokoll_1p!G12)-FIND(":",Protokoll_1p!G12))),1,0))</f>
        <v/>
      </c>
      <c r="D6" s="1" t="str">
        <f>IF(Protokoll_1p!H12="","",IF(VALUE(LEFT(Protokoll_1p!H12,FIND(":",Protokoll_1p!H12)-1))&gt;VALUE(RIGHT(Protokoll_1p!H12,LEN(Protokoll_1p!H12)-FIND(":",Protokoll_1p!H12))),1,0))</f>
        <v/>
      </c>
      <c r="E6" s="1" t="str">
        <f>IF(Protokoll_1p!I12="","",IF(VALUE(LEFT(Protokoll_1p!I12,FIND(":",Protokoll_1p!I12)-1))&gt;VALUE(RIGHT(Protokoll_1p!I12,LEN(Protokoll_1p!I12)-FIND(":",Protokoll_1p!I12))),1,0))</f>
        <v/>
      </c>
      <c r="F6" s="1" t="str">
        <f>IF(Protokoll_1p!J12="","",IF(VALUE(LEFT(Protokoll_1p!J12,FIND(":",Protokoll_1p!J12)-1))&gt;VALUE(RIGHT(Protokoll_1p!J12,LEN(Protokoll_1p!J12)-FIND(":",Protokoll_1p!J12))),1,0))</f>
        <v/>
      </c>
      <c r="G6" s="1" t="str">
        <f t="shared" si="0"/>
        <v/>
      </c>
      <c r="I6" s="1" t="str">
        <f>IF(Protokoll_1p!F12="","",IF(VALUE(LEFT(Protokoll_1p!F12,FIND(":",Protokoll_1p!F12)-1))&gt;VALUE(RIGHT(Protokoll_1p!F12,LEN(Protokoll_1p!F12)-FIND(":",Protokoll_1p!F12))),0,1))</f>
        <v/>
      </c>
      <c r="J6" s="1" t="str">
        <f>IF(Protokoll_1p!G12="","",IF(VALUE(LEFT(Protokoll_1p!G12,FIND(":",Protokoll_1p!G12)-1))&gt;VALUE(RIGHT(Protokoll_1p!G12,LEN(Protokoll_1p!G12)-FIND(":",Protokoll_1p!G12))),0,1))</f>
        <v/>
      </c>
      <c r="K6" s="1" t="str">
        <f>IF(Protokoll_1p!H12="","",IF(VALUE(LEFT(Protokoll_1p!H12,FIND(":",Protokoll_1p!H12)-1))&gt;VALUE(RIGHT(Protokoll_1p!H12,LEN(Protokoll_1p!H12)-FIND(":",Protokoll_1p!H12))),0,1))</f>
        <v/>
      </c>
      <c r="L6" s="1" t="str">
        <f>IF(Protokoll_1p!I12="","",IF(VALUE(LEFT(Protokoll_1p!I12,FIND(":",Protokoll_1p!I12)-1))&gt;VALUE(RIGHT(Protokoll_1p!I12,LEN(Protokoll_1p!I12)-FIND(":",Protokoll_1p!I12))),0,1))</f>
        <v/>
      </c>
      <c r="M6" s="1" t="str">
        <f>IF(Protokoll_1p!J12="","",IF(VALUE(LEFT(Protokoll_1p!J12,FIND(":",Protokoll_1p!J12)-1))&gt;VALUE(RIGHT(Protokoll_1p!J12,LEN(Protokoll_1p!J12)-FIND(":",Protokoll_1p!J12))),0,1))</f>
        <v/>
      </c>
      <c r="N6" s="1" t="str">
        <f t="shared" si="1"/>
        <v/>
      </c>
    </row>
    <row r="7" spans="2:14">
      <c r="B7" s="1" t="str">
        <f>IF(Protokoll_1p!F13="","",IF(VALUE(LEFT(Protokoll_1p!F13,FIND(":",Protokoll_1p!F13)-1))&gt;VALUE(RIGHT(Protokoll_1p!F13,LEN(Protokoll_1p!F13)-FIND(":",Protokoll_1p!F13))),1,0))</f>
        <v/>
      </c>
      <c r="C7" s="1" t="str">
        <f>IF(Protokoll_1p!G13="","",IF(VALUE(LEFT(Protokoll_1p!G13,FIND(":",Protokoll_1p!G13)-1))&gt;VALUE(RIGHT(Protokoll_1p!G13,LEN(Protokoll_1p!G13)-FIND(":",Protokoll_1p!G13))),1,0))</f>
        <v/>
      </c>
      <c r="D7" s="1" t="str">
        <f>IF(Protokoll_1p!H13="","",IF(VALUE(LEFT(Protokoll_1p!H13,FIND(":",Protokoll_1p!H13)-1))&gt;VALUE(RIGHT(Protokoll_1p!H13,LEN(Protokoll_1p!H13)-FIND(":",Protokoll_1p!H13))),1,0))</f>
        <v/>
      </c>
      <c r="E7" s="1" t="str">
        <f>IF(Protokoll_1p!I13="","",IF(VALUE(LEFT(Protokoll_1p!I13,FIND(":",Protokoll_1p!I13)-1))&gt;VALUE(RIGHT(Protokoll_1p!I13,LEN(Protokoll_1p!I13)-FIND(":",Protokoll_1p!I13))),1,0))</f>
        <v/>
      </c>
      <c r="F7" s="1" t="str">
        <f>IF(Protokoll_1p!J13="","",IF(VALUE(LEFT(Protokoll_1p!J13,FIND(":",Protokoll_1p!J13)-1))&gt;VALUE(RIGHT(Protokoll_1p!J13,LEN(Protokoll_1p!J13)-FIND(":",Protokoll_1p!J13))),1,0))</f>
        <v/>
      </c>
      <c r="G7" s="1" t="str">
        <f t="shared" si="0"/>
        <v/>
      </c>
      <c r="I7" s="1" t="str">
        <f>IF(Protokoll_1p!F13="","",IF(VALUE(LEFT(Protokoll_1p!F13,FIND(":",Protokoll_1p!F13)-1))&gt;VALUE(RIGHT(Protokoll_1p!F13,LEN(Protokoll_1p!F13)-FIND(":",Protokoll_1p!F13))),0,1))</f>
        <v/>
      </c>
      <c r="J7" s="1" t="str">
        <f>IF(Protokoll_1p!G13="","",IF(VALUE(LEFT(Protokoll_1p!G13,FIND(":",Protokoll_1p!G13)-1))&gt;VALUE(RIGHT(Protokoll_1p!G13,LEN(Protokoll_1p!G13)-FIND(":",Protokoll_1p!G13))),0,1))</f>
        <v/>
      </c>
      <c r="K7" s="1" t="str">
        <f>IF(Protokoll_1p!H13="","",IF(VALUE(LEFT(Protokoll_1p!H13,FIND(":",Protokoll_1p!H13)-1))&gt;VALUE(RIGHT(Protokoll_1p!H13,LEN(Protokoll_1p!H13)-FIND(":",Protokoll_1p!H13))),0,1))</f>
        <v/>
      </c>
      <c r="L7" s="1" t="str">
        <f>IF(Protokoll_1p!I13="","",IF(VALUE(LEFT(Protokoll_1p!I13,FIND(":",Protokoll_1p!I13)-1))&gt;VALUE(RIGHT(Protokoll_1p!I13,LEN(Protokoll_1p!I13)-FIND(":",Protokoll_1p!I13))),0,1))</f>
        <v/>
      </c>
      <c r="M7" s="1" t="str">
        <f>IF(Protokoll_1p!J13="","",IF(VALUE(LEFT(Protokoll_1p!J13,FIND(":",Protokoll_1p!J13)-1))&gt;VALUE(RIGHT(Protokoll_1p!J13,LEN(Protokoll_1p!J13)-FIND(":",Protokoll_1p!J13))),0,1))</f>
        <v/>
      </c>
      <c r="N7" s="1" t="str">
        <f t="shared" si="1"/>
        <v/>
      </c>
    </row>
    <row r="8" spans="2:14">
      <c r="B8" s="1" t="str">
        <f>IF(Protokoll_1p!F14="","",IF(VALUE(LEFT(Protokoll_1p!F14,FIND(":",Protokoll_1p!F14)-1))&gt;VALUE(RIGHT(Protokoll_1p!F14,LEN(Protokoll_1p!F14)-FIND(":",Protokoll_1p!F14))),1,0))</f>
        <v/>
      </c>
      <c r="C8" s="1" t="str">
        <f>IF(Protokoll_1p!G14="","",IF(VALUE(LEFT(Protokoll_1p!G14,FIND(":",Protokoll_1p!G14)-1))&gt;VALUE(RIGHT(Protokoll_1p!G14,LEN(Protokoll_1p!G14)-FIND(":",Protokoll_1p!G14))),1,0))</f>
        <v/>
      </c>
      <c r="D8" s="1" t="str">
        <f>IF(Protokoll_1p!H14="","",IF(VALUE(LEFT(Protokoll_1p!H14,FIND(":",Protokoll_1p!H14)-1))&gt;VALUE(RIGHT(Protokoll_1p!H14,LEN(Protokoll_1p!H14)-FIND(":",Protokoll_1p!H14))),1,0))</f>
        <v/>
      </c>
      <c r="E8" s="1" t="str">
        <f>IF(Protokoll_1p!I14="","",IF(VALUE(LEFT(Protokoll_1p!I14,FIND(":",Protokoll_1p!I14)-1))&gt;VALUE(RIGHT(Protokoll_1p!I14,LEN(Protokoll_1p!I14)-FIND(":",Protokoll_1p!I14))),1,0))</f>
        <v/>
      </c>
      <c r="F8" s="1" t="str">
        <f>IF(Protokoll_1p!J14="","",IF(VALUE(LEFT(Protokoll_1p!J14,FIND(":",Protokoll_1p!J14)-1))&gt;VALUE(RIGHT(Protokoll_1p!J14,LEN(Protokoll_1p!J14)-FIND(":",Protokoll_1p!J14))),1,0))</f>
        <v/>
      </c>
      <c r="G8" s="1" t="str">
        <f t="shared" si="0"/>
        <v/>
      </c>
      <c r="I8" s="1" t="str">
        <f>IF(Protokoll_1p!F14="","",IF(VALUE(LEFT(Protokoll_1p!F14,FIND(":",Protokoll_1p!F14)-1))&gt;VALUE(RIGHT(Protokoll_1p!F14,LEN(Protokoll_1p!F14)-FIND(":",Protokoll_1p!F14))),0,1))</f>
        <v/>
      </c>
      <c r="J8" s="1" t="str">
        <f>IF(Protokoll_1p!G14="","",IF(VALUE(LEFT(Protokoll_1p!G14,FIND(":",Protokoll_1p!G14)-1))&gt;VALUE(RIGHT(Protokoll_1p!G14,LEN(Protokoll_1p!G14)-FIND(":",Protokoll_1p!G14))),0,1))</f>
        <v/>
      </c>
      <c r="K8" s="1" t="str">
        <f>IF(Protokoll_1p!H14="","",IF(VALUE(LEFT(Protokoll_1p!H14,FIND(":",Protokoll_1p!H14)-1))&gt;VALUE(RIGHT(Protokoll_1p!H14,LEN(Protokoll_1p!H14)-FIND(":",Protokoll_1p!H14))),0,1))</f>
        <v/>
      </c>
      <c r="L8" s="1" t="str">
        <f>IF(Protokoll_1p!I14="","",IF(VALUE(LEFT(Protokoll_1p!I14,FIND(":",Protokoll_1p!I14)-1))&gt;VALUE(RIGHT(Protokoll_1p!I14,LEN(Protokoll_1p!I14)-FIND(":",Protokoll_1p!I14))),0,1))</f>
        <v/>
      </c>
      <c r="M8" s="1" t="str">
        <f>IF(Protokoll_1p!J14="","",IF(VALUE(LEFT(Protokoll_1p!J14,FIND(":",Protokoll_1p!J14)-1))&gt;VALUE(RIGHT(Protokoll_1p!J14,LEN(Protokoll_1p!J14)-FIND(":",Protokoll_1p!J14))),0,1))</f>
        <v/>
      </c>
      <c r="N8" s="1" t="str">
        <f t="shared" si="1"/>
        <v/>
      </c>
    </row>
    <row r="9" spans="2:14">
      <c r="B9" s="1" t="str">
        <f>IF(Protokoll_1p!F15="","",IF(VALUE(LEFT(Protokoll_1p!F15,FIND(":",Protokoll_1p!F15)-1))&gt;VALUE(RIGHT(Protokoll_1p!F15,LEN(Protokoll_1p!F15)-FIND(":",Protokoll_1p!F15))),1,0))</f>
        <v/>
      </c>
      <c r="C9" s="1" t="str">
        <f>IF(Protokoll_1p!G15="","",IF(VALUE(LEFT(Protokoll_1p!G15,FIND(":",Protokoll_1p!G15)-1))&gt;VALUE(RIGHT(Protokoll_1p!G15,LEN(Protokoll_1p!G15)-FIND(":",Protokoll_1p!G15))),1,0))</f>
        <v/>
      </c>
      <c r="D9" s="1" t="str">
        <f>IF(Protokoll_1p!H15="","",IF(VALUE(LEFT(Protokoll_1p!H15,FIND(":",Protokoll_1p!H15)-1))&gt;VALUE(RIGHT(Protokoll_1p!H15,LEN(Protokoll_1p!H15)-FIND(":",Protokoll_1p!H15))),1,0))</f>
        <v/>
      </c>
      <c r="E9" s="1" t="str">
        <f>IF(Protokoll_1p!I15="","",IF(VALUE(LEFT(Protokoll_1p!I15,FIND(":",Protokoll_1p!I15)-1))&gt;VALUE(RIGHT(Protokoll_1p!I15,LEN(Protokoll_1p!I15)-FIND(":",Protokoll_1p!I15))),1,0))</f>
        <v/>
      </c>
      <c r="F9" s="1" t="str">
        <f>IF(Protokoll_1p!J15="","",IF(VALUE(LEFT(Protokoll_1p!J15,FIND(":",Protokoll_1p!J15)-1))&gt;VALUE(RIGHT(Protokoll_1p!J15,LEN(Protokoll_1p!J15)-FIND(":",Protokoll_1p!J15))),1,0))</f>
        <v/>
      </c>
      <c r="G9" s="1" t="str">
        <f t="shared" si="0"/>
        <v/>
      </c>
      <c r="I9" s="1" t="str">
        <f>IF(Protokoll_1p!F15="","",IF(VALUE(LEFT(Protokoll_1p!F15,FIND(":",Protokoll_1p!F15)-1))&gt;VALUE(RIGHT(Protokoll_1p!F15,LEN(Protokoll_1p!F15)-FIND(":",Protokoll_1p!F15))),0,1))</f>
        <v/>
      </c>
      <c r="J9" s="1" t="str">
        <f>IF(Protokoll_1p!G15="","",IF(VALUE(LEFT(Protokoll_1p!G15,FIND(":",Protokoll_1p!G15)-1))&gt;VALUE(RIGHT(Protokoll_1p!G15,LEN(Protokoll_1p!G15)-FIND(":",Protokoll_1p!G15))),0,1))</f>
        <v/>
      </c>
      <c r="K9" s="1" t="str">
        <f>IF(Protokoll_1p!H15="","",IF(VALUE(LEFT(Protokoll_1p!H15,FIND(":",Protokoll_1p!H15)-1))&gt;VALUE(RIGHT(Protokoll_1p!H15,LEN(Protokoll_1p!H15)-FIND(":",Protokoll_1p!H15))),0,1))</f>
        <v/>
      </c>
      <c r="L9" s="1" t="str">
        <f>IF(Protokoll_1p!I15="","",IF(VALUE(LEFT(Protokoll_1p!I15,FIND(":",Protokoll_1p!I15)-1))&gt;VALUE(RIGHT(Protokoll_1p!I15,LEN(Protokoll_1p!I15)-FIND(":",Protokoll_1p!I15))),0,1))</f>
        <v/>
      </c>
      <c r="M9" s="1" t="str">
        <f>IF(Protokoll_1p!J15="","",IF(VALUE(LEFT(Protokoll_1p!J15,FIND(":",Protokoll_1p!J15)-1))&gt;VALUE(RIGHT(Protokoll_1p!J15,LEN(Protokoll_1p!J15)-FIND(":",Protokoll_1p!J15))),0,1))</f>
        <v/>
      </c>
      <c r="N9" s="1" t="str">
        <f t="shared" si="1"/>
        <v/>
      </c>
    </row>
    <row r="10" spans="2:14">
      <c r="B10" s="1" t="str">
        <f>IF(Protokoll_1p!F16="","",IF(VALUE(LEFT(Protokoll_1p!F16,FIND(":",Protokoll_1p!F16)-1))&gt;VALUE(RIGHT(Protokoll_1p!F16,LEN(Protokoll_1p!F16)-FIND(":",Protokoll_1p!F16))),1,0))</f>
        <v/>
      </c>
      <c r="C10" s="1" t="str">
        <f>IF(Protokoll_1p!G16="","",IF(VALUE(LEFT(Protokoll_1p!G16,FIND(":",Protokoll_1p!G16)-1))&gt;VALUE(RIGHT(Protokoll_1p!G16,LEN(Protokoll_1p!G16)-FIND(":",Protokoll_1p!G16))),1,0))</f>
        <v/>
      </c>
      <c r="D10" s="1" t="str">
        <f>IF(Protokoll_1p!H16="","",IF(VALUE(LEFT(Protokoll_1p!H16,FIND(":",Protokoll_1p!H16)-1))&gt;VALUE(RIGHT(Protokoll_1p!H16,LEN(Protokoll_1p!H16)-FIND(":",Protokoll_1p!H16))),1,0))</f>
        <v/>
      </c>
      <c r="E10" s="1" t="str">
        <f>IF(Protokoll_1p!I16="","",IF(VALUE(LEFT(Protokoll_1p!I16,FIND(":",Protokoll_1p!I16)-1))&gt;VALUE(RIGHT(Protokoll_1p!I16,LEN(Protokoll_1p!I16)-FIND(":",Protokoll_1p!I16))),1,0))</f>
        <v/>
      </c>
      <c r="F10" s="1" t="str">
        <f>IF(Protokoll_1p!J16="","",IF(VALUE(LEFT(Protokoll_1p!J16,FIND(":",Protokoll_1p!J16)-1))&gt;VALUE(RIGHT(Protokoll_1p!J16,LEN(Protokoll_1p!J16)-FIND(":",Protokoll_1p!J16))),1,0))</f>
        <v/>
      </c>
      <c r="G10" s="1" t="str">
        <f t="shared" si="0"/>
        <v/>
      </c>
      <c r="I10" s="1" t="str">
        <f>IF(Protokoll_1p!F16="","",IF(VALUE(LEFT(Protokoll_1p!F16,FIND(":",Protokoll_1p!F16)-1))&gt;VALUE(RIGHT(Protokoll_1p!F16,LEN(Protokoll_1p!F16)-FIND(":",Protokoll_1p!F16))),0,1))</f>
        <v/>
      </c>
      <c r="J10" s="1" t="str">
        <f>IF(Protokoll_1p!G16="","",IF(VALUE(LEFT(Protokoll_1p!G16,FIND(":",Protokoll_1p!G16)-1))&gt;VALUE(RIGHT(Protokoll_1p!G16,LEN(Protokoll_1p!G16)-FIND(":",Protokoll_1p!G16))),0,1))</f>
        <v/>
      </c>
      <c r="K10" s="1" t="str">
        <f>IF(Protokoll_1p!H16="","",IF(VALUE(LEFT(Protokoll_1p!H16,FIND(":",Protokoll_1p!H16)-1))&gt;VALUE(RIGHT(Protokoll_1p!H16,LEN(Protokoll_1p!H16)-FIND(":",Protokoll_1p!H16))),0,1))</f>
        <v/>
      </c>
      <c r="L10" s="1" t="str">
        <f>IF(Protokoll_1p!I16="","",IF(VALUE(LEFT(Protokoll_1p!I16,FIND(":",Protokoll_1p!I16)-1))&gt;VALUE(RIGHT(Protokoll_1p!I16,LEN(Protokoll_1p!I16)-FIND(":",Protokoll_1p!I16))),0,1))</f>
        <v/>
      </c>
      <c r="M10" s="1" t="str">
        <f>IF(Protokoll_1p!J16="","",IF(VALUE(LEFT(Protokoll_1p!J16,FIND(":",Protokoll_1p!J16)-1))&gt;VALUE(RIGHT(Protokoll_1p!J16,LEN(Protokoll_1p!J16)-FIND(":",Protokoll_1p!J16))),0,1))</f>
        <v/>
      </c>
      <c r="N10" s="1" t="str">
        <f t="shared" si="1"/>
        <v/>
      </c>
    </row>
    <row r="11" spans="2:14">
      <c r="B11" s="1" t="e">
        <f>IF(Protokoll_1p!F17="","",IF(VALUE(LEFT(Protokoll_1p!F17,FIND(":",Protokoll_1p!F17)-1))&gt;VALUE(RIGHT(Protokoll_1p!F17,LEN(Protokoll_1p!F17)-FIND(":",Protokoll_1p!F17))),1,0))</f>
        <v>#VALUE!</v>
      </c>
      <c r="C11" s="1" t="e">
        <f>IF(Protokoll_1p!G17="","",IF(VALUE(LEFT(Protokoll_1p!G17,FIND(":",Protokoll_1p!G17)-1))&gt;VALUE(RIGHT(Protokoll_1p!G17,LEN(Protokoll_1p!G17)-FIND(":",Protokoll_1p!G17))),1,0))</f>
        <v>#VALUE!</v>
      </c>
      <c r="D11" s="1" t="e">
        <f>IF(Protokoll_1p!H17="","",IF(VALUE(LEFT(Protokoll_1p!H17,FIND(":",Protokoll_1p!H17)-1))&gt;VALUE(RIGHT(Protokoll_1p!H17,LEN(Protokoll_1p!H17)-FIND(":",Protokoll_1p!H17))),1,0))</f>
        <v>#VALUE!</v>
      </c>
      <c r="E11" s="1" t="e">
        <f>IF(Protokoll_1p!I17="","",IF(VALUE(LEFT(Protokoll_1p!I17,FIND(":",Protokoll_1p!I17)-1))&gt;VALUE(RIGHT(Protokoll_1p!I17,LEN(Protokoll_1p!I17)-FIND(":",Protokoll_1p!I17))),1,0))</f>
        <v>#VALUE!</v>
      </c>
      <c r="F11" s="1" t="e">
        <f>IF(Protokoll_1p!J17="","",IF(VALUE(LEFT(Protokoll_1p!J17,FIND(":",Protokoll_1p!J17)-1))&gt;VALUE(RIGHT(Protokoll_1p!J17,LEN(Protokoll_1p!J17)-FIND(":",Protokoll_1p!J17))),1,0))</f>
        <v>#VALUE!</v>
      </c>
      <c r="G11" s="1" t="e">
        <f t="shared" si="0"/>
        <v>#VALUE!</v>
      </c>
      <c r="I11" s="1" t="e">
        <f>IF(Protokoll_1p!F17="","",IF(VALUE(LEFT(Protokoll_1p!F17,FIND(":",Protokoll_1p!F17)-1))&gt;VALUE(RIGHT(Protokoll_1p!F17,LEN(Protokoll_1p!F17)-FIND(":",Protokoll_1p!F17))),0,1))</f>
        <v>#VALUE!</v>
      </c>
      <c r="J11" s="1" t="e">
        <f>IF(Protokoll_1p!G17="","",IF(VALUE(LEFT(Protokoll_1p!G17,FIND(":",Protokoll_1p!G17)-1))&gt;VALUE(RIGHT(Protokoll_1p!G17,LEN(Protokoll_1p!G17)-FIND(":",Protokoll_1p!G17))),0,1))</f>
        <v>#VALUE!</v>
      </c>
      <c r="K11" s="1" t="e">
        <f>IF(Protokoll_1p!H17="","",IF(VALUE(LEFT(Protokoll_1p!H17,FIND(":",Protokoll_1p!H17)-1))&gt;VALUE(RIGHT(Protokoll_1p!H17,LEN(Protokoll_1p!H17)-FIND(":",Protokoll_1p!H17))),0,1))</f>
        <v>#VALUE!</v>
      </c>
      <c r="L11" s="1" t="e">
        <f>IF(Protokoll_1p!I17="","",IF(VALUE(LEFT(Protokoll_1p!I17,FIND(":",Protokoll_1p!I17)-1))&gt;VALUE(RIGHT(Protokoll_1p!I17,LEN(Protokoll_1p!I17)-FIND(":",Protokoll_1p!I17))),0,1))</f>
        <v>#VALUE!</v>
      </c>
      <c r="M11" s="1" t="e">
        <f>IF(Protokoll_1p!J17="","",IF(VALUE(LEFT(Protokoll_1p!J17,FIND(":",Protokoll_1p!J17)-1))&gt;VALUE(RIGHT(Protokoll_1p!J17,LEN(Protokoll_1p!J17)-FIND(":",Protokoll_1p!J17))),0,1))</f>
        <v>#VALUE!</v>
      </c>
      <c r="N11" s="1" t="e">
        <f t="shared" si="1"/>
        <v>#VALUE!</v>
      </c>
    </row>
    <row r="12" spans="2:14">
      <c r="B12" s="1">
        <f>IF(Protokoll_1p!F18="","",IF(VALUE(LEFT(Protokoll_1p!F18,FIND(":",Protokoll_1p!F18)-1))&gt;VALUE(RIGHT(Protokoll_1p!F18,LEN(Protokoll_1p!F18)-FIND(":",Protokoll_1p!F18))),1,0))</f>
        <v>1</v>
      </c>
      <c r="C12" s="1">
        <f>IF(Protokoll_1p!G18="","",IF(VALUE(LEFT(Protokoll_1p!G18,FIND(":",Protokoll_1p!G18)-1))&gt;VALUE(RIGHT(Protokoll_1p!G18,LEN(Protokoll_1p!G18)-FIND(":",Protokoll_1p!G18))),1,0))</f>
        <v>1</v>
      </c>
      <c r="D12" s="1">
        <f>IF(Protokoll_1p!H18="","",IF(VALUE(LEFT(Protokoll_1p!H18,FIND(":",Protokoll_1p!H18)-1))&gt;VALUE(RIGHT(Protokoll_1p!H18,LEN(Protokoll_1p!H18)-FIND(":",Protokoll_1p!H18))),1,0))</f>
        <v>1</v>
      </c>
      <c r="E12" s="1" t="str">
        <f>IF(Protokoll_1p!I18="","",IF(VALUE(LEFT(Protokoll_1p!I18,FIND(":",Protokoll_1p!I18)-1))&gt;VALUE(RIGHT(Protokoll_1p!I18,LEN(Protokoll_1p!I18)-FIND(":",Protokoll_1p!I18))),1,0))</f>
        <v/>
      </c>
      <c r="F12" s="1" t="str">
        <f>IF(Protokoll_1p!J18="","",IF(VALUE(LEFT(Protokoll_1p!J18,FIND(":",Protokoll_1p!J18)-1))&gt;VALUE(RIGHT(Protokoll_1p!J18,LEN(Protokoll_1p!J18)-FIND(":",Protokoll_1p!J18))),1,0))</f>
        <v/>
      </c>
      <c r="G12" s="1">
        <f t="shared" si="0"/>
        <v>3</v>
      </c>
      <c r="I12" s="1">
        <f>IF(Protokoll_1p!F18="","",IF(VALUE(LEFT(Protokoll_1p!F18,FIND(":",Protokoll_1p!F18)-1))&gt;VALUE(RIGHT(Protokoll_1p!F18,LEN(Protokoll_1p!F18)-FIND(":",Protokoll_1p!F18))),0,1))</f>
        <v>0</v>
      </c>
      <c r="J12" s="1">
        <f>IF(Protokoll_1p!G18="","",IF(VALUE(LEFT(Protokoll_1p!G18,FIND(":",Protokoll_1p!G18)-1))&gt;VALUE(RIGHT(Protokoll_1p!G18,LEN(Protokoll_1p!G18)-FIND(":",Protokoll_1p!G18))),0,1))</f>
        <v>0</v>
      </c>
      <c r="K12" s="1">
        <f>IF(Protokoll_1p!H18="","",IF(VALUE(LEFT(Protokoll_1p!H18,FIND(":",Protokoll_1p!H18)-1))&gt;VALUE(RIGHT(Protokoll_1p!H18,LEN(Protokoll_1p!H18)-FIND(":",Protokoll_1p!H18))),0,1))</f>
        <v>0</v>
      </c>
      <c r="L12" s="1" t="str">
        <f>IF(Protokoll_1p!I18="","",IF(VALUE(LEFT(Protokoll_1p!I18,FIND(":",Protokoll_1p!I18)-1))&gt;VALUE(RIGHT(Protokoll_1p!I18,LEN(Protokoll_1p!I18)-FIND(":",Protokoll_1p!I18))),0,1))</f>
        <v/>
      </c>
      <c r="M12" s="1" t="str">
        <f>IF(Protokoll_1p!J18="","",IF(VALUE(LEFT(Protokoll_1p!J18,FIND(":",Protokoll_1p!J18)-1))&gt;VALUE(RIGHT(Protokoll_1p!J18,LEN(Protokoll_1p!J18)-FIND(":",Protokoll_1p!J18))),0,1))</f>
        <v/>
      </c>
      <c r="N12" s="1">
        <f t="shared" si="1"/>
        <v>0</v>
      </c>
    </row>
    <row r="13" spans="2:14">
      <c r="B13" s="1">
        <f>IF(Protokoll_1p!F19="","",IF(VALUE(LEFT(Protokoll_1p!F19,FIND(":",Protokoll_1p!F19)-1))&gt;VALUE(RIGHT(Protokoll_1p!F19,LEN(Protokoll_1p!F19)-FIND(":",Protokoll_1p!F19))),1,0))</f>
        <v>1</v>
      </c>
      <c r="C13" s="1">
        <f>IF(Protokoll_1p!G19="","",IF(VALUE(LEFT(Protokoll_1p!G19,FIND(":",Protokoll_1p!G19)-1))&gt;VALUE(RIGHT(Protokoll_1p!G19,LEN(Protokoll_1p!G19)-FIND(":",Protokoll_1p!G19))),1,0))</f>
        <v>1</v>
      </c>
      <c r="D13" s="1">
        <f>IF(Protokoll_1p!H19="","",IF(VALUE(LEFT(Protokoll_1p!H19,FIND(":",Protokoll_1p!H19)-1))&gt;VALUE(RIGHT(Protokoll_1p!H19,LEN(Protokoll_1p!H19)-FIND(":",Protokoll_1p!H19))),1,0))</f>
        <v>1</v>
      </c>
      <c r="E13" s="1" t="str">
        <f>IF(Protokoll_1p!I19="","",IF(VALUE(LEFT(Protokoll_1p!I19,FIND(":",Protokoll_1p!I19)-1))&gt;VALUE(RIGHT(Protokoll_1p!I19,LEN(Protokoll_1p!I19)-FIND(":",Protokoll_1p!I19))),1,0))</f>
        <v/>
      </c>
      <c r="F13" s="1" t="str">
        <f>IF(Protokoll_1p!J19="","",IF(VALUE(LEFT(Protokoll_1p!J19,FIND(":",Protokoll_1p!J19)-1))&gt;VALUE(RIGHT(Protokoll_1p!J19,LEN(Protokoll_1p!J19)-FIND(":",Protokoll_1p!J19))),1,0))</f>
        <v/>
      </c>
      <c r="G13" s="1">
        <f t="shared" si="0"/>
        <v>3</v>
      </c>
      <c r="I13" s="1">
        <f>IF(Protokoll_1p!F19="","",IF(VALUE(LEFT(Protokoll_1p!F19,FIND(":",Protokoll_1p!F19)-1))&gt;VALUE(RIGHT(Protokoll_1p!F19,LEN(Protokoll_1p!F19)-FIND(":",Protokoll_1p!F19))),0,1))</f>
        <v>0</v>
      </c>
      <c r="J13" s="1">
        <f>IF(Protokoll_1p!G19="","",IF(VALUE(LEFT(Protokoll_1p!G19,FIND(":",Protokoll_1p!G19)-1))&gt;VALUE(RIGHT(Protokoll_1p!G19,LEN(Protokoll_1p!G19)-FIND(":",Protokoll_1p!G19))),0,1))</f>
        <v>0</v>
      </c>
      <c r="K13" s="1">
        <f>IF(Protokoll_1p!H19="","",IF(VALUE(LEFT(Protokoll_1p!H19,FIND(":",Protokoll_1p!H19)-1))&gt;VALUE(RIGHT(Protokoll_1p!H19,LEN(Protokoll_1p!H19)-FIND(":",Protokoll_1p!H19))),0,1))</f>
        <v>0</v>
      </c>
      <c r="L13" s="1" t="str">
        <f>IF(Protokoll_1p!I19="","",IF(VALUE(LEFT(Protokoll_1p!I19,FIND(":",Protokoll_1p!I19)-1))&gt;VALUE(RIGHT(Protokoll_1p!I19,LEN(Protokoll_1p!I19)-FIND(":",Protokoll_1p!I19))),0,1))</f>
        <v/>
      </c>
      <c r="M13" s="1" t="str">
        <f>IF(Protokoll_1p!J19="","",IF(VALUE(LEFT(Protokoll_1p!J19,FIND(":",Protokoll_1p!J19)-1))&gt;VALUE(RIGHT(Protokoll_1p!J19,LEN(Protokoll_1p!J19)-FIND(":",Protokoll_1p!J19))),0,1))</f>
        <v/>
      </c>
      <c r="N13" s="1">
        <f t="shared" si="1"/>
        <v>0</v>
      </c>
    </row>
    <row r="14" spans="2:14">
      <c r="B14" s="1">
        <f>IF(Protokoll_1p!F20="","",IF(VALUE(LEFT(Protokoll_1p!F20,FIND(":",Protokoll_1p!F20)-1))&gt;VALUE(RIGHT(Protokoll_1p!F20,LEN(Protokoll_1p!F20)-FIND(":",Protokoll_1p!F20))),1,0))</f>
        <v>1</v>
      </c>
      <c r="C14" s="1">
        <f>IF(Protokoll_1p!G20="","",IF(VALUE(LEFT(Protokoll_1p!G20,FIND(":",Protokoll_1p!G20)-1))&gt;VALUE(RIGHT(Protokoll_1p!G20,LEN(Protokoll_1p!G20)-FIND(":",Protokoll_1p!G20))),1,0))</f>
        <v>1</v>
      </c>
      <c r="D14" s="1">
        <f>IF(Protokoll_1p!H20="","",IF(VALUE(LEFT(Protokoll_1p!H20,FIND(":",Protokoll_1p!H20)-1))&gt;VALUE(RIGHT(Protokoll_1p!H20,LEN(Protokoll_1p!H20)-FIND(":",Protokoll_1p!H20))),1,0))</f>
        <v>1</v>
      </c>
      <c r="E14" s="1" t="str">
        <f>IF(Protokoll_1p!I20="","",IF(VALUE(LEFT(Protokoll_1p!I20,FIND(":",Protokoll_1p!I20)-1))&gt;VALUE(RIGHT(Protokoll_1p!I20,LEN(Protokoll_1p!I20)-FIND(":",Protokoll_1p!I20))),1,0))</f>
        <v/>
      </c>
      <c r="F14" s="1" t="str">
        <f>IF(Protokoll_1p!J20="","",IF(VALUE(LEFT(Protokoll_1p!J20,FIND(":",Protokoll_1p!J20)-1))&gt;VALUE(RIGHT(Protokoll_1p!J20,LEN(Protokoll_1p!J20)-FIND(":",Protokoll_1p!J20))),1,0))</f>
        <v/>
      </c>
      <c r="G14" s="1">
        <f t="shared" si="0"/>
        <v>3</v>
      </c>
      <c r="I14" s="1">
        <f>IF(Protokoll_1p!F20="","",IF(VALUE(LEFT(Protokoll_1p!F20,FIND(":",Protokoll_1p!F20)-1))&gt;VALUE(RIGHT(Protokoll_1p!F20,LEN(Protokoll_1p!F20)-FIND(":",Protokoll_1p!F20))),0,1))</f>
        <v>0</v>
      </c>
      <c r="J14" s="1">
        <f>IF(Protokoll_1p!G20="","",IF(VALUE(LEFT(Protokoll_1p!G20,FIND(":",Protokoll_1p!G20)-1))&gt;VALUE(RIGHT(Protokoll_1p!G20,LEN(Protokoll_1p!G20)-FIND(":",Protokoll_1p!G20))),0,1))</f>
        <v>0</v>
      </c>
      <c r="K14" s="1">
        <f>IF(Protokoll_1p!H20="","",IF(VALUE(LEFT(Protokoll_1p!H20,FIND(":",Protokoll_1p!H20)-1))&gt;VALUE(RIGHT(Protokoll_1p!H20,LEN(Protokoll_1p!H20)-FIND(":",Protokoll_1p!H20))),0,1))</f>
        <v>0</v>
      </c>
      <c r="L14" s="1" t="str">
        <f>IF(Protokoll_1p!I20="","",IF(VALUE(LEFT(Protokoll_1p!I20,FIND(":",Protokoll_1p!I20)-1))&gt;VALUE(RIGHT(Protokoll_1p!I20,LEN(Protokoll_1p!I20)-FIND(":",Protokoll_1p!I20))),0,1))</f>
        <v/>
      </c>
      <c r="M14" s="1" t="str">
        <f>IF(Protokoll_1p!J20="","",IF(VALUE(LEFT(Protokoll_1p!J20,FIND(":",Protokoll_1p!J20)-1))&gt;VALUE(RIGHT(Protokoll_1p!J20,LEN(Protokoll_1p!J20)-FIND(":",Protokoll_1p!J20))),0,1))</f>
        <v/>
      </c>
      <c r="N14" s="1">
        <f t="shared" si="1"/>
        <v>0</v>
      </c>
    </row>
    <row r="15" spans="2:14">
      <c r="B15" s="1">
        <f>IF(Protokoll_1p!F21="","",IF(VALUE(LEFT(Protokoll_1p!F21,FIND(":",Protokoll_1p!F21)-1))&gt;VALUE(RIGHT(Protokoll_1p!F21,LEN(Protokoll_1p!F21)-FIND(":",Protokoll_1p!F21))),1,0))</f>
        <v>1</v>
      </c>
      <c r="C15" s="1">
        <f>IF(Protokoll_1p!G21="","",IF(VALUE(LEFT(Protokoll_1p!G21,FIND(":",Protokoll_1p!G21)-1))&gt;VALUE(RIGHT(Protokoll_1p!G21,LEN(Protokoll_1p!G21)-FIND(":",Protokoll_1p!G21))),1,0))</f>
        <v>1</v>
      </c>
      <c r="D15" s="1">
        <f>IF(Protokoll_1p!H21="","",IF(VALUE(LEFT(Protokoll_1p!H21,FIND(":",Protokoll_1p!H21)-1))&gt;VALUE(RIGHT(Protokoll_1p!H21,LEN(Protokoll_1p!H21)-FIND(":",Protokoll_1p!H21))),1,0))</f>
        <v>1</v>
      </c>
      <c r="E15" s="1" t="str">
        <f>IF(Protokoll_1p!I21="","",IF(VALUE(LEFT(Protokoll_1p!I21,FIND(":",Protokoll_1p!I21)-1))&gt;VALUE(RIGHT(Protokoll_1p!I21,LEN(Protokoll_1p!I21)-FIND(":",Protokoll_1p!I21))),1,0))</f>
        <v/>
      </c>
      <c r="F15" s="1" t="str">
        <f>IF(Protokoll_1p!J21="","",IF(VALUE(LEFT(Protokoll_1p!J21,FIND(":",Protokoll_1p!J21)-1))&gt;VALUE(RIGHT(Protokoll_1p!J21,LEN(Protokoll_1p!J21)-FIND(":",Protokoll_1p!J21))),1,0))</f>
        <v/>
      </c>
      <c r="G15" s="1">
        <f t="shared" si="0"/>
        <v>3</v>
      </c>
      <c r="I15" s="1">
        <f>IF(Protokoll_1p!F21="","",IF(VALUE(LEFT(Protokoll_1p!F21,FIND(":",Protokoll_1p!F21)-1))&gt;VALUE(RIGHT(Protokoll_1p!F21,LEN(Protokoll_1p!F21)-FIND(":",Protokoll_1p!F21))),0,1))</f>
        <v>0</v>
      </c>
      <c r="J15" s="1">
        <f>IF(Protokoll_1p!G21="","",IF(VALUE(LEFT(Protokoll_1p!G21,FIND(":",Protokoll_1p!G21)-1))&gt;VALUE(RIGHT(Protokoll_1p!G21,LEN(Protokoll_1p!G21)-FIND(":",Protokoll_1p!G21))),0,1))</f>
        <v>0</v>
      </c>
      <c r="K15" s="1">
        <f>IF(Protokoll_1p!H21="","",IF(VALUE(LEFT(Protokoll_1p!H21,FIND(":",Protokoll_1p!H21)-1))&gt;VALUE(RIGHT(Protokoll_1p!H21,LEN(Protokoll_1p!H21)-FIND(":",Protokoll_1p!H21))),0,1))</f>
        <v>0</v>
      </c>
      <c r="L15" s="1" t="str">
        <f>IF(Protokoll_1p!I21="","",IF(VALUE(LEFT(Protokoll_1p!I21,FIND(":",Protokoll_1p!I21)-1))&gt;VALUE(RIGHT(Protokoll_1p!I21,LEN(Protokoll_1p!I21)-FIND(":",Protokoll_1p!I21))),0,1))</f>
        <v/>
      </c>
      <c r="M15" s="1" t="str">
        <f>IF(Protokoll_1p!J21="","",IF(VALUE(LEFT(Protokoll_1p!J21,FIND(":",Protokoll_1p!J21)-1))&gt;VALUE(RIGHT(Protokoll_1p!J21,LEN(Protokoll_1p!J21)-FIND(":",Protokoll_1p!J21))),0,1))</f>
        <v/>
      </c>
      <c r="N15" s="1">
        <f t="shared" si="1"/>
        <v>0</v>
      </c>
    </row>
    <row r="16" spans="2:14">
      <c r="B16" s="1" t="str">
        <f>IF(Protokoll_1p!F22="","",IF(VALUE(LEFT(Protokoll_1p!F22,FIND(":",Protokoll_1p!F22)-1))&gt;VALUE(RIGHT(Protokoll_1p!F22,LEN(Protokoll_1p!F22)-FIND(":",Protokoll_1p!F22))),1,0))</f>
        <v/>
      </c>
      <c r="C16" s="1" t="str">
        <f>IF(Protokoll_1p!G22="","",IF(VALUE(LEFT(Protokoll_1p!G22,FIND(":",Protokoll_1p!G22)-1))&gt;VALUE(RIGHT(Protokoll_1p!G22,LEN(Protokoll_1p!G22)-FIND(":",Protokoll_1p!G22))),1,0))</f>
        <v/>
      </c>
      <c r="D16" s="1" t="str">
        <f>IF(Protokoll_1p!H22="","",IF(VALUE(LEFT(Protokoll_1p!H22,FIND(":",Protokoll_1p!H22)-1))&gt;VALUE(RIGHT(Protokoll_1p!H22,LEN(Protokoll_1p!H22)-FIND(":",Protokoll_1p!H22))),1,0))</f>
        <v/>
      </c>
      <c r="E16" s="1" t="str">
        <f>IF(Protokoll_1p!I22="","",IF(VALUE(LEFT(Protokoll_1p!I22,FIND(":",Protokoll_1p!I22)-1))&gt;VALUE(RIGHT(Protokoll_1p!I22,LEN(Protokoll_1p!I22)-FIND(":",Protokoll_1p!I22))),1,0))</f>
        <v/>
      </c>
      <c r="F16" s="1" t="str">
        <f>IF(Protokoll_1p!J22="","",IF(VALUE(LEFT(Protokoll_1p!J22,FIND(":",Protokoll_1p!J22)-1))&gt;VALUE(RIGHT(Protokoll_1p!J22,LEN(Protokoll_1p!J22)-FIND(":",Protokoll_1p!J22))),1,0))</f>
        <v/>
      </c>
      <c r="G16" s="1" t="str">
        <f t="shared" si="0"/>
        <v/>
      </c>
      <c r="I16" s="1" t="str">
        <f>IF(Protokoll_1p!F22="","",IF(VALUE(LEFT(Protokoll_1p!F22,FIND(":",Protokoll_1p!F22)-1))&gt;VALUE(RIGHT(Protokoll_1p!F22,LEN(Protokoll_1p!F22)-FIND(":",Protokoll_1p!F22))),0,1))</f>
        <v/>
      </c>
      <c r="J16" s="1" t="str">
        <f>IF(Protokoll_1p!G22="","",IF(VALUE(LEFT(Protokoll_1p!G22,FIND(":",Protokoll_1p!G22)-1))&gt;VALUE(RIGHT(Protokoll_1p!G22,LEN(Protokoll_1p!G22)-FIND(":",Protokoll_1p!G22))),0,1))</f>
        <v/>
      </c>
      <c r="K16" s="1" t="str">
        <f>IF(Protokoll_1p!H22="","",IF(VALUE(LEFT(Protokoll_1p!H22,FIND(":",Protokoll_1p!H22)-1))&gt;VALUE(RIGHT(Protokoll_1p!H22,LEN(Protokoll_1p!H22)-FIND(":",Protokoll_1p!H22))),0,1))</f>
        <v/>
      </c>
      <c r="L16" s="1" t="str">
        <f>IF(Protokoll_1p!I22="","",IF(VALUE(LEFT(Protokoll_1p!I22,FIND(":",Protokoll_1p!I22)-1))&gt;VALUE(RIGHT(Protokoll_1p!I22,LEN(Protokoll_1p!I22)-FIND(":",Protokoll_1p!I22))),0,1))</f>
        <v/>
      </c>
      <c r="M16" s="1" t="str">
        <f>IF(Protokoll_1p!J22="","",IF(VALUE(LEFT(Protokoll_1p!J22,FIND(":",Protokoll_1p!J22)-1))&gt;VALUE(RIGHT(Protokoll_1p!J22,LEN(Protokoll_1p!J22)-FIND(":",Protokoll_1p!J22))),0,1))</f>
        <v/>
      </c>
      <c r="N16" s="1" t="str">
        <f t="shared" si="1"/>
        <v/>
      </c>
    </row>
    <row r="17" spans="2:14">
      <c r="B17" s="1" t="str">
        <f>IF(Protokoll_1p!F23="","",IF(VALUE(LEFT(Protokoll_1p!F23,FIND(":",Protokoll_1p!F23)-1))&gt;VALUE(RIGHT(Protokoll_1p!F23,LEN(Protokoll_1p!F23)-FIND(":",Protokoll_1p!F23))),1,0))</f>
        <v/>
      </c>
      <c r="C17" s="1" t="str">
        <f>IF(Protokoll_1p!G23="","",IF(VALUE(LEFT(Protokoll_1p!G23,FIND(":",Protokoll_1p!G23)-1))&gt;VALUE(RIGHT(Protokoll_1p!G23,LEN(Protokoll_1p!G23)-FIND(":",Protokoll_1p!G23))),1,0))</f>
        <v/>
      </c>
      <c r="D17" s="1" t="str">
        <f>IF(Protokoll_1p!H23="","",IF(VALUE(LEFT(Protokoll_1p!H23,FIND(":",Protokoll_1p!H23)-1))&gt;VALUE(RIGHT(Protokoll_1p!H23,LEN(Protokoll_1p!H23)-FIND(":",Protokoll_1p!H23))),1,0))</f>
        <v/>
      </c>
      <c r="E17" s="1" t="str">
        <f>IF(Protokoll_1p!I23="","",IF(VALUE(LEFT(Protokoll_1p!I23,FIND(":",Protokoll_1p!I23)-1))&gt;VALUE(RIGHT(Protokoll_1p!I23,LEN(Protokoll_1p!I23)-FIND(":",Protokoll_1p!I23))),1,0))</f>
        <v/>
      </c>
      <c r="F17" s="1" t="str">
        <f>IF(Protokoll_1p!J23="","",IF(VALUE(LEFT(Protokoll_1p!J23,FIND(":",Protokoll_1p!J23)-1))&gt;VALUE(RIGHT(Protokoll_1p!J23,LEN(Protokoll_1p!J23)-FIND(":",Protokoll_1p!J23))),1,0))</f>
        <v/>
      </c>
      <c r="G17" s="1" t="str">
        <f t="shared" si="0"/>
        <v/>
      </c>
      <c r="I17" s="1" t="str">
        <f>IF(Protokoll_1p!F23="","",IF(VALUE(LEFT(Protokoll_1p!F23,FIND(":",Protokoll_1p!F23)-1))&gt;VALUE(RIGHT(Protokoll_1p!F23,LEN(Protokoll_1p!F23)-FIND(":",Protokoll_1p!F23))),0,1))</f>
        <v/>
      </c>
      <c r="J17" s="1" t="str">
        <f>IF(Protokoll_1p!G23="","",IF(VALUE(LEFT(Protokoll_1p!G23,FIND(":",Protokoll_1p!G23)-1))&gt;VALUE(RIGHT(Protokoll_1p!G23,LEN(Protokoll_1p!G23)-FIND(":",Protokoll_1p!G23))),0,1))</f>
        <v/>
      </c>
      <c r="K17" s="1" t="str">
        <f>IF(Protokoll_1p!H23="","",IF(VALUE(LEFT(Protokoll_1p!H23,FIND(":",Protokoll_1p!H23)-1))&gt;VALUE(RIGHT(Protokoll_1p!H23,LEN(Protokoll_1p!H23)-FIND(":",Protokoll_1p!H23))),0,1))</f>
        <v/>
      </c>
      <c r="L17" s="1" t="str">
        <f>IF(Protokoll_1p!I23="","",IF(VALUE(LEFT(Protokoll_1p!I23,FIND(":",Protokoll_1p!I23)-1))&gt;VALUE(RIGHT(Protokoll_1p!I23,LEN(Protokoll_1p!I23)-FIND(":",Protokoll_1p!I23))),0,1))</f>
        <v/>
      </c>
      <c r="M17" s="1" t="str">
        <f>IF(Protokoll_1p!J23="","",IF(VALUE(LEFT(Protokoll_1p!J23,FIND(":",Protokoll_1p!J23)-1))&gt;VALUE(RIGHT(Protokoll_1p!J23,LEN(Protokoll_1p!J23)-FIND(":",Protokoll_1p!J23))),0,1))</f>
        <v/>
      </c>
      <c r="N17" s="1" t="str">
        <f t="shared" si="1"/>
        <v/>
      </c>
    </row>
    <row r="18" spans="2:14">
      <c r="B18" s="1" t="str">
        <f>IF(Protokoll_1p!F24="","",IF(VALUE(LEFT(Protokoll_1p!F24,FIND(":",Protokoll_1p!F24)-1))&gt;VALUE(RIGHT(Protokoll_1p!F24,LEN(Protokoll_1p!F24)-FIND(":",Protokoll_1p!F24))),1,0))</f>
        <v/>
      </c>
      <c r="C18" s="1" t="str">
        <f>IF(Protokoll_1p!G24="","",IF(VALUE(LEFT(Protokoll_1p!G24,FIND(":",Protokoll_1p!G24)-1))&gt;VALUE(RIGHT(Protokoll_1p!G24,LEN(Protokoll_1p!G24)-FIND(":",Protokoll_1p!G24))),1,0))</f>
        <v/>
      </c>
      <c r="D18" s="1" t="str">
        <f>IF(Protokoll_1p!H24="","",IF(VALUE(LEFT(Protokoll_1p!H24,FIND(":",Protokoll_1p!H24)-1))&gt;VALUE(RIGHT(Protokoll_1p!H24,LEN(Protokoll_1p!H24)-FIND(":",Protokoll_1p!H24))),1,0))</f>
        <v/>
      </c>
      <c r="E18" s="1" t="str">
        <f>IF(Protokoll_1p!I24="","",IF(VALUE(LEFT(Protokoll_1p!I24,FIND(":",Protokoll_1p!I24)-1))&gt;VALUE(RIGHT(Protokoll_1p!I24,LEN(Protokoll_1p!I24)-FIND(":",Protokoll_1p!I24))),1,0))</f>
        <v/>
      </c>
      <c r="F18" s="1" t="str">
        <f>IF(Protokoll_1p!J24="","",IF(VALUE(LEFT(Protokoll_1p!J24,FIND(":",Protokoll_1p!J24)-1))&gt;VALUE(RIGHT(Protokoll_1p!J24,LEN(Protokoll_1p!J24)-FIND(":",Protokoll_1p!J24))),1,0))</f>
        <v/>
      </c>
      <c r="G18" s="1" t="str">
        <f t="shared" si="0"/>
        <v/>
      </c>
      <c r="I18" s="1" t="str">
        <f>IF(Protokoll_1p!F24="","",IF(VALUE(LEFT(Protokoll_1p!F24,FIND(":",Protokoll_1p!F24)-1))&gt;VALUE(RIGHT(Protokoll_1p!F24,LEN(Protokoll_1p!F24)-FIND(":",Protokoll_1p!F24))),0,1))</f>
        <v/>
      </c>
      <c r="J18" s="1" t="str">
        <f>IF(Protokoll_1p!G24="","",IF(VALUE(LEFT(Protokoll_1p!G24,FIND(":",Protokoll_1p!G24)-1))&gt;VALUE(RIGHT(Protokoll_1p!G24,LEN(Protokoll_1p!G24)-FIND(":",Protokoll_1p!G24))),0,1))</f>
        <v/>
      </c>
      <c r="K18" s="1" t="str">
        <f>IF(Protokoll_1p!H24="","",IF(VALUE(LEFT(Protokoll_1p!H24,FIND(":",Protokoll_1p!H24)-1))&gt;VALUE(RIGHT(Protokoll_1p!H24,LEN(Protokoll_1p!H24)-FIND(":",Protokoll_1p!H24))),0,1))</f>
        <v/>
      </c>
      <c r="L18" s="1" t="str">
        <f>IF(Protokoll_1p!I24="","",IF(VALUE(LEFT(Protokoll_1p!I24,FIND(":",Protokoll_1p!I24)-1))&gt;VALUE(RIGHT(Protokoll_1p!I24,LEN(Protokoll_1p!I24)-FIND(":",Protokoll_1p!I24))),0,1))</f>
        <v/>
      </c>
      <c r="M18" s="1" t="str">
        <f>IF(Protokoll_1p!J24="","",IF(VALUE(LEFT(Protokoll_1p!J24,FIND(":",Protokoll_1p!J24)-1))&gt;VALUE(RIGHT(Protokoll_1p!J24,LEN(Protokoll_1p!J24)-FIND(":",Protokoll_1p!J24))),0,1))</f>
        <v/>
      </c>
      <c r="N18" s="1" t="str">
        <f t="shared" si="1"/>
        <v/>
      </c>
    </row>
    <row r="19" spans="2:14">
      <c r="B19" s="1" t="str">
        <f>IF(Protokoll_1p!F25="","",IF(VALUE(LEFT(Protokoll_1p!F25,FIND(":",Protokoll_1p!F25)-1))&gt;VALUE(RIGHT(Protokoll_1p!F25,LEN(Protokoll_1p!F25)-FIND(":",Protokoll_1p!F25))),1,0))</f>
        <v/>
      </c>
      <c r="C19" s="1" t="str">
        <f>IF(Protokoll_1p!G25="","",IF(VALUE(LEFT(Protokoll_1p!G25,FIND(":",Protokoll_1p!G25)-1))&gt;VALUE(RIGHT(Protokoll_1p!G25,LEN(Protokoll_1p!G25)-FIND(":",Protokoll_1p!G25))),1,0))</f>
        <v/>
      </c>
      <c r="D19" s="1" t="str">
        <f>IF(Protokoll_1p!H25="","",IF(VALUE(LEFT(Protokoll_1p!H25,FIND(":",Protokoll_1p!H25)-1))&gt;VALUE(RIGHT(Protokoll_1p!H25,LEN(Protokoll_1p!H25)-FIND(":",Protokoll_1p!H25))),1,0))</f>
        <v/>
      </c>
      <c r="E19" s="1" t="str">
        <f>IF(Protokoll_1p!I25="","",IF(VALUE(LEFT(Protokoll_1p!I25,FIND(":",Protokoll_1p!I25)-1))&gt;VALUE(RIGHT(Protokoll_1p!I25,LEN(Protokoll_1p!I25)-FIND(":",Protokoll_1p!I25))),1,0))</f>
        <v/>
      </c>
      <c r="F19" s="1" t="str">
        <f>IF(Protokoll_1p!J25="","",IF(VALUE(LEFT(Protokoll_1p!J25,FIND(":",Protokoll_1p!J25)-1))&gt;VALUE(RIGHT(Protokoll_1p!J25,LEN(Protokoll_1p!J25)-FIND(":",Protokoll_1p!J25))),1,0))</f>
        <v/>
      </c>
      <c r="G19" s="1" t="str">
        <f t="shared" si="0"/>
        <v/>
      </c>
      <c r="I19" s="1" t="str">
        <f>IF(Protokoll_1p!F25="","",IF(VALUE(LEFT(Protokoll_1p!F25,FIND(":",Protokoll_1p!F25)-1))&gt;VALUE(RIGHT(Protokoll_1p!F25,LEN(Protokoll_1p!F25)-FIND(":",Protokoll_1p!F25))),0,1))</f>
        <v/>
      </c>
      <c r="J19" s="1" t="str">
        <f>IF(Protokoll_1p!G25="","",IF(VALUE(LEFT(Protokoll_1p!G25,FIND(":",Protokoll_1p!G25)-1))&gt;VALUE(RIGHT(Protokoll_1p!G25,LEN(Protokoll_1p!G25)-FIND(":",Protokoll_1p!G25))),0,1))</f>
        <v/>
      </c>
      <c r="K19" s="1" t="str">
        <f>IF(Protokoll_1p!H25="","",IF(VALUE(LEFT(Protokoll_1p!H25,FIND(":",Protokoll_1p!H25)-1))&gt;VALUE(RIGHT(Protokoll_1p!H25,LEN(Protokoll_1p!H25)-FIND(":",Protokoll_1p!H25))),0,1))</f>
        <v/>
      </c>
      <c r="L19" s="1" t="str">
        <f>IF(Protokoll_1p!I25="","",IF(VALUE(LEFT(Protokoll_1p!I25,FIND(":",Protokoll_1p!I25)-1))&gt;VALUE(RIGHT(Protokoll_1p!I25,LEN(Protokoll_1p!I25)-FIND(":",Protokoll_1p!I25))),0,1))</f>
        <v/>
      </c>
      <c r="M19" s="1" t="str">
        <f>IF(Protokoll_1p!J25="","",IF(VALUE(LEFT(Protokoll_1p!J25,FIND(":",Protokoll_1p!J25)-1))&gt;VALUE(RIGHT(Protokoll_1p!J25,LEN(Protokoll_1p!J25)-FIND(":",Protokoll_1p!J25))),0,1))</f>
        <v/>
      </c>
      <c r="N19" s="1" t="str">
        <f t="shared" si="1"/>
        <v/>
      </c>
    </row>
    <row r="20" spans="2:14">
      <c r="B20" s="1" t="str">
        <f>IF(Protokoll_1p!F26="","",IF(VALUE(LEFT(Protokoll_1p!F26,FIND(":",Protokoll_1p!F26)-1))&gt;VALUE(RIGHT(Protokoll_1p!F26,LEN(Protokoll_1p!F26)-FIND(":",Protokoll_1p!F26))),1,0))</f>
        <v/>
      </c>
      <c r="C20" s="1" t="str">
        <f>IF(Protokoll_1p!G26="","",IF(VALUE(LEFT(Protokoll_1p!G26,FIND(":",Protokoll_1p!G26)-1))&gt;VALUE(RIGHT(Protokoll_1p!G26,LEN(Protokoll_1p!G26)-FIND(":",Protokoll_1p!G26))),1,0))</f>
        <v/>
      </c>
      <c r="D20" s="1" t="str">
        <f>IF(Protokoll_1p!H26="","",IF(VALUE(LEFT(Protokoll_1p!H26,FIND(":",Protokoll_1p!H26)-1))&gt;VALUE(RIGHT(Protokoll_1p!H26,LEN(Protokoll_1p!H26)-FIND(":",Protokoll_1p!H26))),1,0))</f>
        <v/>
      </c>
      <c r="E20" s="1" t="str">
        <f>IF(Protokoll_1p!I26="","",IF(VALUE(LEFT(Protokoll_1p!I26,FIND(":",Protokoll_1p!I26)-1))&gt;VALUE(RIGHT(Protokoll_1p!I26,LEN(Protokoll_1p!I26)-FIND(":",Protokoll_1p!I26))),1,0))</f>
        <v/>
      </c>
      <c r="F20" s="1" t="str">
        <f>IF(Protokoll_1p!J26="","",IF(VALUE(LEFT(Protokoll_1p!J26,FIND(":",Protokoll_1p!J26)-1))&gt;VALUE(RIGHT(Protokoll_1p!J26,LEN(Protokoll_1p!J26)-FIND(":",Protokoll_1p!J26))),1,0))</f>
        <v/>
      </c>
      <c r="G20" s="1" t="str">
        <f t="shared" si="0"/>
        <v/>
      </c>
      <c r="I20" s="1" t="str">
        <f>IF(Protokoll_1p!F26="","",IF(VALUE(LEFT(Protokoll_1p!F26,FIND(":",Protokoll_1p!F26)-1))&gt;VALUE(RIGHT(Protokoll_1p!F26,LEN(Protokoll_1p!F26)-FIND(":",Protokoll_1p!F26))),0,1))</f>
        <v/>
      </c>
      <c r="J20" s="1" t="str">
        <f>IF(Protokoll_1p!G26="","",IF(VALUE(LEFT(Protokoll_1p!G26,FIND(":",Protokoll_1p!G26)-1))&gt;VALUE(RIGHT(Protokoll_1p!G26,LEN(Protokoll_1p!G26)-FIND(":",Protokoll_1p!G26))),0,1))</f>
        <v/>
      </c>
      <c r="K20" s="1" t="str">
        <f>IF(Protokoll_1p!H26="","",IF(VALUE(LEFT(Protokoll_1p!H26,FIND(":",Protokoll_1p!H26)-1))&gt;VALUE(RIGHT(Protokoll_1p!H26,LEN(Protokoll_1p!H26)-FIND(":",Protokoll_1p!H26))),0,1))</f>
        <v/>
      </c>
      <c r="L20" s="1" t="str">
        <f>IF(Protokoll_1p!I26="","",IF(VALUE(LEFT(Protokoll_1p!I26,FIND(":",Protokoll_1p!I26)-1))&gt;VALUE(RIGHT(Protokoll_1p!I26,LEN(Protokoll_1p!I26)-FIND(":",Protokoll_1p!I26))),0,1))</f>
        <v/>
      </c>
      <c r="M20" s="1" t="str">
        <f>IF(Protokoll_1p!J26="","",IF(VALUE(LEFT(Protokoll_1p!J26,FIND(":",Protokoll_1p!J26)-1))&gt;VALUE(RIGHT(Protokoll_1p!J26,LEN(Protokoll_1p!J26)-FIND(":",Protokoll_1p!J26))),0,1))</f>
        <v/>
      </c>
      <c r="N20" s="1" t="str">
        <f t="shared" si="1"/>
        <v/>
      </c>
    </row>
    <row r="21" spans="2:14">
      <c r="B21" s="1" t="e">
        <f>IF(Protokoll_1p!F27="","",IF(VALUE(LEFT(Protokoll_1p!F27,FIND(":",Protokoll_1p!F27)-1))&gt;VALUE(RIGHT(Protokoll_1p!F27,LEN(Protokoll_1p!F27)-FIND(":",Protokoll_1p!F27))),1,0))</f>
        <v>#VALUE!</v>
      </c>
      <c r="C21" s="1" t="e">
        <f>IF(Protokoll_1p!G27="","",IF(VALUE(LEFT(Protokoll_1p!G27,FIND(":",Protokoll_1p!G27)-1))&gt;VALUE(RIGHT(Protokoll_1p!G27,LEN(Protokoll_1p!G27)-FIND(":",Protokoll_1p!G27))),1,0))</f>
        <v>#VALUE!</v>
      </c>
      <c r="D21" s="1" t="e">
        <f>IF(Protokoll_1p!H27="","",IF(VALUE(LEFT(Protokoll_1p!H27,FIND(":",Protokoll_1p!H27)-1))&gt;VALUE(RIGHT(Protokoll_1p!H27,LEN(Protokoll_1p!H27)-FIND(":",Protokoll_1p!H27))),1,0))</f>
        <v>#VALUE!</v>
      </c>
      <c r="E21" s="1" t="e">
        <f>IF(Protokoll_1p!I27="","",IF(VALUE(LEFT(Protokoll_1p!I27,FIND(":",Protokoll_1p!I27)-1))&gt;VALUE(RIGHT(Protokoll_1p!I27,LEN(Protokoll_1p!I27)-FIND(":",Protokoll_1p!I27))),1,0))</f>
        <v>#VALUE!</v>
      </c>
      <c r="F21" s="1" t="e">
        <f>IF(Protokoll_1p!J27="","",IF(VALUE(LEFT(Protokoll_1p!J27,FIND(":",Protokoll_1p!J27)-1))&gt;VALUE(RIGHT(Protokoll_1p!J27,LEN(Protokoll_1p!J27)-FIND(":",Protokoll_1p!J27))),1,0))</f>
        <v>#VALUE!</v>
      </c>
      <c r="G21" s="1" t="e">
        <f t="shared" si="0"/>
        <v>#VALUE!</v>
      </c>
      <c r="I21" s="1" t="e">
        <f>IF(Protokoll_1p!F27="","",IF(VALUE(LEFT(Protokoll_1p!F27,FIND(":",Protokoll_1p!F27)-1))&gt;VALUE(RIGHT(Protokoll_1p!F27,LEN(Protokoll_1p!F27)-FIND(":",Protokoll_1p!F27))),0,1))</f>
        <v>#VALUE!</v>
      </c>
      <c r="J21" s="1" t="e">
        <f>IF(Protokoll_1p!G27="","",IF(VALUE(LEFT(Protokoll_1p!G27,FIND(":",Protokoll_1p!G27)-1))&gt;VALUE(RIGHT(Protokoll_1p!G27,LEN(Protokoll_1p!G27)-FIND(":",Protokoll_1p!G27))),0,1))</f>
        <v>#VALUE!</v>
      </c>
      <c r="K21" s="1" t="e">
        <f>IF(Protokoll_1p!H27="","",IF(VALUE(LEFT(Protokoll_1p!H27,FIND(":",Protokoll_1p!H27)-1))&gt;VALUE(RIGHT(Protokoll_1p!H27,LEN(Protokoll_1p!H27)-FIND(":",Protokoll_1p!H27))),0,1))</f>
        <v>#VALUE!</v>
      </c>
      <c r="L21" s="1" t="e">
        <f>IF(Protokoll_1p!I27="","",IF(VALUE(LEFT(Protokoll_1p!I27,FIND(":",Protokoll_1p!I27)-1))&gt;VALUE(RIGHT(Protokoll_1p!I27,LEN(Protokoll_1p!I27)-FIND(":",Protokoll_1p!I27))),0,1))</f>
        <v>#VALUE!</v>
      </c>
      <c r="M21" s="1" t="e">
        <f>IF(Protokoll_1p!J27="","",IF(VALUE(LEFT(Protokoll_1p!J27,FIND(":",Protokoll_1p!J27)-1))&gt;VALUE(RIGHT(Protokoll_1p!J27,LEN(Protokoll_1p!J27)-FIND(":",Protokoll_1p!J27))),0,1))</f>
        <v>#VALUE!</v>
      </c>
      <c r="N21" s="1" t="e">
        <f t="shared" si="1"/>
        <v>#VALUE!</v>
      </c>
    </row>
    <row r="22" spans="2:14">
      <c r="B22" s="1">
        <f>IF(Protokoll_1p!F28="","",IF(VALUE(LEFT(Protokoll_1p!F28,FIND(":",Protokoll_1p!F28)-1))&gt;VALUE(RIGHT(Protokoll_1p!F28,LEN(Protokoll_1p!F28)-FIND(":",Protokoll_1p!F28))),1,0))</f>
        <v>1</v>
      </c>
      <c r="C22" s="1">
        <f>IF(Protokoll_1p!G28="","",IF(VALUE(LEFT(Protokoll_1p!G28,FIND(":",Protokoll_1p!G28)-1))&gt;VALUE(RIGHT(Protokoll_1p!G28,LEN(Protokoll_1p!G28)-FIND(":",Protokoll_1p!G28))),1,0))</f>
        <v>1</v>
      </c>
      <c r="D22" s="1">
        <f>IF(Protokoll_1p!H28="","",IF(VALUE(LEFT(Protokoll_1p!H28,FIND(":",Protokoll_1p!H28)-1))&gt;VALUE(RIGHT(Protokoll_1p!H28,LEN(Protokoll_1p!H28)-FIND(":",Protokoll_1p!H28))),1,0))</f>
        <v>1</v>
      </c>
      <c r="E22" s="1" t="str">
        <f>IF(Protokoll_1p!I28="","",IF(VALUE(LEFT(Protokoll_1p!I28,FIND(":",Protokoll_1p!I28)-1))&gt;VALUE(RIGHT(Protokoll_1p!I28,LEN(Protokoll_1p!I28)-FIND(":",Protokoll_1p!I28))),1,0))</f>
        <v/>
      </c>
      <c r="F22" s="1" t="str">
        <f>IF(Protokoll_1p!J28="","",IF(VALUE(LEFT(Protokoll_1p!J28,FIND(":",Protokoll_1p!J28)-1))&gt;VALUE(RIGHT(Protokoll_1p!J28,LEN(Protokoll_1p!J28)-FIND(":",Protokoll_1p!J28))),1,0))</f>
        <v/>
      </c>
      <c r="G22" s="1">
        <f t="shared" si="0"/>
        <v>3</v>
      </c>
      <c r="I22" s="1">
        <f>IF(Protokoll_1p!F28="","",IF(VALUE(LEFT(Protokoll_1p!F28,FIND(":",Protokoll_1p!F28)-1))&gt;VALUE(RIGHT(Protokoll_1p!F28,LEN(Protokoll_1p!F28)-FIND(":",Protokoll_1p!F28))),0,1))</f>
        <v>0</v>
      </c>
      <c r="J22" s="1">
        <f>IF(Protokoll_1p!G28="","",IF(VALUE(LEFT(Protokoll_1p!G28,FIND(":",Protokoll_1p!G28)-1))&gt;VALUE(RIGHT(Protokoll_1p!G28,LEN(Protokoll_1p!G28)-FIND(":",Protokoll_1p!G28))),0,1))</f>
        <v>0</v>
      </c>
      <c r="K22" s="1">
        <f>IF(Protokoll_1p!H28="","",IF(VALUE(LEFT(Protokoll_1p!H28,FIND(":",Protokoll_1p!H28)-1))&gt;VALUE(RIGHT(Protokoll_1p!H28,LEN(Protokoll_1p!H28)-FIND(":",Protokoll_1p!H28))),0,1))</f>
        <v>0</v>
      </c>
      <c r="L22" s="1" t="str">
        <f>IF(Protokoll_1p!I28="","",IF(VALUE(LEFT(Protokoll_1p!I28,FIND(":",Protokoll_1p!I28)-1))&gt;VALUE(RIGHT(Protokoll_1p!I28,LEN(Protokoll_1p!I28)-FIND(":",Protokoll_1p!I28))),0,1))</f>
        <v/>
      </c>
      <c r="M22" s="1" t="str">
        <f>IF(Protokoll_1p!J28="","",IF(VALUE(LEFT(Protokoll_1p!J28,FIND(":",Protokoll_1p!J28)-1))&gt;VALUE(RIGHT(Protokoll_1p!J28,LEN(Protokoll_1p!J28)-FIND(":",Protokoll_1p!J28))),0,1))</f>
        <v/>
      </c>
      <c r="N22" s="1">
        <f t="shared" si="1"/>
        <v>0</v>
      </c>
    </row>
    <row r="23" spans="2:14">
      <c r="B23" s="1">
        <f>IF(Protokoll_1p!F29="","",IF(VALUE(LEFT(Protokoll_1p!F29,FIND(":",Protokoll_1p!F29)-1))&gt;VALUE(RIGHT(Protokoll_1p!F29,LEN(Protokoll_1p!F29)-FIND(":",Protokoll_1p!F29))),1,0))</f>
        <v>0</v>
      </c>
      <c r="C23" s="1">
        <f>IF(Protokoll_1p!G29="","",IF(VALUE(LEFT(Protokoll_1p!G29,FIND(":",Protokoll_1p!G29)-1))&gt;VALUE(RIGHT(Protokoll_1p!G29,LEN(Protokoll_1p!G29)-FIND(":",Protokoll_1p!G29))),1,0))</f>
        <v>1</v>
      </c>
      <c r="D23" s="1">
        <f>IF(Protokoll_1p!H29="","",IF(VALUE(LEFT(Protokoll_1p!H29,FIND(":",Protokoll_1p!H29)-1))&gt;VALUE(RIGHT(Protokoll_1p!H29,LEN(Protokoll_1p!H29)-FIND(":",Protokoll_1p!H29))),1,0))</f>
        <v>0</v>
      </c>
      <c r="E23" s="1">
        <f>IF(Protokoll_1p!I29="","",IF(VALUE(LEFT(Protokoll_1p!I29,FIND(":",Protokoll_1p!I29)-1))&gt;VALUE(RIGHT(Protokoll_1p!I29,LEN(Protokoll_1p!I29)-FIND(":",Protokoll_1p!I29))),1,0))</f>
        <v>0</v>
      </c>
      <c r="F23" s="1" t="str">
        <f>IF(Protokoll_1p!J29="","",IF(VALUE(LEFT(Protokoll_1p!J29,FIND(":",Protokoll_1p!J29)-1))&gt;VALUE(RIGHT(Protokoll_1p!J29,LEN(Protokoll_1p!J29)-FIND(":",Protokoll_1p!J29))),1,0))</f>
        <v/>
      </c>
      <c r="G23" s="1">
        <f t="shared" si="0"/>
        <v>1</v>
      </c>
      <c r="I23" s="1">
        <f>IF(Protokoll_1p!F29="","",IF(VALUE(LEFT(Protokoll_1p!F29,FIND(":",Protokoll_1p!F29)-1))&gt;VALUE(RIGHT(Protokoll_1p!F29,LEN(Protokoll_1p!F29)-FIND(":",Protokoll_1p!F29))),0,1))</f>
        <v>1</v>
      </c>
      <c r="J23" s="1">
        <f>IF(Protokoll_1p!G29="","",IF(VALUE(LEFT(Protokoll_1p!G29,FIND(":",Protokoll_1p!G29)-1))&gt;VALUE(RIGHT(Protokoll_1p!G29,LEN(Protokoll_1p!G29)-FIND(":",Protokoll_1p!G29))),0,1))</f>
        <v>0</v>
      </c>
      <c r="K23" s="1">
        <f>IF(Protokoll_1p!H29="","",IF(VALUE(LEFT(Protokoll_1p!H29,FIND(":",Protokoll_1p!H29)-1))&gt;VALUE(RIGHT(Protokoll_1p!H29,LEN(Protokoll_1p!H29)-FIND(":",Protokoll_1p!H29))),0,1))</f>
        <v>1</v>
      </c>
      <c r="L23" s="1">
        <f>IF(Protokoll_1p!I29="","",IF(VALUE(LEFT(Protokoll_1p!I29,FIND(":",Protokoll_1p!I29)-1))&gt;VALUE(RIGHT(Protokoll_1p!I29,LEN(Protokoll_1p!I29)-FIND(":",Protokoll_1p!I29))),0,1))</f>
        <v>1</v>
      </c>
      <c r="M23" s="1" t="str">
        <f>IF(Protokoll_1p!J29="","",IF(VALUE(LEFT(Protokoll_1p!J29,FIND(":",Protokoll_1p!J29)-1))&gt;VALUE(RIGHT(Protokoll_1p!J29,LEN(Protokoll_1p!J29)-FIND(":",Protokoll_1p!J29))),0,1))</f>
        <v/>
      </c>
      <c r="N23" s="1">
        <f t="shared" si="1"/>
        <v>3</v>
      </c>
    </row>
    <row r="24" spans="2:14">
      <c r="B24" s="1">
        <f>IF(Protokoll_1p!F30="","",IF(VALUE(LEFT(Protokoll_1p!F30,FIND(":",Protokoll_1p!F30)-1))&gt;VALUE(RIGHT(Protokoll_1p!F30,LEN(Protokoll_1p!F30)-FIND(":",Protokoll_1p!F30))),1,0))</f>
        <v>1</v>
      </c>
      <c r="C24" s="1">
        <f>IF(Protokoll_1p!G30="","",IF(VALUE(LEFT(Protokoll_1p!G30,FIND(":",Protokoll_1p!G30)-1))&gt;VALUE(RIGHT(Protokoll_1p!G30,LEN(Protokoll_1p!G30)-FIND(":",Protokoll_1p!G30))),1,0))</f>
        <v>0</v>
      </c>
      <c r="D24" s="1">
        <f>IF(Protokoll_1p!H30="","",IF(VALUE(LEFT(Protokoll_1p!H30,FIND(":",Protokoll_1p!H30)-1))&gt;VALUE(RIGHT(Protokoll_1p!H30,LEN(Protokoll_1p!H30)-FIND(":",Protokoll_1p!H30))),1,0))</f>
        <v>0</v>
      </c>
      <c r="E24" s="1">
        <f>IF(Protokoll_1p!I30="","",IF(VALUE(LEFT(Protokoll_1p!I30,FIND(":",Protokoll_1p!I30)-1))&gt;VALUE(RIGHT(Protokoll_1p!I30,LEN(Protokoll_1p!I30)-FIND(":",Protokoll_1p!I30))),1,0))</f>
        <v>1</v>
      </c>
      <c r="F24" s="1">
        <f>IF(Protokoll_1p!J30="","",IF(VALUE(LEFT(Protokoll_1p!J30,FIND(":",Protokoll_1p!J30)-1))&gt;VALUE(RIGHT(Protokoll_1p!J30,LEN(Protokoll_1p!J30)-FIND(":",Protokoll_1p!J30))),1,0))</f>
        <v>1</v>
      </c>
      <c r="G24" s="1">
        <f t="shared" si="0"/>
        <v>3</v>
      </c>
      <c r="I24" s="1">
        <f>IF(Protokoll_1p!F30="","",IF(VALUE(LEFT(Protokoll_1p!F30,FIND(":",Protokoll_1p!F30)-1))&gt;VALUE(RIGHT(Protokoll_1p!F30,LEN(Protokoll_1p!F30)-FIND(":",Protokoll_1p!F30))),0,1))</f>
        <v>0</v>
      </c>
      <c r="J24" s="1">
        <f>IF(Protokoll_1p!G30="","",IF(VALUE(LEFT(Protokoll_1p!G30,FIND(":",Protokoll_1p!G30)-1))&gt;VALUE(RIGHT(Protokoll_1p!G30,LEN(Protokoll_1p!G30)-FIND(":",Protokoll_1p!G30))),0,1))</f>
        <v>1</v>
      </c>
      <c r="K24" s="1">
        <f>IF(Protokoll_1p!H30="","",IF(VALUE(LEFT(Protokoll_1p!H30,FIND(":",Protokoll_1p!H30)-1))&gt;VALUE(RIGHT(Protokoll_1p!H30,LEN(Protokoll_1p!H30)-FIND(":",Protokoll_1p!H30))),0,1))</f>
        <v>1</v>
      </c>
      <c r="L24" s="1">
        <f>IF(Protokoll_1p!I30="","",IF(VALUE(LEFT(Protokoll_1p!I30,FIND(":",Protokoll_1p!I30)-1))&gt;VALUE(RIGHT(Protokoll_1p!I30,LEN(Protokoll_1p!I30)-FIND(":",Protokoll_1p!I30))),0,1))</f>
        <v>0</v>
      </c>
      <c r="M24" s="1">
        <f>IF(Protokoll_1p!J30="","",IF(VALUE(LEFT(Protokoll_1p!J30,FIND(":",Protokoll_1p!J30)-1))&gt;VALUE(RIGHT(Protokoll_1p!J30,LEN(Protokoll_1p!J30)-FIND(":",Protokoll_1p!J30))),0,1))</f>
        <v>0</v>
      </c>
      <c r="N24" s="1">
        <f t="shared" si="1"/>
        <v>2</v>
      </c>
    </row>
    <row r="25" spans="2:14">
      <c r="B25" s="1">
        <f>IF(Protokoll_1p!F31="","",IF(VALUE(LEFT(Protokoll_1p!F31,FIND(":",Protokoll_1p!F31)-1))&gt;VALUE(RIGHT(Protokoll_1p!F31,LEN(Protokoll_1p!F31)-FIND(":",Protokoll_1p!F31))),1,0))</f>
        <v>0</v>
      </c>
      <c r="C25" s="1">
        <f>IF(Protokoll_1p!G31="","",IF(VALUE(LEFT(Protokoll_1p!G31,FIND(":",Protokoll_1p!G31)-1))&gt;VALUE(RIGHT(Protokoll_1p!G31,LEN(Protokoll_1p!G31)-FIND(":",Protokoll_1p!G31))),1,0))</f>
        <v>0</v>
      </c>
      <c r="D25" s="1">
        <f>IF(Protokoll_1p!H31="","",IF(VALUE(LEFT(Protokoll_1p!H31,FIND(":",Protokoll_1p!H31)-1))&gt;VALUE(RIGHT(Protokoll_1p!H31,LEN(Protokoll_1p!H31)-FIND(":",Protokoll_1p!H31))),1,0))</f>
        <v>1</v>
      </c>
      <c r="E25" s="1">
        <f>IF(Protokoll_1p!I31="","",IF(VALUE(LEFT(Protokoll_1p!I31,FIND(":",Protokoll_1p!I31)-1))&gt;VALUE(RIGHT(Protokoll_1p!I31,LEN(Protokoll_1p!I31)-FIND(":",Protokoll_1p!I31))),1,0))</f>
        <v>1</v>
      </c>
      <c r="F25" s="1">
        <f>IF(Protokoll_1p!J31="","",IF(VALUE(LEFT(Protokoll_1p!J31,FIND(":",Protokoll_1p!J31)-1))&gt;VALUE(RIGHT(Protokoll_1p!J31,LEN(Protokoll_1p!J31)-FIND(":",Protokoll_1p!J31))),1,0))</f>
        <v>0</v>
      </c>
      <c r="G25" s="1">
        <f t="shared" si="0"/>
        <v>2</v>
      </c>
      <c r="I25" s="1">
        <f>IF(Protokoll_1p!F31="","",IF(VALUE(LEFT(Protokoll_1p!F31,FIND(":",Protokoll_1p!F31)-1))&gt;VALUE(RIGHT(Protokoll_1p!F31,LEN(Protokoll_1p!F31)-FIND(":",Protokoll_1p!F31))),0,1))</f>
        <v>1</v>
      </c>
      <c r="J25" s="1">
        <f>IF(Protokoll_1p!G31="","",IF(VALUE(LEFT(Protokoll_1p!G31,FIND(":",Protokoll_1p!G31)-1))&gt;VALUE(RIGHT(Protokoll_1p!G31,LEN(Protokoll_1p!G31)-FIND(":",Protokoll_1p!G31))),0,1))</f>
        <v>1</v>
      </c>
      <c r="K25" s="1">
        <f>IF(Protokoll_1p!H31="","",IF(VALUE(LEFT(Protokoll_1p!H31,FIND(":",Protokoll_1p!H31)-1))&gt;VALUE(RIGHT(Protokoll_1p!H31,LEN(Protokoll_1p!H31)-FIND(":",Protokoll_1p!H31))),0,1))</f>
        <v>0</v>
      </c>
      <c r="L25" s="1">
        <f>IF(Protokoll_1p!I31="","",IF(VALUE(LEFT(Protokoll_1p!I31,FIND(":",Protokoll_1p!I31)-1))&gt;VALUE(RIGHT(Protokoll_1p!I31,LEN(Protokoll_1p!I31)-FIND(":",Protokoll_1p!I31))),0,1))</f>
        <v>0</v>
      </c>
      <c r="M25" s="1">
        <f>IF(Protokoll_1p!J31="","",IF(VALUE(LEFT(Protokoll_1p!J31,FIND(":",Protokoll_1p!J31)-1))&gt;VALUE(RIGHT(Protokoll_1p!J31,LEN(Protokoll_1p!J31)-FIND(":",Protokoll_1p!J31))),0,1))</f>
        <v>1</v>
      </c>
      <c r="N25" s="1">
        <f t="shared" si="1"/>
        <v>3</v>
      </c>
    </row>
    <row r="26" spans="2:14">
      <c r="B26" s="1" t="str">
        <f>IF(Protokoll_1p!F32="","",IF(VALUE(LEFT(Protokoll_1p!F32,FIND(":",Protokoll_1p!F32)-1))&gt;VALUE(RIGHT(Protokoll_1p!F32,LEN(Protokoll_1p!F32)-FIND(":",Protokoll_1p!F32))),1,0))</f>
        <v/>
      </c>
      <c r="C26" s="1" t="str">
        <f>IF(Protokoll_1p!G32="","",IF(VALUE(LEFT(Protokoll_1p!G32,FIND(":",Protokoll_1p!G32)-1))&gt;VALUE(RIGHT(Protokoll_1p!G32,LEN(Protokoll_1p!G32)-FIND(":",Protokoll_1p!G32))),1,0))</f>
        <v/>
      </c>
      <c r="D26" s="1" t="str">
        <f>IF(Protokoll_1p!H32="","",IF(VALUE(LEFT(Protokoll_1p!H32,FIND(":",Protokoll_1p!H32)-1))&gt;VALUE(RIGHT(Protokoll_1p!H32,LEN(Protokoll_1p!H32)-FIND(":",Protokoll_1p!H32))),1,0))</f>
        <v/>
      </c>
      <c r="E26" s="1" t="str">
        <f>IF(Protokoll_1p!I32="","",IF(VALUE(LEFT(Protokoll_1p!I32,FIND(":",Protokoll_1p!I32)-1))&gt;VALUE(RIGHT(Protokoll_1p!I32,LEN(Protokoll_1p!I32)-FIND(":",Protokoll_1p!I32))),1,0))</f>
        <v/>
      </c>
      <c r="F26" s="1" t="str">
        <f>IF(Protokoll_1p!J32="","",IF(VALUE(LEFT(Protokoll_1p!J32,FIND(":",Protokoll_1p!J32)-1))&gt;VALUE(RIGHT(Protokoll_1p!J32,LEN(Protokoll_1p!J32)-FIND(":",Protokoll_1p!J32))),1,0))</f>
        <v/>
      </c>
      <c r="G26" s="1" t="str">
        <f t="shared" si="0"/>
        <v/>
      </c>
      <c r="I26" s="1" t="str">
        <f>IF(Protokoll_1p!F32="","",IF(VALUE(LEFT(Protokoll_1p!F32,FIND(":",Protokoll_1p!F32)-1))&gt;VALUE(RIGHT(Protokoll_1p!F32,LEN(Protokoll_1p!F32)-FIND(":",Protokoll_1p!F32))),0,1))</f>
        <v/>
      </c>
      <c r="J26" s="1" t="str">
        <f>IF(Protokoll_1p!G32="","",IF(VALUE(LEFT(Protokoll_1p!G32,FIND(":",Protokoll_1p!G32)-1))&gt;VALUE(RIGHT(Protokoll_1p!G32,LEN(Protokoll_1p!G32)-FIND(":",Protokoll_1p!G32))),0,1))</f>
        <v/>
      </c>
      <c r="K26" s="1" t="str">
        <f>IF(Protokoll_1p!H32="","",IF(VALUE(LEFT(Protokoll_1p!H32,FIND(":",Protokoll_1p!H32)-1))&gt;VALUE(RIGHT(Protokoll_1p!H32,LEN(Protokoll_1p!H32)-FIND(":",Protokoll_1p!H32))),0,1))</f>
        <v/>
      </c>
      <c r="L26" s="1" t="str">
        <f>IF(Protokoll_1p!I32="","",IF(VALUE(LEFT(Protokoll_1p!I32,FIND(":",Protokoll_1p!I32)-1))&gt;VALUE(RIGHT(Protokoll_1p!I32,LEN(Protokoll_1p!I32)-FIND(":",Protokoll_1p!I32))),0,1))</f>
        <v/>
      </c>
      <c r="M26" s="1" t="str">
        <f>IF(Protokoll_1p!J32="","",IF(VALUE(LEFT(Protokoll_1p!J32,FIND(":",Protokoll_1p!J32)-1))&gt;VALUE(RIGHT(Protokoll_1p!J32,LEN(Protokoll_1p!J32)-FIND(":",Protokoll_1p!J32))),0,1))</f>
        <v/>
      </c>
      <c r="N26" s="1" t="str">
        <f t="shared" si="1"/>
        <v/>
      </c>
    </row>
    <row r="27" spans="2:14">
      <c r="B27" s="1">
        <f>IF(Protokoll_1p!F33="","",IF(VALUE(LEFT(Protokoll_1p!F33,FIND(":",Protokoll_1p!F33)-1))&gt;VALUE(RIGHT(Protokoll_1p!F33,LEN(Protokoll_1p!F33)-FIND(":",Protokoll_1p!F33))),1,0))</f>
        <v>1</v>
      </c>
      <c r="C27" s="1">
        <f>IF(Protokoll_1p!G33="","",IF(VALUE(LEFT(Protokoll_1p!G33,FIND(":",Protokoll_1p!G33)-1))&gt;VALUE(RIGHT(Protokoll_1p!G33,LEN(Protokoll_1p!G33)-FIND(":",Protokoll_1p!G33))),1,0))</f>
        <v>1</v>
      </c>
      <c r="D27" s="1">
        <f>IF(Protokoll_1p!H33="","",IF(VALUE(LEFT(Protokoll_1p!H33,FIND(":",Protokoll_1p!H33)-1))&gt;VALUE(RIGHT(Protokoll_1p!H33,LEN(Protokoll_1p!H33)-FIND(":",Protokoll_1p!H33))),1,0))</f>
        <v>1</v>
      </c>
      <c r="E27" s="1" t="str">
        <f>IF(Protokoll_1p!I33="","",IF(VALUE(LEFT(Protokoll_1p!I33,FIND(":",Protokoll_1p!I33)-1))&gt;VALUE(RIGHT(Protokoll_1p!I33,LEN(Protokoll_1p!I33)-FIND(":",Protokoll_1p!I33))),1,0))</f>
        <v/>
      </c>
      <c r="F27" s="1" t="str">
        <f>IF(Protokoll_1p!J33="","",IF(VALUE(LEFT(Protokoll_1p!J33,FIND(":",Protokoll_1p!J33)-1))&gt;VALUE(RIGHT(Protokoll_1p!J33,LEN(Protokoll_1p!J33)-FIND(":",Protokoll_1p!J33))),1,0))</f>
        <v/>
      </c>
      <c r="G27" s="1">
        <f t="shared" si="0"/>
        <v>3</v>
      </c>
      <c r="I27" s="1">
        <f>IF(Protokoll_1p!F33="","",IF(VALUE(LEFT(Protokoll_1p!F33,FIND(":",Protokoll_1p!F33)-1))&gt;VALUE(RIGHT(Protokoll_1p!F33,LEN(Protokoll_1p!F33)-FIND(":",Protokoll_1p!F33))),0,1))</f>
        <v>0</v>
      </c>
      <c r="J27" s="1">
        <f>IF(Protokoll_1p!G33="","",IF(VALUE(LEFT(Protokoll_1p!G33,FIND(":",Protokoll_1p!G33)-1))&gt;VALUE(RIGHT(Protokoll_1p!G33,LEN(Protokoll_1p!G33)-FIND(":",Protokoll_1p!G33))),0,1))</f>
        <v>0</v>
      </c>
      <c r="K27" s="1">
        <f>IF(Protokoll_1p!H33="","",IF(VALUE(LEFT(Protokoll_1p!H33,FIND(":",Protokoll_1p!H33)-1))&gt;VALUE(RIGHT(Protokoll_1p!H33,LEN(Protokoll_1p!H33)-FIND(":",Protokoll_1p!H33))),0,1))</f>
        <v>0</v>
      </c>
      <c r="L27" s="1" t="str">
        <f>IF(Protokoll_1p!I33="","",IF(VALUE(LEFT(Protokoll_1p!I33,FIND(":",Protokoll_1p!I33)-1))&gt;VALUE(RIGHT(Protokoll_1p!I33,LEN(Protokoll_1p!I33)-FIND(":",Protokoll_1p!I33))),0,1))</f>
        <v/>
      </c>
      <c r="M27" s="1" t="str">
        <f>IF(Protokoll_1p!J33="","",IF(VALUE(LEFT(Protokoll_1p!J33,FIND(":",Protokoll_1p!J33)-1))&gt;VALUE(RIGHT(Protokoll_1p!J33,LEN(Protokoll_1p!J33)-FIND(":",Protokoll_1p!J33))),0,1))</f>
        <v/>
      </c>
      <c r="N27" s="1">
        <f t="shared" si="1"/>
        <v>0</v>
      </c>
    </row>
    <row r="28" spans="2:14">
      <c r="B28" s="1">
        <f>IF(Protokoll_1p!F34="","",IF(VALUE(LEFT(Protokoll_1p!F34,FIND(":",Protokoll_1p!F34)-1))&gt;VALUE(RIGHT(Protokoll_1p!F34,LEN(Protokoll_1p!F34)-FIND(":",Protokoll_1p!F34))),1,0))</f>
        <v>1</v>
      </c>
      <c r="C28" s="1">
        <f>IF(Protokoll_1p!G34="","",IF(VALUE(LEFT(Protokoll_1p!G34,FIND(":",Protokoll_1p!G34)-1))&gt;VALUE(RIGHT(Protokoll_1p!G34,LEN(Protokoll_1p!G34)-FIND(":",Protokoll_1p!G34))),1,0))</f>
        <v>1</v>
      </c>
      <c r="D28" s="1">
        <f>IF(Protokoll_1p!H34="","",IF(VALUE(LEFT(Protokoll_1p!H34,FIND(":",Protokoll_1p!H34)-1))&gt;VALUE(RIGHT(Protokoll_1p!H34,LEN(Protokoll_1p!H34)-FIND(":",Protokoll_1p!H34))),1,0))</f>
        <v>0</v>
      </c>
      <c r="E28" s="1">
        <f>IF(Protokoll_1p!I34="","",IF(VALUE(LEFT(Protokoll_1p!I34,FIND(":",Protokoll_1p!I34)-1))&gt;VALUE(RIGHT(Protokoll_1p!I34,LEN(Protokoll_1p!I34)-FIND(":",Protokoll_1p!I34))),1,0))</f>
        <v>1</v>
      </c>
      <c r="F28" s="1" t="str">
        <f>IF(Protokoll_1p!J34="","",IF(VALUE(LEFT(Protokoll_1p!J34,FIND(":",Protokoll_1p!J34)-1))&gt;VALUE(RIGHT(Protokoll_1p!J34,LEN(Protokoll_1p!J34)-FIND(":",Protokoll_1p!J34))),1,0))</f>
        <v/>
      </c>
      <c r="G28" s="1">
        <f t="shared" si="0"/>
        <v>3</v>
      </c>
      <c r="I28" s="1">
        <f>IF(Protokoll_1p!F34="","",IF(VALUE(LEFT(Protokoll_1p!F34,FIND(":",Protokoll_1p!F34)-1))&gt;VALUE(RIGHT(Protokoll_1p!F34,LEN(Protokoll_1p!F34)-FIND(":",Protokoll_1p!F34))),0,1))</f>
        <v>0</v>
      </c>
      <c r="J28" s="1">
        <f>IF(Protokoll_1p!G34="","",IF(VALUE(LEFT(Protokoll_1p!G34,FIND(":",Protokoll_1p!G34)-1))&gt;VALUE(RIGHT(Protokoll_1p!G34,LEN(Protokoll_1p!G34)-FIND(":",Protokoll_1p!G34))),0,1))</f>
        <v>0</v>
      </c>
      <c r="K28" s="1">
        <f>IF(Protokoll_1p!H34="","",IF(VALUE(LEFT(Protokoll_1p!H34,FIND(":",Protokoll_1p!H34)-1))&gt;VALUE(RIGHT(Protokoll_1p!H34,LEN(Protokoll_1p!H34)-FIND(":",Protokoll_1p!H34))),0,1))</f>
        <v>1</v>
      </c>
      <c r="L28" s="1">
        <f>IF(Protokoll_1p!I34="","",IF(VALUE(LEFT(Protokoll_1p!I34,FIND(":",Protokoll_1p!I34)-1))&gt;VALUE(RIGHT(Protokoll_1p!I34,LEN(Protokoll_1p!I34)-FIND(":",Protokoll_1p!I34))),0,1))</f>
        <v>0</v>
      </c>
      <c r="M28" s="1" t="str">
        <f>IF(Protokoll_1p!J34="","",IF(VALUE(LEFT(Protokoll_1p!J34,FIND(":",Protokoll_1p!J34)-1))&gt;VALUE(RIGHT(Protokoll_1p!J34,LEN(Protokoll_1p!J34)-FIND(":",Protokoll_1p!J34))),0,1))</f>
        <v/>
      </c>
      <c r="N28" s="1">
        <f t="shared" si="1"/>
        <v>1</v>
      </c>
    </row>
    <row r="29" spans="2:14">
      <c r="B29" s="1" t="str">
        <f>IF(Protokoll_1p!F35="","",IF(VALUE(LEFT(Protokoll_1p!F35,FIND(":",Protokoll_1p!F35)-1))&gt;VALUE(RIGHT(Protokoll_1p!F35,LEN(Protokoll_1p!F35)-FIND(":",Protokoll_1p!F35))),1,0))</f>
        <v/>
      </c>
      <c r="C29" s="1" t="str">
        <f>IF(Protokoll_1p!G35="","",IF(VALUE(LEFT(Protokoll_1p!G35,FIND(":",Protokoll_1p!G35)-1))&gt;VALUE(RIGHT(Protokoll_1p!G35,LEN(Protokoll_1p!G35)-FIND(":",Protokoll_1p!G35))),1,0))</f>
        <v/>
      </c>
      <c r="D29" s="1" t="str">
        <f>IF(Protokoll_1p!H35="","",IF(VALUE(LEFT(Protokoll_1p!H35,FIND(":",Protokoll_1p!H35)-1))&gt;VALUE(RIGHT(Protokoll_1p!H35,LEN(Protokoll_1p!H35)-FIND(":",Protokoll_1p!H35))),1,0))</f>
        <v/>
      </c>
      <c r="E29" s="1" t="str">
        <f>IF(Protokoll_1p!I35="","",IF(VALUE(LEFT(Protokoll_1p!I35,FIND(":",Protokoll_1p!I35)-1))&gt;VALUE(RIGHT(Protokoll_1p!I35,LEN(Protokoll_1p!I35)-FIND(":",Protokoll_1p!I35))),1,0))</f>
        <v/>
      </c>
      <c r="F29" s="1" t="str">
        <f>IF(Protokoll_1p!J35="","",IF(VALUE(LEFT(Protokoll_1p!J35,FIND(":",Protokoll_1p!J35)-1))&gt;VALUE(RIGHT(Protokoll_1p!J35,LEN(Protokoll_1p!J35)-FIND(":",Protokoll_1p!J35))),1,0))</f>
        <v/>
      </c>
      <c r="G29" s="1" t="str">
        <f t="shared" si="0"/>
        <v/>
      </c>
      <c r="I29" s="1" t="str">
        <f>IF(Protokoll_1p!F35="","",IF(VALUE(LEFT(Protokoll_1p!F35,FIND(":",Protokoll_1p!F35)-1))&gt;VALUE(RIGHT(Protokoll_1p!F35,LEN(Protokoll_1p!F35)-FIND(":",Protokoll_1p!F35))),0,1))</f>
        <v/>
      </c>
      <c r="J29" s="1" t="str">
        <f>IF(Protokoll_1p!G35="","",IF(VALUE(LEFT(Protokoll_1p!G35,FIND(":",Protokoll_1p!G35)-1))&gt;VALUE(RIGHT(Protokoll_1p!G35,LEN(Protokoll_1p!G35)-FIND(":",Protokoll_1p!G35))),0,1))</f>
        <v/>
      </c>
      <c r="K29" s="1" t="str">
        <f>IF(Protokoll_1p!H35="","",IF(VALUE(LEFT(Protokoll_1p!H35,FIND(":",Protokoll_1p!H35)-1))&gt;VALUE(RIGHT(Protokoll_1p!H35,LEN(Protokoll_1p!H35)-FIND(":",Protokoll_1p!H35))),0,1))</f>
        <v/>
      </c>
      <c r="L29" s="1" t="str">
        <f>IF(Protokoll_1p!I35="","",IF(VALUE(LEFT(Protokoll_1p!I35,FIND(":",Protokoll_1p!I35)-1))&gt;VALUE(RIGHT(Protokoll_1p!I35,LEN(Protokoll_1p!I35)-FIND(":",Protokoll_1p!I35))),0,1))</f>
        <v/>
      </c>
      <c r="M29" s="1" t="str">
        <f>IF(Protokoll_1p!J35="","",IF(VALUE(LEFT(Protokoll_1p!J35,FIND(":",Protokoll_1p!J35)-1))&gt;VALUE(RIGHT(Protokoll_1p!J35,LEN(Protokoll_1p!J35)-FIND(":",Protokoll_1p!J35))),0,1))</f>
        <v/>
      </c>
      <c r="N29" s="1" t="str">
        <f t="shared" si="1"/>
        <v/>
      </c>
    </row>
    <row r="30" spans="2:14">
      <c r="B30" s="1" t="str">
        <f>IF(Protokoll_1p!F36="","",IF(VALUE(LEFT(Protokoll_1p!F36,FIND(":",Protokoll_1p!F36)-1))&gt;VALUE(RIGHT(Protokoll_1p!F36,LEN(Protokoll_1p!F36)-FIND(":",Protokoll_1p!F36))),1,0))</f>
        <v/>
      </c>
      <c r="C30" s="1" t="str">
        <f>IF(Protokoll_1p!G36="","",IF(VALUE(LEFT(Protokoll_1p!G36,FIND(":",Protokoll_1p!G36)-1))&gt;VALUE(RIGHT(Protokoll_1p!G36,LEN(Protokoll_1p!G36)-FIND(":",Protokoll_1p!G36))),1,0))</f>
        <v/>
      </c>
      <c r="D30" s="1" t="str">
        <f>IF(Protokoll_1p!H36="","",IF(VALUE(LEFT(Protokoll_1p!H36,FIND(":",Protokoll_1p!H36)-1))&gt;VALUE(RIGHT(Protokoll_1p!H36,LEN(Protokoll_1p!H36)-FIND(":",Protokoll_1p!H36))),1,0))</f>
        <v/>
      </c>
      <c r="E30" s="1" t="str">
        <f>IF(Protokoll_1p!I36="","",IF(VALUE(LEFT(Protokoll_1p!I36,FIND(":",Protokoll_1p!I36)-1))&gt;VALUE(RIGHT(Protokoll_1p!I36,LEN(Protokoll_1p!I36)-FIND(":",Protokoll_1p!I36))),1,0))</f>
        <v/>
      </c>
      <c r="F30" s="1" t="str">
        <f>IF(Protokoll_1p!J36="","",IF(VALUE(LEFT(Protokoll_1p!J36,FIND(":",Protokoll_1p!J36)-1))&gt;VALUE(RIGHT(Protokoll_1p!J36,LEN(Protokoll_1p!J36)-FIND(":",Protokoll_1p!J36))),1,0))</f>
        <v/>
      </c>
      <c r="G30" s="1" t="str">
        <f t="shared" si="0"/>
        <v/>
      </c>
      <c r="I30" s="1" t="str">
        <f>IF(Protokoll_1p!F36="","",IF(VALUE(LEFT(Protokoll_1p!F36,FIND(":",Protokoll_1p!F36)-1))&gt;VALUE(RIGHT(Protokoll_1p!F36,LEN(Protokoll_1p!F36)-FIND(":",Protokoll_1p!F36))),0,1))</f>
        <v/>
      </c>
      <c r="J30" s="1" t="str">
        <f>IF(Protokoll_1p!G36="","",IF(VALUE(LEFT(Protokoll_1p!G36,FIND(":",Protokoll_1p!G36)-1))&gt;VALUE(RIGHT(Protokoll_1p!G36,LEN(Protokoll_1p!G36)-FIND(":",Protokoll_1p!G36))),0,1))</f>
        <v/>
      </c>
      <c r="K30" s="1" t="str">
        <f>IF(Protokoll_1p!H36="","",IF(VALUE(LEFT(Protokoll_1p!H36,FIND(":",Protokoll_1p!H36)-1))&gt;VALUE(RIGHT(Protokoll_1p!H36,LEN(Protokoll_1p!H36)-FIND(":",Protokoll_1p!H36))),0,1))</f>
        <v/>
      </c>
      <c r="L30" s="1" t="str">
        <f>IF(Protokoll_1p!I36="","",IF(VALUE(LEFT(Protokoll_1p!I36,FIND(":",Protokoll_1p!I36)-1))&gt;VALUE(RIGHT(Protokoll_1p!I36,LEN(Protokoll_1p!I36)-FIND(":",Protokoll_1p!I36))),0,1))</f>
        <v/>
      </c>
      <c r="M30" s="1" t="str">
        <f>IF(Protokoll_1p!J36="","",IF(VALUE(LEFT(Protokoll_1p!J36,FIND(":",Protokoll_1p!J36)-1))&gt;VALUE(RIGHT(Protokoll_1p!J36,LEN(Protokoll_1p!J36)-FIND(":",Protokoll_1p!J36))),0,1))</f>
        <v/>
      </c>
      <c r="N30" s="1" t="str">
        <f t="shared" si="1"/>
        <v/>
      </c>
    </row>
    <row r="31" spans="2:14">
      <c r="B31" s="1" t="e">
        <f>IF(Protokoll_1p!F37="","",IF(VALUE(LEFT(Protokoll_1p!F37,FIND(":",Protokoll_1p!F37)-1))&gt;VALUE(RIGHT(Protokoll_1p!F37,LEN(Protokoll_1p!F37)-FIND(":",Protokoll_1p!F37))),1,0))</f>
        <v>#VALUE!</v>
      </c>
      <c r="C31" s="1" t="e">
        <f>IF(Protokoll_1p!G37="","",IF(VALUE(LEFT(Protokoll_1p!G37,FIND(":",Protokoll_1p!G37)-1))&gt;VALUE(RIGHT(Protokoll_1p!G37,LEN(Protokoll_1p!G37)-FIND(":",Protokoll_1p!G37))),1,0))</f>
        <v>#VALUE!</v>
      </c>
      <c r="D31" s="1" t="e">
        <f>IF(Protokoll_1p!H37="","",IF(VALUE(LEFT(Protokoll_1p!H37,FIND(":",Protokoll_1p!H37)-1))&gt;VALUE(RIGHT(Protokoll_1p!H37,LEN(Protokoll_1p!H37)-FIND(":",Protokoll_1p!H37))),1,0))</f>
        <v>#VALUE!</v>
      </c>
      <c r="E31" s="1" t="e">
        <f>IF(Protokoll_1p!I37="","",IF(VALUE(LEFT(Protokoll_1p!I37,FIND(":",Protokoll_1p!I37)-1))&gt;VALUE(RIGHT(Protokoll_1p!I37,LEN(Protokoll_1p!I37)-FIND(":",Protokoll_1p!I37))),1,0))</f>
        <v>#VALUE!</v>
      </c>
      <c r="F31" s="1" t="e">
        <f>IF(Protokoll_1p!J37="","",IF(VALUE(LEFT(Protokoll_1p!J37,FIND(":",Protokoll_1p!J37)-1))&gt;VALUE(RIGHT(Protokoll_1p!J37,LEN(Protokoll_1p!J37)-FIND(":",Protokoll_1p!J37))),1,0))</f>
        <v>#VALUE!</v>
      </c>
      <c r="G31" s="1" t="e">
        <f t="shared" si="0"/>
        <v>#VALUE!</v>
      </c>
      <c r="I31" s="1" t="e">
        <f>IF(Protokoll_1p!F37="","",IF(VALUE(LEFT(Protokoll_1p!F37,FIND(":",Protokoll_1p!F37)-1))&gt;VALUE(RIGHT(Protokoll_1p!F37,LEN(Protokoll_1p!F37)-FIND(":",Protokoll_1p!F37))),0,1))</f>
        <v>#VALUE!</v>
      </c>
      <c r="J31" s="1" t="e">
        <f>IF(Protokoll_1p!G37="","",IF(VALUE(LEFT(Protokoll_1p!G37,FIND(":",Protokoll_1p!G37)-1))&gt;VALUE(RIGHT(Protokoll_1p!G37,LEN(Protokoll_1p!G37)-FIND(":",Protokoll_1p!G37))),0,1))</f>
        <v>#VALUE!</v>
      </c>
      <c r="K31" s="1" t="e">
        <f>IF(Protokoll_1p!H37="","",IF(VALUE(LEFT(Protokoll_1p!H37,FIND(":",Protokoll_1p!H37)-1))&gt;VALUE(RIGHT(Protokoll_1p!H37,LEN(Protokoll_1p!H37)-FIND(":",Protokoll_1p!H37))),0,1))</f>
        <v>#VALUE!</v>
      </c>
      <c r="L31" s="1" t="e">
        <f>IF(Protokoll_1p!I37="","",IF(VALUE(LEFT(Protokoll_1p!I37,FIND(":",Protokoll_1p!I37)-1))&gt;VALUE(RIGHT(Protokoll_1p!I37,LEN(Protokoll_1p!I37)-FIND(":",Protokoll_1p!I37))),0,1))</f>
        <v>#VALUE!</v>
      </c>
      <c r="M31" s="1" t="e">
        <f>IF(Protokoll_1p!J37="","",IF(VALUE(LEFT(Protokoll_1p!J37,FIND(":",Protokoll_1p!J37)-1))&gt;VALUE(RIGHT(Protokoll_1p!J37,LEN(Protokoll_1p!J37)-FIND(":",Protokoll_1p!J37))),0,1))</f>
        <v>#VALUE!</v>
      </c>
      <c r="N31" s="1" t="e">
        <f t="shared" si="1"/>
        <v>#VALUE!</v>
      </c>
    </row>
    <row r="32" spans="2:14">
      <c r="B32" s="1">
        <f>IF(Protokoll_1p!F38="","",IF(VALUE(LEFT(Protokoll_1p!F38,FIND(":",Protokoll_1p!F38)-1))&gt;VALUE(RIGHT(Protokoll_1p!F38,LEN(Protokoll_1p!F38)-FIND(":",Protokoll_1p!F38))),1,0))</f>
        <v>1</v>
      </c>
      <c r="C32" s="1">
        <f>IF(Protokoll_1p!G38="","",IF(VALUE(LEFT(Protokoll_1p!G38,FIND(":",Protokoll_1p!G38)-1))&gt;VALUE(RIGHT(Protokoll_1p!G38,LEN(Protokoll_1p!G38)-FIND(":",Protokoll_1p!G38))),1,0))</f>
        <v>1</v>
      </c>
      <c r="D32" s="1">
        <f>IF(Protokoll_1p!H38="","",IF(VALUE(LEFT(Protokoll_1p!H38,FIND(":",Protokoll_1p!H38)-1))&gt;VALUE(RIGHT(Protokoll_1p!H38,LEN(Protokoll_1p!H38)-FIND(":",Protokoll_1p!H38))),1,0))</f>
        <v>1</v>
      </c>
      <c r="E32" s="1" t="str">
        <f>IF(Protokoll_1p!I38="","",IF(VALUE(LEFT(Protokoll_1p!I38,FIND(":",Protokoll_1p!I38)-1))&gt;VALUE(RIGHT(Protokoll_1p!I38,LEN(Protokoll_1p!I38)-FIND(":",Protokoll_1p!I38))),1,0))</f>
        <v/>
      </c>
      <c r="F32" s="1" t="str">
        <f>IF(Protokoll_1p!J38="","",IF(VALUE(LEFT(Protokoll_1p!J38,FIND(":",Protokoll_1p!J38)-1))&gt;VALUE(RIGHT(Protokoll_1p!J38,LEN(Protokoll_1p!J38)-FIND(":",Protokoll_1p!J38))),1,0))</f>
        <v/>
      </c>
      <c r="G32" s="1">
        <f t="shared" si="0"/>
        <v>3</v>
      </c>
      <c r="I32" s="1">
        <f>IF(Protokoll_1p!F38="","",IF(VALUE(LEFT(Protokoll_1p!F38,FIND(":",Protokoll_1p!F38)-1))&gt;VALUE(RIGHT(Protokoll_1p!F38,LEN(Protokoll_1p!F38)-FIND(":",Protokoll_1p!F38))),0,1))</f>
        <v>0</v>
      </c>
      <c r="J32" s="1">
        <f>IF(Protokoll_1p!G38="","",IF(VALUE(LEFT(Protokoll_1p!G38,FIND(":",Protokoll_1p!G38)-1))&gt;VALUE(RIGHT(Protokoll_1p!G38,LEN(Protokoll_1p!G38)-FIND(":",Protokoll_1p!G38))),0,1))</f>
        <v>0</v>
      </c>
      <c r="K32" s="1">
        <f>IF(Protokoll_1p!H38="","",IF(VALUE(LEFT(Protokoll_1p!H38,FIND(":",Protokoll_1p!H38)-1))&gt;VALUE(RIGHT(Protokoll_1p!H38,LEN(Protokoll_1p!H38)-FIND(":",Protokoll_1p!H38))),0,1))</f>
        <v>0</v>
      </c>
      <c r="L32" s="1" t="str">
        <f>IF(Protokoll_1p!I38="","",IF(VALUE(LEFT(Protokoll_1p!I38,FIND(":",Protokoll_1p!I38)-1))&gt;VALUE(RIGHT(Protokoll_1p!I38,LEN(Protokoll_1p!I38)-FIND(":",Protokoll_1p!I38))),0,1))</f>
        <v/>
      </c>
      <c r="M32" s="1" t="str">
        <f>IF(Protokoll_1p!J38="","",IF(VALUE(LEFT(Protokoll_1p!J38,FIND(":",Protokoll_1p!J38)-1))&gt;VALUE(RIGHT(Protokoll_1p!J38,LEN(Protokoll_1p!J38)-FIND(":",Protokoll_1p!J38))),0,1))</f>
        <v/>
      </c>
      <c r="N32" s="1">
        <f t="shared" si="1"/>
        <v>0</v>
      </c>
    </row>
    <row r="33" spans="2:14">
      <c r="B33" s="1">
        <f>IF(Protokoll_1p!F39="","",IF(VALUE(LEFT(Protokoll_1p!F39,FIND(":",Protokoll_1p!F39)-1))&gt;VALUE(RIGHT(Protokoll_1p!F39,LEN(Protokoll_1p!F39)-FIND(":",Protokoll_1p!F39))),1,0))</f>
        <v>1</v>
      </c>
      <c r="C33" s="1">
        <f>IF(Protokoll_1p!G39="","",IF(VALUE(LEFT(Protokoll_1p!G39,FIND(":",Protokoll_1p!G39)-1))&gt;VALUE(RIGHT(Protokoll_1p!G39,LEN(Protokoll_1p!G39)-FIND(":",Protokoll_1p!G39))),1,0))</f>
        <v>1</v>
      </c>
      <c r="D33" s="1">
        <f>IF(Protokoll_1p!H39="","",IF(VALUE(LEFT(Protokoll_1p!H39,FIND(":",Protokoll_1p!H39)-1))&gt;VALUE(RIGHT(Protokoll_1p!H39,LEN(Protokoll_1p!H39)-FIND(":",Protokoll_1p!H39))),1,0))</f>
        <v>1</v>
      </c>
      <c r="E33" s="1" t="str">
        <f>IF(Protokoll_1p!I39="","",IF(VALUE(LEFT(Protokoll_1p!I39,FIND(":",Protokoll_1p!I39)-1))&gt;VALUE(RIGHT(Protokoll_1p!I39,LEN(Protokoll_1p!I39)-FIND(":",Protokoll_1p!I39))),1,0))</f>
        <v/>
      </c>
      <c r="F33" s="1" t="str">
        <f>IF(Protokoll_1p!J39="","",IF(VALUE(LEFT(Protokoll_1p!J39,FIND(":",Protokoll_1p!J39)-1))&gt;VALUE(RIGHT(Protokoll_1p!J39,LEN(Protokoll_1p!J39)-FIND(":",Protokoll_1p!J39))),1,0))</f>
        <v/>
      </c>
      <c r="G33" s="1">
        <f t="shared" si="0"/>
        <v>3</v>
      </c>
      <c r="I33" s="1">
        <f>IF(Protokoll_1p!F39="","",IF(VALUE(LEFT(Protokoll_1p!F39,FIND(":",Protokoll_1p!F39)-1))&gt;VALUE(RIGHT(Protokoll_1p!F39,LEN(Protokoll_1p!F39)-FIND(":",Protokoll_1p!F39))),0,1))</f>
        <v>0</v>
      </c>
      <c r="J33" s="1">
        <f>IF(Protokoll_1p!G39="","",IF(VALUE(LEFT(Protokoll_1p!G39,FIND(":",Protokoll_1p!G39)-1))&gt;VALUE(RIGHT(Protokoll_1p!G39,LEN(Protokoll_1p!G39)-FIND(":",Protokoll_1p!G39))),0,1))</f>
        <v>0</v>
      </c>
      <c r="K33" s="1">
        <f>IF(Protokoll_1p!H39="","",IF(VALUE(LEFT(Protokoll_1p!H39,FIND(":",Protokoll_1p!H39)-1))&gt;VALUE(RIGHT(Protokoll_1p!H39,LEN(Protokoll_1p!H39)-FIND(":",Protokoll_1p!H39))),0,1))</f>
        <v>0</v>
      </c>
      <c r="L33" s="1" t="str">
        <f>IF(Protokoll_1p!I39="","",IF(VALUE(LEFT(Protokoll_1p!I39,FIND(":",Protokoll_1p!I39)-1))&gt;VALUE(RIGHT(Protokoll_1p!I39,LEN(Protokoll_1p!I39)-FIND(":",Protokoll_1p!I39))),0,1))</f>
        <v/>
      </c>
      <c r="M33" s="1" t="str">
        <f>IF(Protokoll_1p!J39="","",IF(VALUE(LEFT(Protokoll_1p!J39,FIND(":",Protokoll_1p!J39)-1))&gt;VALUE(RIGHT(Protokoll_1p!J39,LEN(Protokoll_1p!J39)-FIND(":",Protokoll_1p!J39))),0,1))</f>
        <v/>
      </c>
      <c r="N33" s="1">
        <f t="shared" si="1"/>
        <v>0</v>
      </c>
    </row>
    <row r="34" spans="2:14">
      <c r="B34" s="1">
        <f>IF(Protokoll_1p!F40="","",IF(VALUE(LEFT(Protokoll_1p!F40,FIND(":",Protokoll_1p!F40)-1))&gt;VALUE(RIGHT(Protokoll_1p!F40,LEN(Protokoll_1p!F40)-FIND(":",Protokoll_1p!F40))),1,0))</f>
        <v>1</v>
      </c>
      <c r="C34" s="1">
        <f>IF(Protokoll_1p!G40="","",IF(VALUE(LEFT(Protokoll_1p!G40,FIND(":",Protokoll_1p!G40)-1))&gt;VALUE(RIGHT(Protokoll_1p!G40,LEN(Protokoll_1p!G40)-FIND(":",Protokoll_1p!G40))),1,0))</f>
        <v>1</v>
      </c>
      <c r="D34" s="1">
        <f>IF(Protokoll_1p!H40="","",IF(VALUE(LEFT(Protokoll_1p!H40,FIND(":",Protokoll_1p!H40)-1))&gt;VALUE(RIGHT(Protokoll_1p!H40,LEN(Protokoll_1p!H40)-FIND(":",Protokoll_1p!H40))),1,0))</f>
        <v>0</v>
      </c>
      <c r="E34" s="1">
        <f>IF(Protokoll_1p!I40="","",IF(VALUE(LEFT(Protokoll_1p!I40,FIND(":",Protokoll_1p!I40)-1))&gt;VALUE(RIGHT(Protokoll_1p!I40,LEN(Protokoll_1p!I40)-FIND(":",Protokoll_1p!I40))),1,0))</f>
        <v>0</v>
      </c>
      <c r="F34" s="1">
        <f>IF(Protokoll_1p!J40="","",IF(VALUE(LEFT(Protokoll_1p!J40,FIND(":",Protokoll_1p!J40)-1))&gt;VALUE(RIGHT(Protokoll_1p!J40,LEN(Protokoll_1p!J40)-FIND(":",Protokoll_1p!J40))),1,0))</f>
        <v>1</v>
      </c>
      <c r="G34" s="1">
        <f t="shared" si="0"/>
        <v>3</v>
      </c>
      <c r="I34" s="1">
        <f>IF(Protokoll_1p!F40="","",IF(VALUE(LEFT(Protokoll_1p!F40,FIND(":",Protokoll_1p!F40)-1))&gt;VALUE(RIGHT(Protokoll_1p!F40,LEN(Protokoll_1p!F40)-FIND(":",Protokoll_1p!F40))),0,1))</f>
        <v>0</v>
      </c>
      <c r="J34" s="1">
        <f>IF(Protokoll_1p!G40="","",IF(VALUE(LEFT(Protokoll_1p!G40,FIND(":",Protokoll_1p!G40)-1))&gt;VALUE(RIGHT(Protokoll_1p!G40,LEN(Protokoll_1p!G40)-FIND(":",Protokoll_1p!G40))),0,1))</f>
        <v>0</v>
      </c>
      <c r="K34" s="1">
        <f>IF(Protokoll_1p!H40="","",IF(VALUE(LEFT(Protokoll_1p!H40,FIND(":",Protokoll_1p!H40)-1))&gt;VALUE(RIGHT(Protokoll_1p!H40,LEN(Protokoll_1p!H40)-FIND(":",Protokoll_1p!H40))),0,1))</f>
        <v>1</v>
      </c>
      <c r="L34" s="1">
        <f>IF(Protokoll_1p!I40="","",IF(VALUE(LEFT(Protokoll_1p!I40,FIND(":",Protokoll_1p!I40)-1))&gt;VALUE(RIGHT(Protokoll_1p!I40,LEN(Protokoll_1p!I40)-FIND(":",Protokoll_1p!I40))),0,1))</f>
        <v>1</v>
      </c>
      <c r="M34" s="1">
        <f>IF(Protokoll_1p!J40="","",IF(VALUE(LEFT(Protokoll_1p!J40,FIND(":",Protokoll_1p!J40)-1))&gt;VALUE(RIGHT(Protokoll_1p!J40,LEN(Protokoll_1p!J40)-FIND(":",Protokoll_1p!J40))),0,1))</f>
        <v>0</v>
      </c>
      <c r="N34" s="1">
        <f t="shared" si="1"/>
        <v>2</v>
      </c>
    </row>
    <row r="35" spans="2:14">
      <c r="B35" s="1">
        <f>IF(Protokoll_1p!F41="","",IF(VALUE(LEFT(Protokoll_1p!F41,FIND(":",Protokoll_1p!F41)-1))&gt;VALUE(RIGHT(Protokoll_1p!F41,LEN(Protokoll_1p!F41)-FIND(":",Protokoll_1p!F41))),1,0))</f>
        <v>0</v>
      </c>
      <c r="C35" s="1">
        <f>IF(Protokoll_1p!G41="","",IF(VALUE(LEFT(Protokoll_1p!G41,FIND(":",Protokoll_1p!G41)-1))&gt;VALUE(RIGHT(Protokoll_1p!G41,LEN(Protokoll_1p!G41)-FIND(":",Protokoll_1p!G41))),1,0))</f>
        <v>1</v>
      </c>
      <c r="D35" s="1">
        <f>IF(Protokoll_1p!H41="","",IF(VALUE(LEFT(Protokoll_1p!H41,FIND(":",Protokoll_1p!H41)-1))&gt;VALUE(RIGHT(Protokoll_1p!H41,LEN(Protokoll_1p!H41)-FIND(":",Protokoll_1p!H41))),1,0))</f>
        <v>1</v>
      </c>
      <c r="E35" s="1">
        <f>IF(Protokoll_1p!I41="","",IF(VALUE(LEFT(Protokoll_1p!I41,FIND(":",Protokoll_1p!I41)-1))&gt;VALUE(RIGHT(Protokoll_1p!I41,LEN(Protokoll_1p!I41)-FIND(":",Protokoll_1p!I41))),1,0))</f>
        <v>0</v>
      </c>
      <c r="F35" s="1">
        <f>IF(Protokoll_1p!J41="","",IF(VALUE(LEFT(Protokoll_1p!J41,FIND(":",Protokoll_1p!J41)-1))&gt;VALUE(RIGHT(Protokoll_1p!J41,LEN(Protokoll_1p!J41)-FIND(":",Protokoll_1p!J41))),1,0))</f>
        <v>1</v>
      </c>
      <c r="G35" s="1">
        <f t="shared" si="0"/>
        <v>3</v>
      </c>
      <c r="I35" s="1">
        <f>IF(Protokoll_1p!F41="","",IF(VALUE(LEFT(Protokoll_1p!F41,FIND(":",Protokoll_1p!F41)-1))&gt;VALUE(RIGHT(Protokoll_1p!F41,LEN(Protokoll_1p!F41)-FIND(":",Protokoll_1p!F41))),0,1))</f>
        <v>1</v>
      </c>
      <c r="J35" s="1">
        <f>IF(Protokoll_1p!G41="","",IF(VALUE(LEFT(Protokoll_1p!G41,FIND(":",Protokoll_1p!G41)-1))&gt;VALUE(RIGHT(Protokoll_1p!G41,LEN(Protokoll_1p!G41)-FIND(":",Protokoll_1p!G41))),0,1))</f>
        <v>0</v>
      </c>
      <c r="K35" s="1">
        <f>IF(Protokoll_1p!H41="","",IF(VALUE(LEFT(Protokoll_1p!H41,FIND(":",Protokoll_1p!H41)-1))&gt;VALUE(RIGHT(Protokoll_1p!H41,LEN(Protokoll_1p!H41)-FIND(":",Protokoll_1p!H41))),0,1))</f>
        <v>0</v>
      </c>
      <c r="L35" s="1">
        <f>IF(Protokoll_1p!I41="","",IF(VALUE(LEFT(Protokoll_1p!I41,FIND(":",Protokoll_1p!I41)-1))&gt;VALUE(RIGHT(Protokoll_1p!I41,LEN(Protokoll_1p!I41)-FIND(":",Protokoll_1p!I41))),0,1))</f>
        <v>1</v>
      </c>
      <c r="M35" s="1">
        <f>IF(Protokoll_1p!J41="","",IF(VALUE(LEFT(Protokoll_1p!J41,FIND(":",Protokoll_1p!J41)-1))&gt;VALUE(RIGHT(Protokoll_1p!J41,LEN(Protokoll_1p!J41)-FIND(":",Protokoll_1p!J41))),0,1))</f>
        <v>0</v>
      </c>
      <c r="N35" s="1">
        <f t="shared" si="1"/>
        <v>2</v>
      </c>
    </row>
    <row r="36" spans="2:14">
      <c r="B36" s="1" t="str">
        <f>IF(Protokoll_1p!F42="","",IF(VALUE(LEFT(Protokoll_1p!F42,FIND(":",Protokoll_1p!F42)-1))&gt;VALUE(RIGHT(Protokoll_1p!F42,LEN(Protokoll_1p!F42)-FIND(":",Protokoll_1p!F42))),1,0))</f>
        <v/>
      </c>
      <c r="C36" s="1" t="str">
        <f>IF(Protokoll_1p!G42="","",IF(VALUE(LEFT(Protokoll_1p!G42,FIND(":",Protokoll_1p!G42)-1))&gt;VALUE(RIGHT(Protokoll_1p!G42,LEN(Protokoll_1p!G42)-FIND(":",Protokoll_1p!G42))),1,0))</f>
        <v/>
      </c>
      <c r="D36" s="1" t="str">
        <f>IF(Protokoll_1p!H42="","",IF(VALUE(LEFT(Protokoll_1p!H42,FIND(":",Protokoll_1p!H42)-1))&gt;VALUE(RIGHT(Protokoll_1p!H42,LEN(Protokoll_1p!H42)-FIND(":",Protokoll_1p!H42))),1,0))</f>
        <v/>
      </c>
      <c r="E36" s="1" t="str">
        <f>IF(Protokoll_1p!I42="","",IF(VALUE(LEFT(Protokoll_1p!I42,FIND(":",Protokoll_1p!I42)-1))&gt;VALUE(RIGHT(Protokoll_1p!I42,LEN(Protokoll_1p!I42)-FIND(":",Protokoll_1p!I42))),1,0))</f>
        <v/>
      </c>
      <c r="F36" s="1" t="str">
        <f>IF(Protokoll_1p!J42="","",IF(VALUE(LEFT(Protokoll_1p!J42,FIND(":",Protokoll_1p!J42)-1))&gt;VALUE(RIGHT(Protokoll_1p!J42,LEN(Protokoll_1p!J42)-FIND(":",Protokoll_1p!J42))),1,0))</f>
        <v/>
      </c>
      <c r="G36" s="1" t="str">
        <f t="shared" si="0"/>
        <v/>
      </c>
      <c r="I36" s="1" t="str">
        <f>IF(Protokoll_1p!F42="","",IF(VALUE(LEFT(Protokoll_1p!F42,FIND(":",Protokoll_1p!F42)-1))&gt;VALUE(RIGHT(Protokoll_1p!F42,LEN(Protokoll_1p!F42)-FIND(":",Protokoll_1p!F42))),0,1))</f>
        <v/>
      </c>
      <c r="J36" s="1" t="str">
        <f>IF(Protokoll_1p!G42="","",IF(VALUE(LEFT(Protokoll_1p!G42,FIND(":",Protokoll_1p!G42)-1))&gt;VALUE(RIGHT(Protokoll_1p!G42,LEN(Protokoll_1p!G42)-FIND(":",Protokoll_1p!G42))),0,1))</f>
        <v/>
      </c>
      <c r="K36" s="1" t="str">
        <f>IF(Protokoll_1p!H42="","",IF(VALUE(LEFT(Protokoll_1p!H42,FIND(":",Protokoll_1p!H42)-1))&gt;VALUE(RIGHT(Protokoll_1p!H42,LEN(Protokoll_1p!H42)-FIND(":",Protokoll_1p!H42))),0,1))</f>
        <v/>
      </c>
      <c r="L36" s="1" t="str">
        <f>IF(Protokoll_1p!I42="","",IF(VALUE(LEFT(Protokoll_1p!I42,FIND(":",Protokoll_1p!I42)-1))&gt;VALUE(RIGHT(Protokoll_1p!I42,LEN(Protokoll_1p!I42)-FIND(":",Protokoll_1p!I42))),0,1))</f>
        <v/>
      </c>
      <c r="M36" s="1" t="str">
        <f>IF(Protokoll_1p!J42="","",IF(VALUE(LEFT(Protokoll_1p!J42,FIND(":",Protokoll_1p!J42)-1))&gt;VALUE(RIGHT(Protokoll_1p!J42,LEN(Protokoll_1p!J42)-FIND(":",Protokoll_1p!J42))),0,1))</f>
        <v/>
      </c>
      <c r="N36" s="1" t="str">
        <f t="shared" si="1"/>
        <v/>
      </c>
    </row>
    <row r="37" spans="2:14">
      <c r="B37" s="1" t="str">
        <f>IF(Protokoll_1p!F43="","",IF(VALUE(LEFT(Protokoll_1p!F43,FIND(":",Protokoll_1p!F43)-1))&gt;VALUE(RIGHT(Protokoll_1p!F43,LEN(Protokoll_1p!F43)-FIND(":",Protokoll_1p!F43))),1,0))</f>
        <v/>
      </c>
      <c r="C37" s="1" t="str">
        <f>IF(Protokoll_1p!G43="","",IF(VALUE(LEFT(Protokoll_1p!G43,FIND(":",Protokoll_1p!G43)-1))&gt;VALUE(RIGHT(Protokoll_1p!G43,LEN(Protokoll_1p!G43)-FIND(":",Protokoll_1p!G43))),1,0))</f>
        <v/>
      </c>
      <c r="D37" s="1" t="str">
        <f>IF(Protokoll_1p!H43="","",IF(VALUE(LEFT(Protokoll_1p!H43,FIND(":",Protokoll_1p!H43)-1))&gt;VALUE(RIGHT(Protokoll_1p!H43,LEN(Protokoll_1p!H43)-FIND(":",Protokoll_1p!H43))),1,0))</f>
        <v/>
      </c>
      <c r="E37" s="1" t="str">
        <f>IF(Protokoll_1p!I43="","",IF(VALUE(LEFT(Protokoll_1p!I43,FIND(":",Protokoll_1p!I43)-1))&gt;VALUE(RIGHT(Protokoll_1p!I43,LEN(Protokoll_1p!I43)-FIND(":",Protokoll_1p!I43))),1,0))</f>
        <v/>
      </c>
      <c r="F37" s="1" t="str">
        <f>IF(Protokoll_1p!J43="","",IF(VALUE(LEFT(Protokoll_1p!J43,FIND(":",Protokoll_1p!J43)-1))&gt;VALUE(RIGHT(Protokoll_1p!J43,LEN(Protokoll_1p!J43)-FIND(":",Protokoll_1p!J43))),1,0))</f>
        <v/>
      </c>
      <c r="G37" s="1" t="str">
        <f t="shared" si="0"/>
        <v/>
      </c>
      <c r="I37" s="1" t="str">
        <f>IF(Protokoll_1p!F43="","",IF(VALUE(LEFT(Protokoll_1p!F43,FIND(":",Protokoll_1p!F43)-1))&gt;VALUE(RIGHT(Protokoll_1p!F43,LEN(Protokoll_1p!F43)-FIND(":",Protokoll_1p!F43))),0,1))</f>
        <v/>
      </c>
      <c r="J37" s="1" t="str">
        <f>IF(Protokoll_1p!G43="","",IF(VALUE(LEFT(Protokoll_1p!G43,FIND(":",Protokoll_1p!G43)-1))&gt;VALUE(RIGHT(Protokoll_1p!G43,LEN(Protokoll_1p!G43)-FIND(":",Protokoll_1p!G43))),0,1))</f>
        <v/>
      </c>
      <c r="K37" s="1" t="str">
        <f>IF(Protokoll_1p!H43="","",IF(VALUE(LEFT(Protokoll_1p!H43,FIND(":",Protokoll_1p!H43)-1))&gt;VALUE(RIGHT(Protokoll_1p!H43,LEN(Protokoll_1p!H43)-FIND(":",Protokoll_1p!H43))),0,1))</f>
        <v/>
      </c>
      <c r="L37" s="1" t="str">
        <f>IF(Protokoll_1p!I43="","",IF(VALUE(LEFT(Protokoll_1p!I43,FIND(":",Protokoll_1p!I43)-1))&gt;VALUE(RIGHT(Protokoll_1p!I43,LEN(Protokoll_1p!I43)-FIND(":",Protokoll_1p!I43))),0,1))</f>
        <v/>
      </c>
      <c r="M37" s="1" t="str">
        <f>IF(Protokoll_1p!J43="","",IF(VALUE(LEFT(Protokoll_1p!J43,FIND(":",Protokoll_1p!J43)-1))&gt;VALUE(RIGHT(Protokoll_1p!J43,LEN(Protokoll_1p!J43)-FIND(":",Protokoll_1p!J43))),0,1))</f>
        <v/>
      </c>
      <c r="N37" s="1" t="str">
        <f t="shared" si="1"/>
        <v/>
      </c>
    </row>
    <row r="38" spans="2:14">
      <c r="B38" s="1" t="str">
        <f>IF(Protokoll_1p!F44="","",IF(VALUE(LEFT(Protokoll_1p!F44,FIND(":",Protokoll_1p!F44)-1))&gt;VALUE(RIGHT(Protokoll_1p!F44,LEN(Protokoll_1p!F44)-FIND(":",Protokoll_1p!F44))),1,0))</f>
        <v/>
      </c>
      <c r="C38" s="1" t="str">
        <f>IF(Protokoll_1p!G44="","",IF(VALUE(LEFT(Protokoll_1p!G44,FIND(":",Protokoll_1p!G44)-1))&gt;VALUE(RIGHT(Protokoll_1p!G44,LEN(Protokoll_1p!G44)-FIND(":",Protokoll_1p!G44))),1,0))</f>
        <v/>
      </c>
      <c r="D38" s="1" t="str">
        <f>IF(Protokoll_1p!H44="","",IF(VALUE(LEFT(Protokoll_1p!H44,FIND(":",Protokoll_1p!H44)-1))&gt;VALUE(RIGHT(Protokoll_1p!H44,LEN(Protokoll_1p!H44)-FIND(":",Protokoll_1p!H44))),1,0))</f>
        <v/>
      </c>
      <c r="E38" s="1" t="str">
        <f>IF(Protokoll_1p!I44="","",IF(VALUE(LEFT(Protokoll_1p!I44,FIND(":",Protokoll_1p!I44)-1))&gt;VALUE(RIGHT(Protokoll_1p!I44,LEN(Protokoll_1p!I44)-FIND(":",Protokoll_1p!I44))),1,0))</f>
        <v/>
      </c>
      <c r="F38" s="1" t="str">
        <f>IF(Protokoll_1p!J44="","",IF(VALUE(LEFT(Protokoll_1p!J44,FIND(":",Protokoll_1p!J44)-1))&gt;VALUE(RIGHT(Protokoll_1p!J44,LEN(Protokoll_1p!J44)-FIND(":",Protokoll_1p!J44))),1,0))</f>
        <v/>
      </c>
      <c r="G38" s="1" t="str">
        <f t="shared" si="0"/>
        <v/>
      </c>
      <c r="I38" s="1" t="str">
        <f>IF(Protokoll_1p!F44="","",IF(VALUE(LEFT(Protokoll_1p!F44,FIND(":",Protokoll_1p!F44)-1))&gt;VALUE(RIGHT(Protokoll_1p!F44,LEN(Protokoll_1p!F44)-FIND(":",Protokoll_1p!F44))),0,1))</f>
        <v/>
      </c>
      <c r="J38" s="1" t="str">
        <f>IF(Protokoll_1p!G44="","",IF(VALUE(LEFT(Protokoll_1p!G44,FIND(":",Protokoll_1p!G44)-1))&gt;VALUE(RIGHT(Protokoll_1p!G44,LEN(Protokoll_1p!G44)-FIND(":",Protokoll_1p!G44))),0,1))</f>
        <v/>
      </c>
      <c r="K38" s="1" t="str">
        <f>IF(Protokoll_1p!H44="","",IF(VALUE(LEFT(Protokoll_1p!H44,FIND(":",Protokoll_1p!H44)-1))&gt;VALUE(RIGHT(Protokoll_1p!H44,LEN(Protokoll_1p!H44)-FIND(":",Protokoll_1p!H44))),0,1))</f>
        <v/>
      </c>
      <c r="L38" s="1" t="str">
        <f>IF(Protokoll_1p!I44="","",IF(VALUE(LEFT(Protokoll_1p!I44,FIND(":",Protokoll_1p!I44)-1))&gt;VALUE(RIGHT(Protokoll_1p!I44,LEN(Protokoll_1p!I44)-FIND(":",Protokoll_1p!I44))),0,1))</f>
        <v/>
      </c>
      <c r="M38" s="1" t="str">
        <f>IF(Protokoll_1p!J44="","",IF(VALUE(LEFT(Protokoll_1p!J44,FIND(":",Protokoll_1p!J44)-1))&gt;VALUE(RIGHT(Protokoll_1p!J44,LEN(Protokoll_1p!J44)-FIND(":",Protokoll_1p!J44))),0,1))</f>
        <v/>
      </c>
      <c r="N38" s="1" t="str">
        <f t="shared" si="1"/>
        <v/>
      </c>
    </row>
    <row r="39" spans="2:14">
      <c r="B39" s="1" t="str">
        <f>IF(Protokoll_1p!F45="","",IF(VALUE(LEFT(Protokoll_1p!F45,FIND(":",Protokoll_1p!F45)-1))&gt;VALUE(RIGHT(Protokoll_1p!F45,LEN(Protokoll_1p!F45)-FIND(":",Protokoll_1p!F45))),1,0))</f>
        <v/>
      </c>
      <c r="C39" s="1" t="str">
        <f>IF(Protokoll_1p!G45="","",IF(VALUE(LEFT(Protokoll_1p!G45,FIND(":",Protokoll_1p!G45)-1))&gt;VALUE(RIGHT(Protokoll_1p!G45,LEN(Protokoll_1p!G45)-FIND(":",Protokoll_1p!G45))),1,0))</f>
        <v/>
      </c>
      <c r="D39" s="1" t="str">
        <f>IF(Protokoll_1p!H45="","",IF(VALUE(LEFT(Protokoll_1p!H45,FIND(":",Protokoll_1p!H45)-1))&gt;VALUE(RIGHT(Protokoll_1p!H45,LEN(Protokoll_1p!H45)-FIND(":",Protokoll_1p!H45))),1,0))</f>
        <v/>
      </c>
      <c r="E39" s="1" t="str">
        <f>IF(Protokoll_1p!I45="","",IF(VALUE(LEFT(Protokoll_1p!I45,FIND(":",Protokoll_1p!I45)-1))&gt;VALUE(RIGHT(Protokoll_1p!I45,LEN(Protokoll_1p!I45)-FIND(":",Protokoll_1p!I45))),1,0))</f>
        <v/>
      </c>
      <c r="F39" s="1" t="str">
        <f>IF(Protokoll_1p!J45="","",IF(VALUE(LEFT(Protokoll_1p!J45,FIND(":",Protokoll_1p!J45)-1))&gt;VALUE(RIGHT(Protokoll_1p!J45,LEN(Protokoll_1p!J45)-FIND(":",Protokoll_1p!J45))),1,0))</f>
        <v/>
      </c>
      <c r="G39" s="1" t="str">
        <f t="shared" si="0"/>
        <v/>
      </c>
      <c r="I39" s="1" t="str">
        <f>IF(Protokoll_1p!F45="","",IF(VALUE(LEFT(Protokoll_1p!F45,FIND(":",Protokoll_1p!F45)-1))&gt;VALUE(RIGHT(Protokoll_1p!F45,LEN(Protokoll_1p!F45)-FIND(":",Protokoll_1p!F45))),0,1))</f>
        <v/>
      </c>
      <c r="J39" s="1" t="str">
        <f>IF(Protokoll_1p!G45="","",IF(VALUE(LEFT(Protokoll_1p!G45,FIND(":",Protokoll_1p!G45)-1))&gt;VALUE(RIGHT(Protokoll_1p!G45,LEN(Protokoll_1p!G45)-FIND(":",Protokoll_1p!G45))),0,1))</f>
        <v/>
      </c>
      <c r="K39" s="1" t="str">
        <f>IF(Protokoll_1p!H45="","",IF(VALUE(LEFT(Protokoll_1p!H45,FIND(":",Protokoll_1p!H45)-1))&gt;VALUE(RIGHT(Protokoll_1p!H45,LEN(Protokoll_1p!H45)-FIND(":",Protokoll_1p!H45))),0,1))</f>
        <v/>
      </c>
      <c r="L39" s="1" t="str">
        <f>IF(Protokoll_1p!I45="","",IF(VALUE(LEFT(Protokoll_1p!I45,FIND(":",Protokoll_1p!I45)-1))&gt;VALUE(RIGHT(Protokoll_1p!I45,LEN(Protokoll_1p!I45)-FIND(":",Protokoll_1p!I45))),0,1))</f>
        <v/>
      </c>
      <c r="M39" s="1" t="str">
        <f>IF(Protokoll_1p!J45="","",IF(VALUE(LEFT(Protokoll_1p!J45,FIND(":",Protokoll_1p!J45)-1))&gt;VALUE(RIGHT(Protokoll_1p!J45,LEN(Protokoll_1p!J45)-FIND(":",Protokoll_1p!J45))),0,1))</f>
        <v/>
      </c>
      <c r="N39" s="1" t="str">
        <f t="shared" si="1"/>
        <v/>
      </c>
    </row>
    <row r="40" spans="2:14">
      <c r="B40" s="1" t="str">
        <f>IF(Protokoll_1p!F46="","",IF(VALUE(LEFT(Protokoll_1p!F46,FIND(":",Protokoll_1p!F46)-1))&gt;VALUE(RIGHT(Protokoll_1p!F46,LEN(Protokoll_1p!F46)-FIND(":",Protokoll_1p!F46))),1,0))</f>
        <v/>
      </c>
      <c r="C40" s="1" t="str">
        <f>IF(Protokoll_1p!G46="","",IF(VALUE(LEFT(Protokoll_1p!G46,FIND(":",Protokoll_1p!G46)-1))&gt;VALUE(RIGHT(Protokoll_1p!G46,LEN(Protokoll_1p!G46)-FIND(":",Protokoll_1p!G46))),1,0))</f>
        <v/>
      </c>
      <c r="D40" s="1" t="str">
        <f>IF(Protokoll_1p!H46="","",IF(VALUE(LEFT(Protokoll_1p!H46,FIND(":",Protokoll_1p!H46)-1))&gt;VALUE(RIGHT(Protokoll_1p!H46,LEN(Protokoll_1p!H46)-FIND(":",Protokoll_1p!H46))),1,0))</f>
        <v/>
      </c>
      <c r="E40" s="1" t="str">
        <f>IF(Protokoll_1p!I46="","",IF(VALUE(LEFT(Protokoll_1p!I46,FIND(":",Protokoll_1p!I46)-1))&gt;VALUE(RIGHT(Protokoll_1p!I46,LEN(Protokoll_1p!I46)-FIND(":",Protokoll_1p!I46))),1,0))</f>
        <v/>
      </c>
      <c r="F40" s="1" t="str">
        <f>IF(Protokoll_1p!J46="","",IF(VALUE(LEFT(Protokoll_1p!J46,FIND(":",Protokoll_1p!J46)-1))&gt;VALUE(RIGHT(Protokoll_1p!J46,LEN(Protokoll_1p!J46)-FIND(":",Protokoll_1p!J46))),1,0))</f>
        <v/>
      </c>
      <c r="G40" s="1" t="str">
        <f t="shared" si="0"/>
        <v/>
      </c>
      <c r="I40" s="1" t="str">
        <f>IF(Protokoll_1p!F46="","",IF(VALUE(LEFT(Protokoll_1p!F46,FIND(":",Protokoll_1p!F46)-1))&gt;VALUE(RIGHT(Protokoll_1p!F46,LEN(Protokoll_1p!F46)-FIND(":",Protokoll_1p!F46))),0,1))</f>
        <v/>
      </c>
      <c r="J40" s="1" t="str">
        <f>IF(Protokoll_1p!G46="","",IF(VALUE(LEFT(Protokoll_1p!G46,FIND(":",Protokoll_1p!G46)-1))&gt;VALUE(RIGHT(Protokoll_1p!G46,LEN(Protokoll_1p!G46)-FIND(":",Protokoll_1p!G46))),0,1))</f>
        <v/>
      </c>
      <c r="K40" s="1" t="str">
        <f>IF(Protokoll_1p!H46="","",IF(VALUE(LEFT(Protokoll_1p!H46,FIND(":",Protokoll_1p!H46)-1))&gt;VALUE(RIGHT(Protokoll_1p!H46,LEN(Protokoll_1p!H46)-FIND(":",Protokoll_1p!H46))),0,1))</f>
        <v/>
      </c>
      <c r="L40" s="1" t="str">
        <f>IF(Protokoll_1p!I46="","",IF(VALUE(LEFT(Protokoll_1p!I46,FIND(":",Protokoll_1p!I46)-1))&gt;VALUE(RIGHT(Protokoll_1p!I46,LEN(Protokoll_1p!I46)-FIND(":",Protokoll_1p!I46))),0,1))</f>
        <v/>
      </c>
      <c r="M40" s="1" t="str">
        <f>IF(Protokoll_1p!J46="","",IF(VALUE(LEFT(Protokoll_1p!J46,FIND(":",Protokoll_1p!J46)-1))&gt;VALUE(RIGHT(Protokoll_1p!J46,LEN(Protokoll_1p!J46)-FIND(":",Protokoll_1p!J46))),0,1))</f>
        <v/>
      </c>
      <c r="N40" s="1" t="str">
        <f t="shared" si="1"/>
        <v/>
      </c>
    </row>
    <row r="41" spans="2:14">
      <c r="B41" s="1" t="e">
        <f>IF(Protokoll_1p!F47="","",IF(VALUE(LEFT(Protokoll_1p!F47,FIND(":",Protokoll_1p!F47)-1))&gt;VALUE(RIGHT(Protokoll_1p!F47,LEN(Protokoll_1p!F47)-FIND(":",Protokoll_1p!F47))),1,0))</f>
        <v>#VALUE!</v>
      </c>
      <c r="C41" s="1" t="e">
        <f>IF(Protokoll_1p!G47="","",IF(VALUE(LEFT(Protokoll_1p!G47,FIND(":",Protokoll_1p!G47)-1))&gt;VALUE(RIGHT(Protokoll_1p!G47,LEN(Protokoll_1p!G47)-FIND(":",Protokoll_1p!G47))),1,0))</f>
        <v>#VALUE!</v>
      </c>
      <c r="D41" s="1" t="e">
        <f>IF(Protokoll_1p!H47="","",IF(VALUE(LEFT(Protokoll_1p!H47,FIND(":",Protokoll_1p!H47)-1))&gt;VALUE(RIGHT(Protokoll_1p!H47,LEN(Protokoll_1p!H47)-FIND(":",Protokoll_1p!H47))),1,0))</f>
        <v>#VALUE!</v>
      </c>
      <c r="E41" s="1" t="e">
        <f>IF(Protokoll_1p!I47="","",IF(VALUE(LEFT(Protokoll_1p!I47,FIND(":",Protokoll_1p!I47)-1))&gt;VALUE(RIGHT(Protokoll_1p!I47,LEN(Protokoll_1p!I47)-FIND(":",Protokoll_1p!I47))),1,0))</f>
        <v>#VALUE!</v>
      </c>
      <c r="F41" s="1" t="e">
        <f>IF(Protokoll_1p!J47="","",IF(VALUE(LEFT(Protokoll_1p!J47,FIND(":",Protokoll_1p!J47)-1))&gt;VALUE(RIGHT(Protokoll_1p!J47,LEN(Protokoll_1p!J47)-FIND(":",Protokoll_1p!J47))),1,0))</f>
        <v>#VALUE!</v>
      </c>
      <c r="G41" s="1" t="e">
        <f t="shared" si="0"/>
        <v>#VALUE!</v>
      </c>
      <c r="I41" s="1" t="e">
        <f>IF(Protokoll_1p!F47="","",IF(VALUE(LEFT(Protokoll_1p!F47,FIND(":",Protokoll_1p!F47)-1))&gt;VALUE(RIGHT(Protokoll_1p!F47,LEN(Protokoll_1p!F47)-FIND(":",Protokoll_1p!F47))),0,1))</f>
        <v>#VALUE!</v>
      </c>
      <c r="J41" s="1" t="e">
        <f>IF(Protokoll_1p!G47="","",IF(VALUE(LEFT(Protokoll_1p!G47,FIND(":",Protokoll_1p!G47)-1))&gt;VALUE(RIGHT(Protokoll_1p!G47,LEN(Protokoll_1p!G47)-FIND(":",Protokoll_1p!G47))),0,1))</f>
        <v>#VALUE!</v>
      </c>
      <c r="K41" s="1" t="e">
        <f>IF(Protokoll_1p!H47="","",IF(VALUE(LEFT(Protokoll_1p!H47,FIND(":",Protokoll_1p!H47)-1))&gt;VALUE(RIGHT(Protokoll_1p!H47,LEN(Protokoll_1p!H47)-FIND(":",Protokoll_1p!H47))),0,1))</f>
        <v>#VALUE!</v>
      </c>
      <c r="L41" s="1" t="e">
        <f>IF(Protokoll_1p!I47="","",IF(VALUE(LEFT(Protokoll_1p!I47,FIND(":",Protokoll_1p!I47)-1))&gt;VALUE(RIGHT(Protokoll_1p!I47,LEN(Protokoll_1p!I47)-FIND(":",Protokoll_1p!I47))),0,1))</f>
        <v>#VALUE!</v>
      </c>
      <c r="M41" s="1" t="e">
        <f>IF(Protokoll_1p!J47="","",IF(VALUE(LEFT(Protokoll_1p!J47,FIND(":",Protokoll_1p!J47)-1))&gt;VALUE(RIGHT(Protokoll_1p!J47,LEN(Protokoll_1p!J47)-FIND(":",Protokoll_1p!J47))),0,1))</f>
        <v>#VALUE!</v>
      </c>
      <c r="N41" s="1" t="e">
        <f t="shared" si="1"/>
        <v>#VALUE!</v>
      </c>
    </row>
    <row r="42" spans="2:14">
      <c r="B42" s="1">
        <f>IF(Protokoll_1p!F48="","",IF(VALUE(LEFT(Protokoll_1p!F48,FIND(":",Protokoll_1p!F48)-1))&gt;VALUE(RIGHT(Protokoll_1p!F48,LEN(Protokoll_1p!F48)-FIND(":",Protokoll_1p!F48))),1,0))</f>
        <v>1</v>
      </c>
      <c r="C42" s="1">
        <f>IF(Protokoll_1p!G48="","",IF(VALUE(LEFT(Protokoll_1p!G48,FIND(":",Protokoll_1p!G48)-1))&gt;VALUE(RIGHT(Protokoll_1p!G48,LEN(Protokoll_1p!G48)-FIND(":",Protokoll_1p!G48))),1,0))</f>
        <v>0</v>
      </c>
      <c r="D42" s="1">
        <f>IF(Protokoll_1p!H48="","",IF(VALUE(LEFT(Protokoll_1p!H48,FIND(":",Protokoll_1p!H48)-1))&gt;VALUE(RIGHT(Protokoll_1p!H48,LEN(Protokoll_1p!H48)-FIND(":",Protokoll_1p!H48))),1,0))</f>
        <v>1</v>
      </c>
      <c r="E42" s="1">
        <f>IF(Protokoll_1p!I48="","",IF(VALUE(LEFT(Protokoll_1p!I48,FIND(":",Protokoll_1p!I48)-1))&gt;VALUE(RIGHT(Protokoll_1p!I48,LEN(Protokoll_1p!I48)-FIND(":",Protokoll_1p!I48))),1,0))</f>
        <v>1</v>
      </c>
      <c r="F42" s="1" t="str">
        <f>IF(Protokoll_1p!J48="","",IF(VALUE(LEFT(Protokoll_1p!J48,FIND(":",Protokoll_1p!J48)-1))&gt;VALUE(RIGHT(Protokoll_1p!J48,LEN(Protokoll_1p!J48)-FIND(":",Protokoll_1p!J48))),1,0))</f>
        <v/>
      </c>
      <c r="G42" s="1">
        <f t="shared" si="0"/>
        <v>3</v>
      </c>
      <c r="I42" s="1">
        <f>IF(Protokoll_1p!F48="","",IF(VALUE(LEFT(Protokoll_1p!F48,FIND(":",Protokoll_1p!F48)-1))&gt;VALUE(RIGHT(Protokoll_1p!F48,LEN(Protokoll_1p!F48)-FIND(":",Protokoll_1p!F48))),0,1))</f>
        <v>0</v>
      </c>
      <c r="J42" s="1">
        <f>IF(Protokoll_1p!G48="","",IF(VALUE(LEFT(Protokoll_1p!G48,FIND(":",Protokoll_1p!G48)-1))&gt;VALUE(RIGHT(Protokoll_1p!G48,LEN(Protokoll_1p!G48)-FIND(":",Protokoll_1p!G48))),0,1))</f>
        <v>1</v>
      </c>
      <c r="K42" s="1">
        <f>IF(Protokoll_1p!H48="","",IF(VALUE(LEFT(Protokoll_1p!H48,FIND(":",Protokoll_1p!H48)-1))&gt;VALUE(RIGHT(Protokoll_1p!H48,LEN(Protokoll_1p!H48)-FIND(":",Protokoll_1p!H48))),0,1))</f>
        <v>0</v>
      </c>
      <c r="L42" s="1">
        <f>IF(Protokoll_1p!I48="","",IF(VALUE(LEFT(Protokoll_1p!I48,FIND(":",Protokoll_1p!I48)-1))&gt;VALUE(RIGHT(Protokoll_1p!I48,LEN(Protokoll_1p!I48)-FIND(":",Protokoll_1p!I48))),0,1))</f>
        <v>0</v>
      </c>
      <c r="M42" s="1" t="str">
        <f>IF(Protokoll_1p!J48="","",IF(VALUE(LEFT(Protokoll_1p!J48,FIND(":",Protokoll_1p!J48)-1))&gt;VALUE(RIGHT(Protokoll_1p!J48,LEN(Protokoll_1p!J48)-FIND(":",Protokoll_1p!J48))),0,1))</f>
        <v/>
      </c>
      <c r="N42" s="1">
        <f t="shared" si="1"/>
        <v>1</v>
      </c>
    </row>
    <row r="43" spans="2:14">
      <c r="B43" s="1">
        <f>IF(Protokoll_1p!F49="","",IF(VALUE(LEFT(Protokoll_1p!F49,FIND(":",Protokoll_1p!F49)-1))&gt;VALUE(RIGHT(Protokoll_1p!F49,LEN(Protokoll_1p!F49)-FIND(":",Protokoll_1p!F49))),1,0))</f>
        <v>1</v>
      </c>
      <c r="C43" s="1">
        <f>IF(Protokoll_1p!G49="","",IF(VALUE(LEFT(Protokoll_1p!G49,FIND(":",Protokoll_1p!G49)-1))&gt;VALUE(RIGHT(Protokoll_1p!G49,LEN(Protokoll_1p!G49)-FIND(":",Protokoll_1p!G49))),1,0))</f>
        <v>1</v>
      </c>
      <c r="D43" s="1">
        <f>IF(Protokoll_1p!H49="","",IF(VALUE(LEFT(Protokoll_1p!H49,FIND(":",Protokoll_1p!H49)-1))&gt;VALUE(RIGHT(Protokoll_1p!H49,LEN(Protokoll_1p!H49)-FIND(":",Protokoll_1p!H49))),1,0))</f>
        <v>1</v>
      </c>
      <c r="E43" s="1" t="str">
        <f>IF(Protokoll_1p!I49="","",IF(VALUE(LEFT(Protokoll_1p!I49,FIND(":",Protokoll_1p!I49)-1))&gt;VALUE(RIGHT(Protokoll_1p!I49,LEN(Protokoll_1p!I49)-FIND(":",Protokoll_1p!I49))),1,0))</f>
        <v/>
      </c>
      <c r="F43" s="1" t="str">
        <f>IF(Protokoll_1p!J49="","",IF(VALUE(LEFT(Protokoll_1p!J49,FIND(":",Protokoll_1p!J49)-1))&gt;VALUE(RIGHT(Protokoll_1p!J49,LEN(Protokoll_1p!J49)-FIND(":",Protokoll_1p!J49))),1,0))</f>
        <v/>
      </c>
      <c r="G43" s="1">
        <f t="shared" si="0"/>
        <v>3</v>
      </c>
      <c r="I43" s="1">
        <f>IF(Protokoll_1p!F49="","",IF(VALUE(LEFT(Protokoll_1p!F49,FIND(":",Protokoll_1p!F49)-1))&gt;VALUE(RIGHT(Protokoll_1p!F49,LEN(Protokoll_1p!F49)-FIND(":",Protokoll_1p!F49))),0,1))</f>
        <v>0</v>
      </c>
      <c r="J43" s="1">
        <f>IF(Protokoll_1p!G49="","",IF(VALUE(LEFT(Protokoll_1p!G49,FIND(":",Protokoll_1p!G49)-1))&gt;VALUE(RIGHT(Protokoll_1p!G49,LEN(Protokoll_1p!G49)-FIND(":",Protokoll_1p!G49))),0,1))</f>
        <v>0</v>
      </c>
      <c r="K43" s="1">
        <f>IF(Protokoll_1p!H49="","",IF(VALUE(LEFT(Protokoll_1p!H49,FIND(":",Protokoll_1p!H49)-1))&gt;VALUE(RIGHT(Protokoll_1p!H49,LEN(Protokoll_1p!H49)-FIND(":",Protokoll_1p!H49))),0,1))</f>
        <v>0</v>
      </c>
      <c r="L43" s="1" t="str">
        <f>IF(Protokoll_1p!I49="","",IF(VALUE(LEFT(Protokoll_1p!I49,FIND(":",Protokoll_1p!I49)-1))&gt;VALUE(RIGHT(Protokoll_1p!I49,LEN(Protokoll_1p!I49)-FIND(":",Protokoll_1p!I49))),0,1))</f>
        <v/>
      </c>
      <c r="M43" s="1" t="str">
        <f>IF(Protokoll_1p!J49="","",IF(VALUE(LEFT(Protokoll_1p!J49,FIND(":",Protokoll_1p!J49)-1))&gt;VALUE(RIGHT(Protokoll_1p!J49,LEN(Protokoll_1p!J49)-FIND(":",Protokoll_1p!J49))),0,1))</f>
        <v/>
      </c>
      <c r="N43" s="1">
        <f t="shared" si="1"/>
        <v>0</v>
      </c>
    </row>
    <row r="44" spans="2:14">
      <c r="B44" s="1">
        <f>IF(Protokoll_1p!F50="","",IF(VALUE(LEFT(Protokoll_1p!F50,FIND(":",Protokoll_1p!F50)-1))&gt;VALUE(RIGHT(Protokoll_1p!F50,LEN(Protokoll_1p!F50)-FIND(":",Protokoll_1p!F50))),1,0))</f>
        <v>0</v>
      </c>
      <c r="C44" s="1">
        <f>IF(Protokoll_1p!G50="","",IF(VALUE(LEFT(Protokoll_1p!G50,FIND(":",Protokoll_1p!G50)-1))&gt;VALUE(RIGHT(Protokoll_1p!G50,LEN(Protokoll_1p!G50)-FIND(":",Protokoll_1p!G50))),1,0))</f>
        <v>0</v>
      </c>
      <c r="D44" s="1">
        <f>IF(Protokoll_1p!H50="","",IF(VALUE(LEFT(Protokoll_1p!H50,FIND(":",Protokoll_1p!H50)-1))&gt;VALUE(RIGHT(Protokoll_1p!H50,LEN(Protokoll_1p!H50)-FIND(":",Protokoll_1p!H50))),1,0))</f>
        <v>0</v>
      </c>
      <c r="E44" s="1" t="str">
        <f>IF(Protokoll_1p!I50="","",IF(VALUE(LEFT(Protokoll_1p!I50,FIND(":",Protokoll_1p!I50)-1))&gt;VALUE(RIGHT(Protokoll_1p!I50,LEN(Protokoll_1p!I50)-FIND(":",Protokoll_1p!I50))),1,0))</f>
        <v/>
      </c>
      <c r="F44" s="1" t="str">
        <f>IF(Protokoll_1p!J50="","",IF(VALUE(LEFT(Protokoll_1p!J50,FIND(":",Protokoll_1p!J50)-1))&gt;VALUE(RIGHT(Protokoll_1p!J50,LEN(Protokoll_1p!J50)-FIND(":",Protokoll_1p!J50))),1,0))</f>
        <v/>
      </c>
      <c r="G44" s="1">
        <f t="shared" si="0"/>
        <v>0</v>
      </c>
      <c r="I44" s="1">
        <f>IF(Protokoll_1p!F50="","",IF(VALUE(LEFT(Protokoll_1p!F50,FIND(":",Protokoll_1p!F50)-1))&gt;VALUE(RIGHT(Protokoll_1p!F50,LEN(Protokoll_1p!F50)-FIND(":",Protokoll_1p!F50))),0,1))</f>
        <v>1</v>
      </c>
      <c r="J44" s="1">
        <f>IF(Protokoll_1p!G50="","",IF(VALUE(LEFT(Protokoll_1p!G50,FIND(":",Protokoll_1p!G50)-1))&gt;VALUE(RIGHT(Protokoll_1p!G50,LEN(Protokoll_1p!G50)-FIND(":",Protokoll_1p!G50))),0,1))</f>
        <v>1</v>
      </c>
      <c r="K44" s="1">
        <f>IF(Protokoll_1p!H50="","",IF(VALUE(LEFT(Protokoll_1p!H50,FIND(":",Protokoll_1p!H50)-1))&gt;VALUE(RIGHT(Protokoll_1p!H50,LEN(Protokoll_1p!H50)-FIND(":",Protokoll_1p!H50))),0,1))</f>
        <v>1</v>
      </c>
      <c r="L44" s="1" t="str">
        <f>IF(Protokoll_1p!I50="","",IF(VALUE(LEFT(Protokoll_1p!I50,FIND(":",Protokoll_1p!I50)-1))&gt;VALUE(RIGHT(Protokoll_1p!I50,LEN(Protokoll_1p!I50)-FIND(":",Protokoll_1p!I50))),0,1))</f>
        <v/>
      </c>
      <c r="M44" s="1" t="str">
        <f>IF(Protokoll_1p!J50="","",IF(VALUE(LEFT(Protokoll_1p!J50,FIND(":",Protokoll_1p!J50)-1))&gt;VALUE(RIGHT(Protokoll_1p!J50,LEN(Protokoll_1p!J50)-FIND(":",Protokoll_1p!J50))),0,1))</f>
        <v/>
      </c>
      <c r="N44" s="1">
        <f t="shared" si="1"/>
        <v>3</v>
      </c>
    </row>
    <row r="45" spans="2:14">
      <c r="B45" s="1">
        <f>IF(Protokoll_1p!F51="","",IF(VALUE(LEFT(Protokoll_1p!F51,FIND(":",Protokoll_1p!F51)-1))&gt;VALUE(RIGHT(Protokoll_1p!F51,LEN(Protokoll_1p!F51)-FIND(":",Protokoll_1p!F51))),1,0))</f>
        <v>1</v>
      </c>
      <c r="C45" s="1">
        <f>IF(Protokoll_1p!G51="","",IF(VALUE(LEFT(Protokoll_1p!G51,FIND(":",Protokoll_1p!G51)-1))&gt;VALUE(RIGHT(Protokoll_1p!G51,LEN(Protokoll_1p!G51)-FIND(":",Protokoll_1p!G51))),1,0))</f>
        <v>1</v>
      </c>
      <c r="D45" s="1">
        <f>IF(Protokoll_1p!H51="","",IF(VALUE(LEFT(Protokoll_1p!H51,FIND(":",Protokoll_1p!H51)-1))&gt;VALUE(RIGHT(Protokoll_1p!H51,LEN(Protokoll_1p!H51)-FIND(":",Protokoll_1p!H51))),1,0))</f>
        <v>0</v>
      </c>
      <c r="E45" s="1">
        <f>IF(Protokoll_1p!I51="","",IF(VALUE(LEFT(Protokoll_1p!I51,FIND(":",Protokoll_1p!I51)-1))&gt;VALUE(RIGHT(Protokoll_1p!I51,LEN(Protokoll_1p!I51)-FIND(":",Protokoll_1p!I51))),1,0))</f>
        <v>1</v>
      </c>
      <c r="F45" s="1" t="str">
        <f>IF(Protokoll_1p!J51="","",IF(VALUE(LEFT(Protokoll_1p!J51,FIND(":",Protokoll_1p!J51)-1))&gt;VALUE(RIGHT(Protokoll_1p!J51,LEN(Protokoll_1p!J51)-FIND(":",Protokoll_1p!J51))),1,0))</f>
        <v/>
      </c>
      <c r="G45" s="1">
        <f t="shared" si="0"/>
        <v>3</v>
      </c>
      <c r="I45" s="1">
        <f>IF(Protokoll_1p!F51="","",IF(VALUE(LEFT(Protokoll_1p!F51,FIND(":",Protokoll_1p!F51)-1))&gt;VALUE(RIGHT(Protokoll_1p!F51,LEN(Protokoll_1p!F51)-FIND(":",Protokoll_1p!F51))),0,1))</f>
        <v>0</v>
      </c>
      <c r="J45" s="1">
        <f>IF(Protokoll_1p!G51="","",IF(VALUE(LEFT(Protokoll_1p!G51,FIND(":",Protokoll_1p!G51)-1))&gt;VALUE(RIGHT(Protokoll_1p!G51,LEN(Protokoll_1p!G51)-FIND(":",Protokoll_1p!G51))),0,1))</f>
        <v>0</v>
      </c>
      <c r="K45" s="1">
        <f>IF(Protokoll_1p!H51="","",IF(VALUE(LEFT(Protokoll_1p!H51,FIND(":",Protokoll_1p!H51)-1))&gt;VALUE(RIGHT(Protokoll_1p!H51,LEN(Protokoll_1p!H51)-FIND(":",Protokoll_1p!H51))),0,1))</f>
        <v>1</v>
      </c>
      <c r="L45" s="1">
        <f>IF(Protokoll_1p!I51="","",IF(VALUE(LEFT(Protokoll_1p!I51,FIND(":",Protokoll_1p!I51)-1))&gt;VALUE(RIGHT(Protokoll_1p!I51,LEN(Protokoll_1p!I51)-FIND(":",Protokoll_1p!I51))),0,1))</f>
        <v>0</v>
      </c>
      <c r="M45" s="1" t="str">
        <f>IF(Protokoll_1p!J51="","",IF(VALUE(LEFT(Protokoll_1p!J51,FIND(":",Protokoll_1p!J51)-1))&gt;VALUE(RIGHT(Protokoll_1p!J51,LEN(Protokoll_1p!J51)-FIND(":",Protokoll_1p!J51))),0,1))</f>
        <v/>
      </c>
      <c r="N45" s="1">
        <f t="shared" si="1"/>
        <v>1</v>
      </c>
    </row>
    <row r="46" spans="2:14">
      <c r="B46" s="1" t="str">
        <f>IF(Protokoll_1p!F52="","",IF(VALUE(LEFT(Protokoll_1p!F52,FIND(":",Protokoll_1p!F52)-1))&gt;VALUE(RIGHT(Protokoll_1p!F52,LEN(Protokoll_1p!F52)-FIND(":",Protokoll_1p!F52))),1,0))</f>
        <v/>
      </c>
      <c r="C46" s="1" t="str">
        <f>IF(Protokoll_1p!G52="","",IF(VALUE(LEFT(Protokoll_1p!G52,FIND(":",Protokoll_1p!G52)-1))&gt;VALUE(RIGHT(Protokoll_1p!G52,LEN(Protokoll_1p!G52)-FIND(":",Protokoll_1p!G52))),1,0))</f>
        <v/>
      </c>
      <c r="D46" s="1" t="str">
        <f>IF(Protokoll_1p!H52="","",IF(VALUE(LEFT(Protokoll_1p!H52,FIND(":",Protokoll_1p!H52)-1))&gt;VALUE(RIGHT(Protokoll_1p!H52,LEN(Protokoll_1p!H52)-FIND(":",Protokoll_1p!H52))),1,0))</f>
        <v/>
      </c>
      <c r="E46" s="1" t="str">
        <f>IF(Protokoll_1p!I52="","",IF(VALUE(LEFT(Protokoll_1p!I52,FIND(":",Protokoll_1p!I52)-1))&gt;VALUE(RIGHT(Protokoll_1p!I52,LEN(Protokoll_1p!I52)-FIND(":",Protokoll_1p!I52))),1,0))</f>
        <v/>
      </c>
      <c r="F46" s="1" t="str">
        <f>IF(Protokoll_1p!J52="","",IF(VALUE(LEFT(Protokoll_1p!J52,FIND(":",Protokoll_1p!J52)-1))&gt;VALUE(RIGHT(Protokoll_1p!J52,LEN(Protokoll_1p!J52)-FIND(":",Protokoll_1p!J52))),1,0))</f>
        <v/>
      </c>
      <c r="G46" s="1" t="str">
        <f t="shared" si="0"/>
        <v/>
      </c>
      <c r="I46" s="1" t="str">
        <f>IF(Protokoll_1p!F52="","",IF(VALUE(LEFT(Protokoll_1p!F52,FIND(":",Protokoll_1p!F52)-1))&gt;VALUE(RIGHT(Protokoll_1p!F52,LEN(Protokoll_1p!F52)-FIND(":",Protokoll_1p!F52))),0,1))</f>
        <v/>
      </c>
      <c r="J46" s="1" t="str">
        <f>IF(Protokoll_1p!G52="","",IF(VALUE(LEFT(Protokoll_1p!G52,FIND(":",Protokoll_1p!G52)-1))&gt;VALUE(RIGHT(Protokoll_1p!G52,LEN(Protokoll_1p!G52)-FIND(":",Protokoll_1p!G52))),0,1))</f>
        <v/>
      </c>
      <c r="K46" s="1" t="str">
        <f>IF(Protokoll_1p!H52="","",IF(VALUE(LEFT(Protokoll_1p!H52,FIND(":",Protokoll_1p!H52)-1))&gt;VALUE(RIGHT(Protokoll_1p!H52,LEN(Protokoll_1p!H52)-FIND(":",Protokoll_1p!H52))),0,1))</f>
        <v/>
      </c>
      <c r="L46" s="1" t="str">
        <f>IF(Protokoll_1p!I52="","",IF(VALUE(LEFT(Protokoll_1p!I52,FIND(":",Protokoll_1p!I52)-1))&gt;VALUE(RIGHT(Protokoll_1p!I52,LEN(Protokoll_1p!I52)-FIND(":",Protokoll_1p!I52))),0,1))</f>
        <v/>
      </c>
      <c r="M46" s="1" t="str">
        <f>IF(Protokoll_1p!J52="","",IF(VALUE(LEFT(Protokoll_1p!J52,FIND(":",Protokoll_1p!J52)-1))&gt;VALUE(RIGHT(Protokoll_1p!J52,LEN(Protokoll_1p!J52)-FIND(":",Protokoll_1p!J52))),0,1))</f>
        <v/>
      </c>
      <c r="N46" s="1" t="str">
        <f t="shared" si="1"/>
        <v/>
      </c>
    </row>
    <row r="47" spans="2:14">
      <c r="B47" s="1">
        <f>IF(Protokoll_1p!F53="","",IF(VALUE(LEFT(Protokoll_1p!F53,FIND(":",Protokoll_1p!F53)-1))&gt;VALUE(RIGHT(Protokoll_1p!F53,LEN(Protokoll_1p!F53)-FIND(":",Protokoll_1p!F53))),1,0))</f>
        <v>1</v>
      </c>
      <c r="C47" s="1">
        <f>IF(Protokoll_1p!G53="","",IF(VALUE(LEFT(Protokoll_1p!G53,FIND(":",Protokoll_1p!G53)-1))&gt;VALUE(RIGHT(Protokoll_1p!G53,LEN(Protokoll_1p!G53)-FIND(":",Protokoll_1p!G53))),1,0))</f>
        <v>0</v>
      </c>
      <c r="D47" s="1">
        <f>IF(Protokoll_1p!H53="","",IF(VALUE(LEFT(Protokoll_1p!H53,FIND(":",Protokoll_1p!H53)-1))&gt;VALUE(RIGHT(Protokoll_1p!H53,LEN(Protokoll_1p!H53)-FIND(":",Protokoll_1p!H53))),1,0))</f>
        <v>1</v>
      </c>
      <c r="E47" s="1">
        <f>IF(Protokoll_1p!I53="","",IF(VALUE(LEFT(Protokoll_1p!I53,FIND(":",Protokoll_1p!I53)-1))&gt;VALUE(RIGHT(Protokoll_1p!I53,LEN(Protokoll_1p!I53)-FIND(":",Protokoll_1p!I53))),1,0))</f>
        <v>1</v>
      </c>
      <c r="F47" s="1" t="str">
        <f>IF(Protokoll_1p!J53="","",IF(VALUE(LEFT(Protokoll_1p!J53,FIND(":",Protokoll_1p!J53)-1))&gt;VALUE(RIGHT(Protokoll_1p!J53,LEN(Protokoll_1p!J53)-FIND(":",Protokoll_1p!J53))),1,0))</f>
        <v/>
      </c>
      <c r="G47" s="1">
        <f t="shared" si="0"/>
        <v>3</v>
      </c>
      <c r="I47" s="1">
        <f>IF(Protokoll_1p!F53="","",IF(VALUE(LEFT(Protokoll_1p!F53,FIND(":",Protokoll_1p!F53)-1))&gt;VALUE(RIGHT(Protokoll_1p!F53,LEN(Protokoll_1p!F53)-FIND(":",Protokoll_1p!F53))),0,1))</f>
        <v>0</v>
      </c>
      <c r="J47" s="1">
        <f>IF(Protokoll_1p!G53="","",IF(VALUE(LEFT(Protokoll_1p!G53,FIND(":",Protokoll_1p!G53)-1))&gt;VALUE(RIGHT(Protokoll_1p!G53,LEN(Protokoll_1p!G53)-FIND(":",Protokoll_1p!G53))),0,1))</f>
        <v>1</v>
      </c>
      <c r="K47" s="1">
        <f>IF(Protokoll_1p!H53="","",IF(VALUE(LEFT(Protokoll_1p!H53,FIND(":",Protokoll_1p!H53)-1))&gt;VALUE(RIGHT(Protokoll_1p!H53,LEN(Protokoll_1p!H53)-FIND(":",Protokoll_1p!H53))),0,1))</f>
        <v>0</v>
      </c>
      <c r="L47" s="1">
        <f>IF(Protokoll_1p!I53="","",IF(VALUE(LEFT(Protokoll_1p!I53,FIND(":",Protokoll_1p!I53)-1))&gt;VALUE(RIGHT(Protokoll_1p!I53,LEN(Protokoll_1p!I53)-FIND(":",Protokoll_1p!I53))),0,1))</f>
        <v>0</v>
      </c>
      <c r="M47" s="1" t="str">
        <f>IF(Protokoll_1p!J53="","",IF(VALUE(LEFT(Protokoll_1p!J53,FIND(":",Protokoll_1p!J53)-1))&gt;VALUE(RIGHT(Protokoll_1p!J53,LEN(Protokoll_1p!J53)-FIND(":",Protokoll_1p!J53))),0,1))</f>
        <v/>
      </c>
      <c r="N47" s="1">
        <f t="shared" si="1"/>
        <v>1</v>
      </c>
    </row>
    <row r="48" spans="2:14">
      <c r="B48" s="1" t="str">
        <f>IF(Protokoll_1p!F54="","",IF(VALUE(LEFT(Protokoll_1p!F54,FIND(":",Protokoll_1p!F54)-1))&gt;VALUE(RIGHT(Protokoll_1p!F54,LEN(Protokoll_1p!F54)-FIND(":",Protokoll_1p!F54))),1,0))</f>
        <v/>
      </c>
      <c r="C48" s="1" t="str">
        <f>IF(Protokoll_1p!G54="","",IF(VALUE(LEFT(Protokoll_1p!G54,FIND(":",Protokoll_1p!G54)-1))&gt;VALUE(RIGHT(Protokoll_1p!G54,LEN(Protokoll_1p!G54)-FIND(":",Protokoll_1p!G54))),1,0))</f>
        <v/>
      </c>
      <c r="D48" s="1" t="str">
        <f>IF(Protokoll_1p!H54="","",IF(VALUE(LEFT(Protokoll_1p!H54,FIND(":",Protokoll_1p!H54)-1))&gt;VALUE(RIGHT(Protokoll_1p!H54,LEN(Protokoll_1p!H54)-FIND(":",Protokoll_1p!H54))),1,0))</f>
        <v/>
      </c>
      <c r="E48" s="1" t="str">
        <f>IF(Protokoll_1p!I54="","",IF(VALUE(LEFT(Protokoll_1p!I54,FIND(":",Protokoll_1p!I54)-1))&gt;VALUE(RIGHT(Protokoll_1p!I54,LEN(Protokoll_1p!I54)-FIND(":",Protokoll_1p!I54))),1,0))</f>
        <v/>
      </c>
      <c r="F48" s="1" t="str">
        <f>IF(Protokoll_1p!J54="","",IF(VALUE(LEFT(Protokoll_1p!J54,FIND(":",Protokoll_1p!J54)-1))&gt;VALUE(RIGHT(Protokoll_1p!J54,LEN(Protokoll_1p!J54)-FIND(":",Protokoll_1p!J54))),1,0))</f>
        <v/>
      </c>
      <c r="G48" s="1" t="str">
        <f t="shared" si="0"/>
        <v/>
      </c>
      <c r="I48" s="1" t="str">
        <f>IF(Protokoll_1p!F54="","",IF(VALUE(LEFT(Protokoll_1p!F54,FIND(":",Protokoll_1p!F54)-1))&gt;VALUE(RIGHT(Protokoll_1p!F54,LEN(Protokoll_1p!F54)-FIND(":",Protokoll_1p!F54))),0,1))</f>
        <v/>
      </c>
      <c r="J48" s="1" t="str">
        <f>IF(Protokoll_1p!G54="","",IF(VALUE(LEFT(Protokoll_1p!G54,FIND(":",Protokoll_1p!G54)-1))&gt;VALUE(RIGHT(Protokoll_1p!G54,LEN(Protokoll_1p!G54)-FIND(":",Protokoll_1p!G54))),0,1))</f>
        <v/>
      </c>
      <c r="K48" s="1" t="str">
        <f>IF(Protokoll_1p!H54="","",IF(VALUE(LEFT(Protokoll_1p!H54,FIND(":",Protokoll_1p!H54)-1))&gt;VALUE(RIGHT(Protokoll_1p!H54,LEN(Protokoll_1p!H54)-FIND(":",Protokoll_1p!H54))),0,1))</f>
        <v/>
      </c>
      <c r="L48" s="1" t="str">
        <f>IF(Protokoll_1p!I54="","",IF(VALUE(LEFT(Protokoll_1p!I54,FIND(":",Protokoll_1p!I54)-1))&gt;VALUE(RIGHT(Protokoll_1p!I54,LEN(Protokoll_1p!I54)-FIND(":",Protokoll_1p!I54))),0,1))</f>
        <v/>
      </c>
      <c r="M48" s="1" t="str">
        <f>IF(Protokoll_1p!J54="","",IF(VALUE(LEFT(Protokoll_1p!J54,FIND(":",Protokoll_1p!J54)-1))&gt;VALUE(RIGHT(Protokoll_1p!J54,LEN(Protokoll_1p!J54)-FIND(":",Protokoll_1p!J54))),0,1))</f>
        <v/>
      </c>
      <c r="N48" s="1" t="str">
        <f t="shared" si="1"/>
        <v/>
      </c>
    </row>
    <row r="49" spans="2:14">
      <c r="B49" s="1" t="str">
        <f>IF(Protokoll_1p!F55="","",IF(VALUE(LEFT(Protokoll_1p!F55,FIND(":",Protokoll_1p!F55)-1))&gt;VALUE(RIGHT(Protokoll_1p!F55,LEN(Protokoll_1p!F55)-FIND(":",Protokoll_1p!F55))),1,0))</f>
        <v/>
      </c>
      <c r="C49" s="1" t="str">
        <f>IF(Protokoll_1p!G55="","",IF(VALUE(LEFT(Protokoll_1p!G55,FIND(":",Protokoll_1p!G55)-1))&gt;VALUE(RIGHT(Protokoll_1p!G55,LEN(Protokoll_1p!G55)-FIND(":",Protokoll_1p!G55))),1,0))</f>
        <v/>
      </c>
      <c r="D49" s="1" t="str">
        <f>IF(Protokoll_1p!H55="","",IF(VALUE(LEFT(Protokoll_1p!H55,FIND(":",Protokoll_1p!H55)-1))&gt;VALUE(RIGHT(Protokoll_1p!H55,LEN(Protokoll_1p!H55)-FIND(":",Protokoll_1p!H55))),1,0))</f>
        <v/>
      </c>
      <c r="E49" s="1" t="str">
        <f>IF(Protokoll_1p!I55="","",IF(VALUE(LEFT(Protokoll_1p!I55,FIND(":",Protokoll_1p!I55)-1))&gt;VALUE(RIGHT(Protokoll_1p!I55,LEN(Protokoll_1p!I55)-FIND(":",Protokoll_1p!I55))),1,0))</f>
        <v/>
      </c>
      <c r="F49" s="1" t="str">
        <f>IF(Protokoll_1p!J55="","",IF(VALUE(LEFT(Protokoll_1p!J55,FIND(":",Protokoll_1p!J55)-1))&gt;VALUE(RIGHT(Protokoll_1p!J55,LEN(Protokoll_1p!J55)-FIND(":",Protokoll_1p!J55))),1,0))</f>
        <v/>
      </c>
      <c r="G49" s="1" t="str">
        <f t="shared" si="0"/>
        <v/>
      </c>
      <c r="I49" s="1" t="str">
        <f>IF(Protokoll_1p!F55="","",IF(VALUE(LEFT(Protokoll_1p!F55,FIND(":",Protokoll_1p!F55)-1))&gt;VALUE(RIGHT(Protokoll_1p!F55,LEN(Protokoll_1p!F55)-FIND(":",Protokoll_1p!F55))),0,1))</f>
        <v/>
      </c>
      <c r="J49" s="1" t="str">
        <f>IF(Protokoll_1p!G55="","",IF(VALUE(LEFT(Protokoll_1p!G55,FIND(":",Protokoll_1p!G55)-1))&gt;VALUE(RIGHT(Protokoll_1p!G55,LEN(Protokoll_1p!G55)-FIND(":",Protokoll_1p!G55))),0,1))</f>
        <v/>
      </c>
      <c r="K49" s="1" t="str">
        <f>IF(Protokoll_1p!H55="","",IF(VALUE(LEFT(Protokoll_1p!H55,FIND(":",Protokoll_1p!H55)-1))&gt;VALUE(RIGHT(Protokoll_1p!H55,LEN(Protokoll_1p!H55)-FIND(":",Protokoll_1p!H55))),0,1))</f>
        <v/>
      </c>
      <c r="L49" s="1" t="str">
        <f>IF(Protokoll_1p!I55="","",IF(VALUE(LEFT(Protokoll_1p!I55,FIND(":",Protokoll_1p!I55)-1))&gt;VALUE(RIGHT(Protokoll_1p!I55,LEN(Protokoll_1p!I55)-FIND(":",Protokoll_1p!I55))),0,1))</f>
        <v/>
      </c>
      <c r="M49" s="1" t="str">
        <f>IF(Protokoll_1p!J55="","",IF(VALUE(LEFT(Protokoll_1p!J55,FIND(":",Protokoll_1p!J55)-1))&gt;VALUE(RIGHT(Protokoll_1p!J55,LEN(Protokoll_1p!J55)-FIND(":",Protokoll_1p!J55))),0,1))</f>
        <v/>
      </c>
      <c r="N49" s="1" t="str">
        <f t="shared" si="1"/>
        <v/>
      </c>
    </row>
    <row r="50" spans="2:14">
      <c r="B50" s="1" t="str">
        <f>IF(Protokoll_1p!F56="","",IF(VALUE(LEFT(Protokoll_1p!F56,FIND(":",Protokoll_1p!F56)-1))&gt;VALUE(RIGHT(Protokoll_1p!F56,LEN(Protokoll_1p!F56)-FIND(":",Protokoll_1p!F56))),1,0))</f>
        <v/>
      </c>
      <c r="C50" s="1" t="str">
        <f>IF(Protokoll_1p!G56="","",IF(VALUE(LEFT(Protokoll_1p!G56,FIND(":",Protokoll_1p!G56)-1))&gt;VALUE(RIGHT(Protokoll_1p!G56,LEN(Protokoll_1p!G56)-FIND(":",Protokoll_1p!G56))),1,0))</f>
        <v/>
      </c>
      <c r="D50" s="1" t="str">
        <f>IF(Protokoll_1p!H56="","",IF(VALUE(LEFT(Protokoll_1p!H56,FIND(":",Protokoll_1p!H56)-1))&gt;VALUE(RIGHT(Protokoll_1p!H56,LEN(Protokoll_1p!H56)-FIND(":",Protokoll_1p!H56))),1,0))</f>
        <v/>
      </c>
      <c r="E50" s="1" t="str">
        <f>IF(Protokoll_1p!I56="","",IF(VALUE(LEFT(Protokoll_1p!I56,FIND(":",Protokoll_1p!I56)-1))&gt;VALUE(RIGHT(Protokoll_1p!I56,LEN(Protokoll_1p!I56)-FIND(":",Protokoll_1p!I56))),1,0))</f>
        <v/>
      </c>
      <c r="F50" s="1" t="str">
        <f>IF(Protokoll_1p!J56="","",IF(VALUE(LEFT(Protokoll_1p!J56,FIND(":",Protokoll_1p!J56)-1))&gt;VALUE(RIGHT(Protokoll_1p!J56,LEN(Protokoll_1p!J56)-FIND(":",Protokoll_1p!J56))),1,0))</f>
        <v/>
      </c>
      <c r="G50" s="1" t="str">
        <f t="shared" si="0"/>
        <v/>
      </c>
      <c r="I50" s="1" t="str">
        <f>IF(Protokoll_1p!F56="","",IF(VALUE(LEFT(Protokoll_1p!F56,FIND(":",Protokoll_1p!F56)-1))&gt;VALUE(RIGHT(Protokoll_1p!F56,LEN(Protokoll_1p!F56)-FIND(":",Protokoll_1p!F56))),0,1))</f>
        <v/>
      </c>
      <c r="J50" s="1" t="str">
        <f>IF(Protokoll_1p!G56="","",IF(VALUE(LEFT(Protokoll_1p!G56,FIND(":",Protokoll_1p!G56)-1))&gt;VALUE(RIGHT(Protokoll_1p!G56,LEN(Protokoll_1p!G56)-FIND(":",Protokoll_1p!G56))),0,1))</f>
        <v/>
      </c>
      <c r="K50" s="1" t="str">
        <f>IF(Protokoll_1p!H56="","",IF(VALUE(LEFT(Protokoll_1p!H56,FIND(":",Protokoll_1p!H56)-1))&gt;VALUE(RIGHT(Protokoll_1p!H56,LEN(Protokoll_1p!H56)-FIND(":",Protokoll_1p!H56))),0,1))</f>
        <v/>
      </c>
      <c r="L50" s="1" t="str">
        <f>IF(Protokoll_1p!I56="","",IF(VALUE(LEFT(Protokoll_1p!I56,FIND(":",Protokoll_1p!I56)-1))&gt;VALUE(RIGHT(Protokoll_1p!I56,LEN(Protokoll_1p!I56)-FIND(":",Protokoll_1p!I56))),0,1))</f>
        <v/>
      </c>
      <c r="M50" s="1" t="str">
        <f>IF(Protokoll_1p!J56="","",IF(VALUE(LEFT(Protokoll_1p!J56,FIND(":",Protokoll_1p!J56)-1))&gt;VALUE(RIGHT(Protokoll_1p!J56,LEN(Protokoll_1p!J56)-FIND(":",Protokoll_1p!J56))),0,1))</f>
        <v/>
      </c>
      <c r="N50" s="1" t="str">
        <f t="shared" si="1"/>
        <v/>
      </c>
    </row>
    <row r="51" spans="2:14">
      <c r="B51" s="1" t="e">
        <f>IF(Protokoll_1p!F57="","",IF(VALUE(LEFT(Protokoll_1p!F57,FIND(":",Protokoll_1p!F57)-1))&gt;VALUE(RIGHT(Protokoll_1p!F57,LEN(Protokoll_1p!F57)-FIND(":",Protokoll_1p!F57))),1,0))</f>
        <v>#VALUE!</v>
      </c>
      <c r="C51" s="1" t="e">
        <f>IF(Protokoll_1p!G57="","",IF(VALUE(LEFT(Protokoll_1p!G57,FIND(":",Protokoll_1p!G57)-1))&gt;VALUE(RIGHT(Protokoll_1p!G57,LEN(Protokoll_1p!G57)-FIND(":",Protokoll_1p!G57))),1,0))</f>
        <v>#VALUE!</v>
      </c>
      <c r="D51" s="1" t="e">
        <f>IF(Protokoll_1p!H57="","",IF(VALUE(LEFT(Protokoll_1p!H57,FIND(":",Protokoll_1p!H57)-1))&gt;VALUE(RIGHT(Protokoll_1p!H57,LEN(Protokoll_1p!H57)-FIND(":",Protokoll_1p!H57))),1,0))</f>
        <v>#VALUE!</v>
      </c>
      <c r="E51" s="1" t="e">
        <f>IF(Protokoll_1p!I57="","",IF(VALUE(LEFT(Protokoll_1p!I57,FIND(":",Protokoll_1p!I57)-1))&gt;VALUE(RIGHT(Protokoll_1p!I57,LEN(Protokoll_1p!I57)-FIND(":",Protokoll_1p!I57))),1,0))</f>
        <v>#VALUE!</v>
      </c>
      <c r="F51" s="1" t="e">
        <f>IF(Protokoll_1p!J57="","",IF(VALUE(LEFT(Protokoll_1p!J57,FIND(":",Protokoll_1p!J57)-1))&gt;VALUE(RIGHT(Protokoll_1p!J57,LEN(Protokoll_1p!J57)-FIND(":",Protokoll_1p!J57))),1,0))</f>
        <v>#VALUE!</v>
      </c>
      <c r="G51" s="1" t="e">
        <f t="shared" si="0"/>
        <v>#VALUE!</v>
      </c>
      <c r="I51" s="1" t="e">
        <f>IF(Protokoll_1p!F57="","",IF(VALUE(LEFT(Protokoll_1p!F57,FIND(":",Protokoll_1p!F57)-1))&gt;VALUE(RIGHT(Protokoll_1p!F57,LEN(Protokoll_1p!F57)-FIND(":",Protokoll_1p!F57))),0,1))</f>
        <v>#VALUE!</v>
      </c>
      <c r="J51" s="1" t="e">
        <f>IF(Protokoll_1p!G57="","",IF(VALUE(LEFT(Protokoll_1p!G57,FIND(":",Protokoll_1p!G57)-1))&gt;VALUE(RIGHT(Protokoll_1p!G57,LEN(Protokoll_1p!G57)-FIND(":",Protokoll_1p!G57))),0,1))</f>
        <v>#VALUE!</v>
      </c>
      <c r="K51" s="1" t="e">
        <f>IF(Protokoll_1p!H57="","",IF(VALUE(LEFT(Protokoll_1p!H57,FIND(":",Protokoll_1p!H57)-1))&gt;VALUE(RIGHT(Protokoll_1p!H57,LEN(Protokoll_1p!H57)-FIND(":",Protokoll_1p!H57))),0,1))</f>
        <v>#VALUE!</v>
      </c>
      <c r="L51" s="1" t="e">
        <f>IF(Protokoll_1p!I57="","",IF(VALUE(LEFT(Protokoll_1p!I57,FIND(":",Protokoll_1p!I57)-1))&gt;VALUE(RIGHT(Protokoll_1p!I57,LEN(Protokoll_1p!I57)-FIND(":",Protokoll_1p!I57))),0,1))</f>
        <v>#VALUE!</v>
      </c>
      <c r="M51" s="1" t="e">
        <f>IF(Protokoll_1p!J57="","",IF(VALUE(LEFT(Protokoll_1p!J57,FIND(":",Protokoll_1p!J57)-1))&gt;VALUE(RIGHT(Protokoll_1p!J57,LEN(Protokoll_1p!J57)-FIND(":",Protokoll_1p!J57))),0,1))</f>
        <v>#VALUE!</v>
      </c>
      <c r="N51" s="1" t="e">
        <f t="shared" si="1"/>
        <v>#VALUE!</v>
      </c>
    </row>
    <row r="52" spans="2:14">
      <c r="B52" s="1">
        <f>IF(Protokoll_1p!F58="","",IF(VALUE(LEFT(Protokoll_1p!F58,FIND(":",Protokoll_1p!F58)-1))&gt;VALUE(RIGHT(Protokoll_1p!F58,LEN(Protokoll_1p!F58)-FIND(":",Protokoll_1p!F58))),1,0))</f>
        <v>0</v>
      </c>
      <c r="C52" s="1">
        <f>IF(Protokoll_1p!G58="","",IF(VALUE(LEFT(Protokoll_1p!G58,FIND(":",Protokoll_1p!G58)-1))&gt;VALUE(RIGHT(Protokoll_1p!G58,LEN(Protokoll_1p!G58)-FIND(":",Protokoll_1p!G58))),1,0))</f>
        <v>1</v>
      </c>
      <c r="D52" s="1">
        <f>IF(Protokoll_1p!H58="","",IF(VALUE(LEFT(Protokoll_1p!H58,FIND(":",Protokoll_1p!H58)-1))&gt;VALUE(RIGHT(Protokoll_1p!H58,LEN(Protokoll_1p!H58)-FIND(":",Protokoll_1p!H58))),1,0))</f>
        <v>1</v>
      </c>
      <c r="E52" s="1">
        <f>IF(Protokoll_1p!I58="","",IF(VALUE(LEFT(Protokoll_1p!I58,FIND(":",Protokoll_1p!I58)-1))&gt;VALUE(RIGHT(Protokoll_1p!I58,LEN(Protokoll_1p!I58)-FIND(":",Protokoll_1p!I58))),1,0))</f>
        <v>1</v>
      </c>
      <c r="F52" s="1" t="str">
        <f>IF(Protokoll_1p!J58="","",IF(VALUE(LEFT(Protokoll_1p!J58,FIND(":",Protokoll_1p!J58)-1))&gt;VALUE(RIGHT(Protokoll_1p!J58,LEN(Protokoll_1p!J58)-FIND(":",Protokoll_1p!J58))),1,0))</f>
        <v/>
      </c>
      <c r="G52" s="1">
        <f t="shared" si="0"/>
        <v>3</v>
      </c>
      <c r="I52" s="1">
        <f>IF(Protokoll_1p!F58="","",IF(VALUE(LEFT(Protokoll_1p!F58,FIND(":",Protokoll_1p!F58)-1))&gt;VALUE(RIGHT(Protokoll_1p!F58,LEN(Protokoll_1p!F58)-FIND(":",Protokoll_1p!F58))),0,1))</f>
        <v>1</v>
      </c>
      <c r="J52" s="1">
        <f>IF(Protokoll_1p!G58="","",IF(VALUE(LEFT(Protokoll_1p!G58,FIND(":",Protokoll_1p!G58)-1))&gt;VALUE(RIGHT(Protokoll_1p!G58,LEN(Protokoll_1p!G58)-FIND(":",Protokoll_1p!G58))),0,1))</f>
        <v>0</v>
      </c>
      <c r="K52" s="1">
        <f>IF(Protokoll_1p!H58="","",IF(VALUE(LEFT(Protokoll_1p!H58,FIND(":",Protokoll_1p!H58)-1))&gt;VALUE(RIGHT(Protokoll_1p!H58,LEN(Protokoll_1p!H58)-FIND(":",Protokoll_1p!H58))),0,1))</f>
        <v>0</v>
      </c>
      <c r="L52" s="1">
        <f>IF(Protokoll_1p!I58="","",IF(VALUE(LEFT(Protokoll_1p!I58,FIND(":",Protokoll_1p!I58)-1))&gt;VALUE(RIGHT(Protokoll_1p!I58,LEN(Protokoll_1p!I58)-FIND(":",Protokoll_1p!I58))),0,1))</f>
        <v>0</v>
      </c>
      <c r="M52" s="1" t="str">
        <f>IF(Protokoll_1p!J58="","",IF(VALUE(LEFT(Protokoll_1p!J58,FIND(":",Protokoll_1p!J58)-1))&gt;VALUE(RIGHT(Protokoll_1p!J58,LEN(Protokoll_1p!J58)-FIND(":",Protokoll_1p!J58))),0,1))</f>
        <v/>
      </c>
      <c r="N52" s="1">
        <f t="shared" si="1"/>
        <v>1</v>
      </c>
    </row>
    <row r="53" spans="2:14">
      <c r="B53" s="1">
        <f>IF(Protokoll_1p!F59="","",IF(VALUE(LEFT(Protokoll_1p!F59,FIND(":",Protokoll_1p!F59)-1))&gt;VALUE(RIGHT(Protokoll_1p!F59,LEN(Protokoll_1p!F59)-FIND(":",Protokoll_1p!F59))),1,0))</f>
        <v>1</v>
      </c>
      <c r="C53" s="1">
        <f>IF(Protokoll_1p!G59="","",IF(VALUE(LEFT(Protokoll_1p!G59,FIND(":",Protokoll_1p!G59)-1))&gt;VALUE(RIGHT(Protokoll_1p!G59,LEN(Protokoll_1p!G59)-FIND(":",Protokoll_1p!G59))),1,0))</f>
        <v>1</v>
      </c>
      <c r="D53" s="1">
        <f>IF(Protokoll_1p!H59="","",IF(VALUE(LEFT(Protokoll_1p!H59,FIND(":",Protokoll_1p!H59)-1))&gt;VALUE(RIGHT(Protokoll_1p!H59,LEN(Protokoll_1p!H59)-FIND(":",Protokoll_1p!H59))),1,0))</f>
        <v>0</v>
      </c>
      <c r="E53" s="1">
        <f>IF(Protokoll_1p!I59="","",IF(VALUE(LEFT(Protokoll_1p!I59,FIND(":",Protokoll_1p!I59)-1))&gt;VALUE(RIGHT(Protokoll_1p!I59,LEN(Protokoll_1p!I59)-FIND(":",Protokoll_1p!I59))),1,0))</f>
        <v>1</v>
      </c>
      <c r="F53" s="1" t="str">
        <f>IF(Protokoll_1p!J59="","",IF(VALUE(LEFT(Protokoll_1p!J59,FIND(":",Protokoll_1p!J59)-1))&gt;VALUE(RIGHT(Protokoll_1p!J59,LEN(Protokoll_1p!J59)-FIND(":",Protokoll_1p!J59))),1,0))</f>
        <v/>
      </c>
      <c r="G53" s="1">
        <f t="shared" si="0"/>
        <v>3</v>
      </c>
      <c r="I53" s="1">
        <f>IF(Protokoll_1p!F59="","",IF(VALUE(LEFT(Protokoll_1p!F59,FIND(":",Protokoll_1p!F59)-1))&gt;VALUE(RIGHT(Protokoll_1p!F59,LEN(Protokoll_1p!F59)-FIND(":",Protokoll_1p!F59))),0,1))</f>
        <v>0</v>
      </c>
      <c r="J53" s="1">
        <f>IF(Protokoll_1p!G59="","",IF(VALUE(LEFT(Protokoll_1p!G59,FIND(":",Protokoll_1p!G59)-1))&gt;VALUE(RIGHT(Protokoll_1p!G59,LEN(Protokoll_1p!G59)-FIND(":",Protokoll_1p!G59))),0,1))</f>
        <v>0</v>
      </c>
      <c r="K53" s="1">
        <f>IF(Protokoll_1p!H59="","",IF(VALUE(LEFT(Protokoll_1p!H59,FIND(":",Protokoll_1p!H59)-1))&gt;VALUE(RIGHT(Protokoll_1p!H59,LEN(Protokoll_1p!H59)-FIND(":",Protokoll_1p!H59))),0,1))</f>
        <v>1</v>
      </c>
      <c r="L53" s="1">
        <f>IF(Protokoll_1p!I59="","",IF(VALUE(LEFT(Protokoll_1p!I59,FIND(":",Protokoll_1p!I59)-1))&gt;VALUE(RIGHT(Protokoll_1p!I59,LEN(Protokoll_1p!I59)-FIND(":",Protokoll_1p!I59))),0,1))</f>
        <v>0</v>
      </c>
      <c r="M53" s="1" t="str">
        <f>IF(Protokoll_1p!J59="","",IF(VALUE(LEFT(Protokoll_1p!J59,FIND(":",Protokoll_1p!J59)-1))&gt;VALUE(RIGHT(Protokoll_1p!J59,LEN(Protokoll_1p!J59)-FIND(":",Protokoll_1p!J59))),0,1))</f>
        <v/>
      </c>
      <c r="N53" s="1">
        <f t="shared" si="1"/>
        <v>1</v>
      </c>
    </row>
    <row r="54" spans="2:14">
      <c r="B54" s="1">
        <f>IF(Protokoll_1p!F60="","",IF(VALUE(LEFT(Protokoll_1p!F60,FIND(":",Protokoll_1p!F60)-1))&gt;VALUE(RIGHT(Protokoll_1p!F60,LEN(Protokoll_1p!F60)-FIND(":",Protokoll_1p!F60))),1,0))</f>
        <v>1</v>
      </c>
      <c r="C54" s="1">
        <f>IF(Protokoll_1p!G60="","",IF(VALUE(LEFT(Protokoll_1p!G60,FIND(":",Protokoll_1p!G60)-1))&gt;VALUE(RIGHT(Protokoll_1p!G60,LEN(Protokoll_1p!G60)-FIND(":",Protokoll_1p!G60))),1,0))</f>
        <v>1</v>
      </c>
      <c r="D54" s="1">
        <f>IF(Protokoll_1p!H60="","",IF(VALUE(LEFT(Protokoll_1p!H60,FIND(":",Protokoll_1p!H60)-1))&gt;VALUE(RIGHT(Protokoll_1p!H60,LEN(Protokoll_1p!H60)-FIND(":",Protokoll_1p!H60))),1,0))</f>
        <v>1</v>
      </c>
      <c r="E54" s="1" t="str">
        <f>IF(Protokoll_1p!I60="","",IF(VALUE(LEFT(Protokoll_1p!I60,FIND(":",Protokoll_1p!I60)-1))&gt;VALUE(RIGHT(Protokoll_1p!I60,LEN(Protokoll_1p!I60)-FIND(":",Protokoll_1p!I60))),1,0))</f>
        <v/>
      </c>
      <c r="F54" s="1" t="str">
        <f>IF(Protokoll_1p!J60="","",IF(VALUE(LEFT(Protokoll_1p!J60,FIND(":",Protokoll_1p!J60)-1))&gt;VALUE(RIGHT(Protokoll_1p!J60,LEN(Protokoll_1p!J60)-FIND(":",Protokoll_1p!J60))),1,0))</f>
        <v/>
      </c>
      <c r="G54" s="1">
        <f t="shared" si="0"/>
        <v>3</v>
      </c>
      <c r="I54" s="1">
        <f>IF(Protokoll_1p!F60="","",IF(VALUE(LEFT(Protokoll_1p!F60,FIND(":",Protokoll_1p!F60)-1))&gt;VALUE(RIGHT(Protokoll_1p!F60,LEN(Protokoll_1p!F60)-FIND(":",Protokoll_1p!F60))),0,1))</f>
        <v>0</v>
      </c>
      <c r="J54" s="1">
        <f>IF(Protokoll_1p!G60="","",IF(VALUE(LEFT(Protokoll_1p!G60,FIND(":",Protokoll_1p!G60)-1))&gt;VALUE(RIGHT(Protokoll_1p!G60,LEN(Protokoll_1p!G60)-FIND(":",Protokoll_1p!G60))),0,1))</f>
        <v>0</v>
      </c>
      <c r="K54" s="1">
        <f>IF(Protokoll_1p!H60="","",IF(VALUE(LEFT(Protokoll_1p!H60,FIND(":",Protokoll_1p!H60)-1))&gt;VALUE(RIGHT(Protokoll_1p!H60,LEN(Protokoll_1p!H60)-FIND(":",Protokoll_1p!H60))),0,1))</f>
        <v>0</v>
      </c>
      <c r="L54" s="1" t="str">
        <f>IF(Protokoll_1p!I60="","",IF(VALUE(LEFT(Protokoll_1p!I60,FIND(":",Protokoll_1p!I60)-1))&gt;VALUE(RIGHT(Protokoll_1p!I60,LEN(Protokoll_1p!I60)-FIND(":",Protokoll_1p!I60))),0,1))</f>
        <v/>
      </c>
      <c r="M54" s="1" t="str">
        <f>IF(Protokoll_1p!J60="","",IF(VALUE(LEFT(Protokoll_1p!J60,FIND(":",Protokoll_1p!J60)-1))&gt;VALUE(RIGHT(Protokoll_1p!J60,LEN(Protokoll_1p!J60)-FIND(":",Protokoll_1p!J60))),0,1))</f>
        <v/>
      </c>
      <c r="N54" s="1">
        <f t="shared" si="1"/>
        <v>0</v>
      </c>
    </row>
    <row r="55" spans="2:14">
      <c r="B55" s="1">
        <f>IF(Protokoll_1p!F61="","",IF(VALUE(LEFT(Protokoll_1p!F61,FIND(":",Protokoll_1p!F61)-1))&gt;VALUE(RIGHT(Protokoll_1p!F61,LEN(Protokoll_1p!F61)-FIND(":",Protokoll_1p!F61))),1,0))</f>
        <v>0</v>
      </c>
      <c r="C55" s="1">
        <f>IF(Protokoll_1p!G61="","",IF(VALUE(LEFT(Protokoll_1p!G61,FIND(":",Protokoll_1p!G61)-1))&gt;VALUE(RIGHT(Protokoll_1p!G61,LEN(Protokoll_1p!G61)-FIND(":",Protokoll_1p!G61))),1,0))</f>
        <v>1</v>
      </c>
      <c r="D55" s="1">
        <f>IF(Protokoll_1p!H61="","",IF(VALUE(LEFT(Protokoll_1p!H61,FIND(":",Protokoll_1p!H61)-1))&gt;VALUE(RIGHT(Protokoll_1p!H61,LEN(Protokoll_1p!H61)-FIND(":",Protokoll_1p!H61))),1,0))</f>
        <v>0</v>
      </c>
      <c r="E55" s="1">
        <f>IF(Protokoll_1p!I61="","",IF(VALUE(LEFT(Protokoll_1p!I61,FIND(":",Protokoll_1p!I61)-1))&gt;VALUE(RIGHT(Protokoll_1p!I61,LEN(Protokoll_1p!I61)-FIND(":",Protokoll_1p!I61))),1,0))</f>
        <v>1</v>
      </c>
      <c r="F55" s="1">
        <f>IF(Protokoll_1p!J61="","",IF(VALUE(LEFT(Protokoll_1p!J61,FIND(":",Protokoll_1p!J61)-1))&gt;VALUE(RIGHT(Protokoll_1p!J61,LEN(Protokoll_1p!J61)-FIND(":",Protokoll_1p!J61))),1,0))</f>
        <v>0</v>
      </c>
      <c r="G55" s="1">
        <f t="shared" si="0"/>
        <v>2</v>
      </c>
      <c r="I55" s="1">
        <f>IF(Protokoll_1p!F61="","",IF(VALUE(LEFT(Protokoll_1p!F61,FIND(":",Protokoll_1p!F61)-1))&gt;VALUE(RIGHT(Protokoll_1p!F61,LEN(Protokoll_1p!F61)-FIND(":",Protokoll_1p!F61))),0,1))</f>
        <v>1</v>
      </c>
      <c r="J55" s="1">
        <f>IF(Protokoll_1p!G61="","",IF(VALUE(LEFT(Protokoll_1p!G61,FIND(":",Protokoll_1p!G61)-1))&gt;VALUE(RIGHT(Protokoll_1p!G61,LEN(Protokoll_1p!G61)-FIND(":",Protokoll_1p!G61))),0,1))</f>
        <v>0</v>
      </c>
      <c r="K55" s="1">
        <f>IF(Protokoll_1p!H61="","",IF(VALUE(LEFT(Protokoll_1p!H61,FIND(":",Protokoll_1p!H61)-1))&gt;VALUE(RIGHT(Protokoll_1p!H61,LEN(Protokoll_1p!H61)-FIND(":",Protokoll_1p!H61))),0,1))</f>
        <v>1</v>
      </c>
      <c r="L55" s="1">
        <f>IF(Protokoll_1p!I61="","",IF(VALUE(LEFT(Protokoll_1p!I61,FIND(":",Protokoll_1p!I61)-1))&gt;VALUE(RIGHT(Protokoll_1p!I61,LEN(Protokoll_1p!I61)-FIND(":",Protokoll_1p!I61))),0,1))</f>
        <v>0</v>
      </c>
      <c r="M55" s="1">
        <f>IF(Protokoll_1p!J61="","",IF(VALUE(LEFT(Protokoll_1p!J61,FIND(":",Protokoll_1p!J61)-1))&gt;VALUE(RIGHT(Protokoll_1p!J61,LEN(Protokoll_1p!J61)-FIND(":",Protokoll_1p!J61))),0,1))</f>
        <v>1</v>
      </c>
      <c r="N55" s="1">
        <f t="shared" si="1"/>
        <v>3</v>
      </c>
    </row>
    <row r="56" spans="2:14">
      <c r="B56" s="1" t="str">
        <f>IF(Protokoll_1p!F62="","",IF(VALUE(LEFT(Protokoll_1p!F62,FIND(":",Protokoll_1p!F62)-1))&gt;VALUE(RIGHT(Protokoll_1p!F62,LEN(Protokoll_1p!F62)-FIND(":",Protokoll_1p!F62))),1,0))</f>
        <v/>
      </c>
      <c r="C56" s="1" t="str">
        <f>IF(Protokoll_1p!G62="","",IF(VALUE(LEFT(Protokoll_1p!G62,FIND(":",Protokoll_1p!G62)-1))&gt;VALUE(RIGHT(Protokoll_1p!G62,LEN(Protokoll_1p!G62)-FIND(":",Protokoll_1p!G62))),1,0))</f>
        <v/>
      </c>
      <c r="D56" s="1" t="str">
        <f>IF(Protokoll_1p!H62="","",IF(VALUE(LEFT(Protokoll_1p!H62,FIND(":",Protokoll_1p!H62)-1))&gt;VALUE(RIGHT(Protokoll_1p!H62,LEN(Protokoll_1p!H62)-FIND(":",Protokoll_1p!H62))),1,0))</f>
        <v/>
      </c>
      <c r="E56" s="1" t="str">
        <f>IF(Protokoll_1p!I62="","",IF(VALUE(LEFT(Protokoll_1p!I62,FIND(":",Protokoll_1p!I62)-1))&gt;VALUE(RIGHT(Protokoll_1p!I62,LEN(Protokoll_1p!I62)-FIND(":",Protokoll_1p!I62))),1,0))</f>
        <v/>
      </c>
      <c r="F56" s="1" t="str">
        <f>IF(Protokoll_1p!J62="","",IF(VALUE(LEFT(Protokoll_1p!J62,FIND(":",Protokoll_1p!J62)-1))&gt;VALUE(RIGHT(Protokoll_1p!J62,LEN(Protokoll_1p!J62)-FIND(":",Protokoll_1p!J62))),1,0))</f>
        <v/>
      </c>
      <c r="G56" s="1" t="str">
        <f t="shared" si="0"/>
        <v/>
      </c>
      <c r="I56" s="1" t="str">
        <f>IF(Protokoll_1p!F62="","",IF(VALUE(LEFT(Protokoll_1p!F62,FIND(":",Protokoll_1p!F62)-1))&gt;VALUE(RIGHT(Protokoll_1p!F62,LEN(Protokoll_1p!F62)-FIND(":",Protokoll_1p!F62))),0,1))</f>
        <v/>
      </c>
      <c r="J56" s="1" t="str">
        <f>IF(Protokoll_1p!G62="","",IF(VALUE(LEFT(Protokoll_1p!G62,FIND(":",Protokoll_1p!G62)-1))&gt;VALUE(RIGHT(Protokoll_1p!G62,LEN(Protokoll_1p!G62)-FIND(":",Protokoll_1p!G62))),0,1))</f>
        <v/>
      </c>
      <c r="K56" s="1" t="str">
        <f>IF(Protokoll_1p!H62="","",IF(VALUE(LEFT(Protokoll_1p!H62,FIND(":",Protokoll_1p!H62)-1))&gt;VALUE(RIGHT(Protokoll_1p!H62,LEN(Protokoll_1p!H62)-FIND(":",Protokoll_1p!H62))),0,1))</f>
        <v/>
      </c>
      <c r="L56" s="1" t="str">
        <f>IF(Protokoll_1p!I62="","",IF(VALUE(LEFT(Protokoll_1p!I62,FIND(":",Protokoll_1p!I62)-1))&gt;VALUE(RIGHT(Protokoll_1p!I62,LEN(Protokoll_1p!I62)-FIND(":",Protokoll_1p!I62))),0,1))</f>
        <v/>
      </c>
      <c r="M56" s="1" t="str">
        <f>IF(Protokoll_1p!J62="","",IF(VALUE(LEFT(Protokoll_1p!J62,FIND(":",Protokoll_1p!J62)-1))&gt;VALUE(RIGHT(Protokoll_1p!J62,LEN(Protokoll_1p!J62)-FIND(":",Protokoll_1p!J62))),0,1))</f>
        <v/>
      </c>
      <c r="N56" s="1" t="str">
        <f t="shared" si="1"/>
        <v/>
      </c>
    </row>
    <row r="57" spans="2:14">
      <c r="B57" s="1">
        <f>IF(Protokoll_1p!F63="","",IF(VALUE(LEFT(Protokoll_1p!F63,FIND(":",Protokoll_1p!F63)-1))&gt;VALUE(RIGHT(Protokoll_1p!F63,LEN(Protokoll_1p!F63)-FIND(":",Protokoll_1p!F63))),1,0))</f>
        <v>1</v>
      </c>
      <c r="C57" s="1">
        <f>IF(Protokoll_1p!G63="","",IF(VALUE(LEFT(Protokoll_1p!G63,FIND(":",Protokoll_1p!G63)-1))&gt;VALUE(RIGHT(Protokoll_1p!G63,LEN(Protokoll_1p!G63)-FIND(":",Protokoll_1p!G63))),1,0))</f>
        <v>0</v>
      </c>
      <c r="D57" s="1">
        <f>IF(Protokoll_1p!H63="","",IF(VALUE(LEFT(Protokoll_1p!H63,FIND(":",Protokoll_1p!H63)-1))&gt;VALUE(RIGHT(Protokoll_1p!H63,LEN(Protokoll_1p!H63)-FIND(":",Protokoll_1p!H63))),1,0))</f>
        <v>0</v>
      </c>
      <c r="E57" s="1">
        <f>IF(Protokoll_1p!I63="","",IF(VALUE(LEFT(Protokoll_1p!I63,FIND(":",Protokoll_1p!I63)-1))&gt;VALUE(RIGHT(Protokoll_1p!I63,LEN(Protokoll_1p!I63)-FIND(":",Protokoll_1p!I63))),1,0))</f>
        <v>0</v>
      </c>
      <c r="F57" s="1" t="str">
        <f>IF(Protokoll_1p!J63="","",IF(VALUE(LEFT(Protokoll_1p!J63,FIND(":",Protokoll_1p!J63)-1))&gt;VALUE(RIGHT(Protokoll_1p!J63,LEN(Protokoll_1p!J63)-FIND(":",Protokoll_1p!J63))),1,0))</f>
        <v/>
      </c>
      <c r="G57" s="1">
        <f t="shared" si="0"/>
        <v>1</v>
      </c>
      <c r="I57" s="1">
        <f>IF(Protokoll_1p!F63="","",IF(VALUE(LEFT(Protokoll_1p!F63,FIND(":",Protokoll_1p!F63)-1))&gt;VALUE(RIGHT(Protokoll_1p!F63,LEN(Protokoll_1p!F63)-FIND(":",Protokoll_1p!F63))),0,1))</f>
        <v>0</v>
      </c>
      <c r="J57" s="1">
        <f>IF(Protokoll_1p!G63="","",IF(VALUE(LEFT(Protokoll_1p!G63,FIND(":",Protokoll_1p!G63)-1))&gt;VALUE(RIGHT(Protokoll_1p!G63,LEN(Protokoll_1p!G63)-FIND(":",Protokoll_1p!G63))),0,1))</f>
        <v>1</v>
      </c>
      <c r="K57" s="1">
        <f>IF(Protokoll_1p!H63="","",IF(VALUE(LEFT(Protokoll_1p!H63,FIND(":",Protokoll_1p!H63)-1))&gt;VALUE(RIGHT(Protokoll_1p!H63,LEN(Protokoll_1p!H63)-FIND(":",Protokoll_1p!H63))),0,1))</f>
        <v>1</v>
      </c>
      <c r="L57" s="1">
        <f>IF(Protokoll_1p!I63="","",IF(VALUE(LEFT(Protokoll_1p!I63,FIND(":",Protokoll_1p!I63)-1))&gt;VALUE(RIGHT(Protokoll_1p!I63,LEN(Protokoll_1p!I63)-FIND(":",Protokoll_1p!I63))),0,1))</f>
        <v>1</v>
      </c>
      <c r="M57" s="1" t="str">
        <f>IF(Protokoll_1p!J63="","",IF(VALUE(LEFT(Protokoll_1p!J63,FIND(":",Protokoll_1p!J63)-1))&gt;VALUE(RIGHT(Protokoll_1p!J63,LEN(Protokoll_1p!J63)-FIND(":",Protokoll_1p!J63))),0,1))</f>
        <v/>
      </c>
      <c r="N57" s="1">
        <f t="shared" si="1"/>
        <v>3</v>
      </c>
    </row>
    <row r="58" spans="2:14">
      <c r="B58" s="1">
        <f>IF(Protokoll_1p!F64="","",IF(VALUE(LEFT(Protokoll_1p!F64,FIND(":",Protokoll_1p!F64)-1))&gt;VALUE(RIGHT(Protokoll_1p!F64,LEN(Protokoll_1p!F64)-FIND(":",Protokoll_1p!F64))),1,0))</f>
        <v>1</v>
      </c>
      <c r="C58" s="1">
        <f>IF(Protokoll_1p!G64="","",IF(VALUE(LEFT(Protokoll_1p!G64,FIND(":",Protokoll_1p!G64)-1))&gt;VALUE(RIGHT(Protokoll_1p!G64,LEN(Protokoll_1p!G64)-FIND(":",Protokoll_1p!G64))),1,0))</f>
        <v>1</v>
      </c>
      <c r="D58" s="1">
        <f>IF(Protokoll_1p!H64="","",IF(VALUE(LEFT(Protokoll_1p!H64,FIND(":",Protokoll_1p!H64)-1))&gt;VALUE(RIGHT(Protokoll_1p!H64,LEN(Protokoll_1p!H64)-FIND(":",Protokoll_1p!H64))),1,0))</f>
        <v>1</v>
      </c>
      <c r="E58" s="1" t="str">
        <f>IF(Protokoll_1p!I64="","",IF(VALUE(LEFT(Protokoll_1p!I64,FIND(":",Protokoll_1p!I64)-1))&gt;VALUE(RIGHT(Protokoll_1p!I64,LEN(Protokoll_1p!I64)-FIND(":",Protokoll_1p!I64))),1,0))</f>
        <v/>
      </c>
      <c r="F58" s="1" t="str">
        <f>IF(Protokoll_1p!J64="","",IF(VALUE(LEFT(Protokoll_1p!J64,FIND(":",Protokoll_1p!J64)-1))&gt;VALUE(RIGHT(Protokoll_1p!J64,LEN(Protokoll_1p!J64)-FIND(":",Protokoll_1p!J64))),1,0))</f>
        <v/>
      </c>
      <c r="G58" s="1">
        <f t="shared" si="0"/>
        <v>3</v>
      </c>
      <c r="I58" s="1">
        <f>IF(Protokoll_1p!F64="","",IF(VALUE(LEFT(Protokoll_1p!F64,FIND(":",Protokoll_1p!F64)-1))&gt;VALUE(RIGHT(Protokoll_1p!F64,LEN(Protokoll_1p!F64)-FIND(":",Protokoll_1p!F64))),0,1))</f>
        <v>0</v>
      </c>
      <c r="J58" s="1">
        <f>IF(Protokoll_1p!G64="","",IF(VALUE(LEFT(Protokoll_1p!G64,FIND(":",Protokoll_1p!G64)-1))&gt;VALUE(RIGHT(Protokoll_1p!G64,LEN(Protokoll_1p!G64)-FIND(":",Protokoll_1p!G64))),0,1))</f>
        <v>0</v>
      </c>
      <c r="K58" s="1">
        <f>IF(Protokoll_1p!H64="","",IF(VALUE(LEFT(Protokoll_1p!H64,FIND(":",Protokoll_1p!H64)-1))&gt;VALUE(RIGHT(Protokoll_1p!H64,LEN(Protokoll_1p!H64)-FIND(":",Protokoll_1p!H64))),0,1))</f>
        <v>0</v>
      </c>
      <c r="L58" s="1" t="str">
        <f>IF(Protokoll_1p!I64="","",IF(VALUE(LEFT(Protokoll_1p!I64,FIND(":",Protokoll_1p!I64)-1))&gt;VALUE(RIGHT(Protokoll_1p!I64,LEN(Protokoll_1p!I64)-FIND(":",Protokoll_1p!I64))),0,1))</f>
        <v/>
      </c>
      <c r="M58" s="1" t="str">
        <f>IF(Protokoll_1p!J64="","",IF(VALUE(LEFT(Protokoll_1p!J64,FIND(":",Protokoll_1p!J64)-1))&gt;VALUE(RIGHT(Protokoll_1p!J64,LEN(Protokoll_1p!J64)-FIND(":",Protokoll_1p!J64))),0,1))</f>
        <v/>
      </c>
      <c r="N58" s="1">
        <f t="shared" si="1"/>
        <v>0</v>
      </c>
    </row>
    <row r="59" spans="2:14">
      <c r="B59" s="1" t="str">
        <f>IF(Protokoll_1p!F65="","",IF(VALUE(LEFT(Protokoll_1p!F65,FIND(":",Protokoll_1p!F65)-1))&gt;VALUE(RIGHT(Protokoll_1p!F65,LEN(Protokoll_1p!F65)-FIND(":",Protokoll_1p!F65))),1,0))</f>
        <v/>
      </c>
      <c r="C59" s="1" t="str">
        <f>IF(Protokoll_1p!G65="","",IF(VALUE(LEFT(Protokoll_1p!G65,FIND(":",Protokoll_1p!G65)-1))&gt;VALUE(RIGHT(Protokoll_1p!G65,LEN(Protokoll_1p!G65)-FIND(":",Protokoll_1p!G65))),1,0))</f>
        <v/>
      </c>
      <c r="D59" s="1" t="str">
        <f>IF(Protokoll_1p!H65="","",IF(VALUE(LEFT(Protokoll_1p!H65,FIND(":",Protokoll_1p!H65)-1))&gt;VALUE(RIGHT(Protokoll_1p!H65,LEN(Protokoll_1p!H65)-FIND(":",Protokoll_1p!H65))),1,0))</f>
        <v/>
      </c>
      <c r="E59" s="1" t="str">
        <f>IF(Protokoll_1p!I65="","",IF(VALUE(LEFT(Protokoll_1p!I65,FIND(":",Protokoll_1p!I65)-1))&gt;VALUE(RIGHT(Protokoll_1p!I65,LEN(Protokoll_1p!I65)-FIND(":",Protokoll_1p!I65))),1,0))</f>
        <v/>
      </c>
      <c r="F59" s="1" t="str">
        <f>IF(Protokoll_1p!J65="","",IF(VALUE(LEFT(Protokoll_1p!J65,FIND(":",Protokoll_1p!J65)-1))&gt;VALUE(RIGHT(Protokoll_1p!J65,LEN(Protokoll_1p!J65)-FIND(":",Protokoll_1p!J65))),1,0))</f>
        <v/>
      </c>
      <c r="G59" s="1" t="str">
        <f t="shared" si="0"/>
        <v/>
      </c>
      <c r="I59" s="1" t="str">
        <f>IF(Protokoll_1p!F65="","",IF(VALUE(LEFT(Protokoll_1p!F65,FIND(":",Protokoll_1p!F65)-1))&gt;VALUE(RIGHT(Protokoll_1p!F65,LEN(Protokoll_1p!F65)-FIND(":",Protokoll_1p!F65))),0,1))</f>
        <v/>
      </c>
      <c r="J59" s="1" t="str">
        <f>IF(Protokoll_1p!G65="","",IF(VALUE(LEFT(Protokoll_1p!G65,FIND(":",Protokoll_1p!G65)-1))&gt;VALUE(RIGHT(Protokoll_1p!G65,LEN(Protokoll_1p!G65)-FIND(":",Protokoll_1p!G65))),0,1))</f>
        <v/>
      </c>
      <c r="K59" s="1" t="str">
        <f>IF(Protokoll_1p!H65="","",IF(VALUE(LEFT(Protokoll_1p!H65,FIND(":",Protokoll_1p!H65)-1))&gt;VALUE(RIGHT(Protokoll_1p!H65,LEN(Protokoll_1p!H65)-FIND(":",Protokoll_1p!H65))),0,1))</f>
        <v/>
      </c>
      <c r="L59" s="1" t="str">
        <f>IF(Protokoll_1p!I65="","",IF(VALUE(LEFT(Protokoll_1p!I65,FIND(":",Protokoll_1p!I65)-1))&gt;VALUE(RIGHT(Protokoll_1p!I65,LEN(Protokoll_1p!I65)-FIND(":",Protokoll_1p!I65))),0,1))</f>
        <v/>
      </c>
      <c r="M59" s="1" t="str">
        <f>IF(Protokoll_1p!J65="","",IF(VALUE(LEFT(Protokoll_1p!J65,FIND(":",Protokoll_1p!J65)-1))&gt;VALUE(RIGHT(Protokoll_1p!J65,LEN(Protokoll_1p!J65)-FIND(":",Protokoll_1p!J65))),0,1))</f>
        <v/>
      </c>
      <c r="N59" s="1" t="str">
        <f t="shared" si="1"/>
        <v/>
      </c>
    </row>
    <row r="60" spans="2:14">
      <c r="B60" s="1" t="str">
        <f>IF(Protokoll_1p!F66="","",IF(VALUE(LEFT(Protokoll_1p!F66,FIND(":",Protokoll_1p!F66)-1))&gt;VALUE(RIGHT(Protokoll_1p!F66,LEN(Protokoll_1p!F66)-FIND(":",Protokoll_1p!F66))),1,0))</f>
        <v/>
      </c>
      <c r="C60" s="1" t="str">
        <f>IF(Protokoll_1p!G66="","",IF(VALUE(LEFT(Protokoll_1p!G66,FIND(":",Protokoll_1p!G66)-1))&gt;VALUE(RIGHT(Protokoll_1p!G66,LEN(Protokoll_1p!G66)-FIND(":",Protokoll_1p!G66))),1,0))</f>
        <v/>
      </c>
      <c r="D60" s="1" t="str">
        <f>IF(Protokoll_1p!H66="","",IF(VALUE(LEFT(Protokoll_1p!H66,FIND(":",Protokoll_1p!H66)-1))&gt;VALUE(RIGHT(Protokoll_1p!H66,LEN(Protokoll_1p!H66)-FIND(":",Protokoll_1p!H66))),1,0))</f>
        <v/>
      </c>
      <c r="E60" s="1" t="str">
        <f>IF(Protokoll_1p!I66="","",IF(VALUE(LEFT(Protokoll_1p!I66,FIND(":",Protokoll_1p!I66)-1))&gt;VALUE(RIGHT(Protokoll_1p!I66,LEN(Protokoll_1p!I66)-FIND(":",Protokoll_1p!I66))),1,0))</f>
        <v/>
      </c>
      <c r="F60" s="1" t="str">
        <f>IF(Protokoll_1p!J66="","",IF(VALUE(LEFT(Protokoll_1p!J66,FIND(":",Protokoll_1p!J66)-1))&gt;VALUE(RIGHT(Protokoll_1p!J66,LEN(Protokoll_1p!J66)-FIND(":",Protokoll_1p!J66))),1,0))</f>
        <v/>
      </c>
      <c r="G60" s="1" t="str">
        <f t="shared" si="0"/>
        <v/>
      </c>
      <c r="I60" s="1" t="str">
        <f>IF(Protokoll_1p!F66="","",IF(VALUE(LEFT(Protokoll_1p!F66,FIND(":",Protokoll_1p!F66)-1))&gt;VALUE(RIGHT(Protokoll_1p!F66,LEN(Protokoll_1p!F66)-FIND(":",Protokoll_1p!F66))),0,1))</f>
        <v/>
      </c>
      <c r="J60" s="1" t="str">
        <f>IF(Protokoll_1p!G66="","",IF(VALUE(LEFT(Protokoll_1p!G66,FIND(":",Protokoll_1p!G66)-1))&gt;VALUE(RIGHT(Protokoll_1p!G66,LEN(Protokoll_1p!G66)-FIND(":",Protokoll_1p!G66))),0,1))</f>
        <v/>
      </c>
      <c r="K60" s="1" t="str">
        <f>IF(Protokoll_1p!H66="","",IF(VALUE(LEFT(Protokoll_1p!H66,FIND(":",Protokoll_1p!H66)-1))&gt;VALUE(RIGHT(Protokoll_1p!H66,LEN(Protokoll_1p!H66)-FIND(":",Protokoll_1p!H66))),0,1))</f>
        <v/>
      </c>
      <c r="L60" s="1" t="str">
        <f>IF(Protokoll_1p!I66="","",IF(VALUE(LEFT(Protokoll_1p!I66,FIND(":",Protokoll_1p!I66)-1))&gt;VALUE(RIGHT(Protokoll_1p!I66,LEN(Protokoll_1p!I66)-FIND(":",Protokoll_1p!I66))),0,1))</f>
        <v/>
      </c>
      <c r="M60" s="1" t="str">
        <f>IF(Protokoll_1p!J66="","",IF(VALUE(LEFT(Protokoll_1p!J66,FIND(":",Protokoll_1p!J66)-1))&gt;VALUE(RIGHT(Protokoll_1p!J66,LEN(Protokoll_1p!J66)-FIND(":",Protokoll_1p!J66))),0,1))</f>
        <v/>
      </c>
      <c r="N60" s="1" t="str">
        <f t="shared" si="1"/>
        <v/>
      </c>
    </row>
    <row r="61" spans="2:14">
      <c r="B61" s="1" t="e">
        <f>IF(Protokoll_1p!F67="","",IF(VALUE(LEFT(Protokoll_1p!F67,FIND(":",Protokoll_1p!F67)-1))&gt;VALUE(RIGHT(Protokoll_1p!F67,LEN(Protokoll_1p!F67)-FIND(":",Protokoll_1p!F67))),1,0))</f>
        <v>#VALUE!</v>
      </c>
      <c r="C61" s="1" t="e">
        <f>IF(Protokoll_1p!G67="","",IF(VALUE(LEFT(Protokoll_1p!G67,FIND(":",Protokoll_1p!G67)-1))&gt;VALUE(RIGHT(Protokoll_1p!G67,LEN(Protokoll_1p!G67)-FIND(":",Protokoll_1p!G67))),1,0))</f>
        <v>#VALUE!</v>
      </c>
      <c r="D61" s="1" t="e">
        <f>IF(Protokoll_1p!H67="","",IF(VALUE(LEFT(Protokoll_1p!H67,FIND(":",Protokoll_1p!H67)-1))&gt;VALUE(RIGHT(Protokoll_1p!H67,LEN(Protokoll_1p!H67)-FIND(":",Protokoll_1p!H67))),1,0))</f>
        <v>#VALUE!</v>
      </c>
      <c r="E61" s="1" t="e">
        <f>IF(Protokoll_1p!I67="","",IF(VALUE(LEFT(Protokoll_1p!I67,FIND(":",Protokoll_1p!I67)-1))&gt;VALUE(RIGHT(Protokoll_1p!I67,LEN(Protokoll_1p!I67)-FIND(":",Protokoll_1p!I67))),1,0))</f>
        <v>#VALUE!</v>
      </c>
      <c r="F61" s="1" t="e">
        <f>IF(Protokoll_1p!J67="","",IF(VALUE(LEFT(Protokoll_1p!J67,FIND(":",Protokoll_1p!J67)-1))&gt;VALUE(RIGHT(Protokoll_1p!J67,LEN(Protokoll_1p!J67)-FIND(":",Protokoll_1p!J67))),1,0))</f>
        <v>#VALUE!</v>
      </c>
      <c r="G61" s="1" t="e">
        <f t="shared" si="0"/>
        <v>#VALUE!</v>
      </c>
      <c r="I61" s="1" t="e">
        <f>IF(Protokoll_1p!F67="","",IF(VALUE(LEFT(Protokoll_1p!F67,FIND(":",Protokoll_1p!F67)-1))&gt;VALUE(RIGHT(Protokoll_1p!F67,LEN(Protokoll_1p!F67)-FIND(":",Protokoll_1p!F67))),0,1))</f>
        <v>#VALUE!</v>
      </c>
      <c r="J61" s="1" t="e">
        <f>IF(Protokoll_1p!G67="","",IF(VALUE(LEFT(Protokoll_1p!G67,FIND(":",Protokoll_1p!G67)-1))&gt;VALUE(RIGHT(Protokoll_1p!G67,LEN(Protokoll_1p!G67)-FIND(":",Protokoll_1p!G67))),0,1))</f>
        <v>#VALUE!</v>
      </c>
      <c r="K61" s="1" t="e">
        <f>IF(Protokoll_1p!H67="","",IF(VALUE(LEFT(Protokoll_1p!H67,FIND(":",Protokoll_1p!H67)-1))&gt;VALUE(RIGHT(Protokoll_1p!H67,LEN(Protokoll_1p!H67)-FIND(":",Protokoll_1p!H67))),0,1))</f>
        <v>#VALUE!</v>
      </c>
      <c r="L61" s="1" t="e">
        <f>IF(Protokoll_1p!I67="","",IF(VALUE(LEFT(Protokoll_1p!I67,FIND(":",Protokoll_1p!I67)-1))&gt;VALUE(RIGHT(Protokoll_1p!I67,LEN(Protokoll_1p!I67)-FIND(":",Protokoll_1p!I67))),0,1))</f>
        <v>#VALUE!</v>
      </c>
      <c r="M61" s="1" t="e">
        <f>IF(Protokoll_1p!J67="","",IF(VALUE(LEFT(Protokoll_1p!J67,FIND(":",Protokoll_1p!J67)-1))&gt;VALUE(RIGHT(Protokoll_1p!J67,LEN(Protokoll_1p!J67)-FIND(":",Protokoll_1p!J67))),0,1))</f>
        <v>#VALUE!</v>
      </c>
      <c r="N61" s="1" t="e">
        <f t="shared" si="1"/>
        <v>#VALUE!</v>
      </c>
    </row>
    <row r="62" spans="2:14">
      <c r="B62" s="1">
        <f>IF(Protokoll_1p!F68="","",IF(VALUE(LEFT(Protokoll_1p!F68,FIND(":",Protokoll_1p!F68)-1))&gt;VALUE(RIGHT(Protokoll_1p!F68,LEN(Protokoll_1p!F68)-FIND(":",Protokoll_1p!F68))),1,0))</f>
        <v>1</v>
      </c>
      <c r="C62" s="1">
        <f>IF(Protokoll_1p!G68="","",IF(VALUE(LEFT(Protokoll_1p!G68,FIND(":",Protokoll_1p!G68)-1))&gt;VALUE(RIGHT(Protokoll_1p!G68,LEN(Protokoll_1p!G68)-FIND(":",Protokoll_1p!G68))),1,0))</f>
        <v>1</v>
      </c>
      <c r="D62" s="1">
        <f>IF(Protokoll_1p!H68="","",IF(VALUE(LEFT(Protokoll_1p!H68,FIND(":",Protokoll_1p!H68)-1))&gt;VALUE(RIGHT(Protokoll_1p!H68,LEN(Protokoll_1p!H68)-FIND(":",Protokoll_1p!H68))),1,0))</f>
        <v>0</v>
      </c>
      <c r="E62" s="1">
        <f>IF(Protokoll_1p!I68="","",IF(VALUE(LEFT(Protokoll_1p!I68,FIND(":",Protokoll_1p!I68)-1))&gt;VALUE(RIGHT(Protokoll_1p!I68,LEN(Protokoll_1p!I68)-FIND(":",Protokoll_1p!I68))),1,0))</f>
        <v>0</v>
      </c>
      <c r="F62" s="1">
        <f>IF(Protokoll_1p!J68="","",IF(VALUE(LEFT(Protokoll_1p!J68,FIND(":",Protokoll_1p!J68)-1))&gt;VALUE(RIGHT(Protokoll_1p!J68,LEN(Protokoll_1p!J68)-FIND(":",Protokoll_1p!J68))),1,0))</f>
        <v>1</v>
      </c>
      <c r="G62" s="1">
        <f t="shared" si="0"/>
        <v>3</v>
      </c>
      <c r="I62" s="1">
        <f>IF(Protokoll_1p!F68="","",IF(VALUE(LEFT(Protokoll_1p!F68,FIND(":",Protokoll_1p!F68)-1))&gt;VALUE(RIGHT(Protokoll_1p!F68,LEN(Protokoll_1p!F68)-FIND(":",Protokoll_1p!F68))),0,1))</f>
        <v>0</v>
      </c>
      <c r="J62" s="1">
        <f>IF(Protokoll_1p!G68="","",IF(VALUE(LEFT(Protokoll_1p!G68,FIND(":",Protokoll_1p!G68)-1))&gt;VALUE(RIGHT(Protokoll_1p!G68,LEN(Protokoll_1p!G68)-FIND(":",Protokoll_1p!G68))),0,1))</f>
        <v>0</v>
      </c>
      <c r="K62" s="1">
        <f>IF(Protokoll_1p!H68="","",IF(VALUE(LEFT(Protokoll_1p!H68,FIND(":",Protokoll_1p!H68)-1))&gt;VALUE(RIGHT(Protokoll_1p!H68,LEN(Protokoll_1p!H68)-FIND(":",Protokoll_1p!H68))),0,1))</f>
        <v>1</v>
      </c>
      <c r="L62" s="1">
        <f>IF(Protokoll_1p!I68="","",IF(VALUE(LEFT(Protokoll_1p!I68,FIND(":",Protokoll_1p!I68)-1))&gt;VALUE(RIGHT(Protokoll_1p!I68,LEN(Protokoll_1p!I68)-FIND(":",Protokoll_1p!I68))),0,1))</f>
        <v>1</v>
      </c>
      <c r="M62" s="1">
        <f>IF(Protokoll_1p!J68="","",IF(VALUE(LEFT(Protokoll_1p!J68,FIND(":",Protokoll_1p!J68)-1))&gt;VALUE(RIGHT(Protokoll_1p!J68,LEN(Protokoll_1p!J68)-FIND(":",Protokoll_1p!J68))),0,1))</f>
        <v>0</v>
      </c>
      <c r="N62" s="1">
        <f t="shared" si="1"/>
        <v>2</v>
      </c>
    </row>
    <row r="63" spans="2:14">
      <c r="B63" s="1">
        <f>IF(Protokoll_1p!F69="","",IF(VALUE(LEFT(Protokoll_1p!F69,FIND(":",Protokoll_1p!F69)-1))&gt;VALUE(RIGHT(Protokoll_1p!F69,LEN(Protokoll_1p!F69)-FIND(":",Protokoll_1p!F69))),1,0))</f>
        <v>1</v>
      </c>
      <c r="C63" s="1">
        <f>IF(Protokoll_1p!G69="","",IF(VALUE(LEFT(Protokoll_1p!G69,FIND(":",Protokoll_1p!G69)-1))&gt;VALUE(RIGHT(Protokoll_1p!G69,LEN(Protokoll_1p!G69)-FIND(":",Protokoll_1p!G69))),1,0))</f>
        <v>1</v>
      </c>
      <c r="D63" s="1">
        <f>IF(Protokoll_1p!H69="","",IF(VALUE(LEFT(Protokoll_1p!H69,FIND(":",Protokoll_1p!H69)-1))&gt;VALUE(RIGHT(Protokoll_1p!H69,LEN(Protokoll_1p!H69)-FIND(":",Protokoll_1p!H69))),1,0))</f>
        <v>1</v>
      </c>
      <c r="E63" s="1" t="str">
        <f>IF(Protokoll_1p!I69="","",IF(VALUE(LEFT(Protokoll_1p!I69,FIND(":",Protokoll_1p!I69)-1))&gt;VALUE(RIGHT(Protokoll_1p!I69,LEN(Protokoll_1p!I69)-FIND(":",Protokoll_1p!I69))),1,0))</f>
        <v/>
      </c>
      <c r="F63" s="1" t="str">
        <f>IF(Protokoll_1p!J69="","",IF(VALUE(LEFT(Protokoll_1p!J69,FIND(":",Protokoll_1p!J69)-1))&gt;VALUE(RIGHT(Protokoll_1p!J69,LEN(Protokoll_1p!J69)-FIND(":",Protokoll_1p!J69))),1,0))</f>
        <v/>
      </c>
      <c r="G63" s="1">
        <f t="shared" si="0"/>
        <v>3</v>
      </c>
      <c r="I63" s="1">
        <f>IF(Protokoll_1p!F69="","",IF(VALUE(LEFT(Protokoll_1p!F69,FIND(":",Protokoll_1p!F69)-1))&gt;VALUE(RIGHT(Protokoll_1p!F69,LEN(Protokoll_1p!F69)-FIND(":",Protokoll_1p!F69))),0,1))</f>
        <v>0</v>
      </c>
      <c r="J63" s="1">
        <f>IF(Protokoll_1p!G69="","",IF(VALUE(LEFT(Protokoll_1p!G69,FIND(":",Protokoll_1p!G69)-1))&gt;VALUE(RIGHT(Protokoll_1p!G69,LEN(Protokoll_1p!G69)-FIND(":",Protokoll_1p!G69))),0,1))</f>
        <v>0</v>
      </c>
      <c r="K63" s="1">
        <f>IF(Protokoll_1p!H69="","",IF(VALUE(LEFT(Protokoll_1p!H69,FIND(":",Protokoll_1p!H69)-1))&gt;VALUE(RIGHT(Protokoll_1p!H69,LEN(Protokoll_1p!H69)-FIND(":",Protokoll_1p!H69))),0,1))</f>
        <v>0</v>
      </c>
      <c r="L63" s="1" t="str">
        <f>IF(Protokoll_1p!I69="","",IF(VALUE(LEFT(Protokoll_1p!I69,FIND(":",Protokoll_1p!I69)-1))&gt;VALUE(RIGHT(Protokoll_1p!I69,LEN(Protokoll_1p!I69)-FIND(":",Protokoll_1p!I69))),0,1))</f>
        <v/>
      </c>
      <c r="M63" s="1" t="str">
        <f>IF(Protokoll_1p!J69="","",IF(VALUE(LEFT(Protokoll_1p!J69,FIND(":",Protokoll_1p!J69)-1))&gt;VALUE(RIGHT(Protokoll_1p!J69,LEN(Protokoll_1p!J69)-FIND(":",Protokoll_1p!J69))),0,1))</f>
        <v/>
      </c>
      <c r="N63" s="1">
        <f t="shared" si="1"/>
        <v>0</v>
      </c>
    </row>
    <row r="64" spans="2:14">
      <c r="B64" s="1">
        <f>IF(Protokoll_1p!F70="","",IF(VALUE(LEFT(Protokoll_1p!F70,FIND(":",Protokoll_1p!F70)-1))&gt;VALUE(RIGHT(Protokoll_1p!F70,LEN(Protokoll_1p!F70)-FIND(":",Protokoll_1p!F70))),1,0))</f>
        <v>1</v>
      </c>
      <c r="C64" s="1">
        <f>IF(Protokoll_1p!G70="","",IF(VALUE(LEFT(Protokoll_1p!G70,FIND(":",Protokoll_1p!G70)-1))&gt;VALUE(RIGHT(Protokoll_1p!G70,LEN(Protokoll_1p!G70)-FIND(":",Protokoll_1p!G70))),1,0))</f>
        <v>1</v>
      </c>
      <c r="D64" s="1">
        <f>IF(Protokoll_1p!H70="","",IF(VALUE(LEFT(Protokoll_1p!H70,FIND(":",Protokoll_1p!H70)-1))&gt;VALUE(RIGHT(Protokoll_1p!H70,LEN(Protokoll_1p!H70)-FIND(":",Protokoll_1p!H70))),1,0))</f>
        <v>1</v>
      </c>
      <c r="E64" s="1" t="str">
        <f>IF(Protokoll_1p!I70="","",IF(VALUE(LEFT(Protokoll_1p!I70,FIND(":",Protokoll_1p!I70)-1))&gt;VALUE(RIGHT(Protokoll_1p!I70,LEN(Protokoll_1p!I70)-FIND(":",Protokoll_1p!I70))),1,0))</f>
        <v/>
      </c>
      <c r="F64" s="1" t="str">
        <f>IF(Protokoll_1p!J70="","",IF(VALUE(LEFT(Protokoll_1p!J70,FIND(":",Protokoll_1p!J70)-1))&gt;VALUE(RIGHT(Protokoll_1p!J70,LEN(Protokoll_1p!J70)-FIND(":",Protokoll_1p!J70))),1,0))</f>
        <v/>
      </c>
      <c r="G64" s="1">
        <f t="shared" si="0"/>
        <v>3</v>
      </c>
      <c r="I64" s="1">
        <f>IF(Protokoll_1p!F70="","",IF(VALUE(LEFT(Protokoll_1p!F70,FIND(":",Protokoll_1p!F70)-1))&gt;VALUE(RIGHT(Protokoll_1p!F70,LEN(Protokoll_1p!F70)-FIND(":",Protokoll_1p!F70))),0,1))</f>
        <v>0</v>
      </c>
      <c r="J64" s="1">
        <f>IF(Protokoll_1p!G70="","",IF(VALUE(LEFT(Protokoll_1p!G70,FIND(":",Protokoll_1p!G70)-1))&gt;VALUE(RIGHT(Protokoll_1p!G70,LEN(Protokoll_1p!G70)-FIND(":",Protokoll_1p!G70))),0,1))</f>
        <v>0</v>
      </c>
      <c r="K64" s="1">
        <f>IF(Protokoll_1p!H70="","",IF(VALUE(LEFT(Protokoll_1p!H70,FIND(":",Protokoll_1p!H70)-1))&gt;VALUE(RIGHT(Protokoll_1p!H70,LEN(Protokoll_1p!H70)-FIND(":",Protokoll_1p!H70))),0,1))</f>
        <v>0</v>
      </c>
      <c r="L64" s="1" t="str">
        <f>IF(Protokoll_1p!I70="","",IF(VALUE(LEFT(Protokoll_1p!I70,FIND(":",Protokoll_1p!I70)-1))&gt;VALUE(RIGHT(Protokoll_1p!I70,LEN(Protokoll_1p!I70)-FIND(":",Protokoll_1p!I70))),0,1))</f>
        <v/>
      </c>
      <c r="M64" s="1" t="str">
        <f>IF(Protokoll_1p!J70="","",IF(VALUE(LEFT(Protokoll_1p!J70,FIND(":",Protokoll_1p!J70)-1))&gt;VALUE(RIGHT(Protokoll_1p!J70,LEN(Protokoll_1p!J70)-FIND(":",Protokoll_1p!J70))),0,1))</f>
        <v/>
      </c>
      <c r="N64" s="1">
        <f t="shared" si="1"/>
        <v>0</v>
      </c>
    </row>
    <row r="65" spans="2:14">
      <c r="B65" s="1">
        <f>IF(Protokoll_1p!F71="","",IF(VALUE(LEFT(Protokoll_1p!F71,FIND(":",Protokoll_1p!F71)-1))&gt;VALUE(RIGHT(Protokoll_1p!F71,LEN(Protokoll_1p!F71)-FIND(":",Protokoll_1p!F71))),1,0))</f>
        <v>1</v>
      </c>
      <c r="C65" s="1">
        <f>IF(Protokoll_1p!G71="","",IF(VALUE(LEFT(Protokoll_1p!G71,FIND(":",Protokoll_1p!G71)-1))&gt;VALUE(RIGHT(Protokoll_1p!G71,LEN(Protokoll_1p!G71)-FIND(":",Protokoll_1p!G71))),1,0))</f>
        <v>1</v>
      </c>
      <c r="D65" s="1">
        <f>IF(Protokoll_1p!H71="","",IF(VALUE(LEFT(Protokoll_1p!H71,FIND(":",Protokoll_1p!H71)-1))&gt;VALUE(RIGHT(Protokoll_1p!H71,LEN(Protokoll_1p!H71)-FIND(":",Protokoll_1p!H71))),1,0))</f>
        <v>1</v>
      </c>
      <c r="E65" s="1" t="str">
        <f>IF(Protokoll_1p!I71="","",IF(VALUE(LEFT(Protokoll_1p!I71,FIND(":",Protokoll_1p!I71)-1))&gt;VALUE(RIGHT(Protokoll_1p!I71,LEN(Protokoll_1p!I71)-FIND(":",Protokoll_1p!I71))),1,0))</f>
        <v/>
      </c>
      <c r="F65" s="1" t="str">
        <f>IF(Protokoll_1p!J71="","",IF(VALUE(LEFT(Protokoll_1p!J71,FIND(":",Protokoll_1p!J71)-1))&gt;VALUE(RIGHT(Protokoll_1p!J71,LEN(Protokoll_1p!J71)-FIND(":",Protokoll_1p!J71))),1,0))</f>
        <v/>
      </c>
      <c r="G65" s="1">
        <f t="shared" si="0"/>
        <v>3</v>
      </c>
      <c r="I65" s="1">
        <f>IF(Protokoll_1p!F71="","",IF(VALUE(LEFT(Protokoll_1p!F71,FIND(":",Protokoll_1p!F71)-1))&gt;VALUE(RIGHT(Protokoll_1p!F71,LEN(Protokoll_1p!F71)-FIND(":",Protokoll_1p!F71))),0,1))</f>
        <v>0</v>
      </c>
      <c r="J65" s="1">
        <f>IF(Protokoll_1p!G71="","",IF(VALUE(LEFT(Protokoll_1p!G71,FIND(":",Protokoll_1p!G71)-1))&gt;VALUE(RIGHT(Protokoll_1p!G71,LEN(Protokoll_1p!G71)-FIND(":",Protokoll_1p!G71))),0,1))</f>
        <v>0</v>
      </c>
      <c r="K65" s="1">
        <f>IF(Protokoll_1p!H71="","",IF(VALUE(LEFT(Protokoll_1p!H71,FIND(":",Protokoll_1p!H71)-1))&gt;VALUE(RIGHT(Protokoll_1p!H71,LEN(Protokoll_1p!H71)-FIND(":",Protokoll_1p!H71))),0,1))</f>
        <v>0</v>
      </c>
      <c r="L65" s="1" t="str">
        <f>IF(Protokoll_1p!I71="","",IF(VALUE(LEFT(Protokoll_1p!I71,FIND(":",Protokoll_1p!I71)-1))&gt;VALUE(RIGHT(Protokoll_1p!I71,LEN(Protokoll_1p!I71)-FIND(":",Protokoll_1p!I71))),0,1))</f>
        <v/>
      </c>
      <c r="M65" s="1" t="str">
        <f>IF(Protokoll_1p!J71="","",IF(VALUE(LEFT(Protokoll_1p!J71,FIND(":",Protokoll_1p!J71)-1))&gt;VALUE(RIGHT(Protokoll_1p!J71,LEN(Protokoll_1p!J71)-FIND(":",Protokoll_1p!J71))),0,1))</f>
        <v/>
      </c>
      <c r="N65" s="1">
        <f t="shared" si="1"/>
        <v>0</v>
      </c>
    </row>
    <row r="66" spans="2:14">
      <c r="B66" s="1" t="str">
        <f>IF(Protokoll_1p!F72="","",IF(VALUE(LEFT(Protokoll_1p!F72,FIND(":",Protokoll_1p!F72)-1))&gt;VALUE(RIGHT(Protokoll_1p!F72,LEN(Protokoll_1p!F72)-FIND(":",Protokoll_1p!F72))),1,0))</f>
        <v/>
      </c>
      <c r="C66" s="1" t="str">
        <f>IF(Protokoll_1p!G72="","",IF(VALUE(LEFT(Protokoll_1p!G72,FIND(":",Protokoll_1p!G72)-1))&gt;VALUE(RIGHT(Protokoll_1p!G72,LEN(Protokoll_1p!G72)-FIND(":",Protokoll_1p!G72))),1,0))</f>
        <v/>
      </c>
      <c r="D66" s="1" t="str">
        <f>IF(Protokoll_1p!H72="","",IF(VALUE(LEFT(Protokoll_1p!H72,FIND(":",Protokoll_1p!H72)-1))&gt;VALUE(RIGHT(Protokoll_1p!H72,LEN(Protokoll_1p!H72)-FIND(":",Protokoll_1p!H72))),1,0))</f>
        <v/>
      </c>
      <c r="E66" s="1" t="str">
        <f>IF(Protokoll_1p!I72="","",IF(VALUE(LEFT(Protokoll_1p!I72,FIND(":",Protokoll_1p!I72)-1))&gt;VALUE(RIGHT(Protokoll_1p!I72,LEN(Protokoll_1p!I72)-FIND(":",Protokoll_1p!I72))),1,0))</f>
        <v/>
      </c>
      <c r="F66" s="1" t="str">
        <f>IF(Protokoll_1p!J72="","",IF(VALUE(LEFT(Protokoll_1p!J72,FIND(":",Protokoll_1p!J72)-1))&gt;VALUE(RIGHT(Protokoll_1p!J72,LEN(Protokoll_1p!J72)-FIND(":",Protokoll_1p!J72))),1,0))</f>
        <v/>
      </c>
      <c r="G66" s="1" t="str">
        <f t="shared" si="0"/>
        <v/>
      </c>
      <c r="I66" s="1" t="str">
        <f>IF(Protokoll_1p!F72="","",IF(VALUE(LEFT(Protokoll_1p!F72,FIND(":",Protokoll_1p!F72)-1))&gt;VALUE(RIGHT(Protokoll_1p!F72,LEN(Protokoll_1p!F72)-FIND(":",Protokoll_1p!F72))),0,1))</f>
        <v/>
      </c>
      <c r="J66" s="1" t="str">
        <f>IF(Protokoll_1p!G72="","",IF(VALUE(LEFT(Protokoll_1p!G72,FIND(":",Protokoll_1p!G72)-1))&gt;VALUE(RIGHT(Protokoll_1p!G72,LEN(Protokoll_1p!G72)-FIND(":",Protokoll_1p!G72))),0,1))</f>
        <v/>
      </c>
      <c r="K66" s="1" t="str">
        <f>IF(Protokoll_1p!H72="","",IF(VALUE(LEFT(Protokoll_1p!H72,FIND(":",Protokoll_1p!H72)-1))&gt;VALUE(RIGHT(Protokoll_1p!H72,LEN(Protokoll_1p!H72)-FIND(":",Protokoll_1p!H72))),0,1))</f>
        <v/>
      </c>
      <c r="L66" s="1" t="str">
        <f>IF(Protokoll_1p!I72="","",IF(VALUE(LEFT(Protokoll_1p!I72,FIND(":",Protokoll_1p!I72)-1))&gt;VALUE(RIGHT(Protokoll_1p!I72,LEN(Protokoll_1p!I72)-FIND(":",Protokoll_1p!I72))),0,1))</f>
        <v/>
      </c>
      <c r="M66" s="1" t="str">
        <f>IF(Protokoll_1p!J72="","",IF(VALUE(LEFT(Protokoll_1p!J72,FIND(":",Protokoll_1p!J72)-1))&gt;VALUE(RIGHT(Protokoll_1p!J72,LEN(Protokoll_1p!J72)-FIND(":",Protokoll_1p!J72))),0,1))</f>
        <v/>
      </c>
      <c r="N66" s="1" t="str">
        <f t="shared" si="1"/>
        <v/>
      </c>
    </row>
    <row r="67" spans="2:14">
      <c r="B67" s="1" t="str">
        <f>IF(Protokoll_1p!F73="","",IF(VALUE(LEFT(Protokoll_1p!F73,FIND(":",Protokoll_1p!F73)-1))&gt;VALUE(RIGHT(Protokoll_1p!F73,LEN(Protokoll_1p!F73)-FIND(":",Protokoll_1p!F73))),1,0))</f>
        <v/>
      </c>
      <c r="C67" s="1" t="str">
        <f>IF(Protokoll_1p!G73="","",IF(VALUE(LEFT(Protokoll_1p!G73,FIND(":",Protokoll_1p!G73)-1))&gt;VALUE(RIGHT(Protokoll_1p!G73,LEN(Protokoll_1p!G73)-FIND(":",Protokoll_1p!G73))),1,0))</f>
        <v/>
      </c>
      <c r="D67" s="1" t="str">
        <f>IF(Protokoll_1p!H73="","",IF(VALUE(LEFT(Protokoll_1p!H73,FIND(":",Protokoll_1p!H73)-1))&gt;VALUE(RIGHT(Protokoll_1p!H73,LEN(Protokoll_1p!H73)-FIND(":",Protokoll_1p!H73))),1,0))</f>
        <v/>
      </c>
      <c r="E67" s="1" t="str">
        <f>IF(Protokoll_1p!I73="","",IF(VALUE(LEFT(Protokoll_1p!I73,FIND(":",Protokoll_1p!I73)-1))&gt;VALUE(RIGHT(Protokoll_1p!I73,LEN(Protokoll_1p!I73)-FIND(":",Protokoll_1p!I73))),1,0))</f>
        <v/>
      </c>
      <c r="F67" s="1" t="str">
        <f>IF(Protokoll_1p!J73="","",IF(VALUE(LEFT(Protokoll_1p!J73,FIND(":",Protokoll_1p!J73)-1))&gt;VALUE(RIGHT(Protokoll_1p!J73,LEN(Protokoll_1p!J73)-FIND(":",Protokoll_1p!J73))),1,0))</f>
        <v/>
      </c>
      <c r="G67" s="1" t="str">
        <f t="shared" ref="G67:G130" si="2">IF(B67="","",SUM(B67:F67))</f>
        <v/>
      </c>
      <c r="I67" s="1" t="str">
        <f>IF(Protokoll_1p!F73="","",IF(VALUE(LEFT(Protokoll_1p!F73,FIND(":",Protokoll_1p!F73)-1))&gt;VALUE(RIGHT(Protokoll_1p!F73,LEN(Protokoll_1p!F73)-FIND(":",Protokoll_1p!F73))),0,1))</f>
        <v/>
      </c>
      <c r="J67" s="1" t="str">
        <f>IF(Protokoll_1p!G73="","",IF(VALUE(LEFT(Protokoll_1p!G73,FIND(":",Protokoll_1p!G73)-1))&gt;VALUE(RIGHT(Protokoll_1p!G73,LEN(Protokoll_1p!G73)-FIND(":",Protokoll_1p!G73))),0,1))</f>
        <v/>
      </c>
      <c r="K67" s="1" t="str">
        <f>IF(Protokoll_1p!H73="","",IF(VALUE(LEFT(Protokoll_1p!H73,FIND(":",Protokoll_1p!H73)-1))&gt;VALUE(RIGHT(Protokoll_1p!H73,LEN(Protokoll_1p!H73)-FIND(":",Protokoll_1p!H73))),0,1))</f>
        <v/>
      </c>
      <c r="L67" s="1" t="str">
        <f>IF(Protokoll_1p!I73="","",IF(VALUE(LEFT(Protokoll_1p!I73,FIND(":",Protokoll_1p!I73)-1))&gt;VALUE(RIGHT(Protokoll_1p!I73,LEN(Protokoll_1p!I73)-FIND(":",Protokoll_1p!I73))),0,1))</f>
        <v/>
      </c>
      <c r="M67" s="1" t="str">
        <f>IF(Protokoll_1p!J73="","",IF(VALUE(LEFT(Protokoll_1p!J73,FIND(":",Protokoll_1p!J73)-1))&gt;VALUE(RIGHT(Protokoll_1p!J73,LEN(Protokoll_1p!J73)-FIND(":",Protokoll_1p!J73))),0,1))</f>
        <v/>
      </c>
      <c r="N67" s="1" t="str">
        <f t="shared" ref="N67:N130" si="3">IF(I67="","",SUM(I67:M67))</f>
        <v/>
      </c>
    </row>
    <row r="68" spans="2:14">
      <c r="B68" s="1" t="str">
        <f>IF(Protokoll_1p!F74="","",IF(VALUE(LEFT(Protokoll_1p!F74,FIND(":",Protokoll_1p!F74)-1))&gt;VALUE(RIGHT(Protokoll_1p!F74,LEN(Protokoll_1p!F74)-FIND(":",Protokoll_1p!F74))),1,0))</f>
        <v/>
      </c>
      <c r="C68" s="1" t="str">
        <f>IF(Protokoll_1p!G74="","",IF(VALUE(LEFT(Protokoll_1p!G74,FIND(":",Protokoll_1p!G74)-1))&gt;VALUE(RIGHT(Protokoll_1p!G74,LEN(Protokoll_1p!G74)-FIND(":",Protokoll_1p!G74))),1,0))</f>
        <v/>
      </c>
      <c r="D68" s="1" t="str">
        <f>IF(Protokoll_1p!H74="","",IF(VALUE(LEFT(Protokoll_1p!H74,FIND(":",Protokoll_1p!H74)-1))&gt;VALUE(RIGHT(Protokoll_1p!H74,LEN(Protokoll_1p!H74)-FIND(":",Protokoll_1p!H74))),1,0))</f>
        <v/>
      </c>
      <c r="E68" s="1" t="str">
        <f>IF(Protokoll_1p!I74="","",IF(VALUE(LEFT(Protokoll_1p!I74,FIND(":",Protokoll_1p!I74)-1))&gt;VALUE(RIGHT(Protokoll_1p!I74,LEN(Protokoll_1p!I74)-FIND(":",Protokoll_1p!I74))),1,0))</f>
        <v/>
      </c>
      <c r="F68" s="1" t="str">
        <f>IF(Protokoll_1p!J74="","",IF(VALUE(LEFT(Protokoll_1p!J74,FIND(":",Protokoll_1p!J74)-1))&gt;VALUE(RIGHT(Protokoll_1p!J74,LEN(Protokoll_1p!J74)-FIND(":",Protokoll_1p!J74))),1,0))</f>
        <v/>
      </c>
      <c r="G68" s="1" t="str">
        <f t="shared" si="2"/>
        <v/>
      </c>
      <c r="I68" s="1" t="str">
        <f>IF(Protokoll_1p!F74="","",IF(VALUE(LEFT(Protokoll_1p!F74,FIND(":",Protokoll_1p!F74)-1))&gt;VALUE(RIGHT(Protokoll_1p!F74,LEN(Protokoll_1p!F74)-FIND(":",Protokoll_1p!F74))),0,1))</f>
        <v/>
      </c>
      <c r="J68" s="1" t="str">
        <f>IF(Protokoll_1p!G74="","",IF(VALUE(LEFT(Protokoll_1p!G74,FIND(":",Protokoll_1p!G74)-1))&gt;VALUE(RIGHT(Protokoll_1p!G74,LEN(Protokoll_1p!G74)-FIND(":",Protokoll_1p!G74))),0,1))</f>
        <v/>
      </c>
      <c r="K68" s="1" t="str">
        <f>IF(Protokoll_1p!H74="","",IF(VALUE(LEFT(Protokoll_1p!H74,FIND(":",Protokoll_1p!H74)-1))&gt;VALUE(RIGHT(Protokoll_1p!H74,LEN(Protokoll_1p!H74)-FIND(":",Protokoll_1p!H74))),0,1))</f>
        <v/>
      </c>
      <c r="L68" s="1" t="str">
        <f>IF(Protokoll_1p!I74="","",IF(VALUE(LEFT(Protokoll_1p!I74,FIND(":",Protokoll_1p!I74)-1))&gt;VALUE(RIGHT(Protokoll_1p!I74,LEN(Protokoll_1p!I74)-FIND(":",Protokoll_1p!I74))),0,1))</f>
        <v/>
      </c>
      <c r="M68" s="1" t="str">
        <f>IF(Protokoll_1p!J74="","",IF(VALUE(LEFT(Protokoll_1p!J74,FIND(":",Protokoll_1p!J74)-1))&gt;VALUE(RIGHT(Protokoll_1p!J74,LEN(Protokoll_1p!J74)-FIND(":",Protokoll_1p!J74))),0,1))</f>
        <v/>
      </c>
      <c r="N68" s="1" t="str">
        <f t="shared" si="3"/>
        <v/>
      </c>
    </row>
    <row r="69" spans="2:14">
      <c r="B69" s="1" t="str">
        <f>IF(Protokoll_1p!F75="","",IF(VALUE(LEFT(Protokoll_1p!F75,FIND(":",Protokoll_1p!F75)-1))&gt;VALUE(RIGHT(Protokoll_1p!F75,LEN(Protokoll_1p!F75)-FIND(":",Protokoll_1p!F75))),1,0))</f>
        <v/>
      </c>
      <c r="C69" s="1" t="str">
        <f>IF(Protokoll_1p!G75="","",IF(VALUE(LEFT(Protokoll_1p!G75,FIND(":",Protokoll_1p!G75)-1))&gt;VALUE(RIGHT(Protokoll_1p!G75,LEN(Protokoll_1p!G75)-FIND(":",Protokoll_1p!G75))),1,0))</f>
        <v/>
      </c>
      <c r="D69" s="1" t="str">
        <f>IF(Protokoll_1p!H75="","",IF(VALUE(LEFT(Protokoll_1p!H75,FIND(":",Protokoll_1p!H75)-1))&gt;VALUE(RIGHT(Protokoll_1p!H75,LEN(Protokoll_1p!H75)-FIND(":",Protokoll_1p!H75))),1,0))</f>
        <v/>
      </c>
      <c r="E69" s="1" t="str">
        <f>IF(Protokoll_1p!I75="","",IF(VALUE(LEFT(Protokoll_1p!I75,FIND(":",Protokoll_1p!I75)-1))&gt;VALUE(RIGHT(Protokoll_1p!I75,LEN(Protokoll_1p!I75)-FIND(":",Protokoll_1p!I75))),1,0))</f>
        <v/>
      </c>
      <c r="F69" s="1" t="str">
        <f>IF(Protokoll_1p!J75="","",IF(VALUE(LEFT(Protokoll_1p!J75,FIND(":",Protokoll_1p!J75)-1))&gt;VALUE(RIGHT(Protokoll_1p!J75,LEN(Protokoll_1p!J75)-FIND(":",Protokoll_1p!J75))),1,0))</f>
        <v/>
      </c>
      <c r="G69" s="1" t="str">
        <f t="shared" si="2"/>
        <v/>
      </c>
      <c r="I69" s="1" t="str">
        <f>IF(Protokoll_1p!F75="","",IF(VALUE(LEFT(Protokoll_1p!F75,FIND(":",Protokoll_1p!F75)-1))&gt;VALUE(RIGHT(Protokoll_1p!F75,LEN(Protokoll_1p!F75)-FIND(":",Protokoll_1p!F75))),0,1))</f>
        <v/>
      </c>
      <c r="J69" s="1" t="str">
        <f>IF(Protokoll_1p!G75="","",IF(VALUE(LEFT(Protokoll_1p!G75,FIND(":",Protokoll_1p!G75)-1))&gt;VALUE(RIGHT(Protokoll_1p!G75,LEN(Protokoll_1p!G75)-FIND(":",Protokoll_1p!G75))),0,1))</f>
        <v/>
      </c>
      <c r="K69" s="1" t="str">
        <f>IF(Protokoll_1p!H75="","",IF(VALUE(LEFT(Protokoll_1p!H75,FIND(":",Protokoll_1p!H75)-1))&gt;VALUE(RIGHT(Protokoll_1p!H75,LEN(Protokoll_1p!H75)-FIND(":",Protokoll_1p!H75))),0,1))</f>
        <v/>
      </c>
      <c r="L69" s="1" t="str">
        <f>IF(Protokoll_1p!I75="","",IF(VALUE(LEFT(Protokoll_1p!I75,FIND(":",Protokoll_1p!I75)-1))&gt;VALUE(RIGHT(Protokoll_1p!I75,LEN(Protokoll_1p!I75)-FIND(":",Protokoll_1p!I75))),0,1))</f>
        <v/>
      </c>
      <c r="M69" s="1" t="str">
        <f>IF(Protokoll_1p!J75="","",IF(VALUE(LEFT(Protokoll_1p!J75,FIND(":",Protokoll_1p!J75)-1))&gt;VALUE(RIGHT(Protokoll_1p!J75,LEN(Protokoll_1p!J75)-FIND(":",Protokoll_1p!J75))),0,1))</f>
        <v/>
      </c>
      <c r="N69" s="1" t="str">
        <f t="shared" si="3"/>
        <v/>
      </c>
    </row>
    <row r="70" spans="2:14">
      <c r="B70" s="1" t="str">
        <f>IF(Protokoll_1p!F76="","",IF(VALUE(LEFT(Protokoll_1p!F76,FIND(":",Protokoll_1p!F76)-1))&gt;VALUE(RIGHT(Protokoll_1p!F76,LEN(Protokoll_1p!F76)-FIND(":",Protokoll_1p!F76))),1,0))</f>
        <v/>
      </c>
      <c r="C70" s="1" t="str">
        <f>IF(Protokoll_1p!G76="","",IF(VALUE(LEFT(Protokoll_1p!G76,FIND(":",Protokoll_1p!G76)-1))&gt;VALUE(RIGHT(Protokoll_1p!G76,LEN(Protokoll_1p!G76)-FIND(":",Protokoll_1p!G76))),1,0))</f>
        <v/>
      </c>
      <c r="D70" s="1" t="str">
        <f>IF(Protokoll_1p!H76="","",IF(VALUE(LEFT(Protokoll_1p!H76,FIND(":",Protokoll_1p!H76)-1))&gt;VALUE(RIGHT(Protokoll_1p!H76,LEN(Protokoll_1p!H76)-FIND(":",Protokoll_1p!H76))),1,0))</f>
        <v/>
      </c>
      <c r="E70" s="1" t="str">
        <f>IF(Protokoll_1p!I76="","",IF(VALUE(LEFT(Protokoll_1p!I76,FIND(":",Protokoll_1p!I76)-1))&gt;VALUE(RIGHT(Protokoll_1p!I76,LEN(Protokoll_1p!I76)-FIND(":",Protokoll_1p!I76))),1,0))</f>
        <v/>
      </c>
      <c r="F70" s="1" t="str">
        <f>IF(Protokoll_1p!J76="","",IF(VALUE(LEFT(Protokoll_1p!J76,FIND(":",Protokoll_1p!J76)-1))&gt;VALUE(RIGHT(Protokoll_1p!J76,LEN(Protokoll_1p!J76)-FIND(":",Protokoll_1p!J76))),1,0))</f>
        <v/>
      </c>
      <c r="G70" s="1" t="str">
        <f t="shared" si="2"/>
        <v/>
      </c>
      <c r="I70" s="1" t="str">
        <f>IF(Protokoll_1p!F76="","",IF(VALUE(LEFT(Protokoll_1p!F76,FIND(":",Protokoll_1p!F76)-1))&gt;VALUE(RIGHT(Protokoll_1p!F76,LEN(Protokoll_1p!F76)-FIND(":",Protokoll_1p!F76))),0,1))</f>
        <v/>
      </c>
      <c r="J70" s="1" t="str">
        <f>IF(Protokoll_1p!G76="","",IF(VALUE(LEFT(Protokoll_1p!G76,FIND(":",Protokoll_1p!G76)-1))&gt;VALUE(RIGHT(Protokoll_1p!G76,LEN(Protokoll_1p!G76)-FIND(":",Protokoll_1p!G76))),0,1))</f>
        <v/>
      </c>
      <c r="K70" s="1" t="str">
        <f>IF(Protokoll_1p!H76="","",IF(VALUE(LEFT(Protokoll_1p!H76,FIND(":",Protokoll_1p!H76)-1))&gt;VALUE(RIGHT(Protokoll_1p!H76,LEN(Protokoll_1p!H76)-FIND(":",Protokoll_1p!H76))),0,1))</f>
        <v/>
      </c>
      <c r="L70" s="1" t="str">
        <f>IF(Protokoll_1p!I76="","",IF(VALUE(LEFT(Protokoll_1p!I76,FIND(":",Protokoll_1p!I76)-1))&gt;VALUE(RIGHT(Protokoll_1p!I76,LEN(Protokoll_1p!I76)-FIND(":",Protokoll_1p!I76))),0,1))</f>
        <v/>
      </c>
      <c r="M70" s="1" t="str">
        <f>IF(Protokoll_1p!J76="","",IF(VALUE(LEFT(Protokoll_1p!J76,FIND(":",Protokoll_1p!J76)-1))&gt;VALUE(RIGHT(Protokoll_1p!J76,LEN(Protokoll_1p!J76)-FIND(":",Protokoll_1p!J76))),0,1))</f>
        <v/>
      </c>
      <c r="N70" s="1" t="str">
        <f t="shared" si="3"/>
        <v/>
      </c>
    </row>
    <row r="71" spans="2:14">
      <c r="B71" s="1" t="e">
        <f>IF(Protokoll_1p!F77="","",IF(VALUE(LEFT(Protokoll_1p!F77,FIND(":",Protokoll_1p!F77)-1))&gt;VALUE(RIGHT(Protokoll_1p!F77,LEN(Protokoll_1p!F77)-FIND(":",Protokoll_1p!F77))),1,0))</f>
        <v>#VALUE!</v>
      </c>
      <c r="C71" s="1" t="e">
        <f>IF(Protokoll_1p!G77="","",IF(VALUE(LEFT(Protokoll_1p!G77,FIND(":",Protokoll_1p!G77)-1))&gt;VALUE(RIGHT(Protokoll_1p!G77,LEN(Protokoll_1p!G77)-FIND(":",Protokoll_1p!G77))),1,0))</f>
        <v>#VALUE!</v>
      </c>
      <c r="D71" s="1" t="e">
        <f>IF(Protokoll_1p!H77="","",IF(VALUE(LEFT(Protokoll_1p!H77,FIND(":",Protokoll_1p!H77)-1))&gt;VALUE(RIGHT(Protokoll_1p!H77,LEN(Protokoll_1p!H77)-FIND(":",Protokoll_1p!H77))),1,0))</f>
        <v>#VALUE!</v>
      </c>
      <c r="E71" s="1" t="e">
        <f>IF(Protokoll_1p!I77="","",IF(VALUE(LEFT(Protokoll_1p!I77,FIND(":",Protokoll_1p!I77)-1))&gt;VALUE(RIGHT(Protokoll_1p!I77,LEN(Protokoll_1p!I77)-FIND(":",Protokoll_1p!I77))),1,0))</f>
        <v>#VALUE!</v>
      </c>
      <c r="F71" s="1" t="e">
        <f>IF(Protokoll_1p!J77="","",IF(VALUE(LEFT(Protokoll_1p!J77,FIND(":",Protokoll_1p!J77)-1))&gt;VALUE(RIGHT(Protokoll_1p!J77,LEN(Protokoll_1p!J77)-FIND(":",Protokoll_1p!J77))),1,0))</f>
        <v>#VALUE!</v>
      </c>
      <c r="G71" s="1" t="e">
        <f t="shared" si="2"/>
        <v>#VALUE!</v>
      </c>
      <c r="I71" s="1" t="e">
        <f>IF(Protokoll_1p!F77="","",IF(VALUE(LEFT(Protokoll_1p!F77,FIND(":",Protokoll_1p!F77)-1))&gt;VALUE(RIGHT(Protokoll_1p!F77,LEN(Protokoll_1p!F77)-FIND(":",Protokoll_1p!F77))),0,1))</f>
        <v>#VALUE!</v>
      </c>
      <c r="J71" s="1" t="e">
        <f>IF(Protokoll_1p!G77="","",IF(VALUE(LEFT(Protokoll_1p!G77,FIND(":",Protokoll_1p!G77)-1))&gt;VALUE(RIGHT(Protokoll_1p!G77,LEN(Protokoll_1p!G77)-FIND(":",Protokoll_1p!G77))),0,1))</f>
        <v>#VALUE!</v>
      </c>
      <c r="K71" s="1" t="e">
        <f>IF(Protokoll_1p!H77="","",IF(VALUE(LEFT(Protokoll_1p!H77,FIND(":",Protokoll_1p!H77)-1))&gt;VALUE(RIGHT(Protokoll_1p!H77,LEN(Protokoll_1p!H77)-FIND(":",Protokoll_1p!H77))),0,1))</f>
        <v>#VALUE!</v>
      </c>
      <c r="L71" s="1" t="e">
        <f>IF(Protokoll_1p!I77="","",IF(VALUE(LEFT(Protokoll_1p!I77,FIND(":",Protokoll_1p!I77)-1))&gt;VALUE(RIGHT(Protokoll_1p!I77,LEN(Protokoll_1p!I77)-FIND(":",Protokoll_1p!I77))),0,1))</f>
        <v>#VALUE!</v>
      </c>
      <c r="M71" s="1" t="e">
        <f>IF(Protokoll_1p!J77="","",IF(VALUE(LEFT(Protokoll_1p!J77,FIND(":",Protokoll_1p!J77)-1))&gt;VALUE(RIGHT(Protokoll_1p!J77,LEN(Protokoll_1p!J77)-FIND(":",Protokoll_1p!J77))),0,1))</f>
        <v>#VALUE!</v>
      </c>
      <c r="N71" s="1" t="e">
        <f t="shared" si="3"/>
        <v>#VALUE!</v>
      </c>
    </row>
    <row r="72" spans="2:14">
      <c r="B72" s="1">
        <f>IF(Protokoll_1p!F78="","",IF(VALUE(LEFT(Protokoll_1p!F78,FIND(":",Protokoll_1p!F78)-1))&gt;VALUE(RIGHT(Protokoll_1p!F78,LEN(Protokoll_1p!F78)-FIND(":",Protokoll_1p!F78))),1,0))</f>
        <v>0</v>
      </c>
      <c r="C72" s="1">
        <f>IF(Protokoll_1p!G78="","",IF(VALUE(LEFT(Protokoll_1p!G78,FIND(":",Protokoll_1p!G78)-1))&gt;VALUE(RIGHT(Protokoll_1p!G78,LEN(Protokoll_1p!G78)-FIND(":",Protokoll_1p!G78))),1,0))</f>
        <v>0</v>
      </c>
      <c r="D72" s="1">
        <f>IF(Protokoll_1p!H78="","",IF(VALUE(LEFT(Protokoll_1p!H78,FIND(":",Protokoll_1p!H78)-1))&gt;VALUE(RIGHT(Protokoll_1p!H78,LEN(Protokoll_1p!H78)-FIND(":",Protokoll_1p!H78))),1,0))</f>
        <v>0</v>
      </c>
      <c r="E72" s="1" t="str">
        <f>IF(Protokoll_1p!I78="","",IF(VALUE(LEFT(Protokoll_1p!I78,FIND(":",Protokoll_1p!I78)-1))&gt;VALUE(RIGHT(Protokoll_1p!I78,LEN(Protokoll_1p!I78)-FIND(":",Protokoll_1p!I78))),1,0))</f>
        <v/>
      </c>
      <c r="F72" s="1" t="str">
        <f>IF(Protokoll_1p!J78="","",IF(VALUE(LEFT(Protokoll_1p!J78,FIND(":",Protokoll_1p!J78)-1))&gt;VALUE(RIGHT(Protokoll_1p!J78,LEN(Protokoll_1p!J78)-FIND(":",Protokoll_1p!J78))),1,0))</f>
        <v/>
      </c>
      <c r="G72" s="1">
        <f t="shared" si="2"/>
        <v>0</v>
      </c>
      <c r="I72" s="1">
        <f>IF(Protokoll_1p!F78="","",IF(VALUE(LEFT(Protokoll_1p!F78,FIND(":",Protokoll_1p!F78)-1))&gt;VALUE(RIGHT(Protokoll_1p!F78,LEN(Protokoll_1p!F78)-FIND(":",Protokoll_1p!F78))),0,1))</f>
        <v>1</v>
      </c>
      <c r="J72" s="1">
        <f>IF(Protokoll_1p!G78="","",IF(VALUE(LEFT(Protokoll_1p!G78,FIND(":",Protokoll_1p!G78)-1))&gt;VALUE(RIGHT(Protokoll_1p!G78,LEN(Protokoll_1p!G78)-FIND(":",Protokoll_1p!G78))),0,1))</f>
        <v>1</v>
      </c>
      <c r="K72" s="1">
        <f>IF(Protokoll_1p!H78="","",IF(VALUE(LEFT(Protokoll_1p!H78,FIND(":",Protokoll_1p!H78)-1))&gt;VALUE(RIGHT(Protokoll_1p!H78,LEN(Protokoll_1p!H78)-FIND(":",Protokoll_1p!H78))),0,1))</f>
        <v>1</v>
      </c>
      <c r="L72" s="1" t="str">
        <f>IF(Protokoll_1p!I78="","",IF(VALUE(LEFT(Protokoll_1p!I78,FIND(":",Protokoll_1p!I78)-1))&gt;VALUE(RIGHT(Protokoll_1p!I78,LEN(Protokoll_1p!I78)-FIND(":",Protokoll_1p!I78))),0,1))</f>
        <v/>
      </c>
      <c r="M72" s="1" t="str">
        <f>IF(Protokoll_1p!J78="","",IF(VALUE(LEFT(Protokoll_1p!J78,FIND(":",Protokoll_1p!J78)-1))&gt;VALUE(RIGHT(Protokoll_1p!J78,LEN(Protokoll_1p!J78)-FIND(":",Protokoll_1p!J78))),0,1))</f>
        <v/>
      </c>
      <c r="N72" s="1">
        <f t="shared" si="3"/>
        <v>3</v>
      </c>
    </row>
    <row r="73" spans="2:14">
      <c r="B73" s="1">
        <f>IF(Protokoll_1p!F79="","",IF(VALUE(LEFT(Protokoll_1p!F79,FIND(":",Protokoll_1p!F79)-1))&gt;VALUE(RIGHT(Protokoll_1p!F79,LEN(Protokoll_1p!F79)-FIND(":",Protokoll_1p!F79))),1,0))</f>
        <v>0</v>
      </c>
      <c r="C73" s="1">
        <f>IF(Protokoll_1p!G79="","",IF(VALUE(LEFT(Protokoll_1p!G79,FIND(":",Protokoll_1p!G79)-1))&gt;VALUE(RIGHT(Protokoll_1p!G79,LEN(Protokoll_1p!G79)-FIND(":",Protokoll_1p!G79))),1,0))</f>
        <v>0</v>
      </c>
      <c r="D73" s="1">
        <f>IF(Protokoll_1p!H79="","",IF(VALUE(LEFT(Protokoll_1p!H79,FIND(":",Protokoll_1p!H79)-1))&gt;VALUE(RIGHT(Protokoll_1p!H79,LEN(Protokoll_1p!H79)-FIND(":",Protokoll_1p!H79))),1,0))</f>
        <v>1</v>
      </c>
      <c r="E73" s="1">
        <f>IF(Protokoll_1p!I79="","",IF(VALUE(LEFT(Protokoll_1p!I79,FIND(":",Protokoll_1p!I79)-1))&gt;VALUE(RIGHT(Protokoll_1p!I79,LEN(Protokoll_1p!I79)-FIND(":",Protokoll_1p!I79))),1,0))</f>
        <v>1</v>
      </c>
      <c r="F73" s="1">
        <f>IF(Protokoll_1p!J79="","",IF(VALUE(LEFT(Protokoll_1p!J79,FIND(":",Protokoll_1p!J79)-1))&gt;VALUE(RIGHT(Protokoll_1p!J79,LEN(Protokoll_1p!J79)-FIND(":",Protokoll_1p!J79))),1,0))</f>
        <v>0</v>
      </c>
      <c r="G73" s="1">
        <f t="shared" si="2"/>
        <v>2</v>
      </c>
      <c r="I73" s="1">
        <f>IF(Protokoll_1p!F79="","",IF(VALUE(LEFT(Protokoll_1p!F79,FIND(":",Protokoll_1p!F79)-1))&gt;VALUE(RIGHT(Protokoll_1p!F79,LEN(Protokoll_1p!F79)-FIND(":",Protokoll_1p!F79))),0,1))</f>
        <v>1</v>
      </c>
      <c r="J73" s="1">
        <f>IF(Protokoll_1p!G79="","",IF(VALUE(LEFT(Protokoll_1p!G79,FIND(":",Protokoll_1p!G79)-1))&gt;VALUE(RIGHT(Protokoll_1p!G79,LEN(Protokoll_1p!G79)-FIND(":",Protokoll_1p!G79))),0,1))</f>
        <v>1</v>
      </c>
      <c r="K73" s="1">
        <f>IF(Protokoll_1p!H79="","",IF(VALUE(LEFT(Protokoll_1p!H79,FIND(":",Protokoll_1p!H79)-1))&gt;VALUE(RIGHT(Protokoll_1p!H79,LEN(Protokoll_1p!H79)-FIND(":",Protokoll_1p!H79))),0,1))</f>
        <v>0</v>
      </c>
      <c r="L73" s="1">
        <f>IF(Protokoll_1p!I79="","",IF(VALUE(LEFT(Protokoll_1p!I79,FIND(":",Protokoll_1p!I79)-1))&gt;VALUE(RIGHT(Protokoll_1p!I79,LEN(Protokoll_1p!I79)-FIND(":",Protokoll_1p!I79))),0,1))</f>
        <v>0</v>
      </c>
      <c r="M73" s="1">
        <f>IF(Protokoll_1p!J79="","",IF(VALUE(LEFT(Protokoll_1p!J79,FIND(":",Protokoll_1p!J79)-1))&gt;VALUE(RIGHT(Protokoll_1p!J79,LEN(Protokoll_1p!J79)-FIND(":",Protokoll_1p!J79))),0,1))</f>
        <v>1</v>
      </c>
      <c r="N73" s="1">
        <f t="shared" si="3"/>
        <v>3</v>
      </c>
    </row>
    <row r="74" spans="2:14">
      <c r="B74" s="1">
        <f>IF(Protokoll_1p!F80="","",IF(VALUE(LEFT(Protokoll_1p!F80,FIND(":",Protokoll_1p!F80)-1))&gt;VALUE(RIGHT(Protokoll_1p!F80,LEN(Protokoll_1p!F80)-FIND(":",Protokoll_1p!F80))),1,0))</f>
        <v>1</v>
      </c>
      <c r="C74" s="1">
        <f>IF(Protokoll_1p!G80="","",IF(VALUE(LEFT(Protokoll_1p!G80,FIND(":",Protokoll_1p!G80)-1))&gt;VALUE(RIGHT(Protokoll_1p!G80,LEN(Protokoll_1p!G80)-FIND(":",Protokoll_1p!G80))),1,0))</f>
        <v>0</v>
      </c>
      <c r="D74" s="1">
        <f>IF(Protokoll_1p!H80="","",IF(VALUE(LEFT(Protokoll_1p!H80,FIND(":",Protokoll_1p!H80)-1))&gt;VALUE(RIGHT(Protokoll_1p!H80,LEN(Protokoll_1p!H80)-FIND(":",Protokoll_1p!H80))),1,0))</f>
        <v>0</v>
      </c>
      <c r="E74" s="1">
        <f>IF(Protokoll_1p!I80="","",IF(VALUE(LEFT(Protokoll_1p!I80,FIND(":",Protokoll_1p!I80)-1))&gt;VALUE(RIGHT(Protokoll_1p!I80,LEN(Protokoll_1p!I80)-FIND(":",Protokoll_1p!I80))),1,0))</f>
        <v>0</v>
      </c>
      <c r="F74" s="1" t="str">
        <f>IF(Protokoll_1p!J80="","",IF(VALUE(LEFT(Protokoll_1p!J80,FIND(":",Protokoll_1p!J80)-1))&gt;VALUE(RIGHT(Protokoll_1p!J80,LEN(Protokoll_1p!J80)-FIND(":",Protokoll_1p!J80))),1,0))</f>
        <v/>
      </c>
      <c r="G74" s="1">
        <f t="shared" si="2"/>
        <v>1</v>
      </c>
      <c r="I74" s="1">
        <f>IF(Protokoll_1p!F80="","",IF(VALUE(LEFT(Protokoll_1p!F80,FIND(":",Protokoll_1p!F80)-1))&gt;VALUE(RIGHT(Protokoll_1p!F80,LEN(Protokoll_1p!F80)-FIND(":",Protokoll_1p!F80))),0,1))</f>
        <v>0</v>
      </c>
      <c r="J74" s="1">
        <f>IF(Protokoll_1p!G80="","",IF(VALUE(LEFT(Protokoll_1p!G80,FIND(":",Protokoll_1p!G80)-1))&gt;VALUE(RIGHT(Protokoll_1p!G80,LEN(Protokoll_1p!G80)-FIND(":",Protokoll_1p!G80))),0,1))</f>
        <v>1</v>
      </c>
      <c r="K74" s="1">
        <f>IF(Protokoll_1p!H80="","",IF(VALUE(LEFT(Protokoll_1p!H80,FIND(":",Protokoll_1p!H80)-1))&gt;VALUE(RIGHT(Protokoll_1p!H80,LEN(Protokoll_1p!H80)-FIND(":",Protokoll_1p!H80))),0,1))</f>
        <v>1</v>
      </c>
      <c r="L74" s="1">
        <f>IF(Protokoll_1p!I80="","",IF(VALUE(LEFT(Protokoll_1p!I80,FIND(":",Protokoll_1p!I80)-1))&gt;VALUE(RIGHT(Protokoll_1p!I80,LEN(Protokoll_1p!I80)-FIND(":",Protokoll_1p!I80))),0,1))</f>
        <v>1</v>
      </c>
      <c r="M74" s="1" t="str">
        <f>IF(Protokoll_1p!J80="","",IF(VALUE(LEFT(Protokoll_1p!J80,FIND(":",Protokoll_1p!J80)-1))&gt;VALUE(RIGHT(Protokoll_1p!J80,LEN(Protokoll_1p!J80)-FIND(":",Protokoll_1p!J80))),0,1))</f>
        <v/>
      </c>
      <c r="N74" s="1">
        <f t="shared" si="3"/>
        <v>3</v>
      </c>
    </row>
    <row r="75" spans="2:14">
      <c r="B75" s="1">
        <f>IF(Protokoll_1p!F81="","",IF(VALUE(LEFT(Protokoll_1p!F81,FIND(":",Protokoll_1p!F81)-1))&gt;VALUE(RIGHT(Protokoll_1p!F81,LEN(Protokoll_1p!F81)-FIND(":",Protokoll_1p!F81))),1,0))</f>
        <v>0</v>
      </c>
      <c r="C75" s="1">
        <f>IF(Protokoll_1p!G81="","",IF(VALUE(LEFT(Protokoll_1p!G81,FIND(":",Protokoll_1p!G81)-1))&gt;VALUE(RIGHT(Protokoll_1p!G81,LEN(Protokoll_1p!G81)-FIND(":",Protokoll_1p!G81))),1,0))</f>
        <v>1</v>
      </c>
      <c r="D75" s="1">
        <f>IF(Protokoll_1p!H81="","",IF(VALUE(LEFT(Protokoll_1p!H81,FIND(":",Protokoll_1p!H81)-1))&gt;VALUE(RIGHT(Protokoll_1p!H81,LEN(Protokoll_1p!H81)-FIND(":",Protokoll_1p!H81))),1,0))</f>
        <v>1</v>
      </c>
      <c r="E75" s="1">
        <f>IF(Protokoll_1p!I81="","",IF(VALUE(LEFT(Protokoll_1p!I81,FIND(":",Protokoll_1p!I81)-1))&gt;VALUE(RIGHT(Protokoll_1p!I81,LEN(Protokoll_1p!I81)-FIND(":",Protokoll_1p!I81))),1,0))</f>
        <v>1</v>
      </c>
      <c r="F75" s="1" t="str">
        <f>IF(Protokoll_1p!J81="","",IF(VALUE(LEFT(Protokoll_1p!J81,FIND(":",Protokoll_1p!J81)-1))&gt;VALUE(RIGHT(Protokoll_1p!J81,LEN(Protokoll_1p!J81)-FIND(":",Protokoll_1p!J81))),1,0))</f>
        <v/>
      </c>
      <c r="G75" s="1">
        <f t="shared" si="2"/>
        <v>3</v>
      </c>
      <c r="I75" s="1">
        <f>IF(Protokoll_1p!F81="","",IF(VALUE(LEFT(Protokoll_1p!F81,FIND(":",Protokoll_1p!F81)-1))&gt;VALUE(RIGHT(Protokoll_1p!F81,LEN(Protokoll_1p!F81)-FIND(":",Protokoll_1p!F81))),0,1))</f>
        <v>1</v>
      </c>
      <c r="J75" s="1">
        <f>IF(Protokoll_1p!G81="","",IF(VALUE(LEFT(Protokoll_1p!G81,FIND(":",Protokoll_1p!G81)-1))&gt;VALUE(RIGHT(Protokoll_1p!G81,LEN(Protokoll_1p!G81)-FIND(":",Protokoll_1p!G81))),0,1))</f>
        <v>0</v>
      </c>
      <c r="K75" s="1">
        <f>IF(Protokoll_1p!H81="","",IF(VALUE(LEFT(Protokoll_1p!H81,FIND(":",Protokoll_1p!H81)-1))&gt;VALUE(RIGHT(Protokoll_1p!H81,LEN(Protokoll_1p!H81)-FIND(":",Protokoll_1p!H81))),0,1))</f>
        <v>0</v>
      </c>
      <c r="L75" s="1">
        <f>IF(Protokoll_1p!I81="","",IF(VALUE(LEFT(Protokoll_1p!I81,FIND(":",Protokoll_1p!I81)-1))&gt;VALUE(RIGHT(Protokoll_1p!I81,LEN(Protokoll_1p!I81)-FIND(":",Protokoll_1p!I81))),0,1))</f>
        <v>0</v>
      </c>
      <c r="M75" s="1" t="str">
        <f>IF(Protokoll_1p!J81="","",IF(VALUE(LEFT(Protokoll_1p!J81,FIND(":",Protokoll_1p!J81)-1))&gt;VALUE(RIGHT(Protokoll_1p!J81,LEN(Protokoll_1p!J81)-FIND(":",Protokoll_1p!J81))),0,1))</f>
        <v/>
      </c>
      <c r="N75" s="1">
        <f t="shared" si="3"/>
        <v>1</v>
      </c>
    </row>
    <row r="76" spans="2:14">
      <c r="B76" s="1" t="str">
        <f>IF(Protokoll_1p!F82="","",IF(VALUE(LEFT(Protokoll_1p!F82,FIND(":",Protokoll_1p!F82)-1))&gt;VALUE(RIGHT(Protokoll_1p!F82,LEN(Protokoll_1p!F82)-FIND(":",Protokoll_1p!F82))),1,0))</f>
        <v/>
      </c>
      <c r="C76" s="1" t="str">
        <f>IF(Protokoll_1p!G82="","",IF(VALUE(LEFT(Protokoll_1p!G82,FIND(":",Protokoll_1p!G82)-1))&gt;VALUE(RIGHT(Protokoll_1p!G82,LEN(Protokoll_1p!G82)-FIND(":",Protokoll_1p!G82))),1,0))</f>
        <v/>
      </c>
      <c r="D76" s="1" t="str">
        <f>IF(Protokoll_1p!H82="","",IF(VALUE(LEFT(Protokoll_1p!H82,FIND(":",Protokoll_1p!H82)-1))&gt;VALUE(RIGHT(Protokoll_1p!H82,LEN(Protokoll_1p!H82)-FIND(":",Protokoll_1p!H82))),1,0))</f>
        <v/>
      </c>
      <c r="E76" s="1" t="str">
        <f>IF(Protokoll_1p!I82="","",IF(VALUE(LEFT(Protokoll_1p!I82,FIND(":",Protokoll_1p!I82)-1))&gt;VALUE(RIGHT(Protokoll_1p!I82,LEN(Protokoll_1p!I82)-FIND(":",Protokoll_1p!I82))),1,0))</f>
        <v/>
      </c>
      <c r="F76" s="1" t="str">
        <f>IF(Protokoll_1p!J82="","",IF(VALUE(LEFT(Protokoll_1p!J82,FIND(":",Protokoll_1p!J82)-1))&gt;VALUE(RIGHT(Protokoll_1p!J82,LEN(Protokoll_1p!J82)-FIND(":",Protokoll_1p!J82))),1,0))</f>
        <v/>
      </c>
      <c r="G76" s="1" t="str">
        <f t="shared" si="2"/>
        <v/>
      </c>
      <c r="I76" s="1" t="str">
        <f>IF(Protokoll_1p!F82="","",IF(VALUE(LEFT(Protokoll_1p!F82,FIND(":",Protokoll_1p!F82)-1))&gt;VALUE(RIGHT(Protokoll_1p!F82,LEN(Protokoll_1p!F82)-FIND(":",Protokoll_1p!F82))),0,1))</f>
        <v/>
      </c>
      <c r="J76" s="1" t="str">
        <f>IF(Protokoll_1p!G82="","",IF(VALUE(LEFT(Protokoll_1p!G82,FIND(":",Protokoll_1p!G82)-1))&gt;VALUE(RIGHT(Protokoll_1p!G82,LEN(Protokoll_1p!G82)-FIND(":",Protokoll_1p!G82))),0,1))</f>
        <v/>
      </c>
      <c r="K76" s="1" t="str">
        <f>IF(Protokoll_1p!H82="","",IF(VALUE(LEFT(Protokoll_1p!H82,FIND(":",Protokoll_1p!H82)-1))&gt;VALUE(RIGHT(Protokoll_1p!H82,LEN(Protokoll_1p!H82)-FIND(":",Protokoll_1p!H82))),0,1))</f>
        <v/>
      </c>
      <c r="L76" s="1" t="str">
        <f>IF(Protokoll_1p!I82="","",IF(VALUE(LEFT(Protokoll_1p!I82,FIND(":",Protokoll_1p!I82)-1))&gt;VALUE(RIGHT(Protokoll_1p!I82,LEN(Protokoll_1p!I82)-FIND(":",Protokoll_1p!I82))),0,1))</f>
        <v/>
      </c>
      <c r="M76" s="1" t="str">
        <f>IF(Protokoll_1p!J82="","",IF(VALUE(LEFT(Protokoll_1p!J82,FIND(":",Protokoll_1p!J82)-1))&gt;VALUE(RIGHT(Protokoll_1p!J82,LEN(Protokoll_1p!J82)-FIND(":",Protokoll_1p!J82))),0,1))</f>
        <v/>
      </c>
      <c r="N76" s="1" t="str">
        <f t="shared" si="3"/>
        <v/>
      </c>
    </row>
    <row r="77" spans="2:14">
      <c r="B77" s="1">
        <f>IF(Protokoll_1p!F83="","",IF(VALUE(LEFT(Protokoll_1p!F83,FIND(":",Protokoll_1p!F83)-1))&gt;VALUE(RIGHT(Protokoll_1p!F83,LEN(Protokoll_1p!F83)-FIND(":",Protokoll_1p!F83))),1,0))</f>
        <v>1</v>
      </c>
      <c r="C77" s="1">
        <f>IF(Protokoll_1p!G83="","",IF(VALUE(LEFT(Protokoll_1p!G83,FIND(":",Protokoll_1p!G83)-1))&gt;VALUE(RIGHT(Protokoll_1p!G83,LEN(Protokoll_1p!G83)-FIND(":",Protokoll_1p!G83))),1,0))</f>
        <v>1</v>
      </c>
      <c r="D77" s="1">
        <f>IF(Protokoll_1p!H83="","",IF(VALUE(LEFT(Protokoll_1p!H83,FIND(":",Protokoll_1p!H83)-1))&gt;VALUE(RIGHT(Protokoll_1p!H83,LEN(Protokoll_1p!H83)-FIND(":",Protokoll_1p!H83))),1,0))</f>
        <v>1</v>
      </c>
      <c r="E77" s="1" t="str">
        <f>IF(Protokoll_1p!I83="","",IF(VALUE(LEFT(Protokoll_1p!I83,FIND(":",Protokoll_1p!I83)-1))&gt;VALUE(RIGHT(Protokoll_1p!I83,LEN(Protokoll_1p!I83)-FIND(":",Protokoll_1p!I83))),1,0))</f>
        <v/>
      </c>
      <c r="F77" s="1" t="str">
        <f>IF(Protokoll_1p!J83="","",IF(VALUE(LEFT(Protokoll_1p!J83,FIND(":",Protokoll_1p!J83)-1))&gt;VALUE(RIGHT(Protokoll_1p!J83,LEN(Protokoll_1p!J83)-FIND(":",Protokoll_1p!J83))),1,0))</f>
        <v/>
      </c>
      <c r="G77" s="1">
        <f t="shared" si="2"/>
        <v>3</v>
      </c>
      <c r="I77" s="1">
        <f>IF(Protokoll_1p!F83="","",IF(VALUE(LEFT(Protokoll_1p!F83,FIND(":",Protokoll_1p!F83)-1))&gt;VALUE(RIGHT(Protokoll_1p!F83,LEN(Protokoll_1p!F83)-FIND(":",Protokoll_1p!F83))),0,1))</f>
        <v>0</v>
      </c>
      <c r="J77" s="1">
        <f>IF(Protokoll_1p!G83="","",IF(VALUE(LEFT(Protokoll_1p!G83,FIND(":",Protokoll_1p!G83)-1))&gt;VALUE(RIGHT(Protokoll_1p!G83,LEN(Protokoll_1p!G83)-FIND(":",Protokoll_1p!G83))),0,1))</f>
        <v>0</v>
      </c>
      <c r="K77" s="1">
        <f>IF(Protokoll_1p!H83="","",IF(VALUE(LEFT(Protokoll_1p!H83,FIND(":",Protokoll_1p!H83)-1))&gt;VALUE(RIGHT(Protokoll_1p!H83,LEN(Protokoll_1p!H83)-FIND(":",Protokoll_1p!H83))),0,1))</f>
        <v>0</v>
      </c>
      <c r="L77" s="1" t="str">
        <f>IF(Protokoll_1p!I83="","",IF(VALUE(LEFT(Protokoll_1p!I83,FIND(":",Protokoll_1p!I83)-1))&gt;VALUE(RIGHT(Protokoll_1p!I83,LEN(Protokoll_1p!I83)-FIND(":",Protokoll_1p!I83))),0,1))</f>
        <v/>
      </c>
      <c r="M77" s="1" t="str">
        <f>IF(Protokoll_1p!J83="","",IF(VALUE(LEFT(Protokoll_1p!J83,FIND(":",Protokoll_1p!J83)-1))&gt;VALUE(RIGHT(Protokoll_1p!J83,LEN(Protokoll_1p!J83)-FIND(":",Protokoll_1p!J83))),0,1))</f>
        <v/>
      </c>
      <c r="N77" s="1">
        <f t="shared" si="3"/>
        <v>0</v>
      </c>
    </row>
    <row r="78" spans="2:14">
      <c r="B78" s="1">
        <f>IF(Protokoll_1p!F84="","",IF(VALUE(LEFT(Protokoll_1p!F84,FIND(":",Protokoll_1p!F84)-1))&gt;VALUE(RIGHT(Protokoll_1p!F84,LEN(Protokoll_1p!F84)-FIND(":",Protokoll_1p!F84))),1,0))</f>
        <v>0</v>
      </c>
      <c r="C78" s="1">
        <f>IF(Protokoll_1p!G84="","",IF(VALUE(LEFT(Protokoll_1p!G84,FIND(":",Protokoll_1p!G84)-1))&gt;VALUE(RIGHT(Protokoll_1p!G84,LEN(Protokoll_1p!G84)-FIND(":",Protokoll_1p!G84))),1,0))</f>
        <v>0</v>
      </c>
      <c r="D78" s="1">
        <f>IF(Protokoll_1p!H84="","",IF(VALUE(LEFT(Protokoll_1p!H84,FIND(":",Protokoll_1p!H84)-1))&gt;VALUE(RIGHT(Protokoll_1p!H84,LEN(Protokoll_1p!H84)-FIND(":",Protokoll_1p!H84))),1,0))</f>
        <v>0</v>
      </c>
      <c r="E78" s="1" t="str">
        <f>IF(Protokoll_1p!I84="","",IF(VALUE(LEFT(Protokoll_1p!I84,FIND(":",Protokoll_1p!I84)-1))&gt;VALUE(RIGHT(Protokoll_1p!I84,LEN(Protokoll_1p!I84)-FIND(":",Protokoll_1p!I84))),1,0))</f>
        <v/>
      </c>
      <c r="F78" s="1" t="str">
        <f>IF(Protokoll_1p!J84="","",IF(VALUE(LEFT(Protokoll_1p!J84,FIND(":",Protokoll_1p!J84)-1))&gt;VALUE(RIGHT(Protokoll_1p!J84,LEN(Protokoll_1p!J84)-FIND(":",Protokoll_1p!J84))),1,0))</f>
        <v/>
      </c>
      <c r="G78" s="1">
        <f t="shared" si="2"/>
        <v>0</v>
      </c>
      <c r="I78" s="1">
        <f>IF(Protokoll_1p!F84="","",IF(VALUE(LEFT(Protokoll_1p!F84,FIND(":",Protokoll_1p!F84)-1))&gt;VALUE(RIGHT(Protokoll_1p!F84,LEN(Protokoll_1p!F84)-FIND(":",Protokoll_1p!F84))),0,1))</f>
        <v>1</v>
      </c>
      <c r="J78" s="1">
        <f>IF(Protokoll_1p!G84="","",IF(VALUE(LEFT(Protokoll_1p!G84,FIND(":",Protokoll_1p!G84)-1))&gt;VALUE(RIGHT(Protokoll_1p!G84,LEN(Protokoll_1p!G84)-FIND(":",Protokoll_1p!G84))),0,1))</f>
        <v>1</v>
      </c>
      <c r="K78" s="1">
        <f>IF(Protokoll_1p!H84="","",IF(VALUE(LEFT(Protokoll_1p!H84,FIND(":",Protokoll_1p!H84)-1))&gt;VALUE(RIGHT(Protokoll_1p!H84,LEN(Protokoll_1p!H84)-FIND(":",Protokoll_1p!H84))),0,1))</f>
        <v>1</v>
      </c>
      <c r="L78" s="1" t="str">
        <f>IF(Protokoll_1p!I84="","",IF(VALUE(LEFT(Protokoll_1p!I84,FIND(":",Protokoll_1p!I84)-1))&gt;VALUE(RIGHT(Protokoll_1p!I84,LEN(Protokoll_1p!I84)-FIND(":",Protokoll_1p!I84))),0,1))</f>
        <v/>
      </c>
      <c r="M78" s="1" t="str">
        <f>IF(Protokoll_1p!J84="","",IF(VALUE(LEFT(Protokoll_1p!J84,FIND(":",Protokoll_1p!J84)-1))&gt;VALUE(RIGHT(Protokoll_1p!J84,LEN(Protokoll_1p!J84)-FIND(":",Protokoll_1p!J84))),0,1))</f>
        <v/>
      </c>
      <c r="N78" s="1">
        <f t="shared" si="3"/>
        <v>3</v>
      </c>
    </row>
    <row r="79" spans="2:14">
      <c r="B79" s="1" t="str">
        <f>IF(Protokoll_1p!F85="","",IF(VALUE(LEFT(Protokoll_1p!F85,FIND(":",Protokoll_1p!F85)-1))&gt;VALUE(RIGHT(Protokoll_1p!F85,LEN(Protokoll_1p!F85)-FIND(":",Protokoll_1p!F85))),1,0))</f>
        <v/>
      </c>
      <c r="C79" s="1" t="str">
        <f>IF(Protokoll_1p!G85="","",IF(VALUE(LEFT(Protokoll_1p!G85,FIND(":",Protokoll_1p!G85)-1))&gt;VALUE(RIGHT(Protokoll_1p!G85,LEN(Protokoll_1p!G85)-FIND(":",Protokoll_1p!G85))),1,0))</f>
        <v/>
      </c>
      <c r="D79" s="1" t="str">
        <f>IF(Protokoll_1p!H85="","",IF(VALUE(LEFT(Protokoll_1p!H85,FIND(":",Protokoll_1p!H85)-1))&gt;VALUE(RIGHT(Protokoll_1p!H85,LEN(Protokoll_1p!H85)-FIND(":",Protokoll_1p!H85))),1,0))</f>
        <v/>
      </c>
      <c r="E79" s="1" t="str">
        <f>IF(Protokoll_1p!I85="","",IF(VALUE(LEFT(Protokoll_1p!I85,FIND(":",Protokoll_1p!I85)-1))&gt;VALUE(RIGHT(Protokoll_1p!I85,LEN(Protokoll_1p!I85)-FIND(":",Protokoll_1p!I85))),1,0))</f>
        <v/>
      </c>
      <c r="F79" s="1" t="str">
        <f>IF(Protokoll_1p!J85="","",IF(VALUE(LEFT(Protokoll_1p!J85,FIND(":",Protokoll_1p!J85)-1))&gt;VALUE(RIGHT(Protokoll_1p!J85,LEN(Protokoll_1p!J85)-FIND(":",Protokoll_1p!J85))),1,0))</f>
        <v/>
      </c>
      <c r="G79" s="1" t="str">
        <f t="shared" si="2"/>
        <v/>
      </c>
      <c r="I79" s="1" t="str">
        <f>IF(Protokoll_1p!F85="","",IF(VALUE(LEFT(Protokoll_1p!F85,FIND(":",Protokoll_1p!F85)-1))&gt;VALUE(RIGHT(Protokoll_1p!F85,LEN(Protokoll_1p!F85)-FIND(":",Protokoll_1p!F85))),0,1))</f>
        <v/>
      </c>
      <c r="J79" s="1" t="str">
        <f>IF(Protokoll_1p!G85="","",IF(VALUE(LEFT(Protokoll_1p!G85,FIND(":",Protokoll_1p!G85)-1))&gt;VALUE(RIGHT(Protokoll_1p!G85,LEN(Protokoll_1p!G85)-FIND(":",Protokoll_1p!G85))),0,1))</f>
        <v/>
      </c>
      <c r="K79" s="1" t="str">
        <f>IF(Protokoll_1p!H85="","",IF(VALUE(LEFT(Protokoll_1p!H85,FIND(":",Protokoll_1p!H85)-1))&gt;VALUE(RIGHT(Protokoll_1p!H85,LEN(Protokoll_1p!H85)-FIND(":",Protokoll_1p!H85))),0,1))</f>
        <v/>
      </c>
      <c r="L79" s="1" t="str">
        <f>IF(Protokoll_1p!I85="","",IF(VALUE(LEFT(Protokoll_1p!I85,FIND(":",Protokoll_1p!I85)-1))&gt;VALUE(RIGHT(Protokoll_1p!I85,LEN(Protokoll_1p!I85)-FIND(":",Protokoll_1p!I85))),0,1))</f>
        <v/>
      </c>
      <c r="M79" s="1" t="str">
        <f>IF(Protokoll_1p!J85="","",IF(VALUE(LEFT(Protokoll_1p!J85,FIND(":",Protokoll_1p!J85)-1))&gt;VALUE(RIGHT(Protokoll_1p!J85,LEN(Protokoll_1p!J85)-FIND(":",Protokoll_1p!J85))),0,1))</f>
        <v/>
      </c>
      <c r="N79" s="1" t="str">
        <f t="shared" si="3"/>
        <v/>
      </c>
    </row>
    <row r="80" spans="2:14">
      <c r="B80" s="1" t="str">
        <f>IF(Protokoll_1p!F86="","",IF(VALUE(LEFT(Protokoll_1p!F86,FIND(":",Protokoll_1p!F86)-1))&gt;VALUE(RIGHT(Protokoll_1p!F86,LEN(Protokoll_1p!F86)-FIND(":",Protokoll_1p!F86))),1,0))</f>
        <v/>
      </c>
      <c r="C80" s="1" t="str">
        <f>IF(Protokoll_1p!G86="","",IF(VALUE(LEFT(Protokoll_1p!G86,FIND(":",Protokoll_1p!G86)-1))&gt;VALUE(RIGHT(Protokoll_1p!G86,LEN(Protokoll_1p!G86)-FIND(":",Protokoll_1p!G86))),1,0))</f>
        <v/>
      </c>
      <c r="D80" s="1" t="str">
        <f>IF(Protokoll_1p!H86="","",IF(VALUE(LEFT(Protokoll_1p!H86,FIND(":",Protokoll_1p!H86)-1))&gt;VALUE(RIGHT(Protokoll_1p!H86,LEN(Protokoll_1p!H86)-FIND(":",Protokoll_1p!H86))),1,0))</f>
        <v/>
      </c>
      <c r="E80" s="1" t="str">
        <f>IF(Protokoll_1p!I86="","",IF(VALUE(LEFT(Protokoll_1p!I86,FIND(":",Protokoll_1p!I86)-1))&gt;VALUE(RIGHT(Protokoll_1p!I86,LEN(Protokoll_1p!I86)-FIND(":",Protokoll_1p!I86))),1,0))</f>
        <v/>
      </c>
      <c r="F80" s="1" t="str">
        <f>IF(Protokoll_1p!J86="","",IF(VALUE(LEFT(Protokoll_1p!J86,FIND(":",Protokoll_1p!J86)-1))&gt;VALUE(RIGHT(Protokoll_1p!J86,LEN(Protokoll_1p!J86)-FIND(":",Protokoll_1p!J86))),1,0))</f>
        <v/>
      </c>
      <c r="G80" s="1" t="str">
        <f t="shared" si="2"/>
        <v/>
      </c>
      <c r="I80" s="1" t="str">
        <f>IF(Protokoll_1p!F86="","",IF(VALUE(LEFT(Protokoll_1p!F86,FIND(":",Protokoll_1p!F86)-1))&gt;VALUE(RIGHT(Protokoll_1p!F86,LEN(Protokoll_1p!F86)-FIND(":",Protokoll_1p!F86))),0,1))</f>
        <v/>
      </c>
      <c r="J80" s="1" t="str">
        <f>IF(Protokoll_1p!G86="","",IF(VALUE(LEFT(Protokoll_1p!G86,FIND(":",Protokoll_1p!G86)-1))&gt;VALUE(RIGHT(Protokoll_1p!G86,LEN(Protokoll_1p!G86)-FIND(":",Protokoll_1p!G86))),0,1))</f>
        <v/>
      </c>
      <c r="K80" s="1" t="str">
        <f>IF(Protokoll_1p!H86="","",IF(VALUE(LEFT(Protokoll_1p!H86,FIND(":",Protokoll_1p!H86)-1))&gt;VALUE(RIGHT(Protokoll_1p!H86,LEN(Protokoll_1p!H86)-FIND(":",Protokoll_1p!H86))),0,1))</f>
        <v/>
      </c>
      <c r="L80" s="1" t="str">
        <f>IF(Protokoll_1p!I86="","",IF(VALUE(LEFT(Protokoll_1p!I86,FIND(":",Protokoll_1p!I86)-1))&gt;VALUE(RIGHT(Protokoll_1p!I86,LEN(Protokoll_1p!I86)-FIND(":",Protokoll_1p!I86))),0,1))</f>
        <v/>
      </c>
      <c r="M80" s="1" t="str">
        <f>IF(Protokoll_1p!J86="","",IF(VALUE(LEFT(Protokoll_1p!J86,FIND(":",Protokoll_1p!J86)-1))&gt;VALUE(RIGHT(Protokoll_1p!J86,LEN(Protokoll_1p!J86)-FIND(":",Protokoll_1p!J86))),0,1))</f>
        <v/>
      </c>
      <c r="N80" s="1" t="str">
        <f t="shared" si="3"/>
        <v/>
      </c>
    </row>
    <row r="81" spans="2:14">
      <c r="B81" s="1" t="e">
        <f>IF(Protokoll_1p!F87="","",IF(VALUE(LEFT(Protokoll_1p!F87,FIND(":",Protokoll_1p!F87)-1))&gt;VALUE(RIGHT(Protokoll_1p!F87,LEN(Protokoll_1p!F87)-FIND(":",Protokoll_1p!F87))),1,0))</f>
        <v>#VALUE!</v>
      </c>
      <c r="C81" s="1" t="e">
        <f>IF(Protokoll_1p!G87="","",IF(VALUE(LEFT(Protokoll_1p!G87,FIND(":",Protokoll_1p!G87)-1))&gt;VALUE(RIGHT(Protokoll_1p!G87,LEN(Protokoll_1p!G87)-FIND(":",Protokoll_1p!G87))),1,0))</f>
        <v>#VALUE!</v>
      </c>
      <c r="D81" s="1" t="e">
        <f>IF(Protokoll_1p!H87="","",IF(VALUE(LEFT(Protokoll_1p!H87,FIND(":",Protokoll_1p!H87)-1))&gt;VALUE(RIGHT(Protokoll_1p!H87,LEN(Protokoll_1p!H87)-FIND(":",Protokoll_1p!H87))),1,0))</f>
        <v>#VALUE!</v>
      </c>
      <c r="E81" s="1" t="e">
        <f>IF(Protokoll_1p!I87="","",IF(VALUE(LEFT(Protokoll_1p!I87,FIND(":",Protokoll_1p!I87)-1))&gt;VALUE(RIGHT(Protokoll_1p!I87,LEN(Protokoll_1p!I87)-FIND(":",Protokoll_1p!I87))),1,0))</f>
        <v>#VALUE!</v>
      </c>
      <c r="F81" s="1" t="e">
        <f>IF(Protokoll_1p!J87="","",IF(VALUE(LEFT(Protokoll_1p!J87,FIND(":",Protokoll_1p!J87)-1))&gt;VALUE(RIGHT(Protokoll_1p!J87,LEN(Protokoll_1p!J87)-FIND(":",Protokoll_1p!J87))),1,0))</f>
        <v>#VALUE!</v>
      </c>
      <c r="G81" s="1" t="e">
        <f t="shared" si="2"/>
        <v>#VALUE!</v>
      </c>
      <c r="I81" s="1" t="e">
        <f>IF(Protokoll_1p!F87="","",IF(VALUE(LEFT(Protokoll_1p!F87,FIND(":",Protokoll_1p!F87)-1))&gt;VALUE(RIGHT(Protokoll_1p!F87,LEN(Protokoll_1p!F87)-FIND(":",Protokoll_1p!F87))),0,1))</f>
        <v>#VALUE!</v>
      </c>
      <c r="J81" s="1" t="e">
        <f>IF(Protokoll_1p!G87="","",IF(VALUE(LEFT(Protokoll_1p!G87,FIND(":",Protokoll_1p!G87)-1))&gt;VALUE(RIGHT(Protokoll_1p!G87,LEN(Protokoll_1p!G87)-FIND(":",Protokoll_1p!G87))),0,1))</f>
        <v>#VALUE!</v>
      </c>
      <c r="K81" s="1" t="e">
        <f>IF(Protokoll_1p!H87="","",IF(VALUE(LEFT(Protokoll_1p!H87,FIND(":",Protokoll_1p!H87)-1))&gt;VALUE(RIGHT(Protokoll_1p!H87,LEN(Protokoll_1p!H87)-FIND(":",Protokoll_1p!H87))),0,1))</f>
        <v>#VALUE!</v>
      </c>
      <c r="L81" s="1" t="e">
        <f>IF(Protokoll_1p!I87="","",IF(VALUE(LEFT(Protokoll_1p!I87,FIND(":",Protokoll_1p!I87)-1))&gt;VALUE(RIGHT(Protokoll_1p!I87,LEN(Protokoll_1p!I87)-FIND(":",Protokoll_1p!I87))),0,1))</f>
        <v>#VALUE!</v>
      </c>
      <c r="M81" s="1" t="e">
        <f>IF(Protokoll_1p!J87="","",IF(VALUE(LEFT(Protokoll_1p!J87,FIND(":",Protokoll_1p!J87)-1))&gt;VALUE(RIGHT(Protokoll_1p!J87,LEN(Protokoll_1p!J87)-FIND(":",Protokoll_1p!J87))),0,1))</f>
        <v>#VALUE!</v>
      </c>
      <c r="N81" s="1" t="e">
        <f t="shared" si="3"/>
        <v>#VALUE!</v>
      </c>
    </row>
    <row r="82" spans="2:14">
      <c r="B82" s="1">
        <f>IF(Protokoll_1p!F88="","",IF(VALUE(LEFT(Protokoll_1p!F88,FIND(":",Protokoll_1p!F88)-1))&gt;VALUE(RIGHT(Protokoll_1p!F88,LEN(Protokoll_1p!F88)-FIND(":",Protokoll_1p!F88))),1,0))</f>
        <v>0</v>
      </c>
      <c r="C82" s="1">
        <f>IF(Protokoll_1p!G88="","",IF(VALUE(LEFT(Protokoll_1p!G88,FIND(":",Protokoll_1p!G88)-1))&gt;VALUE(RIGHT(Protokoll_1p!G88,LEN(Protokoll_1p!G88)-FIND(":",Protokoll_1p!G88))),1,0))</f>
        <v>0</v>
      </c>
      <c r="D82" s="1">
        <f>IF(Protokoll_1p!H88="","",IF(VALUE(LEFT(Protokoll_1p!H88,FIND(":",Protokoll_1p!H88)-1))&gt;VALUE(RIGHT(Protokoll_1p!H88,LEN(Protokoll_1p!H88)-FIND(":",Protokoll_1p!H88))),1,0))</f>
        <v>1</v>
      </c>
      <c r="E82" s="1">
        <f>IF(Protokoll_1p!I88="","",IF(VALUE(LEFT(Protokoll_1p!I88,FIND(":",Protokoll_1p!I88)-1))&gt;VALUE(RIGHT(Protokoll_1p!I88,LEN(Protokoll_1p!I88)-FIND(":",Protokoll_1p!I88))),1,0))</f>
        <v>1</v>
      </c>
      <c r="F82" s="1">
        <f>IF(Protokoll_1p!J88="","",IF(VALUE(LEFT(Protokoll_1p!J88,FIND(":",Protokoll_1p!J88)-1))&gt;VALUE(RIGHT(Protokoll_1p!J88,LEN(Protokoll_1p!J88)-FIND(":",Protokoll_1p!J88))),1,0))</f>
        <v>0</v>
      </c>
      <c r="G82" s="1">
        <f t="shared" si="2"/>
        <v>2</v>
      </c>
      <c r="I82" s="1">
        <f>IF(Protokoll_1p!F88="","",IF(VALUE(LEFT(Protokoll_1p!F88,FIND(":",Protokoll_1p!F88)-1))&gt;VALUE(RIGHT(Protokoll_1p!F88,LEN(Protokoll_1p!F88)-FIND(":",Protokoll_1p!F88))),0,1))</f>
        <v>1</v>
      </c>
      <c r="J82" s="1">
        <f>IF(Protokoll_1p!G88="","",IF(VALUE(LEFT(Protokoll_1p!G88,FIND(":",Protokoll_1p!G88)-1))&gt;VALUE(RIGHT(Protokoll_1p!G88,LEN(Protokoll_1p!G88)-FIND(":",Protokoll_1p!G88))),0,1))</f>
        <v>1</v>
      </c>
      <c r="K82" s="1">
        <f>IF(Protokoll_1p!H88="","",IF(VALUE(LEFT(Protokoll_1p!H88,FIND(":",Protokoll_1p!H88)-1))&gt;VALUE(RIGHT(Protokoll_1p!H88,LEN(Protokoll_1p!H88)-FIND(":",Protokoll_1p!H88))),0,1))</f>
        <v>0</v>
      </c>
      <c r="L82" s="1">
        <f>IF(Protokoll_1p!I88="","",IF(VALUE(LEFT(Protokoll_1p!I88,FIND(":",Protokoll_1p!I88)-1))&gt;VALUE(RIGHT(Protokoll_1p!I88,LEN(Protokoll_1p!I88)-FIND(":",Protokoll_1p!I88))),0,1))</f>
        <v>0</v>
      </c>
      <c r="M82" s="1">
        <f>IF(Protokoll_1p!J88="","",IF(VALUE(LEFT(Protokoll_1p!J88,FIND(":",Protokoll_1p!J88)-1))&gt;VALUE(RIGHT(Protokoll_1p!J88,LEN(Protokoll_1p!J88)-FIND(":",Protokoll_1p!J88))),0,1))</f>
        <v>1</v>
      </c>
      <c r="N82" s="1">
        <f t="shared" si="3"/>
        <v>3</v>
      </c>
    </row>
    <row r="83" spans="2:14">
      <c r="B83" s="1">
        <f>IF(Protokoll_1p!F89="","",IF(VALUE(LEFT(Protokoll_1p!F89,FIND(":",Protokoll_1p!F89)-1))&gt;VALUE(RIGHT(Protokoll_1p!F89,LEN(Protokoll_1p!F89)-FIND(":",Protokoll_1p!F89))),1,0))</f>
        <v>0</v>
      </c>
      <c r="C83" s="1">
        <f>IF(Protokoll_1p!G89="","",IF(VALUE(LEFT(Protokoll_1p!G89,FIND(":",Protokoll_1p!G89)-1))&gt;VALUE(RIGHT(Protokoll_1p!G89,LEN(Protokoll_1p!G89)-FIND(":",Protokoll_1p!G89))),1,0))</f>
        <v>0</v>
      </c>
      <c r="D83" s="1">
        <f>IF(Protokoll_1p!H89="","",IF(VALUE(LEFT(Protokoll_1p!H89,FIND(":",Protokoll_1p!H89)-1))&gt;VALUE(RIGHT(Protokoll_1p!H89,LEN(Protokoll_1p!H89)-FIND(":",Protokoll_1p!H89))),1,0))</f>
        <v>0</v>
      </c>
      <c r="E83" s="1" t="str">
        <f>IF(Protokoll_1p!I89="","",IF(VALUE(LEFT(Protokoll_1p!I89,FIND(":",Protokoll_1p!I89)-1))&gt;VALUE(RIGHT(Protokoll_1p!I89,LEN(Protokoll_1p!I89)-FIND(":",Protokoll_1p!I89))),1,0))</f>
        <v/>
      </c>
      <c r="F83" s="1" t="str">
        <f>IF(Protokoll_1p!J89="","",IF(VALUE(LEFT(Protokoll_1p!J89,FIND(":",Protokoll_1p!J89)-1))&gt;VALUE(RIGHT(Protokoll_1p!J89,LEN(Protokoll_1p!J89)-FIND(":",Protokoll_1p!J89))),1,0))</f>
        <v/>
      </c>
      <c r="G83" s="1">
        <f t="shared" si="2"/>
        <v>0</v>
      </c>
      <c r="I83" s="1">
        <f>IF(Protokoll_1p!F89="","",IF(VALUE(LEFT(Protokoll_1p!F89,FIND(":",Protokoll_1p!F89)-1))&gt;VALUE(RIGHT(Protokoll_1p!F89,LEN(Protokoll_1p!F89)-FIND(":",Protokoll_1p!F89))),0,1))</f>
        <v>1</v>
      </c>
      <c r="J83" s="1">
        <f>IF(Protokoll_1p!G89="","",IF(VALUE(LEFT(Protokoll_1p!G89,FIND(":",Protokoll_1p!G89)-1))&gt;VALUE(RIGHT(Protokoll_1p!G89,LEN(Protokoll_1p!G89)-FIND(":",Protokoll_1p!G89))),0,1))</f>
        <v>1</v>
      </c>
      <c r="K83" s="1">
        <f>IF(Protokoll_1p!H89="","",IF(VALUE(LEFT(Protokoll_1p!H89,FIND(":",Protokoll_1p!H89)-1))&gt;VALUE(RIGHT(Protokoll_1p!H89,LEN(Protokoll_1p!H89)-FIND(":",Protokoll_1p!H89))),0,1))</f>
        <v>1</v>
      </c>
      <c r="L83" s="1" t="str">
        <f>IF(Protokoll_1p!I89="","",IF(VALUE(LEFT(Protokoll_1p!I89,FIND(":",Protokoll_1p!I89)-1))&gt;VALUE(RIGHT(Protokoll_1p!I89,LEN(Protokoll_1p!I89)-FIND(":",Protokoll_1p!I89))),0,1))</f>
        <v/>
      </c>
      <c r="M83" s="1" t="str">
        <f>IF(Protokoll_1p!J89="","",IF(VALUE(LEFT(Protokoll_1p!J89,FIND(":",Protokoll_1p!J89)-1))&gt;VALUE(RIGHT(Protokoll_1p!J89,LEN(Protokoll_1p!J89)-FIND(":",Protokoll_1p!J89))),0,1))</f>
        <v/>
      </c>
      <c r="N83" s="1">
        <f t="shared" si="3"/>
        <v>3</v>
      </c>
    </row>
    <row r="84" spans="2:14">
      <c r="B84" s="1">
        <f>IF(Protokoll_1p!F90="","",IF(VALUE(LEFT(Protokoll_1p!F90,FIND(":",Protokoll_1p!F90)-1))&gt;VALUE(RIGHT(Protokoll_1p!F90,LEN(Protokoll_1p!F90)-FIND(":",Protokoll_1p!F90))),1,0))</f>
        <v>1</v>
      </c>
      <c r="C84" s="1">
        <f>IF(Protokoll_1p!G90="","",IF(VALUE(LEFT(Protokoll_1p!G90,FIND(":",Protokoll_1p!G90)-1))&gt;VALUE(RIGHT(Protokoll_1p!G90,LEN(Protokoll_1p!G90)-FIND(":",Protokoll_1p!G90))),1,0))</f>
        <v>1</v>
      </c>
      <c r="D84" s="1">
        <f>IF(Protokoll_1p!H90="","",IF(VALUE(LEFT(Protokoll_1p!H90,FIND(":",Protokoll_1p!H90)-1))&gt;VALUE(RIGHT(Protokoll_1p!H90,LEN(Protokoll_1p!H90)-FIND(":",Protokoll_1p!H90))),1,0))</f>
        <v>1</v>
      </c>
      <c r="E84" s="1" t="str">
        <f>IF(Protokoll_1p!I90="","",IF(VALUE(LEFT(Protokoll_1p!I90,FIND(":",Protokoll_1p!I90)-1))&gt;VALUE(RIGHT(Protokoll_1p!I90,LEN(Protokoll_1p!I90)-FIND(":",Protokoll_1p!I90))),1,0))</f>
        <v/>
      </c>
      <c r="F84" s="1" t="str">
        <f>IF(Protokoll_1p!J90="","",IF(VALUE(LEFT(Protokoll_1p!J90,FIND(":",Protokoll_1p!J90)-1))&gt;VALUE(RIGHT(Protokoll_1p!J90,LEN(Protokoll_1p!J90)-FIND(":",Protokoll_1p!J90))),1,0))</f>
        <v/>
      </c>
      <c r="G84" s="1">
        <f t="shared" si="2"/>
        <v>3</v>
      </c>
      <c r="I84" s="1">
        <f>IF(Protokoll_1p!F90="","",IF(VALUE(LEFT(Protokoll_1p!F90,FIND(":",Protokoll_1p!F90)-1))&gt;VALUE(RIGHT(Protokoll_1p!F90,LEN(Protokoll_1p!F90)-FIND(":",Protokoll_1p!F90))),0,1))</f>
        <v>0</v>
      </c>
      <c r="J84" s="1">
        <f>IF(Protokoll_1p!G90="","",IF(VALUE(LEFT(Protokoll_1p!G90,FIND(":",Protokoll_1p!G90)-1))&gt;VALUE(RIGHT(Protokoll_1p!G90,LEN(Protokoll_1p!G90)-FIND(":",Protokoll_1p!G90))),0,1))</f>
        <v>0</v>
      </c>
      <c r="K84" s="1">
        <f>IF(Protokoll_1p!H90="","",IF(VALUE(LEFT(Protokoll_1p!H90,FIND(":",Protokoll_1p!H90)-1))&gt;VALUE(RIGHT(Protokoll_1p!H90,LEN(Protokoll_1p!H90)-FIND(":",Protokoll_1p!H90))),0,1))</f>
        <v>0</v>
      </c>
      <c r="L84" s="1" t="str">
        <f>IF(Protokoll_1p!I90="","",IF(VALUE(LEFT(Protokoll_1p!I90,FIND(":",Protokoll_1p!I90)-1))&gt;VALUE(RIGHT(Protokoll_1p!I90,LEN(Protokoll_1p!I90)-FIND(":",Protokoll_1p!I90))),0,1))</f>
        <v/>
      </c>
      <c r="M84" s="1" t="str">
        <f>IF(Protokoll_1p!J90="","",IF(VALUE(LEFT(Protokoll_1p!J90,FIND(":",Protokoll_1p!J90)-1))&gt;VALUE(RIGHT(Protokoll_1p!J90,LEN(Protokoll_1p!J90)-FIND(":",Protokoll_1p!J90))),0,1))</f>
        <v/>
      </c>
      <c r="N84" s="1">
        <f t="shared" si="3"/>
        <v>0</v>
      </c>
    </row>
    <row r="85" spans="2:14">
      <c r="B85" s="1">
        <f>IF(Protokoll_1p!F91="","",IF(VALUE(LEFT(Protokoll_1p!F91,FIND(":",Protokoll_1p!F91)-1))&gt;VALUE(RIGHT(Protokoll_1p!F91,LEN(Protokoll_1p!F91)-FIND(":",Protokoll_1p!F91))),1,0))</f>
        <v>0</v>
      </c>
      <c r="C85" s="1">
        <f>IF(Protokoll_1p!G91="","",IF(VALUE(LEFT(Protokoll_1p!G91,FIND(":",Protokoll_1p!G91)-1))&gt;VALUE(RIGHT(Protokoll_1p!G91,LEN(Protokoll_1p!G91)-FIND(":",Protokoll_1p!G91))),1,0))</f>
        <v>0</v>
      </c>
      <c r="D85" s="1">
        <f>IF(Protokoll_1p!H91="","",IF(VALUE(LEFT(Protokoll_1p!H91,FIND(":",Protokoll_1p!H91)-1))&gt;VALUE(RIGHT(Protokoll_1p!H91,LEN(Protokoll_1p!H91)-FIND(":",Protokoll_1p!H91))),1,0))</f>
        <v>1</v>
      </c>
      <c r="E85" s="1">
        <f>IF(Protokoll_1p!I91="","",IF(VALUE(LEFT(Protokoll_1p!I91,FIND(":",Protokoll_1p!I91)-1))&gt;VALUE(RIGHT(Protokoll_1p!I91,LEN(Protokoll_1p!I91)-FIND(":",Protokoll_1p!I91))),1,0))</f>
        <v>1</v>
      </c>
      <c r="F85" s="1">
        <f>IF(Protokoll_1p!J91="","",IF(VALUE(LEFT(Protokoll_1p!J91,FIND(":",Protokoll_1p!J91)-1))&gt;VALUE(RIGHT(Protokoll_1p!J91,LEN(Protokoll_1p!J91)-FIND(":",Protokoll_1p!J91))),1,0))</f>
        <v>0</v>
      </c>
      <c r="G85" s="1">
        <f t="shared" si="2"/>
        <v>2</v>
      </c>
      <c r="I85" s="1">
        <f>IF(Protokoll_1p!F91="","",IF(VALUE(LEFT(Protokoll_1p!F91,FIND(":",Protokoll_1p!F91)-1))&gt;VALUE(RIGHT(Protokoll_1p!F91,LEN(Protokoll_1p!F91)-FIND(":",Protokoll_1p!F91))),0,1))</f>
        <v>1</v>
      </c>
      <c r="J85" s="1">
        <f>IF(Protokoll_1p!G91="","",IF(VALUE(LEFT(Protokoll_1p!G91,FIND(":",Protokoll_1p!G91)-1))&gt;VALUE(RIGHT(Protokoll_1p!G91,LEN(Protokoll_1p!G91)-FIND(":",Protokoll_1p!G91))),0,1))</f>
        <v>1</v>
      </c>
      <c r="K85" s="1">
        <f>IF(Protokoll_1p!H91="","",IF(VALUE(LEFT(Protokoll_1p!H91,FIND(":",Protokoll_1p!H91)-1))&gt;VALUE(RIGHT(Protokoll_1p!H91,LEN(Protokoll_1p!H91)-FIND(":",Protokoll_1p!H91))),0,1))</f>
        <v>0</v>
      </c>
      <c r="L85" s="1">
        <f>IF(Protokoll_1p!I91="","",IF(VALUE(LEFT(Protokoll_1p!I91,FIND(":",Protokoll_1p!I91)-1))&gt;VALUE(RIGHT(Protokoll_1p!I91,LEN(Protokoll_1p!I91)-FIND(":",Protokoll_1p!I91))),0,1))</f>
        <v>0</v>
      </c>
      <c r="M85" s="1">
        <f>IF(Protokoll_1p!J91="","",IF(VALUE(LEFT(Protokoll_1p!J91,FIND(":",Protokoll_1p!J91)-1))&gt;VALUE(RIGHT(Protokoll_1p!J91,LEN(Protokoll_1p!J91)-FIND(":",Protokoll_1p!J91))),0,1))</f>
        <v>1</v>
      </c>
      <c r="N85" s="1">
        <f t="shared" si="3"/>
        <v>3</v>
      </c>
    </row>
    <row r="86" spans="2:14">
      <c r="B86" s="1" t="str">
        <f>IF(Protokoll_1p!F92="","",IF(VALUE(LEFT(Protokoll_1p!F92,FIND(":",Protokoll_1p!F92)-1))&gt;VALUE(RIGHT(Protokoll_1p!F92,LEN(Protokoll_1p!F92)-FIND(":",Protokoll_1p!F92))),1,0))</f>
        <v/>
      </c>
      <c r="C86" s="1" t="str">
        <f>IF(Protokoll_1p!G92="","",IF(VALUE(LEFT(Protokoll_1p!G92,FIND(":",Protokoll_1p!G92)-1))&gt;VALUE(RIGHT(Protokoll_1p!G92,LEN(Protokoll_1p!G92)-FIND(":",Protokoll_1p!G92))),1,0))</f>
        <v/>
      </c>
      <c r="D86" s="1" t="str">
        <f>IF(Protokoll_1p!H92="","",IF(VALUE(LEFT(Protokoll_1p!H92,FIND(":",Protokoll_1p!H92)-1))&gt;VALUE(RIGHT(Protokoll_1p!H92,LEN(Protokoll_1p!H92)-FIND(":",Protokoll_1p!H92))),1,0))</f>
        <v/>
      </c>
      <c r="E86" s="1" t="str">
        <f>IF(Protokoll_1p!I92="","",IF(VALUE(LEFT(Protokoll_1p!I92,FIND(":",Protokoll_1p!I92)-1))&gt;VALUE(RIGHT(Protokoll_1p!I92,LEN(Protokoll_1p!I92)-FIND(":",Protokoll_1p!I92))),1,0))</f>
        <v/>
      </c>
      <c r="F86" s="1" t="str">
        <f>IF(Protokoll_1p!J92="","",IF(VALUE(LEFT(Protokoll_1p!J92,FIND(":",Protokoll_1p!J92)-1))&gt;VALUE(RIGHT(Protokoll_1p!J92,LEN(Protokoll_1p!J92)-FIND(":",Protokoll_1p!J92))),1,0))</f>
        <v/>
      </c>
      <c r="G86" s="1" t="str">
        <f t="shared" si="2"/>
        <v/>
      </c>
      <c r="I86" s="1" t="str">
        <f>IF(Protokoll_1p!F92="","",IF(VALUE(LEFT(Protokoll_1p!F92,FIND(":",Protokoll_1p!F92)-1))&gt;VALUE(RIGHT(Protokoll_1p!F92,LEN(Protokoll_1p!F92)-FIND(":",Protokoll_1p!F92))),0,1))</f>
        <v/>
      </c>
      <c r="J86" s="1" t="str">
        <f>IF(Protokoll_1p!G92="","",IF(VALUE(LEFT(Protokoll_1p!G92,FIND(":",Protokoll_1p!G92)-1))&gt;VALUE(RIGHT(Protokoll_1p!G92,LEN(Protokoll_1p!G92)-FIND(":",Protokoll_1p!G92))),0,1))</f>
        <v/>
      </c>
      <c r="K86" s="1" t="str">
        <f>IF(Protokoll_1p!H92="","",IF(VALUE(LEFT(Protokoll_1p!H92,FIND(":",Protokoll_1p!H92)-1))&gt;VALUE(RIGHT(Protokoll_1p!H92,LEN(Protokoll_1p!H92)-FIND(":",Protokoll_1p!H92))),0,1))</f>
        <v/>
      </c>
      <c r="L86" s="1" t="str">
        <f>IF(Protokoll_1p!I92="","",IF(VALUE(LEFT(Protokoll_1p!I92,FIND(":",Protokoll_1p!I92)-1))&gt;VALUE(RIGHT(Protokoll_1p!I92,LEN(Protokoll_1p!I92)-FIND(":",Protokoll_1p!I92))),0,1))</f>
        <v/>
      </c>
      <c r="M86" s="1" t="str">
        <f>IF(Protokoll_1p!J92="","",IF(VALUE(LEFT(Protokoll_1p!J92,FIND(":",Protokoll_1p!J92)-1))&gt;VALUE(RIGHT(Protokoll_1p!J92,LEN(Protokoll_1p!J92)-FIND(":",Protokoll_1p!J92))),0,1))</f>
        <v/>
      </c>
      <c r="N86" s="1" t="str">
        <f t="shared" si="3"/>
        <v/>
      </c>
    </row>
    <row r="87" spans="2:14">
      <c r="B87" s="1">
        <f>IF(Protokoll_1p!F93="","",IF(VALUE(LEFT(Protokoll_1p!F93,FIND(":",Protokoll_1p!F93)-1))&gt;VALUE(RIGHT(Protokoll_1p!F93,LEN(Protokoll_1p!F93)-FIND(":",Protokoll_1p!F93))),1,0))</f>
        <v>0</v>
      </c>
      <c r="C87" s="1">
        <f>IF(Protokoll_1p!G93="","",IF(VALUE(LEFT(Protokoll_1p!G93,FIND(":",Protokoll_1p!G93)-1))&gt;VALUE(RIGHT(Protokoll_1p!G93,LEN(Protokoll_1p!G93)-FIND(":",Protokoll_1p!G93))),1,0))</f>
        <v>0</v>
      </c>
      <c r="D87" s="1">
        <f>IF(Protokoll_1p!H93="","",IF(VALUE(LEFT(Protokoll_1p!H93,FIND(":",Protokoll_1p!H93)-1))&gt;VALUE(RIGHT(Protokoll_1p!H93,LEN(Protokoll_1p!H93)-FIND(":",Protokoll_1p!H93))),1,0))</f>
        <v>0</v>
      </c>
      <c r="E87" s="1" t="str">
        <f>IF(Protokoll_1p!I93="","",IF(VALUE(LEFT(Protokoll_1p!I93,FIND(":",Protokoll_1p!I93)-1))&gt;VALUE(RIGHT(Protokoll_1p!I93,LEN(Protokoll_1p!I93)-FIND(":",Protokoll_1p!I93))),1,0))</f>
        <v/>
      </c>
      <c r="F87" s="1" t="str">
        <f>IF(Protokoll_1p!J93="","",IF(VALUE(LEFT(Protokoll_1p!J93,FIND(":",Protokoll_1p!J93)-1))&gt;VALUE(RIGHT(Protokoll_1p!J93,LEN(Protokoll_1p!J93)-FIND(":",Protokoll_1p!J93))),1,0))</f>
        <v/>
      </c>
      <c r="G87" s="1">
        <f t="shared" si="2"/>
        <v>0</v>
      </c>
      <c r="I87" s="1">
        <f>IF(Protokoll_1p!F93="","",IF(VALUE(LEFT(Protokoll_1p!F93,FIND(":",Protokoll_1p!F93)-1))&gt;VALUE(RIGHT(Protokoll_1p!F93,LEN(Protokoll_1p!F93)-FIND(":",Protokoll_1p!F93))),0,1))</f>
        <v>1</v>
      </c>
      <c r="J87" s="1">
        <f>IF(Protokoll_1p!G93="","",IF(VALUE(LEFT(Protokoll_1p!G93,FIND(":",Protokoll_1p!G93)-1))&gt;VALUE(RIGHT(Protokoll_1p!G93,LEN(Protokoll_1p!G93)-FIND(":",Protokoll_1p!G93))),0,1))</f>
        <v>1</v>
      </c>
      <c r="K87" s="1">
        <f>IF(Protokoll_1p!H93="","",IF(VALUE(LEFT(Protokoll_1p!H93,FIND(":",Protokoll_1p!H93)-1))&gt;VALUE(RIGHT(Protokoll_1p!H93,LEN(Protokoll_1p!H93)-FIND(":",Protokoll_1p!H93))),0,1))</f>
        <v>1</v>
      </c>
      <c r="L87" s="1" t="str">
        <f>IF(Protokoll_1p!I93="","",IF(VALUE(LEFT(Protokoll_1p!I93,FIND(":",Protokoll_1p!I93)-1))&gt;VALUE(RIGHT(Protokoll_1p!I93,LEN(Protokoll_1p!I93)-FIND(":",Protokoll_1p!I93))),0,1))</f>
        <v/>
      </c>
      <c r="M87" s="1" t="str">
        <f>IF(Protokoll_1p!J93="","",IF(VALUE(LEFT(Protokoll_1p!J93,FIND(":",Protokoll_1p!J93)-1))&gt;VALUE(RIGHT(Protokoll_1p!J93,LEN(Protokoll_1p!J93)-FIND(":",Protokoll_1p!J93))),0,1))</f>
        <v/>
      </c>
      <c r="N87" s="1">
        <f t="shared" si="3"/>
        <v>3</v>
      </c>
    </row>
    <row r="88" spans="2:14">
      <c r="B88" s="1" t="str">
        <f>IF(Protokoll_1p!F94="","",IF(VALUE(LEFT(Protokoll_1p!F94,FIND(":",Protokoll_1p!F94)-1))&gt;VALUE(RIGHT(Protokoll_1p!F94,LEN(Protokoll_1p!F94)-FIND(":",Protokoll_1p!F94))),1,0))</f>
        <v/>
      </c>
      <c r="C88" s="1" t="str">
        <f>IF(Protokoll_1p!G94="","",IF(VALUE(LEFT(Protokoll_1p!G94,FIND(":",Protokoll_1p!G94)-1))&gt;VALUE(RIGHT(Protokoll_1p!G94,LEN(Protokoll_1p!G94)-FIND(":",Protokoll_1p!G94))),1,0))</f>
        <v/>
      </c>
      <c r="D88" s="1" t="str">
        <f>IF(Protokoll_1p!H94="","",IF(VALUE(LEFT(Protokoll_1p!H94,FIND(":",Protokoll_1p!H94)-1))&gt;VALUE(RIGHT(Protokoll_1p!H94,LEN(Protokoll_1p!H94)-FIND(":",Protokoll_1p!H94))),1,0))</f>
        <v/>
      </c>
      <c r="E88" s="1" t="str">
        <f>IF(Protokoll_1p!I94="","",IF(VALUE(LEFT(Protokoll_1p!I94,FIND(":",Protokoll_1p!I94)-1))&gt;VALUE(RIGHT(Protokoll_1p!I94,LEN(Protokoll_1p!I94)-FIND(":",Protokoll_1p!I94))),1,0))</f>
        <v/>
      </c>
      <c r="F88" s="1" t="str">
        <f>IF(Protokoll_1p!J94="","",IF(VALUE(LEFT(Protokoll_1p!J94,FIND(":",Protokoll_1p!J94)-1))&gt;VALUE(RIGHT(Protokoll_1p!J94,LEN(Protokoll_1p!J94)-FIND(":",Protokoll_1p!J94))),1,0))</f>
        <v/>
      </c>
      <c r="G88" s="1" t="str">
        <f t="shared" si="2"/>
        <v/>
      </c>
      <c r="I88" s="1" t="str">
        <f>IF(Protokoll_1p!F94="","",IF(VALUE(LEFT(Protokoll_1p!F94,FIND(":",Protokoll_1p!F94)-1))&gt;VALUE(RIGHT(Protokoll_1p!F94,LEN(Protokoll_1p!F94)-FIND(":",Protokoll_1p!F94))),0,1))</f>
        <v/>
      </c>
      <c r="J88" s="1" t="str">
        <f>IF(Protokoll_1p!G94="","",IF(VALUE(LEFT(Protokoll_1p!G94,FIND(":",Protokoll_1p!G94)-1))&gt;VALUE(RIGHT(Protokoll_1p!G94,LEN(Protokoll_1p!G94)-FIND(":",Protokoll_1p!G94))),0,1))</f>
        <v/>
      </c>
      <c r="K88" s="1" t="str">
        <f>IF(Protokoll_1p!H94="","",IF(VALUE(LEFT(Protokoll_1p!H94,FIND(":",Protokoll_1p!H94)-1))&gt;VALUE(RIGHT(Protokoll_1p!H94,LEN(Protokoll_1p!H94)-FIND(":",Protokoll_1p!H94))),0,1))</f>
        <v/>
      </c>
      <c r="L88" s="1" t="str">
        <f>IF(Protokoll_1p!I94="","",IF(VALUE(LEFT(Protokoll_1p!I94,FIND(":",Protokoll_1p!I94)-1))&gt;VALUE(RIGHT(Protokoll_1p!I94,LEN(Protokoll_1p!I94)-FIND(":",Protokoll_1p!I94))),0,1))</f>
        <v/>
      </c>
      <c r="M88" s="1" t="str">
        <f>IF(Protokoll_1p!J94="","",IF(VALUE(LEFT(Protokoll_1p!J94,FIND(":",Protokoll_1p!J94)-1))&gt;VALUE(RIGHT(Protokoll_1p!J94,LEN(Protokoll_1p!J94)-FIND(":",Protokoll_1p!J94))),0,1))</f>
        <v/>
      </c>
      <c r="N88" s="1" t="str">
        <f t="shared" si="3"/>
        <v/>
      </c>
    </row>
    <row r="89" spans="2:14">
      <c r="B89" s="1" t="str">
        <f>IF(Protokoll_1p!F95="","",IF(VALUE(LEFT(Protokoll_1p!F95,FIND(":",Protokoll_1p!F95)-1))&gt;VALUE(RIGHT(Protokoll_1p!F95,LEN(Protokoll_1p!F95)-FIND(":",Protokoll_1p!F95))),1,0))</f>
        <v/>
      </c>
      <c r="C89" s="1" t="str">
        <f>IF(Protokoll_1p!G95="","",IF(VALUE(LEFT(Protokoll_1p!G95,FIND(":",Protokoll_1p!G95)-1))&gt;VALUE(RIGHT(Protokoll_1p!G95,LEN(Protokoll_1p!G95)-FIND(":",Protokoll_1p!G95))),1,0))</f>
        <v/>
      </c>
      <c r="D89" s="1" t="str">
        <f>IF(Protokoll_1p!H95="","",IF(VALUE(LEFT(Protokoll_1p!H95,FIND(":",Protokoll_1p!H95)-1))&gt;VALUE(RIGHT(Protokoll_1p!H95,LEN(Protokoll_1p!H95)-FIND(":",Protokoll_1p!H95))),1,0))</f>
        <v/>
      </c>
      <c r="E89" s="1" t="str">
        <f>IF(Protokoll_1p!I95="","",IF(VALUE(LEFT(Protokoll_1p!I95,FIND(":",Protokoll_1p!I95)-1))&gt;VALUE(RIGHT(Protokoll_1p!I95,LEN(Protokoll_1p!I95)-FIND(":",Protokoll_1p!I95))),1,0))</f>
        <v/>
      </c>
      <c r="F89" s="1" t="str">
        <f>IF(Protokoll_1p!J95="","",IF(VALUE(LEFT(Protokoll_1p!J95,FIND(":",Protokoll_1p!J95)-1))&gt;VALUE(RIGHT(Protokoll_1p!J95,LEN(Protokoll_1p!J95)-FIND(":",Protokoll_1p!J95))),1,0))</f>
        <v/>
      </c>
      <c r="G89" s="1" t="str">
        <f t="shared" si="2"/>
        <v/>
      </c>
      <c r="I89" s="1" t="str">
        <f>IF(Protokoll_1p!F95="","",IF(VALUE(LEFT(Protokoll_1p!F95,FIND(":",Protokoll_1p!F95)-1))&gt;VALUE(RIGHT(Protokoll_1p!F95,LEN(Protokoll_1p!F95)-FIND(":",Protokoll_1p!F95))),0,1))</f>
        <v/>
      </c>
      <c r="J89" s="1" t="str">
        <f>IF(Protokoll_1p!G95="","",IF(VALUE(LEFT(Protokoll_1p!G95,FIND(":",Protokoll_1p!G95)-1))&gt;VALUE(RIGHT(Protokoll_1p!G95,LEN(Protokoll_1p!G95)-FIND(":",Protokoll_1p!G95))),0,1))</f>
        <v/>
      </c>
      <c r="K89" s="1" t="str">
        <f>IF(Protokoll_1p!H95="","",IF(VALUE(LEFT(Protokoll_1p!H95,FIND(":",Protokoll_1p!H95)-1))&gt;VALUE(RIGHT(Protokoll_1p!H95,LEN(Protokoll_1p!H95)-FIND(":",Protokoll_1p!H95))),0,1))</f>
        <v/>
      </c>
      <c r="L89" s="1" t="str">
        <f>IF(Protokoll_1p!I95="","",IF(VALUE(LEFT(Protokoll_1p!I95,FIND(":",Protokoll_1p!I95)-1))&gt;VALUE(RIGHT(Protokoll_1p!I95,LEN(Protokoll_1p!I95)-FIND(":",Protokoll_1p!I95))),0,1))</f>
        <v/>
      </c>
      <c r="M89" s="1" t="str">
        <f>IF(Protokoll_1p!J95="","",IF(VALUE(LEFT(Protokoll_1p!J95,FIND(":",Protokoll_1p!J95)-1))&gt;VALUE(RIGHT(Protokoll_1p!J95,LEN(Protokoll_1p!J95)-FIND(":",Protokoll_1p!J95))),0,1))</f>
        <v/>
      </c>
      <c r="N89" s="1" t="str">
        <f t="shared" si="3"/>
        <v/>
      </c>
    </row>
    <row r="90" spans="2:14">
      <c r="B90" s="1" t="str">
        <f>IF(Protokoll_1p!F96="","",IF(VALUE(LEFT(Protokoll_1p!F96,FIND(":",Protokoll_1p!F96)-1))&gt;VALUE(RIGHT(Protokoll_1p!F96,LEN(Protokoll_1p!F96)-FIND(":",Protokoll_1p!F96))),1,0))</f>
        <v/>
      </c>
      <c r="C90" s="1" t="str">
        <f>IF(Protokoll_1p!G96="","",IF(VALUE(LEFT(Protokoll_1p!G96,FIND(":",Protokoll_1p!G96)-1))&gt;VALUE(RIGHT(Protokoll_1p!G96,LEN(Protokoll_1p!G96)-FIND(":",Protokoll_1p!G96))),1,0))</f>
        <v/>
      </c>
      <c r="D90" s="1" t="str">
        <f>IF(Protokoll_1p!H96="","",IF(VALUE(LEFT(Protokoll_1p!H96,FIND(":",Protokoll_1p!H96)-1))&gt;VALUE(RIGHT(Protokoll_1p!H96,LEN(Protokoll_1p!H96)-FIND(":",Protokoll_1p!H96))),1,0))</f>
        <v/>
      </c>
      <c r="E90" s="1" t="str">
        <f>IF(Protokoll_1p!I96="","",IF(VALUE(LEFT(Protokoll_1p!I96,FIND(":",Protokoll_1p!I96)-1))&gt;VALUE(RIGHT(Protokoll_1p!I96,LEN(Protokoll_1p!I96)-FIND(":",Protokoll_1p!I96))),1,0))</f>
        <v/>
      </c>
      <c r="F90" s="1" t="str">
        <f>IF(Protokoll_1p!J96="","",IF(VALUE(LEFT(Protokoll_1p!J96,FIND(":",Protokoll_1p!J96)-1))&gt;VALUE(RIGHT(Protokoll_1p!J96,LEN(Protokoll_1p!J96)-FIND(":",Protokoll_1p!J96))),1,0))</f>
        <v/>
      </c>
      <c r="G90" s="1" t="str">
        <f t="shared" si="2"/>
        <v/>
      </c>
      <c r="I90" s="1" t="str">
        <f>IF(Protokoll_1p!F96="","",IF(VALUE(LEFT(Protokoll_1p!F96,FIND(":",Protokoll_1p!F96)-1))&gt;VALUE(RIGHT(Protokoll_1p!F96,LEN(Protokoll_1p!F96)-FIND(":",Protokoll_1p!F96))),0,1))</f>
        <v/>
      </c>
      <c r="J90" s="1" t="str">
        <f>IF(Protokoll_1p!G96="","",IF(VALUE(LEFT(Protokoll_1p!G96,FIND(":",Protokoll_1p!G96)-1))&gt;VALUE(RIGHT(Protokoll_1p!G96,LEN(Protokoll_1p!G96)-FIND(":",Protokoll_1p!G96))),0,1))</f>
        <v/>
      </c>
      <c r="K90" s="1" t="str">
        <f>IF(Protokoll_1p!H96="","",IF(VALUE(LEFT(Protokoll_1p!H96,FIND(":",Protokoll_1p!H96)-1))&gt;VALUE(RIGHT(Protokoll_1p!H96,LEN(Protokoll_1p!H96)-FIND(":",Protokoll_1p!H96))),0,1))</f>
        <v/>
      </c>
      <c r="L90" s="1" t="str">
        <f>IF(Protokoll_1p!I96="","",IF(VALUE(LEFT(Protokoll_1p!I96,FIND(":",Protokoll_1p!I96)-1))&gt;VALUE(RIGHT(Protokoll_1p!I96,LEN(Protokoll_1p!I96)-FIND(":",Protokoll_1p!I96))),0,1))</f>
        <v/>
      </c>
      <c r="M90" s="1" t="str">
        <f>IF(Protokoll_1p!J96="","",IF(VALUE(LEFT(Protokoll_1p!J96,FIND(":",Protokoll_1p!J96)-1))&gt;VALUE(RIGHT(Protokoll_1p!J96,LEN(Protokoll_1p!J96)-FIND(":",Protokoll_1p!J96))),0,1))</f>
        <v/>
      </c>
      <c r="N90" s="1" t="str">
        <f t="shared" si="3"/>
        <v/>
      </c>
    </row>
    <row r="91" spans="2:14">
      <c r="B91" s="1" t="e">
        <f>IF(Protokoll_1p!F97="","",IF(VALUE(LEFT(Protokoll_1p!F97,FIND(":",Protokoll_1p!F97)-1))&gt;VALUE(RIGHT(Protokoll_1p!F97,LEN(Protokoll_1p!F97)-FIND(":",Protokoll_1p!F97))),1,0))</f>
        <v>#VALUE!</v>
      </c>
      <c r="C91" s="1" t="e">
        <f>IF(Protokoll_1p!G97="","",IF(VALUE(LEFT(Protokoll_1p!G97,FIND(":",Protokoll_1p!G97)-1))&gt;VALUE(RIGHT(Protokoll_1p!G97,LEN(Protokoll_1p!G97)-FIND(":",Protokoll_1p!G97))),1,0))</f>
        <v>#VALUE!</v>
      </c>
      <c r="D91" s="1" t="e">
        <f>IF(Protokoll_1p!H97="","",IF(VALUE(LEFT(Protokoll_1p!H97,FIND(":",Protokoll_1p!H97)-1))&gt;VALUE(RIGHT(Protokoll_1p!H97,LEN(Protokoll_1p!H97)-FIND(":",Protokoll_1p!H97))),1,0))</f>
        <v>#VALUE!</v>
      </c>
      <c r="E91" s="1" t="e">
        <f>IF(Protokoll_1p!I97="","",IF(VALUE(LEFT(Protokoll_1p!I97,FIND(":",Protokoll_1p!I97)-1))&gt;VALUE(RIGHT(Protokoll_1p!I97,LEN(Protokoll_1p!I97)-FIND(":",Protokoll_1p!I97))),1,0))</f>
        <v>#VALUE!</v>
      </c>
      <c r="F91" s="1" t="e">
        <f>IF(Protokoll_1p!J97="","",IF(VALUE(LEFT(Protokoll_1p!J97,FIND(":",Protokoll_1p!J97)-1))&gt;VALUE(RIGHT(Protokoll_1p!J97,LEN(Protokoll_1p!J97)-FIND(":",Protokoll_1p!J97))),1,0))</f>
        <v>#VALUE!</v>
      </c>
      <c r="G91" s="1" t="e">
        <f t="shared" si="2"/>
        <v>#VALUE!</v>
      </c>
      <c r="I91" s="1" t="e">
        <f>IF(Protokoll_1p!F97="","",IF(VALUE(LEFT(Protokoll_1p!F97,FIND(":",Protokoll_1p!F97)-1))&gt;VALUE(RIGHT(Protokoll_1p!F97,LEN(Protokoll_1p!F97)-FIND(":",Protokoll_1p!F97))),0,1))</f>
        <v>#VALUE!</v>
      </c>
      <c r="J91" s="1" t="e">
        <f>IF(Protokoll_1p!G97="","",IF(VALUE(LEFT(Protokoll_1p!G97,FIND(":",Protokoll_1p!G97)-1))&gt;VALUE(RIGHT(Protokoll_1p!G97,LEN(Protokoll_1p!G97)-FIND(":",Protokoll_1p!G97))),0,1))</f>
        <v>#VALUE!</v>
      </c>
      <c r="K91" s="1" t="e">
        <f>IF(Protokoll_1p!H97="","",IF(VALUE(LEFT(Protokoll_1p!H97,FIND(":",Protokoll_1p!H97)-1))&gt;VALUE(RIGHT(Protokoll_1p!H97,LEN(Protokoll_1p!H97)-FIND(":",Protokoll_1p!H97))),0,1))</f>
        <v>#VALUE!</v>
      </c>
      <c r="L91" s="1" t="e">
        <f>IF(Protokoll_1p!I97="","",IF(VALUE(LEFT(Protokoll_1p!I97,FIND(":",Protokoll_1p!I97)-1))&gt;VALUE(RIGHT(Protokoll_1p!I97,LEN(Protokoll_1p!I97)-FIND(":",Protokoll_1p!I97))),0,1))</f>
        <v>#VALUE!</v>
      </c>
      <c r="M91" s="1" t="e">
        <f>IF(Protokoll_1p!J97="","",IF(VALUE(LEFT(Protokoll_1p!J97,FIND(":",Protokoll_1p!J97)-1))&gt;VALUE(RIGHT(Protokoll_1p!J97,LEN(Protokoll_1p!J97)-FIND(":",Protokoll_1p!J97))),0,1))</f>
        <v>#VALUE!</v>
      </c>
      <c r="N91" s="1" t="e">
        <f t="shared" si="3"/>
        <v>#VALUE!</v>
      </c>
    </row>
    <row r="92" spans="2:14">
      <c r="B92" s="1">
        <f>IF(Protokoll_1p!F98="","",IF(VALUE(LEFT(Protokoll_1p!F98,FIND(":",Protokoll_1p!F98)-1))&gt;VALUE(RIGHT(Protokoll_1p!F98,LEN(Protokoll_1p!F98)-FIND(":",Protokoll_1p!F98))),1,0))</f>
        <v>1</v>
      </c>
      <c r="C92" s="1">
        <f>IF(Protokoll_1p!G98="","",IF(VALUE(LEFT(Protokoll_1p!G98,FIND(":",Protokoll_1p!G98)-1))&gt;VALUE(RIGHT(Protokoll_1p!G98,LEN(Protokoll_1p!G98)-FIND(":",Protokoll_1p!G98))),1,0))</f>
        <v>1</v>
      </c>
      <c r="D92" s="1">
        <f>IF(Protokoll_1p!H98="","",IF(VALUE(LEFT(Protokoll_1p!H98,FIND(":",Protokoll_1p!H98)-1))&gt;VALUE(RIGHT(Protokoll_1p!H98,LEN(Protokoll_1p!H98)-FIND(":",Protokoll_1p!H98))),1,0))</f>
        <v>1</v>
      </c>
      <c r="E92" s="1" t="str">
        <f>IF(Protokoll_1p!I98="","",IF(VALUE(LEFT(Protokoll_1p!I98,FIND(":",Protokoll_1p!I98)-1))&gt;VALUE(RIGHT(Protokoll_1p!I98,LEN(Protokoll_1p!I98)-FIND(":",Protokoll_1p!I98))),1,0))</f>
        <v/>
      </c>
      <c r="F92" s="1" t="str">
        <f>IF(Protokoll_1p!J98="","",IF(VALUE(LEFT(Protokoll_1p!J98,FIND(":",Protokoll_1p!J98)-1))&gt;VALUE(RIGHT(Protokoll_1p!J98,LEN(Protokoll_1p!J98)-FIND(":",Protokoll_1p!J98))),1,0))</f>
        <v/>
      </c>
      <c r="G92" s="1">
        <f t="shared" si="2"/>
        <v>3</v>
      </c>
      <c r="I92" s="1">
        <f>IF(Protokoll_1p!F98="","",IF(VALUE(LEFT(Protokoll_1p!F98,FIND(":",Protokoll_1p!F98)-1))&gt;VALUE(RIGHT(Protokoll_1p!F98,LEN(Protokoll_1p!F98)-FIND(":",Protokoll_1p!F98))),0,1))</f>
        <v>0</v>
      </c>
      <c r="J92" s="1">
        <f>IF(Protokoll_1p!G98="","",IF(VALUE(LEFT(Protokoll_1p!G98,FIND(":",Protokoll_1p!G98)-1))&gt;VALUE(RIGHT(Protokoll_1p!G98,LEN(Protokoll_1p!G98)-FIND(":",Protokoll_1p!G98))),0,1))</f>
        <v>0</v>
      </c>
      <c r="K92" s="1">
        <f>IF(Protokoll_1p!H98="","",IF(VALUE(LEFT(Protokoll_1p!H98,FIND(":",Protokoll_1p!H98)-1))&gt;VALUE(RIGHT(Protokoll_1p!H98,LEN(Protokoll_1p!H98)-FIND(":",Protokoll_1p!H98))),0,1))</f>
        <v>0</v>
      </c>
      <c r="L92" s="1" t="str">
        <f>IF(Protokoll_1p!I98="","",IF(VALUE(LEFT(Protokoll_1p!I98,FIND(":",Protokoll_1p!I98)-1))&gt;VALUE(RIGHT(Protokoll_1p!I98,LEN(Protokoll_1p!I98)-FIND(":",Protokoll_1p!I98))),0,1))</f>
        <v/>
      </c>
      <c r="M92" s="1" t="str">
        <f>IF(Protokoll_1p!J98="","",IF(VALUE(LEFT(Protokoll_1p!J98,FIND(":",Protokoll_1p!J98)-1))&gt;VALUE(RIGHT(Protokoll_1p!J98,LEN(Protokoll_1p!J98)-FIND(":",Protokoll_1p!J98))),0,1))</f>
        <v/>
      </c>
      <c r="N92" s="1">
        <f t="shared" si="3"/>
        <v>0</v>
      </c>
    </row>
    <row r="93" spans="2:14">
      <c r="B93" s="1">
        <f>IF(Protokoll_1p!F99="","",IF(VALUE(LEFT(Protokoll_1p!F99,FIND(":",Protokoll_1p!F99)-1))&gt;VALUE(RIGHT(Protokoll_1p!F99,LEN(Protokoll_1p!F99)-FIND(":",Protokoll_1p!F99))),1,0))</f>
        <v>0</v>
      </c>
      <c r="C93" s="1">
        <f>IF(Protokoll_1p!G99="","",IF(VALUE(LEFT(Protokoll_1p!G99,FIND(":",Protokoll_1p!G99)-1))&gt;VALUE(RIGHT(Protokoll_1p!G99,LEN(Protokoll_1p!G99)-FIND(":",Protokoll_1p!G99))),1,0))</f>
        <v>1</v>
      </c>
      <c r="D93" s="1">
        <f>IF(Protokoll_1p!H99="","",IF(VALUE(LEFT(Protokoll_1p!H99,FIND(":",Protokoll_1p!H99)-1))&gt;VALUE(RIGHT(Protokoll_1p!H99,LEN(Protokoll_1p!H99)-FIND(":",Protokoll_1p!H99))),1,0))</f>
        <v>0</v>
      </c>
      <c r="E93" s="1">
        <f>IF(Protokoll_1p!I99="","",IF(VALUE(LEFT(Protokoll_1p!I99,FIND(":",Protokoll_1p!I99)-1))&gt;VALUE(RIGHT(Protokoll_1p!I99,LEN(Protokoll_1p!I99)-FIND(":",Protokoll_1p!I99))),1,0))</f>
        <v>1</v>
      </c>
      <c r="F93" s="1">
        <f>IF(Protokoll_1p!J99="","",IF(VALUE(LEFT(Protokoll_1p!J99,FIND(":",Protokoll_1p!J99)-1))&gt;VALUE(RIGHT(Protokoll_1p!J99,LEN(Protokoll_1p!J99)-FIND(":",Protokoll_1p!J99))),1,0))</f>
        <v>0</v>
      </c>
      <c r="G93" s="1">
        <f t="shared" si="2"/>
        <v>2</v>
      </c>
      <c r="I93" s="1">
        <f>IF(Protokoll_1p!F99="","",IF(VALUE(LEFT(Protokoll_1p!F99,FIND(":",Protokoll_1p!F99)-1))&gt;VALUE(RIGHT(Protokoll_1p!F99,LEN(Protokoll_1p!F99)-FIND(":",Protokoll_1p!F99))),0,1))</f>
        <v>1</v>
      </c>
      <c r="J93" s="1">
        <f>IF(Protokoll_1p!G99="","",IF(VALUE(LEFT(Protokoll_1p!G99,FIND(":",Protokoll_1p!G99)-1))&gt;VALUE(RIGHT(Protokoll_1p!G99,LEN(Protokoll_1p!G99)-FIND(":",Protokoll_1p!G99))),0,1))</f>
        <v>0</v>
      </c>
      <c r="K93" s="1">
        <f>IF(Protokoll_1p!H99="","",IF(VALUE(LEFT(Protokoll_1p!H99,FIND(":",Protokoll_1p!H99)-1))&gt;VALUE(RIGHT(Protokoll_1p!H99,LEN(Protokoll_1p!H99)-FIND(":",Protokoll_1p!H99))),0,1))</f>
        <v>1</v>
      </c>
      <c r="L93" s="1">
        <f>IF(Protokoll_1p!I99="","",IF(VALUE(LEFT(Protokoll_1p!I99,FIND(":",Protokoll_1p!I99)-1))&gt;VALUE(RIGHT(Protokoll_1p!I99,LEN(Protokoll_1p!I99)-FIND(":",Protokoll_1p!I99))),0,1))</f>
        <v>0</v>
      </c>
      <c r="M93" s="1">
        <f>IF(Protokoll_1p!J99="","",IF(VALUE(LEFT(Protokoll_1p!J99,FIND(":",Protokoll_1p!J99)-1))&gt;VALUE(RIGHT(Protokoll_1p!J99,LEN(Protokoll_1p!J99)-FIND(":",Protokoll_1p!J99))),0,1))</f>
        <v>1</v>
      </c>
      <c r="N93" s="1">
        <f t="shared" si="3"/>
        <v>3</v>
      </c>
    </row>
    <row r="94" spans="2:14">
      <c r="B94" s="1">
        <f>IF(Protokoll_1p!F100="","",IF(VALUE(LEFT(Protokoll_1p!F100,FIND(":",Protokoll_1p!F100)-1))&gt;VALUE(RIGHT(Protokoll_1p!F100,LEN(Protokoll_1p!F100)-FIND(":",Protokoll_1p!F100))),1,0))</f>
        <v>1</v>
      </c>
      <c r="C94" s="1">
        <f>IF(Protokoll_1p!G100="","",IF(VALUE(LEFT(Protokoll_1p!G100,FIND(":",Protokoll_1p!G100)-1))&gt;VALUE(RIGHT(Protokoll_1p!G100,LEN(Protokoll_1p!G100)-FIND(":",Protokoll_1p!G100))),1,0))</f>
        <v>1</v>
      </c>
      <c r="D94" s="1">
        <f>IF(Protokoll_1p!H100="","",IF(VALUE(LEFT(Protokoll_1p!H100,FIND(":",Protokoll_1p!H100)-1))&gt;VALUE(RIGHT(Protokoll_1p!H100,LEN(Protokoll_1p!H100)-FIND(":",Protokoll_1p!H100))),1,0))</f>
        <v>1</v>
      </c>
      <c r="E94" s="1" t="str">
        <f>IF(Protokoll_1p!I100="","",IF(VALUE(LEFT(Protokoll_1p!I100,FIND(":",Protokoll_1p!I100)-1))&gt;VALUE(RIGHT(Protokoll_1p!I100,LEN(Protokoll_1p!I100)-FIND(":",Protokoll_1p!I100))),1,0))</f>
        <v/>
      </c>
      <c r="F94" s="1" t="str">
        <f>IF(Protokoll_1p!J100="","",IF(VALUE(LEFT(Protokoll_1p!J100,FIND(":",Protokoll_1p!J100)-1))&gt;VALUE(RIGHT(Protokoll_1p!J100,LEN(Protokoll_1p!J100)-FIND(":",Protokoll_1p!J100))),1,0))</f>
        <v/>
      </c>
      <c r="G94" s="1">
        <f t="shared" si="2"/>
        <v>3</v>
      </c>
      <c r="I94" s="1">
        <f>IF(Protokoll_1p!F100="","",IF(VALUE(LEFT(Protokoll_1p!F100,FIND(":",Protokoll_1p!F100)-1))&gt;VALUE(RIGHT(Protokoll_1p!F100,LEN(Protokoll_1p!F100)-FIND(":",Protokoll_1p!F100))),0,1))</f>
        <v>0</v>
      </c>
      <c r="J94" s="1">
        <f>IF(Protokoll_1p!G100="","",IF(VALUE(LEFT(Protokoll_1p!G100,FIND(":",Protokoll_1p!G100)-1))&gt;VALUE(RIGHT(Protokoll_1p!G100,LEN(Protokoll_1p!G100)-FIND(":",Protokoll_1p!G100))),0,1))</f>
        <v>0</v>
      </c>
      <c r="K94" s="1">
        <f>IF(Protokoll_1p!H100="","",IF(VALUE(LEFT(Protokoll_1p!H100,FIND(":",Protokoll_1p!H100)-1))&gt;VALUE(RIGHT(Protokoll_1p!H100,LEN(Protokoll_1p!H100)-FIND(":",Protokoll_1p!H100))),0,1))</f>
        <v>0</v>
      </c>
      <c r="L94" s="1" t="str">
        <f>IF(Protokoll_1p!I100="","",IF(VALUE(LEFT(Protokoll_1p!I100,FIND(":",Protokoll_1p!I100)-1))&gt;VALUE(RIGHT(Protokoll_1p!I100,LEN(Protokoll_1p!I100)-FIND(":",Protokoll_1p!I100))),0,1))</f>
        <v/>
      </c>
      <c r="M94" s="1" t="str">
        <f>IF(Protokoll_1p!J100="","",IF(VALUE(LEFT(Protokoll_1p!J100,FIND(":",Protokoll_1p!J100)-1))&gt;VALUE(RIGHT(Protokoll_1p!J100,LEN(Protokoll_1p!J100)-FIND(":",Protokoll_1p!J100))),0,1))</f>
        <v/>
      </c>
      <c r="N94" s="1">
        <f t="shared" si="3"/>
        <v>0</v>
      </c>
    </row>
    <row r="95" spans="2:14">
      <c r="B95" s="1">
        <f>IF(Protokoll_1p!F101="","",IF(VALUE(LEFT(Protokoll_1p!F101,FIND(":",Protokoll_1p!F101)-1))&gt;VALUE(RIGHT(Protokoll_1p!F101,LEN(Protokoll_1p!F101)-FIND(":",Protokoll_1p!F101))),1,0))</f>
        <v>1</v>
      </c>
      <c r="C95" s="1">
        <f>IF(Protokoll_1p!G101="","",IF(VALUE(LEFT(Protokoll_1p!G101,FIND(":",Protokoll_1p!G101)-1))&gt;VALUE(RIGHT(Protokoll_1p!G101,LEN(Protokoll_1p!G101)-FIND(":",Protokoll_1p!G101))),1,0))</f>
        <v>1</v>
      </c>
      <c r="D95" s="1">
        <f>IF(Protokoll_1p!H101="","",IF(VALUE(LEFT(Protokoll_1p!H101,FIND(":",Protokoll_1p!H101)-1))&gt;VALUE(RIGHT(Protokoll_1p!H101,LEN(Protokoll_1p!H101)-FIND(":",Protokoll_1p!H101))),1,0))</f>
        <v>1</v>
      </c>
      <c r="E95" s="1" t="str">
        <f>IF(Protokoll_1p!I101="","",IF(VALUE(LEFT(Protokoll_1p!I101,FIND(":",Protokoll_1p!I101)-1))&gt;VALUE(RIGHT(Protokoll_1p!I101,LEN(Protokoll_1p!I101)-FIND(":",Protokoll_1p!I101))),1,0))</f>
        <v/>
      </c>
      <c r="F95" s="1" t="str">
        <f>IF(Protokoll_1p!J101="","",IF(VALUE(LEFT(Protokoll_1p!J101,FIND(":",Protokoll_1p!J101)-1))&gt;VALUE(RIGHT(Protokoll_1p!J101,LEN(Protokoll_1p!J101)-FIND(":",Protokoll_1p!J101))),1,0))</f>
        <v/>
      </c>
      <c r="G95" s="1">
        <f t="shared" si="2"/>
        <v>3</v>
      </c>
      <c r="I95" s="1">
        <f>IF(Protokoll_1p!F101="","",IF(VALUE(LEFT(Protokoll_1p!F101,FIND(":",Protokoll_1p!F101)-1))&gt;VALUE(RIGHT(Protokoll_1p!F101,LEN(Protokoll_1p!F101)-FIND(":",Protokoll_1p!F101))),0,1))</f>
        <v>0</v>
      </c>
      <c r="J95" s="1">
        <f>IF(Protokoll_1p!G101="","",IF(VALUE(LEFT(Protokoll_1p!G101,FIND(":",Protokoll_1p!G101)-1))&gt;VALUE(RIGHT(Protokoll_1p!G101,LEN(Protokoll_1p!G101)-FIND(":",Protokoll_1p!G101))),0,1))</f>
        <v>0</v>
      </c>
      <c r="K95" s="1">
        <f>IF(Protokoll_1p!H101="","",IF(VALUE(LEFT(Protokoll_1p!H101,FIND(":",Protokoll_1p!H101)-1))&gt;VALUE(RIGHT(Protokoll_1p!H101,LEN(Protokoll_1p!H101)-FIND(":",Protokoll_1p!H101))),0,1))</f>
        <v>0</v>
      </c>
      <c r="L95" s="1" t="str">
        <f>IF(Protokoll_1p!I101="","",IF(VALUE(LEFT(Protokoll_1p!I101,FIND(":",Protokoll_1p!I101)-1))&gt;VALUE(RIGHT(Protokoll_1p!I101,LEN(Protokoll_1p!I101)-FIND(":",Protokoll_1p!I101))),0,1))</f>
        <v/>
      </c>
      <c r="M95" s="1" t="str">
        <f>IF(Protokoll_1p!J101="","",IF(VALUE(LEFT(Protokoll_1p!J101,FIND(":",Protokoll_1p!J101)-1))&gt;VALUE(RIGHT(Protokoll_1p!J101,LEN(Protokoll_1p!J101)-FIND(":",Protokoll_1p!J101))),0,1))</f>
        <v/>
      </c>
      <c r="N95" s="1">
        <f t="shared" si="3"/>
        <v>0</v>
      </c>
    </row>
    <row r="96" spans="2:14">
      <c r="B96" s="1" t="str">
        <f>IF(Protokoll_1p!F102="","",IF(VALUE(LEFT(Protokoll_1p!F102,FIND(":",Protokoll_1p!F102)-1))&gt;VALUE(RIGHT(Protokoll_1p!F102,LEN(Protokoll_1p!F102)-FIND(":",Protokoll_1p!F102))),1,0))</f>
        <v/>
      </c>
      <c r="C96" s="1" t="str">
        <f>IF(Protokoll_1p!G102="","",IF(VALUE(LEFT(Protokoll_1p!G102,FIND(":",Protokoll_1p!G102)-1))&gt;VALUE(RIGHT(Protokoll_1p!G102,LEN(Protokoll_1p!G102)-FIND(":",Protokoll_1p!G102))),1,0))</f>
        <v/>
      </c>
      <c r="D96" s="1" t="str">
        <f>IF(Protokoll_1p!H102="","",IF(VALUE(LEFT(Protokoll_1p!H102,FIND(":",Protokoll_1p!H102)-1))&gt;VALUE(RIGHT(Protokoll_1p!H102,LEN(Protokoll_1p!H102)-FIND(":",Protokoll_1p!H102))),1,0))</f>
        <v/>
      </c>
      <c r="E96" s="1" t="str">
        <f>IF(Protokoll_1p!I102="","",IF(VALUE(LEFT(Protokoll_1p!I102,FIND(":",Protokoll_1p!I102)-1))&gt;VALUE(RIGHT(Protokoll_1p!I102,LEN(Protokoll_1p!I102)-FIND(":",Protokoll_1p!I102))),1,0))</f>
        <v/>
      </c>
      <c r="F96" s="1" t="str">
        <f>IF(Protokoll_1p!J102="","",IF(VALUE(LEFT(Protokoll_1p!J102,FIND(":",Protokoll_1p!J102)-1))&gt;VALUE(RIGHT(Protokoll_1p!J102,LEN(Protokoll_1p!J102)-FIND(":",Protokoll_1p!J102))),1,0))</f>
        <v/>
      </c>
      <c r="G96" s="1" t="str">
        <f t="shared" si="2"/>
        <v/>
      </c>
      <c r="I96" s="1" t="str">
        <f>IF(Protokoll_1p!F102="","",IF(VALUE(LEFT(Protokoll_1p!F102,FIND(":",Protokoll_1p!F102)-1))&gt;VALUE(RIGHT(Protokoll_1p!F102,LEN(Protokoll_1p!F102)-FIND(":",Protokoll_1p!F102))),0,1))</f>
        <v/>
      </c>
      <c r="J96" s="1" t="str">
        <f>IF(Protokoll_1p!G102="","",IF(VALUE(LEFT(Protokoll_1p!G102,FIND(":",Protokoll_1p!G102)-1))&gt;VALUE(RIGHT(Protokoll_1p!G102,LEN(Protokoll_1p!G102)-FIND(":",Protokoll_1p!G102))),0,1))</f>
        <v/>
      </c>
      <c r="K96" s="1" t="str">
        <f>IF(Protokoll_1p!H102="","",IF(VALUE(LEFT(Protokoll_1p!H102,FIND(":",Protokoll_1p!H102)-1))&gt;VALUE(RIGHT(Protokoll_1p!H102,LEN(Protokoll_1p!H102)-FIND(":",Protokoll_1p!H102))),0,1))</f>
        <v/>
      </c>
      <c r="L96" s="1" t="str">
        <f>IF(Protokoll_1p!I102="","",IF(VALUE(LEFT(Protokoll_1p!I102,FIND(":",Protokoll_1p!I102)-1))&gt;VALUE(RIGHT(Protokoll_1p!I102,LEN(Protokoll_1p!I102)-FIND(":",Protokoll_1p!I102))),0,1))</f>
        <v/>
      </c>
      <c r="M96" s="1" t="str">
        <f>IF(Protokoll_1p!J102="","",IF(VALUE(LEFT(Protokoll_1p!J102,FIND(":",Protokoll_1p!J102)-1))&gt;VALUE(RIGHT(Protokoll_1p!J102,LEN(Protokoll_1p!J102)-FIND(":",Protokoll_1p!J102))),0,1))</f>
        <v/>
      </c>
      <c r="N96" s="1" t="str">
        <f t="shared" si="3"/>
        <v/>
      </c>
    </row>
    <row r="97" spans="2:14">
      <c r="B97" s="1">
        <f>IF(Protokoll_1p!F103="","",IF(VALUE(LEFT(Protokoll_1p!F103,FIND(":",Protokoll_1p!F103)-1))&gt;VALUE(RIGHT(Protokoll_1p!F103,LEN(Protokoll_1p!F103)-FIND(":",Protokoll_1p!F103))),1,0))</f>
        <v>1</v>
      </c>
      <c r="C97" s="1">
        <f>IF(Protokoll_1p!G103="","",IF(VALUE(LEFT(Protokoll_1p!G103,FIND(":",Protokoll_1p!G103)-1))&gt;VALUE(RIGHT(Protokoll_1p!G103,LEN(Protokoll_1p!G103)-FIND(":",Protokoll_1p!G103))),1,0))</f>
        <v>1</v>
      </c>
      <c r="D97" s="1">
        <f>IF(Protokoll_1p!H103="","",IF(VALUE(LEFT(Protokoll_1p!H103,FIND(":",Protokoll_1p!H103)-1))&gt;VALUE(RIGHT(Protokoll_1p!H103,LEN(Protokoll_1p!H103)-FIND(":",Protokoll_1p!H103))),1,0))</f>
        <v>0</v>
      </c>
      <c r="E97" s="1">
        <f>IF(Protokoll_1p!I103="","",IF(VALUE(LEFT(Protokoll_1p!I103,FIND(":",Protokoll_1p!I103)-1))&gt;VALUE(RIGHT(Protokoll_1p!I103,LEN(Protokoll_1p!I103)-FIND(":",Protokoll_1p!I103))),1,0))</f>
        <v>1</v>
      </c>
      <c r="F97" s="1" t="str">
        <f>IF(Protokoll_1p!J103="","",IF(VALUE(LEFT(Protokoll_1p!J103,FIND(":",Protokoll_1p!J103)-1))&gt;VALUE(RIGHT(Protokoll_1p!J103,LEN(Protokoll_1p!J103)-FIND(":",Protokoll_1p!J103))),1,0))</f>
        <v/>
      </c>
      <c r="G97" s="1">
        <f t="shared" si="2"/>
        <v>3</v>
      </c>
      <c r="I97" s="1">
        <f>IF(Protokoll_1p!F103="","",IF(VALUE(LEFT(Protokoll_1p!F103,FIND(":",Protokoll_1p!F103)-1))&gt;VALUE(RIGHT(Protokoll_1p!F103,LEN(Protokoll_1p!F103)-FIND(":",Protokoll_1p!F103))),0,1))</f>
        <v>0</v>
      </c>
      <c r="J97" s="1">
        <f>IF(Protokoll_1p!G103="","",IF(VALUE(LEFT(Protokoll_1p!G103,FIND(":",Protokoll_1p!G103)-1))&gt;VALUE(RIGHT(Protokoll_1p!G103,LEN(Protokoll_1p!G103)-FIND(":",Protokoll_1p!G103))),0,1))</f>
        <v>0</v>
      </c>
      <c r="K97" s="1">
        <f>IF(Protokoll_1p!H103="","",IF(VALUE(LEFT(Protokoll_1p!H103,FIND(":",Protokoll_1p!H103)-1))&gt;VALUE(RIGHT(Protokoll_1p!H103,LEN(Protokoll_1p!H103)-FIND(":",Protokoll_1p!H103))),0,1))</f>
        <v>1</v>
      </c>
      <c r="L97" s="1">
        <f>IF(Protokoll_1p!I103="","",IF(VALUE(LEFT(Protokoll_1p!I103,FIND(":",Protokoll_1p!I103)-1))&gt;VALUE(RIGHT(Protokoll_1p!I103,LEN(Protokoll_1p!I103)-FIND(":",Protokoll_1p!I103))),0,1))</f>
        <v>0</v>
      </c>
      <c r="M97" s="1" t="str">
        <f>IF(Protokoll_1p!J103="","",IF(VALUE(LEFT(Protokoll_1p!J103,FIND(":",Protokoll_1p!J103)-1))&gt;VALUE(RIGHT(Protokoll_1p!J103,LEN(Protokoll_1p!J103)-FIND(":",Protokoll_1p!J103))),0,1))</f>
        <v/>
      </c>
      <c r="N97" s="1">
        <f t="shared" si="3"/>
        <v>1</v>
      </c>
    </row>
    <row r="98" spans="2:14">
      <c r="B98" s="1" t="str">
        <f>IF(Protokoll_1p!F104="","",IF(VALUE(LEFT(Protokoll_1p!F104,FIND(":",Protokoll_1p!F104)-1))&gt;VALUE(RIGHT(Protokoll_1p!F104,LEN(Protokoll_1p!F104)-FIND(":",Protokoll_1p!F104))),1,0))</f>
        <v/>
      </c>
      <c r="C98" s="1" t="str">
        <f>IF(Protokoll_1p!G104="","",IF(VALUE(LEFT(Protokoll_1p!G104,FIND(":",Protokoll_1p!G104)-1))&gt;VALUE(RIGHT(Protokoll_1p!G104,LEN(Protokoll_1p!G104)-FIND(":",Protokoll_1p!G104))),1,0))</f>
        <v/>
      </c>
      <c r="D98" s="1" t="str">
        <f>IF(Protokoll_1p!H104="","",IF(VALUE(LEFT(Protokoll_1p!H104,FIND(":",Protokoll_1p!H104)-1))&gt;VALUE(RIGHT(Protokoll_1p!H104,LEN(Protokoll_1p!H104)-FIND(":",Protokoll_1p!H104))),1,0))</f>
        <v/>
      </c>
      <c r="E98" s="1" t="str">
        <f>IF(Protokoll_1p!I104="","",IF(VALUE(LEFT(Protokoll_1p!I104,FIND(":",Protokoll_1p!I104)-1))&gt;VALUE(RIGHT(Protokoll_1p!I104,LEN(Protokoll_1p!I104)-FIND(":",Protokoll_1p!I104))),1,0))</f>
        <v/>
      </c>
      <c r="F98" s="1" t="str">
        <f>IF(Protokoll_1p!J104="","",IF(VALUE(LEFT(Protokoll_1p!J104,FIND(":",Protokoll_1p!J104)-1))&gt;VALUE(RIGHT(Protokoll_1p!J104,LEN(Protokoll_1p!J104)-FIND(":",Protokoll_1p!J104))),1,0))</f>
        <v/>
      </c>
      <c r="G98" s="1" t="str">
        <f t="shared" si="2"/>
        <v/>
      </c>
      <c r="I98" s="1" t="str">
        <f>IF(Protokoll_1p!F104="","",IF(VALUE(LEFT(Protokoll_1p!F104,FIND(":",Protokoll_1p!F104)-1))&gt;VALUE(RIGHT(Protokoll_1p!F104,LEN(Protokoll_1p!F104)-FIND(":",Protokoll_1p!F104))),0,1))</f>
        <v/>
      </c>
      <c r="J98" s="1" t="str">
        <f>IF(Protokoll_1p!G104="","",IF(VALUE(LEFT(Protokoll_1p!G104,FIND(":",Protokoll_1p!G104)-1))&gt;VALUE(RIGHT(Protokoll_1p!G104,LEN(Protokoll_1p!G104)-FIND(":",Protokoll_1p!G104))),0,1))</f>
        <v/>
      </c>
      <c r="K98" s="1" t="str">
        <f>IF(Protokoll_1p!H104="","",IF(VALUE(LEFT(Protokoll_1p!H104,FIND(":",Protokoll_1p!H104)-1))&gt;VALUE(RIGHT(Protokoll_1p!H104,LEN(Protokoll_1p!H104)-FIND(":",Protokoll_1p!H104))),0,1))</f>
        <v/>
      </c>
      <c r="L98" s="1" t="str">
        <f>IF(Protokoll_1p!I104="","",IF(VALUE(LEFT(Protokoll_1p!I104,FIND(":",Protokoll_1p!I104)-1))&gt;VALUE(RIGHT(Protokoll_1p!I104,LEN(Protokoll_1p!I104)-FIND(":",Protokoll_1p!I104))),0,1))</f>
        <v/>
      </c>
      <c r="M98" s="1" t="str">
        <f>IF(Protokoll_1p!J104="","",IF(VALUE(LEFT(Protokoll_1p!J104,FIND(":",Protokoll_1p!J104)-1))&gt;VALUE(RIGHT(Protokoll_1p!J104,LEN(Protokoll_1p!J104)-FIND(":",Protokoll_1p!J104))),0,1))</f>
        <v/>
      </c>
      <c r="N98" s="1" t="str">
        <f t="shared" si="3"/>
        <v/>
      </c>
    </row>
    <row r="99" spans="2:14">
      <c r="B99" s="1" t="str">
        <f>IF(Protokoll_1p!F105="","",IF(VALUE(LEFT(Protokoll_1p!F105,FIND(":",Protokoll_1p!F105)-1))&gt;VALUE(RIGHT(Protokoll_1p!F105,LEN(Protokoll_1p!F105)-FIND(":",Protokoll_1p!F105))),1,0))</f>
        <v/>
      </c>
      <c r="C99" s="1" t="str">
        <f>IF(Protokoll_1p!G105="","",IF(VALUE(LEFT(Protokoll_1p!G105,FIND(":",Protokoll_1p!G105)-1))&gt;VALUE(RIGHT(Protokoll_1p!G105,LEN(Protokoll_1p!G105)-FIND(":",Protokoll_1p!G105))),1,0))</f>
        <v/>
      </c>
      <c r="D99" s="1" t="str">
        <f>IF(Protokoll_1p!H105="","",IF(VALUE(LEFT(Protokoll_1p!H105,FIND(":",Protokoll_1p!H105)-1))&gt;VALUE(RIGHT(Protokoll_1p!H105,LEN(Protokoll_1p!H105)-FIND(":",Protokoll_1p!H105))),1,0))</f>
        <v/>
      </c>
      <c r="E99" s="1" t="str">
        <f>IF(Protokoll_1p!I105="","",IF(VALUE(LEFT(Protokoll_1p!I105,FIND(":",Protokoll_1p!I105)-1))&gt;VALUE(RIGHT(Protokoll_1p!I105,LEN(Protokoll_1p!I105)-FIND(":",Protokoll_1p!I105))),1,0))</f>
        <v/>
      </c>
      <c r="F99" s="1" t="str">
        <f>IF(Protokoll_1p!J105="","",IF(VALUE(LEFT(Protokoll_1p!J105,FIND(":",Protokoll_1p!J105)-1))&gt;VALUE(RIGHT(Protokoll_1p!J105,LEN(Protokoll_1p!J105)-FIND(":",Protokoll_1p!J105))),1,0))</f>
        <v/>
      </c>
      <c r="G99" s="1" t="str">
        <f t="shared" si="2"/>
        <v/>
      </c>
      <c r="I99" s="1" t="str">
        <f>IF(Protokoll_1p!F105="","",IF(VALUE(LEFT(Protokoll_1p!F105,FIND(":",Protokoll_1p!F105)-1))&gt;VALUE(RIGHT(Protokoll_1p!F105,LEN(Protokoll_1p!F105)-FIND(":",Protokoll_1p!F105))),0,1))</f>
        <v/>
      </c>
      <c r="J99" s="1" t="str">
        <f>IF(Protokoll_1p!G105="","",IF(VALUE(LEFT(Protokoll_1p!G105,FIND(":",Protokoll_1p!G105)-1))&gt;VALUE(RIGHT(Protokoll_1p!G105,LEN(Protokoll_1p!G105)-FIND(":",Protokoll_1p!G105))),0,1))</f>
        <v/>
      </c>
      <c r="K99" s="1" t="str">
        <f>IF(Protokoll_1p!H105="","",IF(VALUE(LEFT(Protokoll_1p!H105,FIND(":",Protokoll_1p!H105)-1))&gt;VALUE(RIGHT(Protokoll_1p!H105,LEN(Protokoll_1p!H105)-FIND(":",Protokoll_1p!H105))),0,1))</f>
        <v/>
      </c>
      <c r="L99" s="1" t="str">
        <f>IF(Protokoll_1p!I105="","",IF(VALUE(LEFT(Protokoll_1p!I105,FIND(":",Protokoll_1p!I105)-1))&gt;VALUE(RIGHT(Protokoll_1p!I105,LEN(Protokoll_1p!I105)-FIND(":",Protokoll_1p!I105))),0,1))</f>
        <v/>
      </c>
      <c r="M99" s="1" t="str">
        <f>IF(Protokoll_1p!J105="","",IF(VALUE(LEFT(Protokoll_1p!J105,FIND(":",Protokoll_1p!J105)-1))&gt;VALUE(RIGHT(Protokoll_1p!J105,LEN(Protokoll_1p!J105)-FIND(":",Protokoll_1p!J105))),0,1))</f>
        <v/>
      </c>
      <c r="N99" s="1" t="str">
        <f t="shared" si="3"/>
        <v/>
      </c>
    </row>
    <row r="100" spans="2:14">
      <c r="B100" s="1" t="str">
        <f>IF(Protokoll_1p!F106="","",IF(VALUE(LEFT(Protokoll_1p!F106,FIND(":",Protokoll_1p!F106)-1))&gt;VALUE(RIGHT(Protokoll_1p!F106,LEN(Protokoll_1p!F106)-FIND(":",Protokoll_1p!F106))),1,0))</f>
        <v/>
      </c>
      <c r="C100" s="1" t="str">
        <f>IF(Protokoll_1p!G106="","",IF(VALUE(LEFT(Protokoll_1p!G106,FIND(":",Protokoll_1p!G106)-1))&gt;VALUE(RIGHT(Protokoll_1p!G106,LEN(Protokoll_1p!G106)-FIND(":",Protokoll_1p!G106))),1,0))</f>
        <v/>
      </c>
      <c r="D100" s="1" t="str">
        <f>IF(Protokoll_1p!H106="","",IF(VALUE(LEFT(Protokoll_1p!H106,FIND(":",Protokoll_1p!H106)-1))&gt;VALUE(RIGHT(Protokoll_1p!H106,LEN(Protokoll_1p!H106)-FIND(":",Protokoll_1p!H106))),1,0))</f>
        <v/>
      </c>
      <c r="E100" s="1" t="str">
        <f>IF(Protokoll_1p!I106="","",IF(VALUE(LEFT(Protokoll_1p!I106,FIND(":",Protokoll_1p!I106)-1))&gt;VALUE(RIGHT(Protokoll_1p!I106,LEN(Protokoll_1p!I106)-FIND(":",Protokoll_1p!I106))),1,0))</f>
        <v/>
      </c>
      <c r="F100" s="1" t="str">
        <f>IF(Protokoll_1p!J106="","",IF(VALUE(LEFT(Protokoll_1p!J106,FIND(":",Protokoll_1p!J106)-1))&gt;VALUE(RIGHT(Protokoll_1p!J106,LEN(Protokoll_1p!J106)-FIND(":",Protokoll_1p!J106))),1,0))</f>
        <v/>
      </c>
      <c r="G100" s="1" t="str">
        <f t="shared" si="2"/>
        <v/>
      </c>
      <c r="I100" s="1" t="str">
        <f>IF(Protokoll_1p!F106="","",IF(VALUE(LEFT(Protokoll_1p!F106,FIND(":",Protokoll_1p!F106)-1))&gt;VALUE(RIGHT(Protokoll_1p!F106,LEN(Protokoll_1p!F106)-FIND(":",Protokoll_1p!F106))),0,1))</f>
        <v/>
      </c>
      <c r="J100" s="1" t="str">
        <f>IF(Protokoll_1p!G106="","",IF(VALUE(LEFT(Protokoll_1p!G106,FIND(":",Protokoll_1p!G106)-1))&gt;VALUE(RIGHT(Protokoll_1p!G106,LEN(Protokoll_1p!G106)-FIND(":",Protokoll_1p!G106))),0,1))</f>
        <v/>
      </c>
      <c r="K100" s="1" t="str">
        <f>IF(Protokoll_1p!H106="","",IF(VALUE(LEFT(Protokoll_1p!H106,FIND(":",Protokoll_1p!H106)-1))&gt;VALUE(RIGHT(Protokoll_1p!H106,LEN(Protokoll_1p!H106)-FIND(":",Protokoll_1p!H106))),0,1))</f>
        <v/>
      </c>
      <c r="L100" s="1" t="str">
        <f>IF(Protokoll_1p!I106="","",IF(VALUE(LEFT(Protokoll_1p!I106,FIND(":",Protokoll_1p!I106)-1))&gt;VALUE(RIGHT(Protokoll_1p!I106,LEN(Protokoll_1p!I106)-FIND(":",Protokoll_1p!I106))),0,1))</f>
        <v/>
      </c>
      <c r="M100" s="1" t="str">
        <f>IF(Protokoll_1p!J106="","",IF(VALUE(LEFT(Protokoll_1p!J106,FIND(":",Protokoll_1p!J106)-1))&gt;VALUE(RIGHT(Protokoll_1p!J106,LEN(Protokoll_1p!J106)-FIND(":",Protokoll_1p!J106))),0,1))</f>
        <v/>
      </c>
      <c r="N100" s="1" t="str">
        <f t="shared" si="3"/>
        <v/>
      </c>
    </row>
    <row r="101" spans="2:14">
      <c r="B101" s="1" t="e">
        <f>IF(Protokoll_1p!F107="","",IF(VALUE(LEFT(Protokoll_1p!F107,FIND(":",Protokoll_1p!F107)-1))&gt;VALUE(RIGHT(Protokoll_1p!F107,LEN(Protokoll_1p!F107)-FIND(":",Protokoll_1p!F107))),1,0))</f>
        <v>#VALUE!</v>
      </c>
      <c r="C101" s="1" t="e">
        <f>IF(Protokoll_1p!G107="","",IF(VALUE(LEFT(Protokoll_1p!G107,FIND(":",Protokoll_1p!G107)-1))&gt;VALUE(RIGHT(Protokoll_1p!G107,LEN(Protokoll_1p!G107)-FIND(":",Protokoll_1p!G107))),1,0))</f>
        <v>#VALUE!</v>
      </c>
      <c r="D101" s="1" t="e">
        <f>IF(Protokoll_1p!H107="","",IF(VALUE(LEFT(Protokoll_1p!H107,FIND(":",Protokoll_1p!H107)-1))&gt;VALUE(RIGHT(Protokoll_1p!H107,LEN(Protokoll_1p!H107)-FIND(":",Protokoll_1p!H107))),1,0))</f>
        <v>#VALUE!</v>
      </c>
      <c r="E101" s="1" t="e">
        <f>IF(Protokoll_1p!I107="","",IF(VALUE(LEFT(Protokoll_1p!I107,FIND(":",Protokoll_1p!I107)-1))&gt;VALUE(RIGHT(Protokoll_1p!I107,LEN(Protokoll_1p!I107)-FIND(":",Protokoll_1p!I107))),1,0))</f>
        <v>#VALUE!</v>
      </c>
      <c r="F101" s="1" t="e">
        <f>IF(Protokoll_1p!J107="","",IF(VALUE(LEFT(Protokoll_1p!J107,FIND(":",Protokoll_1p!J107)-1))&gt;VALUE(RIGHT(Protokoll_1p!J107,LEN(Protokoll_1p!J107)-FIND(":",Protokoll_1p!J107))),1,0))</f>
        <v>#VALUE!</v>
      </c>
      <c r="G101" s="1" t="e">
        <f t="shared" si="2"/>
        <v>#VALUE!</v>
      </c>
      <c r="I101" s="1" t="e">
        <f>IF(Protokoll_1p!F107="","",IF(VALUE(LEFT(Protokoll_1p!F107,FIND(":",Protokoll_1p!F107)-1))&gt;VALUE(RIGHT(Protokoll_1p!F107,LEN(Protokoll_1p!F107)-FIND(":",Protokoll_1p!F107))),0,1))</f>
        <v>#VALUE!</v>
      </c>
      <c r="J101" s="1" t="e">
        <f>IF(Protokoll_1p!G107="","",IF(VALUE(LEFT(Protokoll_1p!G107,FIND(":",Protokoll_1p!G107)-1))&gt;VALUE(RIGHT(Protokoll_1p!G107,LEN(Protokoll_1p!G107)-FIND(":",Protokoll_1p!G107))),0,1))</f>
        <v>#VALUE!</v>
      </c>
      <c r="K101" s="1" t="e">
        <f>IF(Protokoll_1p!H107="","",IF(VALUE(LEFT(Protokoll_1p!H107,FIND(":",Protokoll_1p!H107)-1))&gt;VALUE(RIGHT(Protokoll_1p!H107,LEN(Protokoll_1p!H107)-FIND(":",Protokoll_1p!H107))),0,1))</f>
        <v>#VALUE!</v>
      </c>
      <c r="L101" s="1" t="e">
        <f>IF(Protokoll_1p!I107="","",IF(VALUE(LEFT(Protokoll_1p!I107,FIND(":",Protokoll_1p!I107)-1))&gt;VALUE(RIGHT(Protokoll_1p!I107,LEN(Protokoll_1p!I107)-FIND(":",Protokoll_1p!I107))),0,1))</f>
        <v>#VALUE!</v>
      </c>
      <c r="M101" s="1" t="e">
        <f>IF(Protokoll_1p!J107="","",IF(VALUE(LEFT(Protokoll_1p!J107,FIND(":",Protokoll_1p!J107)-1))&gt;VALUE(RIGHT(Protokoll_1p!J107,LEN(Protokoll_1p!J107)-FIND(":",Protokoll_1p!J107))),0,1))</f>
        <v>#VALUE!</v>
      </c>
      <c r="N101" s="1" t="e">
        <f t="shared" si="3"/>
        <v>#VALUE!</v>
      </c>
    </row>
    <row r="102" spans="2:14">
      <c r="B102" s="1">
        <f>IF(Protokoll_1p!F108="","",IF(VALUE(LEFT(Protokoll_1p!F108,FIND(":",Protokoll_1p!F108)-1))&gt;VALUE(RIGHT(Protokoll_1p!F108,LEN(Protokoll_1p!F108)-FIND(":",Protokoll_1p!F108))),1,0))</f>
        <v>1</v>
      </c>
      <c r="C102" s="1">
        <f>IF(Protokoll_1p!G108="","",IF(VALUE(LEFT(Protokoll_1p!G108,FIND(":",Protokoll_1p!G108)-1))&gt;VALUE(RIGHT(Protokoll_1p!G108,LEN(Protokoll_1p!G108)-FIND(":",Protokoll_1p!G108))),1,0))</f>
        <v>1</v>
      </c>
      <c r="D102" s="1">
        <f>IF(Protokoll_1p!H108="","",IF(VALUE(LEFT(Protokoll_1p!H108,FIND(":",Protokoll_1p!H108)-1))&gt;VALUE(RIGHT(Protokoll_1p!H108,LEN(Protokoll_1p!H108)-FIND(":",Protokoll_1p!H108))),1,0))</f>
        <v>1</v>
      </c>
      <c r="E102" s="1" t="str">
        <f>IF(Protokoll_1p!I108="","",IF(VALUE(LEFT(Protokoll_1p!I108,FIND(":",Protokoll_1p!I108)-1))&gt;VALUE(RIGHT(Protokoll_1p!I108,LEN(Protokoll_1p!I108)-FIND(":",Protokoll_1p!I108))),1,0))</f>
        <v/>
      </c>
      <c r="F102" s="1" t="str">
        <f>IF(Protokoll_1p!J108="","",IF(VALUE(LEFT(Protokoll_1p!J108,FIND(":",Protokoll_1p!J108)-1))&gt;VALUE(RIGHT(Protokoll_1p!J108,LEN(Protokoll_1p!J108)-FIND(":",Protokoll_1p!J108))),1,0))</f>
        <v/>
      </c>
      <c r="G102" s="1">
        <f t="shared" si="2"/>
        <v>3</v>
      </c>
      <c r="I102" s="1">
        <f>IF(Protokoll_1p!F108="","",IF(VALUE(LEFT(Protokoll_1p!F108,FIND(":",Protokoll_1p!F108)-1))&gt;VALUE(RIGHT(Protokoll_1p!F108,LEN(Protokoll_1p!F108)-FIND(":",Protokoll_1p!F108))),0,1))</f>
        <v>0</v>
      </c>
      <c r="J102" s="1">
        <f>IF(Protokoll_1p!G108="","",IF(VALUE(LEFT(Protokoll_1p!G108,FIND(":",Protokoll_1p!G108)-1))&gt;VALUE(RIGHT(Protokoll_1p!G108,LEN(Protokoll_1p!G108)-FIND(":",Protokoll_1p!G108))),0,1))</f>
        <v>0</v>
      </c>
      <c r="K102" s="1">
        <f>IF(Protokoll_1p!H108="","",IF(VALUE(LEFT(Protokoll_1p!H108,FIND(":",Protokoll_1p!H108)-1))&gt;VALUE(RIGHT(Protokoll_1p!H108,LEN(Protokoll_1p!H108)-FIND(":",Protokoll_1p!H108))),0,1))</f>
        <v>0</v>
      </c>
      <c r="L102" s="1" t="str">
        <f>IF(Protokoll_1p!I108="","",IF(VALUE(LEFT(Protokoll_1p!I108,FIND(":",Protokoll_1p!I108)-1))&gt;VALUE(RIGHT(Protokoll_1p!I108,LEN(Protokoll_1p!I108)-FIND(":",Protokoll_1p!I108))),0,1))</f>
        <v/>
      </c>
      <c r="M102" s="1" t="str">
        <f>IF(Protokoll_1p!J108="","",IF(VALUE(LEFT(Protokoll_1p!J108,FIND(":",Protokoll_1p!J108)-1))&gt;VALUE(RIGHT(Protokoll_1p!J108,LEN(Protokoll_1p!J108)-FIND(":",Protokoll_1p!J108))),0,1))</f>
        <v/>
      </c>
      <c r="N102" s="1">
        <f t="shared" si="3"/>
        <v>0</v>
      </c>
    </row>
    <row r="103" spans="2:14">
      <c r="B103" s="1">
        <f>IF(Protokoll_1p!F109="","",IF(VALUE(LEFT(Protokoll_1p!F109,FIND(":",Protokoll_1p!F109)-1))&gt;VALUE(RIGHT(Protokoll_1p!F109,LEN(Protokoll_1p!F109)-FIND(":",Protokoll_1p!F109))),1,0))</f>
        <v>1</v>
      </c>
      <c r="C103" s="1">
        <f>IF(Protokoll_1p!G109="","",IF(VALUE(LEFT(Protokoll_1p!G109,FIND(":",Protokoll_1p!G109)-1))&gt;VALUE(RIGHT(Protokoll_1p!G109,LEN(Protokoll_1p!G109)-FIND(":",Protokoll_1p!G109))),1,0))</f>
        <v>1</v>
      </c>
      <c r="D103" s="1">
        <f>IF(Protokoll_1p!H109="","",IF(VALUE(LEFT(Protokoll_1p!H109,FIND(":",Protokoll_1p!H109)-1))&gt;VALUE(RIGHT(Protokoll_1p!H109,LEN(Protokoll_1p!H109)-FIND(":",Protokoll_1p!H109))),1,0))</f>
        <v>1</v>
      </c>
      <c r="E103" s="1" t="str">
        <f>IF(Protokoll_1p!I109="","",IF(VALUE(LEFT(Protokoll_1p!I109,FIND(":",Protokoll_1p!I109)-1))&gt;VALUE(RIGHT(Protokoll_1p!I109,LEN(Protokoll_1p!I109)-FIND(":",Protokoll_1p!I109))),1,0))</f>
        <v/>
      </c>
      <c r="F103" s="1" t="str">
        <f>IF(Protokoll_1p!J109="","",IF(VALUE(LEFT(Protokoll_1p!J109,FIND(":",Protokoll_1p!J109)-1))&gt;VALUE(RIGHT(Protokoll_1p!J109,LEN(Protokoll_1p!J109)-FIND(":",Protokoll_1p!J109))),1,0))</f>
        <v/>
      </c>
      <c r="G103" s="1">
        <f t="shared" si="2"/>
        <v>3</v>
      </c>
      <c r="I103" s="1">
        <f>IF(Protokoll_1p!F109="","",IF(VALUE(LEFT(Protokoll_1p!F109,FIND(":",Protokoll_1p!F109)-1))&gt;VALUE(RIGHT(Protokoll_1p!F109,LEN(Protokoll_1p!F109)-FIND(":",Protokoll_1p!F109))),0,1))</f>
        <v>0</v>
      </c>
      <c r="J103" s="1">
        <f>IF(Protokoll_1p!G109="","",IF(VALUE(LEFT(Protokoll_1p!G109,FIND(":",Protokoll_1p!G109)-1))&gt;VALUE(RIGHT(Protokoll_1p!G109,LEN(Protokoll_1p!G109)-FIND(":",Protokoll_1p!G109))),0,1))</f>
        <v>0</v>
      </c>
      <c r="K103" s="1">
        <f>IF(Protokoll_1p!H109="","",IF(VALUE(LEFT(Protokoll_1p!H109,FIND(":",Protokoll_1p!H109)-1))&gt;VALUE(RIGHT(Protokoll_1p!H109,LEN(Protokoll_1p!H109)-FIND(":",Protokoll_1p!H109))),0,1))</f>
        <v>0</v>
      </c>
      <c r="L103" s="1" t="str">
        <f>IF(Protokoll_1p!I109="","",IF(VALUE(LEFT(Protokoll_1p!I109,FIND(":",Protokoll_1p!I109)-1))&gt;VALUE(RIGHT(Protokoll_1p!I109,LEN(Protokoll_1p!I109)-FIND(":",Protokoll_1p!I109))),0,1))</f>
        <v/>
      </c>
      <c r="M103" s="1" t="str">
        <f>IF(Protokoll_1p!J109="","",IF(VALUE(LEFT(Protokoll_1p!J109,FIND(":",Protokoll_1p!J109)-1))&gt;VALUE(RIGHT(Protokoll_1p!J109,LEN(Protokoll_1p!J109)-FIND(":",Protokoll_1p!J109))),0,1))</f>
        <v/>
      </c>
      <c r="N103" s="1">
        <f t="shared" si="3"/>
        <v>0</v>
      </c>
    </row>
    <row r="104" spans="2:14">
      <c r="B104" s="1">
        <f>IF(Protokoll_1p!F110="","",IF(VALUE(LEFT(Protokoll_1p!F110,FIND(":",Protokoll_1p!F110)-1))&gt;VALUE(RIGHT(Protokoll_1p!F110,LEN(Protokoll_1p!F110)-FIND(":",Protokoll_1p!F110))),1,0))</f>
        <v>1</v>
      </c>
      <c r="C104" s="1">
        <f>IF(Protokoll_1p!G110="","",IF(VALUE(LEFT(Protokoll_1p!G110,FIND(":",Protokoll_1p!G110)-1))&gt;VALUE(RIGHT(Protokoll_1p!G110,LEN(Protokoll_1p!G110)-FIND(":",Protokoll_1p!G110))),1,0))</f>
        <v>1</v>
      </c>
      <c r="D104" s="1">
        <f>IF(Protokoll_1p!H110="","",IF(VALUE(LEFT(Protokoll_1p!H110,FIND(":",Protokoll_1p!H110)-1))&gt;VALUE(RIGHT(Protokoll_1p!H110,LEN(Protokoll_1p!H110)-FIND(":",Protokoll_1p!H110))),1,0))</f>
        <v>1</v>
      </c>
      <c r="E104" s="1" t="str">
        <f>IF(Protokoll_1p!I110="","",IF(VALUE(LEFT(Protokoll_1p!I110,FIND(":",Protokoll_1p!I110)-1))&gt;VALUE(RIGHT(Protokoll_1p!I110,LEN(Protokoll_1p!I110)-FIND(":",Protokoll_1p!I110))),1,0))</f>
        <v/>
      </c>
      <c r="F104" s="1" t="str">
        <f>IF(Protokoll_1p!J110="","",IF(VALUE(LEFT(Protokoll_1p!J110,FIND(":",Protokoll_1p!J110)-1))&gt;VALUE(RIGHT(Protokoll_1p!J110,LEN(Protokoll_1p!J110)-FIND(":",Protokoll_1p!J110))),1,0))</f>
        <v/>
      </c>
      <c r="G104" s="1">
        <f t="shared" si="2"/>
        <v>3</v>
      </c>
      <c r="I104" s="1">
        <f>IF(Protokoll_1p!F110="","",IF(VALUE(LEFT(Protokoll_1p!F110,FIND(":",Protokoll_1p!F110)-1))&gt;VALUE(RIGHT(Protokoll_1p!F110,LEN(Protokoll_1p!F110)-FIND(":",Protokoll_1p!F110))),0,1))</f>
        <v>0</v>
      </c>
      <c r="J104" s="1">
        <f>IF(Protokoll_1p!G110="","",IF(VALUE(LEFT(Protokoll_1p!G110,FIND(":",Protokoll_1p!G110)-1))&gt;VALUE(RIGHT(Protokoll_1p!G110,LEN(Protokoll_1p!G110)-FIND(":",Protokoll_1p!G110))),0,1))</f>
        <v>0</v>
      </c>
      <c r="K104" s="1">
        <f>IF(Protokoll_1p!H110="","",IF(VALUE(LEFT(Protokoll_1p!H110,FIND(":",Protokoll_1p!H110)-1))&gt;VALUE(RIGHT(Protokoll_1p!H110,LEN(Protokoll_1p!H110)-FIND(":",Protokoll_1p!H110))),0,1))</f>
        <v>0</v>
      </c>
      <c r="L104" s="1" t="str">
        <f>IF(Protokoll_1p!I110="","",IF(VALUE(LEFT(Protokoll_1p!I110,FIND(":",Protokoll_1p!I110)-1))&gt;VALUE(RIGHT(Protokoll_1p!I110,LEN(Protokoll_1p!I110)-FIND(":",Protokoll_1p!I110))),0,1))</f>
        <v/>
      </c>
      <c r="M104" s="1" t="str">
        <f>IF(Protokoll_1p!J110="","",IF(VALUE(LEFT(Protokoll_1p!J110,FIND(":",Protokoll_1p!J110)-1))&gt;VALUE(RIGHT(Protokoll_1p!J110,LEN(Protokoll_1p!J110)-FIND(":",Protokoll_1p!J110))),0,1))</f>
        <v/>
      </c>
      <c r="N104" s="1">
        <f t="shared" si="3"/>
        <v>0</v>
      </c>
    </row>
    <row r="105" spans="2:14">
      <c r="B105" s="1">
        <f>IF(Protokoll_1p!F111="","",IF(VALUE(LEFT(Protokoll_1p!F111,FIND(":",Protokoll_1p!F111)-1))&gt;VALUE(RIGHT(Protokoll_1p!F111,LEN(Protokoll_1p!F111)-FIND(":",Protokoll_1p!F111))),1,0))</f>
        <v>1</v>
      </c>
      <c r="C105" s="1">
        <f>IF(Protokoll_1p!G111="","",IF(VALUE(LEFT(Protokoll_1p!G111,FIND(":",Protokoll_1p!G111)-1))&gt;VALUE(RIGHT(Protokoll_1p!G111,LEN(Protokoll_1p!G111)-FIND(":",Protokoll_1p!G111))),1,0))</f>
        <v>1</v>
      </c>
      <c r="D105" s="1">
        <f>IF(Protokoll_1p!H111="","",IF(VALUE(LEFT(Protokoll_1p!H111,FIND(":",Protokoll_1p!H111)-1))&gt;VALUE(RIGHT(Protokoll_1p!H111,LEN(Protokoll_1p!H111)-FIND(":",Protokoll_1p!H111))),1,0))</f>
        <v>1</v>
      </c>
      <c r="E105" s="1" t="str">
        <f>IF(Protokoll_1p!I111="","",IF(VALUE(LEFT(Protokoll_1p!I111,FIND(":",Protokoll_1p!I111)-1))&gt;VALUE(RIGHT(Protokoll_1p!I111,LEN(Protokoll_1p!I111)-FIND(":",Protokoll_1p!I111))),1,0))</f>
        <v/>
      </c>
      <c r="F105" s="1" t="str">
        <f>IF(Protokoll_1p!J111="","",IF(VALUE(LEFT(Protokoll_1p!J111,FIND(":",Protokoll_1p!J111)-1))&gt;VALUE(RIGHT(Protokoll_1p!J111,LEN(Protokoll_1p!J111)-FIND(":",Protokoll_1p!J111))),1,0))</f>
        <v/>
      </c>
      <c r="G105" s="1">
        <f t="shared" si="2"/>
        <v>3</v>
      </c>
      <c r="I105" s="1">
        <f>IF(Protokoll_1p!F111="","",IF(VALUE(LEFT(Protokoll_1p!F111,FIND(":",Protokoll_1p!F111)-1))&gt;VALUE(RIGHT(Protokoll_1p!F111,LEN(Protokoll_1p!F111)-FIND(":",Protokoll_1p!F111))),0,1))</f>
        <v>0</v>
      </c>
      <c r="J105" s="1">
        <f>IF(Protokoll_1p!G111="","",IF(VALUE(LEFT(Protokoll_1p!G111,FIND(":",Protokoll_1p!G111)-1))&gt;VALUE(RIGHT(Protokoll_1p!G111,LEN(Protokoll_1p!G111)-FIND(":",Protokoll_1p!G111))),0,1))</f>
        <v>0</v>
      </c>
      <c r="K105" s="1">
        <f>IF(Protokoll_1p!H111="","",IF(VALUE(LEFT(Protokoll_1p!H111,FIND(":",Protokoll_1p!H111)-1))&gt;VALUE(RIGHT(Protokoll_1p!H111,LEN(Protokoll_1p!H111)-FIND(":",Protokoll_1p!H111))),0,1))</f>
        <v>0</v>
      </c>
      <c r="L105" s="1" t="str">
        <f>IF(Protokoll_1p!I111="","",IF(VALUE(LEFT(Protokoll_1p!I111,FIND(":",Protokoll_1p!I111)-1))&gt;VALUE(RIGHT(Protokoll_1p!I111,LEN(Protokoll_1p!I111)-FIND(":",Protokoll_1p!I111))),0,1))</f>
        <v/>
      </c>
      <c r="M105" s="1" t="str">
        <f>IF(Protokoll_1p!J111="","",IF(VALUE(LEFT(Protokoll_1p!J111,FIND(":",Protokoll_1p!J111)-1))&gt;VALUE(RIGHT(Protokoll_1p!J111,LEN(Protokoll_1p!J111)-FIND(":",Protokoll_1p!J111))),0,1))</f>
        <v/>
      </c>
      <c r="N105" s="1">
        <f t="shared" si="3"/>
        <v>0</v>
      </c>
    </row>
    <row r="106" spans="2:14">
      <c r="B106" s="1" t="str">
        <f>IF(Protokoll_1p!F112="","",IF(VALUE(LEFT(Protokoll_1p!F112,FIND(":",Protokoll_1p!F112)-1))&gt;VALUE(RIGHT(Protokoll_1p!F112,LEN(Protokoll_1p!F112)-FIND(":",Protokoll_1p!F112))),1,0))</f>
        <v/>
      </c>
      <c r="C106" s="1" t="str">
        <f>IF(Protokoll_1p!G112="","",IF(VALUE(LEFT(Protokoll_1p!G112,FIND(":",Protokoll_1p!G112)-1))&gt;VALUE(RIGHT(Protokoll_1p!G112,LEN(Protokoll_1p!G112)-FIND(":",Protokoll_1p!G112))),1,0))</f>
        <v/>
      </c>
      <c r="D106" s="1" t="str">
        <f>IF(Protokoll_1p!H112="","",IF(VALUE(LEFT(Protokoll_1p!H112,FIND(":",Protokoll_1p!H112)-1))&gt;VALUE(RIGHT(Protokoll_1p!H112,LEN(Protokoll_1p!H112)-FIND(":",Protokoll_1p!H112))),1,0))</f>
        <v/>
      </c>
      <c r="E106" s="1" t="str">
        <f>IF(Protokoll_1p!I112="","",IF(VALUE(LEFT(Protokoll_1p!I112,FIND(":",Protokoll_1p!I112)-1))&gt;VALUE(RIGHT(Protokoll_1p!I112,LEN(Protokoll_1p!I112)-FIND(":",Protokoll_1p!I112))),1,0))</f>
        <v/>
      </c>
      <c r="F106" s="1" t="str">
        <f>IF(Protokoll_1p!J112="","",IF(VALUE(LEFT(Protokoll_1p!J112,FIND(":",Protokoll_1p!J112)-1))&gt;VALUE(RIGHT(Protokoll_1p!J112,LEN(Protokoll_1p!J112)-FIND(":",Protokoll_1p!J112))),1,0))</f>
        <v/>
      </c>
      <c r="G106" s="1" t="str">
        <f t="shared" si="2"/>
        <v/>
      </c>
      <c r="I106" s="1" t="str">
        <f>IF(Protokoll_1p!F112="","",IF(VALUE(LEFT(Protokoll_1p!F112,FIND(":",Protokoll_1p!F112)-1))&gt;VALUE(RIGHT(Protokoll_1p!F112,LEN(Protokoll_1p!F112)-FIND(":",Protokoll_1p!F112))),0,1))</f>
        <v/>
      </c>
      <c r="J106" s="1" t="str">
        <f>IF(Protokoll_1p!G112="","",IF(VALUE(LEFT(Protokoll_1p!G112,FIND(":",Protokoll_1p!G112)-1))&gt;VALUE(RIGHT(Protokoll_1p!G112,LEN(Protokoll_1p!G112)-FIND(":",Protokoll_1p!G112))),0,1))</f>
        <v/>
      </c>
      <c r="K106" s="1" t="str">
        <f>IF(Protokoll_1p!H112="","",IF(VALUE(LEFT(Protokoll_1p!H112,FIND(":",Protokoll_1p!H112)-1))&gt;VALUE(RIGHT(Protokoll_1p!H112,LEN(Protokoll_1p!H112)-FIND(":",Protokoll_1p!H112))),0,1))</f>
        <v/>
      </c>
      <c r="L106" s="1" t="str">
        <f>IF(Protokoll_1p!I112="","",IF(VALUE(LEFT(Protokoll_1p!I112,FIND(":",Protokoll_1p!I112)-1))&gt;VALUE(RIGHT(Protokoll_1p!I112,LEN(Protokoll_1p!I112)-FIND(":",Protokoll_1p!I112))),0,1))</f>
        <v/>
      </c>
      <c r="M106" s="1" t="str">
        <f>IF(Protokoll_1p!J112="","",IF(VALUE(LEFT(Protokoll_1p!J112,FIND(":",Protokoll_1p!J112)-1))&gt;VALUE(RIGHT(Protokoll_1p!J112,LEN(Protokoll_1p!J112)-FIND(":",Protokoll_1p!J112))),0,1))</f>
        <v/>
      </c>
      <c r="N106" s="1" t="str">
        <f t="shared" si="3"/>
        <v/>
      </c>
    </row>
    <row r="107" spans="2:14">
      <c r="B107" s="1" t="str">
        <f>IF(Protokoll_1p!F113="","",IF(VALUE(LEFT(Protokoll_1p!F113,FIND(":",Protokoll_1p!F113)-1))&gt;VALUE(RIGHT(Protokoll_1p!F113,LEN(Protokoll_1p!F113)-FIND(":",Protokoll_1p!F113))),1,0))</f>
        <v/>
      </c>
      <c r="C107" s="1" t="str">
        <f>IF(Protokoll_1p!G113="","",IF(VALUE(LEFT(Protokoll_1p!G113,FIND(":",Protokoll_1p!G113)-1))&gt;VALUE(RIGHT(Protokoll_1p!G113,LEN(Protokoll_1p!G113)-FIND(":",Protokoll_1p!G113))),1,0))</f>
        <v/>
      </c>
      <c r="D107" s="1" t="str">
        <f>IF(Protokoll_1p!H113="","",IF(VALUE(LEFT(Protokoll_1p!H113,FIND(":",Protokoll_1p!H113)-1))&gt;VALUE(RIGHT(Protokoll_1p!H113,LEN(Protokoll_1p!H113)-FIND(":",Protokoll_1p!H113))),1,0))</f>
        <v/>
      </c>
      <c r="E107" s="1" t="str">
        <f>IF(Protokoll_1p!I113="","",IF(VALUE(LEFT(Protokoll_1p!I113,FIND(":",Protokoll_1p!I113)-1))&gt;VALUE(RIGHT(Protokoll_1p!I113,LEN(Protokoll_1p!I113)-FIND(":",Protokoll_1p!I113))),1,0))</f>
        <v/>
      </c>
      <c r="F107" s="1" t="str">
        <f>IF(Protokoll_1p!J113="","",IF(VALUE(LEFT(Protokoll_1p!J113,FIND(":",Protokoll_1p!J113)-1))&gt;VALUE(RIGHT(Protokoll_1p!J113,LEN(Protokoll_1p!J113)-FIND(":",Protokoll_1p!J113))),1,0))</f>
        <v/>
      </c>
      <c r="G107" s="1" t="str">
        <f t="shared" si="2"/>
        <v/>
      </c>
      <c r="I107" s="1" t="str">
        <f>IF(Protokoll_1p!F113="","",IF(VALUE(LEFT(Protokoll_1p!F113,FIND(":",Protokoll_1p!F113)-1))&gt;VALUE(RIGHT(Protokoll_1p!F113,LEN(Protokoll_1p!F113)-FIND(":",Protokoll_1p!F113))),0,1))</f>
        <v/>
      </c>
      <c r="J107" s="1" t="str">
        <f>IF(Protokoll_1p!G113="","",IF(VALUE(LEFT(Protokoll_1p!G113,FIND(":",Protokoll_1p!G113)-1))&gt;VALUE(RIGHT(Protokoll_1p!G113,LEN(Protokoll_1p!G113)-FIND(":",Protokoll_1p!G113))),0,1))</f>
        <v/>
      </c>
      <c r="K107" s="1" t="str">
        <f>IF(Protokoll_1p!H113="","",IF(VALUE(LEFT(Protokoll_1p!H113,FIND(":",Protokoll_1p!H113)-1))&gt;VALUE(RIGHT(Protokoll_1p!H113,LEN(Protokoll_1p!H113)-FIND(":",Protokoll_1p!H113))),0,1))</f>
        <v/>
      </c>
      <c r="L107" s="1" t="str">
        <f>IF(Protokoll_1p!I113="","",IF(VALUE(LEFT(Protokoll_1p!I113,FIND(":",Protokoll_1p!I113)-1))&gt;VALUE(RIGHT(Protokoll_1p!I113,LEN(Protokoll_1p!I113)-FIND(":",Protokoll_1p!I113))),0,1))</f>
        <v/>
      </c>
      <c r="M107" s="1" t="str">
        <f>IF(Protokoll_1p!J113="","",IF(VALUE(LEFT(Protokoll_1p!J113,FIND(":",Protokoll_1p!J113)-1))&gt;VALUE(RIGHT(Protokoll_1p!J113,LEN(Protokoll_1p!J113)-FIND(":",Protokoll_1p!J113))),0,1))</f>
        <v/>
      </c>
      <c r="N107" s="1" t="str">
        <f t="shared" si="3"/>
        <v/>
      </c>
    </row>
    <row r="108" spans="2:14">
      <c r="B108" s="1" t="str">
        <f>IF(Protokoll_1p!F114="","",IF(VALUE(LEFT(Protokoll_1p!F114,FIND(":",Protokoll_1p!F114)-1))&gt;VALUE(RIGHT(Protokoll_1p!F114,LEN(Protokoll_1p!F114)-FIND(":",Protokoll_1p!F114))),1,0))</f>
        <v/>
      </c>
      <c r="C108" s="1" t="str">
        <f>IF(Protokoll_1p!G114="","",IF(VALUE(LEFT(Protokoll_1p!G114,FIND(":",Protokoll_1p!G114)-1))&gt;VALUE(RIGHT(Protokoll_1p!G114,LEN(Protokoll_1p!G114)-FIND(":",Protokoll_1p!G114))),1,0))</f>
        <v/>
      </c>
      <c r="D108" s="1" t="str">
        <f>IF(Protokoll_1p!H114="","",IF(VALUE(LEFT(Protokoll_1p!H114,FIND(":",Protokoll_1p!H114)-1))&gt;VALUE(RIGHT(Protokoll_1p!H114,LEN(Protokoll_1p!H114)-FIND(":",Protokoll_1p!H114))),1,0))</f>
        <v/>
      </c>
      <c r="E108" s="1" t="str">
        <f>IF(Protokoll_1p!I114="","",IF(VALUE(LEFT(Protokoll_1p!I114,FIND(":",Protokoll_1p!I114)-1))&gt;VALUE(RIGHT(Protokoll_1p!I114,LEN(Protokoll_1p!I114)-FIND(":",Protokoll_1p!I114))),1,0))</f>
        <v/>
      </c>
      <c r="F108" s="1" t="str">
        <f>IF(Protokoll_1p!J114="","",IF(VALUE(LEFT(Protokoll_1p!J114,FIND(":",Protokoll_1p!J114)-1))&gt;VALUE(RIGHT(Protokoll_1p!J114,LEN(Protokoll_1p!J114)-FIND(":",Protokoll_1p!J114))),1,0))</f>
        <v/>
      </c>
      <c r="G108" s="1" t="str">
        <f t="shared" si="2"/>
        <v/>
      </c>
      <c r="I108" s="1" t="str">
        <f>IF(Protokoll_1p!F114="","",IF(VALUE(LEFT(Protokoll_1p!F114,FIND(":",Protokoll_1p!F114)-1))&gt;VALUE(RIGHT(Protokoll_1p!F114,LEN(Protokoll_1p!F114)-FIND(":",Protokoll_1p!F114))),0,1))</f>
        <v/>
      </c>
      <c r="J108" s="1" t="str">
        <f>IF(Protokoll_1p!G114="","",IF(VALUE(LEFT(Protokoll_1p!G114,FIND(":",Protokoll_1p!G114)-1))&gt;VALUE(RIGHT(Protokoll_1p!G114,LEN(Protokoll_1p!G114)-FIND(":",Protokoll_1p!G114))),0,1))</f>
        <v/>
      </c>
      <c r="K108" s="1" t="str">
        <f>IF(Protokoll_1p!H114="","",IF(VALUE(LEFT(Protokoll_1p!H114,FIND(":",Protokoll_1p!H114)-1))&gt;VALUE(RIGHT(Protokoll_1p!H114,LEN(Protokoll_1p!H114)-FIND(":",Protokoll_1p!H114))),0,1))</f>
        <v/>
      </c>
      <c r="L108" s="1" t="str">
        <f>IF(Protokoll_1p!I114="","",IF(VALUE(LEFT(Protokoll_1p!I114,FIND(":",Protokoll_1p!I114)-1))&gt;VALUE(RIGHT(Protokoll_1p!I114,LEN(Protokoll_1p!I114)-FIND(":",Protokoll_1p!I114))),0,1))</f>
        <v/>
      </c>
      <c r="M108" s="1" t="str">
        <f>IF(Protokoll_1p!J114="","",IF(VALUE(LEFT(Protokoll_1p!J114,FIND(":",Protokoll_1p!J114)-1))&gt;VALUE(RIGHT(Protokoll_1p!J114,LEN(Protokoll_1p!J114)-FIND(":",Protokoll_1p!J114))),0,1))</f>
        <v/>
      </c>
      <c r="N108" s="1" t="str">
        <f t="shared" si="3"/>
        <v/>
      </c>
    </row>
    <row r="109" spans="2:14">
      <c r="B109" s="1" t="str">
        <f>IF(Protokoll_1p!F115="","",IF(VALUE(LEFT(Protokoll_1p!F115,FIND(":",Protokoll_1p!F115)-1))&gt;VALUE(RIGHT(Protokoll_1p!F115,LEN(Protokoll_1p!F115)-FIND(":",Protokoll_1p!F115))),1,0))</f>
        <v/>
      </c>
      <c r="C109" s="1" t="str">
        <f>IF(Protokoll_1p!G115="","",IF(VALUE(LEFT(Protokoll_1p!G115,FIND(":",Protokoll_1p!G115)-1))&gt;VALUE(RIGHT(Protokoll_1p!G115,LEN(Protokoll_1p!G115)-FIND(":",Protokoll_1p!G115))),1,0))</f>
        <v/>
      </c>
      <c r="D109" s="1" t="str">
        <f>IF(Protokoll_1p!H115="","",IF(VALUE(LEFT(Protokoll_1p!H115,FIND(":",Protokoll_1p!H115)-1))&gt;VALUE(RIGHT(Protokoll_1p!H115,LEN(Protokoll_1p!H115)-FIND(":",Protokoll_1p!H115))),1,0))</f>
        <v/>
      </c>
      <c r="E109" s="1" t="str">
        <f>IF(Protokoll_1p!I115="","",IF(VALUE(LEFT(Protokoll_1p!I115,FIND(":",Protokoll_1p!I115)-1))&gt;VALUE(RIGHT(Protokoll_1p!I115,LEN(Protokoll_1p!I115)-FIND(":",Protokoll_1p!I115))),1,0))</f>
        <v/>
      </c>
      <c r="F109" s="1" t="str">
        <f>IF(Protokoll_1p!J115="","",IF(VALUE(LEFT(Protokoll_1p!J115,FIND(":",Protokoll_1p!J115)-1))&gt;VALUE(RIGHT(Protokoll_1p!J115,LEN(Protokoll_1p!J115)-FIND(":",Protokoll_1p!J115))),1,0))</f>
        <v/>
      </c>
      <c r="G109" s="1" t="str">
        <f t="shared" si="2"/>
        <v/>
      </c>
      <c r="I109" s="1" t="str">
        <f>IF(Protokoll_1p!F115="","",IF(VALUE(LEFT(Protokoll_1p!F115,FIND(":",Protokoll_1p!F115)-1))&gt;VALUE(RIGHT(Protokoll_1p!F115,LEN(Protokoll_1p!F115)-FIND(":",Protokoll_1p!F115))),0,1))</f>
        <v/>
      </c>
      <c r="J109" s="1" t="str">
        <f>IF(Protokoll_1p!G115="","",IF(VALUE(LEFT(Protokoll_1p!G115,FIND(":",Protokoll_1p!G115)-1))&gt;VALUE(RIGHT(Protokoll_1p!G115,LEN(Protokoll_1p!G115)-FIND(":",Protokoll_1p!G115))),0,1))</f>
        <v/>
      </c>
      <c r="K109" s="1" t="str">
        <f>IF(Protokoll_1p!H115="","",IF(VALUE(LEFT(Protokoll_1p!H115,FIND(":",Protokoll_1p!H115)-1))&gt;VALUE(RIGHT(Protokoll_1p!H115,LEN(Protokoll_1p!H115)-FIND(":",Protokoll_1p!H115))),0,1))</f>
        <v/>
      </c>
      <c r="L109" s="1" t="str">
        <f>IF(Protokoll_1p!I115="","",IF(VALUE(LEFT(Protokoll_1p!I115,FIND(":",Protokoll_1p!I115)-1))&gt;VALUE(RIGHT(Protokoll_1p!I115,LEN(Protokoll_1p!I115)-FIND(":",Protokoll_1p!I115))),0,1))</f>
        <v/>
      </c>
      <c r="M109" s="1" t="str">
        <f>IF(Protokoll_1p!J115="","",IF(VALUE(LEFT(Protokoll_1p!J115,FIND(":",Protokoll_1p!J115)-1))&gt;VALUE(RIGHT(Protokoll_1p!J115,LEN(Protokoll_1p!J115)-FIND(":",Protokoll_1p!J115))),0,1))</f>
        <v/>
      </c>
      <c r="N109" s="1" t="str">
        <f t="shared" si="3"/>
        <v/>
      </c>
    </row>
    <row r="110" spans="2:14">
      <c r="B110" s="1" t="str">
        <f>IF(Protokoll_1p!F116="","",IF(VALUE(LEFT(Protokoll_1p!F116,FIND(":",Protokoll_1p!F116)-1))&gt;VALUE(RIGHT(Protokoll_1p!F116,LEN(Protokoll_1p!F116)-FIND(":",Protokoll_1p!F116))),1,0))</f>
        <v/>
      </c>
      <c r="C110" s="1" t="str">
        <f>IF(Protokoll_1p!G116="","",IF(VALUE(LEFT(Protokoll_1p!G116,FIND(":",Protokoll_1p!G116)-1))&gt;VALUE(RIGHT(Protokoll_1p!G116,LEN(Protokoll_1p!G116)-FIND(":",Protokoll_1p!G116))),1,0))</f>
        <v/>
      </c>
      <c r="D110" s="1" t="str">
        <f>IF(Protokoll_1p!H116="","",IF(VALUE(LEFT(Protokoll_1p!H116,FIND(":",Protokoll_1p!H116)-1))&gt;VALUE(RIGHT(Protokoll_1p!H116,LEN(Protokoll_1p!H116)-FIND(":",Protokoll_1p!H116))),1,0))</f>
        <v/>
      </c>
      <c r="E110" s="1" t="str">
        <f>IF(Protokoll_1p!I116="","",IF(VALUE(LEFT(Protokoll_1p!I116,FIND(":",Protokoll_1p!I116)-1))&gt;VALUE(RIGHT(Protokoll_1p!I116,LEN(Protokoll_1p!I116)-FIND(":",Protokoll_1p!I116))),1,0))</f>
        <v/>
      </c>
      <c r="F110" s="1" t="str">
        <f>IF(Protokoll_1p!J116="","",IF(VALUE(LEFT(Protokoll_1p!J116,FIND(":",Protokoll_1p!J116)-1))&gt;VALUE(RIGHT(Protokoll_1p!J116,LEN(Protokoll_1p!J116)-FIND(":",Protokoll_1p!J116))),1,0))</f>
        <v/>
      </c>
      <c r="G110" s="1" t="str">
        <f t="shared" si="2"/>
        <v/>
      </c>
      <c r="I110" s="1" t="str">
        <f>IF(Protokoll_1p!F116="","",IF(VALUE(LEFT(Protokoll_1p!F116,FIND(":",Protokoll_1p!F116)-1))&gt;VALUE(RIGHT(Protokoll_1p!F116,LEN(Protokoll_1p!F116)-FIND(":",Protokoll_1p!F116))),0,1))</f>
        <v/>
      </c>
      <c r="J110" s="1" t="str">
        <f>IF(Protokoll_1p!G116="","",IF(VALUE(LEFT(Protokoll_1p!G116,FIND(":",Protokoll_1p!G116)-1))&gt;VALUE(RIGHT(Protokoll_1p!G116,LEN(Protokoll_1p!G116)-FIND(":",Protokoll_1p!G116))),0,1))</f>
        <v/>
      </c>
      <c r="K110" s="1" t="str">
        <f>IF(Protokoll_1p!H116="","",IF(VALUE(LEFT(Protokoll_1p!H116,FIND(":",Protokoll_1p!H116)-1))&gt;VALUE(RIGHT(Protokoll_1p!H116,LEN(Protokoll_1p!H116)-FIND(":",Protokoll_1p!H116))),0,1))</f>
        <v/>
      </c>
      <c r="L110" s="1" t="str">
        <f>IF(Protokoll_1p!I116="","",IF(VALUE(LEFT(Protokoll_1p!I116,FIND(":",Protokoll_1p!I116)-1))&gt;VALUE(RIGHT(Protokoll_1p!I116,LEN(Protokoll_1p!I116)-FIND(":",Protokoll_1p!I116))),0,1))</f>
        <v/>
      </c>
      <c r="M110" s="1" t="str">
        <f>IF(Protokoll_1p!J116="","",IF(VALUE(LEFT(Protokoll_1p!J116,FIND(":",Protokoll_1p!J116)-1))&gt;VALUE(RIGHT(Protokoll_1p!J116,LEN(Protokoll_1p!J116)-FIND(":",Protokoll_1p!J116))),0,1))</f>
        <v/>
      </c>
      <c r="N110" s="1" t="str">
        <f t="shared" si="3"/>
        <v/>
      </c>
    </row>
    <row r="111" spans="2:14">
      <c r="B111" s="1" t="e">
        <f>IF(Protokoll_1p!F117="","",IF(VALUE(LEFT(Protokoll_1p!F117,FIND(":",Protokoll_1p!F117)-1))&gt;VALUE(RIGHT(Protokoll_1p!F117,LEN(Protokoll_1p!F117)-FIND(":",Protokoll_1p!F117))),1,0))</f>
        <v>#VALUE!</v>
      </c>
      <c r="C111" s="1" t="e">
        <f>IF(Protokoll_1p!G117="","",IF(VALUE(LEFT(Protokoll_1p!G117,FIND(":",Protokoll_1p!G117)-1))&gt;VALUE(RIGHT(Protokoll_1p!G117,LEN(Protokoll_1p!G117)-FIND(":",Protokoll_1p!G117))),1,0))</f>
        <v>#VALUE!</v>
      </c>
      <c r="D111" s="1" t="e">
        <f>IF(Protokoll_1p!H117="","",IF(VALUE(LEFT(Protokoll_1p!H117,FIND(":",Protokoll_1p!H117)-1))&gt;VALUE(RIGHT(Protokoll_1p!H117,LEN(Protokoll_1p!H117)-FIND(":",Protokoll_1p!H117))),1,0))</f>
        <v>#VALUE!</v>
      </c>
      <c r="E111" s="1" t="e">
        <f>IF(Protokoll_1p!I117="","",IF(VALUE(LEFT(Protokoll_1p!I117,FIND(":",Protokoll_1p!I117)-1))&gt;VALUE(RIGHT(Protokoll_1p!I117,LEN(Protokoll_1p!I117)-FIND(":",Protokoll_1p!I117))),1,0))</f>
        <v>#VALUE!</v>
      </c>
      <c r="F111" s="1" t="e">
        <f>IF(Protokoll_1p!J117="","",IF(VALUE(LEFT(Protokoll_1p!J117,FIND(":",Protokoll_1p!J117)-1))&gt;VALUE(RIGHT(Protokoll_1p!J117,LEN(Protokoll_1p!J117)-FIND(":",Protokoll_1p!J117))),1,0))</f>
        <v>#VALUE!</v>
      </c>
      <c r="G111" s="1" t="e">
        <f t="shared" si="2"/>
        <v>#VALUE!</v>
      </c>
      <c r="I111" s="1" t="e">
        <f>IF(Protokoll_1p!F117="","",IF(VALUE(LEFT(Protokoll_1p!F117,FIND(":",Protokoll_1p!F117)-1))&gt;VALUE(RIGHT(Protokoll_1p!F117,LEN(Protokoll_1p!F117)-FIND(":",Protokoll_1p!F117))),0,1))</f>
        <v>#VALUE!</v>
      </c>
      <c r="J111" s="1" t="e">
        <f>IF(Protokoll_1p!G117="","",IF(VALUE(LEFT(Protokoll_1p!G117,FIND(":",Protokoll_1p!G117)-1))&gt;VALUE(RIGHT(Protokoll_1p!G117,LEN(Protokoll_1p!G117)-FIND(":",Protokoll_1p!G117))),0,1))</f>
        <v>#VALUE!</v>
      </c>
      <c r="K111" s="1" t="e">
        <f>IF(Protokoll_1p!H117="","",IF(VALUE(LEFT(Protokoll_1p!H117,FIND(":",Protokoll_1p!H117)-1))&gt;VALUE(RIGHT(Protokoll_1p!H117,LEN(Protokoll_1p!H117)-FIND(":",Protokoll_1p!H117))),0,1))</f>
        <v>#VALUE!</v>
      </c>
      <c r="L111" s="1" t="e">
        <f>IF(Protokoll_1p!I117="","",IF(VALUE(LEFT(Protokoll_1p!I117,FIND(":",Protokoll_1p!I117)-1))&gt;VALUE(RIGHT(Protokoll_1p!I117,LEN(Protokoll_1p!I117)-FIND(":",Protokoll_1p!I117))),0,1))</f>
        <v>#VALUE!</v>
      </c>
      <c r="M111" s="1" t="e">
        <f>IF(Protokoll_1p!J117="","",IF(VALUE(LEFT(Protokoll_1p!J117,FIND(":",Protokoll_1p!J117)-1))&gt;VALUE(RIGHT(Protokoll_1p!J117,LEN(Protokoll_1p!J117)-FIND(":",Protokoll_1p!J117))),0,1))</f>
        <v>#VALUE!</v>
      </c>
      <c r="N111" s="1" t="e">
        <f t="shared" si="3"/>
        <v>#VALUE!</v>
      </c>
    </row>
    <row r="112" spans="2:14">
      <c r="B112" s="1">
        <f>IF(Protokoll_1p!F118="","",IF(VALUE(LEFT(Protokoll_1p!F118,FIND(":",Protokoll_1p!F118)-1))&gt;VALUE(RIGHT(Protokoll_1p!F118,LEN(Protokoll_1p!F118)-FIND(":",Protokoll_1p!F118))),1,0))</f>
        <v>1</v>
      </c>
      <c r="C112" s="1">
        <f>IF(Protokoll_1p!G118="","",IF(VALUE(LEFT(Protokoll_1p!G118,FIND(":",Protokoll_1p!G118)-1))&gt;VALUE(RIGHT(Protokoll_1p!G118,LEN(Protokoll_1p!G118)-FIND(":",Protokoll_1p!G118))),1,0))</f>
        <v>1</v>
      </c>
      <c r="D112" s="1">
        <f>IF(Protokoll_1p!H118="","",IF(VALUE(LEFT(Protokoll_1p!H118,FIND(":",Protokoll_1p!H118)-1))&gt;VALUE(RIGHT(Protokoll_1p!H118,LEN(Protokoll_1p!H118)-FIND(":",Protokoll_1p!H118))),1,0))</f>
        <v>1</v>
      </c>
      <c r="E112" s="1" t="str">
        <f>IF(Protokoll_1p!I118="","",IF(VALUE(LEFT(Protokoll_1p!I118,FIND(":",Protokoll_1p!I118)-1))&gt;VALUE(RIGHT(Protokoll_1p!I118,LEN(Protokoll_1p!I118)-FIND(":",Protokoll_1p!I118))),1,0))</f>
        <v/>
      </c>
      <c r="F112" s="1" t="str">
        <f>IF(Protokoll_1p!J118="","",IF(VALUE(LEFT(Protokoll_1p!J118,FIND(":",Protokoll_1p!J118)-1))&gt;VALUE(RIGHT(Protokoll_1p!J118,LEN(Protokoll_1p!J118)-FIND(":",Protokoll_1p!J118))),1,0))</f>
        <v/>
      </c>
      <c r="G112" s="1">
        <f t="shared" si="2"/>
        <v>3</v>
      </c>
      <c r="I112" s="1">
        <f>IF(Protokoll_1p!F118="","",IF(VALUE(LEFT(Protokoll_1p!F118,FIND(":",Protokoll_1p!F118)-1))&gt;VALUE(RIGHT(Protokoll_1p!F118,LEN(Protokoll_1p!F118)-FIND(":",Protokoll_1p!F118))),0,1))</f>
        <v>0</v>
      </c>
      <c r="J112" s="1">
        <f>IF(Protokoll_1p!G118="","",IF(VALUE(LEFT(Protokoll_1p!G118,FIND(":",Protokoll_1p!G118)-1))&gt;VALUE(RIGHT(Protokoll_1p!G118,LEN(Protokoll_1p!G118)-FIND(":",Protokoll_1p!G118))),0,1))</f>
        <v>0</v>
      </c>
      <c r="K112" s="1">
        <f>IF(Protokoll_1p!H118="","",IF(VALUE(LEFT(Protokoll_1p!H118,FIND(":",Protokoll_1p!H118)-1))&gt;VALUE(RIGHT(Protokoll_1p!H118,LEN(Protokoll_1p!H118)-FIND(":",Protokoll_1p!H118))),0,1))</f>
        <v>0</v>
      </c>
      <c r="L112" s="1" t="str">
        <f>IF(Protokoll_1p!I118="","",IF(VALUE(LEFT(Protokoll_1p!I118,FIND(":",Protokoll_1p!I118)-1))&gt;VALUE(RIGHT(Protokoll_1p!I118,LEN(Protokoll_1p!I118)-FIND(":",Protokoll_1p!I118))),0,1))</f>
        <v/>
      </c>
      <c r="M112" s="1" t="str">
        <f>IF(Protokoll_1p!J118="","",IF(VALUE(LEFT(Protokoll_1p!J118,FIND(":",Protokoll_1p!J118)-1))&gt;VALUE(RIGHT(Protokoll_1p!J118,LEN(Protokoll_1p!J118)-FIND(":",Protokoll_1p!J118))),0,1))</f>
        <v/>
      </c>
      <c r="N112" s="1">
        <f t="shared" si="3"/>
        <v>0</v>
      </c>
    </row>
    <row r="113" spans="2:14">
      <c r="B113" s="1">
        <f>IF(Protokoll_1p!F119="","",IF(VALUE(LEFT(Protokoll_1p!F119,FIND(":",Protokoll_1p!F119)-1))&gt;VALUE(RIGHT(Protokoll_1p!F119,LEN(Protokoll_1p!F119)-FIND(":",Protokoll_1p!F119))),1,0))</f>
        <v>1</v>
      </c>
      <c r="C113" s="1">
        <f>IF(Protokoll_1p!G119="","",IF(VALUE(LEFT(Protokoll_1p!G119,FIND(":",Protokoll_1p!G119)-1))&gt;VALUE(RIGHT(Protokoll_1p!G119,LEN(Protokoll_1p!G119)-FIND(":",Protokoll_1p!G119))),1,0))</f>
        <v>1</v>
      </c>
      <c r="D113" s="1">
        <f>IF(Protokoll_1p!H119="","",IF(VALUE(LEFT(Protokoll_1p!H119,FIND(":",Protokoll_1p!H119)-1))&gt;VALUE(RIGHT(Protokoll_1p!H119,LEN(Protokoll_1p!H119)-FIND(":",Protokoll_1p!H119))),1,0))</f>
        <v>0</v>
      </c>
      <c r="E113" s="1">
        <f>IF(Protokoll_1p!I119="","",IF(VALUE(LEFT(Protokoll_1p!I119,FIND(":",Protokoll_1p!I119)-1))&gt;VALUE(RIGHT(Protokoll_1p!I119,LEN(Protokoll_1p!I119)-FIND(":",Protokoll_1p!I119))),1,0))</f>
        <v>1</v>
      </c>
      <c r="F113" s="1" t="str">
        <f>IF(Protokoll_1p!J119="","",IF(VALUE(LEFT(Protokoll_1p!J119,FIND(":",Protokoll_1p!J119)-1))&gt;VALUE(RIGHT(Protokoll_1p!J119,LEN(Protokoll_1p!J119)-FIND(":",Protokoll_1p!J119))),1,0))</f>
        <v/>
      </c>
      <c r="G113" s="1">
        <f t="shared" si="2"/>
        <v>3</v>
      </c>
      <c r="I113" s="1">
        <f>IF(Protokoll_1p!F119="","",IF(VALUE(LEFT(Protokoll_1p!F119,FIND(":",Protokoll_1p!F119)-1))&gt;VALUE(RIGHT(Protokoll_1p!F119,LEN(Protokoll_1p!F119)-FIND(":",Protokoll_1p!F119))),0,1))</f>
        <v>0</v>
      </c>
      <c r="J113" s="1">
        <f>IF(Protokoll_1p!G119="","",IF(VALUE(LEFT(Protokoll_1p!G119,FIND(":",Protokoll_1p!G119)-1))&gt;VALUE(RIGHT(Protokoll_1p!G119,LEN(Protokoll_1p!G119)-FIND(":",Protokoll_1p!G119))),0,1))</f>
        <v>0</v>
      </c>
      <c r="K113" s="1">
        <f>IF(Protokoll_1p!H119="","",IF(VALUE(LEFT(Protokoll_1p!H119,FIND(":",Protokoll_1p!H119)-1))&gt;VALUE(RIGHT(Protokoll_1p!H119,LEN(Protokoll_1p!H119)-FIND(":",Protokoll_1p!H119))),0,1))</f>
        <v>1</v>
      </c>
      <c r="L113" s="1">
        <f>IF(Protokoll_1p!I119="","",IF(VALUE(LEFT(Protokoll_1p!I119,FIND(":",Protokoll_1p!I119)-1))&gt;VALUE(RIGHT(Protokoll_1p!I119,LEN(Protokoll_1p!I119)-FIND(":",Protokoll_1p!I119))),0,1))</f>
        <v>0</v>
      </c>
      <c r="M113" s="1" t="str">
        <f>IF(Protokoll_1p!J119="","",IF(VALUE(LEFT(Protokoll_1p!J119,FIND(":",Protokoll_1p!J119)-1))&gt;VALUE(RIGHT(Protokoll_1p!J119,LEN(Protokoll_1p!J119)-FIND(":",Protokoll_1p!J119))),0,1))</f>
        <v/>
      </c>
      <c r="N113" s="1">
        <f t="shared" si="3"/>
        <v>1</v>
      </c>
    </row>
    <row r="114" spans="2:14">
      <c r="B114" s="1">
        <f>IF(Protokoll_1p!F120="","",IF(VALUE(LEFT(Protokoll_1p!F120,FIND(":",Protokoll_1p!F120)-1))&gt;VALUE(RIGHT(Protokoll_1p!F120,LEN(Protokoll_1p!F120)-FIND(":",Protokoll_1p!F120))),1,0))</f>
        <v>1</v>
      </c>
      <c r="C114" s="1">
        <f>IF(Protokoll_1p!G120="","",IF(VALUE(LEFT(Protokoll_1p!G120,FIND(":",Protokoll_1p!G120)-1))&gt;VALUE(RIGHT(Protokoll_1p!G120,LEN(Protokoll_1p!G120)-FIND(":",Protokoll_1p!G120))),1,0))</f>
        <v>0</v>
      </c>
      <c r="D114" s="1">
        <f>IF(Protokoll_1p!H120="","",IF(VALUE(LEFT(Protokoll_1p!H120,FIND(":",Protokoll_1p!H120)-1))&gt;VALUE(RIGHT(Protokoll_1p!H120,LEN(Protokoll_1p!H120)-FIND(":",Protokoll_1p!H120))),1,0))</f>
        <v>1</v>
      </c>
      <c r="E114" s="1">
        <f>IF(Protokoll_1p!I120="","",IF(VALUE(LEFT(Protokoll_1p!I120,FIND(":",Protokoll_1p!I120)-1))&gt;VALUE(RIGHT(Protokoll_1p!I120,LEN(Protokoll_1p!I120)-FIND(":",Protokoll_1p!I120))),1,0))</f>
        <v>1</v>
      </c>
      <c r="F114" s="1" t="str">
        <f>IF(Protokoll_1p!J120="","",IF(VALUE(LEFT(Protokoll_1p!J120,FIND(":",Protokoll_1p!J120)-1))&gt;VALUE(RIGHT(Protokoll_1p!J120,LEN(Protokoll_1p!J120)-FIND(":",Protokoll_1p!J120))),1,0))</f>
        <v/>
      </c>
      <c r="G114" s="1">
        <f t="shared" si="2"/>
        <v>3</v>
      </c>
      <c r="I114" s="1">
        <f>IF(Protokoll_1p!F120="","",IF(VALUE(LEFT(Protokoll_1p!F120,FIND(":",Protokoll_1p!F120)-1))&gt;VALUE(RIGHT(Protokoll_1p!F120,LEN(Protokoll_1p!F120)-FIND(":",Protokoll_1p!F120))),0,1))</f>
        <v>0</v>
      </c>
      <c r="J114" s="1">
        <f>IF(Protokoll_1p!G120="","",IF(VALUE(LEFT(Protokoll_1p!G120,FIND(":",Protokoll_1p!G120)-1))&gt;VALUE(RIGHT(Protokoll_1p!G120,LEN(Protokoll_1p!G120)-FIND(":",Protokoll_1p!G120))),0,1))</f>
        <v>1</v>
      </c>
      <c r="K114" s="1">
        <f>IF(Protokoll_1p!H120="","",IF(VALUE(LEFT(Protokoll_1p!H120,FIND(":",Protokoll_1p!H120)-1))&gt;VALUE(RIGHT(Protokoll_1p!H120,LEN(Protokoll_1p!H120)-FIND(":",Protokoll_1p!H120))),0,1))</f>
        <v>0</v>
      </c>
      <c r="L114" s="1">
        <f>IF(Protokoll_1p!I120="","",IF(VALUE(LEFT(Protokoll_1p!I120,FIND(":",Protokoll_1p!I120)-1))&gt;VALUE(RIGHT(Protokoll_1p!I120,LEN(Protokoll_1p!I120)-FIND(":",Protokoll_1p!I120))),0,1))</f>
        <v>0</v>
      </c>
      <c r="M114" s="1" t="str">
        <f>IF(Protokoll_1p!J120="","",IF(VALUE(LEFT(Protokoll_1p!J120,FIND(":",Protokoll_1p!J120)-1))&gt;VALUE(RIGHT(Protokoll_1p!J120,LEN(Protokoll_1p!J120)-FIND(":",Protokoll_1p!J120))),0,1))</f>
        <v/>
      </c>
      <c r="N114" s="1">
        <f t="shared" si="3"/>
        <v>1</v>
      </c>
    </row>
    <row r="115" spans="2:14">
      <c r="B115" s="1">
        <f>IF(Protokoll_1p!F121="","",IF(VALUE(LEFT(Protokoll_1p!F121,FIND(":",Protokoll_1p!F121)-1))&gt;VALUE(RIGHT(Protokoll_1p!F121,LEN(Protokoll_1p!F121)-FIND(":",Protokoll_1p!F121))),1,0))</f>
        <v>1</v>
      </c>
      <c r="C115" s="1">
        <f>IF(Protokoll_1p!G121="","",IF(VALUE(LEFT(Protokoll_1p!G121,FIND(":",Protokoll_1p!G121)-1))&gt;VALUE(RIGHT(Protokoll_1p!G121,LEN(Protokoll_1p!G121)-FIND(":",Protokoll_1p!G121))),1,0))</f>
        <v>1</v>
      </c>
      <c r="D115" s="1">
        <f>IF(Protokoll_1p!H121="","",IF(VALUE(LEFT(Protokoll_1p!H121,FIND(":",Protokoll_1p!H121)-1))&gt;VALUE(RIGHT(Protokoll_1p!H121,LEN(Protokoll_1p!H121)-FIND(":",Protokoll_1p!H121))),1,0))</f>
        <v>1</v>
      </c>
      <c r="E115" s="1" t="str">
        <f>IF(Protokoll_1p!I121="","",IF(VALUE(LEFT(Protokoll_1p!I121,FIND(":",Protokoll_1p!I121)-1))&gt;VALUE(RIGHT(Protokoll_1p!I121,LEN(Protokoll_1p!I121)-FIND(":",Protokoll_1p!I121))),1,0))</f>
        <v/>
      </c>
      <c r="F115" s="1" t="str">
        <f>IF(Protokoll_1p!J121="","",IF(VALUE(LEFT(Protokoll_1p!J121,FIND(":",Protokoll_1p!J121)-1))&gt;VALUE(RIGHT(Protokoll_1p!J121,LEN(Protokoll_1p!J121)-FIND(":",Protokoll_1p!J121))),1,0))</f>
        <v/>
      </c>
      <c r="G115" s="1">
        <f t="shared" si="2"/>
        <v>3</v>
      </c>
      <c r="I115" s="1">
        <f>IF(Protokoll_1p!F121="","",IF(VALUE(LEFT(Protokoll_1p!F121,FIND(":",Protokoll_1p!F121)-1))&gt;VALUE(RIGHT(Protokoll_1p!F121,LEN(Protokoll_1p!F121)-FIND(":",Protokoll_1p!F121))),0,1))</f>
        <v>0</v>
      </c>
      <c r="J115" s="1">
        <f>IF(Protokoll_1p!G121="","",IF(VALUE(LEFT(Protokoll_1p!G121,FIND(":",Protokoll_1p!G121)-1))&gt;VALUE(RIGHT(Protokoll_1p!G121,LEN(Protokoll_1p!G121)-FIND(":",Protokoll_1p!G121))),0,1))</f>
        <v>0</v>
      </c>
      <c r="K115" s="1">
        <f>IF(Protokoll_1p!H121="","",IF(VALUE(LEFT(Protokoll_1p!H121,FIND(":",Protokoll_1p!H121)-1))&gt;VALUE(RIGHT(Protokoll_1p!H121,LEN(Protokoll_1p!H121)-FIND(":",Protokoll_1p!H121))),0,1))</f>
        <v>0</v>
      </c>
      <c r="L115" s="1" t="str">
        <f>IF(Protokoll_1p!I121="","",IF(VALUE(LEFT(Protokoll_1p!I121,FIND(":",Protokoll_1p!I121)-1))&gt;VALUE(RIGHT(Protokoll_1p!I121,LEN(Protokoll_1p!I121)-FIND(":",Protokoll_1p!I121))),0,1))</f>
        <v/>
      </c>
      <c r="M115" s="1" t="str">
        <f>IF(Protokoll_1p!J121="","",IF(VALUE(LEFT(Protokoll_1p!J121,FIND(":",Protokoll_1p!J121)-1))&gt;VALUE(RIGHT(Protokoll_1p!J121,LEN(Protokoll_1p!J121)-FIND(":",Protokoll_1p!J121))),0,1))</f>
        <v/>
      </c>
      <c r="N115" s="1">
        <f t="shared" si="3"/>
        <v>0</v>
      </c>
    </row>
    <row r="116" spans="2:14">
      <c r="B116" s="1" t="str">
        <f>IF(Protokoll_1p!F122="","",IF(VALUE(LEFT(Protokoll_1p!F122,FIND(":",Protokoll_1p!F122)-1))&gt;VALUE(RIGHT(Protokoll_1p!F122,LEN(Protokoll_1p!F122)-FIND(":",Protokoll_1p!F122))),1,0))</f>
        <v/>
      </c>
      <c r="C116" s="1" t="str">
        <f>IF(Protokoll_1p!G122="","",IF(VALUE(LEFT(Protokoll_1p!G122,FIND(":",Protokoll_1p!G122)-1))&gt;VALUE(RIGHT(Protokoll_1p!G122,LEN(Protokoll_1p!G122)-FIND(":",Protokoll_1p!G122))),1,0))</f>
        <v/>
      </c>
      <c r="D116" s="1" t="str">
        <f>IF(Protokoll_1p!H122="","",IF(VALUE(LEFT(Protokoll_1p!H122,FIND(":",Protokoll_1p!H122)-1))&gt;VALUE(RIGHT(Protokoll_1p!H122,LEN(Protokoll_1p!H122)-FIND(":",Protokoll_1p!H122))),1,0))</f>
        <v/>
      </c>
      <c r="E116" s="1" t="str">
        <f>IF(Protokoll_1p!I122="","",IF(VALUE(LEFT(Protokoll_1p!I122,FIND(":",Protokoll_1p!I122)-1))&gt;VALUE(RIGHT(Protokoll_1p!I122,LEN(Protokoll_1p!I122)-FIND(":",Protokoll_1p!I122))),1,0))</f>
        <v/>
      </c>
      <c r="F116" s="1" t="str">
        <f>IF(Protokoll_1p!J122="","",IF(VALUE(LEFT(Protokoll_1p!J122,FIND(":",Protokoll_1p!J122)-1))&gt;VALUE(RIGHT(Protokoll_1p!J122,LEN(Protokoll_1p!J122)-FIND(":",Protokoll_1p!J122))),1,0))</f>
        <v/>
      </c>
      <c r="G116" s="1" t="str">
        <f t="shared" si="2"/>
        <v/>
      </c>
      <c r="I116" s="1" t="str">
        <f>IF(Protokoll_1p!F122="","",IF(VALUE(LEFT(Protokoll_1p!F122,FIND(":",Protokoll_1p!F122)-1))&gt;VALUE(RIGHT(Protokoll_1p!F122,LEN(Protokoll_1p!F122)-FIND(":",Protokoll_1p!F122))),0,1))</f>
        <v/>
      </c>
      <c r="J116" s="1" t="str">
        <f>IF(Protokoll_1p!G122="","",IF(VALUE(LEFT(Protokoll_1p!G122,FIND(":",Protokoll_1p!G122)-1))&gt;VALUE(RIGHT(Protokoll_1p!G122,LEN(Protokoll_1p!G122)-FIND(":",Protokoll_1p!G122))),0,1))</f>
        <v/>
      </c>
      <c r="K116" s="1" t="str">
        <f>IF(Protokoll_1p!H122="","",IF(VALUE(LEFT(Protokoll_1p!H122,FIND(":",Protokoll_1p!H122)-1))&gt;VALUE(RIGHT(Protokoll_1p!H122,LEN(Protokoll_1p!H122)-FIND(":",Protokoll_1p!H122))),0,1))</f>
        <v/>
      </c>
      <c r="L116" s="1" t="str">
        <f>IF(Protokoll_1p!I122="","",IF(VALUE(LEFT(Protokoll_1p!I122,FIND(":",Protokoll_1p!I122)-1))&gt;VALUE(RIGHT(Protokoll_1p!I122,LEN(Protokoll_1p!I122)-FIND(":",Protokoll_1p!I122))),0,1))</f>
        <v/>
      </c>
      <c r="M116" s="1" t="str">
        <f>IF(Protokoll_1p!J122="","",IF(VALUE(LEFT(Protokoll_1p!J122,FIND(":",Protokoll_1p!J122)-1))&gt;VALUE(RIGHT(Protokoll_1p!J122,LEN(Protokoll_1p!J122)-FIND(":",Protokoll_1p!J122))),0,1))</f>
        <v/>
      </c>
      <c r="N116" s="1" t="str">
        <f t="shared" si="3"/>
        <v/>
      </c>
    </row>
    <row r="117" spans="2:14">
      <c r="B117" s="1" t="str">
        <f>IF(Protokoll_1p!F123="","",IF(VALUE(LEFT(Protokoll_1p!F123,FIND(":",Protokoll_1p!F123)-1))&gt;VALUE(RIGHT(Protokoll_1p!F123,LEN(Protokoll_1p!F123)-FIND(":",Protokoll_1p!F123))),1,0))</f>
        <v/>
      </c>
      <c r="C117" s="1" t="str">
        <f>IF(Protokoll_1p!G123="","",IF(VALUE(LEFT(Protokoll_1p!G123,FIND(":",Protokoll_1p!G123)-1))&gt;VALUE(RIGHT(Protokoll_1p!G123,LEN(Protokoll_1p!G123)-FIND(":",Protokoll_1p!G123))),1,0))</f>
        <v/>
      </c>
      <c r="D117" s="1" t="str">
        <f>IF(Protokoll_1p!H123="","",IF(VALUE(LEFT(Protokoll_1p!H123,FIND(":",Protokoll_1p!H123)-1))&gt;VALUE(RIGHT(Protokoll_1p!H123,LEN(Protokoll_1p!H123)-FIND(":",Protokoll_1p!H123))),1,0))</f>
        <v/>
      </c>
      <c r="E117" s="1" t="str">
        <f>IF(Protokoll_1p!I123="","",IF(VALUE(LEFT(Protokoll_1p!I123,FIND(":",Protokoll_1p!I123)-1))&gt;VALUE(RIGHT(Protokoll_1p!I123,LEN(Protokoll_1p!I123)-FIND(":",Protokoll_1p!I123))),1,0))</f>
        <v/>
      </c>
      <c r="F117" s="1" t="str">
        <f>IF(Protokoll_1p!J123="","",IF(VALUE(LEFT(Protokoll_1p!J123,FIND(":",Protokoll_1p!J123)-1))&gt;VALUE(RIGHT(Protokoll_1p!J123,LEN(Protokoll_1p!J123)-FIND(":",Protokoll_1p!J123))),1,0))</f>
        <v/>
      </c>
      <c r="G117" s="1" t="str">
        <f t="shared" si="2"/>
        <v/>
      </c>
      <c r="I117" s="1" t="str">
        <f>IF(Protokoll_1p!F123="","",IF(VALUE(LEFT(Protokoll_1p!F123,FIND(":",Protokoll_1p!F123)-1))&gt;VALUE(RIGHT(Protokoll_1p!F123,LEN(Protokoll_1p!F123)-FIND(":",Protokoll_1p!F123))),0,1))</f>
        <v/>
      </c>
      <c r="J117" s="1" t="str">
        <f>IF(Protokoll_1p!G123="","",IF(VALUE(LEFT(Protokoll_1p!G123,FIND(":",Protokoll_1p!G123)-1))&gt;VALUE(RIGHT(Protokoll_1p!G123,LEN(Protokoll_1p!G123)-FIND(":",Protokoll_1p!G123))),0,1))</f>
        <v/>
      </c>
      <c r="K117" s="1" t="str">
        <f>IF(Protokoll_1p!H123="","",IF(VALUE(LEFT(Protokoll_1p!H123,FIND(":",Protokoll_1p!H123)-1))&gt;VALUE(RIGHT(Protokoll_1p!H123,LEN(Protokoll_1p!H123)-FIND(":",Protokoll_1p!H123))),0,1))</f>
        <v/>
      </c>
      <c r="L117" s="1" t="str">
        <f>IF(Protokoll_1p!I123="","",IF(VALUE(LEFT(Protokoll_1p!I123,FIND(":",Protokoll_1p!I123)-1))&gt;VALUE(RIGHT(Protokoll_1p!I123,LEN(Protokoll_1p!I123)-FIND(":",Protokoll_1p!I123))),0,1))</f>
        <v/>
      </c>
      <c r="M117" s="1" t="str">
        <f>IF(Protokoll_1p!J123="","",IF(VALUE(LEFT(Protokoll_1p!J123,FIND(":",Protokoll_1p!J123)-1))&gt;VALUE(RIGHT(Protokoll_1p!J123,LEN(Protokoll_1p!J123)-FIND(":",Protokoll_1p!J123))),0,1))</f>
        <v/>
      </c>
      <c r="N117" s="1" t="str">
        <f t="shared" si="3"/>
        <v/>
      </c>
    </row>
    <row r="118" spans="2:14">
      <c r="B118" s="1" t="str">
        <f>IF(Protokoll_1p!F124="","",IF(VALUE(LEFT(Protokoll_1p!F124,FIND(":",Protokoll_1p!F124)-1))&gt;VALUE(RIGHT(Protokoll_1p!F124,LEN(Protokoll_1p!F124)-FIND(":",Protokoll_1p!F124))),1,0))</f>
        <v/>
      </c>
      <c r="C118" s="1" t="str">
        <f>IF(Protokoll_1p!G124="","",IF(VALUE(LEFT(Protokoll_1p!G124,FIND(":",Protokoll_1p!G124)-1))&gt;VALUE(RIGHT(Protokoll_1p!G124,LEN(Protokoll_1p!G124)-FIND(":",Protokoll_1p!G124))),1,0))</f>
        <v/>
      </c>
      <c r="D118" s="1" t="str">
        <f>IF(Protokoll_1p!H124="","",IF(VALUE(LEFT(Protokoll_1p!H124,FIND(":",Protokoll_1p!H124)-1))&gt;VALUE(RIGHT(Protokoll_1p!H124,LEN(Protokoll_1p!H124)-FIND(":",Protokoll_1p!H124))),1,0))</f>
        <v/>
      </c>
      <c r="E118" s="1" t="str">
        <f>IF(Protokoll_1p!I124="","",IF(VALUE(LEFT(Protokoll_1p!I124,FIND(":",Protokoll_1p!I124)-1))&gt;VALUE(RIGHT(Protokoll_1p!I124,LEN(Protokoll_1p!I124)-FIND(":",Protokoll_1p!I124))),1,0))</f>
        <v/>
      </c>
      <c r="F118" s="1" t="str">
        <f>IF(Protokoll_1p!J124="","",IF(VALUE(LEFT(Protokoll_1p!J124,FIND(":",Protokoll_1p!J124)-1))&gt;VALUE(RIGHT(Protokoll_1p!J124,LEN(Protokoll_1p!J124)-FIND(":",Protokoll_1p!J124))),1,0))</f>
        <v/>
      </c>
      <c r="G118" s="1" t="str">
        <f t="shared" si="2"/>
        <v/>
      </c>
      <c r="I118" s="1" t="str">
        <f>IF(Protokoll_1p!F124="","",IF(VALUE(LEFT(Protokoll_1p!F124,FIND(":",Protokoll_1p!F124)-1))&gt;VALUE(RIGHT(Protokoll_1p!F124,LEN(Protokoll_1p!F124)-FIND(":",Protokoll_1p!F124))),0,1))</f>
        <v/>
      </c>
      <c r="J118" s="1" t="str">
        <f>IF(Protokoll_1p!G124="","",IF(VALUE(LEFT(Protokoll_1p!G124,FIND(":",Protokoll_1p!G124)-1))&gt;VALUE(RIGHT(Protokoll_1p!G124,LEN(Protokoll_1p!G124)-FIND(":",Protokoll_1p!G124))),0,1))</f>
        <v/>
      </c>
      <c r="K118" s="1" t="str">
        <f>IF(Protokoll_1p!H124="","",IF(VALUE(LEFT(Protokoll_1p!H124,FIND(":",Protokoll_1p!H124)-1))&gt;VALUE(RIGHT(Protokoll_1p!H124,LEN(Protokoll_1p!H124)-FIND(":",Protokoll_1p!H124))),0,1))</f>
        <v/>
      </c>
      <c r="L118" s="1" t="str">
        <f>IF(Protokoll_1p!I124="","",IF(VALUE(LEFT(Protokoll_1p!I124,FIND(":",Protokoll_1p!I124)-1))&gt;VALUE(RIGHT(Protokoll_1p!I124,LEN(Protokoll_1p!I124)-FIND(":",Protokoll_1p!I124))),0,1))</f>
        <v/>
      </c>
      <c r="M118" s="1" t="str">
        <f>IF(Protokoll_1p!J124="","",IF(VALUE(LEFT(Protokoll_1p!J124,FIND(":",Protokoll_1p!J124)-1))&gt;VALUE(RIGHT(Protokoll_1p!J124,LEN(Protokoll_1p!J124)-FIND(":",Protokoll_1p!J124))),0,1))</f>
        <v/>
      </c>
      <c r="N118" s="1" t="str">
        <f t="shared" si="3"/>
        <v/>
      </c>
    </row>
    <row r="119" spans="2:14">
      <c r="B119" s="1" t="str">
        <f>IF(Protokoll_1p!F125="","",IF(VALUE(LEFT(Protokoll_1p!F125,FIND(":",Protokoll_1p!F125)-1))&gt;VALUE(RIGHT(Protokoll_1p!F125,LEN(Protokoll_1p!F125)-FIND(":",Protokoll_1p!F125))),1,0))</f>
        <v/>
      </c>
      <c r="C119" s="1" t="str">
        <f>IF(Protokoll_1p!G125="","",IF(VALUE(LEFT(Protokoll_1p!G125,FIND(":",Protokoll_1p!G125)-1))&gt;VALUE(RIGHT(Protokoll_1p!G125,LEN(Protokoll_1p!G125)-FIND(":",Protokoll_1p!G125))),1,0))</f>
        <v/>
      </c>
      <c r="D119" s="1" t="str">
        <f>IF(Protokoll_1p!H125="","",IF(VALUE(LEFT(Protokoll_1p!H125,FIND(":",Protokoll_1p!H125)-1))&gt;VALUE(RIGHT(Protokoll_1p!H125,LEN(Protokoll_1p!H125)-FIND(":",Protokoll_1p!H125))),1,0))</f>
        <v/>
      </c>
      <c r="E119" s="1" t="str">
        <f>IF(Protokoll_1p!I125="","",IF(VALUE(LEFT(Protokoll_1p!I125,FIND(":",Protokoll_1p!I125)-1))&gt;VALUE(RIGHT(Protokoll_1p!I125,LEN(Protokoll_1p!I125)-FIND(":",Protokoll_1p!I125))),1,0))</f>
        <v/>
      </c>
      <c r="F119" s="1" t="str">
        <f>IF(Protokoll_1p!J125="","",IF(VALUE(LEFT(Protokoll_1p!J125,FIND(":",Protokoll_1p!J125)-1))&gt;VALUE(RIGHT(Protokoll_1p!J125,LEN(Protokoll_1p!J125)-FIND(":",Protokoll_1p!J125))),1,0))</f>
        <v/>
      </c>
      <c r="G119" s="1" t="str">
        <f t="shared" si="2"/>
        <v/>
      </c>
      <c r="I119" s="1" t="str">
        <f>IF(Protokoll_1p!F125="","",IF(VALUE(LEFT(Protokoll_1p!F125,FIND(":",Protokoll_1p!F125)-1))&gt;VALUE(RIGHT(Protokoll_1p!F125,LEN(Protokoll_1p!F125)-FIND(":",Protokoll_1p!F125))),0,1))</f>
        <v/>
      </c>
      <c r="J119" s="1" t="str">
        <f>IF(Protokoll_1p!G125="","",IF(VALUE(LEFT(Protokoll_1p!G125,FIND(":",Protokoll_1p!G125)-1))&gt;VALUE(RIGHT(Protokoll_1p!G125,LEN(Protokoll_1p!G125)-FIND(":",Protokoll_1p!G125))),0,1))</f>
        <v/>
      </c>
      <c r="K119" s="1" t="str">
        <f>IF(Protokoll_1p!H125="","",IF(VALUE(LEFT(Protokoll_1p!H125,FIND(":",Protokoll_1p!H125)-1))&gt;VALUE(RIGHT(Protokoll_1p!H125,LEN(Protokoll_1p!H125)-FIND(":",Protokoll_1p!H125))),0,1))</f>
        <v/>
      </c>
      <c r="L119" s="1" t="str">
        <f>IF(Protokoll_1p!I125="","",IF(VALUE(LEFT(Protokoll_1p!I125,FIND(":",Protokoll_1p!I125)-1))&gt;VALUE(RIGHT(Protokoll_1p!I125,LEN(Protokoll_1p!I125)-FIND(":",Protokoll_1p!I125))),0,1))</f>
        <v/>
      </c>
      <c r="M119" s="1" t="str">
        <f>IF(Protokoll_1p!J125="","",IF(VALUE(LEFT(Protokoll_1p!J125,FIND(":",Protokoll_1p!J125)-1))&gt;VALUE(RIGHT(Protokoll_1p!J125,LEN(Protokoll_1p!J125)-FIND(":",Protokoll_1p!J125))),0,1))</f>
        <v/>
      </c>
      <c r="N119" s="1" t="str">
        <f t="shared" si="3"/>
        <v/>
      </c>
    </row>
    <row r="120" spans="2:14">
      <c r="B120" s="1" t="str">
        <f>IF(Protokoll_1p!F126="","",IF(VALUE(LEFT(Protokoll_1p!F126,FIND(":",Protokoll_1p!F126)-1))&gt;VALUE(RIGHT(Protokoll_1p!F126,LEN(Protokoll_1p!F126)-FIND(":",Protokoll_1p!F126))),1,0))</f>
        <v/>
      </c>
      <c r="C120" s="1" t="str">
        <f>IF(Protokoll_1p!G126="","",IF(VALUE(LEFT(Protokoll_1p!G126,FIND(":",Protokoll_1p!G126)-1))&gt;VALUE(RIGHT(Protokoll_1p!G126,LEN(Protokoll_1p!G126)-FIND(":",Protokoll_1p!G126))),1,0))</f>
        <v/>
      </c>
      <c r="D120" s="1" t="str">
        <f>IF(Protokoll_1p!H126="","",IF(VALUE(LEFT(Protokoll_1p!H126,FIND(":",Protokoll_1p!H126)-1))&gt;VALUE(RIGHT(Protokoll_1p!H126,LEN(Protokoll_1p!H126)-FIND(":",Protokoll_1p!H126))),1,0))</f>
        <v/>
      </c>
      <c r="E120" s="1" t="str">
        <f>IF(Protokoll_1p!I126="","",IF(VALUE(LEFT(Protokoll_1p!I126,FIND(":",Protokoll_1p!I126)-1))&gt;VALUE(RIGHT(Protokoll_1p!I126,LEN(Protokoll_1p!I126)-FIND(":",Protokoll_1p!I126))),1,0))</f>
        <v/>
      </c>
      <c r="F120" s="1" t="str">
        <f>IF(Protokoll_1p!J126="","",IF(VALUE(LEFT(Protokoll_1p!J126,FIND(":",Protokoll_1p!J126)-1))&gt;VALUE(RIGHT(Protokoll_1p!J126,LEN(Protokoll_1p!J126)-FIND(":",Protokoll_1p!J126))),1,0))</f>
        <v/>
      </c>
      <c r="G120" s="1" t="str">
        <f t="shared" si="2"/>
        <v/>
      </c>
      <c r="I120" s="1" t="str">
        <f>IF(Protokoll_1p!F126="","",IF(VALUE(LEFT(Protokoll_1p!F126,FIND(":",Protokoll_1p!F126)-1))&gt;VALUE(RIGHT(Protokoll_1p!F126,LEN(Protokoll_1p!F126)-FIND(":",Protokoll_1p!F126))),0,1))</f>
        <v/>
      </c>
      <c r="J120" s="1" t="str">
        <f>IF(Protokoll_1p!G126="","",IF(VALUE(LEFT(Protokoll_1p!G126,FIND(":",Protokoll_1p!G126)-1))&gt;VALUE(RIGHT(Protokoll_1p!G126,LEN(Protokoll_1p!G126)-FIND(":",Protokoll_1p!G126))),0,1))</f>
        <v/>
      </c>
      <c r="K120" s="1" t="str">
        <f>IF(Protokoll_1p!H126="","",IF(VALUE(LEFT(Protokoll_1p!H126,FIND(":",Protokoll_1p!H126)-1))&gt;VALUE(RIGHT(Protokoll_1p!H126,LEN(Protokoll_1p!H126)-FIND(":",Protokoll_1p!H126))),0,1))</f>
        <v/>
      </c>
      <c r="L120" s="1" t="str">
        <f>IF(Protokoll_1p!I126="","",IF(VALUE(LEFT(Protokoll_1p!I126,FIND(":",Protokoll_1p!I126)-1))&gt;VALUE(RIGHT(Protokoll_1p!I126,LEN(Protokoll_1p!I126)-FIND(":",Protokoll_1p!I126))),0,1))</f>
        <v/>
      </c>
      <c r="M120" s="1" t="str">
        <f>IF(Protokoll_1p!J126="","",IF(VALUE(LEFT(Protokoll_1p!J126,FIND(":",Protokoll_1p!J126)-1))&gt;VALUE(RIGHT(Protokoll_1p!J126,LEN(Protokoll_1p!J126)-FIND(":",Protokoll_1p!J126))),0,1))</f>
        <v/>
      </c>
      <c r="N120" s="1" t="str">
        <f t="shared" si="3"/>
        <v/>
      </c>
    </row>
    <row r="121" spans="2:14">
      <c r="B121" s="1" t="e">
        <f>IF(Protokoll_1p!#REF!="","",IF(VALUE(LEFT(Protokoll_1p!#REF!,FIND(":",Protokoll_1p!#REF!)-1))&gt;VALUE(RIGHT(Protokoll_1p!#REF!,LEN(Protokoll_1p!#REF!)-FIND(":",Protokoll_1p!#REF!))),1,0))</f>
        <v>#REF!</v>
      </c>
      <c r="C121" s="1" t="e">
        <f>IF(Protokoll_1p!#REF!="","",IF(VALUE(LEFT(Protokoll_1p!#REF!,FIND(":",Protokoll_1p!#REF!)-1))&gt;VALUE(RIGHT(Protokoll_1p!#REF!,LEN(Protokoll_1p!#REF!)-FIND(":",Protokoll_1p!#REF!))),1,0))</f>
        <v>#REF!</v>
      </c>
      <c r="D121" s="1" t="e">
        <f>IF(Protokoll_1p!#REF!="","",IF(VALUE(LEFT(Protokoll_1p!#REF!,FIND(":",Protokoll_1p!#REF!)-1))&gt;VALUE(RIGHT(Protokoll_1p!#REF!,LEN(Protokoll_1p!#REF!)-FIND(":",Protokoll_1p!#REF!))),1,0))</f>
        <v>#REF!</v>
      </c>
      <c r="E121" s="1" t="e">
        <f>IF(Protokoll_1p!#REF!="","",IF(VALUE(LEFT(Protokoll_1p!#REF!,FIND(":",Protokoll_1p!#REF!)-1))&gt;VALUE(RIGHT(Protokoll_1p!#REF!,LEN(Protokoll_1p!#REF!)-FIND(":",Protokoll_1p!#REF!))),1,0))</f>
        <v>#REF!</v>
      </c>
      <c r="F121" s="1" t="e">
        <f>IF(Protokoll_1p!#REF!="","",IF(VALUE(LEFT(Protokoll_1p!#REF!,FIND(":",Protokoll_1p!#REF!)-1))&gt;VALUE(RIGHT(Protokoll_1p!#REF!,LEN(Protokoll_1p!#REF!)-FIND(":",Protokoll_1p!#REF!))),1,0))</f>
        <v>#REF!</v>
      </c>
      <c r="G121" s="1" t="e">
        <f t="shared" si="2"/>
        <v>#REF!</v>
      </c>
      <c r="I121" s="1" t="e">
        <f>IF(Protokoll_1p!#REF!="","",IF(VALUE(LEFT(Protokoll_1p!#REF!,FIND(":",Protokoll_1p!#REF!)-1))&gt;VALUE(RIGHT(Protokoll_1p!#REF!,LEN(Protokoll_1p!#REF!)-FIND(":",Protokoll_1p!#REF!))),0,1))</f>
        <v>#REF!</v>
      </c>
      <c r="J121" s="1" t="e">
        <f>IF(Protokoll_1p!#REF!="","",IF(VALUE(LEFT(Protokoll_1p!#REF!,FIND(":",Protokoll_1p!#REF!)-1))&gt;VALUE(RIGHT(Protokoll_1p!#REF!,LEN(Protokoll_1p!#REF!)-FIND(":",Protokoll_1p!#REF!))),0,1))</f>
        <v>#REF!</v>
      </c>
      <c r="K121" s="1" t="e">
        <f>IF(Protokoll_1p!#REF!="","",IF(VALUE(LEFT(Protokoll_1p!#REF!,FIND(":",Protokoll_1p!#REF!)-1))&gt;VALUE(RIGHT(Protokoll_1p!#REF!,LEN(Protokoll_1p!#REF!)-FIND(":",Protokoll_1p!#REF!))),0,1))</f>
        <v>#REF!</v>
      </c>
      <c r="L121" s="1" t="e">
        <f>IF(Protokoll_1p!#REF!="","",IF(VALUE(LEFT(Protokoll_1p!#REF!,FIND(":",Protokoll_1p!#REF!)-1))&gt;VALUE(RIGHT(Protokoll_1p!#REF!,LEN(Protokoll_1p!#REF!)-FIND(":",Protokoll_1p!#REF!))),0,1))</f>
        <v>#REF!</v>
      </c>
      <c r="M121" s="1" t="e">
        <f>IF(Protokoll_1p!#REF!="","",IF(VALUE(LEFT(Protokoll_1p!#REF!,FIND(":",Protokoll_1p!#REF!)-1))&gt;VALUE(RIGHT(Protokoll_1p!#REF!,LEN(Protokoll_1p!#REF!)-FIND(":",Protokoll_1p!#REF!))),0,1))</f>
        <v>#REF!</v>
      </c>
      <c r="N121" s="1" t="e">
        <f t="shared" si="3"/>
        <v>#REF!</v>
      </c>
    </row>
    <row r="122" spans="2:14">
      <c r="B122" s="1" t="e">
        <f>IF(Protokoll_1p!#REF!="","",IF(VALUE(LEFT(Protokoll_1p!#REF!,FIND(":",Protokoll_1p!#REF!)-1))&gt;VALUE(RIGHT(Protokoll_1p!#REF!,LEN(Protokoll_1p!#REF!)-FIND(":",Protokoll_1p!#REF!))),1,0))</f>
        <v>#REF!</v>
      </c>
      <c r="C122" s="1" t="e">
        <f>IF(Protokoll_1p!#REF!="","",IF(VALUE(LEFT(Protokoll_1p!#REF!,FIND(":",Protokoll_1p!#REF!)-1))&gt;VALUE(RIGHT(Protokoll_1p!#REF!,LEN(Protokoll_1p!#REF!)-FIND(":",Protokoll_1p!#REF!))),1,0))</f>
        <v>#REF!</v>
      </c>
      <c r="D122" s="1" t="e">
        <f>IF(Protokoll_1p!#REF!="","",IF(VALUE(LEFT(Protokoll_1p!#REF!,FIND(":",Protokoll_1p!#REF!)-1))&gt;VALUE(RIGHT(Protokoll_1p!#REF!,LEN(Protokoll_1p!#REF!)-FIND(":",Protokoll_1p!#REF!))),1,0))</f>
        <v>#REF!</v>
      </c>
      <c r="E122" s="1" t="e">
        <f>IF(Protokoll_1p!#REF!="","",IF(VALUE(LEFT(Protokoll_1p!#REF!,FIND(":",Protokoll_1p!#REF!)-1))&gt;VALUE(RIGHT(Protokoll_1p!#REF!,LEN(Protokoll_1p!#REF!)-FIND(":",Protokoll_1p!#REF!))),1,0))</f>
        <v>#REF!</v>
      </c>
      <c r="F122" s="1" t="e">
        <f>IF(Protokoll_1p!#REF!="","",IF(VALUE(LEFT(Protokoll_1p!#REF!,FIND(":",Protokoll_1p!#REF!)-1))&gt;VALUE(RIGHT(Protokoll_1p!#REF!,LEN(Protokoll_1p!#REF!)-FIND(":",Protokoll_1p!#REF!))),1,0))</f>
        <v>#REF!</v>
      </c>
      <c r="G122" s="1" t="e">
        <f t="shared" si="2"/>
        <v>#REF!</v>
      </c>
      <c r="I122" s="1" t="e">
        <f>IF(Protokoll_1p!#REF!="","",IF(VALUE(LEFT(Protokoll_1p!#REF!,FIND(":",Protokoll_1p!#REF!)-1))&gt;VALUE(RIGHT(Protokoll_1p!#REF!,LEN(Protokoll_1p!#REF!)-FIND(":",Protokoll_1p!#REF!))),0,1))</f>
        <v>#REF!</v>
      </c>
      <c r="J122" s="1" t="e">
        <f>IF(Protokoll_1p!#REF!="","",IF(VALUE(LEFT(Protokoll_1p!#REF!,FIND(":",Protokoll_1p!#REF!)-1))&gt;VALUE(RIGHT(Protokoll_1p!#REF!,LEN(Protokoll_1p!#REF!)-FIND(":",Protokoll_1p!#REF!))),0,1))</f>
        <v>#REF!</v>
      </c>
      <c r="K122" s="1" t="e">
        <f>IF(Protokoll_1p!#REF!="","",IF(VALUE(LEFT(Protokoll_1p!#REF!,FIND(":",Protokoll_1p!#REF!)-1))&gt;VALUE(RIGHT(Protokoll_1p!#REF!,LEN(Protokoll_1p!#REF!)-FIND(":",Protokoll_1p!#REF!))),0,1))</f>
        <v>#REF!</v>
      </c>
      <c r="L122" s="1" t="e">
        <f>IF(Protokoll_1p!#REF!="","",IF(VALUE(LEFT(Protokoll_1p!#REF!,FIND(":",Protokoll_1p!#REF!)-1))&gt;VALUE(RIGHT(Protokoll_1p!#REF!,LEN(Protokoll_1p!#REF!)-FIND(":",Protokoll_1p!#REF!))),0,1))</f>
        <v>#REF!</v>
      </c>
      <c r="M122" s="1" t="e">
        <f>IF(Protokoll_1p!#REF!="","",IF(VALUE(LEFT(Protokoll_1p!#REF!,FIND(":",Protokoll_1p!#REF!)-1))&gt;VALUE(RIGHT(Protokoll_1p!#REF!,LEN(Protokoll_1p!#REF!)-FIND(":",Protokoll_1p!#REF!))),0,1))</f>
        <v>#REF!</v>
      </c>
      <c r="N122" s="1" t="e">
        <f t="shared" si="3"/>
        <v>#REF!</v>
      </c>
    </row>
    <row r="123" spans="2:14">
      <c r="B123" s="1" t="e">
        <f>IF(Protokoll_1p!#REF!="","",IF(VALUE(LEFT(Protokoll_1p!#REF!,FIND(":",Protokoll_1p!#REF!)-1))&gt;VALUE(RIGHT(Protokoll_1p!#REF!,LEN(Protokoll_1p!#REF!)-FIND(":",Protokoll_1p!#REF!))),1,0))</f>
        <v>#REF!</v>
      </c>
      <c r="C123" s="1" t="e">
        <f>IF(Protokoll_1p!#REF!="","",IF(VALUE(LEFT(Protokoll_1p!#REF!,FIND(":",Protokoll_1p!#REF!)-1))&gt;VALUE(RIGHT(Protokoll_1p!#REF!,LEN(Protokoll_1p!#REF!)-FIND(":",Protokoll_1p!#REF!))),1,0))</f>
        <v>#REF!</v>
      </c>
      <c r="D123" s="1" t="e">
        <f>IF(Protokoll_1p!#REF!="","",IF(VALUE(LEFT(Protokoll_1p!#REF!,FIND(":",Protokoll_1p!#REF!)-1))&gt;VALUE(RIGHT(Protokoll_1p!#REF!,LEN(Protokoll_1p!#REF!)-FIND(":",Protokoll_1p!#REF!))),1,0))</f>
        <v>#REF!</v>
      </c>
      <c r="E123" s="1" t="e">
        <f>IF(Protokoll_1p!#REF!="","",IF(VALUE(LEFT(Protokoll_1p!#REF!,FIND(":",Protokoll_1p!#REF!)-1))&gt;VALUE(RIGHT(Protokoll_1p!#REF!,LEN(Protokoll_1p!#REF!)-FIND(":",Protokoll_1p!#REF!))),1,0))</f>
        <v>#REF!</v>
      </c>
      <c r="F123" s="1" t="e">
        <f>IF(Protokoll_1p!#REF!="","",IF(VALUE(LEFT(Protokoll_1p!#REF!,FIND(":",Protokoll_1p!#REF!)-1))&gt;VALUE(RIGHT(Protokoll_1p!#REF!,LEN(Protokoll_1p!#REF!)-FIND(":",Protokoll_1p!#REF!))),1,0))</f>
        <v>#REF!</v>
      </c>
      <c r="G123" s="1" t="e">
        <f t="shared" si="2"/>
        <v>#REF!</v>
      </c>
      <c r="I123" s="1" t="e">
        <f>IF(Protokoll_1p!#REF!="","",IF(VALUE(LEFT(Protokoll_1p!#REF!,FIND(":",Protokoll_1p!#REF!)-1))&gt;VALUE(RIGHT(Protokoll_1p!#REF!,LEN(Protokoll_1p!#REF!)-FIND(":",Protokoll_1p!#REF!))),0,1))</f>
        <v>#REF!</v>
      </c>
      <c r="J123" s="1" t="e">
        <f>IF(Protokoll_1p!#REF!="","",IF(VALUE(LEFT(Protokoll_1p!#REF!,FIND(":",Protokoll_1p!#REF!)-1))&gt;VALUE(RIGHT(Protokoll_1p!#REF!,LEN(Protokoll_1p!#REF!)-FIND(":",Protokoll_1p!#REF!))),0,1))</f>
        <v>#REF!</v>
      </c>
      <c r="K123" s="1" t="e">
        <f>IF(Protokoll_1p!#REF!="","",IF(VALUE(LEFT(Protokoll_1p!#REF!,FIND(":",Protokoll_1p!#REF!)-1))&gt;VALUE(RIGHT(Protokoll_1p!#REF!,LEN(Protokoll_1p!#REF!)-FIND(":",Protokoll_1p!#REF!))),0,1))</f>
        <v>#REF!</v>
      </c>
      <c r="L123" s="1" t="e">
        <f>IF(Protokoll_1p!#REF!="","",IF(VALUE(LEFT(Protokoll_1p!#REF!,FIND(":",Protokoll_1p!#REF!)-1))&gt;VALUE(RIGHT(Protokoll_1p!#REF!,LEN(Protokoll_1p!#REF!)-FIND(":",Protokoll_1p!#REF!))),0,1))</f>
        <v>#REF!</v>
      </c>
      <c r="M123" s="1" t="e">
        <f>IF(Protokoll_1p!#REF!="","",IF(VALUE(LEFT(Protokoll_1p!#REF!,FIND(":",Protokoll_1p!#REF!)-1))&gt;VALUE(RIGHT(Protokoll_1p!#REF!,LEN(Protokoll_1p!#REF!)-FIND(":",Protokoll_1p!#REF!))),0,1))</f>
        <v>#REF!</v>
      </c>
      <c r="N123" s="1" t="e">
        <f t="shared" si="3"/>
        <v>#REF!</v>
      </c>
    </row>
    <row r="124" spans="2:14">
      <c r="B124" s="1" t="e">
        <f>IF(Protokoll_1p!#REF!="","",IF(VALUE(LEFT(Protokoll_1p!#REF!,FIND(":",Protokoll_1p!#REF!)-1))&gt;VALUE(RIGHT(Protokoll_1p!#REF!,LEN(Protokoll_1p!#REF!)-FIND(":",Protokoll_1p!#REF!))),1,0))</f>
        <v>#REF!</v>
      </c>
      <c r="C124" s="1" t="e">
        <f>IF(Protokoll_1p!#REF!="","",IF(VALUE(LEFT(Protokoll_1p!#REF!,FIND(":",Protokoll_1p!#REF!)-1))&gt;VALUE(RIGHT(Protokoll_1p!#REF!,LEN(Protokoll_1p!#REF!)-FIND(":",Protokoll_1p!#REF!))),1,0))</f>
        <v>#REF!</v>
      </c>
      <c r="D124" s="1" t="e">
        <f>IF(Protokoll_1p!#REF!="","",IF(VALUE(LEFT(Protokoll_1p!#REF!,FIND(":",Protokoll_1p!#REF!)-1))&gt;VALUE(RIGHT(Protokoll_1p!#REF!,LEN(Protokoll_1p!#REF!)-FIND(":",Protokoll_1p!#REF!))),1,0))</f>
        <v>#REF!</v>
      </c>
      <c r="E124" s="1" t="e">
        <f>IF(Protokoll_1p!#REF!="","",IF(VALUE(LEFT(Protokoll_1p!#REF!,FIND(":",Protokoll_1p!#REF!)-1))&gt;VALUE(RIGHT(Protokoll_1p!#REF!,LEN(Protokoll_1p!#REF!)-FIND(":",Protokoll_1p!#REF!))),1,0))</f>
        <v>#REF!</v>
      </c>
      <c r="F124" s="1" t="e">
        <f>IF(Protokoll_1p!#REF!="","",IF(VALUE(LEFT(Protokoll_1p!#REF!,FIND(":",Protokoll_1p!#REF!)-1))&gt;VALUE(RIGHT(Protokoll_1p!#REF!,LEN(Protokoll_1p!#REF!)-FIND(":",Protokoll_1p!#REF!))),1,0))</f>
        <v>#REF!</v>
      </c>
      <c r="G124" s="1" t="e">
        <f t="shared" si="2"/>
        <v>#REF!</v>
      </c>
      <c r="I124" s="1" t="e">
        <f>IF(Protokoll_1p!#REF!="","",IF(VALUE(LEFT(Protokoll_1p!#REF!,FIND(":",Protokoll_1p!#REF!)-1))&gt;VALUE(RIGHT(Protokoll_1p!#REF!,LEN(Protokoll_1p!#REF!)-FIND(":",Protokoll_1p!#REF!))),0,1))</f>
        <v>#REF!</v>
      </c>
      <c r="J124" s="1" t="e">
        <f>IF(Protokoll_1p!#REF!="","",IF(VALUE(LEFT(Protokoll_1p!#REF!,FIND(":",Protokoll_1p!#REF!)-1))&gt;VALUE(RIGHT(Protokoll_1p!#REF!,LEN(Protokoll_1p!#REF!)-FIND(":",Protokoll_1p!#REF!))),0,1))</f>
        <v>#REF!</v>
      </c>
      <c r="K124" s="1" t="e">
        <f>IF(Protokoll_1p!#REF!="","",IF(VALUE(LEFT(Protokoll_1p!#REF!,FIND(":",Protokoll_1p!#REF!)-1))&gt;VALUE(RIGHT(Protokoll_1p!#REF!,LEN(Protokoll_1p!#REF!)-FIND(":",Protokoll_1p!#REF!))),0,1))</f>
        <v>#REF!</v>
      </c>
      <c r="L124" s="1" t="e">
        <f>IF(Protokoll_1p!#REF!="","",IF(VALUE(LEFT(Protokoll_1p!#REF!,FIND(":",Protokoll_1p!#REF!)-1))&gt;VALUE(RIGHT(Protokoll_1p!#REF!,LEN(Protokoll_1p!#REF!)-FIND(":",Protokoll_1p!#REF!))),0,1))</f>
        <v>#REF!</v>
      </c>
      <c r="M124" s="1" t="e">
        <f>IF(Protokoll_1p!#REF!="","",IF(VALUE(LEFT(Protokoll_1p!#REF!,FIND(":",Protokoll_1p!#REF!)-1))&gt;VALUE(RIGHT(Protokoll_1p!#REF!,LEN(Protokoll_1p!#REF!)-FIND(":",Protokoll_1p!#REF!))),0,1))</f>
        <v>#REF!</v>
      </c>
      <c r="N124" s="1" t="e">
        <f t="shared" si="3"/>
        <v>#REF!</v>
      </c>
    </row>
    <row r="125" spans="2:14">
      <c r="B125" s="1" t="e">
        <f>IF(Protokoll_1p!#REF!="","",IF(VALUE(LEFT(Protokoll_1p!#REF!,FIND(":",Protokoll_1p!#REF!)-1))&gt;VALUE(RIGHT(Protokoll_1p!#REF!,LEN(Protokoll_1p!#REF!)-FIND(":",Protokoll_1p!#REF!))),1,0))</f>
        <v>#REF!</v>
      </c>
      <c r="C125" s="1" t="e">
        <f>IF(Protokoll_1p!#REF!="","",IF(VALUE(LEFT(Protokoll_1p!#REF!,FIND(":",Protokoll_1p!#REF!)-1))&gt;VALUE(RIGHT(Protokoll_1p!#REF!,LEN(Protokoll_1p!#REF!)-FIND(":",Protokoll_1p!#REF!))),1,0))</f>
        <v>#REF!</v>
      </c>
      <c r="D125" s="1" t="e">
        <f>IF(Protokoll_1p!#REF!="","",IF(VALUE(LEFT(Protokoll_1p!#REF!,FIND(":",Protokoll_1p!#REF!)-1))&gt;VALUE(RIGHT(Protokoll_1p!#REF!,LEN(Protokoll_1p!#REF!)-FIND(":",Protokoll_1p!#REF!))),1,0))</f>
        <v>#REF!</v>
      </c>
      <c r="E125" s="1" t="e">
        <f>IF(Protokoll_1p!#REF!="","",IF(VALUE(LEFT(Protokoll_1p!#REF!,FIND(":",Protokoll_1p!#REF!)-1))&gt;VALUE(RIGHT(Protokoll_1p!#REF!,LEN(Protokoll_1p!#REF!)-FIND(":",Protokoll_1p!#REF!))),1,0))</f>
        <v>#REF!</v>
      </c>
      <c r="F125" s="1" t="e">
        <f>IF(Protokoll_1p!#REF!="","",IF(VALUE(LEFT(Protokoll_1p!#REF!,FIND(":",Protokoll_1p!#REF!)-1))&gt;VALUE(RIGHT(Protokoll_1p!#REF!,LEN(Protokoll_1p!#REF!)-FIND(":",Protokoll_1p!#REF!))),1,0))</f>
        <v>#REF!</v>
      </c>
      <c r="G125" s="1" t="e">
        <f t="shared" si="2"/>
        <v>#REF!</v>
      </c>
      <c r="I125" s="1" t="e">
        <f>IF(Protokoll_1p!#REF!="","",IF(VALUE(LEFT(Protokoll_1p!#REF!,FIND(":",Protokoll_1p!#REF!)-1))&gt;VALUE(RIGHT(Protokoll_1p!#REF!,LEN(Protokoll_1p!#REF!)-FIND(":",Protokoll_1p!#REF!))),0,1))</f>
        <v>#REF!</v>
      </c>
      <c r="J125" s="1" t="e">
        <f>IF(Protokoll_1p!#REF!="","",IF(VALUE(LEFT(Protokoll_1p!#REF!,FIND(":",Protokoll_1p!#REF!)-1))&gt;VALUE(RIGHT(Protokoll_1p!#REF!,LEN(Protokoll_1p!#REF!)-FIND(":",Protokoll_1p!#REF!))),0,1))</f>
        <v>#REF!</v>
      </c>
      <c r="K125" s="1" t="e">
        <f>IF(Protokoll_1p!#REF!="","",IF(VALUE(LEFT(Protokoll_1p!#REF!,FIND(":",Protokoll_1p!#REF!)-1))&gt;VALUE(RIGHT(Protokoll_1p!#REF!,LEN(Protokoll_1p!#REF!)-FIND(":",Protokoll_1p!#REF!))),0,1))</f>
        <v>#REF!</v>
      </c>
      <c r="L125" s="1" t="e">
        <f>IF(Protokoll_1p!#REF!="","",IF(VALUE(LEFT(Protokoll_1p!#REF!,FIND(":",Protokoll_1p!#REF!)-1))&gt;VALUE(RIGHT(Protokoll_1p!#REF!,LEN(Protokoll_1p!#REF!)-FIND(":",Protokoll_1p!#REF!))),0,1))</f>
        <v>#REF!</v>
      </c>
      <c r="M125" s="1" t="e">
        <f>IF(Protokoll_1p!#REF!="","",IF(VALUE(LEFT(Protokoll_1p!#REF!,FIND(":",Protokoll_1p!#REF!)-1))&gt;VALUE(RIGHT(Protokoll_1p!#REF!,LEN(Protokoll_1p!#REF!)-FIND(":",Protokoll_1p!#REF!))),0,1))</f>
        <v>#REF!</v>
      </c>
      <c r="N125" s="1" t="e">
        <f t="shared" si="3"/>
        <v>#REF!</v>
      </c>
    </row>
    <row r="126" spans="2:14">
      <c r="B126" s="1" t="e">
        <f>IF(Protokoll_1p!#REF!="","",IF(VALUE(LEFT(Protokoll_1p!#REF!,FIND(":",Protokoll_1p!#REF!)-1))&gt;VALUE(RIGHT(Protokoll_1p!#REF!,LEN(Protokoll_1p!#REF!)-FIND(":",Protokoll_1p!#REF!))),1,0))</f>
        <v>#REF!</v>
      </c>
      <c r="C126" s="1" t="e">
        <f>IF(Protokoll_1p!#REF!="","",IF(VALUE(LEFT(Protokoll_1p!#REF!,FIND(":",Protokoll_1p!#REF!)-1))&gt;VALUE(RIGHT(Protokoll_1p!#REF!,LEN(Protokoll_1p!#REF!)-FIND(":",Protokoll_1p!#REF!))),1,0))</f>
        <v>#REF!</v>
      </c>
      <c r="D126" s="1" t="e">
        <f>IF(Protokoll_1p!#REF!="","",IF(VALUE(LEFT(Protokoll_1p!#REF!,FIND(":",Protokoll_1p!#REF!)-1))&gt;VALUE(RIGHT(Protokoll_1p!#REF!,LEN(Protokoll_1p!#REF!)-FIND(":",Protokoll_1p!#REF!))),1,0))</f>
        <v>#REF!</v>
      </c>
      <c r="E126" s="1" t="e">
        <f>IF(Protokoll_1p!#REF!="","",IF(VALUE(LEFT(Protokoll_1p!#REF!,FIND(":",Protokoll_1p!#REF!)-1))&gt;VALUE(RIGHT(Protokoll_1p!#REF!,LEN(Protokoll_1p!#REF!)-FIND(":",Protokoll_1p!#REF!))),1,0))</f>
        <v>#REF!</v>
      </c>
      <c r="F126" s="1" t="e">
        <f>IF(Protokoll_1p!#REF!="","",IF(VALUE(LEFT(Protokoll_1p!#REF!,FIND(":",Protokoll_1p!#REF!)-1))&gt;VALUE(RIGHT(Protokoll_1p!#REF!,LEN(Protokoll_1p!#REF!)-FIND(":",Protokoll_1p!#REF!))),1,0))</f>
        <v>#REF!</v>
      </c>
      <c r="G126" s="1" t="e">
        <f t="shared" si="2"/>
        <v>#REF!</v>
      </c>
      <c r="I126" s="1" t="e">
        <f>IF(Protokoll_1p!#REF!="","",IF(VALUE(LEFT(Protokoll_1p!#REF!,FIND(":",Protokoll_1p!#REF!)-1))&gt;VALUE(RIGHT(Protokoll_1p!#REF!,LEN(Protokoll_1p!#REF!)-FIND(":",Protokoll_1p!#REF!))),0,1))</f>
        <v>#REF!</v>
      </c>
      <c r="J126" s="1" t="e">
        <f>IF(Protokoll_1p!#REF!="","",IF(VALUE(LEFT(Protokoll_1p!#REF!,FIND(":",Protokoll_1p!#REF!)-1))&gt;VALUE(RIGHT(Protokoll_1p!#REF!,LEN(Protokoll_1p!#REF!)-FIND(":",Protokoll_1p!#REF!))),0,1))</f>
        <v>#REF!</v>
      </c>
      <c r="K126" s="1" t="e">
        <f>IF(Protokoll_1p!#REF!="","",IF(VALUE(LEFT(Protokoll_1p!#REF!,FIND(":",Protokoll_1p!#REF!)-1))&gt;VALUE(RIGHT(Protokoll_1p!#REF!,LEN(Protokoll_1p!#REF!)-FIND(":",Protokoll_1p!#REF!))),0,1))</f>
        <v>#REF!</v>
      </c>
      <c r="L126" s="1" t="e">
        <f>IF(Protokoll_1p!#REF!="","",IF(VALUE(LEFT(Protokoll_1p!#REF!,FIND(":",Protokoll_1p!#REF!)-1))&gt;VALUE(RIGHT(Protokoll_1p!#REF!,LEN(Protokoll_1p!#REF!)-FIND(":",Protokoll_1p!#REF!))),0,1))</f>
        <v>#REF!</v>
      </c>
      <c r="M126" s="1" t="e">
        <f>IF(Protokoll_1p!#REF!="","",IF(VALUE(LEFT(Protokoll_1p!#REF!,FIND(":",Protokoll_1p!#REF!)-1))&gt;VALUE(RIGHT(Protokoll_1p!#REF!,LEN(Protokoll_1p!#REF!)-FIND(":",Protokoll_1p!#REF!))),0,1))</f>
        <v>#REF!</v>
      </c>
      <c r="N126" s="1" t="e">
        <f t="shared" si="3"/>
        <v>#REF!</v>
      </c>
    </row>
    <row r="127" spans="2:14">
      <c r="B127" s="1" t="e">
        <f>IF(Protokoll_1p!#REF!="","",IF(VALUE(LEFT(Protokoll_1p!#REF!,FIND(":",Protokoll_1p!#REF!)-1))&gt;VALUE(RIGHT(Protokoll_1p!#REF!,LEN(Protokoll_1p!#REF!)-FIND(":",Protokoll_1p!#REF!))),1,0))</f>
        <v>#REF!</v>
      </c>
      <c r="C127" s="1" t="e">
        <f>IF(Protokoll_1p!#REF!="","",IF(VALUE(LEFT(Protokoll_1p!#REF!,FIND(":",Protokoll_1p!#REF!)-1))&gt;VALUE(RIGHT(Protokoll_1p!#REF!,LEN(Protokoll_1p!#REF!)-FIND(":",Protokoll_1p!#REF!))),1,0))</f>
        <v>#REF!</v>
      </c>
      <c r="D127" s="1" t="e">
        <f>IF(Protokoll_1p!#REF!="","",IF(VALUE(LEFT(Protokoll_1p!#REF!,FIND(":",Protokoll_1p!#REF!)-1))&gt;VALUE(RIGHT(Protokoll_1p!#REF!,LEN(Protokoll_1p!#REF!)-FIND(":",Protokoll_1p!#REF!))),1,0))</f>
        <v>#REF!</v>
      </c>
      <c r="E127" s="1" t="e">
        <f>IF(Protokoll_1p!#REF!="","",IF(VALUE(LEFT(Protokoll_1p!#REF!,FIND(":",Protokoll_1p!#REF!)-1))&gt;VALUE(RIGHT(Protokoll_1p!#REF!,LEN(Protokoll_1p!#REF!)-FIND(":",Protokoll_1p!#REF!))),1,0))</f>
        <v>#REF!</v>
      </c>
      <c r="F127" s="1" t="e">
        <f>IF(Protokoll_1p!#REF!="","",IF(VALUE(LEFT(Protokoll_1p!#REF!,FIND(":",Protokoll_1p!#REF!)-1))&gt;VALUE(RIGHT(Protokoll_1p!#REF!,LEN(Protokoll_1p!#REF!)-FIND(":",Protokoll_1p!#REF!))),1,0))</f>
        <v>#REF!</v>
      </c>
      <c r="G127" s="1" t="e">
        <f t="shared" si="2"/>
        <v>#REF!</v>
      </c>
      <c r="I127" s="1" t="e">
        <f>IF(Protokoll_1p!#REF!="","",IF(VALUE(LEFT(Protokoll_1p!#REF!,FIND(":",Protokoll_1p!#REF!)-1))&gt;VALUE(RIGHT(Protokoll_1p!#REF!,LEN(Protokoll_1p!#REF!)-FIND(":",Protokoll_1p!#REF!))),0,1))</f>
        <v>#REF!</v>
      </c>
      <c r="J127" s="1" t="e">
        <f>IF(Protokoll_1p!#REF!="","",IF(VALUE(LEFT(Protokoll_1p!#REF!,FIND(":",Protokoll_1p!#REF!)-1))&gt;VALUE(RIGHT(Protokoll_1p!#REF!,LEN(Protokoll_1p!#REF!)-FIND(":",Protokoll_1p!#REF!))),0,1))</f>
        <v>#REF!</v>
      </c>
      <c r="K127" s="1" t="e">
        <f>IF(Protokoll_1p!#REF!="","",IF(VALUE(LEFT(Protokoll_1p!#REF!,FIND(":",Protokoll_1p!#REF!)-1))&gt;VALUE(RIGHT(Protokoll_1p!#REF!,LEN(Protokoll_1p!#REF!)-FIND(":",Protokoll_1p!#REF!))),0,1))</f>
        <v>#REF!</v>
      </c>
      <c r="L127" s="1" t="e">
        <f>IF(Protokoll_1p!#REF!="","",IF(VALUE(LEFT(Protokoll_1p!#REF!,FIND(":",Protokoll_1p!#REF!)-1))&gt;VALUE(RIGHT(Protokoll_1p!#REF!,LEN(Protokoll_1p!#REF!)-FIND(":",Protokoll_1p!#REF!))),0,1))</f>
        <v>#REF!</v>
      </c>
      <c r="M127" s="1" t="e">
        <f>IF(Protokoll_1p!#REF!="","",IF(VALUE(LEFT(Protokoll_1p!#REF!,FIND(":",Protokoll_1p!#REF!)-1))&gt;VALUE(RIGHT(Protokoll_1p!#REF!,LEN(Protokoll_1p!#REF!)-FIND(":",Protokoll_1p!#REF!))),0,1))</f>
        <v>#REF!</v>
      </c>
      <c r="N127" s="1" t="e">
        <f t="shared" si="3"/>
        <v>#REF!</v>
      </c>
    </row>
    <row r="128" spans="2:14">
      <c r="B128" s="1" t="e">
        <f>IF(Protokoll_1p!#REF!="","",IF(VALUE(LEFT(Protokoll_1p!#REF!,FIND(":",Protokoll_1p!#REF!)-1))&gt;VALUE(RIGHT(Protokoll_1p!#REF!,LEN(Protokoll_1p!#REF!)-FIND(":",Protokoll_1p!#REF!))),1,0))</f>
        <v>#REF!</v>
      </c>
      <c r="C128" s="1" t="e">
        <f>IF(Protokoll_1p!#REF!="","",IF(VALUE(LEFT(Protokoll_1p!#REF!,FIND(":",Protokoll_1p!#REF!)-1))&gt;VALUE(RIGHT(Protokoll_1p!#REF!,LEN(Protokoll_1p!#REF!)-FIND(":",Protokoll_1p!#REF!))),1,0))</f>
        <v>#REF!</v>
      </c>
      <c r="D128" s="1" t="e">
        <f>IF(Protokoll_1p!#REF!="","",IF(VALUE(LEFT(Protokoll_1p!#REF!,FIND(":",Protokoll_1p!#REF!)-1))&gt;VALUE(RIGHT(Protokoll_1p!#REF!,LEN(Protokoll_1p!#REF!)-FIND(":",Protokoll_1p!#REF!))),1,0))</f>
        <v>#REF!</v>
      </c>
      <c r="E128" s="1" t="e">
        <f>IF(Protokoll_1p!#REF!="","",IF(VALUE(LEFT(Protokoll_1p!#REF!,FIND(":",Protokoll_1p!#REF!)-1))&gt;VALUE(RIGHT(Protokoll_1p!#REF!,LEN(Protokoll_1p!#REF!)-FIND(":",Protokoll_1p!#REF!))),1,0))</f>
        <v>#REF!</v>
      </c>
      <c r="F128" s="1" t="e">
        <f>IF(Protokoll_1p!#REF!="","",IF(VALUE(LEFT(Protokoll_1p!#REF!,FIND(":",Protokoll_1p!#REF!)-1))&gt;VALUE(RIGHT(Protokoll_1p!#REF!,LEN(Protokoll_1p!#REF!)-FIND(":",Protokoll_1p!#REF!))),1,0))</f>
        <v>#REF!</v>
      </c>
      <c r="G128" s="1" t="e">
        <f t="shared" si="2"/>
        <v>#REF!</v>
      </c>
      <c r="I128" s="1" t="e">
        <f>IF(Protokoll_1p!#REF!="","",IF(VALUE(LEFT(Protokoll_1p!#REF!,FIND(":",Protokoll_1p!#REF!)-1))&gt;VALUE(RIGHT(Protokoll_1p!#REF!,LEN(Protokoll_1p!#REF!)-FIND(":",Protokoll_1p!#REF!))),0,1))</f>
        <v>#REF!</v>
      </c>
      <c r="J128" s="1" t="e">
        <f>IF(Protokoll_1p!#REF!="","",IF(VALUE(LEFT(Protokoll_1p!#REF!,FIND(":",Protokoll_1p!#REF!)-1))&gt;VALUE(RIGHT(Protokoll_1p!#REF!,LEN(Protokoll_1p!#REF!)-FIND(":",Protokoll_1p!#REF!))),0,1))</f>
        <v>#REF!</v>
      </c>
      <c r="K128" s="1" t="e">
        <f>IF(Protokoll_1p!#REF!="","",IF(VALUE(LEFT(Protokoll_1p!#REF!,FIND(":",Protokoll_1p!#REF!)-1))&gt;VALUE(RIGHT(Protokoll_1p!#REF!,LEN(Protokoll_1p!#REF!)-FIND(":",Protokoll_1p!#REF!))),0,1))</f>
        <v>#REF!</v>
      </c>
      <c r="L128" s="1" t="e">
        <f>IF(Protokoll_1p!#REF!="","",IF(VALUE(LEFT(Protokoll_1p!#REF!,FIND(":",Protokoll_1p!#REF!)-1))&gt;VALUE(RIGHT(Protokoll_1p!#REF!,LEN(Protokoll_1p!#REF!)-FIND(":",Protokoll_1p!#REF!))),0,1))</f>
        <v>#REF!</v>
      </c>
      <c r="M128" s="1" t="e">
        <f>IF(Protokoll_1p!#REF!="","",IF(VALUE(LEFT(Protokoll_1p!#REF!,FIND(":",Protokoll_1p!#REF!)-1))&gt;VALUE(RIGHT(Protokoll_1p!#REF!,LEN(Protokoll_1p!#REF!)-FIND(":",Protokoll_1p!#REF!))),0,1))</f>
        <v>#REF!</v>
      </c>
      <c r="N128" s="1" t="e">
        <f t="shared" si="3"/>
        <v>#REF!</v>
      </c>
    </row>
    <row r="129" spans="2:14">
      <c r="B129" s="1" t="e">
        <f>IF(Protokoll_1p!#REF!="","",IF(VALUE(LEFT(Protokoll_1p!#REF!,FIND(":",Protokoll_1p!#REF!)-1))&gt;VALUE(RIGHT(Protokoll_1p!#REF!,LEN(Protokoll_1p!#REF!)-FIND(":",Protokoll_1p!#REF!))),1,0))</f>
        <v>#REF!</v>
      </c>
      <c r="C129" s="1" t="e">
        <f>IF(Protokoll_1p!#REF!="","",IF(VALUE(LEFT(Protokoll_1p!#REF!,FIND(":",Protokoll_1p!#REF!)-1))&gt;VALUE(RIGHT(Protokoll_1p!#REF!,LEN(Protokoll_1p!#REF!)-FIND(":",Protokoll_1p!#REF!))),1,0))</f>
        <v>#REF!</v>
      </c>
      <c r="D129" s="1" t="e">
        <f>IF(Protokoll_1p!#REF!="","",IF(VALUE(LEFT(Protokoll_1p!#REF!,FIND(":",Protokoll_1p!#REF!)-1))&gt;VALUE(RIGHT(Protokoll_1p!#REF!,LEN(Protokoll_1p!#REF!)-FIND(":",Protokoll_1p!#REF!))),1,0))</f>
        <v>#REF!</v>
      </c>
      <c r="E129" s="1" t="e">
        <f>IF(Protokoll_1p!#REF!="","",IF(VALUE(LEFT(Protokoll_1p!#REF!,FIND(":",Protokoll_1p!#REF!)-1))&gt;VALUE(RIGHT(Protokoll_1p!#REF!,LEN(Protokoll_1p!#REF!)-FIND(":",Protokoll_1p!#REF!))),1,0))</f>
        <v>#REF!</v>
      </c>
      <c r="F129" s="1" t="e">
        <f>IF(Protokoll_1p!#REF!="","",IF(VALUE(LEFT(Protokoll_1p!#REF!,FIND(":",Protokoll_1p!#REF!)-1))&gt;VALUE(RIGHT(Protokoll_1p!#REF!,LEN(Protokoll_1p!#REF!)-FIND(":",Protokoll_1p!#REF!))),1,0))</f>
        <v>#REF!</v>
      </c>
      <c r="G129" s="1" t="e">
        <f t="shared" si="2"/>
        <v>#REF!</v>
      </c>
      <c r="I129" s="1" t="e">
        <f>IF(Protokoll_1p!#REF!="","",IF(VALUE(LEFT(Protokoll_1p!#REF!,FIND(":",Protokoll_1p!#REF!)-1))&gt;VALUE(RIGHT(Protokoll_1p!#REF!,LEN(Protokoll_1p!#REF!)-FIND(":",Protokoll_1p!#REF!))),0,1))</f>
        <v>#REF!</v>
      </c>
      <c r="J129" s="1" t="e">
        <f>IF(Protokoll_1p!#REF!="","",IF(VALUE(LEFT(Protokoll_1p!#REF!,FIND(":",Protokoll_1p!#REF!)-1))&gt;VALUE(RIGHT(Protokoll_1p!#REF!,LEN(Protokoll_1p!#REF!)-FIND(":",Protokoll_1p!#REF!))),0,1))</f>
        <v>#REF!</v>
      </c>
      <c r="K129" s="1" t="e">
        <f>IF(Protokoll_1p!#REF!="","",IF(VALUE(LEFT(Protokoll_1p!#REF!,FIND(":",Protokoll_1p!#REF!)-1))&gt;VALUE(RIGHT(Protokoll_1p!#REF!,LEN(Protokoll_1p!#REF!)-FIND(":",Protokoll_1p!#REF!))),0,1))</f>
        <v>#REF!</v>
      </c>
      <c r="L129" s="1" t="e">
        <f>IF(Protokoll_1p!#REF!="","",IF(VALUE(LEFT(Protokoll_1p!#REF!,FIND(":",Protokoll_1p!#REF!)-1))&gt;VALUE(RIGHT(Protokoll_1p!#REF!,LEN(Protokoll_1p!#REF!)-FIND(":",Protokoll_1p!#REF!))),0,1))</f>
        <v>#REF!</v>
      </c>
      <c r="M129" s="1" t="e">
        <f>IF(Protokoll_1p!#REF!="","",IF(VALUE(LEFT(Protokoll_1p!#REF!,FIND(":",Protokoll_1p!#REF!)-1))&gt;VALUE(RIGHT(Protokoll_1p!#REF!,LEN(Protokoll_1p!#REF!)-FIND(":",Protokoll_1p!#REF!))),0,1))</f>
        <v>#REF!</v>
      </c>
      <c r="N129" s="1" t="e">
        <f t="shared" si="3"/>
        <v>#REF!</v>
      </c>
    </row>
    <row r="130" spans="2:14">
      <c r="B130" s="1" t="e">
        <f>IF(Protokoll_1p!#REF!="","",IF(VALUE(LEFT(Protokoll_1p!#REF!,FIND(":",Protokoll_1p!#REF!)-1))&gt;VALUE(RIGHT(Protokoll_1p!#REF!,LEN(Protokoll_1p!#REF!)-FIND(":",Protokoll_1p!#REF!))),1,0))</f>
        <v>#REF!</v>
      </c>
      <c r="C130" s="1" t="e">
        <f>IF(Protokoll_1p!#REF!="","",IF(VALUE(LEFT(Protokoll_1p!#REF!,FIND(":",Protokoll_1p!#REF!)-1))&gt;VALUE(RIGHT(Protokoll_1p!#REF!,LEN(Protokoll_1p!#REF!)-FIND(":",Protokoll_1p!#REF!))),1,0))</f>
        <v>#REF!</v>
      </c>
      <c r="D130" s="1" t="e">
        <f>IF(Protokoll_1p!#REF!="","",IF(VALUE(LEFT(Protokoll_1p!#REF!,FIND(":",Protokoll_1p!#REF!)-1))&gt;VALUE(RIGHT(Protokoll_1p!#REF!,LEN(Protokoll_1p!#REF!)-FIND(":",Protokoll_1p!#REF!))),1,0))</f>
        <v>#REF!</v>
      </c>
      <c r="E130" s="1" t="e">
        <f>IF(Protokoll_1p!#REF!="","",IF(VALUE(LEFT(Protokoll_1p!#REF!,FIND(":",Protokoll_1p!#REF!)-1))&gt;VALUE(RIGHT(Protokoll_1p!#REF!,LEN(Protokoll_1p!#REF!)-FIND(":",Protokoll_1p!#REF!))),1,0))</f>
        <v>#REF!</v>
      </c>
      <c r="F130" s="1" t="e">
        <f>IF(Protokoll_1p!#REF!="","",IF(VALUE(LEFT(Protokoll_1p!#REF!,FIND(":",Protokoll_1p!#REF!)-1))&gt;VALUE(RIGHT(Protokoll_1p!#REF!,LEN(Protokoll_1p!#REF!)-FIND(":",Protokoll_1p!#REF!))),1,0))</f>
        <v>#REF!</v>
      </c>
      <c r="G130" s="1" t="e">
        <f t="shared" si="2"/>
        <v>#REF!</v>
      </c>
      <c r="I130" s="1" t="e">
        <f>IF(Protokoll_1p!#REF!="","",IF(VALUE(LEFT(Protokoll_1p!#REF!,FIND(":",Protokoll_1p!#REF!)-1))&gt;VALUE(RIGHT(Protokoll_1p!#REF!,LEN(Protokoll_1p!#REF!)-FIND(":",Protokoll_1p!#REF!))),0,1))</f>
        <v>#REF!</v>
      </c>
      <c r="J130" s="1" t="e">
        <f>IF(Protokoll_1p!#REF!="","",IF(VALUE(LEFT(Protokoll_1p!#REF!,FIND(":",Protokoll_1p!#REF!)-1))&gt;VALUE(RIGHT(Protokoll_1p!#REF!,LEN(Protokoll_1p!#REF!)-FIND(":",Protokoll_1p!#REF!))),0,1))</f>
        <v>#REF!</v>
      </c>
      <c r="K130" s="1" t="e">
        <f>IF(Protokoll_1p!#REF!="","",IF(VALUE(LEFT(Protokoll_1p!#REF!,FIND(":",Protokoll_1p!#REF!)-1))&gt;VALUE(RIGHT(Protokoll_1p!#REF!,LEN(Protokoll_1p!#REF!)-FIND(":",Protokoll_1p!#REF!))),0,1))</f>
        <v>#REF!</v>
      </c>
      <c r="L130" s="1" t="e">
        <f>IF(Protokoll_1p!#REF!="","",IF(VALUE(LEFT(Protokoll_1p!#REF!,FIND(":",Protokoll_1p!#REF!)-1))&gt;VALUE(RIGHT(Protokoll_1p!#REF!,LEN(Protokoll_1p!#REF!)-FIND(":",Protokoll_1p!#REF!))),0,1))</f>
        <v>#REF!</v>
      </c>
      <c r="M130" s="1" t="e">
        <f>IF(Protokoll_1p!#REF!="","",IF(VALUE(LEFT(Protokoll_1p!#REF!,FIND(":",Protokoll_1p!#REF!)-1))&gt;VALUE(RIGHT(Protokoll_1p!#REF!,LEN(Protokoll_1p!#REF!)-FIND(":",Protokoll_1p!#REF!))),0,1))</f>
        <v>#REF!</v>
      </c>
      <c r="N130" s="1" t="e">
        <f t="shared" si="3"/>
        <v>#REF!</v>
      </c>
    </row>
    <row r="131" spans="2:14">
      <c r="B131" s="1" t="e">
        <f>IF(Protokoll_1p!#REF!="","",IF(VALUE(LEFT(Protokoll_1p!#REF!,FIND(":",Protokoll_1p!#REF!)-1))&gt;VALUE(RIGHT(Protokoll_1p!#REF!,LEN(Protokoll_1p!#REF!)-FIND(":",Protokoll_1p!#REF!))),1,0))</f>
        <v>#REF!</v>
      </c>
      <c r="C131" s="1" t="e">
        <f>IF(Protokoll_1p!#REF!="","",IF(VALUE(LEFT(Protokoll_1p!#REF!,FIND(":",Protokoll_1p!#REF!)-1))&gt;VALUE(RIGHT(Protokoll_1p!#REF!,LEN(Protokoll_1p!#REF!)-FIND(":",Protokoll_1p!#REF!))),1,0))</f>
        <v>#REF!</v>
      </c>
      <c r="D131" s="1" t="e">
        <f>IF(Protokoll_1p!#REF!="","",IF(VALUE(LEFT(Protokoll_1p!#REF!,FIND(":",Protokoll_1p!#REF!)-1))&gt;VALUE(RIGHT(Protokoll_1p!#REF!,LEN(Protokoll_1p!#REF!)-FIND(":",Protokoll_1p!#REF!))),1,0))</f>
        <v>#REF!</v>
      </c>
      <c r="E131" s="1" t="e">
        <f>IF(Protokoll_1p!#REF!="","",IF(VALUE(LEFT(Protokoll_1p!#REF!,FIND(":",Protokoll_1p!#REF!)-1))&gt;VALUE(RIGHT(Protokoll_1p!#REF!,LEN(Protokoll_1p!#REF!)-FIND(":",Protokoll_1p!#REF!))),1,0))</f>
        <v>#REF!</v>
      </c>
      <c r="F131" s="1" t="e">
        <f>IF(Protokoll_1p!#REF!="","",IF(VALUE(LEFT(Protokoll_1p!#REF!,FIND(":",Protokoll_1p!#REF!)-1))&gt;VALUE(RIGHT(Protokoll_1p!#REF!,LEN(Protokoll_1p!#REF!)-FIND(":",Protokoll_1p!#REF!))),1,0))</f>
        <v>#REF!</v>
      </c>
      <c r="G131" s="1" t="e">
        <f t="shared" ref="G131:G194" si="4">IF(B131="","",SUM(B131:F131))</f>
        <v>#REF!</v>
      </c>
      <c r="I131" s="1" t="e">
        <f>IF(Protokoll_1p!#REF!="","",IF(VALUE(LEFT(Protokoll_1p!#REF!,FIND(":",Protokoll_1p!#REF!)-1))&gt;VALUE(RIGHT(Protokoll_1p!#REF!,LEN(Protokoll_1p!#REF!)-FIND(":",Protokoll_1p!#REF!))),0,1))</f>
        <v>#REF!</v>
      </c>
      <c r="J131" s="1" t="e">
        <f>IF(Protokoll_1p!#REF!="","",IF(VALUE(LEFT(Protokoll_1p!#REF!,FIND(":",Protokoll_1p!#REF!)-1))&gt;VALUE(RIGHT(Protokoll_1p!#REF!,LEN(Protokoll_1p!#REF!)-FIND(":",Protokoll_1p!#REF!))),0,1))</f>
        <v>#REF!</v>
      </c>
      <c r="K131" s="1" t="e">
        <f>IF(Protokoll_1p!#REF!="","",IF(VALUE(LEFT(Protokoll_1p!#REF!,FIND(":",Protokoll_1p!#REF!)-1))&gt;VALUE(RIGHT(Protokoll_1p!#REF!,LEN(Protokoll_1p!#REF!)-FIND(":",Protokoll_1p!#REF!))),0,1))</f>
        <v>#REF!</v>
      </c>
      <c r="L131" s="1" t="e">
        <f>IF(Protokoll_1p!#REF!="","",IF(VALUE(LEFT(Protokoll_1p!#REF!,FIND(":",Protokoll_1p!#REF!)-1))&gt;VALUE(RIGHT(Protokoll_1p!#REF!,LEN(Protokoll_1p!#REF!)-FIND(":",Protokoll_1p!#REF!))),0,1))</f>
        <v>#REF!</v>
      </c>
      <c r="M131" s="1" t="e">
        <f>IF(Protokoll_1p!#REF!="","",IF(VALUE(LEFT(Protokoll_1p!#REF!,FIND(":",Protokoll_1p!#REF!)-1))&gt;VALUE(RIGHT(Protokoll_1p!#REF!,LEN(Protokoll_1p!#REF!)-FIND(":",Protokoll_1p!#REF!))),0,1))</f>
        <v>#REF!</v>
      </c>
      <c r="N131" s="1" t="e">
        <f t="shared" ref="N131:N194" si="5">IF(I131="","",SUM(I131:M131))</f>
        <v>#REF!</v>
      </c>
    </row>
    <row r="132" spans="2:14">
      <c r="B132" s="1" t="e">
        <f>IF(Protokoll_1p!#REF!="","",IF(VALUE(LEFT(Protokoll_1p!#REF!,FIND(":",Protokoll_1p!#REF!)-1))&gt;VALUE(RIGHT(Protokoll_1p!#REF!,LEN(Protokoll_1p!#REF!)-FIND(":",Protokoll_1p!#REF!))),1,0))</f>
        <v>#REF!</v>
      </c>
      <c r="C132" s="1" t="e">
        <f>IF(Protokoll_1p!#REF!="","",IF(VALUE(LEFT(Protokoll_1p!#REF!,FIND(":",Protokoll_1p!#REF!)-1))&gt;VALUE(RIGHT(Protokoll_1p!#REF!,LEN(Protokoll_1p!#REF!)-FIND(":",Protokoll_1p!#REF!))),1,0))</f>
        <v>#REF!</v>
      </c>
      <c r="D132" s="1" t="e">
        <f>IF(Protokoll_1p!#REF!="","",IF(VALUE(LEFT(Protokoll_1p!#REF!,FIND(":",Protokoll_1p!#REF!)-1))&gt;VALUE(RIGHT(Protokoll_1p!#REF!,LEN(Protokoll_1p!#REF!)-FIND(":",Protokoll_1p!#REF!))),1,0))</f>
        <v>#REF!</v>
      </c>
      <c r="E132" s="1" t="e">
        <f>IF(Protokoll_1p!#REF!="","",IF(VALUE(LEFT(Protokoll_1p!#REF!,FIND(":",Protokoll_1p!#REF!)-1))&gt;VALUE(RIGHT(Protokoll_1p!#REF!,LEN(Protokoll_1p!#REF!)-FIND(":",Protokoll_1p!#REF!))),1,0))</f>
        <v>#REF!</v>
      </c>
      <c r="F132" s="1" t="e">
        <f>IF(Protokoll_1p!#REF!="","",IF(VALUE(LEFT(Protokoll_1p!#REF!,FIND(":",Protokoll_1p!#REF!)-1))&gt;VALUE(RIGHT(Protokoll_1p!#REF!,LEN(Protokoll_1p!#REF!)-FIND(":",Protokoll_1p!#REF!))),1,0))</f>
        <v>#REF!</v>
      </c>
      <c r="G132" s="1" t="e">
        <f t="shared" si="4"/>
        <v>#REF!</v>
      </c>
      <c r="I132" s="1" t="e">
        <f>IF(Protokoll_1p!#REF!="","",IF(VALUE(LEFT(Protokoll_1p!#REF!,FIND(":",Protokoll_1p!#REF!)-1))&gt;VALUE(RIGHT(Protokoll_1p!#REF!,LEN(Protokoll_1p!#REF!)-FIND(":",Protokoll_1p!#REF!))),0,1))</f>
        <v>#REF!</v>
      </c>
      <c r="J132" s="1" t="e">
        <f>IF(Protokoll_1p!#REF!="","",IF(VALUE(LEFT(Protokoll_1p!#REF!,FIND(":",Protokoll_1p!#REF!)-1))&gt;VALUE(RIGHT(Protokoll_1p!#REF!,LEN(Protokoll_1p!#REF!)-FIND(":",Protokoll_1p!#REF!))),0,1))</f>
        <v>#REF!</v>
      </c>
      <c r="K132" s="1" t="e">
        <f>IF(Protokoll_1p!#REF!="","",IF(VALUE(LEFT(Protokoll_1p!#REF!,FIND(":",Protokoll_1p!#REF!)-1))&gt;VALUE(RIGHT(Protokoll_1p!#REF!,LEN(Protokoll_1p!#REF!)-FIND(":",Protokoll_1p!#REF!))),0,1))</f>
        <v>#REF!</v>
      </c>
      <c r="L132" s="1" t="e">
        <f>IF(Protokoll_1p!#REF!="","",IF(VALUE(LEFT(Protokoll_1p!#REF!,FIND(":",Protokoll_1p!#REF!)-1))&gt;VALUE(RIGHT(Protokoll_1p!#REF!,LEN(Protokoll_1p!#REF!)-FIND(":",Protokoll_1p!#REF!))),0,1))</f>
        <v>#REF!</v>
      </c>
      <c r="M132" s="1" t="e">
        <f>IF(Protokoll_1p!#REF!="","",IF(VALUE(LEFT(Protokoll_1p!#REF!,FIND(":",Protokoll_1p!#REF!)-1))&gt;VALUE(RIGHT(Protokoll_1p!#REF!,LEN(Protokoll_1p!#REF!)-FIND(":",Protokoll_1p!#REF!))),0,1))</f>
        <v>#REF!</v>
      </c>
      <c r="N132" s="1" t="e">
        <f t="shared" si="5"/>
        <v>#REF!</v>
      </c>
    </row>
    <row r="133" spans="2:14">
      <c r="B133" s="1" t="e">
        <f>IF(Protokoll_1p!#REF!="","",IF(VALUE(LEFT(Protokoll_1p!#REF!,FIND(":",Protokoll_1p!#REF!)-1))&gt;VALUE(RIGHT(Protokoll_1p!#REF!,LEN(Protokoll_1p!#REF!)-FIND(":",Protokoll_1p!#REF!))),1,0))</f>
        <v>#REF!</v>
      </c>
      <c r="C133" s="1" t="e">
        <f>IF(Protokoll_1p!#REF!="","",IF(VALUE(LEFT(Protokoll_1p!#REF!,FIND(":",Protokoll_1p!#REF!)-1))&gt;VALUE(RIGHT(Protokoll_1p!#REF!,LEN(Protokoll_1p!#REF!)-FIND(":",Protokoll_1p!#REF!))),1,0))</f>
        <v>#REF!</v>
      </c>
      <c r="D133" s="1" t="e">
        <f>IF(Protokoll_1p!#REF!="","",IF(VALUE(LEFT(Protokoll_1p!#REF!,FIND(":",Protokoll_1p!#REF!)-1))&gt;VALUE(RIGHT(Protokoll_1p!#REF!,LEN(Protokoll_1p!#REF!)-FIND(":",Protokoll_1p!#REF!))),1,0))</f>
        <v>#REF!</v>
      </c>
      <c r="E133" s="1" t="e">
        <f>IF(Protokoll_1p!#REF!="","",IF(VALUE(LEFT(Protokoll_1p!#REF!,FIND(":",Protokoll_1p!#REF!)-1))&gt;VALUE(RIGHT(Protokoll_1p!#REF!,LEN(Protokoll_1p!#REF!)-FIND(":",Protokoll_1p!#REF!))),1,0))</f>
        <v>#REF!</v>
      </c>
      <c r="F133" s="1" t="e">
        <f>IF(Protokoll_1p!#REF!="","",IF(VALUE(LEFT(Protokoll_1p!#REF!,FIND(":",Protokoll_1p!#REF!)-1))&gt;VALUE(RIGHT(Protokoll_1p!#REF!,LEN(Protokoll_1p!#REF!)-FIND(":",Protokoll_1p!#REF!))),1,0))</f>
        <v>#REF!</v>
      </c>
      <c r="G133" s="1" t="e">
        <f t="shared" si="4"/>
        <v>#REF!</v>
      </c>
      <c r="I133" s="1" t="e">
        <f>IF(Protokoll_1p!#REF!="","",IF(VALUE(LEFT(Protokoll_1p!#REF!,FIND(":",Protokoll_1p!#REF!)-1))&gt;VALUE(RIGHT(Protokoll_1p!#REF!,LEN(Protokoll_1p!#REF!)-FIND(":",Protokoll_1p!#REF!))),0,1))</f>
        <v>#REF!</v>
      </c>
      <c r="J133" s="1" t="e">
        <f>IF(Protokoll_1p!#REF!="","",IF(VALUE(LEFT(Protokoll_1p!#REF!,FIND(":",Protokoll_1p!#REF!)-1))&gt;VALUE(RIGHT(Protokoll_1p!#REF!,LEN(Protokoll_1p!#REF!)-FIND(":",Protokoll_1p!#REF!))),0,1))</f>
        <v>#REF!</v>
      </c>
      <c r="K133" s="1" t="e">
        <f>IF(Protokoll_1p!#REF!="","",IF(VALUE(LEFT(Protokoll_1p!#REF!,FIND(":",Protokoll_1p!#REF!)-1))&gt;VALUE(RIGHT(Protokoll_1p!#REF!,LEN(Protokoll_1p!#REF!)-FIND(":",Protokoll_1p!#REF!))),0,1))</f>
        <v>#REF!</v>
      </c>
      <c r="L133" s="1" t="e">
        <f>IF(Protokoll_1p!#REF!="","",IF(VALUE(LEFT(Protokoll_1p!#REF!,FIND(":",Protokoll_1p!#REF!)-1))&gt;VALUE(RIGHT(Protokoll_1p!#REF!,LEN(Protokoll_1p!#REF!)-FIND(":",Protokoll_1p!#REF!))),0,1))</f>
        <v>#REF!</v>
      </c>
      <c r="M133" s="1" t="e">
        <f>IF(Protokoll_1p!#REF!="","",IF(VALUE(LEFT(Protokoll_1p!#REF!,FIND(":",Protokoll_1p!#REF!)-1))&gt;VALUE(RIGHT(Protokoll_1p!#REF!,LEN(Protokoll_1p!#REF!)-FIND(":",Protokoll_1p!#REF!))),0,1))</f>
        <v>#REF!</v>
      </c>
      <c r="N133" s="1" t="e">
        <f t="shared" si="5"/>
        <v>#REF!</v>
      </c>
    </row>
    <row r="134" spans="2:14">
      <c r="B134" s="1" t="e">
        <f>IF(Protokoll_1p!#REF!="","",IF(VALUE(LEFT(Protokoll_1p!#REF!,FIND(":",Protokoll_1p!#REF!)-1))&gt;VALUE(RIGHT(Protokoll_1p!#REF!,LEN(Protokoll_1p!#REF!)-FIND(":",Protokoll_1p!#REF!))),1,0))</f>
        <v>#REF!</v>
      </c>
      <c r="C134" s="1" t="e">
        <f>IF(Protokoll_1p!#REF!="","",IF(VALUE(LEFT(Protokoll_1p!#REF!,FIND(":",Protokoll_1p!#REF!)-1))&gt;VALUE(RIGHT(Protokoll_1p!#REF!,LEN(Protokoll_1p!#REF!)-FIND(":",Protokoll_1p!#REF!))),1,0))</f>
        <v>#REF!</v>
      </c>
      <c r="D134" s="1" t="e">
        <f>IF(Protokoll_1p!#REF!="","",IF(VALUE(LEFT(Protokoll_1p!#REF!,FIND(":",Protokoll_1p!#REF!)-1))&gt;VALUE(RIGHT(Protokoll_1p!#REF!,LEN(Protokoll_1p!#REF!)-FIND(":",Protokoll_1p!#REF!))),1,0))</f>
        <v>#REF!</v>
      </c>
      <c r="E134" s="1" t="e">
        <f>IF(Protokoll_1p!#REF!="","",IF(VALUE(LEFT(Protokoll_1p!#REF!,FIND(":",Protokoll_1p!#REF!)-1))&gt;VALUE(RIGHT(Protokoll_1p!#REF!,LEN(Protokoll_1p!#REF!)-FIND(":",Protokoll_1p!#REF!))),1,0))</f>
        <v>#REF!</v>
      </c>
      <c r="F134" s="1" t="e">
        <f>IF(Protokoll_1p!#REF!="","",IF(VALUE(LEFT(Protokoll_1p!#REF!,FIND(":",Protokoll_1p!#REF!)-1))&gt;VALUE(RIGHT(Protokoll_1p!#REF!,LEN(Protokoll_1p!#REF!)-FIND(":",Protokoll_1p!#REF!))),1,0))</f>
        <v>#REF!</v>
      </c>
      <c r="G134" s="1" t="e">
        <f t="shared" si="4"/>
        <v>#REF!</v>
      </c>
      <c r="I134" s="1" t="e">
        <f>IF(Protokoll_1p!#REF!="","",IF(VALUE(LEFT(Protokoll_1p!#REF!,FIND(":",Protokoll_1p!#REF!)-1))&gt;VALUE(RIGHT(Protokoll_1p!#REF!,LEN(Protokoll_1p!#REF!)-FIND(":",Protokoll_1p!#REF!))),0,1))</f>
        <v>#REF!</v>
      </c>
      <c r="J134" s="1" t="e">
        <f>IF(Protokoll_1p!#REF!="","",IF(VALUE(LEFT(Protokoll_1p!#REF!,FIND(":",Protokoll_1p!#REF!)-1))&gt;VALUE(RIGHT(Protokoll_1p!#REF!,LEN(Protokoll_1p!#REF!)-FIND(":",Protokoll_1p!#REF!))),0,1))</f>
        <v>#REF!</v>
      </c>
      <c r="K134" s="1" t="e">
        <f>IF(Protokoll_1p!#REF!="","",IF(VALUE(LEFT(Protokoll_1p!#REF!,FIND(":",Protokoll_1p!#REF!)-1))&gt;VALUE(RIGHT(Protokoll_1p!#REF!,LEN(Protokoll_1p!#REF!)-FIND(":",Protokoll_1p!#REF!))),0,1))</f>
        <v>#REF!</v>
      </c>
      <c r="L134" s="1" t="e">
        <f>IF(Protokoll_1p!#REF!="","",IF(VALUE(LEFT(Protokoll_1p!#REF!,FIND(":",Protokoll_1p!#REF!)-1))&gt;VALUE(RIGHT(Protokoll_1p!#REF!,LEN(Protokoll_1p!#REF!)-FIND(":",Protokoll_1p!#REF!))),0,1))</f>
        <v>#REF!</v>
      </c>
      <c r="M134" s="1" t="e">
        <f>IF(Protokoll_1p!#REF!="","",IF(VALUE(LEFT(Protokoll_1p!#REF!,FIND(":",Protokoll_1p!#REF!)-1))&gt;VALUE(RIGHT(Protokoll_1p!#REF!,LEN(Protokoll_1p!#REF!)-FIND(":",Protokoll_1p!#REF!))),0,1))</f>
        <v>#REF!</v>
      </c>
      <c r="N134" s="1" t="e">
        <f t="shared" si="5"/>
        <v>#REF!</v>
      </c>
    </row>
    <row r="135" spans="2:14">
      <c r="B135" s="1" t="e">
        <f>IF(Protokoll_1p!#REF!="","",IF(VALUE(LEFT(Protokoll_1p!#REF!,FIND(":",Protokoll_1p!#REF!)-1))&gt;VALUE(RIGHT(Protokoll_1p!#REF!,LEN(Protokoll_1p!#REF!)-FIND(":",Protokoll_1p!#REF!))),1,0))</f>
        <v>#REF!</v>
      </c>
      <c r="C135" s="1" t="e">
        <f>IF(Protokoll_1p!#REF!="","",IF(VALUE(LEFT(Protokoll_1p!#REF!,FIND(":",Protokoll_1p!#REF!)-1))&gt;VALUE(RIGHT(Protokoll_1p!#REF!,LEN(Protokoll_1p!#REF!)-FIND(":",Protokoll_1p!#REF!))),1,0))</f>
        <v>#REF!</v>
      </c>
      <c r="D135" s="1" t="e">
        <f>IF(Protokoll_1p!#REF!="","",IF(VALUE(LEFT(Protokoll_1p!#REF!,FIND(":",Protokoll_1p!#REF!)-1))&gt;VALUE(RIGHT(Protokoll_1p!#REF!,LEN(Protokoll_1p!#REF!)-FIND(":",Protokoll_1p!#REF!))),1,0))</f>
        <v>#REF!</v>
      </c>
      <c r="E135" s="1" t="e">
        <f>IF(Protokoll_1p!#REF!="","",IF(VALUE(LEFT(Protokoll_1p!#REF!,FIND(":",Protokoll_1p!#REF!)-1))&gt;VALUE(RIGHT(Protokoll_1p!#REF!,LEN(Protokoll_1p!#REF!)-FIND(":",Protokoll_1p!#REF!))),1,0))</f>
        <v>#REF!</v>
      </c>
      <c r="F135" s="1" t="e">
        <f>IF(Protokoll_1p!#REF!="","",IF(VALUE(LEFT(Protokoll_1p!#REF!,FIND(":",Protokoll_1p!#REF!)-1))&gt;VALUE(RIGHT(Protokoll_1p!#REF!,LEN(Protokoll_1p!#REF!)-FIND(":",Protokoll_1p!#REF!))),1,0))</f>
        <v>#REF!</v>
      </c>
      <c r="G135" s="1" t="e">
        <f t="shared" si="4"/>
        <v>#REF!</v>
      </c>
      <c r="I135" s="1" t="e">
        <f>IF(Protokoll_1p!#REF!="","",IF(VALUE(LEFT(Protokoll_1p!#REF!,FIND(":",Protokoll_1p!#REF!)-1))&gt;VALUE(RIGHT(Protokoll_1p!#REF!,LEN(Protokoll_1p!#REF!)-FIND(":",Protokoll_1p!#REF!))),0,1))</f>
        <v>#REF!</v>
      </c>
      <c r="J135" s="1" t="e">
        <f>IF(Protokoll_1p!#REF!="","",IF(VALUE(LEFT(Protokoll_1p!#REF!,FIND(":",Protokoll_1p!#REF!)-1))&gt;VALUE(RIGHT(Protokoll_1p!#REF!,LEN(Protokoll_1p!#REF!)-FIND(":",Protokoll_1p!#REF!))),0,1))</f>
        <v>#REF!</v>
      </c>
      <c r="K135" s="1" t="e">
        <f>IF(Protokoll_1p!#REF!="","",IF(VALUE(LEFT(Protokoll_1p!#REF!,FIND(":",Protokoll_1p!#REF!)-1))&gt;VALUE(RIGHT(Protokoll_1p!#REF!,LEN(Protokoll_1p!#REF!)-FIND(":",Protokoll_1p!#REF!))),0,1))</f>
        <v>#REF!</v>
      </c>
      <c r="L135" s="1" t="e">
        <f>IF(Protokoll_1p!#REF!="","",IF(VALUE(LEFT(Protokoll_1p!#REF!,FIND(":",Protokoll_1p!#REF!)-1))&gt;VALUE(RIGHT(Protokoll_1p!#REF!,LEN(Protokoll_1p!#REF!)-FIND(":",Protokoll_1p!#REF!))),0,1))</f>
        <v>#REF!</v>
      </c>
      <c r="M135" s="1" t="e">
        <f>IF(Protokoll_1p!#REF!="","",IF(VALUE(LEFT(Protokoll_1p!#REF!,FIND(":",Protokoll_1p!#REF!)-1))&gt;VALUE(RIGHT(Protokoll_1p!#REF!,LEN(Protokoll_1p!#REF!)-FIND(":",Protokoll_1p!#REF!))),0,1))</f>
        <v>#REF!</v>
      </c>
      <c r="N135" s="1" t="e">
        <f t="shared" si="5"/>
        <v>#REF!</v>
      </c>
    </row>
    <row r="136" spans="2:14">
      <c r="B136" s="1" t="e">
        <f>IF(Protokoll_1p!#REF!="","",IF(VALUE(LEFT(Protokoll_1p!#REF!,FIND(":",Protokoll_1p!#REF!)-1))&gt;VALUE(RIGHT(Protokoll_1p!#REF!,LEN(Protokoll_1p!#REF!)-FIND(":",Protokoll_1p!#REF!))),1,0))</f>
        <v>#REF!</v>
      </c>
      <c r="C136" s="1" t="e">
        <f>IF(Protokoll_1p!#REF!="","",IF(VALUE(LEFT(Protokoll_1p!#REF!,FIND(":",Protokoll_1p!#REF!)-1))&gt;VALUE(RIGHT(Protokoll_1p!#REF!,LEN(Protokoll_1p!#REF!)-FIND(":",Protokoll_1p!#REF!))),1,0))</f>
        <v>#REF!</v>
      </c>
      <c r="D136" s="1" t="e">
        <f>IF(Protokoll_1p!#REF!="","",IF(VALUE(LEFT(Protokoll_1p!#REF!,FIND(":",Protokoll_1p!#REF!)-1))&gt;VALUE(RIGHT(Protokoll_1p!#REF!,LEN(Protokoll_1p!#REF!)-FIND(":",Protokoll_1p!#REF!))),1,0))</f>
        <v>#REF!</v>
      </c>
      <c r="E136" s="1" t="e">
        <f>IF(Protokoll_1p!#REF!="","",IF(VALUE(LEFT(Protokoll_1p!#REF!,FIND(":",Protokoll_1p!#REF!)-1))&gt;VALUE(RIGHT(Protokoll_1p!#REF!,LEN(Protokoll_1p!#REF!)-FIND(":",Protokoll_1p!#REF!))),1,0))</f>
        <v>#REF!</v>
      </c>
      <c r="F136" s="1" t="e">
        <f>IF(Protokoll_1p!#REF!="","",IF(VALUE(LEFT(Protokoll_1p!#REF!,FIND(":",Protokoll_1p!#REF!)-1))&gt;VALUE(RIGHT(Protokoll_1p!#REF!,LEN(Protokoll_1p!#REF!)-FIND(":",Protokoll_1p!#REF!))),1,0))</f>
        <v>#REF!</v>
      </c>
      <c r="G136" s="1" t="e">
        <f t="shared" si="4"/>
        <v>#REF!</v>
      </c>
      <c r="I136" s="1" t="e">
        <f>IF(Protokoll_1p!#REF!="","",IF(VALUE(LEFT(Protokoll_1p!#REF!,FIND(":",Protokoll_1p!#REF!)-1))&gt;VALUE(RIGHT(Protokoll_1p!#REF!,LEN(Protokoll_1p!#REF!)-FIND(":",Protokoll_1p!#REF!))),0,1))</f>
        <v>#REF!</v>
      </c>
      <c r="J136" s="1" t="e">
        <f>IF(Protokoll_1p!#REF!="","",IF(VALUE(LEFT(Protokoll_1p!#REF!,FIND(":",Protokoll_1p!#REF!)-1))&gt;VALUE(RIGHT(Protokoll_1p!#REF!,LEN(Protokoll_1p!#REF!)-FIND(":",Protokoll_1p!#REF!))),0,1))</f>
        <v>#REF!</v>
      </c>
      <c r="K136" s="1" t="e">
        <f>IF(Protokoll_1p!#REF!="","",IF(VALUE(LEFT(Protokoll_1p!#REF!,FIND(":",Protokoll_1p!#REF!)-1))&gt;VALUE(RIGHT(Protokoll_1p!#REF!,LEN(Protokoll_1p!#REF!)-FIND(":",Protokoll_1p!#REF!))),0,1))</f>
        <v>#REF!</v>
      </c>
      <c r="L136" s="1" t="e">
        <f>IF(Protokoll_1p!#REF!="","",IF(VALUE(LEFT(Protokoll_1p!#REF!,FIND(":",Protokoll_1p!#REF!)-1))&gt;VALUE(RIGHT(Protokoll_1p!#REF!,LEN(Protokoll_1p!#REF!)-FIND(":",Protokoll_1p!#REF!))),0,1))</f>
        <v>#REF!</v>
      </c>
      <c r="M136" s="1" t="e">
        <f>IF(Protokoll_1p!#REF!="","",IF(VALUE(LEFT(Protokoll_1p!#REF!,FIND(":",Protokoll_1p!#REF!)-1))&gt;VALUE(RIGHT(Protokoll_1p!#REF!,LEN(Protokoll_1p!#REF!)-FIND(":",Protokoll_1p!#REF!))),0,1))</f>
        <v>#REF!</v>
      </c>
      <c r="N136" s="1" t="e">
        <f t="shared" si="5"/>
        <v>#REF!</v>
      </c>
    </row>
    <row r="137" spans="2:14">
      <c r="B137" s="1" t="e">
        <f>IF(Protokoll_1p!#REF!="","",IF(VALUE(LEFT(Protokoll_1p!#REF!,FIND(":",Protokoll_1p!#REF!)-1))&gt;VALUE(RIGHT(Protokoll_1p!#REF!,LEN(Protokoll_1p!#REF!)-FIND(":",Protokoll_1p!#REF!))),1,0))</f>
        <v>#REF!</v>
      </c>
      <c r="C137" s="1" t="e">
        <f>IF(Protokoll_1p!#REF!="","",IF(VALUE(LEFT(Protokoll_1p!#REF!,FIND(":",Protokoll_1p!#REF!)-1))&gt;VALUE(RIGHT(Protokoll_1p!#REF!,LEN(Protokoll_1p!#REF!)-FIND(":",Protokoll_1p!#REF!))),1,0))</f>
        <v>#REF!</v>
      </c>
      <c r="D137" s="1" t="e">
        <f>IF(Protokoll_1p!#REF!="","",IF(VALUE(LEFT(Protokoll_1p!#REF!,FIND(":",Protokoll_1p!#REF!)-1))&gt;VALUE(RIGHT(Protokoll_1p!#REF!,LEN(Protokoll_1p!#REF!)-FIND(":",Protokoll_1p!#REF!))),1,0))</f>
        <v>#REF!</v>
      </c>
      <c r="E137" s="1" t="e">
        <f>IF(Protokoll_1p!#REF!="","",IF(VALUE(LEFT(Protokoll_1p!#REF!,FIND(":",Protokoll_1p!#REF!)-1))&gt;VALUE(RIGHT(Protokoll_1p!#REF!,LEN(Protokoll_1p!#REF!)-FIND(":",Protokoll_1p!#REF!))),1,0))</f>
        <v>#REF!</v>
      </c>
      <c r="F137" s="1" t="e">
        <f>IF(Protokoll_1p!#REF!="","",IF(VALUE(LEFT(Protokoll_1p!#REF!,FIND(":",Protokoll_1p!#REF!)-1))&gt;VALUE(RIGHT(Protokoll_1p!#REF!,LEN(Protokoll_1p!#REF!)-FIND(":",Protokoll_1p!#REF!))),1,0))</f>
        <v>#REF!</v>
      </c>
      <c r="G137" s="1" t="e">
        <f t="shared" si="4"/>
        <v>#REF!</v>
      </c>
      <c r="I137" s="1" t="e">
        <f>IF(Protokoll_1p!#REF!="","",IF(VALUE(LEFT(Protokoll_1p!#REF!,FIND(":",Protokoll_1p!#REF!)-1))&gt;VALUE(RIGHT(Protokoll_1p!#REF!,LEN(Protokoll_1p!#REF!)-FIND(":",Protokoll_1p!#REF!))),0,1))</f>
        <v>#REF!</v>
      </c>
      <c r="J137" s="1" t="e">
        <f>IF(Protokoll_1p!#REF!="","",IF(VALUE(LEFT(Protokoll_1p!#REF!,FIND(":",Protokoll_1p!#REF!)-1))&gt;VALUE(RIGHT(Protokoll_1p!#REF!,LEN(Protokoll_1p!#REF!)-FIND(":",Protokoll_1p!#REF!))),0,1))</f>
        <v>#REF!</v>
      </c>
      <c r="K137" s="1" t="e">
        <f>IF(Protokoll_1p!#REF!="","",IF(VALUE(LEFT(Protokoll_1p!#REF!,FIND(":",Protokoll_1p!#REF!)-1))&gt;VALUE(RIGHT(Protokoll_1p!#REF!,LEN(Protokoll_1p!#REF!)-FIND(":",Protokoll_1p!#REF!))),0,1))</f>
        <v>#REF!</v>
      </c>
      <c r="L137" s="1" t="e">
        <f>IF(Protokoll_1p!#REF!="","",IF(VALUE(LEFT(Protokoll_1p!#REF!,FIND(":",Protokoll_1p!#REF!)-1))&gt;VALUE(RIGHT(Protokoll_1p!#REF!,LEN(Protokoll_1p!#REF!)-FIND(":",Protokoll_1p!#REF!))),0,1))</f>
        <v>#REF!</v>
      </c>
      <c r="M137" s="1" t="e">
        <f>IF(Protokoll_1p!#REF!="","",IF(VALUE(LEFT(Protokoll_1p!#REF!,FIND(":",Protokoll_1p!#REF!)-1))&gt;VALUE(RIGHT(Protokoll_1p!#REF!,LEN(Protokoll_1p!#REF!)-FIND(":",Protokoll_1p!#REF!))),0,1))</f>
        <v>#REF!</v>
      </c>
      <c r="N137" s="1" t="e">
        <f t="shared" si="5"/>
        <v>#REF!</v>
      </c>
    </row>
    <row r="138" spans="2:14">
      <c r="B138" s="1" t="e">
        <f>IF(Protokoll_1p!#REF!="","",IF(VALUE(LEFT(Protokoll_1p!#REF!,FIND(":",Protokoll_1p!#REF!)-1))&gt;VALUE(RIGHT(Protokoll_1p!#REF!,LEN(Protokoll_1p!#REF!)-FIND(":",Protokoll_1p!#REF!))),1,0))</f>
        <v>#REF!</v>
      </c>
      <c r="C138" s="1" t="e">
        <f>IF(Protokoll_1p!#REF!="","",IF(VALUE(LEFT(Protokoll_1p!#REF!,FIND(":",Protokoll_1p!#REF!)-1))&gt;VALUE(RIGHT(Protokoll_1p!#REF!,LEN(Protokoll_1p!#REF!)-FIND(":",Protokoll_1p!#REF!))),1,0))</f>
        <v>#REF!</v>
      </c>
      <c r="D138" s="1" t="e">
        <f>IF(Protokoll_1p!#REF!="","",IF(VALUE(LEFT(Protokoll_1p!#REF!,FIND(":",Protokoll_1p!#REF!)-1))&gt;VALUE(RIGHT(Protokoll_1p!#REF!,LEN(Protokoll_1p!#REF!)-FIND(":",Protokoll_1p!#REF!))),1,0))</f>
        <v>#REF!</v>
      </c>
      <c r="E138" s="1" t="e">
        <f>IF(Protokoll_1p!#REF!="","",IF(VALUE(LEFT(Protokoll_1p!#REF!,FIND(":",Protokoll_1p!#REF!)-1))&gt;VALUE(RIGHT(Protokoll_1p!#REF!,LEN(Protokoll_1p!#REF!)-FIND(":",Protokoll_1p!#REF!))),1,0))</f>
        <v>#REF!</v>
      </c>
      <c r="F138" s="1" t="e">
        <f>IF(Protokoll_1p!#REF!="","",IF(VALUE(LEFT(Protokoll_1p!#REF!,FIND(":",Protokoll_1p!#REF!)-1))&gt;VALUE(RIGHT(Protokoll_1p!#REF!,LEN(Protokoll_1p!#REF!)-FIND(":",Protokoll_1p!#REF!))),1,0))</f>
        <v>#REF!</v>
      </c>
      <c r="G138" s="1" t="e">
        <f t="shared" si="4"/>
        <v>#REF!</v>
      </c>
      <c r="I138" s="1" t="e">
        <f>IF(Protokoll_1p!#REF!="","",IF(VALUE(LEFT(Protokoll_1p!#REF!,FIND(":",Protokoll_1p!#REF!)-1))&gt;VALUE(RIGHT(Protokoll_1p!#REF!,LEN(Protokoll_1p!#REF!)-FIND(":",Protokoll_1p!#REF!))),0,1))</f>
        <v>#REF!</v>
      </c>
      <c r="J138" s="1" t="e">
        <f>IF(Protokoll_1p!#REF!="","",IF(VALUE(LEFT(Protokoll_1p!#REF!,FIND(":",Protokoll_1p!#REF!)-1))&gt;VALUE(RIGHT(Protokoll_1p!#REF!,LEN(Protokoll_1p!#REF!)-FIND(":",Protokoll_1p!#REF!))),0,1))</f>
        <v>#REF!</v>
      </c>
      <c r="K138" s="1" t="e">
        <f>IF(Protokoll_1p!#REF!="","",IF(VALUE(LEFT(Protokoll_1p!#REF!,FIND(":",Protokoll_1p!#REF!)-1))&gt;VALUE(RIGHT(Protokoll_1p!#REF!,LEN(Protokoll_1p!#REF!)-FIND(":",Protokoll_1p!#REF!))),0,1))</f>
        <v>#REF!</v>
      </c>
      <c r="L138" s="1" t="e">
        <f>IF(Protokoll_1p!#REF!="","",IF(VALUE(LEFT(Protokoll_1p!#REF!,FIND(":",Protokoll_1p!#REF!)-1))&gt;VALUE(RIGHT(Protokoll_1p!#REF!,LEN(Protokoll_1p!#REF!)-FIND(":",Protokoll_1p!#REF!))),0,1))</f>
        <v>#REF!</v>
      </c>
      <c r="M138" s="1" t="e">
        <f>IF(Protokoll_1p!#REF!="","",IF(VALUE(LEFT(Protokoll_1p!#REF!,FIND(":",Protokoll_1p!#REF!)-1))&gt;VALUE(RIGHT(Protokoll_1p!#REF!,LEN(Protokoll_1p!#REF!)-FIND(":",Protokoll_1p!#REF!))),0,1))</f>
        <v>#REF!</v>
      </c>
      <c r="N138" s="1" t="e">
        <f t="shared" si="5"/>
        <v>#REF!</v>
      </c>
    </row>
    <row r="139" spans="2:14">
      <c r="B139" s="1" t="e">
        <f>IF(Protokoll_1p!#REF!="","",IF(VALUE(LEFT(Protokoll_1p!#REF!,FIND(":",Protokoll_1p!#REF!)-1))&gt;VALUE(RIGHT(Protokoll_1p!#REF!,LEN(Protokoll_1p!#REF!)-FIND(":",Protokoll_1p!#REF!))),1,0))</f>
        <v>#REF!</v>
      </c>
      <c r="C139" s="1" t="e">
        <f>IF(Protokoll_1p!#REF!="","",IF(VALUE(LEFT(Protokoll_1p!#REF!,FIND(":",Protokoll_1p!#REF!)-1))&gt;VALUE(RIGHT(Protokoll_1p!#REF!,LEN(Protokoll_1p!#REF!)-FIND(":",Protokoll_1p!#REF!))),1,0))</f>
        <v>#REF!</v>
      </c>
      <c r="D139" s="1" t="e">
        <f>IF(Protokoll_1p!#REF!="","",IF(VALUE(LEFT(Protokoll_1p!#REF!,FIND(":",Protokoll_1p!#REF!)-1))&gt;VALUE(RIGHT(Protokoll_1p!#REF!,LEN(Protokoll_1p!#REF!)-FIND(":",Protokoll_1p!#REF!))),1,0))</f>
        <v>#REF!</v>
      </c>
      <c r="E139" s="1" t="e">
        <f>IF(Protokoll_1p!#REF!="","",IF(VALUE(LEFT(Protokoll_1p!#REF!,FIND(":",Protokoll_1p!#REF!)-1))&gt;VALUE(RIGHT(Protokoll_1p!#REF!,LEN(Protokoll_1p!#REF!)-FIND(":",Protokoll_1p!#REF!))),1,0))</f>
        <v>#REF!</v>
      </c>
      <c r="F139" s="1" t="e">
        <f>IF(Protokoll_1p!#REF!="","",IF(VALUE(LEFT(Protokoll_1p!#REF!,FIND(":",Protokoll_1p!#REF!)-1))&gt;VALUE(RIGHT(Protokoll_1p!#REF!,LEN(Protokoll_1p!#REF!)-FIND(":",Protokoll_1p!#REF!))),1,0))</f>
        <v>#REF!</v>
      </c>
      <c r="G139" s="1" t="e">
        <f t="shared" si="4"/>
        <v>#REF!</v>
      </c>
      <c r="I139" s="1" t="e">
        <f>IF(Protokoll_1p!#REF!="","",IF(VALUE(LEFT(Protokoll_1p!#REF!,FIND(":",Protokoll_1p!#REF!)-1))&gt;VALUE(RIGHT(Protokoll_1p!#REF!,LEN(Protokoll_1p!#REF!)-FIND(":",Protokoll_1p!#REF!))),0,1))</f>
        <v>#REF!</v>
      </c>
      <c r="J139" s="1" t="e">
        <f>IF(Protokoll_1p!#REF!="","",IF(VALUE(LEFT(Protokoll_1p!#REF!,FIND(":",Protokoll_1p!#REF!)-1))&gt;VALUE(RIGHT(Protokoll_1p!#REF!,LEN(Protokoll_1p!#REF!)-FIND(":",Protokoll_1p!#REF!))),0,1))</f>
        <v>#REF!</v>
      </c>
      <c r="K139" s="1" t="e">
        <f>IF(Protokoll_1p!#REF!="","",IF(VALUE(LEFT(Protokoll_1p!#REF!,FIND(":",Protokoll_1p!#REF!)-1))&gt;VALUE(RIGHT(Protokoll_1p!#REF!,LEN(Protokoll_1p!#REF!)-FIND(":",Protokoll_1p!#REF!))),0,1))</f>
        <v>#REF!</v>
      </c>
      <c r="L139" s="1" t="e">
        <f>IF(Protokoll_1p!#REF!="","",IF(VALUE(LEFT(Protokoll_1p!#REF!,FIND(":",Protokoll_1p!#REF!)-1))&gt;VALUE(RIGHT(Protokoll_1p!#REF!,LEN(Protokoll_1p!#REF!)-FIND(":",Protokoll_1p!#REF!))),0,1))</f>
        <v>#REF!</v>
      </c>
      <c r="M139" s="1" t="e">
        <f>IF(Protokoll_1p!#REF!="","",IF(VALUE(LEFT(Protokoll_1p!#REF!,FIND(":",Protokoll_1p!#REF!)-1))&gt;VALUE(RIGHT(Protokoll_1p!#REF!,LEN(Protokoll_1p!#REF!)-FIND(":",Protokoll_1p!#REF!))),0,1))</f>
        <v>#REF!</v>
      </c>
      <c r="N139" s="1" t="e">
        <f t="shared" si="5"/>
        <v>#REF!</v>
      </c>
    </row>
    <row r="140" spans="2:14">
      <c r="B140" s="1" t="e">
        <f>IF(Protokoll_1p!#REF!="","",IF(VALUE(LEFT(Protokoll_1p!#REF!,FIND(":",Protokoll_1p!#REF!)-1))&gt;VALUE(RIGHT(Protokoll_1p!#REF!,LEN(Protokoll_1p!#REF!)-FIND(":",Protokoll_1p!#REF!))),1,0))</f>
        <v>#REF!</v>
      </c>
      <c r="C140" s="1" t="e">
        <f>IF(Protokoll_1p!#REF!="","",IF(VALUE(LEFT(Protokoll_1p!#REF!,FIND(":",Protokoll_1p!#REF!)-1))&gt;VALUE(RIGHT(Protokoll_1p!#REF!,LEN(Protokoll_1p!#REF!)-FIND(":",Protokoll_1p!#REF!))),1,0))</f>
        <v>#REF!</v>
      </c>
      <c r="D140" s="1" t="e">
        <f>IF(Protokoll_1p!#REF!="","",IF(VALUE(LEFT(Protokoll_1p!#REF!,FIND(":",Protokoll_1p!#REF!)-1))&gt;VALUE(RIGHT(Protokoll_1p!#REF!,LEN(Protokoll_1p!#REF!)-FIND(":",Protokoll_1p!#REF!))),1,0))</f>
        <v>#REF!</v>
      </c>
      <c r="E140" s="1" t="e">
        <f>IF(Protokoll_1p!#REF!="","",IF(VALUE(LEFT(Protokoll_1p!#REF!,FIND(":",Protokoll_1p!#REF!)-1))&gt;VALUE(RIGHT(Protokoll_1p!#REF!,LEN(Protokoll_1p!#REF!)-FIND(":",Protokoll_1p!#REF!))),1,0))</f>
        <v>#REF!</v>
      </c>
      <c r="F140" s="1" t="e">
        <f>IF(Protokoll_1p!#REF!="","",IF(VALUE(LEFT(Protokoll_1p!#REF!,FIND(":",Protokoll_1p!#REF!)-1))&gt;VALUE(RIGHT(Protokoll_1p!#REF!,LEN(Protokoll_1p!#REF!)-FIND(":",Protokoll_1p!#REF!))),1,0))</f>
        <v>#REF!</v>
      </c>
      <c r="G140" s="1" t="e">
        <f t="shared" si="4"/>
        <v>#REF!</v>
      </c>
      <c r="I140" s="1" t="e">
        <f>IF(Protokoll_1p!#REF!="","",IF(VALUE(LEFT(Protokoll_1p!#REF!,FIND(":",Protokoll_1p!#REF!)-1))&gt;VALUE(RIGHT(Protokoll_1p!#REF!,LEN(Protokoll_1p!#REF!)-FIND(":",Protokoll_1p!#REF!))),0,1))</f>
        <v>#REF!</v>
      </c>
      <c r="J140" s="1" t="e">
        <f>IF(Protokoll_1p!#REF!="","",IF(VALUE(LEFT(Protokoll_1p!#REF!,FIND(":",Protokoll_1p!#REF!)-1))&gt;VALUE(RIGHT(Protokoll_1p!#REF!,LEN(Protokoll_1p!#REF!)-FIND(":",Protokoll_1p!#REF!))),0,1))</f>
        <v>#REF!</v>
      </c>
      <c r="K140" s="1" t="e">
        <f>IF(Protokoll_1p!#REF!="","",IF(VALUE(LEFT(Protokoll_1p!#REF!,FIND(":",Protokoll_1p!#REF!)-1))&gt;VALUE(RIGHT(Protokoll_1p!#REF!,LEN(Protokoll_1p!#REF!)-FIND(":",Protokoll_1p!#REF!))),0,1))</f>
        <v>#REF!</v>
      </c>
      <c r="L140" s="1" t="e">
        <f>IF(Protokoll_1p!#REF!="","",IF(VALUE(LEFT(Protokoll_1p!#REF!,FIND(":",Protokoll_1p!#REF!)-1))&gt;VALUE(RIGHT(Protokoll_1p!#REF!,LEN(Protokoll_1p!#REF!)-FIND(":",Protokoll_1p!#REF!))),0,1))</f>
        <v>#REF!</v>
      </c>
      <c r="M140" s="1" t="e">
        <f>IF(Protokoll_1p!#REF!="","",IF(VALUE(LEFT(Protokoll_1p!#REF!,FIND(":",Protokoll_1p!#REF!)-1))&gt;VALUE(RIGHT(Protokoll_1p!#REF!,LEN(Protokoll_1p!#REF!)-FIND(":",Protokoll_1p!#REF!))),0,1))</f>
        <v>#REF!</v>
      </c>
      <c r="N140" s="1" t="e">
        <f t="shared" si="5"/>
        <v>#REF!</v>
      </c>
    </row>
    <row r="141" spans="2:14">
      <c r="B141" s="1" t="e">
        <f>IF(Protokoll_1p!#REF!="","",IF(VALUE(LEFT(Protokoll_1p!#REF!,FIND(":",Protokoll_1p!#REF!)-1))&gt;VALUE(RIGHT(Protokoll_1p!#REF!,LEN(Protokoll_1p!#REF!)-FIND(":",Protokoll_1p!#REF!))),1,0))</f>
        <v>#REF!</v>
      </c>
      <c r="C141" s="1" t="e">
        <f>IF(Protokoll_1p!#REF!="","",IF(VALUE(LEFT(Protokoll_1p!#REF!,FIND(":",Protokoll_1p!#REF!)-1))&gt;VALUE(RIGHT(Protokoll_1p!#REF!,LEN(Protokoll_1p!#REF!)-FIND(":",Protokoll_1p!#REF!))),1,0))</f>
        <v>#REF!</v>
      </c>
      <c r="D141" s="1" t="e">
        <f>IF(Protokoll_1p!#REF!="","",IF(VALUE(LEFT(Protokoll_1p!#REF!,FIND(":",Protokoll_1p!#REF!)-1))&gt;VALUE(RIGHT(Protokoll_1p!#REF!,LEN(Protokoll_1p!#REF!)-FIND(":",Protokoll_1p!#REF!))),1,0))</f>
        <v>#REF!</v>
      </c>
      <c r="E141" s="1" t="e">
        <f>IF(Protokoll_1p!#REF!="","",IF(VALUE(LEFT(Protokoll_1p!#REF!,FIND(":",Protokoll_1p!#REF!)-1))&gt;VALUE(RIGHT(Protokoll_1p!#REF!,LEN(Protokoll_1p!#REF!)-FIND(":",Protokoll_1p!#REF!))),1,0))</f>
        <v>#REF!</v>
      </c>
      <c r="F141" s="1" t="e">
        <f>IF(Protokoll_1p!#REF!="","",IF(VALUE(LEFT(Protokoll_1p!#REF!,FIND(":",Protokoll_1p!#REF!)-1))&gt;VALUE(RIGHT(Protokoll_1p!#REF!,LEN(Protokoll_1p!#REF!)-FIND(":",Protokoll_1p!#REF!))),1,0))</f>
        <v>#REF!</v>
      </c>
      <c r="G141" s="1" t="e">
        <f t="shared" si="4"/>
        <v>#REF!</v>
      </c>
      <c r="I141" s="1" t="e">
        <f>IF(Protokoll_1p!#REF!="","",IF(VALUE(LEFT(Protokoll_1p!#REF!,FIND(":",Protokoll_1p!#REF!)-1))&gt;VALUE(RIGHT(Protokoll_1p!#REF!,LEN(Protokoll_1p!#REF!)-FIND(":",Protokoll_1p!#REF!))),0,1))</f>
        <v>#REF!</v>
      </c>
      <c r="J141" s="1" t="e">
        <f>IF(Protokoll_1p!#REF!="","",IF(VALUE(LEFT(Protokoll_1p!#REF!,FIND(":",Protokoll_1p!#REF!)-1))&gt;VALUE(RIGHT(Protokoll_1p!#REF!,LEN(Protokoll_1p!#REF!)-FIND(":",Protokoll_1p!#REF!))),0,1))</f>
        <v>#REF!</v>
      </c>
      <c r="K141" s="1" t="e">
        <f>IF(Protokoll_1p!#REF!="","",IF(VALUE(LEFT(Protokoll_1p!#REF!,FIND(":",Protokoll_1p!#REF!)-1))&gt;VALUE(RIGHT(Protokoll_1p!#REF!,LEN(Protokoll_1p!#REF!)-FIND(":",Protokoll_1p!#REF!))),0,1))</f>
        <v>#REF!</v>
      </c>
      <c r="L141" s="1" t="e">
        <f>IF(Protokoll_1p!#REF!="","",IF(VALUE(LEFT(Protokoll_1p!#REF!,FIND(":",Protokoll_1p!#REF!)-1))&gt;VALUE(RIGHT(Protokoll_1p!#REF!,LEN(Protokoll_1p!#REF!)-FIND(":",Protokoll_1p!#REF!))),0,1))</f>
        <v>#REF!</v>
      </c>
      <c r="M141" s="1" t="e">
        <f>IF(Protokoll_1p!#REF!="","",IF(VALUE(LEFT(Protokoll_1p!#REF!,FIND(":",Protokoll_1p!#REF!)-1))&gt;VALUE(RIGHT(Protokoll_1p!#REF!,LEN(Protokoll_1p!#REF!)-FIND(":",Protokoll_1p!#REF!))),0,1))</f>
        <v>#REF!</v>
      </c>
      <c r="N141" s="1" t="e">
        <f t="shared" si="5"/>
        <v>#REF!</v>
      </c>
    </row>
    <row r="142" spans="2:14">
      <c r="B142" s="1" t="e">
        <f>IF(Protokoll_1p!#REF!="","",IF(VALUE(LEFT(Protokoll_1p!#REF!,FIND(":",Protokoll_1p!#REF!)-1))&gt;VALUE(RIGHT(Protokoll_1p!#REF!,LEN(Protokoll_1p!#REF!)-FIND(":",Protokoll_1p!#REF!))),1,0))</f>
        <v>#REF!</v>
      </c>
      <c r="C142" s="1" t="e">
        <f>IF(Protokoll_1p!#REF!="","",IF(VALUE(LEFT(Protokoll_1p!#REF!,FIND(":",Protokoll_1p!#REF!)-1))&gt;VALUE(RIGHT(Protokoll_1p!#REF!,LEN(Protokoll_1p!#REF!)-FIND(":",Protokoll_1p!#REF!))),1,0))</f>
        <v>#REF!</v>
      </c>
      <c r="D142" s="1" t="e">
        <f>IF(Protokoll_1p!#REF!="","",IF(VALUE(LEFT(Protokoll_1p!#REF!,FIND(":",Protokoll_1p!#REF!)-1))&gt;VALUE(RIGHT(Protokoll_1p!#REF!,LEN(Protokoll_1p!#REF!)-FIND(":",Protokoll_1p!#REF!))),1,0))</f>
        <v>#REF!</v>
      </c>
      <c r="E142" s="1" t="e">
        <f>IF(Protokoll_1p!#REF!="","",IF(VALUE(LEFT(Protokoll_1p!#REF!,FIND(":",Protokoll_1p!#REF!)-1))&gt;VALUE(RIGHT(Protokoll_1p!#REF!,LEN(Protokoll_1p!#REF!)-FIND(":",Protokoll_1p!#REF!))),1,0))</f>
        <v>#REF!</v>
      </c>
      <c r="F142" s="1" t="e">
        <f>IF(Protokoll_1p!#REF!="","",IF(VALUE(LEFT(Protokoll_1p!#REF!,FIND(":",Protokoll_1p!#REF!)-1))&gt;VALUE(RIGHT(Protokoll_1p!#REF!,LEN(Protokoll_1p!#REF!)-FIND(":",Protokoll_1p!#REF!))),1,0))</f>
        <v>#REF!</v>
      </c>
      <c r="G142" s="1" t="e">
        <f t="shared" si="4"/>
        <v>#REF!</v>
      </c>
      <c r="I142" s="1" t="e">
        <f>IF(Protokoll_1p!#REF!="","",IF(VALUE(LEFT(Protokoll_1p!#REF!,FIND(":",Protokoll_1p!#REF!)-1))&gt;VALUE(RIGHT(Protokoll_1p!#REF!,LEN(Protokoll_1p!#REF!)-FIND(":",Protokoll_1p!#REF!))),0,1))</f>
        <v>#REF!</v>
      </c>
      <c r="J142" s="1" t="e">
        <f>IF(Protokoll_1p!#REF!="","",IF(VALUE(LEFT(Protokoll_1p!#REF!,FIND(":",Protokoll_1p!#REF!)-1))&gt;VALUE(RIGHT(Protokoll_1p!#REF!,LEN(Protokoll_1p!#REF!)-FIND(":",Protokoll_1p!#REF!))),0,1))</f>
        <v>#REF!</v>
      </c>
      <c r="K142" s="1" t="e">
        <f>IF(Protokoll_1p!#REF!="","",IF(VALUE(LEFT(Protokoll_1p!#REF!,FIND(":",Protokoll_1p!#REF!)-1))&gt;VALUE(RIGHT(Protokoll_1p!#REF!,LEN(Protokoll_1p!#REF!)-FIND(":",Protokoll_1p!#REF!))),0,1))</f>
        <v>#REF!</v>
      </c>
      <c r="L142" s="1" t="e">
        <f>IF(Protokoll_1p!#REF!="","",IF(VALUE(LEFT(Protokoll_1p!#REF!,FIND(":",Protokoll_1p!#REF!)-1))&gt;VALUE(RIGHT(Protokoll_1p!#REF!,LEN(Protokoll_1p!#REF!)-FIND(":",Protokoll_1p!#REF!))),0,1))</f>
        <v>#REF!</v>
      </c>
      <c r="M142" s="1" t="e">
        <f>IF(Protokoll_1p!#REF!="","",IF(VALUE(LEFT(Protokoll_1p!#REF!,FIND(":",Protokoll_1p!#REF!)-1))&gt;VALUE(RIGHT(Protokoll_1p!#REF!,LEN(Protokoll_1p!#REF!)-FIND(":",Protokoll_1p!#REF!))),0,1))</f>
        <v>#REF!</v>
      </c>
      <c r="N142" s="1" t="e">
        <f t="shared" si="5"/>
        <v>#REF!</v>
      </c>
    </row>
    <row r="143" spans="2:14">
      <c r="B143" s="1" t="e">
        <f>IF(Protokoll_1p!#REF!="","",IF(VALUE(LEFT(Protokoll_1p!#REF!,FIND(":",Protokoll_1p!#REF!)-1))&gt;VALUE(RIGHT(Protokoll_1p!#REF!,LEN(Protokoll_1p!#REF!)-FIND(":",Protokoll_1p!#REF!))),1,0))</f>
        <v>#REF!</v>
      </c>
      <c r="C143" s="1" t="e">
        <f>IF(Protokoll_1p!#REF!="","",IF(VALUE(LEFT(Protokoll_1p!#REF!,FIND(":",Protokoll_1p!#REF!)-1))&gt;VALUE(RIGHT(Protokoll_1p!#REF!,LEN(Protokoll_1p!#REF!)-FIND(":",Protokoll_1p!#REF!))),1,0))</f>
        <v>#REF!</v>
      </c>
      <c r="D143" s="1" t="e">
        <f>IF(Protokoll_1p!#REF!="","",IF(VALUE(LEFT(Protokoll_1p!#REF!,FIND(":",Protokoll_1p!#REF!)-1))&gt;VALUE(RIGHT(Protokoll_1p!#REF!,LEN(Protokoll_1p!#REF!)-FIND(":",Protokoll_1p!#REF!))),1,0))</f>
        <v>#REF!</v>
      </c>
      <c r="E143" s="1" t="e">
        <f>IF(Protokoll_1p!#REF!="","",IF(VALUE(LEFT(Protokoll_1p!#REF!,FIND(":",Protokoll_1p!#REF!)-1))&gt;VALUE(RIGHT(Protokoll_1p!#REF!,LEN(Protokoll_1p!#REF!)-FIND(":",Protokoll_1p!#REF!))),1,0))</f>
        <v>#REF!</v>
      </c>
      <c r="F143" s="1" t="e">
        <f>IF(Protokoll_1p!#REF!="","",IF(VALUE(LEFT(Protokoll_1p!#REF!,FIND(":",Protokoll_1p!#REF!)-1))&gt;VALUE(RIGHT(Protokoll_1p!#REF!,LEN(Protokoll_1p!#REF!)-FIND(":",Protokoll_1p!#REF!))),1,0))</f>
        <v>#REF!</v>
      </c>
      <c r="G143" s="1" t="e">
        <f t="shared" si="4"/>
        <v>#REF!</v>
      </c>
      <c r="I143" s="1" t="e">
        <f>IF(Protokoll_1p!#REF!="","",IF(VALUE(LEFT(Protokoll_1p!#REF!,FIND(":",Protokoll_1p!#REF!)-1))&gt;VALUE(RIGHT(Protokoll_1p!#REF!,LEN(Protokoll_1p!#REF!)-FIND(":",Protokoll_1p!#REF!))),0,1))</f>
        <v>#REF!</v>
      </c>
      <c r="J143" s="1" t="e">
        <f>IF(Protokoll_1p!#REF!="","",IF(VALUE(LEFT(Protokoll_1p!#REF!,FIND(":",Protokoll_1p!#REF!)-1))&gt;VALUE(RIGHT(Protokoll_1p!#REF!,LEN(Protokoll_1p!#REF!)-FIND(":",Protokoll_1p!#REF!))),0,1))</f>
        <v>#REF!</v>
      </c>
      <c r="K143" s="1" t="e">
        <f>IF(Protokoll_1p!#REF!="","",IF(VALUE(LEFT(Protokoll_1p!#REF!,FIND(":",Protokoll_1p!#REF!)-1))&gt;VALUE(RIGHT(Protokoll_1p!#REF!,LEN(Protokoll_1p!#REF!)-FIND(":",Protokoll_1p!#REF!))),0,1))</f>
        <v>#REF!</v>
      </c>
      <c r="L143" s="1" t="e">
        <f>IF(Protokoll_1p!#REF!="","",IF(VALUE(LEFT(Protokoll_1p!#REF!,FIND(":",Protokoll_1p!#REF!)-1))&gt;VALUE(RIGHT(Protokoll_1p!#REF!,LEN(Protokoll_1p!#REF!)-FIND(":",Protokoll_1p!#REF!))),0,1))</f>
        <v>#REF!</v>
      </c>
      <c r="M143" s="1" t="e">
        <f>IF(Protokoll_1p!#REF!="","",IF(VALUE(LEFT(Protokoll_1p!#REF!,FIND(":",Protokoll_1p!#REF!)-1))&gt;VALUE(RIGHT(Protokoll_1p!#REF!,LEN(Protokoll_1p!#REF!)-FIND(":",Protokoll_1p!#REF!))),0,1))</f>
        <v>#REF!</v>
      </c>
      <c r="N143" s="1" t="e">
        <f t="shared" si="5"/>
        <v>#REF!</v>
      </c>
    </row>
    <row r="144" spans="2:14">
      <c r="B144" s="1" t="e">
        <f>IF(Protokoll_1p!#REF!="","",IF(VALUE(LEFT(Protokoll_1p!#REF!,FIND(":",Protokoll_1p!#REF!)-1))&gt;VALUE(RIGHT(Protokoll_1p!#REF!,LEN(Protokoll_1p!#REF!)-FIND(":",Protokoll_1p!#REF!))),1,0))</f>
        <v>#REF!</v>
      </c>
      <c r="C144" s="1" t="e">
        <f>IF(Protokoll_1p!#REF!="","",IF(VALUE(LEFT(Protokoll_1p!#REF!,FIND(":",Protokoll_1p!#REF!)-1))&gt;VALUE(RIGHT(Protokoll_1p!#REF!,LEN(Protokoll_1p!#REF!)-FIND(":",Protokoll_1p!#REF!))),1,0))</f>
        <v>#REF!</v>
      </c>
      <c r="D144" s="1" t="e">
        <f>IF(Protokoll_1p!#REF!="","",IF(VALUE(LEFT(Protokoll_1p!#REF!,FIND(":",Protokoll_1p!#REF!)-1))&gt;VALUE(RIGHT(Protokoll_1p!#REF!,LEN(Protokoll_1p!#REF!)-FIND(":",Protokoll_1p!#REF!))),1,0))</f>
        <v>#REF!</v>
      </c>
      <c r="E144" s="1" t="e">
        <f>IF(Protokoll_1p!#REF!="","",IF(VALUE(LEFT(Protokoll_1p!#REF!,FIND(":",Protokoll_1p!#REF!)-1))&gt;VALUE(RIGHT(Protokoll_1p!#REF!,LEN(Protokoll_1p!#REF!)-FIND(":",Protokoll_1p!#REF!))),1,0))</f>
        <v>#REF!</v>
      </c>
      <c r="F144" s="1" t="e">
        <f>IF(Protokoll_1p!#REF!="","",IF(VALUE(LEFT(Protokoll_1p!#REF!,FIND(":",Protokoll_1p!#REF!)-1))&gt;VALUE(RIGHT(Protokoll_1p!#REF!,LEN(Protokoll_1p!#REF!)-FIND(":",Protokoll_1p!#REF!))),1,0))</f>
        <v>#REF!</v>
      </c>
      <c r="G144" s="1" t="e">
        <f t="shared" si="4"/>
        <v>#REF!</v>
      </c>
      <c r="I144" s="1" t="e">
        <f>IF(Protokoll_1p!#REF!="","",IF(VALUE(LEFT(Protokoll_1p!#REF!,FIND(":",Protokoll_1p!#REF!)-1))&gt;VALUE(RIGHT(Protokoll_1p!#REF!,LEN(Protokoll_1p!#REF!)-FIND(":",Protokoll_1p!#REF!))),0,1))</f>
        <v>#REF!</v>
      </c>
      <c r="J144" s="1" t="e">
        <f>IF(Protokoll_1p!#REF!="","",IF(VALUE(LEFT(Protokoll_1p!#REF!,FIND(":",Protokoll_1p!#REF!)-1))&gt;VALUE(RIGHT(Protokoll_1p!#REF!,LEN(Protokoll_1p!#REF!)-FIND(":",Protokoll_1p!#REF!))),0,1))</f>
        <v>#REF!</v>
      </c>
      <c r="K144" s="1" t="e">
        <f>IF(Protokoll_1p!#REF!="","",IF(VALUE(LEFT(Protokoll_1p!#REF!,FIND(":",Protokoll_1p!#REF!)-1))&gt;VALUE(RIGHT(Protokoll_1p!#REF!,LEN(Protokoll_1p!#REF!)-FIND(":",Protokoll_1p!#REF!))),0,1))</f>
        <v>#REF!</v>
      </c>
      <c r="L144" s="1" t="e">
        <f>IF(Protokoll_1p!#REF!="","",IF(VALUE(LEFT(Protokoll_1p!#REF!,FIND(":",Protokoll_1p!#REF!)-1))&gt;VALUE(RIGHT(Protokoll_1p!#REF!,LEN(Protokoll_1p!#REF!)-FIND(":",Protokoll_1p!#REF!))),0,1))</f>
        <v>#REF!</v>
      </c>
      <c r="M144" s="1" t="e">
        <f>IF(Protokoll_1p!#REF!="","",IF(VALUE(LEFT(Protokoll_1p!#REF!,FIND(":",Protokoll_1p!#REF!)-1))&gt;VALUE(RIGHT(Protokoll_1p!#REF!,LEN(Protokoll_1p!#REF!)-FIND(":",Protokoll_1p!#REF!))),0,1))</f>
        <v>#REF!</v>
      </c>
      <c r="N144" s="1" t="e">
        <f t="shared" si="5"/>
        <v>#REF!</v>
      </c>
    </row>
    <row r="145" spans="2:14">
      <c r="B145" s="1" t="e">
        <f>IF(Protokoll_1p!#REF!="","",IF(VALUE(LEFT(Protokoll_1p!#REF!,FIND(":",Protokoll_1p!#REF!)-1))&gt;VALUE(RIGHT(Protokoll_1p!#REF!,LEN(Protokoll_1p!#REF!)-FIND(":",Protokoll_1p!#REF!))),1,0))</f>
        <v>#REF!</v>
      </c>
      <c r="C145" s="1" t="e">
        <f>IF(Protokoll_1p!#REF!="","",IF(VALUE(LEFT(Protokoll_1p!#REF!,FIND(":",Protokoll_1p!#REF!)-1))&gt;VALUE(RIGHT(Protokoll_1p!#REF!,LEN(Protokoll_1p!#REF!)-FIND(":",Protokoll_1p!#REF!))),1,0))</f>
        <v>#REF!</v>
      </c>
      <c r="D145" s="1" t="e">
        <f>IF(Protokoll_1p!#REF!="","",IF(VALUE(LEFT(Protokoll_1p!#REF!,FIND(":",Protokoll_1p!#REF!)-1))&gt;VALUE(RIGHT(Protokoll_1p!#REF!,LEN(Protokoll_1p!#REF!)-FIND(":",Protokoll_1p!#REF!))),1,0))</f>
        <v>#REF!</v>
      </c>
      <c r="E145" s="1" t="e">
        <f>IF(Protokoll_1p!#REF!="","",IF(VALUE(LEFT(Protokoll_1p!#REF!,FIND(":",Protokoll_1p!#REF!)-1))&gt;VALUE(RIGHT(Protokoll_1p!#REF!,LEN(Protokoll_1p!#REF!)-FIND(":",Protokoll_1p!#REF!))),1,0))</f>
        <v>#REF!</v>
      </c>
      <c r="F145" s="1" t="e">
        <f>IF(Protokoll_1p!#REF!="","",IF(VALUE(LEFT(Protokoll_1p!#REF!,FIND(":",Protokoll_1p!#REF!)-1))&gt;VALUE(RIGHT(Protokoll_1p!#REF!,LEN(Protokoll_1p!#REF!)-FIND(":",Protokoll_1p!#REF!))),1,0))</f>
        <v>#REF!</v>
      </c>
      <c r="G145" s="1" t="e">
        <f t="shared" si="4"/>
        <v>#REF!</v>
      </c>
      <c r="I145" s="1" t="e">
        <f>IF(Protokoll_1p!#REF!="","",IF(VALUE(LEFT(Protokoll_1p!#REF!,FIND(":",Protokoll_1p!#REF!)-1))&gt;VALUE(RIGHT(Protokoll_1p!#REF!,LEN(Protokoll_1p!#REF!)-FIND(":",Protokoll_1p!#REF!))),0,1))</f>
        <v>#REF!</v>
      </c>
      <c r="J145" s="1" t="e">
        <f>IF(Protokoll_1p!#REF!="","",IF(VALUE(LEFT(Protokoll_1p!#REF!,FIND(":",Protokoll_1p!#REF!)-1))&gt;VALUE(RIGHT(Protokoll_1p!#REF!,LEN(Protokoll_1p!#REF!)-FIND(":",Protokoll_1p!#REF!))),0,1))</f>
        <v>#REF!</v>
      </c>
      <c r="K145" s="1" t="e">
        <f>IF(Protokoll_1p!#REF!="","",IF(VALUE(LEFT(Protokoll_1p!#REF!,FIND(":",Protokoll_1p!#REF!)-1))&gt;VALUE(RIGHT(Protokoll_1p!#REF!,LEN(Protokoll_1p!#REF!)-FIND(":",Protokoll_1p!#REF!))),0,1))</f>
        <v>#REF!</v>
      </c>
      <c r="L145" s="1" t="e">
        <f>IF(Protokoll_1p!#REF!="","",IF(VALUE(LEFT(Protokoll_1p!#REF!,FIND(":",Protokoll_1p!#REF!)-1))&gt;VALUE(RIGHT(Protokoll_1p!#REF!,LEN(Protokoll_1p!#REF!)-FIND(":",Protokoll_1p!#REF!))),0,1))</f>
        <v>#REF!</v>
      </c>
      <c r="M145" s="1" t="e">
        <f>IF(Protokoll_1p!#REF!="","",IF(VALUE(LEFT(Protokoll_1p!#REF!,FIND(":",Protokoll_1p!#REF!)-1))&gt;VALUE(RIGHT(Protokoll_1p!#REF!,LEN(Protokoll_1p!#REF!)-FIND(":",Protokoll_1p!#REF!))),0,1))</f>
        <v>#REF!</v>
      </c>
      <c r="N145" s="1" t="e">
        <f t="shared" si="5"/>
        <v>#REF!</v>
      </c>
    </row>
    <row r="146" spans="2:14">
      <c r="B146" s="1" t="e">
        <f>IF(Protokoll_1p!#REF!="","",IF(VALUE(LEFT(Protokoll_1p!#REF!,FIND(":",Protokoll_1p!#REF!)-1))&gt;VALUE(RIGHT(Protokoll_1p!#REF!,LEN(Protokoll_1p!#REF!)-FIND(":",Protokoll_1p!#REF!))),1,0))</f>
        <v>#REF!</v>
      </c>
      <c r="C146" s="1" t="e">
        <f>IF(Protokoll_1p!#REF!="","",IF(VALUE(LEFT(Protokoll_1p!#REF!,FIND(":",Protokoll_1p!#REF!)-1))&gt;VALUE(RIGHT(Protokoll_1p!#REF!,LEN(Protokoll_1p!#REF!)-FIND(":",Protokoll_1p!#REF!))),1,0))</f>
        <v>#REF!</v>
      </c>
      <c r="D146" s="1" t="e">
        <f>IF(Protokoll_1p!#REF!="","",IF(VALUE(LEFT(Protokoll_1p!#REF!,FIND(":",Protokoll_1p!#REF!)-1))&gt;VALUE(RIGHT(Protokoll_1p!#REF!,LEN(Protokoll_1p!#REF!)-FIND(":",Protokoll_1p!#REF!))),1,0))</f>
        <v>#REF!</v>
      </c>
      <c r="E146" s="1" t="e">
        <f>IF(Protokoll_1p!#REF!="","",IF(VALUE(LEFT(Protokoll_1p!#REF!,FIND(":",Protokoll_1p!#REF!)-1))&gt;VALUE(RIGHT(Protokoll_1p!#REF!,LEN(Protokoll_1p!#REF!)-FIND(":",Protokoll_1p!#REF!))),1,0))</f>
        <v>#REF!</v>
      </c>
      <c r="F146" s="1" t="e">
        <f>IF(Protokoll_1p!#REF!="","",IF(VALUE(LEFT(Protokoll_1p!#REF!,FIND(":",Protokoll_1p!#REF!)-1))&gt;VALUE(RIGHT(Protokoll_1p!#REF!,LEN(Protokoll_1p!#REF!)-FIND(":",Protokoll_1p!#REF!))),1,0))</f>
        <v>#REF!</v>
      </c>
      <c r="G146" s="1" t="e">
        <f t="shared" si="4"/>
        <v>#REF!</v>
      </c>
      <c r="I146" s="1" t="e">
        <f>IF(Protokoll_1p!#REF!="","",IF(VALUE(LEFT(Protokoll_1p!#REF!,FIND(":",Protokoll_1p!#REF!)-1))&gt;VALUE(RIGHT(Protokoll_1p!#REF!,LEN(Protokoll_1p!#REF!)-FIND(":",Protokoll_1p!#REF!))),0,1))</f>
        <v>#REF!</v>
      </c>
      <c r="J146" s="1" t="e">
        <f>IF(Protokoll_1p!#REF!="","",IF(VALUE(LEFT(Protokoll_1p!#REF!,FIND(":",Protokoll_1p!#REF!)-1))&gt;VALUE(RIGHT(Protokoll_1p!#REF!,LEN(Protokoll_1p!#REF!)-FIND(":",Protokoll_1p!#REF!))),0,1))</f>
        <v>#REF!</v>
      </c>
      <c r="K146" s="1" t="e">
        <f>IF(Protokoll_1p!#REF!="","",IF(VALUE(LEFT(Protokoll_1p!#REF!,FIND(":",Protokoll_1p!#REF!)-1))&gt;VALUE(RIGHT(Protokoll_1p!#REF!,LEN(Protokoll_1p!#REF!)-FIND(":",Protokoll_1p!#REF!))),0,1))</f>
        <v>#REF!</v>
      </c>
      <c r="L146" s="1" t="e">
        <f>IF(Protokoll_1p!#REF!="","",IF(VALUE(LEFT(Protokoll_1p!#REF!,FIND(":",Protokoll_1p!#REF!)-1))&gt;VALUE(RIGHT(Protokoll_1p!#REF!,LEN(Protokoll_1p!#REF!)-FIND(":",Protokoll_1p!#REF!))),0,1))</f>
        <v>#REF!</v>
      </c>
      <c r="M146" s="1" t="e">
        <f>IF(Protokoll_1p!#REF!="","",IF(VALUE(LEFT(Protokoll_1p!#REF!,FIND(":",Protokoll_1p!#REF!)-1))&gt;VALUE(RIGHT(Protokoll_1p!#REF!,LEN(Protokoll_1p!#REF!)-FIND(":",Protokoll_1p!#REF!))),0,1))</f>
        <v>#REF!</v>
      </c>
      <c r="N146" s="1" t="e">
        <f t="shared" si="5"/>
        <v>#REF!</v>
      </c>
    </row>
    <row r="147" spans="2:14">
      <c r="B147" s="1" t="e">
        <f>IF(Protokoll_1p!#REF!="","",IF(VALUE(LEFT(Protokoll_1p!#REF!,FIND(":",Protokoll_1p!#REF!)-1))&gt;VALUE(RIGHT(Protokoll_1p!#REF!,LEN(Protokoll_1p!#REF!)-FIND(":",Protokoll_1p!#REF!))),1,0))</f>
        <v>#REF!</v>
      </c>
      <c r="C147" s="1" t="e">
        <f>IF(Protokoll_1p!#REF!="","",IF(VALUE(LEFT(Protokoll_1p!#REF!,FIND(":",Protokoll_1p!#REF!)-1))&gt;VALUE(RIGHT(Protokoll_1p!#REF!,LEN(Protokoll_1p!#REF!)-FIND(":",Protokoll_1p!#REF!))),1,0))</f>
        <v>#REF!</v>
      </c>
      <c r="D147" s="1" t="e">
        <f>IF(Protokoll_1p!#REF!="","",IF(VALUE(LEFT(Protokoll_1p!#REF!,FIND(":",Protokoll_1p!#REF!)-1))&gt;VALUE(RIGHT(Protokoll_1p!#REF!,LEN(Protokoll_1p!#REF!)-FIND(":",Protokoll_1p!#REF!))),1,0))</f>
        <v>#REF!</v>
      </c>
      <c r="E147" s="1" t="e">
        <f>IF(Protokoll_1p!#REF!="","",IF(VALUE(LEFT(Protokoll_1p!#REF!,FIND(":",Protokoll_1p!#REF!)-1))&gt;VALUE(RIGHT(Protokoll_1p!#REF!,LEN(Protokoll_1p!#REF!)-FIND(":",Protokoll_1p!#REF!))),1,0))</f>
        <v>#REF!</v>
      </c>
      <c r="F147" s="1" t="e">
        <f>IF(Protokoll_1p!#REF!="","",IF(VALUE(LEFT(Protokoll_1p!#REF!,FIND(":",Protokoll_1p!#REF!)-1))&gt;VALUE(RIGHT(Protokoll_1p!#REF!,LEN(Protokoll_1p!#REF!)-FIND(":",Protokoll_1p!#REF!))),1,0))</f>
        <v>#REF!</v>
      </c>
      <c r="G147" s="1" t="e">
        <f t="shared" si="4"/>
        <v>#REF!</v>
      </c>
      <c r="I147" s="1" t="e">
        <f>IF(Protokoll_1p!#REF!="","",IF(VALUE(LEFT(Protokoll_1p!#REF!,FIND(":",Protokoll_1p!#REF!)-1))&gt;VALUE(RIGHT(Protokoll_1p!#REF!,LEN(Protokoll_1p!#REF!)-FIND(":",Protokoll_1p!#REF!))),0,1))</f>
        <v>#REF!</v>
      </c>
      <c r="J147" s="1" t="e">
        <f>IF(Protokoll_1p!#REF!="","",IF(VALUE(LEFT(Protokoll_1p!#REF!,FIND(":",Protokoll_1p!#REF!)-1))&gt;VALUE(RIGHT(Protokoll_1p!#REF!,LEN(Protokoll_1p!#REF!)-FIND(":",Protokoll_1p!#REF!))),0,1))</f>
        <v>#REF!</v>
      </c>
      <c r="K147" s="1" t="e">
        <f>IF(Protokoll_1p!#REF!="","",IF(VALUE(LEFT(Protokoll_1p!#REF!,FIND(":",Protokoll_1p!#REF!)-1))&gt;VALUE(RIGHT(Protokoll_1p!#REF!,LEN(Protokoll_1p!#REF!)-FIND(":",Protokoll_1p!#REF!))),0,1))</f>
        <v>#REF!</v>
      </c>
      <c r="L147" s="1" t="e">
        <f>IF(Protokoll_1p!#REF!="","",IF(VALUE(LEFT(Protokoll_1p!#REF!,FIND(":",Protokoll_1p!#REF!)-1))&gt;VALUE(RIGHT(Protokoll_1p!#REF!,LEN(Protokoll_1p!#REF!)-FIND(":",Protokoll_1p!#REF!))),0,1))</f>
        <v>#REF!</v>
      </c>
      <c r="M147" s="1" t="e">
        <f>IF(Protokoll_1p!#REF!="","",IF(VALUE(LEFT(Protokoll_1p!#REF!,FIND(":",Protokoll_1p!#REF!)-1))&gt;VALUE(RIGHT(Protokoll_1p!#REF!,LEN(Protokoll_1p!#REF!)-FIND(":",Protokoll_1p!#REF!))),0,1))</f>
        <v>#REF!</v>
      </c>
      <c r="N147" s="1" t="e">
        <f t="shared" si="5"/>
        <v>#REF!</v>
      </c>
    </row>
    <row r="148" spans="2:14">
      <c r="B148" s="1" t="e">
        <f>IF(Protokoll_1p!#REF!="","",IF(VALUE(LEFT(Protokoll_1p!#REF!,FIND(":",Protokoll_1p!#REF!)-1))&gt;VALUE(RIGHT(Protokoll_1p!#REF!,LEN(Protokoll_1p!#REF!)-FIND(":",Protokoll_1p!#REF!))),1,0))</f>
        <v>#REF!</v>
      </c>
      <c r="C148" s="1" t="e">
        <f>IF(Protokoll_1p!#REF!="","",IF(VALUE(LEFT(Protokoll_1p!#REF!,FIND(":",Protokoll_1p!#REF!)-1))&gt;VALUE(RIGHT(Protokoll_1p!#REF!,LEN(Protokoll_1p!#REF!)-FIND(":",Protokoll_1p!#REF!))),1,0))</f>
        <v>#REF!</v>
      </c>
      <c r="D148" s="1" t="e">
        <f>IF(Protokoll_1p!#REF!="","",IF(VALUE(LEFT(Protokoll_1p!#REF!,FIND(":",Protokoll_1p!#REF!)-1))&gt;VALUE(RIGHT(Protokoll_1p!#REF!,LEN(Protokoll_1p!#REF!)-FIND(":",Protokoll_1p!#REF!))),1,0))</f>
        <v>#REF!</v>
      </c>
      <c r="E148" s="1" t="e">
        <f>IF(Protokoll_1p!#REF!="","",IF(VALUE(LEFT(Protokoll_1p!#REF!,FIND(":",Protokoll_1p!#REF!)-1))&gt;VALUE(RIGHT(Protokoll_1p!#REF!,LEN(Protokoll_1p!#REF!)-FIND(":",Protokoll_1p!#REF!))),1,0))</f>
        <v>#REF!</v>
      </c>
      <c r="F148" s="1" t="e">
        <f>IF(Protokoll_1p!#REF!="","",IF(VALUE(LEFT(Protokoll_1p!#REF!,FIND(":",Protokoll_1p!#REF!)-1))&gt;VALUE(RIGHT(Protokoll_1p!#REF!,LEN(Protokoll_1p!#REF!)-FIND(":",Protokoll_1p!#REF!))),1,0))</f>
        <v>#REF!</v>
      </c>
      <c r="G148" s="1" t="e">
        <f t="shared" si="4"/>
        <v>#REF!</v>
      </c>
      <c r="I148" s="1" t="e">
        <f>IF(Protokoll_1p!#REF!="","",IF(VALUE(LEFT(Protokoll_1p!#REF!,FIND(":",Protokoll_1p!#REF!)-1))&gt;VALUE(RIGHT(Protokoll_1p!#REF!,LEN(Protokoll_1p!#REF!)-FIND(":",Protokoll_1p!#REF!))),0,1))</f>
        <v>#REF!</v>
      </c>
      <c r="J148" s="1" t="e">
        <f>IF(Protokoll_1p!#REF!="","",IF(VALUE(LEFT(Protokoll_1p!#REF!,FIND(":",Protokoll_1p!#REF!)-1))&gt;VALUE(RIGHT(Protokoll_1p!#REF!,LEN(Protokoll_1p!#REF!)-FIND(":",Protokoll_1p!#REF!))),0,1))</f>
        <v>#REF!</v>
      </c>
      <c r="K148" s="1" t="e">
        <f>IF(Protokoll_1p!#REF!="","",IF(VALUE(LEFT(Protokoll_1p!#REF!,FIND(":",Protokoll_1p!#REF!)-1))&gt;VALUE(RIGHT(Protokoll_1p!#REF!,LEN(Protokoll_1p!#REF!)-FIND(":",Protokoll_1p!#REF!))),0,1))</f>
        <v>#REF!</v>
      </c>
      <c r="L148" s="1" t="e">
        <f>IF(Protokoll_1p!#REF!="","",IF(VALUE(LEFT(Protokoll_1p!#REF!,FIND(":",Protokoll_1p!#REF!)-1))&gt;VALUE(RIGHT(Protokoll_1p!#REF!,LEN(Protokoll_1p!#REF!)-FIND(":",Protokoll_1p!#REF!))),0,1))</f>
        <v>#REF!</v>
      </c>
      <c r="M148" s="1" t="e">
        <f>IF(Protokoll_1p!#REF!="","",IF(VALUE(LEFT(Protokoll_1p!#REF!,FIND(":",Protokoll_1p!#REF!)-1))&gt;VALUE(RIGHT(Protokoll_1p!#REF!,LEN(Protokoll_1p!#REF!)-FIND(":",Protokoll_1p!#REF!))),0,1))</f>
        <v>#REF!</v>
      </c>
      <c r="N148" s="1" t="e">
        <f t="shared" si="5"/>
        <v>#REF!</v>
      </c>
    </row>
    <row r="149" spans="2:14">
      <c r="B149" s="1" t="e">
        <f>IF(Protokoll_1p!#REF!="","",IF(VALUE(LEFT(Protokoll_1p!#REF!,FIND(":",Protokoll_1p!#REF!)-1))&gt;VALUE(RIGHT(Protokoll_1p!#REF!,LEN(Protokoll_1p!#REF!)-FIND(":",Protokoll_1p!#REF!))),1,0))</f>
        <v>#REF!</v>
      </c>
      <c r="C149" s="1" t="e">
        <f>IF(Protokoll_1p!#REF!="","",IF(VALUE(LEFT(Protokoll_1p!#REF!,FIND(":",Protokoll_1p!#REF!)-1))&gt;VALUE(RIGHT(Protokoll_1p!#REF!,LEN(Protokoll_1p!#REF!)-FIND(":",Protokoll_1p!#REF!))),1,0))</f>
        <v>#REF!</v>
      </c>
      <c r="D149" s="1" t="e">
        <f>IF(Protokoll_1p!#REF!="","",IF(VALUE(LEFT(Protokoll_1p!#REF!,FIND(":",Protokoll_1p!#REF!)-1))&gt;VALUE(RIGHT(Protokoll_1p!#REF!,LEN(Protokoll_1p!#REF!)-FIND(":",Protokoll_1p!#REF!))),1,0))</f>
        <v>#REF!</v>
      </c>
      <c r="E149" s="1" t="e">
        <f>IF(Protokoll_1p!#REF!="","",IF(VALUE(LEFT(Protokoll_1p!#REF!,FIND(":",Protokoll_1p!#REF!)-1))&gt;VALUE(RIGHT(Protokoll_1p!#REF!,LEN(Protokoll_1p!#REF!)-FIND(":",Protokoll_1p!#REF!))),1,0))</f>
        <v>#REF!</v>
      </c>
      <c r="F149" s="1" t="e">
        <f>IF(Protokoll_1p!#REF!="","",IF(VALUE(LEFT(Protokoll_1p!#REF!,FIND(":",Protokoll_1p!#REF!)-1))&gt;VALUE(RIGHT(Protokoll_1p!#REF!,LEN(Protokoll_1p!#REF!)-FIND(":",Protokoll_1p!#REF!))),1,0))</f>
        <v>#REF!</v>
      </c>
      <c r="G149" s="1" t="e">
        <f t="shared" si="4"/>
        <v>#REF!</v>
      </c>
      <c r="I149" s="1" t="e">
        <f>IF(Protokoll_1p!#REF!="","",IF(VALUE(LEFT(Protokoll_1p!#REF!,FIND(":",Protokoll_1p!#REF!)-1))&gt;VALUE(RIGHT(Protokoll_1p!#REF!,LEN(Protokoll_1p!#REF!)-FIND(":",Protokoll_1p!#REF!))),0,1))</f>
        <v>#REF!</v>
      </c>
      <c r="J149" s="1" t="e">
        <f>IF(Protokoll_1p!#REF!="","",IF(VALUE(LEFT(Protokoll_1p!#REF!,FIND(":",Protokoll_1p!#REF!)-1))&gt;VALUE(RIGHT(Protokoll_1p!#REF!,LEN(Protokoll_1p!#REF!)-FIND(":",Protokoll_1p!#REF!))),0,1))</f>
        <v>#REF!</v>
      </c>
      <c r="K149" s="1" t="e">
        <f>IF(Protokoll_1p!#REF!="","",IF(VALUE(LEFT(Protokoll_1p!#REF!,FIND(":",Protokoll_1p!#REF!)-1))&gt;VALUE(RIGHT(Protokoll_1p!#REF!,LEN(Protokoll_1p!#REF!)-FIND(":",Protokoll_1p!#REF!))),0,1))</f>
        <v>#REF!</v>
      </c>
      <c r="L149" s="1" t="e">
        <f>IF(Protokoll_1p!#REF!="","",IF(VALUE(LEFT(Protokoll_1p!#REF!,FIND(":",Protokoll_1p!#REF!)-1))&gt;VALUE(RIGHT(Protokoll_1p!#REF!,LEN(Protokoll_1p!#REF!)-FIND(":",Protokoll_1p!#REF!))),0,1))</f>
        <v>#REF!</v>
      </c>
      <c r="M149" s="1" t="e">
        <f>IF(Protokoll_1p!#REF!="","",IF(VALUE(LEFT(Protokoll_1p!#REF!,FIND(":",Protokoll_1p!#REF!)-1))&gt;VALUE(RIGHT(Protokoll_1p!#REF!,LEN(Protokoll_1p!#REF!)-FIND(":",Protokoll_1p!#REF!))),0,1))</f>
        <v>#REF!</v>
      </c>
      <c r="N149" s="1" t="e">
        <f t="shared" si="5"/>
        <v>#REF!</v>
      </c>
    </row>
    <row r="150" spans="2:14">
      <c r="B150" s="1" t="e">
        <f>IF(Protokoll_1p!#REF!="","",IF(VALUE(LEFT(Protokoll_1p!#REF!,FIND(":",Protokoll_1p!#REF!)-1))&gt;VALUE(RIGHT(Protokoll_1p!#REF!,LEN(Protokoll_1p!#REF!)-FIND(":",Protokoll_1p!#REF!))),1,0))</f>
        <v>#REF!</v>
      </c>
      <c r="C150" s="1" t="e">
        <f>IF(Protokoll_1p!#REF!="","",IF(VALUE(LEFT(Protokoll_1p!#REF!,FIND(":",Protokoll_1p!#REF!)-1))&gt;VALUE(RIGHT(Protokoll_1p!#REF!,LEN(Protokoll_1p!#REF!)-FIND(":",Protokoll_1p!#REF!))),1,0))</f>
        <v>#REF!</v>
      </c>
      <c r="D150" s="1" t="e">
        <f>IF(Protokoll_1p!#REF!="","",IF(VALUE(LEFT(Protokoll_1p!#REF!,FIND(":",Protokoll_1p!#REF!)-1))&gt;VALUE(RIGHT(Protokoll_1p!#REF!,LEN(Protokoll_1p!#REF!)-FIND(":",Protokoll_1p!#REF!))),1,0))</f>
        <v>#REF!</v>
      </c>
      <c r="E150" s="1" t="e">
        <f>IF(Protokoll_1p!#REF!="","",IF(VALUE(LEFT(Protokoll_1p!#REF!,FIND(":",Protokoll_1p!#REF!)-1))&gt;VALUE(RIGHT(Protokoll_1p!#REF!,LEN(Protokoll_1p!#REF!)-FIND(":",Protokoll_1p!#REF!))),1,0))</f>
        <v>#REF!</v>
      </c>
      <c r="F150" s="1" t="e">
        <f>IF(Protokoll_1p!#REF!="","",IF(VALUE(LEFT(Protokoll_1p!#REF!,FIND(":",Protokoll_1p!#REF!)-1))&gt;VALUE(RIGHT(Protokoll_1p!#REF!,LEN(Protokoll_1p!#REF!)-FIND(":",Protokoll_1p!#REF!))),1,0))</f>
        <v>#REF!</v>
      </c>
      <c r="G150" s="1" t="e">
        <f t="shared" si="4"/>
        <v>#REF!</v>
      </c>
      <c r="I150" s="1" t="e">
        <f>IF(Protokoll_1p!#REF!="","",IF(VALUE(LEFT(Protokoll_1p!#REF!,FIND(":",Protokoll_1p!#REF!)-1))&gt;VALUE(RIGHT(Protokoll_1p!#REF!,LEN(Protokoll_1p!#REF!)-FIND(":",Protokoll_1p!#REF!))),0,1))</f>
        <v>#REF!</v>
      </c>
      <c r="J150" s="1" t="e">
        <f>IF(Protokoll_1p!#REF!="","",IF(VALUE(LEFT(Protokoll_1p!#REF!,FIND(":",Protokoll_1p!#REF!)-1))&gt;VALUE(RIGHT(Protokoll_1p!#REF!,LEN(Protokoll_1p!#REF!)-FIND(":",Protokoll_1p!#REF!))),0,1))</f>
        <v>#REF!</v>
      </c>
      <c r="K150" s="1" t="e">
        <f>IF(Protokoll_1p!#REF!="","",IF(VALUE(LEFT(Protokoll_1p!#REF!,FIND(":",Protokoll_1p!#REF!)-1))&gt;VALUE(RIGHT(Protokoll_1p!#REF!,LEN(Protokoll_1p!#REF!)-FIND(":",Protokoll_1p!#REF!))),0,1))</f>
        <v>#REF!</v>
      </c>
      <c r="L150" s="1" t="e">
        <f>IF(Protokoll_1p!#REF!="","",IF(VALUE(LEFT(Protokoll_1p!#REF!,FIND(":",Protokoll_1p!#REF!)-1))&gt;VALUE(RIGHT(Protokoll_1p!#REF!,LEN(Protokoll_1p!#REF!)-FIND(":",Protokoll_1p!#REF!))),0,1))</f>
        <v>#REF!</v>
      </c>
      <c r="M150" s="1" t="e">
        <f>IF(Protokoll_1p!#REF!="","",IF(VALUE(LEFT(Protokoll_1p!#REF!,FIND(":",Protokoll_1p!#REF!)-1))&gt;VALUE(RIGHT(Protokoll_1p!#REF!,LEN(Protokoll_1p!#REF!)-FIND(":",Protokoll_1p!#REF!))),0,1))</f>
        <v>#REF!</v>
      </c>
      <c r="N150" s="1" t="e">
        <f t="shared" si="5"/>
        <v>#REF!</v>
      </c>
    </row>
    <row r="151" spans="2:14">
      <c r="B151" s="1" t="e">
        <f>IF(Protokoll_1p!#REF!="","",IF(VALUE(LEFT(Protokoll_1p!#REF!,FIND(":",Protokoll_1p!#REF!)-1))&gt;VALUE(RIGHT(Protokoll_1p!#REF!,LEN(Protokoll_1p!#REF!)-FIND(":",Protokoll_1p!#REF!))),1,0))</f>
        <v>#REF!</v>
      </c>
      <c r="C151" s="1" t="e">
        <f>IF(Protokoll_1p!#REF!="","",IF(VALUE(LEFT(Protokoll_1p!#REF!,FIND(":",Protokoll_1p!#REF!)-1))&gt;VALUE(RIGHT(Protokoll_1p!#REF!,LEN(Protokoll_1p!#REF!)-FIND(":",Protokoll_1p!#REF!))),1,0))</f>
        <v>#REF!</v>
      </c>
      <c r="D151" s="1" t="e">
        <f>IF(Protokoll_1p!#REF!="","",IF(VALUE(LEFT(Protokoll_1p!#REF!,FIND(":",Protokoll_1p!#REF!)-1))&gt;VALUE(RIGHT(Protokoll_1p!#REF!,LEN(Protokoll_1p!#REF!)-FIND(":",Protokoll_1p!#REF!))),1,0))</f>
        <v>#REF!</v>
      </c>
      <c r="E151" s="1" t="e">
        <f>IF(Protokoll_1p!#REF!="","",IF(VALUE(LEFT(Protokoll_1p!#REF!,FIND(":",Protokoll_1p!#REF!)-1))&gt;VALUE(RIGHT(Protokoll_1p!#REF!,LEN(Protokoll_1p!#REF!)-FIND(":",Protokoll_1p!#REF!))),1,0))</f>
        <v>#REF!</v>
      </c>
      <c r="F151" s="1" t="e">
        <f>IF(Protokoll_1p!#REF!="","",IF(VALUE(LEFT(Protokoll_1p!#REF!,FIND(":",Protokoll_1p!#REF!)-1))&gt;VALUE(RIGHT(Protokoll_1p!#REF!,LEN(Protokoll_1p!#REF!)-FIND(":",Protokoll_1p!#REF!))),1,0))</f>
        <v>#REF!</v>
      </c>
      <c r="G151" s="1" t="e">
        <f t="shared" si="4"/>
        <v>#REF!</v>
      </c>
      <c r="I151" s="1" t="e">
        <f>IF(Protokoll_1p!#REF!="","",IF(VALUE(LEFT(Protokoll_1p!#REF!,FIND(":",Protokoll_1p!#REF!)-1))&gt;VALUE(RIGHT(Protokoll_1p!#REF!,LEN(Protokoll_1p!#REF!)-FIND(":",Protokoll_1p!#REF!))),0,1))</f>
        <v>#REF!</v>
      </c>
      <c r="J151" s="1" t="e">
        <f>IF(Protokoll_1p!#REF!="","",IF(VALUE(LEFT(Protokoll_1p!#REF!,FIND(":",Protokoll_1p!#REF!)-1))&gt;VALUE(RIGHT(Protokoll_1p!#REF!,LEN(Protokoll_1p!#REF!)-FIND(":",Protokoll_1p!#REF!))),0,1))</f>
        <v>#REF!</v>
      </c>
      <c r="K151" s="1" t="e">
        <f>IF(Protokoll_1p!#REF!="","",IF(VALUE(LEFT(Protokoll_1p!#REF!,FIND(":",Protokoll_1p!#REF!)-1))&gt;VALUE(RIGHT(Protokoll_1p!#REF!,LEN(Protokoll_1p!#REF!)-FIND(":",Protokoll_1p!#REF!))),0,1))</f>
        <v>#REF!</v>
      </c>
      <c r="L151" s="1" t="e">
        <f>IF(Protokoll_1p!#REF!="","",IF(VALUE(LEFT(Protokoll_1p!#REF!,FIND(":",Protokoll_1p!#REF!)-1))&gt;VALUE(RIGHT(Protokoll_1p!#REF!,LEN(Protokoll_1p!#REF!)-FIND(":",Protokoll_1p!#REF!))),0,1))</f>
        <v>#REF!</v>
      </c>
      <c r="M151" s="1" t="e">
        <f>IF(Protokoll_1p!#REF!="","",IF(VALUE(LEFT(Protokoll_1p!#REF!,FIND(":",Protokoll_1p!#REF!)-1))&gt;VALUE(RIGHT(Protokoll_1p!#REF!,LEN(Protokoll_1p!#REF!)-FIND(":",Protokoll_1p!#REF!))),0,1))</f>
        <v>#REF!</v>
      </c>
      <c r="N151" s="1" t="e">
        <f t="shared" si="5"/>
        <v>#REF!</v>
      </c>
    </row>
    <row r="152" spans="2:14">
      <c r="B152" s="1" t="e">
        <f>IF(Protokoll_1p!#REF!="","",IF(VALUE(LEFT(Protokoll_1p!#REF!,FIND(":",Protokoll_1p!#REF!)-1))&gt;VALUE(RIGHT(Protokoll_1p!#REF!,LEN(Protokoll_1p!#REF!)-FIND(":",Protokoll_1p!#REF!))),1,0))</f>
        <v>#REF!</v>
      </c>
      <c r="C152" s="1" t="e">
        <f>IF(Protokoll_1p!#REF!="","",IF(VALUE(LEFT(Protokoll_1p!#REF!,FIND(":",Protokoll_1p!#REF!)-1))&gt;VALUE(RIGHT(Protokoll_1p!#REF!,LEN(Protokoll_1p!#REF!)-FIND(":",Protokoll_1p!#REF!))),1,0))</f>
        <v>#REF!</v>
      </c>
      <c r="D152" s="1" t="e">
        <f>IF(Protokoll_1p!#REF!="","",IF(VALUE(LEFT(Protokoll_1p!#REF!,FIND(":",Protokoll_1p!#REF!)-1))&gt;VALUE(RIGHT(Protokoll_1p!#REF!,LEN(Protokoll_1p!#REF!)-FIND(":",Protokoll_1p!#REF!))),1,0))</f>
        <v>#REF!</v>
      </c>
      <c r="E152" s="1" t="e">
        <f>IF(Protokoll_1p!#REF!="","",IF(VALUE(LEFT(Protokoll_1p!#REF!,FIND(":",Protokoll_1p!#REF!)-1))&gt;VALUE(RIGHT(Protokoll_1p!#REF!,LEN(Protokoll_1p!#REF!)-FIND(":",Protokoll_1p!#REF!))),1,0))</f>
        <v>#REF!</v>
      </c>
      <c r="F152" s="1" t="e">
        <f>IF(Protokoll_1p!#REF!="","",IF(VALUE(LEFT(Protokoll_1p!#REF!,FIND(":",Protokoll_1p!#REF!)-1))&gt;VALUE(RIGHT(Protokoll_1p!#REF!,LEN(Protokoll_1p!#REF!)-FIND(":",Protokoll_1p!#REF!))),1,0))</f>
        <v>#REF!</v>
      </c>
      <c r="G152" s="1" t="e">
        <f t="shared" si="4"/>
        <v>#REF!</v>
      </c>
      <c r="I152" s="1" t="e">
        <f>IF(Protokoll_1p!#REF!="","",IF(VALUE(LEFT(Protokoll_1p!#REF!,FIND(":",Protokoll_1p!#REF!)-1))&gt;VALUE(RIGHT(Protokoll_1p!#REF!,LEN(Protokoll_1p!#REF!)-FIND(":",Protokoll_1p!#REF!))),0,1))</f>
        <v>#REF!</v>
      </c>
      <c r="J152" s="1" t="e">
        <f>IF(Protokoll_1p!#REF!="","",IF(VALUE(LEFT(Protokoll_1p!#REF!,FIND(":",Protokoll_1p!#REF!)-1))&gt;VALUE(RIGHT(Protokoll_1p!#REF!,LEN(Protokoll_1p!#REF!)-FIND(":",Protokoll_1p!#REF!))),0,1))</f>
        <v>#REF!</v>
      </c>
      <c r="K152" s="1" t="e">
        <f>IF(Protokoll_1p!#REF!="","",IF(VALUE(LEFT(Protokoll_1p!#REF!,FIND(":",Protokoll_1p!#REF!)-1))&gt;VALUE(RIGHT(Protokoll_1p!#REF!,LEN(Protokoll_1p!#REF!)-FIND(":",Protokoll_1p!#REF!))),0,1))</f>
        <v>#REF!</v>
      </c>
      <c r="L152" s="1" t="e">
        <f>IF(Protokoll_1p!#REF!="","",IF(VALUE(LEFT(Protokoll_1p!#REF!,FIND(":",Protokoll_1p!#REF!)-1))&gt;VALUE(RIGHT(Protokoll_1p!#REF!,LEN(Protokoll_1p!#REF!)-FIND(":",Protokoll_1p!#REF!))),0,1))</f>
        <v>#REF!</v>
      </c>
      <c r="M152" s="1" t="e">
        <f>IF(Protokoll_1p!#REF!="","",IF(VALUE(LEFT(Protokoll_1p!#REF!,FIND(":",Protokoll_1p!#REF!)-1))&gt;VALUE(RIGHT(Protokoll_1p!#REF!,LEN(Protokoll_1p!#REF!)-FIND(":",Protokoll_1p!#REF!))),0,1))</f>
        <v>#REF!</v>
      </c>
      <c r="N152" s="1" t="e">
        <f t="shared" si="5"/>
        <v>#REF!</v>
      </c>
    </row>
    <row r="153" spans="2:14">
      <c r="B153" s="1" t="e">
        <f>IF(Protokoll_1p!#REF!="","",IF(VALUE(LEFT(Protokoll_1p!#REF!,FIND(":",Protokoll_1p!#REF!)-1))&gt;VALUE(RIGHT(Protokoll_1p!#REF!,LEN(Protokoll_1p!#REF!)-FIND(":",Protokoll_1p!#REF!))),1,0))</f>
        <v>#REF!</v>
      </c>
      <c r="C153" s="1" t="e">
        <f>IF(Protokoll_1p!#REF!="","",IF(VALUE(LEFT(Protokoll_1p!#REF!,FIND(":",Protokoll_1p!#REF!)-1))&gt;VALUE(RIGHT(Protokoll_1p!#REF!,LEN(Protokoll_1p!#REF!)-FIND(":",Protokoll_1p!#REF!))),1,0))</f>
        <v>#REF!</v>
      </c>
      <c r="D153" s="1" t="e">
        <f>IF(Protokoll_1p!#REF!="","",IF(VALUE(LEFT(Protokoll_1p!#REF!,FIND(":",Protokoll_1p!#REF!)-1))&gt;VALUE(RIGHT(Protokoll_1p!#REF!,LEN(Protokoll_1p!#REF!)-FIND(":",Protokoll_1p!#REF!))),1,0))</f>
        <v>#REF!</v>
      </c>
      <c r="E153" s="1" t="e">
        <f>IF(Protokoll_1p!#REF!="","",IF(VALUE(LEFT(Protokoll_1p!#REF!,FIND(":",Protokoll_1p!#REF!)-1))&gt;VALUE(RIGHT(Protokoll_1p!#REF!,LEN(Protokoll_1p!#REF!)-FIND(":",Protokoll_1p!#REF!))),1,0))</f>
        <v>#REF!</v>
      </c>
      <c r="F153" s="1" t="e">
        <f>IF(Protokoll_1p!#REF!="","",IF(VALUE(LEFT(Protokoll_1p!#REF!,FIND(":",Protokoll_1p!#REF!)-1))&gt;VALUE(RIGHT(Protokoll_1p!#REF!,LEN(Protokoll_1p!#REF!)-FIND(":",Protokoll_1p!#REF!))),1,0))</f>
        <v>#REF!</v>
      </c>
      <c r="G153" s="1" t="e">
        <f t="shared" si="4"/>
        <v>#REF!</v>
      </c>
      <c r="I153" s="1" t="e">
        <f>IF(Protokoll_1p!#REF!="","",IF(VALUE(LEFT(Protokoll_1p!#REF!,FIND(":",Protokoll_1p!#REF!)-1))&gt;VALUE(RIGHT(Protokoll_1p!#REF!,LEN(Protokoll_1p!#REF!)-FIND(":",Protokoll_1p!#REF!))),0,1))</f>
        <v>#REF!</v>
      </c>
      <c r="J153" s="1" t="e">
        <f>IF(Protokoll_1p!#REF!="","",IF(VALUE(LEFT(Protokoll_1p!#REF!,FIND(":",Protokoll_1p!#REF!)-1))&gt;VALUE(RIGHT(Protokoll_1p!#REF!,LEN(Protokoll_1p!#REF!)-FIND(":",Protokoll_1p!#REF!))),0,1))</f>
        <v>#REF!</v>
      </c>
      <c r="K153" s="1" t="e">
        <f>IF(Protokoll_1p!#REF!="","",IF(VALUE(LEFT(Protokoll_1p!#REF!,FIND(":",Protokoll_1p!#REF!)-1))&gt;VALUE(RIGHT(Protokoll_1p!#REF!,LEN(Protokoll_1p!#REF!)-FIND(":",Protokoll_1p!#REF!))),0,1))</f>
        <v>#REF!</v>
      </c>
      <c r="L153" s="1" t="e">
        <f>IF(Protokoll_1p!#REF!="","",IF(VALUE(LEFT(Protokoll_1p!#REF!,FIND(":",Protokoll_1p!#REF!)-1))&gt;VALUE(RIGHT(Protokoll_1p!#REF!,LEN(Protokoll_1p!#REF!)-FIND(":",Protokoll_1p!#REF!))),0,1))</f>
        <v>#REF!</v>
      </c>
      <c r="M153" s="1" t="e">
        <f>IF(Protokoll_1p!#REF!="","",IF(VALUE(LEFT(Protokoll_1p!#REF!,FIND(":",Protokoll_1p!#REF!)-1))&gt;VALUE(RIGHT(Protokoll_1p!#REF!,LEN(Protokoll_1p!#REF!)-FIND(":",Protokoll_1p!#REF!))),0,1))</f>
        <v>#REF!</v>
      </c>
      <c r="N153" s="1" t="e">
        <f t="shared" si="5"/>
        <v>#REF!</v>
      </c>
    </row>
    <row r="154" spans="2:14">
      <c r="B154" s="1" t="e">
        <f>IF(Protokoll_1p!#REF!="","",IF(VALUE(LEFT(Protokoll_1p!#REF!,FIND(":",Protokoll_1p!#REF!)-1))&gt;VALUE(RIGHT(Protokoll_1p!#REF!,LEN(Protokoll_1p!#REF!)-FIND(":",Protokoll_1p!#REF!))),1,0))</f>
        <v>#REF!</v>
      </c>
      <c r="C154" s="1" t="e">
        <f>IF(Protokoll_1p!#REF!="","",IF(VALUE(LEFT(Protokoll_1p!#REF!,FIND(":",Protokoll_1p!#REF!)-1))&gt;VALUE(RIGHT(Protokoll_1p!#REF!,LEN(Protokoll_1p!#REF!)-FIND(":",Protokoll_1p!#REF!))),1,0))</f>
        <v>#REF!</v>
      </c>
      <c r="D154" s="1" t="e">
        <f>IF(Protokoll_1p!#REF!="","",IF(VALUE(LEFT(Protokoll_1p!#REF!,FIND(":",Protokoll_1p!#REF!)-1))&gt;VALUE(RIGHT(Protokoll_1p!#REF!,LEN(Protokoll_1p!#REF!)-FIND(":",Protokoll_1p!#REF!))),1,0))</f>
        <v>#REF!</v>
      </c>
      <c r="E154" s="1" t="e">
        <f>IF(Protokoll_1p!#REF!="","",IF(VALUE(LEFT(Protokoll_1p!#REF!,FIND(":",Protokoll_1p!#REF!)-1))&gt;VALUE(RIGHT(Protokoll_1p!#REF!,LEN(Protokoll_1p!#REF!)-FIND(":",Protokoll_1p!#REF!))),1,0))</f>
        <v>#REF!</v>
      </c>
      <c r="F154" s="1" t="e">
        <f>IF(Protokoll_1p!#REF!="","",IF(VALUE(LEFT(Protokoll_1p!#REF!,FIND(":",Protokoll_1p!#REF!)-1))&gt;VALUE(RIGHT(Protokoll_1p!#REF!,LEN(Protokoll_1p!#REF!)-FIND(":",Protokoll_1p!#REF!))),1,0))</f>
        <v>#REF!</v>
      </c>
      <c r="G154" s="1" t="e">
        <f t="shared" si="4"/>
        <v>#REF!</v>
      </c>
      <c r="I154" s="1" t="e">
        <f>IF(Protokoll_1p!#REF!="","",IF(VALUE(LEFT(Protokoll_1p!#REF!,FIND(":",Protokoll_1p!#REF!)-1))&gt;VALUE(RIGHT(Protokoll_1p!#REF!,LEN(Protokoll_1p!#REF!)-FIND(":",Protokoll_1p!#REF!))),0,1))</f>
        <v>#REF!</v>
      </c>
      <c r="J154" s="1" t="e">
        <f>IF(Protokoll_1p!#REF!="","",IF(VALUE(LEFT(Protokoll_1p!#REF!,FIND(":",Protokoll_1p!#REF!)-1))&gt;VALUE(RIGHT(Protokoll_1p!#REF!,LEN(Protokoll_1p!#REF!)-FIND(":",Protokoll_1p!#REF!))),0,1))</f>
        <v>#REF!</v>
      </c>
      <c r="K154" s="1" t="e">
        <f>IF(Protokoll_1p!#REF!="","",IF(VALUE(LEFT(Protokoll_1p!#REF!,FIND(":",Protokoll_1p!#REF!)-1))&gt;VALUE(RIGHT(Protokoll_1p!#REF!,LEN(Protokoll_1p!#REF!)-FIND(":",Protokoll_1p!#REF!))),0,1))</f>
        <v>#REF!</v>
      </c>
      <c r="L154" s="1" t="e">
        <f>IF(Protokoll_1p!#REF!="","",IF(VALUE(LEFT(Protokoll_1p!#REF!,FIND(":",Protokoll_1p!#REF!)-1))&gt;VALUE(RIGHT(Protokoll_1p!#REF!,LEN(Protokoll_1p!#REF!)-FIND(":",Protokoll_1p!#REF!))),0,1))</f>
        <v>#REF!</v>
      </c>
      <c r="M154" s="1" t="e">
        <f>IF(Protokoll_1p!#REF!="","",IF(VALUE(LEFT(Protokoll_1p!#REF!,FIND(":",Protokoll_1p!#REF!)-1))&gt;VALUE(RIGHT(Protokoll_1p!#REF!,LEN(Protokoll_1p!#REF!)-FIND(":",Protokoll_1p!#REF!))),0,1))</f>
        <v>#REF!</v>
      </c>
      <c r="N154" s="1" t="e">
        <f t="shared" si="5"/>
        <v>#REF!</v>
      </c>
    </row>
    <row r="155" spans="2:14">
      <c r="B155" s="1" t="e">
        <f>IF(Protokoll_1p!#REF!="","",IF(VALUE(LEFT(Protokoll_1p!#REF!,FIND(":",Protokoll_1p!#REF!)-1))&gt;VALUE(RIGHT(Protokoll_1p!#REF!,LEN(Protokoll_1p!#REF!)-FIND(":",Protokoll_1p!#REF!))),1,0))</f>
        <v>#REF!</v>
      </c>
      <c r="C155" s="1" t="e">
        <f>IF(Protokoll_1p!#REF!="","",IF(VALUE(LEFT(Protokoll_1p!#REF!,FIND(":",Protokoll_1p!#REF!)-1))&gt;VALUE(RIGHT(Protokoll_1p!#REF!,LEN(Protokoll_1p!#REF!)-FIND(":",Protokoll_1p!#REF!))),1,0))</f>
        <v>#REF!</v>
      </c>
      <c r="D155" s="1" t="e">
        <f>IF(Protokoll_1p!#REF!="","",IF(VALUE(LEFT(Protokoll_1p!#REF!,FIND(":",Protokoll_1p!#REF!)-1))&gt;VALUE(RIGHT(Protokoll_1p!#REF!,LEN(Protokoll_1p!#REF!)-FIND(":",Protokoll_1p!#REF!))),1,0))</f>
        <v>#REF!</v>
      </c>
      <c r="E155" s="1" t="e">
        <f>IF(Protokoll_1p!#REF!="","",IF(VALUE(LEFT(Protokoll_1p!#REF!,FIND(":",Protokoll_1p!#REF!)-1))&gt;VALUE(RIGHT(Protokoll_1p!#REF!,LEN(Protokoll_1p!#REF!)-FIND(":",Protokoll_1p!#REF!))),1,0))</f>
        <v>#REF!</v>
      </c>
      <c r="F155" s="1" t="e">
        <f>IF(Protokoll_1p!#REF!="","",IF(VALUE(LEFT(Protokoll_1p!#REF!,FIND(":",Protokoll_1p!#REF!)-1))&gt;VALUE(RIGHT(Protokoll_1p!#REF!,LEN(Protokoll_1p!#REF!)-FIND(":",Protokoll_1p!#REF!))),1,0))</f>
        <v>#REF!</v>
      </c>
      <c r="G155" s="1" t="e">
        <f t="shared" si="4"/>
        <v>#REF!</v>
      </c>
      <c r="I155" s="1" t="e">
        <f>IF(Protokoll_1p!#REF!="","",IF(VALUE(LEFT(Protokoll_1p!#REF!,FIND(":",Protokoll_1p!#REF!)-1))&gt;VALUE(RIGHT(Protokoll_1p!#REF!,LEN(Protokoll_1p!#REF!)-FIND(":",Protokoll_1p!#REF!))),0,1))</f>
        <v>#REF!</v>
      </c>
      <c r="J155" s="1" t="e">
        <f>IF(Protokoll_1p!#REF!="","",IF(VALUE(LEFT(Protokoll_1p!#REF!,FIND(":",Protokoll_1p!#REF!)-1))&gt;VALUE(RIGHT(Protokoll_1p!#REF!,LEN(Protokoll_1p!#REF!)-FIND(":",Protokoll_1p!#REF!))),0,1))</f>
        <v>#REF!</v>
      </c>
      <c r="K155" s="1" t="e">
        <f>IF(Protokoll_1p!#REF!="","",IF(VALUE(LEFT(Protokoll_1p!#REF!,FIND(":",Protokoll_1p!#REF!)-1))&gt;VALUE(RIGHT(Protokoll_1p!#REF!,LEN(Protokoll_1p!#REF!)-FIND(":",Protokoll_1p!#REF!))),0,1))</f>
        <v>#REF!</v>
      </c>
      <c r="L155" s="1" t="e">
        <f>IF(Protokoll_1p!#REF!="","",IF(VALUE(LEFT(Protokoll_1p!#REF!,FIND(":",Protokoll_1p!#REF!)-1))&gt;VALUE(RIGHT(Protokoll_1p!#REF!,LEN(Protokoll_1p!#REF!)-FIND(":",Protokoll_1p!#REF!))),0,1))</f>
        <v>#REF!</v>
      </c>
      <c r="M155" s="1" t="e">
        <f>IF(Protokoll_1p!#REF!="","",IF(VALUE(LEFT(Protokoll_1p!#REF!,FIND(":",Protokoll_1p!#REF!)-1))&gt;VALUE(RIGHT(Protokoll_1p!#REF!,LEN(Protokoll_1p!#REF!)-FIND(":",Protokoll_1p!#REF!))),0,1))</f>
        <v>#REF!</v>
      </c>
      <c r="N155" s="1" t="e">
        <f t="shared" si="5"/>
        <v>#REF!</v>
      </c>
    </row>
    <row r="156" spans="2:14">
      <c r="B156" s="1" t="e">
        <f>IF(Protokoll_1p!#REF!="","",IF(VALUE(LEFT(Protokoll_1p!#REF!,FIND(":",Protokoll_1p!#REF!)-1))&gt;VALUE(RIGHT(Protokoll_1p!#REF!,LEN(Protokoll_1p!#REF!)-FIND(":",Protokoll_1p!#REF!))),1,0))</f>
        <v>#REF!</v>
      </c>
      <c r="C156" s="1" t="e">
        <f>IF(Protokoll_1p!#REF!="","",IF(VALUE(LEFT(Protokoll_1p!#REF!,FIND(":",Protokoll_1p!#REF!)-1))&gt;VALUE(RIGHT(Protokoll_1p!#REF!,LEN(Protokoll_1p!#REF!)-FIND(":",Protokoll_1p!#REF!))),1,0))</f>
        <v>#REF!</v>
      </c>
      <c r="D156" s="1" t="e">
        <f>IF(Protokoll_1p!#REF!="","",IF(VALUE(LEFT(Protokoll_1p!#REF!,FIND(":",Protokoll_1p!#REF!)-1))&gt;VALUE(RIGHT(Protokoll_1p!#REF!,LEN(Protokoll_1p!#REF!)-FIND(":",Protokoll_1p!#REF!))),1,0))</f>
        <v>#REF!</v>
      </c>
      <c r="E156" s="1" t="e">
        <f>IF(Protokoll_1p!#REF!="","",IF(VALUE(LEFT(Protokoll_1p!#REF!,FIND(":",Protokoll_1p!#REF!)-1))&gt;VALUE(RIGHT(Protokoll_1p!#REF!,LEN(Protokoll_1p!#REF!)-FIND(":",Protokoll_1p!#REF!))),1,0))</f>
        <v>#REF!</v>
      </c>
      <c r="F156" s="1" t="e">
        <f>IF(Protokoll_1p!#REF!="","",IF(VALUE(LEFT(Protokoll_1p!#REF!,FIND(":",Protokoll_1p!#REF!)-1))&gt;VALUE(RIGHT(Protokoll_1p!#REF!,LEN(Protokoll_1p!#REF!)-FIND(":",Protokoll_1p!#REF!))),1,0))</f>
        <v>#REF!</v>
      </c>
      <c r="G156" s="1" t="e">
        <f t="shared" si="4"/>
        <v>#REF!</v>
      </c>
      <c r="I156" s="1" t="e">
        <f>IF(Protokoll_1p!#REF!="","",IF(VALUE(LEFT(Protokoll_1p!#REF!,FIND(":",Protokoll_1p!#REF!)-1))&gt;VALUE(RIGHT(Protokoll_1p!#REF!,LEN(Protokoll_1p!#REF!)-FIND(":",Protokoll_1p!#REF!))),0,1))</f>
        <v>#REF!</v>
      </c>
      <c r="J156" s="1" t="e">
        <f>IF(Protokoll_1p!#REF!="","",IF(VALUE(LEFT(Protokoll_1p!#REF!,FIND(":",Protokoll_1p!#REF!)-1))&gt;VALUE(RIGHT(Protokoll_1p!#REF!,LEN(Protokoll_1p!#REF!)-FIND(":",Protokoll_1p!#REF!))),0,1))</f>
        <v>#REF!</v>
      </c>
      <c r="K156" s="1" t="e">
        <f>IF(Protokoll_1p!#REF!="","",IF(VALUE(LEFT(Protokoll_1p!#REF!,FIND(":",Protokoll_1p!#REF!)-1))&gt;VALUE(RIGHT(Protokoll_1p!#REF!,LEN(Protokoll_1p!#REF!)-FIND(":",Protokoll_1p!#REF!))),0,1))</f>
        <v>#REF!</v>
      </c>
      <c r="L156" s="1" t="e">
        <f>IF(Protokoll_1p!#REF!="","",IF(VALUE(LEFT(Protokoll_1p!#REF!,FIND(":",Protokoll_1p!#REF!)-1))&gt;VALUE(RIGHT(Protokoll_1p!#REF!,LEN(Protokoll_1p!#REF!)-FIND(":",Protokoll_1p!#REF!))),0,1))</f>
        <v>#REF!</v>
      </c>
      <c r="M156" s="1" t="e">
        <f>IF(Protokoll_1p!#REF!="","",IF(VALUE(LEFT(Protokoll_1p!#REF!,FIND(":",Protokoll_1p!#REF!)-1))&gt;VALUE(RIGHT(Protokoll_1p!#REF!,LEN(Protokoll_1p!#REF!)-FIND(":",Protokoll_1p!#REF!))),0,1))</f>
        <v>#REF!</v>
      </c>
      <c r="N156" s="1" t="e">
        <f t="shared" si="5"/>
        <v>#REF!</v>
      </c>
    </row>
    <row r="157" spans="2:14">
      <c r="B157" s="1" t="e">
        <f>IF(Protokoll_1p!#REF!="","",IF(VALUE(LEFT(Protokoll_1p!#REF!,FIND(":",Protokoll_1p!#REF!)-1))&gt;VALUE(RIGHT(Protokoll_1p!#REF!,LEN(Protokoll_1p!#REF!)-FIND(":",Protokoll_1p!#REF!))),1,0))</f>
        <v>#REF!</v>
      </c>
      <c r="C157" s="1" t="e">
        <f>IF(Protokoll_1p!#REF!="","",IF(VALUE(LEFT(Protokoll_1p!#REF!,FIND(":",Protokoll_1p!#REF!)-1))&gt;VALUE(RIGHT(Protokoll_1p!#REF!,LEN(Protokoll_1p!#REF!)-FIND(":",Protokoll_1p!#REF!))),1,0))</f>
        <v>#REF!</v>
      </c>
      <c r="D157" s="1" t="e">
        <f>IF(Protokoll_1p!#REF!="","",IF(VALUE(LEFT(Protokoll_1p!#REF!,FIND(":",Protokoll_1p!#REF!)-1))&gt;VALUE(RIGHT(Protokoll_1p!#REF!,LEN(Protokoll_1p!#REF!)-FIND(":",Protokoll_1p!#REF!))),1,0))</f>
        <v>#REF!</v>
      </c>
      <c r="E157" s="1" t="e">
        <f>IF(Protokoll_1p!#REF!="","",IF(VALUE(LEFT(Protokoll_1p!#REF!,FIND(":",Protokoll_1p!#REF!)-1))&gt;VALUE(RIGHT(Protokoll_1p!#REF!,LEN(Protokoll_1p!#REF!)-FIND(":",Protokoll_1p!#REF!))),1,0))</f>
        <v>#REF!</v>
      </c>
      <c r="F157" s="1" t="e">
        <f>IF(Protokoll_1p!#REF!="","",IF(VALUE(LEFT(Protokoll_1p!#REF!,FIND(":",Protokoll_1p!#REF!)-1))&gt;VALUE(RIGHT(Protokoll_1p!#REF!,LEN(Protokoll_1p!#REF!)-FIND(":",Protokoll_1p!#REF!))),1,0))</f>
        <v>#REF!</v>
      </c>
      <c r="G157" s="1" t="e">
        <f t="shared" si="4"/>
        <v>#REF!</v>
      </c>
      <c r="I157" s="1" t="e">
        <f>IF(Protokoll_1p!#REF!="","",IF(VALUE(LEFT(Protokoll_1p!#REF!,FIND(":",Protokoll_1p!#REF!)-1))&gt;VALUE(RIGHT(Protokoll_1p!#REF!,LEN(Protokoll_1p!#REF!)-FIND(":",Protokoll_1p!#REF!))),0,1))</f>
        <v>#REF!</v>
      </c>
      <c r="J157" s="1" t="e">
        <f>IF(Protokoll_1p!#REF!="","",IF(VALUE(LEFT(Protokoll_1p!#REF!,FIND(":",Protokoll_1p!#REF!)-1))&gt;VALUE(RIGHT(Protokoll_1p!#REF!,LEN(Protokoll_1p!#REF!)-FIND(":",Protokoll_1p!#REF!))),0,1))</f>
        <v>#REF!</v>
      </c>
      <c r="K157" s="1" t="e">
        <f>IF(Protokoll_1p!#REF!="","",IF(VALUE(LEFT(Protokoll_1p!#REF!,FIND(":",Protokoll_1p!#REF!)-1))&gt;VALUE(RIGHT(Protokoll_1p!#REF!,LEN(Protokoll_1p!#REF!)-FIND(":",Protokoll_1p!#REF!))),0,1))</f>
        <v>#REF!</v>
      </c>
      <c r="L157" s="1" t="e">
        <f>IF(Protokoll_1p!#REF!="","",IF(VALUE(LEFT(Protokoll_1p!#REF!,FIND(":",Protokoll_1p!#REF!)-1))&gt;VALUE(RIGHT(Protokoll_1p!#REF!,LEN(Protokoll_1p!#REF!)-FIND(":",Protokoll_1p!#REF!))),0,1))</f>
        <v>#REF!</v>
      </c>
      <c r="M157" s="1" t="e">
        <f>IF(Protokoll_1p!#REF!="","",IF(VALUE(LEFT(Protokoll_1p!#REF!,FIND(":",Protokoll_1p!#REF!)-1))&gt;VALUE(RIGHT(Protokoll_1p!#REF!,LEN(Protokoll_1p!#REF!)-FIND(":",Protokoll_1p!#REF!))),0,1))</f>
        <v>#REF!</v>
      </c>
      <c r="N157" s="1" t="e">
        <f t="shared" si="5"/>
        <v>#REF!</v>
      </c>
    </row>
    <row r="158" spans="2:14">
      <c r="B158" s="1" t="e">
        <f>IF(Protokoll_1p!#REF!="","",IF(VALUE(LEFT(Protokoll_1p!#REF!,FIND(":",Protokoll_1p!#REF!)-1))&gt;VALUE(RIGHT(Protokoll_1p!#REF!,LEN(Protokoll_1p!#REF!)-FIND(":",Protokoll_1p!#REF!))),1,0))</f>
        <v>#REF!</v>
      </c>
      <c r="C158" s="1" t="e">
        <f>IF(Protokoll_1p!#REF!="","",IF(VALUE(LEFT(Protokoll_1p!#REF!,FIND(":",Protokoll_1p!#REF!)-1))&gt;VALUE(RIGHT(Protokoll_1p!#REF!,LEN(Protokoll_1p!#REF!)-FIND(":",Protokoll_1p!#REF!))),1,0))</f>
        <v>#REF!</v>
      </c>
      <c r="D158" s="1" t="e">
        <f>IF(Protokoll_1p!#REF!="","",IF(VALUE(LEFT(Protokoll_1p!#REF!,FIND(":",Protokoll_1p!#REF!)-1))&gt;VALUE(RIGHT(Protokoll_1p!#REF!,LEN(Protokoll_1p!#REF!)-FIND(":",Protokoll_1p!#REF!))),1,0))</f>
        <v>#REF!</v>
      </c>
      <c r="E158" s="1" t="e">
        <f>IF(Protokoll_1p!#REF!="","",IF(VALUE(LEFT(Protokoll_1p!#REF!,FIND(":",Protokoll_1p!#REF!)-1))&gt;VALUE(RIGHT(Protokoll_1p!#REF!,LEN(Protokoll_1p!#REF!)-FIND(":",Protokoll_1p!#REF!))),1,0))</f>
        <v>#REF!</v>
      </c>
      <c r="F158" s="1" t="e">
        <f>IF(Protokoll_1p!#REF!="","",IF(VALUE(LEFT(Protokoll_1p!#REF!,FIND(":",Protokoll_1p!#REF!)-1))&gt;VALUE(RIGHT(Protokoll_1p!#REF!,LEN(Protokoll_1p!#REF!)-FIND(":",Protokoll_1p!#REF!))),1,0))</f>
        <v>#REF!</v>
      </c>
      <c r="G158" s="1" t="e">
        <f t="shared" si="4"/>
        <v>#REF!</v>
      </c>
      <c r="I158" s="1" t="e">
        <f>IF(Protokoll_1p!#REF!="","",IF(VALUE(LEFT(Protokoll_1p!#REF!,FIND(":",Protokoll_1p!#REF!)-1))&gt;VALUE(RIGHT(Protokoll_1p!#REF!,LEN(Protokoll_1p!#REF!)-FIND(":",Protokoll_1p!#REF!))),0,1))</f>
        <v>#REF!</v>
      </c>
      <c r="J158" s="1" t="e">
        <f>IF(Protokoll_1p!#REF!="","",IF(VALUE(LEFT(Protokoll_1p!#REF!,FIND(":",Protokoll_1p!#REF!)-1))&gt;VALUE(RIGHT(Protokoll_1p!#REF!,LEN(Protokoll_1p!#REF!)-FIND(":",Protokoll_1p!#REF!))),0,1))</f>
        <v>#REF!</v>
      </c>
      <c r="K158" s="1" t="e">
        <f>IF(Protokoll_1p!#REF!="","",IF(VALUE(LEFT(Protokoll_1p!#REF!,FIND(":",Protokoll_1p!#REF!)-1))&gt;VALUE(RIGHT(Protokoll_1p!#REF!,LEN(Protokoll_1p!#REF!)-FIND(":",Protokoll_1p!#REF!))),0,1))</f>
        <v>#REF!</v>
      </c>
      <c r="L158" s="1" t="e">
        <f>IF(Protokoll_1p!#REF!="","",IF(VALUE(LEFT(Protokoll_1p!#REF!,FIND(":",Protokoll_1p!#REF!)-1))&gt;VALUE(RIGHT(Protokoll_1p!#REF!,LEN(Protokoll_1p!#REF!)-FIND(":",Protokoll_1p!#REF!))),0,1))</f>
        <v>#REF!</v>
      </c>
      <c r="M158" s="1" t="e">
        <f>IF(Protokoll_1p!#REF!="","",IF(VALUE(LEFT(Protokoll_1p!#REF!,FIND(":",Protokoll_1p!#REF!)-1))&gt;VALUE(RIGHT(Protokoll_1p!#REF!,LEN(Protokoll_1p!#REF!)-FIND(":",Protokoll_1p!#REF!))),0,1))</f>
        <v>#REF!</v>
      </c>
      <c r="N158" s="1" t="e">
        <f t="shared" si="5"/>
        <v>#REF!</v>
      </c>
    </row>
    <row r="159" spans="2:14">
      <c r="B159" s="1" t="e">
        <f>IF(Protokoll_1p!#REF!="","",IF(VALUE(LEFT(Protokoll_1p!#REF!,FIND(":",Protokoll_1p!#REF!)-1))&gt;VALUE(RIGHT(Protokoll_1p!#REF!,LEN(Protokoll_1p!#REF!)-FIND(":",Protokoll_1p!#REF!))),1,0))</f>
        <v>#REF!</v>
      </c>
      <c r="C159" s="1" t="e">
        <f>IF(Protokoll_1p!#REF!="","",IF(VALUE(LEFT(Protokoll_1p!#REF!,FIND(":",Protokoll_1p!#REF!)-1))&gt;VALUE(RIGHT(Protokoll_1p!#REF!,LEN(Protokoll_1p!#REF!)-FIND(":",Protokoll_1p!#REF!))),1,0))</f>
        <v>#REF!</v>
      </c>
      <c r="D159" s="1" t="e">
        <f>IF(Protokoll_1p!#REF!="","",IF(VALUE(LEFT(Protokoll_1p!#REF!,FIND(":",Protokoll_1p!#REF!)-1))&gt;VALUE(RIGHT(Protokoll_1p!#REF!,LEN(Protokoll_1p!#REF!)-FIND(":",Protokoll_1p!#REF!))),1,0))</f>
        <v>#REF!</v>
      </c>
      <c r="E159" s="1" t="e">
        <f>IF(Protokoll_1p!#REF!="","",IF(VALUE(LEFT(Protokoll_1p!#REF!,FIND(":",Protokoll_1p!#REF!)-1))&gt;VALUE(RIGHT(Protokoll_1p!#REF!,LEN(Protokoll_1p!#REF!)-FIND(":",Protokoll_1p!#REF!))),1,0))</f>
        <v>#REF!</v>
      </c>
      <c r="F159" s="1" t="e">
        <f>IF(Protokoll_1p!#REF!="","",IF(VALUE(LEFT(Protokoll_1p!#REF!,FIND(":",Protokoll_1p!#REF!)-1))&gt;VALUE(RIGHT(Protokoll_1p!#REF!,LEN(Protokoll_1p!#REF!)-FIND(":",Protokoll_1p!#REF!))),1,0))</f>
        <v>#REF!</v>
      </c>
      <c r="G159" s="1" t="e">
        <f t="shared" si="4"/>
        <v>#REF!</v>
      </c>
      <c r="I159" s="1" t="e">
        <f>IF(Protokoll_1p!#REF!="","",IF(VALUE(LEFT(Protokoll_1p!#REF!,FIND(":",Protokoll_1p!#REF!)-1))&gt;VALUE(RIGHT(Protokoll_1p!#REF!,LEN(Protokoll_1p!#REF!)-FIND(":",Protokoll_1p!#REF!))),0,1))</f>
        <v>#REF!</v>
      </c>
      <c r="J159" s="1" t="e">
        <f>IF(Protokoll_1p!#REF!="","",IF(VALUE(LEFT(Protokoll_1p!#REF!,FIND(":",Protokoll_1p!#REF!)-1))&gt;VALUE(RIGHT(Protokoll_1p!#REF!,LEN(Protokoll_1p!#REF!)-FIND(":",Protokoll_1p!#REF!))),0,1))</f>
        <v>#REF!</v>
      </c>
      <c r="K159" s="1" t="e">
        <f>IF(Protokoll_1p!#REF!="","",IF(VALUE(LEFT(Protokoll_1p!#REF!,FIND(":",Protokoll_1p!#REF!)-1))&gt;VALUE(RIGHT(Protokoll_1p!#REF!,LEN(Protokoll_1p!#REF!)-FIND(":",Protokoll_1p!#REF!))),0,1))</f>
        <v>#REF!</v>
      </c>
      <c r="L159" s="1" t="e">
        <f>IF(Protokoll_1p!#REF!="","",IF(VALUE(LEFT(Protokoll_1p!#REF!,FIND(":",Protokoll_1p!#REF!)-1))&gt;VALUE(RIGHT(Protokoll_1p!#REF!,LEN(Protokoll_1p!#REF!)-FIND(":",Protokoll_1p!#REF!))),0,1))</f>
        <v>#REF!</v>
      </c>
      <c r="M159" s="1" t="e">
        <f>IF(Protokoll_1p!#REF!="","",IF(VALUE(LEFT(Protokoll_1p!#REF!,FIND(":",Protokoll_1p!#REF!)-1))&gt;VALUE(RIGHT(Protokoll_1p!#REF!,LEN(Protokoll_1p!#REF!)-FIND(":",Protokoll_1p!#REF!))),0,1))</f>
        <v>#REF!</v>
      </c>
      <c r="N159" s="1" t="e">
        <f t="shared" si="5"/>
        <v>#REF!</v>
      </c>
    </row>
    <row r="160" spans="2:14">
      <c r="B160" s="1" t="e">
        <f>IF(Protokoll_1p!#REF!="","",IF(VALUE(LEFT(Protokoll_1p!#REF!,FIND(":",Protokoll_1p!#REF!)-1))&gt;VALUE(RIGHT(Protokoll_1p!#REF!,LEN(Protokoll_1p!#REF!)-FIND(":",Protokoll_1p!#REF!))),1,0))</f>
        <v>#REF!</v>
      </c>
      <c r="C160" s="1" t="e">
        <f>IF(Protokoll_1p!#REF!="","",IF(VALUE(LEFT(Protokoll_1p!#REF!,FIND(":",Protokoll_1p!#REF!)-1))&gt;VALUE(RIGHT(Protokoll_1p!#REF!,LEN(Protokoll_1p!#REF!)-FIND(":",Protokoll_1p!#REF!))),1,0))</f>
        <v>#REF!</v>
      </c>
      <c r="D160" s="1" t="e">
        <f>IF(Protokoll_1p!#REF!="","",IF(VALUE(LEFT(Protokoll_1p!#REF!,FIND(":",Protokoll_1p!#REF!)-1))&gt;VALUE(RIGHT(Protokoll_1p!#REF!,LEN(Protokoll_1p!#REF!)-FIND(":",Protokoll_1p!#REF!))),1,0))</f>
        <v>#REF!</v>
      </c>
      <c r="E160" s="1" t="e">
        <f>IF(Protokoll_1p!#REF!="","",IF(VALUE(LEFT(Protokoll_1p!#REF!,FIND(":",Protokoll_1p!#REF!)-1))&gt;VALUE(RIGHT(Protokoll_1p!#REF!,LEN(Protokoll_1p!#REF!)-FIND(":",Protokoll_1p!#REF!))),1,0))</f>
        <v>#REF!</v>
      </c>
      <c r="F160" s="1" t="e">
        <f>IF(Protokoll_1p!#REF!="","",IF(VALUE(LEFT(Protokoll_1p!#REF!,FIND(":",Protokoll_1p!#REF!)-1))&gt;VALUE(RIGHT(Protokoll_1p!#REF!,LEN(Protokoll_1p!#REF!)-FIND(":",Protokoll_1p!#REF!))),1,0))</f>
        <v>#REF!</v>
      </c>
      <c r="G160" s="1" t="e">
        <f t="shared" si="4"/>
        <v>#REF!</v>
      </c>
      <c r="I160" s="1" t="e">
        <f>IF(Protokoll_1p!#REF!="","",IF(VALUE(LEFT(Protokoll_1p!#REF!,FIND(":",Protokoll_1p!#REF!)-1))&gt;VALUE(RIGHT(Protokoll_1p!#REF!,LEN(Protokoll_1p!#REF!)-FIND(":",Protokoll_1p!#REF!))),0,1))</f>
        <v>#REF!</v>
      </c>
      <c r="J160" s="1" t="e">
        <f>IF(Protokoll_1p!#REF!="","",IF(VALUE(LEFT(Protokoll_1p!#REF!,FIND(":",Protokoll_1p!#REF!)-1))&gt;VALUE(RIGHT(Protokoll_1p!#REF!,LEN(Protokoll_1p!#REF!)-FIND(":",Protokoll_1p!#REF!))),0,1))</f>
        <v>#REF!</v>
      </c>
      <c r="K160" s="1" t="e">
        <f>IF(Protokoll_1p!#REF!="","",IF(VALUE(LEFT(Protokoll_1p!#REF!,FIND(":",Protokoll_1p!#REF!)-1))&gt;VALUE(RIGHT(Protokoll_1p!#REF!,LEN(Protokoll_1p!#REF!)-FIND(":",Protokoll_1p!#REF!))),0,1))</f>
        <v>#REF!</v>
      </c>
      <c r="L160" s="1" t="e">
        <f>IF(Protokoll_1p!#REF!="","",IF(VALUE(LEFT(Protokoll_1p!#REF!,FIND(":",Protokoll_1p!#REF!)-1))&gt;VALUE(RIGHT(Protokoll_1p!#REF!,LEN(Protokoll_1p!#REF!)-FIND(":",Protokoll_1p!#REF!))),0,1))</f>
        <v>#REF!</v>
      </c>
      <c r="M160" s="1" t="e">
        <f>IF(Protokoll_1p!#REF!="","",IF(VALUE(LEFT(Protokoll_1p!#REF!,FIND(":",Protokoll_1p!#REF!)-1))&gt;VALUE(RIGHT(Protokoll_1p!#REF!,LEN(Protokoll_1p!#REF!)-FIND(":",Protokoll_1p!#REF!))),0,1))</f>
        <v>#REF!</v>
      </c>
      <c r="N160" s="1" t="e">
        <f t="shared" si="5"/>
        <v>#REF!</v>
      </c>
    </row>
    <row r="161" spans="2:14">
      <c r="B161" s="1" t="str">
        <f>IF(Protokoll_1p!F127="","",IF(VALUE(LEFT(Protokoll_1p!F127,FIND(":",Protokoll_1p!F127)-1))&gt;VALUE(RIGHT(Protokoll_1p!F127,LEN(Protokoll_1p!F127)-FIND(":",Protokoll_1p!F127))),1,0))</f>
        <v/>
      </c>
      <c r="C161" s="1" t="str">
        <f>IF(Protokoll_1p!G127="","",IF(VALUE(LEFT(Protokoll_1p!G127,FIND(":",Protokoll_1p!G127)-1))&gt;VALUE(RIGHT(Protokoll_1p!G127,LEN(Protokoll_1p!G127)-FIND(":",Protokoll_1p!G127))),1,0))</f>
        <v/>
      </c>
      <c r="D161" s="1" t="str">
        <f>IF(Protokoll_1p!H127="","",IF(VALUE(LEFT(Protokoll_1p!H127,FIND(":",Protokoll_1p!H127)-1))&gt;VALUE(RIGHT(Protokoll_1p!H127,LEN(Protokoll_1p!H127)-FIND(":",Protokoll_1p!H127))),1,0))</f>
        <v/>
      </c>
      <c r="E161" s="1" t="str">
        <f>IF(Protokoll_1p!I127="","",IF(VALUE(LEFT(Protokoll_1p!I127,FIND(":",Protokoll_1p!I127)-1))&gt;VALUE(RIGHT(Protokoll_1p!I127,LEN(Protokoll_1p!I127)-FIND(":",Protokoll_1p!I127))),1,0))</f>
        <v/>
      </c>
      <c r="F161" s="1" t="str">
        <f>IF(Protokoll_1p!J127="","",IF(VALUE(LEFT(Protokoll_1p!J127,FIND(":",Protokoll_1p!J127)-1))&gt;VALUE(RIGHT(Protokoll_1p!J127,LEN(Protokoll_1p!J127)-FIND(":",Protokoll_1p!J127))),1,0))</f>
        <v/>
      </c>
      <c r="G161" s="1" t="str">
        <f t="shared" si="4"/>
        <v/>
      </c>
      <c r="I161" s="1" t="str">
        <f>IF(Protokoll_1p!F127="","",IF(VALUE(LEFT(Protokoll_1p!F127,FIND(":",Protokoll_1p!F127)-1))&gt;VALUE(RIGHT(Protokoll_1p!F127,LEN(Protokoll_1p!F127)-FIND(":",Protokoll_1p!F127))),0,1))</f>
        <v/>
      </c>
      <c r="J161" s="1" t="str">
        <f>IF(Protokoll_1p!G127="","",IF(VALUE(LEFT(Protokoll_1p!G127,FIND(":",Protokoll_1p!G127)-1))&gt;VALUE(RIGHT(Protokoll_1p!G127,LEN(Protokoll_1p!G127)-FIND(":",Protokoll_1p!G127))),0,1))</f>
        <v/>
      </c>
      <c r="K161" s="1" t="str">
        <f>IF(Protokoll_1p!H127="","",IF(VALUE(LEFT(Protokoll_1p!H127,FIND(":",Protokoll_1p!H127)-1))&gt;VALUE(RIGHT(Protokoll_1p!H127,LEN(Protokoll_1p!H127)-FIND(":",Protokoll_1p!H127))),0,1))</f>
        <v/>
      </c>
      <c r="L161" s="1" t="str">
        <f>IF(Protokoll_1p!I127="","",IF(VALUE(LEFT(Protokoll_1p!I127,FIND(":",Protokoll_1p!I127)-1))&gt;VALUE(RIGHT(Protokoll_1p!I127,LEN(Protokoll_1p!I127)-FIND(":",Protokoll_1p!I127))),0,1))</f>
        <v/>
      </c>
      <c r="M161" s="1" t="str">
        <f>IF(Protokoll_1p!J127="","",IF(VALUE(LEFT(Protokoll_1p!J127,FIND(":",Protokoll_1p!J127)-1))&gt;VALUE(RIGHT(Protokoll_1p!J127,LEN(Protokoll_1p!J127)-FIND(":",Protokoll_1p!J127))),0,1))</f>
        <v/>
      </c>
      <c r="N161" s="1" t="str">
        <f t="shared" si="5"/>
        <v/>
      </c>
    </row>
    <row r="162" spans="2:14">
      <c r="B162" s="1" t="str">
        <f>IF(Protokoll_1p!F128="","",IF(VALUE(LEFT(Protokoll_1p!F128,FIND(":",Protokoll_1p!F128)-1))&gt;VALUE(RIGHT(Protokoll_1p!F128,LEN(Protokoll_1p!F128)-FIND(":",Protokoll_1p!F128))),1,0))</f>
        <v/>
      </c>
      <c r="C162" s="1" t="str">
        <f>IF(Protokoll_1p!G128="","",IF(VALUE(LEFT(Protokoll_1p!G128,FIND(":",Protokoll_1p!G128)-1))&gt;VALUE(RIGHT(Protokoll_1p!G128,LEN(Protokoll_1p!G128)-FIND(":",Protokoll_1p!G128))),1,0))</f>
        <v/>
      </c>
      <c r="D162" s="1" t="str">
        <f>IF(Protokoll_1p!H128="","",IF(VALUE(LEFT(Protokoll_1p!H128,FIND(":",Protokoll_1p!H128)-1))&gt;VALUE(RIGHT(Protokoll_1p!H128,LEN(Protokoll_1p!H128)-FIND(":",Protokoll_1p!H128))),1,0))</f>
        <v/>
      </c>
      <c r="E162" s="1" t="str">
        <f>IF(Protokoll_1p!I128="","",IF(VALUE(LEFT(Protokoll_1p!I128,FIND(":",Protokoll_1p!I128)-1))&gt;VALUE(RIGHT(Protokoll_1p!I128,LEN(Protokoll_1p!I128)-FIND(":",Protokoll_1p!I128))),1,0))</f>
        <v/>
      </c>
      <c r="F162" s="1" t="str">
        <f>IF(Protokoll_1p!J128="","",IF(VALUE(LEFT(Protokoll_1p!J128,FIND(":",Protokoll_1p!J128)-1))&gt;VALUE(RIGHT(Protokoll_1p!J128,LEN(Protokoll_1p!J128)-FIND(":",Protokoll_1p!J128))),1,0))</f>
        <v/>
      </c>
      <c r="G162" s="1" t="str">
        <f t="shared" si="4"/>
        <v/>
      </c>
      <c r="I162" s="1" t="str">
        <f>IF(Protokoll_1p!F128="","",IF(VALUE(LEFT(Protokoll_1p!F128,FIND(":",Protokoll_1p!F128)-1))&gt;VALUE(RIGHT(Protokoll_1p!F128,LEN(Protokoll_1p!F128)-FIND(":",Protokoll_1p!F128))),0,1))</f>
        <v/>
      </c>
      <c r="J162" s="1" t="str">
        <f>IF(Protokoll_1p!G128="","",IF(VALUE(LEFT(Protokoll_1p!G128,FIND(":",Protokoll_1p!G128)-1))&gt;VALUE(RIGHT(Protokoll_1p!G128,LEN(Protokoll_1p!G128)-FIND(":",Protokoll_1p!G128))),0,1))</f>
        <v/>
      </c>
      <c r="K162" s="1" t="str">
        <f>IF(Protokoll_1p!H128="","",IF(VALUE(LEFT(Protokoll_1p!H128,FIND(":",Protokoll_1p!H128)-1))&gt;VALUE(RIGHT(Protokoll_1p!H128,LEN(Protokoll_1p!H128)-FIND(":",Protokoll_1p!H128))),0,1))</f>
        <v/>
      </c>
      <c r="L162" s="1" t="str">
        <f>IF(Protokoll_1p!I128="","",IF(VALUE(LEFT(Protokoll_1p!I128,FIND(":",Protokoll_1p!I128)-1))&gt;VALUE(RIGHT(Protokoll_1p!I128,LEN(Protokoll_1p!I128)-FIND(":",Protokoll_1p!I128))),0,1))</f>
        <v/>
      </c>
      <c r="M162" s="1" t="str">
        <f>IF(Protokoll_1p!J128="","",IF(VALUE(LEFT(Protokoll_1p!J128,FIND(":",Protokoll_1p!J128)-1))&gt;VALUE(RIGHT(Protokoll_1p!J128,LEN(Protokoll_1p!J128)-FIND(":",Protokoll_1p!J128))),0,1))</f>
        <v/>
      </c>
      <c r="N162" s="1" t="str">
        <f t="shared" si="5"/>
        <v/>
      </c>
    </row>
    <row r="163" spans="2:14">
      <c r="B163" s="1" t="str">
        <f>IF(Protokoll_1p!F129="","",IF(VALUE(LEFT(Protokoll_1p!F129,FIND(":",Protokoll_1p!F129)-1))&gt;VALUE(RIGHT(Protokoll_1p!F129,LEN(Protokoll_1p!F129)-FIND(":",Protokoll_1p!F129))),1,0))</f>
        <v/>
      </c>
      <c r="C163" s="1" t="str">
        <f>IF(Protokoll_1p!G129="","",IF(VALUE(LEFT(Protokoll_1p!G129,FIND(":",Protokoll_1p!G129)-1))&gt;VALUE(RIGHT(Protokoll_1p!G129,LEN(Protokoll_1p!G129)-FIND(":",Protokoll_1p!G129))),1,0))</f>
        <v/>
      </c>
      <c r="D163" s="1" t="str">
        <f>IF(Protokoll_1p!H129="","",IF(VALUE(LEFT(Protokoll_1p!H129,FIND(":",Protokoll_1p!H129)-1))&gt;VALUE(RIGHT(Protokoll_1p!H129,LEN(Protokoll_1p!H129)-FIND(":",Protokoll_1p!H129))),1,0))</f>
        <v/>
      </c>
      <c r="E163" s="1" t="str">
        <f>IF(Protokoll_1p!I129="","",IF(VALUE(LEFT(Protokoll_1p!I129,FIND(":",Protokoll_1p!I129)-1))&gt;VALUE(RIGHT(Protokoll_1p!I129,LEN(Protokoll_1p!I129)-FIND(":",Protokoll_1p!I129))),1,0))</f>
        <v/>
      </c>
      <c r="F163" s="1" t="str">
        <f>IF(Protokoll_1p!J129="","",IF(VALUE(LEFT(Protokoll_1p!J129,FIND(":",Protokoll_1p!J129)-1))&gt;VALUE(RIGHT(Protokoll_1p!J129,LEN(Protokoll_1p!J129)-FIND(":",Protokoll_1p!J129))),1,0))</f>
        <v/>
      </c>
      <c r="G163" s="1" t="str">
        <f t="shared" si="4"/>
        <v/>
      </c>
      <c r="I163" s="1" t="str">
        <f>IF(Protokoll_1p!F129="","",IF(VALUE(LEFT(Protokoll_1p!F129,FIND(":",Protokoll_1p!F129)-1))&gt;VALUE(RIGHT(Protokoll_1p!F129,LEN(Protokoll_1p!F129)-FIND(":",Protokoll_1p!F129))),0,1))</f>
        <v/>
      </c>
      <c r="J163" s="1" t="str">
        <f>IF(Protokoll_1p!G129="","",IF(VALUE(LEFT(Protokoll_1p!G129,FIND(":",Protokoll_1p!G129)-1))&gt;VALUE(RIGHT(Protokoll_1p!G129,LEN(Protokoll_1p!G129)-FIND(":",Protokoll_1p!G129))),0,1))</f>
        <v/>
      </c>
      <c r="K163" s="1" t="str">
        <f>IF(Protokoll_1p!H129="","",IF(VALUE(LEFT(Protokoll_1p!H129,FIND(":",Protokoll_1p!H129)-1))&gt;VALUE(RIGHT(Protokoll_1p!H129,LEN(Protokoll_1p!H129)-FIND(":",Protokoll_1p!H129))),0,1))</f>
        <v/>
      </c>
      <c r="L163" s="1" t="str">
        <f>IF(Protokoll_1p!I129="","",IF(VALUE(LEFT(Protokoll_1p!I129,FIND(":",Protokoll_1p!I129)-1))&gt;VALUE(RIGHT(Protokoll_1p!I129,LEN(Protokoll_1p!I129)-FIND(":",Protokoll_1p!I129))),0,1))</f>
        <v/>
      </c>
      <c r="M163" s="1" t="str">
        <f>IF(Protokoll_1p!J129="","",IF(VALUE(LEFT(Protokoll_1p!J129,FIND(":",Protokoll_1p!J129)-1))&gt;VALUE(RIGHT(Protokoll_1p!J129,LEN(Protokoll_1p!J129)-FIND(":",Protokoll_1p!J129))),0,1))</f>
        <v/>
      </c>
      <c r="N163" s="1" t="str">
        <f t="shared" si="5"/>
        <v/>
      </c>
    </row>
    <row r="164" spans="2:14">
      <c r="B164" s="1" t="str">
        <f>IF(Protokoll_1p!F130="","",IF(VALUE(LEFT(Protokoll_1p!F130,FIND(":",Protokoll_1p!F130)-1))&gt;VALUE(RIGHT(Protokoll_1p!F130,LEN(Protokoll_1p!F130)-FIND(":",Protokoll_1p!F130))),1,0))</f>
        <v/>
      </c>
      <c r="C164" s="1" t="str">
        <f>IF(Protokoll_1p!G130="","",IF(VALUE(LEFT(Protokoll_1p!G130,FIND(":",Protokoll_1p!G130)-1))&gt;VALUE(RIGHT(Protokoll_1p!G130,LEN(Protokoll_1p!G130)-FIND(":",Protokoll_1p!G130))),1,0))</f>
        <v/>
      </c>
      <c r="D164" s="1" t="str">
        <f>IF(Protokoll_1p!H130="","",IF(VALUE(LEFT(Protokoll_1p!H130,FIND(":",Protokoll_1p!H130)-1))&gt;VALUE(RIGHT(Protokoll_1p!H130,LEN(Protokoll_1p!H130)-FIND(":",Protokoll_1p!H130))),1,0))</f>
        <v/>
      </c>
      <c r="E164" s="1" t="str">
        <f>IF(Protokoll_1p!I130="","",IF(VALUE(LEFT(Protokoll_1p!I130,FIND(":",Protokoll_1p!I130)-1))&gt;VALUE(RIGHT(Protokoll_1p!I130,LEN(Protokoll_1p!I130)-FIND(":",Protokoll_1p!I130))),1,0))</f>
        <v/>
      </c>
      <c r="F164" s="1" t="str">
        <f>IF(Protokoll_1p!J130="","",IF(VALUE(LEFT(Protokoll_1p!J130,FIND(":",Protokoll_1p!J130)-1))&gt;VALUE(RIGHT(Protokoll_1p!J130,LEN(Protokoll_1p!J130)-FIND(":",Protokoll_1p!J130))),1,0))</f>
        <v/>
      </c>
      <c r="G164" s="1" t="str">
        <f t="shared" si="4"/>
        <v/>
      </c>
      <c r="I164" s="1" t="str">
        <f>IF(Protokoll_1p!F130="","",IF(VALUE(LEFT(Protokoll_1p!F130,FIND(":",Protokoll_1p!F130)-1))&gt;VALUE(RIGHT(Protokoll_1p!F130,LEN(Protokoll_1p!F130)-FIND(":",Protokoll_1p!F130))),0,1))</f>
        <v/>
      </c>
      <c r="J164" s="1" t="str">
        <f>IF(Protokoll_1p!G130="","",IF(VALUE(LEFT(Protokoll_1p!G130,FIND(":",Protokoll_1p!G130)-1))&gt;VALUE(RIGHT(Protokoll_1p!G130,LEN(Protokoll_1p!G130)-FIND(":",Protokoll_1p!G130))),0,1))</f>
        <v/>
      </c>
      <c r="K164" s="1" t="str">
        <f>IF(Protokoll_1p!H130="","",IF(VALUE(LEFT(Protokoll_1p!H130,FIND(":",Protokoll_1p!H130)-1))&gt;VALUE(RIGHT(Protokoll_1p!H130,LEN(Protokoll_1p!H130)-FIND(":",Protokoll_1p!H130))),0,1))</f>
        <v/>
      </c>
      <c r="L164" s="1" t="str">
        <f>IF(Protokoll_1p!I130="","",IF(VALUE(LEFT(Protokoll_1p!I130,FIND(":",Protokoll_1p!I130)-1))&gt;VALUE(RIGHT(Protokoll_1p!I130,LEN(Protokoll_1p!I130)-FIND(":",Protokoll_1p!I130))),0,1))</f>
        <v/>
      </c>
      <c r="M164" s="1" t="str">
        <f>IF(Protokoll_1p!J130="","",IF(VALUE(LEFT(Protokoll_1p!J130,FIND(":",Protokoll_1p!J130)-1))&gt;VALUE(RIGHT(Protokoll_1p!J130,LEN(Protokoll_1p!J130)-FIND(":",Protokoll_1p!J130))),0,1))</f>
        <v/>
      </c>
      <c r="N164" s="1" t="str">
        <f t="shared" si="5"/>
        <v/>
      </c>
    </row>
    <row r="165" spans="2:14">
      <c r="B165" s="1" t="str">
        <f>IF(Protokoll_1p!F131="","",IF(VALUE(LEFT(Protokoll_1p!F131,FIND(":",Protokoll_1p!F131)-1))&gt;VALUE(RIGHT(Protokoll_1p!F131,LEN(Protokoll_1p!F131)-FIND(":",Protokoll_1p!F131))),1,0))</f>
        <v/>
      </c>
      <c r="C165" s="1" t="str">
        <f>IF(Protokoll_1p!G131="","",IF(VALUE(LEFT(Protokoll_1p!G131,FIND(":",Protokoll_1p!G131)-1))&gt;VALUE(RIGHT(Protokoll_1p!G131,LEN(Protokoll_1p!G131)-FIND(":",Protokoll_1p!G131))),1,0))</f>
        <v/>
      </c>
      <c r="D165" s="1" t="str">
        <f>IF(Protokoll_1p!H131="","",IF(VALUE(LEFT(Protokoll_1p!H131,FIND(":",Protokoll_1p!H131)-1))&gt;VALUE(RIGHT(Protokoll_1p!H131,LEN(Protokoll_1p!H131)-FIND(":",Protokoll_1p!H131))),1,0))</f>
        <v/>
      </c>
      <c r="E165" s="1" t="str">
        <f>IF(Protokoll_1p!I131="","",IF(VALUE(LEFT(Protokoll_1p!I131,FIND(":",Protokoll_1p!I131)-1))&gt;VALUE(RIGHT(Protokoll_1p!I131,LEN(Protokoll_1p!I131)-FIND(":",Protokoll_1p!I131))),1,0))</f>
        <v/>
      </c>
      <c r="F165" s="1" t="str">
        <f>IF(Protokoll_1p!J131="","",IF(VALUE(LEFT(Protokoll_1p!J131,FIND(":",Protokoll_1p!J131)-1))&gt;VALUE(RIGHT(Protokoll_1p!J131,LEN(Protokoll_1p!J131)-FIND(":",Protokoll_1p!J131))),1,0))</f>
        <v/>
      </c>
      <c r="G165" s="1" t="str">
        <f t="shared" si="4"/>
        <v/>
      </c>
      <c r="I165" s="1" t="str">
        <f>IF(Protokoll_1p!F131="","",IF(VALUE(LEFT(Protokoll_1p!F131,FIND(":",Protokoll_1p!F131)-1))&gt;VALUE(RIGHT(Protokoll_1p!F131,LEN(Protokoll_1p!F131)-FIND(":",Protokoll_1p!F131))),0,1))</f>
        <v/>
      </c>
      <c r="J165" s="1" t="str">
        <f>IF(Protokoll_1p!G131="","",IF(VALUE(LEFT(Protokoll_1p!G131,FIND(":",Protokoll_1p!G131)-1))&gt;VALUE(RIGHT(Protokoll_1p!G131,LEN(Protokoll_1p!G131)-FIND(":",Protokoll_1p!G131))),0,1))</f>
        <v/>
      </c>
      <c r="K165" s="1" t="str">
        <f>IF(Protokoll_1p!H131="","",IF(VALUE(LEFT(Protokoll_1p!H131,FIND(":",Protokoll_1p!H131)-1))&gt;VALUE(RIGHT(Protokoll_1p!H131,LEN(Protokoll_1p!H131)-FIND(":",Protokoll_1p!H131))),0,1))</f>
        <v/>
      </c>
      <c r="L165" s="1" t="str">
        <f>IF(Protokoll_1p!I131="","",IF(VALUE(LEFT(Protokoll_1p!I131,FIND(":",Protokoll_1p!I131)-1))&gt;VALUE(RIGHT(Protokoll_1p!I131,LEN(Protokoll_1p!I131)-FIND(":",Protokoll_1p!I131))),0,1))</f>
        <v/>
      </c>
      <c r="M165" s="1" t="str">
        <f>IF(Protokoll_1p!J131="","",IF(VALUE(LEFT(Protokoll_1p!J131,FIND(":",Protokoll_1p!J131)-1))&gt;VALUE(RIGHT(Protokoll_1p!J131,LEN(Protokoll_1p!J131)-FIND(":",Protokoll_1p!J131))),0,1))</f>
        <v/>
      </c>
      <c r="N165" s="1" t="str">
        <f t="shared" si="5"/>
        <v/>
      </c>
    </row>
    <row r="166" spans="2:14">
      <c r="B166" s="1" t="str">
        <f>IF(Protokoll_1p!F132="","",IF(VALUE(LEFT(Protokoll_1p!F132,FIND(":",Protokoll_1p!F132)-1))&gt;VALUE(RIGHT(Protokoll_1p!F132,LEN(Protokoll_1p!F132)-FIND(":",Protokoll_1p!F132))),1,0))</f>
        <v/>
      </c>
      <c r="C166" s="1" t="str">
        <f>IF(Protokoll_1p!G132="","",IF(VALUE(LEFT(Protokoll_1p!G132,FIND(":",Protokoll_1p!G132)-1))&gt;VALUE(RIGHT(Protokoll_1p!G132,LEN(Protokoll_1p!G132)-FIND(":",Protokoll_1p!G132))),1,0))</f>
        <v/>
      </c>
      <c r="D166" s="1" t="str">
        <f>IF(Protokoll_1p!H132="","",IF(VALUE(LEFT(Protokoll_1p!H132,FIND(":",Protokoll_1p!H132)-1))&gt;VALUE(RIGHT(Protokoll_1p!H132,LEN(Protokoll_1p!H132)-FIND(":",Protokoll_1p!H132))),1,0))</f>
        <v/>
      </c>
      <c r="E166" s="1" t="str">
        <f>IF(Protokoll_1p!I132="","",IF(VALUE(LEFT(Protokoll_1p!I132,FIND(":",Protokoll_1p!I132)-1))&gt;VALUE(RIGHT(Protokoll_1p!I132,LEN(Protokoll_1p!I132)-FIND(":",Protokoll_1p!I132))),1,0))</f>
        <v/>
      </c>
      <c r="F166" s="1" t="str">
        <f>IF(Protokoll_1p!J132="","",IF(VALUE(LEFT(Protokoll_1p!J132,FIND(":",Protokoll_1p!J132)-1))&gt;VALUE(RIGHT(Protokoll_1p!J132,LEN(Protokoll_1p!J132)-FIND(":",Protokoll_1p!J132))),1,0))</f>
        <v/>
      </c>
      <c r="G166" s="1" t="str">
        <f t="shared" si="4"/>
        <v/>
      </c>
      <c r="I166" s="1" t="str">
        <f>IF(Protokoll_1p!F132="","",IF(VALUE(LEFT(Protokoll_1p!F132,FIND(":",Protokoll_1p!F132)-1))&gt;VALUE(RIGHT(Protokoll_1p!F132,LEN(Protokoll_1p!F132)-FIND(":",Protokoll_1p!F132))),0,1))</f>
        <v/>
      </c>
      <c r="J166" s="1" t="str">
        <f>IF(Protokoll_1p!G132="","",IF(VALUE(LEFT(Protokoll_1p!G132,FIND(":",Protokoll_1p!G132)-1))&gt;VALUE(RIGHT(Protokoll_1p!G132,LEN(Protokoll_1p!G132)-FIND(":",Protokoll_1p!G132))),0,1))</f>
        <v/>
      </c>
      <c r="K166" s="1" t="str">
        <f>IF(Protokoll_1p!H132="","",IF(VALUE(LEFT(Protokoll_1p!H132,FIND(":",Protokoll_1p!H132)-1))&gt;VALUE(RIGHT(Protokoll_1p!H132,LEN(Protokoll_1p!H132)-FIND(":",Protokoll_1p!H132))),0,1))</f>
        <v/>
      </c>
      <c r="L166" s="1" t="str">
        <f>IF(Protokoll_1p!I132="","",IF(VALUE(LEFT(Protokoll_1p!I132,FIND(":",Protokoll_1p!I132)-1))&gt;VALUE(RIGHT(Protokoll_1p!I132,LEN(Protokoll_1p!I132)-FIND(":",Protokoll_1p!I132))),0,1))</f>
        <v/>
      </c>
      <c r="M166" s="1" t="str">
        <f>IF(Protokoll_1p!J132="","",IF(VALUE(LEFT(Protokoll_1p!J132,FIND(":",Protokoll_1p!J132)-1))&gt;VALUE(RIGHT(Protokoll_1p!J132,LEN(Protokoll_1p!J132)-FIND(":",Protokoll_1p!J132))),0,1))</f>
        <v/>
      </c>
      <c r="N166" s="1" t="str">
        <f t="shared" si="5"/>
        <v/>
      </c>
    </row>
    <row r="167" spans="2:14">
      <c r="B167" s="1" t="str">
        <f>IF(Protokoll_1p!F133="","",IF(VALUE(LEFT(Protokoll_1p!F133,FIND(":",Protokoll_1p!F133)-1))&gt;VALUE(RIGHT(Protokoll_1p!F133,LEN(Protokoll_1p!F133)-FIND(":",Protokoll_1p!F133))),1,0))</f>
        <v/>
      </c>
      <c r="C167" s="1" t="str">
        <f>IF(Protokoll_1p!G133="","",IF(VALUE(LEFT(Protokoll_1p!G133,FIND(":",Protokoll_1p!G133)-1))&gt;VALUE(RIGHT(Protokoll_1p!G133,LEN(Protokoll_1p!G133)-FIND(":",Protokoll_1p!G133))),1,0))</f>
        <v/>
      </c>
      <c r="D167" s="1" t="str">
        <f>IF(Protokoll_1p!H133="","",IF(VALUE(LEFT(Protokoll_1p!H133,FIND(":",Protokoll_1p!H133)-1))&gt;VALUE(RIGHT(Protokoll_1p!H133,LEN(Protokoll_1p!H133)-FIND(":",Protokoll_1p!H133))),1,0))</f>
        <v/>
      </c>
      <c r="E167" s="1" t="str">
        <f>IF(Protokoll_1p!I133="","",IF(VALUE(LEFT(Protokoll_1p!I133,FIND(":",Protokoll_1p!I133)-1))&gt;VALUE(RIGHT(Protokoll_1p!I133,LEN(Protokoll_1p!I133)-FIND(":",Protokoll_1p!I133))),1,0))</f>
        <v/>
      </c>
      <c r="F167" s="1" t="str">
        <f>IF(Protokoll_1p!J133="","",IF(VALUE(LEFT(Protokoll_1p!J133,FIND(":",Protokoll_1p!J133)-1))&gt;VALUE(RIGHT(Protokoll_1p!J133,LEN(Protokoll_1p!J133)-FIND(":",Protokoll_1p!J133))),1,0))</f>
        <v/>
      </c>
      <c r="G167" s="1" t="str">
        <f t="shared" si="4"/>
        <v/>
      </c>
      <c r="I167" s="1" t="str">
        <f>IF(Protokoll_1p!F133="","",IF(VALUE(LEFT(Protokoll_1p!F133,FIND(":",Protokoll_1p!F133)-1))&gt;VALUE(RIGHT(Protokoll_1p!F133,LEN(Protokoll_1p!F133)-FIND(":",Protokoll_1p!F133))),0,1))</f>
        <v/>
      </c>
      <c r="J167" s="1" t="str">
        <f>IF(Protokoll_1p!G133="","",IF(VALUE(LEFT(Protokoll_1p!G133,FIND(":",Protokoll_1p!G133)-1))&gt;VALUE(RIGHT(Protokoll_1p!G133,LEN(Protokoll_1p!G133)-FIND(":",Protokoll_1p!G133))),0,1))</f>
        <v/>
      </c>
      <c r="K167" s="1" t="str">
        <f>IF(Protokoll_1p!H133="","",IF(VALUE(LEFT(Protokoll_1p!H133,FIND(":",Protokoll_1p!H133)-1))&gt;VALUE(RIGHT(Protokoll_1p!H133,LEN(Protokoll_1p!H133)-FIND(":",Protokoll_1p!H133))),0,1))</f>
        <v/>
      </c>
      <c r="L167" s="1" t="str">
        <f>IF(Protokoll_1p!I133="","",IF(VALUE(LEFT(Protokoll_1p!I133,FIND(":",Protokoll_1p!I133)-1))&gt;VALUE(RIGHT(Protokoll_1p!I133,LEN(Protokoll_1p!I133)-FIND(":",Protokoll_1p!I133))),0,1))</f>
        <v/>
      </c>
      <c r="M167" s="1" t="str">
        <f>IF(Protokoll_1p!J133="","",IF(VALUE(LEFT(Protokoll_1p!J133,FIND(":",Protokoll_1p!J133)-1))&gt;VALUE(RIGHT(Protokoll_1p!J133,LEN(Protokoll_1p!J133)-FIND(":",Protokoll_1p!J133))),0,1))</f>
        <v/>
      </c>
      <c r="N167" s="1" t="str">
        <f t="shared" si="5"/>
        <v/>
      </c>
    </row>
    <row r="168" spans="2:14">
      <c r="B168" s="1" t="str">
        <f>IF(Protokoll_1p!F134="","",IF(VALUE(LEFT(Protokoll_1p!F134,FIND(":",Protokoll_1p!F134)-1))&gt;VALUE(RIGHT(Protokoll_1p!F134,LEN(Protokoll_1p!F134)-FIND(":",Protokoll_1p!F134))),1,0))</f>
        <v/>
      </c>
      <c r="C168" s="1" t="str">
        <f>IF(Protokoll_1p!G134="","",IF(VALUE(LEFT(Protokoll_1p!G134,FIND(":",Protokoll_1p!G134)-1))&gt;VALUE(RIGHT(Protokoll_1p!G134,LEN(Protokoll_1p!G134)-FIND(":",Protokoll_1p!G134))),1,0))</f>
        <v/>
      </c>
      <c r="D168" s="1" t="str">
        <f>IF(Protokoll_1p!H134="","",IF(VALUE(LEFT(Protokoll_1p!H134,FIND(":",Protokoll_1p!H134)-1))&gt;VALUE(RIGHT(Protokoll_1p!H134,LEN(Protokoll_1p!H134)-FIND(":",Protokoll_1p!H134))),1,0))</f>
        <v/>
      </c>
      <c r="E168" s="1" t="str">
        <f>IF(Protokoll_1p!I134="","",IF(VALUE(LEFT(Protokoll_1p!I134,FIND(":",Protokoll_1p!I134)-1))&gt;VALUE(RIGHT(Protokoll_1p!I134,LEN(Protokoll_1p!I134)-FIND(":",Protokoll_1p!I134))),1,0))</f>
        <v/>
      </c>
      <c r="F168" s="1" t="str">
        <f>IF(Protokoll_1p!J134="","",IF(VALUE(LEFT(Protokoll_1p!J134,FIND(":",Protokoll_1p!J134)-1))&gt;VALUE(RIGHT(Protokoll_1p!J134,LEN(Protokoll_1p!J134)-FIND(":",Protokoll_1p!J134))),1,0))</f>
        <v/>
      </c>
      <c r="G168" s="1" t="str">
        <f t="shared" si="4"/>
        <v/>
      </c>
      <c r="I168" s="1" t="str">
        <f>IF(Protokoll_1p!F134="","",IF(VALUE(LEFT(Protokoll_1p!F134,FIND(":",Protokoll_1p!F134)-1))&gt;VALUE(RIGHT(Protokoll_1p!F134,LEN(Protokoll_1p!F134)-FIND(":",Protokoll_1p!F134))),0,1))</f>
        <v/>
      </c>
      <c r="J168" s="1" t="str">
        <f>IF(Protokoll_1p!G134="","",IF(VALUE(LEFT(Protokoll_1p!G134,FIND(":",Protokoll_1p!G134)-1))&gt;VALUE(RIGHT(Protokoll_1p!G134,LEN(Protokoll_1p!G134)-FIND(":",Protokoll_1p!G134))),0,1))</f>
        <v/>
      </c>
      <c r="K168" s="1" t="str">
        <f>IF(Protokoll_1p!H134="","",IF(VALUE(LEFT(Protokoll_1p!H134,FIND(":",Protokoll_1p!H134)-1))&gt;VALUE(RIGHT(Protokoll_1p!H134,LEN(Protokoll_1p!H134)-FIND(":",Protokoll_1p!H134))),0,1))</f>
        <v/>
      </c>
      <c r="L168" s="1" t="str">
        <f>IF(Protokoll_1p!I134="","",IF(VALUE(LEFT(Protokoll_1p!I134,FIND(":",Protokoll_1p!I134)-1))&gt;VALUE(RIGHT(Protokoll_1p!I134,LEN(Protokoll_1p!I134)-FIND(":",Protokoll_1p!I134))),0,1))</f>
        <v/>
      </c>
      <c r="M168" s="1" t="str">
        <f>IF(Protokoll_1p!J134="","",IF(VALUE(LEFT(Protokoll_1p!J134,FIND(":",Protokoll_1p!J134)-1))&gt;VALUE(RIGHT(Protokoll_1p!J134,LEN(Protokoll_1p!J134)-FIND(":",Protokoll_1p!J134))),0,1))</f>
        <v/>
      </c>
      <c r="N168" s="1" t="str">
        <f t="shared" si="5"/>
        <v/>
      </c>
    </row>
    <row r="169" spans="2:14">
      <c r="B169" s="1" t="str">
        <f>IF(Protokoll_1p!F135="","",IF(VALUE(LEFT(Protokoll_1p!F135,FIND(":",Protokoll_1p!F135)-1))&gt;VALUE(RIGHT(Protokoll_1p!F135,LEN(Protokoll_1p!F135)-FIND(":",Protokoll_1p!F135))),1,0))</f>
        <v/>
      </c>
      <c r="C169" s="1" t="str">
        <f>IF(Protokoll_1p!G135="","",IF(VALUE(LEFT(Protokoll_1p!G135,FIND(":",Protokoll_1p!G135)-1))&gt;VALUE(RIGHT(Protokoll_1p!G135,LEN(Protokoll_1p!G135)-FIND(":",Protokoll_1p!G135))),1,0))</f>
        <v/>
      </c>
      <c r="D169" s="1" t="str">
        <f>IF(Protokoll_1p!H135="","",IF(VALUE(LEFT(Protokoll_1p!H135,FIND(":",Protokoll_1p!H135)-1))&gt;VALUE(RIGHT(Protokoll_1p!H135,LEN(Protokoll_1p!H135)-FIND(":",Protokoll_1p!H135))),1,0))</f>
        <v/>
      </c>
      <c r="E169" s="1" t="str">
        <f>IF(Protokoll_1p!I135="","",IF(VALUE(LEFT(Protokoll_1p!I135,FIND(":",Protokoll_1p!I135)-1))&gt;VALUE(RIGHT(Protokoll_1p!I135,LEN(Protokoll_1p!I135)-FIND(":",Protokoll_1p!I135))),1,0))</f>
        <v/>
      </c>
      <c r="F169" s="1" t="str">
        <f>IF(Protokoll_1p!J135="","",IF(VALUE(LEFT(Protokoll_1p!J135,FIND(":",Protokoll_1p!J135)-1))&gt;VALUE(RIGHT(Protokoll_1p!J135,LEN(Protokoll_1p!J135)-FIND(":",Protokoll_1p!J135))),1,0))</f>
        <v/>
      </c>
      <c r="G169" s="1" t="str">
        <f t="shared" si="4"/>
        <v/>
      </c>
      <c r="I169" s="1" t="str">
        <f>IF(Protokoll_1p!F135="","",IF(VALUE(LEFT(Protokoll_1p!F135,FIND(":",Protokoll_1p!F135)-1))&gt;VALUE(RIGHT(Protokoll_1p!F135,LEN(Protokoll_1p!F135)-FIND(":",Protokoll_1p!F135))),0,1))</f>
        <v/>
      </c>
      <c r="J169" s="1" t="str">
        <f>IF(Protokoll_1p!G135="","",IF(VALUE(LEFT(Protokoll_1p!G135,FIND(":",Protokoll_1p!G135)-1))&gt;VALUE(RIGHT(Protokoll_1p!G135,LEN(Protokoll_1p!G135)-FIND(":",Protokoll_1p!G135))),0,1))</f>
        <v/>
      </c>
      <c r="K169" s="1" t="str">
        <f>IF(Protokoll_1p!H135="","",IF(VALUE(LEFT(Protokoll_1p!H135,FIND(":",Protokoll_1p!H135)-1))&gt;VALUE(RIGHT(Protokoll_1p!H135,LEN(Protokoll_1p!H135)-FIND(":",Protokoll_1p!H135))),0,1))</f>
        <v/>
      </c>
      <c r="L169" s="1" t="str">
        <f>IF(Protokoll_1p!I135="","",IF(VALUE(LEFT(Protokoll_1p!I135,FIND(":",Protokoll_1p!I135)-1))&gt;VALUE(RIGHT(Protokoll_1p!I135,LEN(Protokoll_1p!I135)-FIND(":",Protokoll_1p!I135))),0,1))</f>
        <v/>
      </c>
      <c r="M169" s="1" t="str">
        <f>IF(Protokoll_1p!J135="","",IF(VALUE(LEFT(Protokoll_1p!J135,FIND(":",Protokoll_1p!J135)-1))&gt;VALUE(RIGHT(Protokoll_1p!J135,LEN(Protokoll_1p!J135)-FIND(":",Protokoll_1p!J135))),0,1))</f>
        <v/>
      </c>
      <c r="N169" s="1" t="str">
        <f t="shared" si="5"/>
        <v/>
      </c>
    </row>
    <row r="170" spans="2:14">
      <c r="B170" s="1" t="str">
        <f>IF(Protokoll_1p!F136="","",IF(VALUE(LEFT(Protokoll_1p!F136,FIND(":",Protokoll_1p!F136)-1))&gt;VALUE(RIGHT(Protokoll_1p!F136,LEN(Protokoll_1p!F136)-FIND(":",Protokoll_1p!F136))),1,0))</f>
        <v/>
      </c>
      <c r="C170" s="1" t="str">
        <f>IF(Protokoll_1p!G136="","",IF(VALUE(LEFT(Protokoll_1p!G136,FIND(":",Protokoll_1p!G136)-1))&gt;VALUE(RIGHT(Protokoll_1p!G136,LEN(Protokoll_1p!G136)-FIND(":",Protokoll_1p!G136))),1,0))</f>
        <v/>
      </c>
      <c r="D170" s="1" t="str">
        <f>IF(Protokoll_1p!H136="","",IF(VALUE(LEFT(Protokoll_1p!H136,FIND(":",Protokoll_1p!H136)-1))&gt;VALUE(RIGHT(Protokoll_1p!H136,LEN(Protokoll_1p!H136)-FIND(":",Protokoll_1p!H136))),1,0))</f>
        <v/>
      </c>
      <c r="E170" s="1" t="str">
        <f>IF(Protokoll_1p!I136="","",IF(VALUE(LEFT(Protokoll_1p!I136,FIND(":",Protokoll_1p!I136)-1))&gt;VALUE(RIGHT(Protokoll_1p!I136,LEN(Protokoll_1p!I136)-FIND(":",Protokoll_1p!I136))),1,0))</f>
        <v/>
      </c>
      <c r="F170" s="1" t="str">
        <f>IF(Protokoll_1p!J136="","",IF(VALUE(LEFT(Protokoll_1p!J136,FIND(":",Protokoll_1p!J136)-1))&gt;VALUE(RIGHT(Protokoll_1p!J136,LEN(Protokoll_1p!J136)-FIND(":",Protokoll_1p!J136))),1,0))</f>
        <v/>
      </c>
      <c r="G170" s="1" t="str">
        <f t="shared" si="4"/>
        <v/>
      </c>
      <c r="I170" s="1" t="str">
        <f>IF(Protokoll_1p!F136="","",IF(VALUE(LEFT(Protokoll_1p!F136,FIND(":",Protokoll_1p!F136)-1))&gt;VALUE(RIGHT(Protokoll_1p!F136,LEN(Protokoll_1p!F136)-FIND(":",Protokoll_1p!F136))),0,1))</f>
        <v/>
      </c>
      <c r="J170" s="1" t="str">
        <f>IF(Protokoll_1p!G136="","",IF(VALUE(LEFT(Protokoll_1p!G136,FIND(":",Protokoll_1p!G136)-1))&gt;VALUE(RIGHT(Protokoll_1p!G136,LEN(Protokoll_1p!G136)-FIND(":",Protokoll_1p!G136))),0,1))</f>
        <v/>
      </c>
      <c r="K170" s="1" t="str">
        <f>IF(Protokoll_1p!H136="","",IF(VALUE(LEFT(Protokoll_1p!H136,FIND(":",Protokoll_1p!H136)-1))&gt;VALUE(RIGHT(Protokoll_1p!H136,LEN(Protokoll_1p!H136)-FIND(":",Protokoll_1p!H136))),0,1))</f>
        <v/>
      </c>
      <c r="L170" s="1" t="str">
        <f>IF(Protokoll_1p!I136="","",IF(VALUE(LEFT(Protokoll_1p!I136,FIND(":",Protokoll_1p!I136)-1))&gt;VALUE(RIGHT(Protokoll_1p!I136,LEN(Protokoll_1p!I136)-FIND(":",Protokoll_1p!I136))),0,1))</f>
        <v/>
      </c>
      <c r="M170" s="1" t="str">
        <f>IF(Protokoll_1p!J136="","",IF(VALUE(LEFT(Protokoll_1p!J136,FIND(":",Protokoll_1p!J136)-1))&gt;VALUE(RIGHT(Protokoll_1p!J136,LEN(Protokoll_1p!J136)-FIND(":",Protokoll_1p!J136))),0,1))</f>
        <v/>
      </c>
      <c r="N170" s="1" t="str">
        <f t="shared" si="5"/>
        <v/>
      </c>
    </row>
    <row r="171" spans="2:14">
      <c r="B171" s="1" t="str">
        <f>IF(Protokoll_1p!F137="","",IF(VALUE(LEFT(Protokoll_1p!F137,FIND(":",Protokoll_1p!F137)-1))&gt;VALUE(RIGHT(Protokoll_1p!F137,LEN(Protokoll_1p!F137)-FIND(":",Protokoll_1p!F137))),1,0))</f>
        <v/>
      </c>
      <c r="C171" s="1" t="str">
        <f>IF(Protokoll_1p!G137="","",IF(VALUE(LEFT(Protokoll_1p!G137,FIND(":",Protokoll_1p!G137)-1))&gt;VALUE(RIGHT(Protokoll_1p!G137,LEN(Protokoll_1p!G137)-FIND(":",Protokoll_1p!G137))),1,0))</f>
        <v/>
      </c>
      <c r="D171" s="1" t="str">
        <f>IF(Protokoll_1p!H137="","",IF(VALUE(LEFT(Protokoll_1p!H137,FIND(":",Protokoll_1p!H137)-1))&gt;VALUE(RIGHT(Protokoll_1p!H137,LEN(Protokoll_1p!H137)-FIND(":",Protokoll_1p!H137))),1,0))</f>
        <v/>
      </c>
      <c r="E171" s="1" t="str">
        <f>IF(Protokoll_1p!I137="","",IF(VALUE(LEFT(Protokoll_1p!I137,FIND(":",Protokoll_1p!I137)-1))&gt;VALUE(RIGHT(Protokoll_1p!I137,LEN(Protokoll_1p!I137)-FIND(":",Protokoll_1p!I137))),1,0))</f>
        <v/>
      </c>
      <c r="F171" s="1" t="str">
        <f>IF(Protokoll_1p!J137="","",IF(VALUE(LEFT(Protokoll_1p!J137,FIND(":",Protokoll_1p!J137)-1))&gt;VALUE(RIGHT(Protokoll_1p!J137,LEN(Protokoll_1p!J137)-FIND(":",Protokoll_1p!J137))),1,0))</f>
        <v/>
      </c>
      <c r="G171" s="1" t="str">
        <f t="shared" si="4"/>
        <v/>
      </c>
      <c r="I171" s="1" t="str">
        <f>IF(Protokoll_1p!F137="","",IF(VALUE(LEFT(Protokoll_1p!F137,FIND(":",Protokoll_1p!F137)-1))&gt;VALUE(RIGHT(Protokoll_1p!F137,LEN(Protokoll_1p!F137)-FIND(":",Protokoll_1p!F137))),0,1))</f>
        <v/>
      </c>
      <c r="J171" s="1" t="str">
        <f>IF(Protokoll_1p!G137="","",IF(VALUE(LEFT(Protokoll_1p!G137,FIND(":",Protokoll_1p!G137)-1))&gt;VALUE(RIGHT(Protokoll_1p!G137,LEN(Protokoll_1p!G137)-FIND(":",Protokoll_1p!G137))),0,1))</f>
        <v/>
      </c>
      <c r="K171" s="1" t="str">
        <f>IF(Protokoll_1p!H137="","",IF(VALUE(LEFT(Protokoll_1p!H137,FIND(":",Protokoll_1p!H137)-1))&gt;VALUE(RIGHT(Protokoll_1p!H137,LEN(Protokoll_1p!H137)-FIND(":",Protokoll_1p!H137))),0,1))</f>
        <v/>
      </c>
      <c r="L171" s="1" t="str">
        <f>IF(Protokoll_1p!I137="","",IF(VALUE(LEFT(Protokoll_1p!I137,FIND(":",Protokoll_1p!I137)-1))&gt;VALUE(RIGHT(Protokoll_1p!I137,LEN(Protokoll_1p!I137)-FIND(":",Protokoll_1p!I137))),0,1))</f>
        <v/>
      </c>
      <c r="M171" s="1" t="str">
        <f>IF(Protokoll_1p!J137="","",IF(VALUE(LEFT(Protokoll_1p!J137,FIND(":",Protokoll_1p!J137)-1))&gt;VALUE(RIGHT(Protokoll_1p!J137,LEN(Protokoll_1p!J137)-FIND(":",Protokoll_1p!J137))),0,1))</f>
        <v/>
      </c>
      <c r="N171" s="1" t="str">
        <f t="shared" si="5"/>
        <v/>
      </c>
    </row>
    <row r="172" spans="2:14">
      <c r="B172" s="1" t="str">
        <f>IF(Protokoll_1p!F138="","",IF(VALUE(LEFT(Protokoll_1p!F138,FIND(":",Protokoll_1p!F138)-1))&gt;VALUE(RIGHT(Protokoll_1p!F138,LEN(Protokoll_1p!F138)-FIND(":",Protokoll_1p!F138))),1,0))</f>
        <v/>
      </c>
      <c r="C172" s="1" t="str">
        <f>IF(Protokoll_1p!G138="","",IF(VALUE(LEFT(Protokoll_1p!G138,FIND(":",Protokoll_1p!G138)-1))&gt;VALUE(RIGHT(Protokoll_1p!G138,LEN(Protokoll_1p!G138)-FIND(":",Protokoll_1p!G138))),1,0))</f>
        <v/>
      </c>
      <c r="D172" s="1" t="str">
        <f>IF(Protokoll_1p!H138="","",IF(VALUE(LEFT(Protokoll_1p!H138,FIND(":",Protokoll_1p!H138)-1))&gt;VALUE(RIGHT(Protokoll_1p!H138,LEN(Protokoll_1p!H138)-FIND(":",Protokoll_1p!H138))),1,0))</f>
        <v/>
      </c>
      <c r="E172" s="1" t="str">
        <f>IF(Protokoll_1p!I138="","",IF(VALUE(LEFT(Protokoll_1p!I138,FIND(":",Protokoll_1p!I138)-1))&gt;VALUE(RIGHT(Protokoll_1p!I138,LEN(Protokoll_1p!I138)-FIND(":",Protokoll_1p!I138))),1,0))</f>
        <v/>
      </c>
      <c r="F172" s="1" t="str">
        <f>IF(Protokoll_1p!J138="","",IF(VALUE(LEFT(Protokoll_1p!J138,FIND(":",Protokoll_1p!J138)-1))&gt;VALUE(RIGHT(Protokoll_1p!J138,LEN(Protokoll_1p!J138)-FIND(":",Protokoll_1p!J138))),1,0))</f>
        <v/>
      </c>
      <c r="G172" s="1" t="str">
        <f t="shared" si="4"/>
        <v/>
      </c>
      <c r="I172" s="1" t="str">
        <f>IF(Protokoll_1p!F138="","",IF(VALUE(LEFT(Protokoll_1p!F138,FIND(":",Protokoll_1p!F138)-1))&gt;VALUE(RIGHT(Protokoll_1p!F138,LEN(Protokoll_1p!F138)-FIND(":",Protokoll_1p!F138))),0,1))</f>
        <v/>
      </c>
      <c r="J172" s="1" t="str">
        <f>IF(Protokoll_1p!G138="","",IF(VALUE(LEFT(Protokoll_1p!G138,FIND(":",Protokoll_1p!G138)-1))&gt;VALUE(RIGHT(Protokoll_1p!G138,LEN(Protokoll_1p!G138)-FIND(":",Protokoll_1p!G138))),0,1))</f>
        <v/>
      </c>
      <c r="K172" s="1" t="str">
        <f>IF(Protokoll_1p!H138="","",IF(VALUE(LEFT(Protokoll_1p!H138,FIND(":",Protokoll_1p!H138)-1))&gt;VALUE(RIGHT(Protokoll_1p!H138,LEN(Protokoll_1p!H138)-FIND(":",Protokoll_1p!H138))),0,1))</f>
        <v/>
      </c>
      <c r="L172" s="1" t="str">
        <f>IF(Protokoll_1p!I138="","",IF(VALUE(LEFT(Protokoll_1p!I138,FIND(":",Protokoll_1p!I138)-1))&gt;VALUE(RIGHT(Protokoll_1p!I138,LEN(Protokoll_1p!I138)-FIND(":",Protokoll_1p!I138))),0,1))</f>
        <v/>
      </c>
      <c r="M172" s="1" t="str">
        <f>IF(Protokoll_1p!J138="","",IF(VALUE(LEFT(Protokoll_1p!J138,FIND(":",Protokoll_1p!J138)-1))&gt;VALUE(RIGHT(Protokoll_1p!J138,LEN(Protokoll_1p!J138)-FIND(":",Protokoll_1p!J138))),0,1))</f>
        <v/>
      </c>
      <c r="N172" s="1" t="str">
        <f t="shared" si="5"/>
        <v/>
      </c>
    </row>
    <row r="173" spans="2:14">
      <c r="B173" s="1" t="str">
        <f>IF(Protokoll_1p!F139="","",IF(VALUE(LEFT(Protokoll_1p!F139,FIND(":",Protokoll_1p!F139)-1))&gt;VALUE(RIGHT(Protokoll_1p!F139,LEN(Protokoll_1p!F139)-FIND(":",Protokoll_1p!F139))),1,0))</f>
        <v/>
      </c>
      <c r="C173" s="1" t="str">
        <f>IF(Protokoll_1p!G139="","",IF(VALUE(LEFT(Protokoll_1p!G139,FIND(":",Protokoll_1p!G139)-1))&gt;VALUE(RIGHT(Protokoll_1p!G139,LEN(Protokoll_1p!G139)-FIND(":",Protokoll_1p!G139))),1,0))</f>
        <v/>
      </c>
      <c r="D173" s="1" t="str">
        <f>IF(Protokoll_1p!H139="","",IF(VALUE(LEFT(Protokoll_1p!H139,FIND(":",Protokoll_1p!H139)-1))&gt;VALUE(RIGHT(Protokoll_1p!H139,LEN(Protokoll_1p!H139)-FIND(":",Protokoll_1p!H139))),1,0))</f>
        <v/>
      </c>
      <c r="E173" s="1" t="str">
        <f>IF(Protokoll_1p!I139="","",IF(VALUE(LEFT(Protokoll_1p!I139,FIND(":",Protokoll_1p!I139)-1))&gt;VALUE(RIGHT(Protokoll_1p!I139,LEN(Protokoll_1p!I139)-FIND(":",Protokoll_1p!I139))),1,0))</f>
        <v/>
      </c>
      <c r="F173" s="1" t="str">
        <f>IF(Protokoll_1p!J139="","",IF(VALUE(LEFT(Protokoll_1p!J139,FIND(":",Protokoll_1p!J139)-1))&gt;VALUE(RIGHT(Protokoll_1p!J139,LEN(Protokoll_1p!J139)-FIND(":",Protokoll_1p!J139))),1,0))</f>
        <v/>
      </c>
      <c r="G173" s="1" t="str">
        <f t="shared" si="4"/>
        <v/>
      </c>
      <c r="I173" s="1" t="str">
        <f>IF(Protokoll_1p!F139="","",IF(VALUE(LEFT(Protokoll_1p!F139,FIND(":",Protokoll_1p!F139)-1))&gt;VALUE(RIGHT(Protokoll_1p!F139,LEN(Protokoll_1p!F139)-FIND(":",Protokoll_1p!F139))),0,1))</f>
        <v/>
      </c>
      <c r="J173" s="1" t="str">
        <f>IF(Protokoll_1p!G139="","",IF(VALUE(LEFT(Protokoll_1p!G139,FIND(":",Protokoll_1p!G139)-1))&gt;VALUE(RIGHT(Protokoll_1p!G139,LEN(Protokoll_1p!G139)-FIND(":",Protokoll_1p!G139))),0,1))</f>
        <v/>
      </c>
      <c r="K173" s="1" t="str">
        <f>IF(Protokoll_1p!H139="","",IF(VALUE(LEFT(Protokoll_1p!H139,FIND(":",Protokoll_1p!H139)-1))&gt;VALUE(RIGHT(Protokoll_1p!H139,LEN(Protokoll_1p!H139)-FIND(":",Protokoll_1p!H139))),0,1))</f>
        <v/>
      </c>
      <c r="L173" s="1" t="str">
        <f>IF(Protokoll_1p!I139="","",IF(VALUE(LEFT(Protokoll_1p!I139,FIND(":",Protokoll_1p!I139)-1))&gt;VALUE(RIGHT(Protokoll_1p!I139,LEN(Protokoll_1p!I139)-FIND(":",Protokoll_1p!I139))),0,1))</f>
        <v/>
      </c>
      <c r="M173" s="1" t="str">
        <f>IF(Protokoll_1p!J139="","",IF(VALUE(LEFT(Protokoll_1p!J139,FIND(":",Protokoll_1p!J139)-1))&gt;VALUE(RIGHT(Protokoll_1p!J139,LEN(Protokoll_1p!J139)-FIND(":",Protokoll_1p!J139))),0,1))</f>
        <v/>
      </c>
      <c r="N173" s="1" t="str">
        <f t="shared" si="5"/>
        <v/>
      </c>
    </row>
    <row r="174" spans="2:14">
      <c r="B174" s="1" t="str">
        <f>IF(Protokoll_1p!F140="","",IF(VALUE(LEFT(Protokoll_1p!F140,FIND(":",Protokoll_1p!F140)-1))&gt;VALUE(RIGHT(Protokoll_1p!F140,LEN(Protokoll_1p!F140)-FIND(":",Protokoll_1p!F140))),1,0))</f>
        <v/>
      </c>
      <c r="C174" s="1" t="str">
        <f>IF(Protokoll_1p!G140="","",IF(VALUE(LEFT(Protokoll_1p!G140,FIND(":",Protokoll_1p!G140)-1))&gt;VALUE(RIGHT(Protokoll_1p!G140,LEN(Protokoll_1p!G140)-FIND(":",Protokoll_1p!G140))),1,0))</f>
        <v/>
      </c>
      <c r="D174" s="1" t="str">
        <f>IF(Protokoll_1p!H140="","",IF(VALUE(LEFT(Protokoll_1p!H140,FIND(":",Protokoll_1p!H140)-1))&gt;VALUE(RIGHT(Protokoll_1p!H140,LEN(Protokoll_1p!H140)-FIND(":",Protokoll_1p!H140))),1,0))</f>
        <v/>
      </c>
      <c r="E174" s="1" t="str">
        <f>IF(Protokoll_1p!I140="","",IF(VALUE(LEFT(Protokoll_1p!I140,FIND(":",Protokoll_1p!I140)-1))&gt;VALUE(RIGHT(Protokoll_1p!I140,LEN(Protokoll_1p!I140)-FIND(":",Protokoll_1p!I140))),1,0))</f>
        <v/>
      </c>
      <c r="F174" s="1" t="str">
        <f>IF(Protokoll_1p!J140="","",IF(VALUE(LEFT(Protokoll_1p!J140,FIND(":",Protokoll_1p!J140)-1))&gt;VALUE(RIGHT(Protokoll_1p!J140,LEN(Protokoll_1p!J140)-FIND(":",Protokoll_1p!J140))),1,0))</f>
        <v/>
      </c>
      <c r="G174" s="1" t="str">
        <f t="shared" si="4"/>
        <v/>
      </c>
      <c r="I174" s="1" t="str">
        <f>IF(Protokoll_1p!F140="","",IF(VALUE(LEFT(Protokoll_1p!F140,FIND(":",Protokoll_1p!F140)-1))&gt;VALUE(RIGHT(Protokoll_1p!F140,LEN(Protokoll_1p!F140)-FIND(":",Protokoll_1p!F140))),0,1))</f>
        <v/>
      </c>
      <c r="J174" s="1" t="str">
        <f>IF(Protokoll_1p!G140="","",IF(VALUE(LEFT(Protokoll_1p!G140,FIND(":",Protokoll_1p!G140)-1))&gt;VALUE(RIGHT(Protokoll_1p!G140,LEN(Protokoll_1p!G140)-FIND(":",Protokoll_1p!G140))),0,1))</f>
        <v/>
      </c>
      <c r="K174" s="1" t="str">
        <f>IF(Protokoll_1p!H140="","",IF(VALUE(LEFT(Protokoll_1p!H140,FIND(":",Protokoll_1p!H140)-1))&gt;VALUE(RIGHT(Protokoll_1p!H140,LEN(Protokoll_1p!H140)-FIND(":",Protokoll_1p!H140))),0,1))</f>
        <v/>
      </c>
      <c r="L174" s="1" t="str">
        <f>IF(Protokoll_1p!I140="","",IF(VALUE(LEFT(Protokoll_1p!I140,FIND(":",Protokoll_1p!I140)-1))&gt;VALUE(RIGHT(Protokoll_1p!I140,LEN(Protokoll_1p!I140)-FIND(":",Protokoll_1p!I140))),0,1))</f>
        <v/>
      </c>
      <c r="M174" s="1" t="str">
        <f>IF(Protokoll_1p!J140="","",IF(VALUE(LEFT(Protokoll_1p!J140,FIND(":",Protokoll_1p!J140)-1))&gt;VALUE(RIGHT(Protokoll_1p!J140,LEN(Protokoll_1p!J140)-FIND(":",Protokoll_1p!J140))),0,1))</f>
        <v/>
      </c>
      <c r="N174" s="1" t="str">
        <f t="shared" si="5"/>
        <v/>
      </c>
    </row>
    <row r="175" spans="2:14">
      <c r="B175" s="1" t="str">
        <f>IF(Protokoll_1p!F141="","",IF(VALUE(LEFT(Protokoll_1p!F141,FIND(":",Protokoll_1p!F141)-1))&gt;VALUE(RIGHT(Protokoll_1p!F141,LEN(Protokoll_1p!F141)-FIND(":",Protokoll_1p!F141))),1,0))</f>
        <v/>
      </c>
      <c r="C175" s="1" t="str">
        <f>IF(Protokoll_1p!G141="","",IF(VALUE(LEFT(Protokoll_1p!G141,FIND(":",Protokoll_1p!G141)-1))&gt;VALUE(RIGHT(Protokoll_1p!G141,LEN(Protokoll_1p!G141)-FIND(":",Protokoll_1p!G141))),1,0))</f>
        <v/>
      </c>
      <c r="D175" s="1" t="str">
        <f>IF(Protokoll_1p!H141="","",IF(VALUE(LEFT(Protokoll_1p!H141,FIND(":",Protokoll_1p!H141)-1))&gt;VALUE(RIGHT(Protokoll_1p!H141,LEN(Protokoll_1p!H141)-FIND(":",Protokoll_1p!H141))),1,0))</f>
        <v/>
      </c>
      <c r="E175" s="1" t="str">
        <f>IF(Protokoll_1p!I141="","",IF(VALUE(LEFT(Protokoll_1p!I141,FIND(":",Protokoll_1p!I141)-1))&gt;VALUE(RIGHT(Protokoll_1p!I141,LEN(Protokoll_1p!I141)-FIND(":",Protokoll_1p!I141))),1,0))</f>
        <v/>
      </c>
      <c r="F175" s="1" t="str">
        <f>IF(Protokoll_1p!J141="","",IF(VALUE(LEFT(Protokoll_1p!J141,FIND(":",Protokoll_1p!J141)-1))&gt;VALUE(RIGHT(Protokoll_1p!J141,LEN(Protokoll_1p!J141)-FIND(":",Protokoll_1p!J141))),1,0))</f>
        <v/>
      </c>
      <c r="G175" s="1" t="str">
        <f t="shared" si="4"/>
        <v/>
      </c>
      <c r="I175" s="1" t="str">
        <f>IF(Protokoll_1p!F141="","",IF(VALUE(LEFT(Protokoll_1p!F141,FIND(":",Protokoll_1p!F141)-1))&gt;VALUE(RIGHT(Protokoll_1p!F141,LEN(Protokoll_1p!F141)-FIND(":",Protokoll_1p!F141))),0,1))</f>
        <v/>
      </c>
      <c r="J175" s="1" t="str">
        <f>IF(Protokoll_1p!G141="","",IF(VALUE(LEFT(Protokoll_1p!G141,FIND(":",Protokoll_1p!G141)-1))&gt;VALUE(RIGHT(Protokoll_1p!G141,LEN(Protokoll_1p!G141)-FIND(":",Protokoll_1p!G141))),0,1))</f>
        <v/>
      </c>
      <c r="K175" s="1" t="str">
        <f>IF(Protokoll_1p!H141="","",IF(VALUE(LEFT(Protokoll_1p!H141,FIND(":",Protokoll_1p!H141)-1))&gt;VALUE(RIGHT(Protokoll_1p!H141,LEN(Protokoll_1p!H141)-FIND(":",Protokoll_1p!H141))),0,1))</f>
        <v/>
      </c>
      <c r="L175" s="1" t="str">
        <f>IF(Protokoll_1p!I141="","",IF(VALUE(LEFT(Protokoll_1p!I141,FIND(":",Protokoll_1p!I141)-1))&gt;VALUE(RIGHT(Protokoll_1p!I141,LEN(Protokoll_1p!I141)-FIND(":",Protokoll_1p!I141))),0,1))</f>
        <v/>
      </c>
      <c r="M175" s="1" t="str">
        <f>IF(Protokoll_1p!J141="","",IF(VALUE(LEFT(Protokoll_1p!J141,FIND(":",Protokoll_1p!J141)-1))&gt;VALUE(RIGHT(Protokoll_1p!J141,LEN(Protokoll_1p!J141)-FIND(":",Protokoll_1p!J141))),0,1))</f>
        <v/>
      </c>
      <c r="N175" s="1" t="str">
        <f t="shared" si="5"/>
        <v/>
      </c>
    </row>
    <row r="176" spans="2:14">
      <c r="B176" s="1" t="str">
        <f>IF(Protokoll_1p!F142="","",IF(VALUE(LEFT(Protokoll_1p!F142,FIND(":",Protokoll_1p!F142)-1))&gt;VALUE(RIGHT(Protokoll_1p!F142,LEN(Protokoll_1p!F142)-FIND(":",Protokoll_1p!F142))),1,0))</f>
        <v/>
      </c>
      <c r="C176" s="1" t="str">
        <f>IF(Protokoll_1p!G142="","",IF(VALUE(LEFT(Protokoll_1p!G142,FIND(":",Protokoll_1p!G142)-1))&gt;VALUE(RIGHT(Protokoll_1p!G142,LEN(Protokoll_1p!G142)-FIND(":",Protokoll_1p!G142))),1,0))</f>
        <v/>
      </c>
      <c r="D176" s="1" t="str">
        <f>IF(Protokoll_1p!H142="","",IF(VALUE(LEFT(Protokoll_1p!H142,FIND(":",Protokoll_1p!H142)-1))&gt;VALUE(RIGHT(Protokoll_1p!H142,LEN(Protokoll_1p!H142)-FIND(":",Protokoll_1p!H142))),1,0))</f>
        <v/>
      </c>
      <c r="E176" s="1" t="str">
        <f>IF(Protokoll_1p!I142="","",IF(VALUE(LEFT(Protokoll_1p!I142,FIND(":",Protokoll_1p!I142)-1))&gt;VALUE(RIGHT(Protokoll_1p!I142,LEN(Protokoll_1p!I142)-FIND(":",Protokoll_1p!I142))),1,0))</f>
        <v/>
      </c>
      <c r="F176" s="1" t="str">
        <f>IF(Protokoll_1p!J142="","",IF(VALUE(LEFT(Protokoll_1p!J142,FIND(":",Protokoll_1p!J142)-1))&gt;VALUE(RIGHT(Protokoll_1p!J142,LEN(Protokoll_1p!J142)-FIND(":",Protokoll_1p!J142))),1,0))</f>
        <v/>
      </c>
      <c r="G176" s="1" t="str">
        <f t="shared" si="4"/>
        <v/>
      </c>
      <c r="I176" s="1" t="str">
        <f>IF(Protokoll_1p!F142="","",IF(VALUE(LEFT(Protokoll_1p!F142,FIND(":",Protokoll_1p!F142)-1))&gt;VALUE(RIGHT(Protokoll_1p!F142,LEN(Protokoll_1p!F142)-FIND(":",Protokoll_1p!F142))),0,1))</f>
        <v/>
      </c>
      <c r="J176" s="1" t="str">
        <f>IF(Protokoll_1p!G142="","",IF(VALUE(LEFT(Protokoll_1p!G142,FIND(":",Protokoll_1p!G142)-1))&gt;VALUE(RIGHT(Protokoll_1p!G142,LEN(Protokoll_1p!G142)-FIND(":",Protokoll_1p!G142))),0,1))</f>
        <v/>
      </c>
      <c r="K176" s="1" t="str">
        <f>IF(Protokoll_1p!H142="","",IF(VALUE(LEFT(Protokoll_1p!H142,FIND(":",Protokoll_1p!H142)-1))&gt;VALUE(RIGHT(Protokoll_1p!H142,LEN(Protokoll_1p!H142)-FIND(":",Protokoll_1p!H142))),0,1))</f>
        <v/>
      </c>
      <c r="L176" s="1" t="str">
        <f>IF(Protokoll_1p!I142="","",IF(VALUE(LEFT(Protokoll_1p!I142,FIND(":",Protokoll_1p!I142)-1))&gt;VALUE(RIGHT(Protokoll_1p!I142,LEN(Protokoll_1p!I142)-FIND(":",Protokoll_1p!I142))),0,1))</f>
        <v/>
      </c>
      <c r="M176" s="1" t="str">
        <f>IF(Protokoll_1p!J142="","",IF(VALUE(LEFT(Protokoll_1p!J142,FIND(":",Protokoll_1p!J142)-1))&gt;VALUE(RIGHT(Protokoll_1p!J142,LEN(Protokoll_1p!J142)-FIND(":",Protokoll_1p!J142))),0,1))</f>
        <v/>
      </c>
      <c r="N176" s="1" t="str">
        <f t="shared" si="5"/>
        <v/>
      </c>
    </row>
    <row r="177" spans="2:14">
      <c r="B177" s="1" t="str">
        <f>IF(Protokoll_1p!F143="","",IF(VALUE(LEFT(Protokoll_1p!F143,FIND(":",Protokoll_1p!F143)-1))&gt;VALUE(RIGHT(Protokoll_1p!F143,LEN(Protokoll_1p!F143)-FIND(":",Protokoll_1p!F143))),1,0))</f>
        <v/>
      </c>
      <c r="C177" s="1" t="str">
        <f>IF(Protokoll_1p!G143="","",IF(VALUE(LEFT(Protokoll_1p!G143,FIND(":",Protokoll_1p!G143)-1))&gt;VALUE(RIGHT(Protokoll_1p!G143,LEN(Protokoll_1p!G143)-FIND(":",Protokoll_1p!G143))),1,0))</f>
        <v/>
      </c>
      <c r="D177" s="1" t="str">
        <f>IF(Protokoll_1p!H143="","",IF(VALUE(LEFT(Protokoll_1p!H143,FIND(":",Protokoll_1p!H143)-1))&gt;VALUE(RIGHT(Protokoll_1p!H143,LEN(Protokoll_1p!H143)-FIND(":",Protokoll_1p!H143))),1,0))</f>
        <v/>
      </c>
      <c r="E177" s="1" t="str">
        <f>IF(Protokoll_1p!I143="","",IF(VALUE(LEFT(Protokoll_1p!I143,FIND(":",Protokoll_1p!I143)-1))&gt;VALUE(RIGHT(Protokoll_1p!I143,LEN(Protokoll_1p!I143)-FIND(":",Protokoll_1p!I143))),1,0))</f>
        <v/>
      </c>
      <c r="F177" s="1" t="str">
        <f>IF(Protokoll_1p!J143="","",IF(VALUE(LEFT(Protokoll_1p!J143,FIND(":",Protokoll_1p!J143)-1))&gt;VALUE(RIGHT(Protokoll_1p!J143,LEN(Protokoll_1p!J143)-FIND(":",Protokoll_1p!J143))),1,0))</f>
        <v/>
      </c>
      <c r="G177" s="1" t="str">
        <f t="shared" si="4"/>
        <v/>
      </c>
      <c r="I177" s="1" t="str">
        <f>IF(Protokoll_1p!F143="","",IF(VALUE(LEFT(Protokoll_1p!F143,FIND(":",Protokoll_1p!F143)-1))&gt;VALUE(RIGHT(Protokoll_1p!F143,LEN(Protokoll_1p!F143)-FIND(":",Protokoll_1p!F143))),0,1))</f>
        <v/>
      </c>
      <c r="J177" s="1" t="str">
        <f>IF(Protokoll_1p!G143="","",IF(VALUE(LEFT(Protokoll_1p!G143,FIND(":",Protokoll_1p!G143)-1))&gt;VALUE(RIGHT(Protokoll_1p!G143,LEN(Protokoll_1p!G143)-FIND(":",Protokoll_1p!G143))),0,1))</f>
        <v/>
      </c>
      <c r="K177" s="1" t="str">
        <f>IF(Protokoll_1p!H143="","",IF(VALUE(LEFT(Protokoll_1p!H143,FIND(":",Protokoll_1p!H143)-1))&gt;VALUE(RIGHT(Protokoll_1p!H143,LEN(Protokoll_1p!H143)-FIND(":",Protokoll_1p!H143))),0,1))</f>
        <v/>
      </c>
      <c r="L177" s="1" t="str">
        <f>IF(Protokoll_1p!I143="","",IF(VALUE(LEFT(Protokoll_1p!I143,FIND(":",Protokoll_1p!I143)-1))&gt;VALUE(RIGHT(Protokoll_1p!I143,LEN(Protokoll_1p!I143)-FIND(":",Protokoll_1p!I143))),0,1))</f>
        <v/>
      </c>
      <c r="M177" s="1" t="str">
        <f>IF(Protokoll_1p!J143="","",IF(VALUE(LEFT(Protokoll_1p!J143,FIND(":",Protokoll_1p!J143)-1))&gt;VALUE(RIGHT(Protokoll_1p!J143,LEN(Protokoll_1p!J143)-FIND(":",Protokoll_1p!J143))),0,1))</f>
        <v/>
      </c>
      <c r="N177" s="1" t="str">
        <f t="shared" si="5"/>
        <v/>
      </c>
    </row>
    <row r="178" spans="2:14">
      <c r="B178" s="1" t="str">
        <f>IF(Protokoll_1p!F144="","",IF(VALUE(LEFT(Protokoll_1p!F144,FIND(":",Protokoll_1p!F144)-1))&gt;VALUE(RIGHT(Protokoll_1p!F144,LEN(Protokoll_1p!F144)-FIND(":",Protokoll_1p!F144))),1,0))</f>
        <v/>
      </c>
      <c r="C178" s="1" t="str">
        <f>IF(Protokoll_1p!G144="","",IF(VALUE(LEFT(Protokoll_1p!G144,FIND(":",Protokoll_1p!G144)-1))&gt;VALUE(RIGHT(Protokoll_1p!G144,LEN(Protokoll_1p!G144)-FIND(":",Protokoll_1p!G144))),1,0))</f>
        <v/>
      </c>
      <c r="D178" s="1" t="str">
        <f>IF(Protokoll_1p!H144="","",IF(VALUE(LEFT(Protokoll_1p!H144,FIND(":",Protokoll_1p!H144)-1))&gt;VALUE(RIGHT(Protokoll_1p!H144,LEN(Protokoll_1p!H144)-FIND(":",Protokoll_1p!H144))),1,0))</f>
        <v/>
      </c>
      <c r="E178" s="1" t="str">
        <f>IF(Protokoll_1p!I144="","",IF(VALUE(LEFT(Protokoll_1p!I144,FIND(":",Protokoll_1p!I144)-1))&gt;VALUE(RIGHT(Protokoll_1p!I144,LEN(Protokoll_1p!I144)-FIND(":",Protokoll_1p!I144))),1,0))</f>
        <v/>
      </c>
      <c r="F178" s="1" t="str">
        <f>IF(Protokoll_1p!J144="","",IF(VALUE(LEFT(Protokoll_1p!J144,FIND(":",Protokoll_1p!J144)-1))&gt;VALUE(RIGHT(Protokoll_1p!J144,LEN(Protokoll_1p!J144)-FIND(":",Protokoll_1p!J144))),1,0))</f>
        <v/>
      </c>
      <c r="G178" s="1" t="str">
        <f t="shared" si="4"/>
        <v/>
      </c>
      <c r="I178" s="1" t="str">
        <f>IF(Protokoll_1p!F144="","",IF(VALUE(LEFT(Protokoll_1p!F144,FIND(":",Protokoll_1p!F144)-1))&gt;VALUE(RIGHT(Protokoll_1p!F144,LEN(Protokoll_1p!F144)-FIND(":",Protokoll_1p!F144))),0,1))</f>
        <v/>
      </c>
      <c r="J178" s="1" t="str">
        <f>IF(Protokoll_1p!G144="","",IF(VALUE(LEFT(Protokoll_1p!G144,FIND(":",Protokoll_1p!G144)-1))&gt;VALUE(RIGHT(Protokoll_1p!G144,LEN(Protokoll_1p!G144)-FIND(":",Protokoll_1p!G144))),0,1))</f>
        <v/>
      </c>
      <c r="K178" s="1" t="str">
        <f>IF(Protokoll_1p!H144="","",IF(VALUE(LEFT(Protokoll_1p!H144,FIND(":",Protokoll_1p!H144)-1))&gt;VALUE(RIGHT(Protokoll_1p!H144,LEN(Protokoll_1p!H144)-FIND(":",Protokoll_1p!H144))),0,1))</f>
        <v/>
      </c>
      <c r="L178" s="1" t="str">
        <f>IF(Protokoll_1p!I144="","",IF(VALUE(LEFT(Protokoll_1p!I144,FIND(":",Protokoll_1p!I144)-1))&gt;VALUE(RIGHT(Protokoll_1p!I144,LEN(Protokoll_1p!I144)-FIND(":",Protokoll_1p!I144))),0,1))</f>
        <v/>
      </c>
      <c r="M178" s="1" t="str">
        <f>IF(Protokoll_1p!J144="","",IF(VALUE(LEFT(Protokoll_1p!J144,FIND(":",Protokoll_1p!J144)-1))&gt;VALUE(RIGHT(Protokoll_1p!J144,LEN(Protokoll_1p!J144)-FIND(":",Protokoll_1p!J144))),0,1))</f>
        <v/>
      </c>
      <c r="N178" s="1" t="str">
        <f t="shared" si="5"/>
        <v/>
      </c>
    </row>
    <row r="179" spans="2:14">
      <c r="B179" s="1" t="str">
        <f>IF(Protokoll_1p!F145="","",IF(VALUE(LEFT(Protokoll_1p!F145,FIND(":",Protokoll_1p!F145)-1))&gt;VALUE(RIGHT(Protokoll_1p!F145,LEN(Protokoll_1p!F145)-FIND(":",Protokoll_1p!F145))),1,0))</f>
        <v/>
      </c>
      <c r="C179" s="1" t="str">
        <f>IF(Protokoll_1p!G145="","",IF(VALUE(LEFT(Protokoll_1p!G145,FIND(":",Protokoll_1p!G145)-1))&gt;VALUE(RIGHT(Protokoll_1p!G145,LEN(Protokoll_1p!G145)-FIND(":",Protokoll_1p!G145))),1,0))</f>
        <v/>
      </c>
      <c r="D179" s="1" t="str">
        <f>IF(Protokoll_1p!H145="","",IF(VALUE(LEFT(Protokoll_1p!H145,FIND(":",Protokoll_1p!H145)-1))&gt;VALUE(RIGHT(Protokoll_1p!H145,LEN(Protokoll_1p!H145)-FIND(":",Protokoll_1p!H145))),1,0))</f>
        <v/>
      </c>
      <c r="E179" s="1" t="str">
        <f>IF(Protokoll_1p!I145="","",IF(VALUE(LEFT(Protokoll_1p!I145,FIND(":",Protokoll_1p!I145)-1))&gt;VALUE(RIGHT(Protokoll_1p!I145,LEN(Protokoll_1p!I145)-FIND(":",Protokoll_1p!I145))),1,0))</f>
        <v/>
      </c>
      <c r="F179" s="1" t="str">
        <f>IF(Protokoll_1p!J145="","",IF(VALUE(LEFT(Protokoll_1p!J145,FIND(":",Protokoll_1p!J145)-1))&gt;VALUE(RIGHT(Protokoll_1p!J145,LEN(Protokoll_1p!J145)-FIND(":",Protokoll_1p!J145))),1,0))</f>
        <v/>
      </c>
      <c r="G179" s="1" t="str">
        <f t="shared" si="4"/>
        <v/>
      </c>
      <c r="I179" s="1" t="str">
        <f>IF(Protokoll_1p!F145="","",IF(VALUE(LEFT(Protokoll_1p!F145,FIND(":",Protokoll_1p!F145)-1))&gt;VALUE(RIGHT(Protokoll_1p!F145,LEN(Protokoll_1p!F145)-FIND(":",Protokoll_1p!F145))),0,1))</f>
        <v/>
      </c>
      <c r="J179" s="1" t="str">
        <f>IF(Protokoll_1p!G145="","",IF(VALUE(LEFT(Protokoll_1p!G145,FIND(":",Protokoll_1p!G145)-1))&gt;VALUE(RIGHT(Protokoll_1p!G145,LEN(Protokoll_1p!G145)-FIND(":",Protokoll_1p!G145))),0,1))</f>
        <v/>
      </c>
      <c r="K179" s="1" t="str">
        <f>IF(Protokoll_1p!H145="","",IF(VALUE(LEFT(Protokoll_1p!H145,FIND(":",Protokoll_1p!H145)-1))&gt;VALUE(RIGHT(Protokoll_1p!H145,LEN(Protokoll_1p!H145)-FIND(":",Protokoll_1p!H145))),0,1))</f>
        <v/>
      </c>
      <c r="L179" s="1" t="str">
        <f>IF(Protokoll_1p!I145="","",IF(VALUE(LEFT(Protokoll_1p!I145,FIND(":",Protokoll_1p!I145)-1))&gt;VALUE(RIGHT(Protokoll_1p!I145,LEN(Protokoll_1p!I145)-FIND(":",Protokoll_1p!I145))),0,1))</f>
        <v/>
      </c>
      <c r="M179" s="1" t="str">
        <f>IF(Protokoll_1p!J145="","",IF(VALUE(LEFT(Protokoll_1p!J145,FIND(":",Protokoll_1p!J145)-1))&gt;VALUE(RIGHT(Protokoll_1p!J145,LEN(Protokoll_1p!J145)-FIND(":",Protokoll_1p!J145))),0,1))</f>
        <v/>
      </c>
      <c r="N179" s="1" t="str">
        <f t="shared" si="5"/>
        <v/>
      </c>
    </row>
    <row r="180" spans="2:14">
      <c r="B180" s="1" t="str">
        <f>IF(Protokoll_1p!F146="","",IF(VALUE(LEFT(Protokoll_1p!F146,FIND(":",Protokoll_1p!F146)-1))&gt;VALUE(RIGHT(Protokoll_1p!F146,LEN(Protokoll_1p!F146)-FIND(":",Protokoll_1p!F146))),1,0))</f>
        <v/>
      </c>
      <c r="C180" s="1" t="str">
        <f>IF(Protokoll_1p!G146="","",IF(VALUE(LEFT(Protokoll_1p!G146,FIND(":",Protokoll_1p!G146)-1))&gt;VALUE(RIGHT(Protokoll_1p!G146,LEN(Protokoll_1p!G146)-FIND(":",Protokoll_1p!G146))),1,0))</f>
        <v/>
      </c>
      <c r="D180" s="1" t="str">
        <f>IF(Protokoll_1p!H146="","",IF(VALUE(LEFT(Protokoll_1p!H146,FIND(":",Protokoll_1p!H146)-1))&gt;VALUE(RIGHT(Protokoll_1p!H146,LEN(Protokoll_1p!H146)-FIND(":",Protokoll_1p!H146))),1,0))</f>
        <v/>
      </c>
      <c r="E180" s="1" t="str">
        <f>IF(Protokoll_1p!I146="","",IF(VALUE(LEFT(Protokoll_1p!I146,FIND(":",Protokoll_1p!I146)-1))&gt;VALUE(RIGHT(Protokoll_1p!I146,LEN(Protokoll_1p!I146)-FIND(":",Protokoll_1p!I146))),1,0))</f>
        <v/>
      </c>
      <c r="F180" s="1" t="str">
        <f>IF(Protokoll_1p!J146="","",IF(VALUE(LEFT(Protokoll_1p!J146,FIND(":",Protokoll_1p!J146)-1))&gt;VALUE(RIGHT(Protokoll_1p!J146,LEN(Protokoll_1p!J146)-FIND(":",Protokoll_1p!J146))),1,0))</f>
        <v/>
      </c>
      <c r="G180" s="1" t="str">
        <f t="shared" si="4"/>
        <v/>
      </c>
      <c r="I180" s="1" t="str">
        <f>IF(Protokoll_1p!F146="","",IF(VALUE(LEFT(Protokoll_1p!F146,FIND(":",Protokoll_1p!F146)-1))&gt;VALUE(RIGHT(Protokoll_1p!F146,LEN(Protokoll_1p!F146)-FIND(":",Protokoll_1p!F146))),0,1))</f>
        <v/>
      </c>
      <c r="J180" s="1" t="str">
        <f>IF(Protokoll_1p!G146="","",IF(VALUE(LEFT(Protokoll_1p!G146,FIND(":",Protokoll_1p!G146)-1))&gt;VALUE(RIGHT(Protokoll_1p!G146,LEN(Protokoll_1p!G146)-FIND(":",Protokoll_1p!G146))),0,1))</f>
        <v/>
      </c>
      <c r="K180" s="1" t="str">
        <f>IF(Protokoll_1p!H146="","",IF(VALUE(LEFT(Protokoll_1p!H146,FIND(":",Protokoll_1p!H146)-1))&gt;VALUE(RIGHT(Protokoll_1p!H146,LEN(Protokoll_1p!H146)-FIND(":",Protokoll_1p!H146))),0,1))</f>
        <v/>
      </c>
      <c r="L180" s="1" t="str">
        <f>IF(Protokoll_1p!I146="","",IF(VALUE(LEFT(Protokoll_1p!I146,FIND(":",Protokoll_1p!I146)-1))&gt;VALUE(RIGHT(Protokoll_1p!I146,LEN(Protokoll_1p!I146)-FIND(":",Protokoll_1p!I146))),0,1))</f>
        <v/>
      </c>
      <c r="M180" s="1" t="str">
        <f>IF(Protokoll_1p!J146="","",IF(VALUE(LEFT(Protokoll_1p!J146,FIND(":",Protokoll_1p!J146)-1))&gt;VALUE(RIGHT(Protokoll_1p!J146,LEN(Protokoll_1p!J146)-FIND(":",Protokoll_1p!J146))),0,1))</f>
        <v/>
      </c>
      <c r="N180" s="1" t="str">
        <f t="shared" si="5"/>
        <v/>
      </c>
    </row>
    <row r="181" spans="2:14">
      <c r="B181" s="1" t="str">
        <f>IF(Protokoll_1p!F147="","",IF(VALUE(LEFT(Protokoll_1p!F147,FIND(":",Protokoll_1p!F147)-1))&gt;VALUE(RIGHT(Protokoll_1p!F147,LEN(Protokoll_1p!F147)-FIND(":",Protokoll_1p!F147))),1,0))</f>
        <v/>
      </c>
      <c r="C181" s="1" t="str">
        <f>IF(Protokoll_1p!G147="","",IF(VALUE(LEFT(Protokoll_1p!G147,FIND(":",Protokoll_1p!G147)-1))&gt;VALUE(RIGHT(Protokoll_1p!G147,LEN(Protokoll_1p!G147)-FIND(":",Protokoll_1p!G147))),1,0))</f>
        <v/>
      </c>
      <c r="D181" s="1" t="str">
        <f>IF(Protokoll_1p!H147="","",IF(VALUE(LEFT(Protokoll_1p!H147,FIND(":",Protokoll_1p!H147)-1))&gt;VALUE(RIGHT(Protokoll_1p!H147,LEN(Protokoll_1p!H147)-FIND(":",Protokoll_1p!H147))),1,0))</f>
        <v/>
      </c>
      <c r="E181" s="1" t="str">
        <f>IF(Protokoll_1p!I147="","",IF(VALUE(LEFT(Protokoll_1p!I147,FIND(":",Protokoll_1p!I147)-1))&gt;VALUE(RIGHT(Protokoll_1p!I147,LEN(Protokoll_1p!I147)-FIND(":",Protokoll_1p!I147))),1,0))</f>
        <v/>
      </c>
      <c r="F181" s="1" t="str">
        <f>IF(Protokoll_1p!J147="","",IF(VALUE(LEFT(Protokoll_1p!J147,FIND(":",Protokoll_1p!J147)-1))&gt;VALUE(RIGHT(Protokoll_1p!J147,LEN(Protokoll_1p!J147)-FIND(":",Protokoll_1p!J147))),1,0))</f>
        <v/>
      </c>
      <c r="G181" s="1" t="str">
        <f t="shared" si="4"/>
        <v/>
      </c>
      <c r="I181" s="1" t="str">
        <f>IF(Protokoll_1p!F147="","",IF(VALUE(LEFT(Protokoll_1p!F147,FIND(":",Protokoll_1p!F147)-1))&gt;VALUE(RIGHT(Protokoll_1p!F147,LEN(Protokoll_1p!F147)-FIND(":",Protokoll_1p!F147))),0,1))</f>
        <v/>
      </c>
      <c r="J181" s="1" t="str">
        <f>IF(Protokoll_1p!G147="","",IF(VALUE(LEFT(Protokoll_1p!G147,FIND(":",Protokoll_1p!G147)-1))&gt;VALUE(RIGHT(Protokoll_1p!G147,LEN(Protokoll_1p!G147)-FIND(":",Protokoll_1p!G147))),0,1))</f>
        <v/>
      </c>
      <c r="K181" s="1" t="str">
        <f>IF(Protokoll_1p!H147="","",IF(VALUE(LEFT(Protokoll_1p!H147,FIND(":",Protokoll_1p!H147)-1))&gt;VALUE(RIGHT(Protokoll_1p!H147,LEN(Protokoll_1p!H147)-FIND(":",Protokoll_1p!H147))),0,1))</f>
        <v/>
      </c>
      <c r="L181" s="1" t="str">
        <f>IF(Protokoll_1p!I147="","",IF(VALUE(LEFT(Protokoll_1p!I147,FIND(":",Protokoll_1p!I147)-1))&gt;VALUE(RIGHT(Protokoll_1p!I147,LEN(Protokoll_1p!I147)-FIND(":",Protokoll_1p!I147))),0,1))</f>
        <v/>
      </c>
      <c r="M181" s="1" t="str">
        <f>IF(Protokoll_1p!J147="","",IF(VALUE(LEFT(Protokoll_1p!J147,FIND(":",Protokoll_1p!J147)-1))&gt;VALUE(RIGHT(Protokoll_1p!J147,LEN(Protokoll_1p!J147)-FIND(":",Protokoll_1p!J147))),0,1))</f>
        <v/>
      </c>
      <c r="N181" s="1" t="str">
        <f t="shared" si="5"/>
        <v/>
      </c>
    </row>
    <row r="182" spans="2:14">
      <c r="B182" s="1" t="str">
        <f>IF(Protokoll_1p!F148="","",IF(VALUE(LEFT(Protokoll_1p!F148,FIND(":",Protokoll_1p!F148)-1))&gt;VALUE(RIGHT(Protokoll_1p!F148,LEN(Protokoll_1p!F148)-FIND(":",Protokoll_1p!F148))),1,0))</f>
        <v/>
      </c>
      <c r="C182" s="1" t="str">
        <f>IF(Protokoll_1p!G148="","",IF(VALUE(LEFT(Protokoll_1p!G148,FIND(":",Protokoll_1p!G148)-1))&gt;VALUE(RIGHT(Protokoll_1p!G148,LEN(Protokoll_1p!G148)-FIND(":",Protokoll_1p!G148))),1,0))</f>
        <v/>
      </c>
      <c r="D182" s="1" t="str">
        <f>IF(Protokoll_1p!H148="","",IF(VALUE(LEFT(Protokoll_1p!H148,FIND(":",Protokoll_1p!H148)-1))&gt;VALUE(RIGHT(Protokoll_1p!H148,LEN(Protokoll_1p!H148)-FIND(":",Protokoll_1p!H148))),1,0))</f>
        <v/>
      </c>
      <c r="E182" s="1" t="str">
        <f>IF(Protokoll_1p!I148="","",IF(VALUE(LEFT(Protokoll_1p!I148,FIND(":",Protokoll_1p!I148)-1))&gt;VALUE(RIGHT(Protokoll_1p!I148,LEN(Protokoll_1p!I148)-FIND(":",Protokoll_1p!I148))),1,0))</f>
        <v/>
      </c>
      <c r="F182" s="1" t="str">
        <f>IF(Protokoll_1p!J148="","",IF(VALUE(LEFT(Protokoll_1p!J148,FIND(":",Protokoll_1p!J148)-1))&gt;VALUE(RIGHT(Protokoll_1p!J148,LEN(Protokoll_1p!J148)-FIND(":",Protokoll_1p!J148))),1,0))</f>
        <v/>
      </c>
      <c r="G182" s="1" t="str">
        <f t="shared" si="4"/>
        <v/>
      </c>
      <c r="I182" s="1" t="str">
        <f>IF(Protokoll_1p!F148="","",IF(VALUE(LEFT(Protokoll_1p!F148,FIND(":",Protokoll_1p!F148)-1))&gt;VALUE(RIGHT(Protokoll_1p!F148,LEN(Protokoll_1p!F148)-FIND(":",Protokoll_1p!F148))),0,1))</f>
        <v/>
      </c>
      <c r="J182" s="1" t="str">
        <f>IF(Protokoll_1p!G148="","",IF(VALUE(LEFT(Protokoll_1p!G148,FIND(":",Protokoll_1p!G148)-1))&gt;VALUE(RIGHT(Protokoll_1p!G148,LEN(Protokoll_1p!G148)-FIND(":",Protokoll_1p!G148))),0,1))</f>
        <v/>
      </c>
      <c r="K182" s="1" t="str">
        <f>IF(Protokoll_1p!H148="","",IF(VALUE(LEFT(Protokoll_1p!H148,FIND(":",Protokoll_1p!H148)-1))&gt;VALUE(RIGHT(Protokoll_1p!H148,LEN(Protokoll_1p!H148)-FIND(":",Protokoll_1p!H148))),0,1))</f>
        <v/>
      </c>
      <c r="L182" s="1" t="str">
        <f>IF(Protokoll_1p!I148="","",IF(VALUE(LEFT(Protokoll_1p!I148,FIND(":",Protokoll_1p!I148)-1))&gt;VALUE(RIGHT(Protokoll_1p!I148,LEN(Protokoll_1p!I148)-FIND(":",Protokoll_1p!I148))),0,1))</f>
        <v/>
      </c>
      <c r="M182" s="1" t="str">
        <f>IF(Protokoll_1p!J148="","",IF(VALUE(LEFT(Protokoll_1p!J148,FIND(":",Protokoll_1p!J148)-1))&gt;VALUE(RIGHT(Protokoll_1p!J148,LEN(Protokoll_1p!J148)-FIND(":",Protokoll_1p!J148))),0,1))</f>
        <v/>
      </c>
      <c r="N182" s="1" t="str">
        <f t="shared" si="5"/>
        <v/>
      </c>
    </row>
    <row r="183" spans="2:14">
      <c r="B183" s="1" t="str">
        <f>IF(Protokoll_1p!F149="","",IF(VALUE(LEFT(Protokoll_1p!F149,FIND(":",Protokoll_1p!F149)-1))&gt;VALUE(RIGHT(Protokoll_1p!F149,LEN(Protokoll_1p!F149)-FIND(":",Protokoll_1p!F149))),1,0))</f>
        <v/>
      </c>
      <c r="C183" s="1" t="str">
        <f>IF(Protokoll_1p!G149="","",IF(VALUE(LEFT(Protokoll_1p!G149,FIND(":",Protokoll_1p!G149)-1))&gt;VALUE(RIGHT(Protokoll_1p!G149,LEN(Protokoll_1p!G149)-FIND(":",Protokoll_1p!G149))),1,0))</f>
        <v/>
      </c>
      <c r="D183" s="1" t="str">
        <f>IF(Protokoll_1p!H149="","",IF(VALUE(LEFT(Protokoll_1p!H149,FIND(":",Protokoll_1p!H149)-1))&gt;VALUE(RIGHT(Protokoll_1p!H149,LEN(Protokoll_1p!H149)-FIND(":",Protokoll_1p!H149))),1,0))</f>
        <v/>
      </c>
      <c r="E183" s="1" t="str">
        <f>IF(Protokoll_1p!I149="","",IF(VALUE(LEFT(Protokoll_1p!I149,FIND(":",Protokoll_1p!I149)-1))&gt;VALUE(RIGHT(Protokoll_1p!I149,LEN(Protokoll_1p!I149)-FIND(":",Protokoll_1p!I149))),1,0))</f>
        <v/>
      </c>
      <c r="F183" s="1" t="str">
        <f>IF(Protokoll_1p!J149="","",IF(VALUE(LEFT(Protokoll_1p!J149,FIND(":",Protokoll_1p!J149)-1))&gt;VALUE(RIGHT(Protokoll_1p!J149,LEN(Protokoll_1p!J149)-FIND(":",Protokoll_1p!J149))),1,0))</f>
        <v/>
      </c>
      <c r="G183" s="1" t="str">
        <f t="shared" si="4"/>
        <v/>
      </c>
      <c r="I183" s="1" t="str">
        <f>IF(Protokoll_1p!F149="","",IF(VALUE(LEFT(Protokoll_1p!F149,FIND(":",Protokoll_1p!F149)-1))&gt;VALUE(RIGHT(Protokoll_1p!F149,LEN(Protokoll_1p!F149)-FIND(":",Protokoll_1p!F149))),0,1))</f>
        <v/>
      </c>
      <c r="J183" s="1" t="str">
        <f>IF(Protokoll_1p!G149="","",IF(VALUE(LEFT(Protokoll_1p!G149,FIND(":",Protokoll_1p!G149)-1))&gt;VALUE(RIGHT(Protokoll_1p!G149,LEN(Protokoll_1p!G149)-FIND(":",Protokoll_1p!G149))),0,1))</f>
        <v/>
      </c>
      <c r="K183" s="1" t="str">
        <f>IF(Protokoll_1p!H149="","",IF(VALUE(LEFT(Protokoll_1p!H149,FIND(":",Protokoll_1p!H149)-1))&gt;VALUE(RIGHT(Protokoll_1p!H149,LEN(Protokoll_1p!H149)-FIND(":",Protokoll_1p!H149))),0,1))</f>
        <v/>
      </c>
      <c r="L183" s="1" t="str">
        <f>IF(Protokoll_1p!I149="","",IF(VALUE(LEFT(Protokoll_1p!I149,FIND(":",Protokoll_1p!I149)-1))&gt;VALUE(RIGHT(Protokoll_1p!I149,LEN(Protokoll_1p!I149)-FIND(":",Protokoll_1p!I149))),0,1))</f>
        <v/>
      </c>
      <c r="M183" s="1" t="str">
        <f>IF(Protokoll_1p!J149="","",IF(VALUE(LEFT(Protokoll_1p!J149,FIND(":",Protokoll_1p!J149)-1))&gt;VALUE(RIGHT(Protokoll_1p!J149,LEN(Protokoll_1p!J149)-FIND(":",Protokoll_1p!J149))),0,1))</f>
        <v/>
      </c>
      <c r="N183" s="1" t="str">
        <f t="shared" si="5"/>
        <v/>
      </c>
    </row>
    <row r="184" spans="2:14">
      <c r="B184" s="1" t="str">
        <f>IF(Protokoll_1p!F150="","",IF(VALUE(LEFT(Protokoll_1p!F150,FIND(":",Protokoll_1p!F150)-1))&gt;VALUE(RIGHT(Protokoll_1p!F150,LEN(Protokoll_1p!F150)-FIND(":",Protokoll_1p!F150))),1,0))</f>
        <v/>
      </c>
      <c r="C184" s="1" t="str">
        <f>IF(Protokoll_1p!G150="","",IF(VALUE(LEFT(Protokoll_1p!G150,FIND(":",Protokoll_1p!G150)-1))&gt;VALUE(RIGHT(Protokoll_1p!G150,LEN(Protokoll_1p!G150)-FIND(":",Protokoll_1p!G150))),1,0))</f>
        <v/>
      </c>
      <c r="D184" s="1" t="str">
        <f>IF(Protokoll_1p!H150="","",IF(VALUE(LEFT(Protokoll_1p!H150,FIND(":",Protokoll_1p!H150)-1))&gt;VALUE(RIGHT(Protokoll_1p!H150,LEN(Protokoll_1p!H150)-FIND(":",Protokoll_1p!H150))),1,0))</f>
        <v/>
      </c>
      <c r="E184" s="1" t="str">
        <f>IF(Protokoll_1p!I150="","",IF(VALUE(LEFT(Protokoll_1p!I150,FIND(":",Protokoll_1p!I150)-1))&gt;VALUE(RIGHT(Protokoll_1p!I150,LEN(Protokoll_1p!I150)-FIND(":",Protokoll_1p!I150))),1,0))</f>
        <v/>
      </c>
      <c r="F184" s="1" t="str">
        <f>IF(Protokoll_1p!J150="","",IF(VALUE(LEFT(Protokoll_1p!J150,FIND(":",Protokoll_1p!J150)-1))&gt;VALUE(RIGHT(Protokoll_1p!J150,LEN(Protokoll_1p!J150)-FIND(":",Protokoll_1p!J150))),1,0))</f>
        <v/>
      </c>
      <c r="G184" s="1" t="str">
        <f t="shared" si="4"/>
        <v/>
      </c>
      <c r="I184" s="1" t="str">
        <f>IF(Protokoll_1p!F150="","",IF(VALUE(LEFT(Protokoll_1p!F150,FIND(":",Protokoll_1p!F150)-1))&gt;VALUE(RIGHT(Protokoll_1p!F150,LEN(Protokoll_1p!F150)-FIND(":",Protokoll_1p!F150))),0,1))</f>
        <v/>
      </c>
      <c r="J184" s="1" t="str">
        <f>IF(Protokoll_1p!G150="","",IF(VALUE(LEFT(Protokoll_1p!G150,FIND(":",Protokoll_1p!G150)-1))&gt;VALUE(RIGHT(Protokoll_1p!G150,LEN(Protokoll_1p!G150)-FIND(":",Protokoll_1p!G150))),0,1))</f>
        <v/>
      </c>
      <c r="K184" s="1" t="str">
        <f>IF(Protokoll_1p!H150="","",IF(VALUE(LEFT(Protokoll_1p!H150,FIND(":",Protokoll_1p!H150)-1))&gt;VALUE(RIGHT(Protokoll_1p!H150,LEN(Protokoll_1p!H150)-FIND(":",Protokoll_1p!H150))),0,1))</f>
        <v/>
      </c>
      <c r="L184" s="1" t="str">
        <f>IF(Protokoll_1p!I150="","",IF(VALUE(LEFT(Protokoll_1p!I150,FIND(":",Protokoll_1p!I150)-1))&gt;VALUE(RIGHT(Protokoll_1p!I150,LEN(Protokoll_1p!I150)-FIND(":",Protokoll_1p!I150))),0,1))</f>
        <v/>
      </c>
      <c r="M184" s="1" t="str">
        <f>IF(Protokoll_1p!J150="","",IF(VALUE(LEFT(Protokoll_1p!J150,FIND(":",Protokoll_1p!J150)-1))&gt;VALUE(RIGHT(Protokoll_1p!J150,LEN(Protokoll_1p!J150)-FIND(":",Protokoll_1p!J150))),0,1))</f>
        <v/>
      </c>
      <c r="N184" s="1" t="str">
        <f t="shared" si="5"/>
        <v/>
      </c>
    </row>
    <row r="185" spans="2:14">
      <c r="B185" s="1" t="str">
        <f>IF(Protokoll_1p!F151="","",IF(VALUE(LEFT(Protokoll_1p!F151,FIND(":",Protokoll_1p!F151)-1))&gt;VALUE(RIGHT(Protokoll_1p!F151,LEN(Protokoll_1p!F151)-FIND(":",Protokoll_1p!F151))),1,0))</f>
        <v/>
      </c>
      <c r="C185" s="1" t="str">
        <f>IF(Protokoll_1p!G151="","",IF(VALUE(LEFT(Protokoll_1p!G151,FIND(":",Protokoll_1p!G151)-1))&gt;VALUE(RIGHT(Protokoll_1p!G151,LEN(Protokoll_1p!G151)-FIND(":",Protokoll_1p!G151))),1,0))</f>
        <v/>
      </c>
      <c r="D185" s="1" t="str">
        <f>IF(Protokoll_1p!H151="","",IF(VALUE(LEFT(Protokoll_1p!H151,FIND(":",Protokoll_1p!H151)-1))&gt;VALUE(RIGHT(Protokoll_1p!H151,LEN(Protokoll_1p!H151)-FIND(":",Protokoll_1p!H151))),1,0))</f>
        <v/>
      </c>
      <c r="E185" s="1" t="str">
        <f>IF(Protokoll_1p!I151="","",IF(VALUE(LEFT(Protokoll_1p!I151,FIND(":",Protokoll_1p!I151)-1))&gt;VALUE(RIGHT(Protokoll_1p!I151,LEN(Protokoll_1p!I151)-FIND(":",Protokoll_1p!I151))),1,0))</f>
        <v/>
      </c>
      <c r="F185" s="1" t="str">
        <f>IF(Protokoll_1p!J151="","",IF(VALUE(LEFT(Protokoll_1p!J151,FIND(":",Protokoll_1p!J151)-1))&gt;VALUE(RIGHT(Protokoll_1p!J151,LEN(Protokoll_1p!J151)-FIND(":",Protokoll_1p!J151))),1,0))</f>
        <v/>
      </c>
      <c r="G185" s="1" t="str">
        <f t="shared" si="4"/>
        <v/>
      </c>
      <c r="I185" s="1" t="str">
        <f>IF(Protokoll_1p!F151="","",IF(VALUE(LEFT(Protokoll_1p!F151,FIND(":",Protokoll_1p!F151)-1))&gt;VALUE(RIGHT(Protokoll_1p!F151,LEN(Protokoll_1p!F151)-FIND(":",Protokoll_1p!F151))),0,1))</f>
        <v/>
      </c>
      <c r="J185" s="1" t="str">
        <f>IF(Protokoll_1p!G151="","",IF(VALUE(LEFT(Protokoll_1p!G151,FIND(":",Protokoll_1p!G151)-1))&gt;VALUE(RIGHT(Protokoll_1p!G151,LEN(Protokoll_1p!G151)-FIND(":",Protokoll_1p!G151))),0,1))</f>
        <v/>
      </c>
      <c r="K185" s="1" t="str">
        <f>IF(Protokoll_1p!H151="","",IF(VALUE(LEFT(Protokoll_1p!H151,FIND(":",Protokoll_1p!H151)-1))&gt;VALUE(RIGHT(Protokoll_1p!H151,LEN(Protokoll_1p!H151)-FIND(":",Protokoll_1p!H151))),0,1))</f>
        <v/>
      </c>
      <c r="L185" s="1" t="str">
        <f>IF(Protokoll_1p!I151="","",IF(VALUE(LEFT(Protokoll_1p!I151,FIND(":",Protokoll_1p!I151)-1))&gt;VALUE(RIGHT(Protokoll_1p!I151,LEN(Protokoll_1p!I151)-FIND(":",Protokoll_1p!I151))),0,1))</f>
        <v/>
      </c>
      <c r="M185" s="1" t="str">
        <f>IF(Protokoll_1p!J151="","",IF(VALUE(LEFT(Protokoll_1p!J151,FIND(":",Protokoll_1p!J151)-1))&gt;VALUE(RIGHT(Protokoll_1p!J151,LEN(Protokoll_1p!J151)-FIND(":",Protokoll_1p!J151))),0,1))</f>
        <v/>
      </c>
      <c r="N185" s="1" t="str">
        <f t="shared" si="5"/>
        <v/>
      </c>
    </row>
    <row r="186" spans="2:14">
      <c r="B186" s="1" t="str">
        <f>IF(Protokoll_1p!F152="","",IF(VALUE(LEFT(Protokoll_1p!F152,FIND(":",Protokoll_1p!F152)-1))&gt;VALUE(RIGHT(Protokoll_1p!F152,LEN(Protokoll_1p!F152)-FIND(":",Protokoll_1p!F152))),1,0))</f>
        <v/>
      </c>
      <c r="C186" s="1" t="str">
        <f>IF(Protokoll_1p!G152="","",IF(VALUE(LEFT(Protokoll_1p!G152,FIND(":",Protokoll_1p!G152)-1))&gt;VALUE(RIGHT(Protokoll_1p!G152,LEN(Protokoll_1p!G152)-FIND(":",Protokoll_1p!G152))),1,0))</f>
        <v/>
      </c>
      <c r="D186" s="1" t="str">
        <f>IF(Protokoll_1p!H152="","",IF(VALUE(LEFT(Protokoll_1p!H152,FIND(":",Protokoll_1p!H152)-1))&gt;VALUE(RIGHT(Protokoll_1p!H152,LEN(Protokoll_1p!H152)-FIND(":",Protokoll_1p!H152))),1,0))</f>
        <v/>
      </c>
      <c r="E186" s="1" t="str">
        <f>IF(Protokoll_1p!I152="","",IF(VALUE(LEFT(Protokoll_1p!I152,FIND(":",Protokoll_1p!I152)-1))&gt;VALUE(RIGHT(Protokoll_1p!I152,LEN(Protokoll_1p!I152)-FIND(":",Protokoll_1p!I152))),1,0))</f>
        <v/>
      </c>
      <c r="F186" s="1" t="str">
        <f>IF(Protokoll_1p!J152="","",IF(VALUE(LEFT(Protokoll_1p!J152,FIND(":",Protokoll_1p!J152)-1))&gt;VALUE(RIGHT(Protokoll_1p!J152,LEN(Protokoll_1p!J152)-FIND(":",Protokoll_1p!J152))),1,0))</f>
        <v/>
      </c>
      <c r="G186" s="1" t="str">
        <f t="shared" si="4"/>
        <v/>
      </c>
      <c r="I186" s="1" t="str">
        <f>IF(Protokoll_1p!F152="","",IF(VALUE(LEFT(Protokoll_1p!F152,FIND(":",Protokoll_1p!F152)-1))&gt;VALUE(RIGHT(Protokoll_1p!F152,LEN(Protokoll_1p!F152)-FIND(":",Protokoll_1p!F152))),0,1))</f>
        <v/>
      </c>
      <c r="J186" s="1" t="str">
        <f>IF(Protokoll_1p!G152="","",IF(VALUE(LEFT(Protokoll_1p!G152,FIND(":",Protokoll_1p!G152)-1))&gt;VALUE(RIGHT(Protokoll_1p!G152,LEN(Protokoll_1p!G152)-FIND(":",Protokoll_1p!G152))),0,1))</f>
        <v/>
      </c>
      <c r="K186" s="1" t="str">
        <f>IF(Protokoll_1p!H152="","",IF(VALUE(LEFT(Protokoll_1p!H152,FIND(":",Protokoll_1p!H152)-1))&gt;VALUE(RIGHT(Protokoll_1p!H152,LEN(Protokoll_1p!H152)-FIND(":",Protokoll_1p!H152))),0,1))</f>
        <v/>
      </c>
      <c r="L186" s="1" t="str">
        <f>IF(Protokoll_1p!I152="","",IF(VALUE(LEFT(Protokoll_1p!I152,FIND(":",Protokoll_1p!I152)-1))&gt;VALUE(RIGHT(Protokoll_1p!I152,LEN(Protokoll_1p!I152)-FIND(":",Protokoll_1p!I152))),0,1))</f>
        <v/>
      </c>
      <c r="M186" s="1" t="str">
        <f>IF(Protokoll_1p!J152="","",IF(VALUE(LEFT(Protokoll_1p!J152,FIND(":",Protokoll_1p!J152)-1))&gt;VALUE(RIGHT(Protokoll_1p!J152,LEN(Protokoll_1p!J152)-FIND(":",Protokoll_1p!J152))),0,1))</f>
        <v/>
      </c>
      <c r="N186" s="1" t="str">
        <f t="shared" si="5"/>
        <v/>
      </c>
    </row>
    <row r="187" spans="2:14">
      <c r="B187" s="1" t="str">
        <f>IF(Protokoll_1p!F153="","",IF(VALUE(LEFT(Protokoll_1p!F153,FIND(":",Protokoll_1p!F153)-1))&gt;VALUE(RIGHT(Protokoll_1p!F153,LEN(Protokoll_1p!F153)-FIND(":",Protokoll_1p!F153))),1,0))</f>
        <v/>
      </c>
      <c r="C187" s="1" t="str">
        <f>IF(Protokoll_1p!G153="","",IF(VALUE(LEFT(Protokoll_1p!G153,FIND(":",Protokoll_1p!G153)-1))&gt;VALUE(RIGHT(Protokoll_1p!G153,LEN(Protokoll_1p!G153)-FIND(":",Protokoll_1p!G153))),1,0))</f>
        <v/>
      </c>
      <c r="D187" s="1" t="str">
        <f>IF(Protokoll_1p!H153="","",IF(VALUE(LEFT(Protokoll_1p!H153,FIND(":",Protokoll_1p!H153)-1))&gt;VALUE(RIGHT(Protokoll_1p!H153,LEN(Protokoll_1p!H153)-FIND(":",Protokoll_1p!H153))),1,0))</f>
        <v/>
      </c>
      <c r="E187" s="1" t="str">
        <f>IF(Protokoll_1p!I153="","",IF(VALUE(LEFT(Protokoll_1p!I153,FIND(":",Protokoll_1p!I153)-1))&gt;VALUE(RIGHT(Protokoll_1p!I153,LEN(Protokoll_1p!I153)-FIND(":",Protokoll_1p!I153))),1,0))</f>
        <v/>
      </c>
      <c r="F187" s="1" t="str">
        <f>IF(Protokoll_1p!J153="","",IF(VALUE(LEFT(Protokoll_1p!J153,FIND(":",Protokoll_1p!J153)-1))&gt;VALUE(RIGHT(Protokoll_1p!J153,LEN(Protokoll_1p!J153)-FIND(":",Protokoll_1p!J153))),1,0))</f>
        <v/>
      </c>
      <c r="G187" s="1" t="str">
        <f t="shared" si="4"/>
        <v/>
      </c>
      <c r="I187" s="1" t="str">
        <f>IF(Protokoll_1p!F153="","",IF(VALUE(LEFT(Protokoll_1p!F153,FIND(":",Protokoll_1p!F153)-1))&gt;VALUE(RIGHT(Protokoll_1p!F153,LEN(Protokoll_1p!F153)-FIND(":",Protokoll_1p!F153))),0,1))</f>
        <v/>
      </c>
      <c r="J187" s="1" t="str">
        <f>IF(Protokoll_1p!G153="","",IF(VALUE(LEFT(Protokoll_1p!G153,FIND(":",Protokoll_1p!G153)-1))&gt;VALUE(RIGHT(Protokoll_1p!G153,LEN(Protokoll_1p!G153)-FIND(":",Protokoll_1p!G153))),0,1))</f>
        <v/>
      </c>
      <c r="K187" s="1" t="str">
        <f>IF(Protokoll_1p!H153="","",IF(VALUE(LEFT(Protokoll_1p!H153,FIND(":",Protokoll_1p!H153)-1))&gt;VALUE(RIGHT(Protokoll_1p!H153,LEN(Protokoll_1p!H153)-FIND(":",Protokoll_1p!H153))),0,1))</f>
        <v/>
      </c>
      <c r="L187" s="1" t="str">
        <f>IF(Protokoll_1p!I153="","",IF(VALUE(LEFT(Protokoll_1p!I153,FIND(":",Protokoll_1p!I153)-1))&gt;VALUE(RIGHT(Protokoll_1p!I153,LEN(Protokoll_1p!I153)-FIND(":",Protokoll_1p!I153))),0,1))</f>
        <v/>
      </c>
      <c r="M187" s="1" t="str">
        <f>IF(Protokoll_1p!J153="","",IF(VALUE(LEFT(Protokoll_1p!J153,FIND(":",Protokoll_1p!J153)-1))&gt;VALUE(RIGHT(Protokoll_1p!J153,LEN(Protokoll_1p!J153)-FIND(":",Protokoll_1p!J153))),0,1))</f>
        <v/>
      </c>
      <c r="N187" s="1" t="str">
        <f t="shared" si="5"/>
        <v/>
      </c>
    </row>
    <row r="188" spans="2:14">
      <c r="B188" s="1" t="str">
        <f>IF(Protokoll_1p!F154="","",IF(VALUE(LEFT(Protokoll_1p!F154,FIND(":",Protokoll_1p!F154)-1))&gt;VALUE(RIGHT(Protokoll_1p!F154,LEN(Protokoll_1p!F154)-FIND(":",Protokoll_1p!F154))),1,0))</f>
        <v/>
      </c>
      <c r="C188" s="1" t="str">
        <f>IF(Protokoll_1p!G154="","",IF(VALUE(LEFT(Protokoll_1p!G154,FIND(":",Protokoll_1p!G154)-1))&gt;VALUE(RIGHT(Protokoll_1p!G154,LEN(Protokoll_1p!G154)-FIND(":",Protokoll_1p!G154))),1,0))</f>
        <v/>
      </c>
      <c r="D188" s="1" t="str">
        <f>IF(Protokoll_1p!H154="","",IF(VALUE(LEFT(Protokoll_1p!H154,FIND(":",Protokoll_1p!H154)-1))&gt;VALUE(RIGHT(Protokoll_1p!H154,LEN(Protokoll_1p!H154)-FIND(":",Protokoll_1p!H154))),1,0))</f>
        <v/>
      </c>
      <c r="E188" s="1" t="str">
        <f>IF(Protokoll_1p!I154="","",IF(VALUE(LEFT(Protokoll_1p!I154,FIND(":",Protokoll_1p!I154)-1))&gt;VALUE(RIGHT(Protokoll_1p!I154,LEN(Protokoll_1p!I154)-FIND(":",Protokoll_1p!I154))),1,0))</f>
        <v/>
      </c>
      <c r="F188" s="1" t="str">
        <f>IF(Protokoll_1p!J154="","",IF(VALUE(LEFT(Protokoll_1p!J154,FIND(":",Protokoll_1p!J154)-1))&gt;VALUE(RIGHT(Protokoll_1p!J154,LEN(Protokoll_1p!J154)-FIND(":",Protokoll_1p!J154))),1,0))</f>
        <v/>
      </c>
      <c r="G188" s="1" t="str">
        <f t="shared" si="4"/>
        <v/>
      </c>
      <c r="I188" s="1" t="str">
        <f>IF(Protokoll_1p!F154="","",IF(VALUE(LEFT(Protokoll_1p!F154,FIND(":",Protokoll_1p!F154)-1))&gt;VALUE(RIGHT(Protokoll_1p!F154,LEN(Protokoll_1p!F154)-FIND(":",Protokoll_1p!F154))),0,1))</f>
        <v/>
      </c>
      <c r="J188" s="1" t="str">
        <f>IF(Protokoll_1p!G154="","",IF(VALUE(LEFT(Protokoll_1p!G154,FIND(":",Protokoll_1p!G154)-1))&gt;VALUE(RIGHT(Protokoll_1p!G154,LEN(Protokoll_1p!G154)-FIND(":",Protokoll_1p!G154))),0,1))</f>
        <v/>
      </c>
      <c r="K188" s="1" t="str">
        <f>IF(Protokoll_1p!H154="","",IF(VALUE(LEFT(Protokoll_1p!H154,FIND(":",Protokoll_1p!H154)-1))&gt;VALUE(RIGHT(Protokoll_1p!H154,LEN(Protokoll_1p!H154)-FIND(":",Protokoll_1p!H154))),0,1))</f>
        <v/>
      </c>
      <c r="L188" s="1" t="str">
        <f>IF(Protokoll_1p!I154="","",IF(VALUE(LEFT(Protokoll_1p!I154,FIND(":",Protokoll_1p!I154)-1))&gt;VALUE(RIGHT(Protokoll_1p!I154,LEN(Protokoll_1p!I154)-FIND(":",Protokoll_1p!I154))),0,1))</f>
        <v/>
      </c>
      <c r="M188" s="1" t="str">
        <f>IF(Protokoll_1p!J154="","",IF(VALUE(LEFT(Protokoll_1p!J154,FIND(":",Protokoll_1p!J154)-1))&gt;VALUE(RIGHT(Protokoll_1p!J154,LEN(Protokoll_1p!J154)-FIND(":",Protokoll_1p!J154))),0,1))</f>
        <v/>
      </c>
      <c r="N188" s="1" t="str">
        <f t="shared" si="5"/>
        <v/>
      </c>
    </row>
    <row r="189" spans="2:14">
      <c r="B189" s="1" t="str">
        <f>IF(Protokoll_1p!F155="","",IF(VALUE(LEFT(Protokoll_1p!F155,FIND(":",Protokoll_1p!F155)-1))&gt;VALUE(RIGHT(Protokoll_1p!F155,LEN(Protokoll_1p!F155)-FIND(":",Protokoll_1p!F155))),1,0))</f>
        <v/>
      </c>
      <c r="C189" s="1" t="str">
        <f>IF(Protokoll_1p!G155="","",IF(VALUE(LEFT(Protokoll_1p!G155,FIND(":",Protokoll_1p!G155)-1))&gt;VALUE(RIGHT(Protokoll_1p!G155,LEN(Protokoll_1p!G155)-FIND(":",Protokoll_1p!G155))),1,0))</f>
        <v/>
      </c>
      <c r="D189" s="1" t="str">
        <f>IF(Protokoll_1p!H155="","",IF(VALUE(LEFT(Protokoll_1p!H155,FIND(":",Protokoll_1p!H155)-1))&gt;VALUE(RIGHT(Protokoll_1p!H155,LEN(Protokoll_1p!H155)-FIND(":",Protokoll_1p!H155))),1,0))</f>
        <v/>
      </c>
      <c r="E189" s="1" t="str">
        <f>IF(Protokoll_1p!I155="","",IF(VALUE(LEFT(Protokoll_1p!I155,FIND(":",Protokoll_1p!I155)-1))&gt;VALUE(RIGHT(Protokoll_1p!I155,LEN(Protokoll_1p!I155)-FIND(":",Protokoll_1p!I155))),1,0))</f>
        <v/>
      </c>
      <c r="F189" s="1" t="str">
        <f>IF(Protokoll_1p!J155="","",IF(VALUE(LEFT(Protokoll_1p!J155,FIND(":",Protokoll_1p!J155)-1))&gt;VALUE(RIGHT(Protokoll_1p!J155,LEN(Protokoll_1p!J155)-FIND(":",Protokoll_1p!J155))),1,0))</f>
        <v/>
      </c>
      <c r="G189" s="1" t="str">
        <f t="shared" si="4"/>
        <v/>
      </c>
      <c r="I189" s="1" t="str">
        <f>IF(Protokoll_1p!F155="","",IF(VALUE(LEFT(Protokoll_1p!F155,FIND(":",Protokoll_1p!F155)-1))&gt;VALUE(RIGHT(Protokoll_1p!F155,LEN(Protokoll_1p!F155)-FIND(":",Protokoll_1p!F155))),0,1))</f>
        <v/>
      </c>
      <c r="J189" s="1" t="str">
        <f>IF(Protokoll_1p!G155="","",IF(VALUE(LEFT(Protokoll_1p!G155,FIND(":",Protokoll_1p!G155)-1))&gt;VALUE(RIGHT(Protokoll_1p!G155,LEN(Protokoll_1p!G155)-FIND(":",Protokoll_1p!G155))),0,1))</f>
        <v/>
      </c>
      <c r="K189" s="1" t="str">
        <f>IF(Protokoll_1p!H155="","",IF(VALUE(LEFT(Protokoll_1p!H155,FIND(":",Protokoll_1p!H155)-1))&gt;VALUE(RIGHT(Protokoll_1p!H155,LEN(Protokoll_1p!H155)-FIND(":",Protokoll_1p!H155))),0,1))</f>
        <v/>
      </c>
      <c r="L189" s="1" t="str">
        <f>IF(Protokoll_1p!I155="","",IF(VALUE(LEFT(Protokoll_1p!I155,FIND(":",Protokoll_1p!I155)-1))&gt;VALUE(RIGHT(Protokoll_1p!I155,LEN(Protokoll_1p!I155)-FIND(":",Protokoll_1p!I155))),0,1))</f>
        <v/>
      </c>
      <c r="M189" s="1" t="str">
        <f>IF(Protokoll_1p!J155="","",IF(VALUE(LEFT(Protokoll_1p!J155,FIND(":",Protokoll_1p!J155)-1))&gt;VALUE(RIGHT(Protokoll_1p!J155,LEN(Protokoll_1p!J155)-FIND(":",Protokoll_1p!J155))),0,1))</f>
        <v/>
      </c>
      <c r="N189" s="1" t="str">
        <f t="shared" si="5"/>
        <v/>
      </c>
    </row>
    <row r="190" spans="2:14">
      <c r="B190" s="1" t="str">
        <f>IF(Protokoll_1p!F156="","",IF(VALUE(LEFT(Protokoll_1p!F156,FIND(":",Protokoll_1p!F156)-1))&gt;VALUE(RIGHT(Protokoll_1p!F156,LEN(Protokoll_1p!F156)-FIND(":",Protokoll_1p!F156))),1,0))</f>
        <v/>
      </c>
      <c r="C190" s="1" t="str">
        <f>IF(Protokoll_1p!G156="","",IF(VALUE(LEFT(Protokoll_1p!G156,FIND(":",Protokoll_1p!G156)-1))&gt;VALUE(RIGHT(Protokoll_1p!G156,LEN(Protokoll_1p!G156)-FIND(":",Protokoll_1p!G156))),1,0))</f>
        <v/>
      </c>
      <c r="D190" s="1" t="str">
        <f>IF(Protokoll_1p!H156="","",IF(VALUE(LEFT(Protokoll_1p!H156,FIND(":",Protokoll_1p!H156)-1))&gt;VALUE(RIGHT(Protokoll_1p!H156,LEN(Protokoll_1p!H156)-FIND(":",Protokoll_1p!H156))),1,0))</f>
        <v/>
      </c>
      <c r="E190" s="1" t="str">
        <f>IF(Protokoll_1p!I156="","",IF(VALUE(LEFT(Protokoll_1p!I156,FIND(":",Protokoll_1p!I156)-1))&gt;VALUE(RIGHT(Protokoll_1p!I156,LEN(Protokoll_1p!I156)-FIND(":",Protokoll_1p!I156))),1,0))</f>
        <v/>
      </c>
      <c r="F190" s="1" t="str">
        <f>IF(Protokoll_1p!J156="","",IF(VALUE(LEFT(Protokoll_1p!J156,FIND(":",Protokoll_1p!J156)-1))&gt;VALUE(RIGHT(Protokoll_1p!J156,LEN(Protokoll_1p!J156)-FIND(":",Protokoll_1p!J156))),1,0))</f>
        <v/>
      </c>
      <c r="G190" s="1" t="str">
        <f t="shared" si="4"/>
        <v/>
      </c>
      <c r="I190" s="1" t="str">
        <f>IF(Protokoll_1p!F156="","",IF(VALUE(LEFT(Protokoll_1p!F156,FIND(":",Protokoll_1p!F156)-1))&gt;VALUE(RIGHT(Protokoll_1p!F156,LEN(Protokoll_1p!F156)-FIND(":",Protokoll_1p!F156))),0,1))</f>
        <v/>
      </c>
      <c r="J190" s="1" t="str">
        <f>IF(Protokoll_1p!G156="","",IF(VALUE(LEFT(Protokoll_1p!G156,FIND(":",Protokoll_1p!G156)-1))&gt;VALUE(RIGHT(Protokoll_1p!G156,LEN(Protokoll_1p!G156)-FIND(":",Protokoll_1p!G156))),0,1))</f>
        <v/>
      </c>
      <c r="K190" s="1" t="str">
        <f>IF(Protokoll_1p!H156="","",IF(VALUE(LEFT(Protokoll_1p!H156,FIND(":",Protokoll_1p!H156)-1))&gt;VALUE(RIGHT(Protokoll_1p!H156,LEN(Protokoll_1p!H156)-FIND(":",Protokoll_1p!H156))),0,1))</f>
        <v/>
      </c>
      <c r="L190" s="1" t="str">
        <f>IF(Protokoll_1p!I156="","",IF(VALUE(LEFT(Protokoll_1p!I156,FIND(":",Protokoll_1p!I156)-1))&gt;VALUE(RIGHT(Protokoll_1p!I156,LEN(Protokoll_1p!I156)-FIND(":",Protokoll_1p!I156))),0,1))</f>
        <v/>
      </c>
      <c r="M190" s="1" t="str">
        <f>IF(Protokoll_1p!J156="","",IF(VALUE(LEFT(Protokoll_1p!J156,FIND(":",Protokoll_1p!J156)-1))&gt;VALUE(RIGHT(Protokoll_1p!J156,LEN(Protokoll_1p!J156)-FIND(":",Protokoll_1p!J156))),0,1))</f>
        <v/>
      </c>
      <c r="N190" s="1" t="str">
        <f t="shared" si="5"/>
        <v/>
      </c>
    </row>
    <row r="191" spans="2:14">
      <c r="B191" s="1" t="str">
        <f>IF(Protokoll_1p!F157="","",IF(VALUE(LEFT(Protokoll_1p!F157,FIND(":",Protokoll_1p!F157)-1))&gt;VALUE(RIGHT(Protokoll_1p!F157,LEN(Protokoll_1p!F157)-FIND(":",Protokoll_1p!F157))),1,0))</f>
        <v/>
      </c>
      <c r="C191" s="1" t="str">
        <f>IF(Protokoll_1p!G157="","",IF(VALUE(LEFT(Protokoll_1p!G157,FIND(":",Protokoll_1p!G157)-1))&gt;VALUE(RIGHT(Protokoll_1p!G157,LEN(Protokoll_1p!G157)-FIND(":",Protokoll_1p!G157))),1,0))</f>
        <v/>
      </c>
      <c r="D191" s="1" t="str">
        <f>IF(Protokoll_1p!H157="","",IF(VALUE(LEFT(Protokoll_1p!H157,FIND(":",Protokoll_1p!H157)-1))&gt;VALUE(RIGHT(Protokoll_1p!H157,LEN(Protokoll_1p!H157)-FIND(":",Protokoll_1p!H157))),1,0))</f>
        <v/>
      </c>
      <c r="E191" s="1" t="str">
        <f>IF(Protokoll_1p!I157="","",IF(VALUE(LEFT(Protokoll_1p!I157,FIND(":",Protokoll_1p!I157)-1))&gt;VALUE(RIGHT(Protokoll_1p!I157,LEN(Protokoll_1p!I157)-FIND(":",Protokoll_1p!I157))),1,0))</f>
        <v/>
      </c>
      <c r="F191" s="1" t="str">
        <f>IF(Protokoll_1p!J157="","",IF(VALUE(LEFT(Protokoll_1p!J157,FIND(":",Protokoll_1p!J157)-1))&gt;VALUE(RIGHT(Protokoll_1p!J157,LEN(Protokoll_1p!J157)-FIND(":",Protokoll_1p!J157))),1,0))</f>
        <v/>
      </c>
      <c r="G191" s="1" t="str">
        <f t="shared" si="4"/>
        <v/>
      </c>
      <c r="I191" s="1" t="str">
        <f>IF(Protokoll_1p!F157="","",IF(VALUE(LEFT(Protokoll_1p!F157,FIND(":",Protokoll_1p!F157)-1))&gt;VALUE(RIGHT(Protokoll_1p!F157,LEN(Protokoll_1p!F157)-FIND(":",Protokoll_1p!F157))),0,1))</f>
        <v/>
      </c>
      <c r="J191" s="1" t="str">
        <f>IF(Protokoll_1p!G157="","",IF(VALUE(LEFT(Protokoll_1p!G157,FIND(":",Protokoll_1p!G157)-1))&gt;VALUE(RIGHT(Protokoll_1p!G157,LEN(Protokoll_1p!G157)-FIND(":",Protokoll_1p!G157))),0,1))</f>
        <v/>
      </c>
      <c r="K191" s="1" t="str">
        <f>IF(Protokoll_1p!H157="","",IF(VALUE(LEFT(Protokoll_1p!H157,FIND(":",Protokoll_1p!H157)-1))&gt;VALUE(RIGHT(Protokoll_1p!H157,LEN(Protokoll_1p!H157)-FIND(":",Protokoll_1p!H157))),0,1))</f>
        <v/>
      </c>
      <c r="L191" s="1" t="str">
        <f>IF(Protokoll_1p!I157="","",IF(VALUE(LEFT(Protokoll_1p!I157,FIND(":",Protokoll_1p!I157)-1))&gt;VALUE(RIGHT(Protokoll_1p!I157,LEN(Protokoll_1p!I157)-FIND(":",Protokoll_1p!I157))),0,1))</f>
        <v/>
      </c>
      <c r="M191" s="1" t="str">
        <f>IF(Protokoll_1p!J157="","",IF(VALUE(LEFT(Protokoll_1p!J157,FIND(":",Protokoll_1p!J157)-1))&gt;VALUE(RIGHT(Protokoll_1p!J157,LEN(Protokoll_1p!J157)-FIND(":",Protokoll_1p!J157))),0,1))</f>
        <v/>
      </c>
      <c r="N191" s="1" t="str">
        <f t="shared" si="5"/>
        <v/>
      </c>
    </row>
    <row r="192" spans="2:14">
      <c r="B192" s="1" t="str">
        <f>IF(Protokoll_1p!F158="","",IF(VALUE(LEFT(Protokoll_1p!F158,FIND(":",Protokoll_1p!F158)-1))&gt;VALUE(RIGHT(Protokoll_1p!F158,LEN(Protokoll_1p!F158)-FIND(":",Protokoll_1p!F158))),1,0))</f>
        <v/>
      </c>
      <c r="C192" s="1" t="str">
        <f>IF(Protokoll_1p!G158="","",IF(VALUE(LEFT(Protokoll_1p!G158,FIND(":",Protokoll_1p!G158)-1))&gt;VALUE(RIGHT(Protokoll_1p!G158,LEN(Protokoll_1p!G158)-FIND(":",Protokoll_1p!G158))),1,0))</f>
        <v/>
      </c>
      <c r="D192" s="1" t="str">
        <f>IF(Protokoll_1p!H158="","",IF(VALUE(LEFT(Protokoll_1p!H158,FIND(":",Protokoll_1p!H158)-1))&gt;VALUE(RIGHT(Protokoll_1p!H158,LEN(Protokoll_1p!H158)-FIND(":",Protokoll_1p!H158))),1,0))</f>
        <v/>
      </c>
      <c r="E192" s="1" t="str">
        <f>IF(Protokoll_1p!I158="","",IF(VALUE(LEFT(Protokoll_1p!I158,FIND(":",Protokoll_1p!I158)-1))&gt;VALUE(RIGHT(Protokoll_1p!I158,LEN(Protokoll_1p!I158)-FIND(":",Protokoll_1p!I158))),1,0))</f>
        <v/>
      </c>
      <c r="F192" s="1" t="str">
        <f>IF(Protokoll_1p!J158="","",IF(VALUE(LEFT(Protokoll_1p!J158,FIND(":",Protokoll_1p!J158)-1))&gt;VALUE(RIGHT(Protokoll_1p!J158,LEN(Protokoll_1p!J158)-FIND(":",Protokoll_1p!J158))),1,0))</f>
        <v/>
      </c>
      <c r="G192" s="1" t="str">
        <f t="shared" si="4"/>
        <v/>
      </c>
      <c r="I192" s="1" t="str">
        <f>IF(Protokoll_1p!F158="","",IF(VALUE(LEFT(Protokoll_1p!F158,FIND(":",Protokoll_1p!F158)-1))&gt;VALUE(RIGHT(Protokoll_1p!F158,LEN(Protokoll_1p!F158)-FIND(":",Protokoll_1p!F158))),0,1))</f>
        <v/>
      </c>
      <c r="J192" s="1" t="str">
        <f>IF(Protokoll_1p!G158="","",IF(VALUE(LEFT(Protokoll_1p!G158,FIND(":",Protokoll_1p!G158)-1))&gt;VALUE(RIGHT(Protokoll_1p!G158,LEN(Protokoll_1p!G158)-FIND(":",Protokoll_1p!G158))),0,1))</f>
        <v/>
      </c>
      <c r="K192" s="1" t="str">
        <f>IF(Protokoll_1p!H158="","",IF(VALUE(LEFT(Protokoll_1p!H158,FIND(":",Protokoll_1p!H158)-1))&gt;VALUE(RIGHT(Protokoll_1p!H158,LEN(Protokoll_1p!H158)-FIND(":",Protokoll_1p!H158))),0,1))</f>
        <v/>
      </c>
      <c r="L192" s="1" t="str">
        <f>IF(Protokoll_1p!I158="","",IF(VALUE(LEFT(Protokoll_1p!I158,FIND(":",Protokoll_1p!I158)-1))&gt;VALUE(RIGHT(Protokoll_1p!I158,LEN(Protokoll_1p!I158)-FIND(":",Protokoll_1p!I158))),0,1))</f>
        <v/>
      </c>
      <c r="M192" s="1" t="str">
        <f>IF(Protokoll_1p!J158="","",IF(VALUE(LEFT(Protokoll_1p!J158,FIND(":",Protokoll_1p!J158)-1))&gt;VALUE(RIGHT(Protokoll_1p!J158,LEN(Protokoll_1p!J158)-FIND(":",Protokoll_1p!J158))),0,1))</f>
        <v/>
      </c>
      <c r="N192" s="1" t="str">
        <f t="shared" si="5"/>
        <v/>
      </c>
    </row>
    <row r="193" spans="2:14">
      <c r="B193" s="1" t="str">
        <f>IF(Protokoll_1p!F159="","",IF(VALUE(LEFT(Protokoll_1p!F159,FIND(":",Protokoll_1p!F159)-1))&gt;VALUE(RIGHT(Protokoll_1p!F159,LEN(Protokoll_1p!F159)-FIND(":",Protokoll_1p!F159))),1,0))</f>
        <v/>
      </c>
      <c r="C193" s="1" t="str">
        <f>IF(Protokoll_1p!G159="","",IF(VALUE(LEFT(Protokoll_1p!G159,FIND(":",Protokoll_1p!G159)-1))&gt;VALUE(RIGHT(Protokoll_1p!G159,LEN(Protokoll_1p!G159)-FIND(":",Protokoll_1p!G159))),1,0))</f>
        <v/>
      </c>
      <c r="D193" s="1" t="str">
        <f>IF(Protokoll_1p!H159="","",IF(VALUE(LEFT(Protokoll_1p!H159,FIND(":",Protokoll_1p!H159)-1))&gt;VALUE(RIGHT(Protokoll_1p!H159,LEN(Protokoll_1p!H159)-FIND(":",Protokoll_1p!H159))),1,0))</f>
        <v/>
      </c>
      <c r="E193" s="1" t="str">
        <f>IF(Protokoll_1p!I159="","",IF(VALUE(LEFT(Protokoll_1p!I159,FIND(":",Protokoll_1p!I159)-1))&gt;VALUE(RIGHT(Protokoll_1p!I159,LEN(Protokoll_1p!I159)-FIND(":",Protokoll_1p!I159))),1,0))</f>
        <v/>
      </c>
      <c r="F193" s="1" t="str">
        <f>IF(Protokoll_1p!J159="","",IF(VALUE(LEFT(Protokoll_1p!J159,FIND(":",Protokoll_1p!J159)-1))&gt;VALUE(RIGHT(Protokoll_1p!J159,LEN(Protokoll_1p!J159)-FIND(":",Protokoll_1p!J159))),1,0))</f>
        <v/>
      </c>
      <c r="G193" s="1" t="str">
        <f t="shared" si="4"/>
        <v/>
      </c>
      <c r="I193" s="1" t="str">
        <f>IF(Protokoll_1p!F159="","",IF(VALUE(LEFT(Protokoll_1p!F159,FIND(":",Protokoll_1p!F159)-1))&gt;VALUE(RIGHT(Protokoll_1p!F159,LEN(Protokoll_1p!F159)-FIND(":",Protokoll_1p!F159))),0,1))</f>
        <v/>
      </c>
      <c r="J193" s="1" t="str">
        <f>IF(Protokoll_1p!G159="","",IF(VALUE(LEFT(Protokoll_1p!G159,FIND(":",Protokoll_1p!G159)-1))&gt;VALUE(RIGHT(Protokoll_1p!G159,LEN(Protokoll_1p!G159)-FIND(":",Protokoll_1p!G159))),0,1))</f>
        <v/>
      </c>
      <c r="K193" s="1" t="str">
        <f>IF(Protokoll_1p!H159="","",IF(VALUE(LEFT(Protokoll_1p!H159,FIND(":",Protokoll_1p!H159)-1))&gt;VALUE(RIGHT(Protokoll_1p!H159,LEN(Protokoll_1p!H159)-FIND(":",Protokoll_1p!H159))),0,1))</f>
        <v/>
      </c>
      <c r="L193" s="1" t="str">
        <f>IF(Protokoll_1p!I159="","",IF(VALUE(LEFT(Protokoll_1p!I159,FIND(":",Protokoll_1p!I159)-1))&gt;VALUE(RIGHT(Protokoll_1p!I159,LEN(Protokoll_1p!I159)-FIND(":",Protokoll_1p!I159))),0,1))</f>
        <v/>
      </c>
      <c r="M193" s="1" t="str">
        <f>IF(Protokoll_1p!J159="","",IF(VALUE(LEFT(Protokoll_1p!J159,FIND(":",Protokoll_1p!J159)-1))&gt;VALUE(RIGHT(Protokoll_1p!J159,LEN(Protokoll_1p!J159)-FIND(":",Protokoll_1p!J159))),0,1))</f>
        <v/>
      </c>
      <c r="N193" s="1" t="str">
        <f t="shared" si="5"/>
        <v/>
      </c>
    </row>
    <row r="194" spans="2:14">
      <c r="B194" s="1" t="str">
        <f>IF(Protokoll_1p!F160="","",IF(VALUE(LEFT(Protokoll_1p!F160,FIND(":",Protokoll_1p!F160)-1))&gt;VALUE(RIGHT(Protokoll_1p!F160,LEN(Protokoll_1p!F160)-FIND(":",Protokoll_1p!F160))),1,0))</f>
        <v/>
      </c>
      <c r="C194" s="1" t="str">
        <f>IF(Protokoll_1p!G160="","",IF(VALUE(LEFT(Protokoll_1p!G160,FIND(":",Protokoll_1p!G160)-1))&gt;VALUE(RIGHT(Protokoll_1p!G160,LEN(Protokoll_1p!G160)-FIND(":",Protokoll_1p!G160))),1,0))</f>
        <v/>
      </c>
      <c r="D194" s="1" t="str">
        <f>IF(Protokoll_1p!H160="","",IF(VALUE(LEFT(Protokoll_1p!H160,FIND(":",Protokoll_1p!H160)-1))&gt;VALUE(RIGHT(Protokoll_1p!H160,LEN(Protokoll_1p!H160)-FIND(":",Protokoll_1p!H160))),1,0))</f>
        <v/>
      </c>
      <c r="E194" s="1" t="str">
        <f>IF(Protokoll_1p!I160="","",IF(VALUE(LEFT(Protokoll_1p!I160,FIND(":",Protokoll_1p!I160)-1))&gt;VALUE(RIGHT(Protokoll_1p!I160,LEN(Protokoll_1p!I160)-FIND(":",Protokoll_1p!I160))),1,0))</f>
        <v/>
      </c>
      <c r="F194" s="1" t="str">
        <f>IF(Protokoll_1p!J160="","",IF(VALUE(LEFT(Protokoll_1p!J160,FIND(":",Protokoll_1p!J160)-1))&gt;VALUE(RIGHT(Protokoll_1p!J160,LEN(Protokoll_1p!J160)-FIND(":",Protokoll_1p!J160))),1,0))</f>
        <v/>
      </c>
      <c r="G194" s="1" t="str">
        <f t="shared" si="4"/>
        <v/>
      </c>
      <c r="I194" s="1" t="str">
        <f>IF(Protokoll_1p!F160="","",IF(VALUE(LEFT(Protokoll_1p!F160,FIND(":",Protokoll_1p!F160)-1))&gt;VALUE(RIGHT(Protokoll_1p!F160,LEN(Protokoll_1p!F160)-FIND(":",Protokoll_1p!F160))),0,1))</f>
        <v/>
      </c>
      <c r="J194" s="1" t="str">
        <f>IF(Protokoll_1p!G160="","",IF(VALUE(LEFT(Protokoll_1p!G160,FIND(":",Protokoll_1p!G160)-1))&gt;VALUE(RIGHT(Protokoll_1p!G160,LEN(Protokoll_1p!G160)-FIND(":",Protokoll_1p!G160))),0,1))</f>
        <v/>
      </c>
      <c r="K194" s="1" t="str">
        <f>IF(Protokoll_1p!H160="","",IF(VALUE(LEFT(Protokoll_1p!H160,FIND(":",Protokoll_1p!H160)-1))&gt;VALUE(RIGHT(Protokoll_1p!H160,LEN(Protokoll_1p!H160)-FIND(":",Protokoll_1p!H160))),0,1))</f>
        <v/>
      </c>
      <c r="L194" s="1" t="str">
        <f>IF(Protokoll_1p!I160="","",IF(VALUE(LEFT(Protokoll_1p!I160,FIND(":",Protokoll_1p!I160)-1))&gt;VALUE(RIGHT(Protokoll_1p!I160,LEN(Protokoll_1p!I160)-FIND(":",Protokoll_1p!I160))),0,1))</f>
        <v/>
      </c>
      <c r="M194" s="1" t="str">
        <f>IF(Protokoll_1p!J160="","",IF(VALUE(LEFT(Protokoll_1p!J160,FIND(":",Protokoll_1p!J160)-1))&gt;VALUE(RIGHT(Protokoll_1p!J160,LEN(Protokoll_1p!J160)-FIND(":",Protokoll_1p!J160))),0,1))</f>
        <v/>
      </c>
      <c r="N194" s="1" t="str">
        <f t="shared" si="5"/>
        <v/>
      </c>
    </row>
    <row r="195" spans="2:14">
      <c r="B195" s="1" t="str">
        <f>IF(Protokoll_1p!F161="","",IF(VALUE(LEFT(Protokoll_1p!F161,FIND(":",Protokoll_1p!F161)-1))&gt;VALUE(RIGHT(Protokoll_1p!F161,LEN(Protokoll_1p!F161)-FIND(":",Protokoll_1p!F161))),1,0))</f>
        <v/>
      </c>
      <c r="C195" s="1" t="str">
        <f>IF(Protokoll_1p!G161="","",IF(VALUE(LEFT(Protokoll_1p!G161,FIND(":",Protokoll_1p!G161)-1))&gt;VALUE(RIGHT(Protokoll_1p!G161,LEN(Protokoll_1p!G161)-FIND(":",Protokoll_1p!G161))),1,0))</f>
        <v/>
      </c>
      <c r="D195" s="1" t="str">
        <f>IF(Protokoll_1p!H161="","",IF(VALUE(LEFT(Protokoll_1p!H161,FIND(":",Protokoll_1p!H161)-1))&gt;VALUE(RIGHT(Protokoll_1p!H161,LEN(Protokoll_1p!H161)-FIND(":",Protokoll_1p!H161))),1,0))</f>
        <v/>
      </c>
      <c r="E195" s="1" t="str">
        <f>IF(Protokoll_1p!I161="","",IF(VALUE(LEFT(Protokoll_1p!I161,FIND(":",Protokoll_1p!I161)-1))&gt;VALUE(RIGHT(Protokoll_1p!I161,LEN(Protokoll_1p!I161)-FIND(":",Protokoll_1p!I161))),1,0))</f>
        <v/>
      </c>
      <c r="F195" s="1" t="str">
        <f>IF(Protokoll_1p!J161="","",IF(VALUE(LEFT(Protokoll_1p!J161,FIND(":",Protokoll_1p!J161)-1))&gt;VALUE(RIGHT(Protokoll_1p!J161,LEN(Protokoll_1p!J161)-FIND(":",Protokoll_1p!J161))),1,0))</f>
        <v/>
      </c>
      <c r="G195" s="1" t="str">
        <f t="shared" ref="G195:G258" si="6">IF(B195="","",SUM(B195:F195))</f>
        <v/>
      </c>
      <c r="I195" s="1" t="str">
        <f>IF(Protokoll_1p!F161="","",IF(VALUE(LEFT(Protokoll_1p!F161,FIND(":",Protokoll_1p!F161)-1))&gt;VALUE(RIGHT(Protokoll_1p!F161,LEN(Protokoll_1p!F161)-FIND(":",Protokoll_1p!F161))),0,1))</f>
        <v/>
      </c>
      <c r="J195" s="1" t="str">
        <f>IF(Protokoll_1p!G161="","",IF(VALUE(LEFT(Protokoll_1p!G161,FIND(":",Protokoll_1p!G161)-1))&gt;VALUE(RIGHT(Protokoll_1p!G161,LEN(Protokoll_1p!G161)-FIND(":",Protokoll_1p!G161))),0,1))</f>
        <v/>
      </c>
      <c r="K195" s="1" t="str">
        <f>IF(Protokoll_1p!H161="","",IF(VALUE(LEFT(Protokoll_1p!H161,FIND(":",Protokoll_1p!H161)-1))&gt;VALUE(RIGHT(Protokoll_1p!H161,LEN(Protokoll_1p!H161)-FIND(":",Protokoll_1p!H161))),0,1))</f>
        <v/>
      </c>
      <c r="L195" s="1" t="str">
        <f>IF(Protokoll_1p!I161="","",IF(VALUE(LEFT(Protokoll_1p!I161,FIND(":",Protokoll_1p!I161)-1))&gt;VALUE(RIGHT(Protokoll_1p!I161,LEN(Protokoll_1p!I161)-FIND(":",Protokoll_1p!I161))),0,1))</f>
        <v/>
      </c>
      <c r="M195" s="1" t="str">
        <f>IF(Protokoll_1p!J161="","",IF(VALUE(LEFT(Protokoll_1p!J161,FIND(":",Protokoll_1p!J161)-1))&gt;VALUE(RIGHT(Protokoll_1p!J161,LEN(Protokoll_1p!J161)-FIND(":",Protokoll_1p!J161))),0,1))</f>
        <v/>
      </c>
      <c r="N195" s="1" t="str">
        <f t="shared" ref="N195:N258" si="7">IF(I195="","",SUM(I195:M195))</f>
        <v/>
      </c>
    </row>
    <row r="196" spans="2:14">
      <c r="B196" s="1" t="str">
        <f>IF(Protokoll_1p!F162="","",IF(VALUE(LEFT(Protokoll_1p!F162,FIND(":",Protokoll_1p!F162)-1))&gt;VALUE(RIGHT(Protokoll_1p!F162,LEN(Protokoll_1p!F162)-FIND(":",Protokoll_1p!F162))),1,0))</f>
        <v/>
      </c>
      <c r="C196" s="1" t="str">
        <f>IF(Protokoll_1p!G162="","",IF(VALUE(LEFT(Protokoll_1p!G162,FIND(":",Protokoll_1p!G162)-1))&gt;VALUE(RIGHT(Protokoll_1p!G162,LEN(Protokoll_1p!G162)-FIND(":",Protokoll_1p!G162))),1,0))</f>
        <v/>
      </c>
      <c r="D196" s="1" t="str">
        <f>IF(Protokoll_1p!H162="","",IF(VALUE(LEFT(Protokoll_1p!H162,FIND(":",Protokoll_1p!H162)-1))&gt;VALUE(RIGHT(Protokoll_1p!H162,LEN(Protokoll_1p!H162)-FIND(":",Protokoll_1p!H162))),1,0))</f>
        <v/>
      </c>
      <c r="E196" s="1" t="str">
        <f>IF(Protokoll_1p!I162="","",IF(VALUE(LEFT(Protokoll_1p!I162,FIND(":",Protokoll_1p!I162)-1))&gt;VALUE(RIGHT(Protokoll_1p!I162,LEN(Protokoll_1p!I162)-FIND(":",Protokoll_1p!I162))),1,0))</f>
        <v/>
      </c>
      <c r="F196" s="1" t="str">
        <f>IF(Protokoll_1p!J162="","",IF(VALUE(LEFT(Protokoll_1p!J162,FIND(":",Protokoll_1p!J162)-1))&gt;VALUE(RIGHT(Protokoll_1p!J162,LEN(Protokoll_1p!J162)-FIND(":",Protokoll_1p!J162))),1,0))</f>
        <v/>
      </c>
      <c r="G196" s="1" t="str">
        <f t="shared" si="6"/>
        <v/>
      </c>
      <c r="I196" s="1" t="str">
        <f>IF(Protokoll_1p!F162="","",IF(VALUE(LEFT(Protokoll_1p!F162,FIND(":",Protokoll_1p!F162)-1))&gt;VALUE(RIGHT(Protokoll_1p!F162,LEN(Protokoll_1p!F162)-FIND(":",Protokoll_1p!F162))),0,1))</f>
        <v/>
      </c>
      <c r="J196" s="1" t="str">
        <f>IF(Protokoll_1p!G162="","",IF(VALUE(LEFT(Protokoll_1p!G162,FIND(":",Protokoll_1p!G162)-1))&gt;VALUE(RIGHT(Protokoll_1p!G162,LEN(Protokoll_1p!G162)-FIND(":",Protokoll_1p!G162))),0,1))</f>
        <v/>
      </c>
      <c r="K196" s="1" t="str">
        <f>IF(Protokoll_1p!H162="","",IF(VALUE(LEFT(Protokoll_1p!H162,FIND(":",Protokoll_1p!H162)-1))&gt;VALUE(RIGHT(Protokoll_1p!H162,LEN(Protokoll_1p!H162)-FIND(":",Protokoll_1p!H162))),0,1))</f>
        <v/>
      </c>
      <c r="L196" s="1" t="str">
        <f>IF(Protokoll_1p!I162="","",IF(VALUE(LEFT(Protokoll_1p!I162,FIND(":",Protokoll_1p!I162)-1))&gt;VALUE(RIGHT(Protokoll_1p!I162,LEN(Protokoll_1p!I162)-FIND(":",Protokoll_1p!I162))),0,1))</f>
        <v/>
      </c>
      <c r="M196" s="1" t="str">
        <f>IF(Protokoll_1p!J162="","",IF(VALUE(LEFT(Protokoll_1p!J162,FIND(":",Protokoll_1p!J162)-1))&gt;VALUE(RIGHT(Protokoll_1p!J162,LEN(Protokoll_1p!J162)-FIND(":",Protokoll_1p!J162))),0,1))</f>
        <v/>
      </c>
      <c r="N196" s="1" t="str">
        <f t="shared" si="7"/>
        <v/>
      </c>
    </row>
    <row r="197" spans="2:14">
      <c r="B197" s="1" t="str">
        <f>IF(Protokoll_1p!F163="","",IF(VALUE(LEFT(Protokoll_1p!F163,FIND(":",Protokoll_1p!F163)-1))&gt;VALUE(RIGHT(Protokoll_1p!F163,LEN(Protokoll_1p!F163)-FIND(":",Protokoll_1p!F163))),1,0))</f>
        <v/>
      </c>
      <c r="C197" s="1" t="str">
        <f>IF(Protokoll_1p!G163="","",IF(VALUE(LEFT(Protokoll_1p!G163,FIND(":",Protokoll_1p!G163)-1))&gt;VALUE(RIGHT(Protokoll_1p!G163,LEN(Protokoll_1p!G163)-FIND(":",Protokoll_1p!G163))),1,0))</f>
        <v/>
      </c>
      <c r="D197" s="1" t="str">
        <f>IF(Protokoll_1p!H163="","",IF(VALUE(LEFT(Protokoll_1p!H163,FIND(":",Protokoll_1p!H163)-1))&gt;VALUE(RIGHT(Protokoll_1p!H163,LEN(Protokoll_1p!H163)-FIND(":",Protokoll_1p!H163))),1,0))</f>
        <v/>
      </c>
      <c r="E197" s="1" t="str">
        <f>IF(Protokoll_1p!I163="","",IF(VALUE(LEFT(Protokoll_1p!I163,FIND(":",Protokoll_1p!I163)-1))&gt;VALUE(RIGHT(Protokoll_1p!I163,LEN(Protokoll_1p!I163)-FIND(":",Protokoll_1p!I163))),1,0))</f>
        <v/>
      </c>
      <c r="F197" s="1" t="str">
        <f>IF(Protokoll_1p!J163="","",IF(VALUE(LEFT(Protokoll_1p!J163,FIND(":",Protokoll_1p!J163)-1))&gt;VALUE(RIGHT(Protokoll_1p!J163,LEN(Protokoll_1p!J163)-FIND(":",Protokoll_1p!J163))),1,0))</f>
        <v/>
      </c>
      <c r="G197" s="1" t="str">
        <f t="shared" si="6"/>
        <v/>
      </c>
      <c r="I197" s="1" t="str">
        <f>IF(Protokoll_1p!F163="","",IF(VALUE(LEFT(Protokoll_1p!F163,FIND(":",Protokoll_1p!F163)-1))&gt;VALUE(RIGHT(Protokoll_1p!F163,LEN(Protokoll_1p!F163)-FIND(":",Protokoll_1p!F163))),0,1))</f>
        <v/>
      </c>
      <c r="J197" s="1" t="str">
        <f>IF(Protokoll_1p!G163="","",IF(VALUE(LEFT(Protokoll_1p!G163,FIND(":",Protokoll_1p!G163)-1))&gt;VALUE(RIGHT(Protokoll_1p!G163,LEN(Protokoll_1p!G163)-FIND(":",Protokoll_1p!G163))),0,1))</f>
        <v/>
      </c>
      <c r="K197" s="1" t="str">
        <f>IF(Protokoll_1p!H163="","",IF(VALUE(LEFT(Protokoll_1p!H163,FIND(":",Protokoll_1p!H163)-1))&gt;VALUE(RIGHT(Protokoll_1p!H163,LEN(Protokoll_1p!H163)-FIND(":",Protokoll_1p!H163))),0,1))</f>
        <v/>
      </c>
      <c r="L197" s="1" t="str">
        <f>IF(Protokoll_1p!I163="","",IF(VALUE(LEFT(Protokoll_1p!I163,FIND(":",Protokoll_1p!I163)-1))&gt;VALUE(RIGHT(Protokoll_1p!I163,LEN(Protokoll_1p!I163)-FIND(":",Protokoll_1p!I163))),0,1))</f>
        <v/>
      </c>
      <c r="M197" s="1" t="str">
        <f>IF(Protokoll_1p!J163="","",IF(VALUE(LEFT(Protokoll_1p!J163,FIND(":",Protokoll_1p!J163)-1))&gt;VALUE(RIGHT(Protokoll_1p!J163,LEN(Protokoll_1p!J163)-FIND(":",Protokoll_1p!J163))),0,1))</f>
        <v/>
      </c>
      <c r="N197" s="1" t="str">
        <f t="shared" si="7"/>
        <v/>
      </c>
    </row>
    <row r="198" spans="2:14">
      <c r="B198" s="1" t="str">
        <f>IF(Protokoll_1p!F164="","",IF(VALUE(LEFT(Protokoll_1p!F164,FIND(":",Protokoll_1p!F164)-1))&gt;VALUE(RIGHT(Protokoll_1p!F164,LEN(Protokoll_1p!F164)-FIND(":",Protokoll_1p!F164))),1,0))</f>
        <v/>
      </c>
      <c r="C198" s="1" t="str">
        <f>IF(Protokoll_1p!G164="","",IF(VALUE(LEFT(Protokoll_1p!G164,FIND(":",Protokoll_1p!G164)-1))&gt;VALUE(RIGHT(Protokoll_1p!G164,LEN(Protokoll_1p!G164)-FIND(":",Protokoll_1p!G164))),1,0))</f>
        <v/>
      </c>
      <c r="D198" s="1" t="str">
        <f>IF(Protokoll_1p!H164="","",IF(VALUE(LEFT(Protokoll_1p!H164,FIND(":",Protokoll_1p!H164)-1))&gt;VALUE(RIGHT(Protokoll_1p!H164,LEN(Protokoll_1p!H164)-FIND(":",Protokoll_1p!H164))),1,0))</f>
        <v/>
      </c>
      <c r="E198" s="1" t="str">
        <f>IF(Protokoll_1p!I164="","",IF(VALUE(LEFT(Protokoll_1p!I164,FIND(":",Protokoll_1p!I164)-1))&gt;VALUE(RIGHT(Protokoll_1p!I164,LEN(Protokoll_1p!I164)-FIND(":",Protokoll_1p!I164))),1,0))</f>
        <v/>
      </c>
      <c r="F198" s="1" t="str">
        <f>IF(Protokoll_1p!J164="","",IF(VALUE(LEFT(Protokoll_1p!J164,FIND(":",Protokoll_1p!J164)-1))&gt;VALUE(RIGHT(Protokoll_1p!J164,LEN(Protokoll_1p!J164)-FIND(":",Protokoll_1p!J164))),1,0))</f>
        <v/>
      </c>
      <c r="G198" s="1" t="str">
        <f t="shared" si="6"/>
        <v/>
      </c>
      <c r="I198" s="1" t="str">
        <f>IF(Protokoll_1p!F164="","",IF(VALUE(LEFT(Protokoll_1p!F164,FIND(":",Protokoll_1p!F164)-1))&gt;VALUE(RIGHT(Protokoll_1p!F164,LEN(Protokoll_1p!F164)-FIND(":",Protokoll_1p!F164))),0,1))</f>
        <v/>
      </c>
      <c r="J198" s="1" t="str">
        <f>IF(Protokoll_1p!G164="","",IF(VALUE(LEFT(Protokoll_1p!G164,FIND(":",Protokoll_1p!G164)-1))&gt;VALUE(RIGHT(Protokoll_1p!G164,LEN(Protokoll_1p!G164)-FIND(":",Protokoll_1p!G164))),0,1))</f>
        <v/>
      </c>
      <c r="K198" s="1" t="str">
        <f>IF(Protokoll_1p!H164="","",IF(VALUE(LEFT(Protokoll_1p!H164,FIND(":",Protokoll_1p!H164)-1))&gt;VALUE(RIGHT(Protokoll_1p!H164,LEN(Protokoll_1p!H164)-FIND(":",Protokoll_1p!H164))),0,1))</f>
        <v/>
      </c>
      <c r="L198" s="1" t="str">
        <f>IF(Protokoll_1p!I164="","",IF(VALUE(LEFT(Protokoll_1p!I164,FIND(":",Protokoll_1p!I164)-1))&gt;VALUE(RIGHT(Protokoll_1p!I164,LEN(Protokoll_1p!I164)-FIND(":",Protokoll_1p!I164))),0,1))</f>
        <v/>
      </c>
      <c r="M198" s="1" t="str">
        <f>IF(Protokoll_1p!J164="","",IF(VALUE(LEFT(Protokoll_1p!J164,FIND(":",Protokoll_1p!J164)-1))&gt;VALUE(RIGHT(Protokoll_1p!J164,LEN(Protokoll_1p!J164)-FIND(":",Protokoll_1p!J164))),0,1))</f>
        <v/>
      </c>
      <c r="N198" s="1" t="str">
        <f t="shared" si="7"/>
        <v/>
      </c>
    </row>
    <row r="199" spans="2:14">
      <c r="B199" s="1" t="str">
        <f>IF(Protokoll_1p!F165="","",IF(VALUE(LEFT(Protokoll_1p!F165,FIND(":",Protokoll_1p!F165)-1))&gt;VALUE(RIGHT(Protokoll_1p!F165,LEN(Protokoll_1p!F165)-FIND(":",Protokoll_1p!F165))),1,0))</f>
        <v/>
      </c>
      <c r="C199" s="1" t="str">
        <f>IF(Protokoll_1p!G165="","",IF(VALUE(LEFT(Protokoll_1p!G165,FIND(":",Protokoll_1p!G165)-1))&gt;VALUE(RIGHT(Protokoll_1p!G165,LEN(Protokoll_1p!G165)-FIND(":",Protokoll_1p!G165))),1,0))</f>
        <v/>
      </c>
      <c r="D199" s="1" t="str">
        <f>IF(Protokoll_1p!H165="","",IF(VALUE(LEFT(Protokoll_1p!H165,FIND(":",Protokoll_1p!H165)-1))&gt;VALUE(RIGHT(Protokoll_1p!H165,LEN(Protokoll_1p!H165)-FIND(":",Protokoll_1p!H165))),1,0))</f>
        <v/>
      </c>
      <c r="E199" s="1" t="str">
        <f>IF(Protokoll_1p!I165="","",IF(VALUE(LEFT(Protokoll_1p!I165,FIND(":",Protokoll_1p!I165)-1))&gt;VALUE(RIGHT(Protokoll_1p!I165,LEN(Protokoll_1p!I165)-FIND(":",Protokoll_1p!I165))),1,0))</f>
        <v/>
      </c>
      <c r="F199" s="1" t="str">
        <f>IF(Protokoll_1p!J165="","",IF(VALUE(LEFT(Protokoll_1p!J165,FIND(":",Protokoll_1p!J165)-1))&gt;VALUE(RIGHT(Protokoll_1p!J165,LEN(Protokoll_1p!J165)-FIND(":",Protokoll_1p!J165))),1,0))</f>
        <v/>
      </c>
      <c r="G199" s="1" t="str">
        <f t="shared" si="6"/>
        <v/>
      </c>
      <c r="I199" s="1" t="str">
        <f>IF(Protokoll_1p!F165="","",IF(VALUE(LEFT(Protokoll_1p!F165,FIND(":",Protokoll_1p!F165)-1))&gt;VALUE(RIGHT(Protokoll_1p!F165,LEN(Protokoll_1p!F165)-FIND(":",Protokoll_1p!F165))),0,1))</f>
        <v/>
      </c>
      <c r="J199" s="1" t="str">
        <f>IF(Protokoll_1p!G165="","",IF(VALUE(LEFT(Protokoll_1p!G165,FIND(":",Protokoll_1p!G165)-1))&gt;VALUE(RIGHT(Protokoll_1p!G165,LEN(Protokoll_1p!G165)-FIND(":",Protokoll_1p!G165))),0,1))</f>
        <v/>
      </c>
      <c r="K199" s="1" t="str">
        <f>IF(Protokoll_1p!H165="","",IF(VALUE(LEFT(Protokoll_1p!H165,FIND(":",Protokoll_1p!H165)-1))&gt;VALUE(RIGHT(Protokoll_1p!H165,LEN(Protokoll_1p!H165)-FIND(":",Protokoll_1p!H165))),0,1))</f>
        <v/>
      </c>
      <c r="L199" s="1" t="str">
        <f>IF(Protokoll_1p!I165="","",IF(VALUE(LEFT(Protokoll_1p!I165,FIND(":",Protokoll_1p!I165)-1))&gt;VALUE(RIGHT(Protokoll_1p!I165,LEN(Protokoll_1p!I165)-FIND(":",Protokoll_1p!I165))),0,1))</f>
        <v/>
      </c>
      <c r="M199" s="1" t="str">
        <f>IF(Protokoll_1p!J165="","",IF(VALUE(LEFT(Protokoll_1p!J165,FIND(":",Protokoll_1p!J165)-1))&gt;VALUE(RIGHT(Protokoll_1p!J165,LEN(Protokoll_1p!J165)-FIND(":",Protokoll_1p!J165))),0,1))</f>
        <v/>
      </c>
      <c r="N199" s="1" t="str">
        <f t="shared" si="7"/>
        <v/>
      </c>
    </row>
    <row r="200" spans="2:14">
      <c r="B200" s="1" t="str">
        <f>IF(Protokoll_1p!F166="","",IF(VALUE(LEFT(Protokoll_1p!F166,FIND(":",Protokoll_1p!F166)-1))&gt;VALUE(RIGHT(Protokoll_1p!F166,LEN(Protokoll_1p!F166)-FIND(":",Protokoll_1p!F166))),1,0))</f>
        <v/>
      </c>
      <c r="C200" s="1" t="str">
        <f>IF(Protokoll_1p!G166="","",IF(VALUE(LEFT(Protokoll_1p!G166,FIND(":",Protokoll_1p!G166)-1))&gt;VALUE(RIGHT(Protokoll_1p!G166,LEN(Protokoll_1p!G166)-FIND(":",Protokoll_1p!G166))),1,0))</f>
        <v/>
      </c>
      <c r="D200" s="1" t="str">
        <f>IF(Protokoll_1p!H166="","",IF(VALUE(LEFT(Protokoll_1p!H166,FIND(":",Protokoll_1p!H166)-1))&gt;VALUE(RIGHT(Protokoll_1p!H166,LEN(Protokoll_1p!H166)-FIND(":",Protokoll_1p!H166))),1,0))</f>
        <v/>
      </c>
      <c r="E200" s="1" t="str">
        <f>IF(Protokoll_1p!I166="","",IF(VALUE(LEFT(Protokoll_1p!I166,FIND(":",Protokoll_1p!I166)-1))&gt;VALUE(RIGHT(Protokoll_1p!I166,LEN(Protokoll_1p!I166)-FIND(":",Protokoll_1p!I166))),1,0))</f>
        <v/>
      </c>
      <c r="F200" s="1" t="str">
        <f>IF(Protokoll_1p!J166="","",IF(VALUE(LEFT(Protokoll_1p!J166,FIND(":",Protokoll_1p!J166)-1))&gt;VALUE(RIGHT(Protokoll_1p!J166,LEN(Protokoll_1p!J166)-FIND(":",Protokoll_1p!J166))),1,0))</f>
        <v/>
      </c>
      <c r="G200" s="1" t="str">
        <f t="shared" si="6"/>
        <v/>
      </c>
      <c r="I200" s="1" t="str">
        <f>IF(Protokoll_1p!F166="","",IF(VALUE(LEFT(Protokoll_1p!F166,FIND(":",Protokoll_1p!F166)-1))&gt;VALUE(RIGHT(Protokoll_1p!F166,LEN(Protokoll_1p!F166)-FIND(":",Protokoll_1p!F166))),0,1))</f>
        <v/>
      </c>
      <c r="J200" s="1" t="str">
        <f>IF(Protokoll_1p!G166="","",IF(VALUE(LEFT(Protokoll_1p!G166,FIND(":",Protokoll_1p!G166)-1))&gt;VALUE(RIGHT(Protokoll_1p!G166,LEN(Protokoll_1p!G166)-FIND(":",Protokoll_1p!G166))),0,1))</f>
        <v/>
      </c>
      <c r="K200" s="1" t="str">
        <f>IF(Protokoll_1p!H166="","",IF(VALUE(LEFT(Protokoll_1p!H166,FIND(":",Protokoll_1p!H166)-1))&gt;VALUE(RIGHT(Protokoll_1p!H166,LEN(Protokoll_1p!H166)-FIND(":",Protokoll_1p!H166))),0,1))</f>
        <v/>
      </c>
      <c r="L200" s="1" t="str">
        <f>IF(Protokoll_1p!I166="","",IF(VALUE(LEFT(Protokoll_1p!I166,FIND(":",Protokoll_1p!I166)-1))&gt;VALUE(RIGHT(Protokoll_1p!I166,LEN(Protokoll_1p!I166)-FIND(":",Protokoll_1p!I166))),0,1))</f>
        <v/>
      </c>
      <c r="M200" s="1" t="str">
        <f>IF(Protokoll_1p!J166="","",IF(VALUE(LEFT(Protokoll_1p!J166,FIND(":",Protokoll_1p!J166)-1))&gt;VALUE(RIGHT(Protokoll_1p!J166,LEN(Protokoll_1p!J166)-FIND(":",Protokoll_1p!J166))),0,1))</f>
        <v/>
      </c>
      <c r="N200" s="1" t="str">
        <f t="shared" si="7"/>
        <v/>
      </c>
    </row>
    <row r="201" spans="2:14">
      <c r="B201" s="1" t="str">
        <f>IF(Protokoll_1p!F167="","",IF(VALUE(LEFT(Protokoll_1p!F167,FIND(":",Protokoll_1p!F167)-1))&gt;VALUE(RIGHT(Protokoll_1p!F167,LEN(Protokoll_1p!F167)-FIND(":",Protokoll_1p!F167))),1,0))</f>
        <v/>
      </c>
      <c r="C201" s="1" t="str">
        <f>IF(Protokoll_1p!G167="","",IF(VALUE(LEFT(Protokoll_1p!G167,FIND(":",Protokoll_1p!G167)-1))&gt;VALUE(RIGHT(Protokoll_1p!G167,LEN(Protokoll_1p!G167)-FIND(":",Protokoll_1p!G167))),1,0))</f>
        <v/>
      </c>
      <c r="D201" s="1" t="str">
        <f>IF(Protokoll_1p!H167="","",IF(VALUE(LEFT(Protokoll_1p!H167,FIND(":",Protokoll_1p!H167)-1))&gt;VALUE(RIGHT(Protokoll_1p!H167,LEN(Protokoll_1p!H167)-FIND(":",Protokoll_1p!H167))),1,0))</f>
        <v/>
      </c>
      <c r="E201" s="1" t="str">
        <f>IF(Protokoll_1p!I167="","",IF(VALUE(LEFT(Protokoll_1p!I167,FIND(":",Protokoll_1p!I167)-1))&gt;VALUE(RIGHT(Protokoll_1p!I167,LEN(Protokoll_1p!I167)-FIND(":",Protokoll_1p!I167))),1,0))</f>
        <v/>
      </c>
      <c r="F201" s="1" t="str">
        <f>IF(Protokoll_1p!J167="","",IF(VALUE(LEFT(Protokoll_1p!J167,FIND(":",Protokoll_1p!J167)-1))&gt;VALUE(RIGHT(Protokoll_1p!J167,LEN(Protokoll_1p!J167)-FIND(":",Protokoll_1p!J167))),1,0))</f>
        <v/>
      </c>
      <c r="G201" s="1" t="str">
        <f t="shared" si="6"/>
        <v/>
      </c>
      <c r="I201" s="1" t="str">
        <f>IF(Protokoll_1p!F167="","",IF(VALUE(LEFT(Protokoll_1p!F167,FIND(":",Protokoll_1p!F167)-1))&gt;VALUE(RIGHT(Protokoll_1p!F167,LEN(Protokoll_1p!F167)-FIND(":",Protokoll_1p!F167))),0,1))</f>
        <v/>
      </c>
      <c r="J201" s="1" t="str">
        <f>IF(Protokoll_1p!G167="","",IF(VALUE(LEFT(Protokoll_1p!G167,FIND(":",Protokoll_1p!G167)-1))&gt;VALUE(RIGHT(Protokoll_1p!G167,LEN(Protokoll_1p!G167)-FIND(":",Protokoll_1p!G167))),0,1))</f>
        <v/>
      </c>
      <c r="K201" s="1" t="str">
        <f>IF(Protokoll_1p!H167="","",IF(VALUE(LEFT(Protokoll_1p!H167,FIND(":",Protokoll_1p!H167)-1))&gt;VALUE(RIGHT(Protokoll_1p!H167,LEN(Protokoll_1p!H167)-FIND(":",Protokoll_1p!H167))),0,1))</f>
        <v/>
      </c>
      <c r="L201" s="1" t="str">
        <f>IF(Protokoll_1p!I167="","",IF(VALUE(LEFT(Protokoll_1p!I167,FIND(":",Protokoll_1p!I167)-1))&gt;VALUE(RIGHT(Protokoll_1p!I167,LEN(Protokoll_1p!I167)-FIND(":",Protokoll_1p!I167))),0,1))</f>
        <v/>
      </c>
      <c r="M201" s="1" t="str">
        <f>IF(Protokoll_1p!J167="","",IF(VALUE(LEFT(Protokoll_1p!J167,FIND(":",Protokoll_1p!J167)-1))&gt;VALUE(RIGHT(Protokoll_1p!J167,LEN(Protokoll_1p!J167)-FIND(":",Protokoll_1p!J167))),0,1))</f>
        <v/>
      </c>
      <c r="N201" s="1" t="str">
        <f t="shared" si="7"/>
        <v/>
      </c>
    </row>
    <row r="202" spans="2:14">
      <c r="B202" s="1" t="str">
        <f>IF(Protokoll_1p!F168="","",IF(VALUE(LEFT(Protokoll_1p!F168,FIND(":",Protokoll_1p!F168)-1))&gt;VALUE(RIGHT(Protokoll_1p!F168,LEN(Protokoll_1p!F168)-FIND(":",Protokoll_1p!F168))),1,0))</f>
        <v/>
      </c>
      <c r="C202" s="1" t="str">
        <f>IF(Protokoll_1p!G168="","",IF(VALUE(LEFT(Protokoll_1p!G168,FIND(":",Protokoll_1p!G168)-1))&gt;VALUE(RIGHT(Protokoll_1p!G168,LEN(Protokoll_1p!G168)-FIND(":",Protokoll_1p!G168))),1,0))</f>
        <v/>
      </c>
      <c r="D202" s="1" t="str">
        <f>IF(Protokoll_1p!H168="","",IF(VALUE(LEFT(Protokoll_1p!H168,FIND(":",Protokoll_1p!H168)-1))&gt;VALUE(RIGHT(Protokoll_1p!H168,LEN(Protokoll_1p!H168)-FIND(":",Protokoll_1p!H168))),1,0))</f>
        <v/>
      </c>
      <c r="E202" s="1" t="str">
        <f>IF(Protokoll_1p!I168="","",IF(VALUE(LEFT(Protokoll_1p!I168,FIND(":",Protokoll_1p!I168)-1))&gt;VALUE(RIGHT(Protokoll_1p!I168,LEN(Protokoll_1p!I168)-FIND(":",Protokoll_1p!I168))),1,0))</f>
        <v/>
      </c>
      <c r="F202" s="1" t="str">
        <f>IF(Protokoll_1p!J168="","",IF(VALUE(LEFT(Protokoll_1p!J168,FIND(":",Protokoll_1p!J168)-1))&gt;VALUE(RIGHT(Protokoll_1p!J168,LEN(Protokoll_1p!J168)-FIND(":",Protokoll_1p!J168))),1,0))</f>
        <v/>
      </c>
      <c r="G202" s="1" t="str">
        <f t="shared" si="6"/>
        <v/>
      </c>
      <c r="I202" s="1" t="str">
        <f>IF(Protokoll_1p!F168="","",IF(VALUE(LEFT(Protokoll_1p!F168,FIND(":",Protokoll_1p!F168)-1))&gt;VALUE(RIGHT(Protokoll_1p!F168,LEN(Protokoll_1p!F168)-FIND(":",Protokoll_1p!F168))),0,1))</f>
        <v/>
      </c>
      <c r="J202" s="1" t="str">
        <f>IF(Protokoll_1p!G168="","",IF(VALUE(LEFT(Protokoll_1p!G168,FIND(":",Protokoll_1p!G168)-1))&gt;VALUE(RIGHT(Protokoll_1p!G168,LEN(Protokoll_1p!G168)-FIND(":",Protokoll_1p!G168))),0,1))</f>
        <v/>
      </c>
      <c r="K202" s="1" t="str">
        <f>IF(Protokoll_1p!H168="","",IF(VALUE(LEFT(Protokoll_1p!H168,FIND(":",Protokoll_1p!H168)-1))&gt;VALUE(RIGHT(Protokoll_1p!H168,LEN(Protokoll_1p!H168)-FIND(":",Protokoll_1p!H168))),0,1))</f>
        <v/>
      </c>
      <c r="L202" s="1" t="str">
        <f>IF(Protokoll_1p!I168="","",IF(VALUE(LEFT(Protokoll_1p!I168,FIND(":",Protokoll_1p!I168)-1))&gt;VALUE(RIGHT(Protokoll_1p!I168,LEN(Protokoll_1p!I168)-FIND(":",Protokoll_1p!I168))),0,1))</f>
        <v/>
      </c>
      <c r="M202" s="1" t="str">
        <f>IF(Protokoll_1p!J168="","",IF(VALUE(LEFT(Protokoll_1p!J168,FIND(":",Protokoll_1p!J168)-1))&gt;VALUE(RIGHT(Protokoll_1p!J168,LEN(Protokoll_1p!J168)-FIND(":",Protokoll_1p!J168))),0,1))</f>
        <v/>
      </c>
      <c r="N202" s="1" t="str">
        <f t="shared" si="7"/>
        <v/>
      </c>
    </row>
    <row r="203" spans="2:14">
      <c r="B203" s="1" t="str">
        <f>IF(Protokoll_1p!F169="","",IF(VALUE(LEFT(Protokoll_1p!F169,FIND(":",Protokoll_1p!F169)-1))&gt;VALUE(RIGHT(Protokoll_1p!F169,LEN(Protokoll_1p!F169)-FIND(":",Protokoll_1p!F169))),1,0))</f>
        <v/>
      </c>
      <c r="C203" s="1" t="str">
        <f>IF(Protokoll_1p!G169="","",IF(VALUE(LEFT(Protokoll_1p!G169,FIND(":",Protokoll_1p!G169)-1))&gt;VALUE(RIGHT(Protokoll_1p!G169,LEN(Protokoll_1p!G169)-FIND(":",Protokoll_1p!G169))),1,0))</f>
        <v/>
      </c>
      <c r="D203" s="1" t="str">
        <f>IF(Protokoll_1p!H169="","",IF(VALUE(LEFT(Protokoll_1p!H169,FIND(":",Protokoll_1p!H169)-1))&gt;VALUE(RIGHT(Protokoll_1p!H169,LEN(Protokoll_1p!H169)-FIND(":",Protokoll_1p!H169))),1,0))</f>
        <v/>
      </c>
      <c r="E203" s="1" t="str">
        <f>IF(Protokoll_1p!I169="","",IF(VALUE(LEFT(Protokoll_1p!I169,FIND(":",Protokoll_1p!I169)-1))&gt;VALUE(RIGHT(Protokoll_1p!I169,LEN(Protokoll_1p!I169)-FIND(":",Protokoll_1p!I169))),1,0))</f>
        <v/>
      </c>
      <c r="F203" s="1" t="str">
        <f>IF(Protokoll_1p!J169="","",IF(VALUE(LEFT(Protokoll_1p!J169,FIND(":",Protokoll_1p!J169)-1))&gt;VALUE(RIGHT(Protokoll_1p!J169,LEN(Protokoll_1p!J169)-FIND(":",Protokoll_1p!J169))),1,0))</f>
        <v/>
      </c>
      <c r="G203" s="1" t="str">
        <f t="shared" si="6"/>
        <v/>
      </c>
      <c r="I203" s="1" t="str">
        <f>IF(Protokoll_1p!F169="","",IF(VALUE(LEFT(Protokoll_1p!F169,FIND(":",Protokoll_1p!F169)-1))&gt;VALUE(RIGHT(Protokoll_1p!F169,LEN(Protokoll_1p!F169)-FIND(":",Protokoll_1p!F169))),0,1))</f>
        <v/>
      </c>
      <c r="J203" s="1" t="str">
        <f>IF(Protokoll_1p!G169="","",IF(VALUE(LEFT(Protokoll_1p!G169,FIND(":",Protokoll_1p!G169)-1))&gt;VALUE(RIGHT(Protokoll_1p!G169,LEN(Protokoll_1p!G169)-FIND(":",Protokoll_1p!G169))),0,1))</f>
        <v/>
      </c>
      <c r="K203" s="1" t="str">
        <f>IF(Protokoll_1p!H169="","",IF(VALUE(LEFT(Protokoll_1p!H169,FIND(":",Protokoll_1p!H169)-1))&gt;VALUE(RIGHT(Protokoll_1p!H169,LEN(Protokoll_1p!H169)-FIND(":",Protokoll_1p!H169))),0,1))</f>
        <v/>
      </c>
      <c r="L203" s="1" t="str">
        <f>IF(Protokoll_1p!I169="","",IF(VALUE(LEFT(Protokoll_1p!I169,FIND(":",Protokoll_1p!I169)-1))&gt;VALUE(RIGHT(Protokoll_1p!I169,LEN(Protokoll_1p!I169)-FIND(":",Protokoll_1p!I169))),0,1))</f>
        <v/>
      </c>
      <c r="M203" s="1" t="str">
        <f>IF(Protokoll_1p!J169="","",IF(VALUE(LEFT(Protokoll_1p!J169,FIND(":",Protokoll_1p!J169)-1))&gt;VALUE(RIGHT(Protokoll_1p!J169,LEN(Protokoll_1p!J169)-FIND(":",Protokoll_1p!J169))),0,1))</f>
        <v/>
      </c>
      <c r="N203" s="1" t="str">
        <f t="shared" si="7"/>
        <v/>
      </c>
    </row>
    <row r="204" spans="2:14">
      <c r="B204" s="1" t="str">
        <f>IF(Protokoll_1p!F170="","",IF(VALUE(LEFT(Protokoll_1p!F170,FIND(":",Protokoll_1p!F170)-1))&gt;VALUE(RIGHT(Protokoll_1p!F170,LEN(Protokoll_1p!F170)-FIND(":",Protokoll_1p!F170))),1,0))</f>
        <v/>
      </c>
      <c r="C204" s="1" t="str">
        <f>IF(Protokoll_1p!G170="","",IF(VALUE(LEFT(Protokoll_1p!G170,FIND(":",Protokoll_1p!G170)-1))&gt;VALUE(RIGHT(Protokoll_1p!G170,LEN(Protokoll_1p!G170)-FIND(":",Protokoll_1p!G170))),1,0))</f>
        <v/>
      </c>
      <c r="D204" s="1" t="str">
        <f>IF(Protokoll_1p!H170="","",IF(VALUE(LEFT(Protokoll_1p!H170,FIND(":",Protokoll_1p!H170)-1))&gt;VALUE(RIGHT(Protokoll_1p!H170,LEN(Protokoll_1p!H170)-FIND(":",Protokoll_1p!H170))),1,0))</f>
        <v/>
      </c>
      <c r="E204" s="1" t="str">
        <f>IF(Protokoll_1p!I170="","",IF(VALUE(LEFT(Protokoll_1p!I170,FIND(":",Protokoll_1p!I170)-1))&gt;VALUE(RIGHT(Protokoll_1p!I170,LEN(Protokoll_1p!I170)-FIND(":",Protokoll_1p!I170))),1,0))</f>
        <v/>
      </c>
      <c r="F204" s="1" t="str">
        <f>IF(Protokoll_1p!J170="","",IF(VALUE(LEFT(Protokoll_1p!J170,FIND(":",Protokoll_1p!J170)-1))&gt;VALUE(RIGHT(Protokoll_1p!J170,LEN(Protokoll_1p!J170)-FIND(":",Protokoll_1p!J170))),1,0))</f>
        <v/>
      </c>
      <c r="G204" s="1" t="str">
        <f t="shared" si="6"/>
        <v/>
      </c>
      <c r="I204" s="1" t="str">
        <f>IF(Protokoll_1p!F170="","",IF(VALUE(LEFT(Protokoll_1p!F170,FIND(":",Protokoll_1p!F170)-1))&gt;VALUE(RIGHT(Protokoll_1p!F170,LEN(Protokoll_1p!F170)-FIND(":",Protokoll_1p!F170))),0,1))</f>
        <v/>
      </c>
      <c r="J204" s="1" t="str">
        <f>IF(Protokoll_1p!G170="","",IF(VALUE(LEFT(Protokoll_1p!G170,FIND(":",Protokoll_1p!G170)-1))&gt;VALUE(RIGHT(Protokoll_1p!G170,LEN(Protokoll_1p!G170)-FIND(":",Protokoll_1p!G170))),0,1))</f>
        <v/>
      </c>
      <c r="K204" s="1" t="str">
        <f>IF(Protokoll_1p!H170="","",IF(VALUE(LEFT(Protokoll_1p!H170,FIND(":",Protokoll_1p!H170)-1))&gt;VALUE(RIGHT(Protokoll_1p!H170,LEN(Protokoll_1p!H170)-FIND(":",Protokoll_1p!H170))),0,1))</f>
        <v/>
      </c>
      <c r="L204" s="1" t="str">
        <f>IF(Protokoll_1p!I170="","",IF(VALUE(LEFT(Protokoll_1p!I170,FIND(":",Protokoll_1p!I170)-1))&gt;VALUE(RIGHT(Protokoll_1p!I170,LEN(Protokoll_1p!I170)-FIND(":",Protokoll_1p!I170))),0,1))</f>
        <v/>
      </c>
      <c r="M204" s="1" t="str">
        <f>IF(Protokoll_1p!J170="","",IF(VALUE(LEFT(Protokoll_1p!J170,FIND(":",Protokoll_1p!J170)-1))&gt;VALUE(RIGHT(Protokoll_1p!J170,LEN(Protokoll_1p!J170)-FIND(":",Protokoll_1p!J170))),0,1))</f>
        <v/>
      </c>
      <c r="N204" s="1" t="str">
        <f t="shared" si="7"/>
        <v/>
      </c>
    </row>
    <row r="205" spans="2:14">
      <c r="B205" s="1" t="str">
        <f>IF(Protokoll_1p!F171="","",IF(VALUE(LEFT(Protokoll_1p!F171,FIND(":",Protokoll_1p!F171)-1))&gt;VALUE(RIGHT(Protokoll_1p!F171,LEN(Protokoll_1p!F171)-FIND(":",Protokoll_1p!F171))),1,0))</f>
        <v/>
      </c>
      <c r="C205" s="1" t="str">
        <f>IF(Protokoll_1p!G171="","",IF(VALUE(LEFT(Protokoll_1p!G171,FIND(":",Protokoll_1p!G171)-1))&gt;VALUE(RIGHT(Protokoll_1p!G171,LEN(Protokoll_1p!G171)-FIND(":",Protokoll_1p!G171))),1,0))</f>
        <v/>
      </c>
      <c r="D205" s="1" t="str">
        <f>IF(Protokoll_1p!H171="","",IF(VALUE(LEFT(Protokoll_1p!H171,FIND(":",Protokoll_1p!H171)-1))&gt;VALUE(RIGHT(Protokoll_1p!H171,LEN(Protokoll_1p!H171)-FIND(":",Protokoll_1p!H171))),1,0))</f>
        <v/>
      </c>
      <c r="E205" s="1" t="str">
        <f>IF(Protokoll_1p!I171="","",IF(VALUE(LEFT(Protokoll_1p!I171,FIND(":",Protokoll_1p!I171)-1))&gt;VALUE(RIGHT(Protokoll_1p!I171,LEN(Protokoll_1p!I171)-FIND(":",Protokoll_1p!I171))),1,0))</f>
        <v/>
      </c>
      <c r="F205" s="1" t="str">
        <f>IF(Protokoll_1p!J171="","",IF(VALUE(LEFT(Protokoll_1p!J171,FIND(":",Protokoll_1p!J171)-1))&gt;VALUE(RIGHT(Protokoll_1p!J171,LEN(Protokoll_1p!J171)-FIND(":",Protokoll_1p!J171))),1,0))</f>
        <v/>
      </c>
      <c r="G205" s="1" t="str">
        <f t="shared" si="6"/>
        <v/>
      </c>
      <c r="I205" s="1" t="str">
        <f>IF(Protokoll_1p!F171="","",IF(VALUE(LEFT(Protokoll_1p!F171,FIND(":",Protokoll_1p!F171)-1))&gt;VALUE(RIGHT(Protokoll_1p!F171,LEN(Protokoll_1p!F171)-FIND(":",Protokoll_1p!F171))),0,1))</f>
        <v/>
      </c>
      <c r="J205" s="1" t="str">
        <f>IF(Protokoll_1p!G171="","",IF(VALUE(LEFT(Protokoll_1p!G171,FIND(":",Protokoll_1p!G171)-1))&gt;VALUE(RIGHT(Protokoll_1p!G171,LEN(Protokoll_1p!G171)-FIND(":",Protokoll_1p!G171))),0,1))</f>
        <v/>
      </c>
      <c r="K205" s="1" t="str">
        <f>IF(Protokoll_1p!H171="","",IF(VALUE(LEFT(Protokoll_1p!H171,FIND(":",Protokoll_1p!H171)-1))&gt;VALUE(RIGHT(Protokoll_1p!H171,LEN(Protokoll_1p!H171)-FIND(":",Protokoll_1p!H171))),0,1))</f>
        <v/>
      </c>
      <c r="L205" s="1" t="str">
        <f>IF(Protokoll_1p!I171="","",IF(VALUE(LEFT(Protokoll_1p!I171,FIND(":",Protokoll_1p!I171)-1))&gt;VALUE(RIGHT(Protokoll_1p!I171,LEN(Protokoll_1p!I171)-FIND(":",Protokoll_1p!I171))),0,1))</f>
        <v/>
      </c>
      <c r="M205" s="1" t="str">
        <f>IF(Protokoll_1p!J171="","",IF(VALUE(LEFT(Protokoll_1p!J171,FIND(":",Protokoll_1p!J171)-1))&gt;VALUE(RIGHT(Protokoll_1p!J171,LEN(Protokoll_1p!J171)-FIND(":",Protokoll_1p!J171))),0,1))</f>
        <v/>
      </c>
      <c r="N205" s="1" t="str">
        <f t="shared" si="7"/>
        <v/>
      </c>
    </row>
    <row r="206" spans="2:14">
      <c r="B206" s="1" t="str">
        <f>IF(Protokoll_1p!F172="","",IF(VALUE(LEFT(Protokoll_1p!F172,FIND(":",Protokoll_1p!F172)-1))&gt;VALUE(RIGHT(Protokoll_1p!F172,LEN(Protokoll_1p!F172)-FIND(":",Protokoll_1p!F172))),1,0))</f>
        <v/>
      </c>
      <c r="C206" s="1" t="str">
        <f>IF(Protokoll_1p!G172="","",IF(VALUE(LEFT(Protokoll_1p!G172,FIND(":",Protokoll_1p!G172)-1))&gt;VALUE(RIGHT(Protokoll_1p!G172,LEN(Protokoll_1p!G172)-FIND(":",Protokoll_1p!G172))),1,0))</f>
        <v/>
      </c>
      <c r="D206" s="1" t="str">
        <f>IF(Protokoll_1p!H172="","",IF(VALUE(LEFT(Protokoll_1p!H172,FIND(":",Protokoll_1p!H172)-1))&gt;VALUE(RIGHT(Protokoll_1p!H172,LEN(Protokoll_1p!H172)-FIND(":",Protokoll_1p!H172))),1,0))</f>
        <v/>
      </c>
      <c r="E206" s="1" t="str">
        <f>IF(Protokoll_1p!I172="","",IF(VALUE(LEFT(Protokoll_1p!I172,FIND(":",Protokoll_1p!I172)-1))&gt;VALUE(RIGHT(Protokoll_1p!I172,LEN(Protokoll_1p!I172)-FIND(":",Protokoll_1p!I172))),1,0))</f>
        <v/>
      </c>
      <c r="F206" s="1" t="str">
        <f>IF(Protokoll_1p!J172="","",IF(VALUE(LEFT(Protokoll_1p!J172,FIND(":",Protokoll_1p!J172)-1))&gt;VALUE(RIGHT(Protokoll_1p!J172,LEN(Protokoll_1p!J172)-FIND(":",Protokoll_1p!J172))),1,0))</f>
        <v/>
      </c>
      <c r="G206" s="1" t="str">
        <f t="shared" si="6"/>
        <v/>
      </c>
      <c r="I206" s="1" t="str">
        <f>IF(Protokoll_1p!F172="","",IF(VALUE(LEFT(Protokoll_1p!F172,FIND(":",Protokoll_1p!F172)-1))&gt;VALUE(RIGHT(Protokoll_1p!F172,LEN(Protokoll_1p!F172)-FIND(":",Protokoll_1p!F172))),0,1))</f>
        <v/>
      </c>
      <c r="J206" s="1" t="str">
        <f>IF(Protokoll_1p!G172="","",IF(VALUE(LEFT(Protokoll_1p!G172,FIND(":",Protokoll_1p!G172)-1))&gt;VALUE(RIGHT(Protokoll_1p!G172,LEN(Protokoll_1p!G172)-FIND(":",Protokoll_1p!G172))),0,1))</f>
        <v/>
      </c>
      <c r="K206" s="1" t="str">
        <f>IF(Protokoll_1p!H172="","",IF(VALUE(LEFT(Protokoll_1p!H172,FIND(":",Protokoll_1p!H172)-1))&gt;VALUE(RIGHT(Protokoll_1p!H172,LEN(Protokoll_1p!H172)-FIND(":",Protokoll_1p!H172))),0,1))</f>
        <v/>
      </c>
      <c r="L206" s="1" t="str">
        <f>IF(Protokoll_1p!I172="","",IF(VALUE(LEFT(Protokoll_1p!I172,FIND(":",Protokoll_1p!I172)-1))&gt;VALUE(RIGHT(Protokoll_1p!I172,LEN(Protokoll_1p!I172)-FIND(":",Protokoll_1p!I172))),0,1))</f>
        <v/>
      </c>
      <c r="M206" s="1" t="str">
        <f>IF(Protokoll_1p!J172="","",IF(VALUE(LEFT(Protokoll_1p!J172,FIND(":",Protokoll_1p!J172)-1))&gt;VALUE(RIGHT(Protokoll_1p!J172,LEN(Protokoll_1p!J172)-FIND(":",Protokoll_1p!J172))),0,1))</f>
        <v/>
      </c>
      <c r="N206" s="1" t="str">
        <f t="shared" si="7"/>
        <v/>
      </c>
    </row>
    <row r="207" spans="2:14">
      <c r="B207" s="1" t="str">
        <f>IF(Protokoll_1p!F173="","",IF(VALUE(LEFT(Protokoll_1p!F173,FIND(":",Protokoll_1p!F173)-1))&gt;VALUE(RIGHT(Protokoll_1p!F173,LEN(Protokoll_1p!F173)-FIND(":",Protokoll_1p!F173))),1,0))</f>
        <v/>
      </c>
      <c r="C207" s="1" t="str">
        <f>IF(Protokoll_1p!G173="","",IF(VALUE(LEFT(Protokoll_1p!G173,FIND(":",Protokoll_1p!G173)-1))&gt;VALUE(RIGHT(Protokoll_1p!G173,LEN(Protokoll_1p!G173)-FIND(":",Protokoll_1p!G173))),1,0))</f>
        <v/>
      </c>
      <c r="D207" s="1" t="str">
        <f>IF(Protokoll_1p!H173="","",IF(VALUE(LEFT(Protokoll_1p!H173,FIND(":",Protokoll_1p!H173)-1))&gt;VALUE(RIGHT(Protokoll_1p!H173,LEN(Protokoll_1p!H173)-FIND(":",Protokoll_1p!H173))),1,0))</f>
        <v/>
      </c>
      <c r="E207" s="1" t="str">
        <f>IF(Protokoll_1p!I173="","",IF(VALUE(LEFT(Protokoll_1p!I173,FIND(":",Protokoll_1p!I173)-1))&gt;VALUE(RIGHT(Protokoll_1p!I173,LEN(Protokoll_1p!I173)-FIND(":",Protokoll_1p!I173))),1,0))</f>
        <v/>
      </c>
      <c r="F207" s="1" t="str">
        <f>IF(Protokoll_1p!J173="","",IF(VALUE(LEFT(Protokoll_1p!J173,FIND(":",Protokoll_1p!J173)-1))&gt;VALUE(RIGHT(Protokoll_1p!J173,LEN(Protokoll_1p!J173)-FIND(":",Protokoll_1p!J173))),1,0))</f>
        <v/>
      </c>
      <c r="G207" s="1" t="str">
        <f t="shared" si="6"/>
        <v/>
      </c>
      <c r="I207" s="1" t="str">
        <f>IF(Protokoll_1p!F173="","",IF(VALUE(LEFT(Protokoll_1p!F173,FIND(":",Protokoll_1p!F173)-1))&gt;VALUE(RIGHT(Protokoll_1p!F173,LEN(Protokoll_1p!F173)-FIND(":",Protokoll_1p!F173))),0,1))</f>
        <v/>
      </c>
      <c r="J207" s="1" t="str">
        <f>IF(Protokoll_1p!G173="","",IF(VALUE(LEFT(Protokoll_1p!G173,FIND(":",Protokoll_1p!G173)-1))&gt;VALUE(RIGHT(Protokoll_1p!G173,LEN(Protokoll_1p!G173)-FIND(":",Protokoll_1p!G173))),0,1))</f>
        <v/>
      </c>
      <c r="K207" s="1" t="str">
        <f>IF(Protokoll_1p!H173="","",IF(VALUE(LEFT(Protokoll_1p!H173,FIND(":",Protokoll_1p!H173)-1))&gt;VALUE(RIGHT(Protokoll_1p!H173,LEN(Protokoll_1p!H173)-FIND(":",Protokoll_1p!H173))),0,1))</f>
        <v/>
      </c>
      <c r="L207" s="1" t="str">
        <f>IF(Protokoll_1p!I173="","",IF(VALUE(LEFT(Protokoll_1p!I173,FIND(":",Protokoll_1p!I173)-1))&gt;VALUE(RIGHT(Protokoll_1p!I173,LEN(Protokoll_1p!I173)-FIND(":",Protokoll_1p!I173))),0,1))</f>
        <v/>
      </c>
      <c r="M207" s="1" t="str">
        <f>IF(Protokoll_1p!J173="","",IF(VALUE(LEFT(Protokoll_1p!J173,FIND(":",Protokoll_1p!J173)-1))&gt;VALUE(RIGHT(Protokoll_1p!J173,LEN(Protokoll_1p!J173)-FIND(":",Protokoll_1p!J173))),0,1))</f>
        <v/>
      </c>
      <c r="N207" s="1" t="str">
        <f t="shared" si="7"/>
        <v/>
      </c>
    </row>
    <row r="208" spans="2:14">
      <c r="B208" s="1" t="str">
        <f>IF(Protokoll_1p!F174="","",IF(VALUE(LEFT(Protokoll_1p!F174,FIND(":",Protokoll_1p!F174)-1))&gt;VALUE(RIGHT(Protokoll_1p!F174,LEN(Protokoll_1p!F174)-FIND(":",Protokoll_1p!F174))),1,0))</f>
        <v/>
      </c>
      <c r="C208" s="1" t="str">
        <f>IF(Protokoll_1p!G174="","",IF(VALUE(LEFT(Protokoll_1p!G174,FIND(":",Protokoll_1p!G174)-1))&gt;VALUE(RIGHT(Protokoll_1p!G174,LEN(Protokoll_1p!G174)-FIND(":",Protokoll_1p!G174))),1,0))</f>
        <v/>
      </c>
      <c r="D208" s="1" t="str">
        <f>IF(Protokoll_1p!H174="","",IF(VALUE(LEFT(Protokoll_1p!H174,FIND(":",Protokoll_1p!H174)-1))&gt;VALUE(RIGHT(Protokoll_1p!H174,LEN(Protokoll_1p!H174)-FIND(":",Protokoll_1p!H174))),1,0))</f>
        <v/>
      </c>
      <c r="E208" s="1" t="str">
        <f>IF(Protokoll_1p!I174="","",IF(VALUE(LEFT(Protokoll_1p!I174,FIND(":",Protokoll_1p!I174)-1))&gt;VALUE(RIGHT(Protokoll_1p!I174,LEN(Protokoll_1p!I174)-FIND(":",Protokoll_1p!I174))),1,0))</f>
        <v/>
      </c>
      <c r="F208" s="1" t="str">
        <f>IF(Protokoll_1p!J174="","",IF(VALUE(LEFT(Protokoll_1p!J174,FIND(":",Protokoll_1p!J174)-1))&gt;VALUE(RIGHT(Protokoll_1p!J174,LEN(Protokoll_1p!J174)-FIND(":",Protokoll_1p!J174))),1,0))</f>
        <v/>
      </c>
      <c r="G208" s="1" t="str">
        <f t="shared" si="6"/>
        <v/>
      </c>
      <c r="I208" s="1" t="str">
        <f>IF(Protokoll_1p!F174="","",IF(VALUE(LEFT(Protokoll_1p!F174,FIND(":",Protokoll_1p!F174)-1))&gt;VALUE(RIGHT(Protokoll_1p!F174,LEN(Protokoll_1p!F174)-FIND(":",Protokoll_1p!F174))),0,1))</f>
        <v/>
      </c>
      <c r="J208" s="1" t="str">
        <f>IF(Protokoll_1p!G174="","",IF(VALUE(LEFT(Protokoll_1p!G174,FIND(":",Protokoll_1p!G174)-1))&gt;VALUE(RIGHT(Protokoll_1p!G174,LEN(Protokoll_1p!G174)-FIND(":",Protokoll_1p!G174))),0,1))</f>
        <v/>
      </c>
      <c r="K208" s="1" t="str">
        <f>IF(Protokoll_1p!H174="","",IF(VALUE(LEFT(Protokoll_1p!H174,FIND(":",Protokoll_1p!H174)-1))&gt;VALUE(RIGHT(Protokoll_1p!H174,LEN(Protokoll_1p!H174)-FIND(":",Protokoll_1p!H174))),0,1))</f>
        <v/>
      </c>
      <c r="L208" s="1" t="str">
        <f>IF(Protokoll_1p!I174="","",IF(VALUE(LEFT(Protokoll_1p!I174,FIND(":",Protokoll_1p!I174)-1))&gt;VALUE(RIGHT(Protokoll_1p!I174,LEN(Protokoll_1p!I174)-FIND(":",Protokoll_1p!I174))),0,1))</f>
        <v/>
      </c>
      <c r="M208" s="1" t="str">
        <f>IF(Protokoll_1p!J174="","",IF(VALUE(LEFT(Protokoll_1p!J174,FIND(":",Protokoll_1p!J174)-1))&gt;VALUE(RIGHT(Protokoll_1p!J174,LEN(Protokoll_1p!J174)-FIND(":",Protokoll_1p!J174))),0,1))</f>
        <v/>
      </c>
      <c r="N208" s="1" t="str">
        <f t="shared" si="7"/>
        <v/>
      </c>
    </row>
    <row r="209" spans="2:14">
      <c r="B209" s="1" t="str">
        <f>IF(Protokoll_1p!F175="","",IF(VALUE(LEFT(Protokoll_1p!F175,FIND(":",Protokoll_1p!F175)-1))&gt;VALUE(RIGHT(Protokoll_1p!F175,LEN(Protokoll_1p!F175)-FIND(":",Protokoll_1p!F175))),1,0))</f>
        <v/>
      </c>
      <c r="C209" s="1" t="str">
        <f>IF(Protokoll_1p!G175="","",IF(VALUE(LEFT(Protokoll_1p!G175,FIND(":",Protokoll_1p!G175)-1))&gt;VALUE(RIGHT(Protokoll_1p!G175,LEN(Protokoll_1p!G175)-FIND(":",Protokoll_1p!G175))),1,0))</f>
        <v/>
      </c>
      <c r="D209" s="1" t="str">
        <f>IF(Protokoll_1p!H175="","",IF(VALUE(LEFT(Protokoll_1p!H175,FIND(":",Protokoll_1p!H175)-1))&gt;VALUE(RIGHT(Protokoll_1p!H175,LEN(Protokoll_1p!H175)-FIND(":",Protokoll_1p!H175))),1,0))</f>
        <v/>
      </c>
      <c r="E209" s="1" t="str">
        <f>IF(Protokoll_1p!I175="","",IF(VALUE(LEFT(Protokoll_1p!I175,FIND(":",Protokoll_1p!I175)-1))&gt;VALUE(RIGHT(Protokoll_1p!I175,LEN(Protokoll_1p!I175)-FIND(":",Protokoll_1p!I175))),1,0))</f>
        <v/>
      </c>
      <c r="F209" s="1" t="str">
        <f>IF(Protokoll_1p!J175="","",IF(VALUE(LEFT(Protokoll_1p!J175,FIND(":",Protokoll_1p!J175)-1))&gt;VALUE(RIGHT(Protokoll_1p!J175,LEN(Protokoll_1p!J175)-FIND(":",Protokoll_1p!J175))),1,0))</f>
        <v/>
      </c>
      <c r="G209" s="1" t="str">
        <f t="shared" si="6"/>
        <v/>
      </c>
      <c r="I209" s="1" t="str">
        <f>IF(Protokoll_1p!F175="","",IF(VALUE(LEFT(Protokoll_1p!F175,FIND(":",Protokoll_1p!F175)-1))&gt;VALUE(RIGHT(Protokoll_1p!F175,LEN(Protokoll_1p!F175)-FIND(":",Protokoll_1p!F175))),0,1))</f>
        <v/>
      </c>
      <c r="J209" s="1" t="str">
        <f>IF(Protokoll_1p!G175="","",IF(VALUE(LEFT(Protokoll_1p!G175,FIND(":",Protokoll_1p!G175)-1))&gt;VALUE(RIGHT(Protokoll_1p!G175,LEN(Protokoll_1p!G175)-FIND(":",Protokoll_1p!G175))),0,1))</f>
        <v/>
      </c>
      <c r="K209" s="1" t="str">
        <f>IF(Protokoll_1p!H175="","",IF(VALUE(LEFT(Protokoll_1p!H175,FIND(":",Protokoll_1p!H175)-1))&gt;VALUE(RIGHT(Protokoll_1p!H175,LEN(Protokoll_1p!H175)-FIND(":",Protokoll_1p!H175))),0,1))</f>
        <v/>
      </c>
      <c r="L209" s="1" t="str">
        <f>IF(Protokoll_1p!I175="","",IF(VALUE(LEFT(Protokoll_1p!I175,FIND(":",Protokoll_1p!I175)-1))&gt;VALUE(RIGHT(Protokoll_1p!I175,LEN(Protokoll_1p!I175)-FIND(":",Protokoll_1p!I175))),0,1))</f>
        <v/>
      </c>
      <c r="M209" s="1" t="str">
        <f>IF(Protokoll_1p!J175="","",IF(VALUE(LEFT(Protokoll_1p!J175,FIND(":",Protokoll_1p!J175)-1))&gt;VALUE(RIGHT(Protokoll_1p!J175,LEN(Protokoll_1p!J175)-FIND(":",Protokoll_1p!J175))),0,1))</f>
        <v/>
      </c>
      <c r="N209" s="1" t="str">
        <f t="shared" si="7"/>
        <v/>
      </c>
    </row>
    <row r="210" spans="2:14">
      <c r="B210" s="1" t="str">
        <f>IF(Protokoll_1p!F176="","",IF(VALUE(LEFT(Protokoll_1p!F176,FIND(":",Protokoll_1p!F176)-1))&gt;VALUE(RIGHT(Protokoll_1p!F176,LEN(Protokoll_1p!F176)-FIND(":",Protokoll_1p!F176))),1,0))</f>
        <v/>
      </c>
      <c r="C210" s="1" t="str">
        <f>IF(Protokoll_1p!G176="","",IF(VALUE(LEFT(Protokoll_1p!G176,FIND(":",Protokoll_1p!G176)-1))&gt;VALUE(RIGHT(Protokoll_1p!G176,LEN(Protokoll_1p!G176)-FIND(":",Protokoll_1p!G176))),1,0))</f>
        <v/>
      </c>
      <c r="D210" s="1" t="str">
        <f>IF(Protokoll_1p!H176="","",IF(VALUE(LEFT(Protokoll_1p!H176,FIND(":",Protokoll_1p!H176)-1))&gt;VALUE(RIGHT(Protokoll_1p!H176,LEN(Protokoll_1p!H176)-FIND(":",Protokoll_1p!H176))),1,0))</f>
        <v/>
      </c>
      <c r="E210" s="1" t="str">
        <f>IF(Protokoll_1p!I176="","",IF(VALUE(LEFT(Protokoll_1p!I176,FIND(":",Protokoll_1p!I176)-1))&gt;VALUE(RIGHT(Protokoll_1p!I176,LEN(Protokoll_1p!I176)-FIND(":",Protokoll_1p!I176))),1,0))</f>
        <v/>
      </c>
      <c r="F210" s="1" t="str">
        <f>IF(Protokoll_1p!J176="","",IF(VALUE(LEFT(Protokoll_1p!J176,FIND(":",Protokoll_1p!J176)-1))&gt;VALUE(RIGHT(Protokoll_1p!J176,LEN(Protokoll_1p!J176)-FIND(":",Protokoll_1p!J176))),1,0))</f>
        <v/>
      </c>
      <c r="G210" s="1" t="str">
        <f t="shared" si="6"/>
        <v/>
      </c>
      <c r="I210" s="1" t="str">
        <f>IF(Protokoll_1p!F176="","",IF(VALUE(LEFT(Protokoll_1p!F176,FIND(":",Protokoll_1p!F176)-1))&gt;VALUE(RIGHT(Protokoll_1p!F176,LEN(Protokoll_1p!F176)-FIND(":",Protokoll_1p!F176))),0,1))</f>
        <v/>
      </c>
      <c r="J210" s="1" t="str">
        <f>IF(Protokoll_1p!G176="","",IF(VALUE(LEFT(Protokoll_1p!G176,FIND(":",Protokoll_1p!G176)-1))&gt;VALUE(RIGHT(Protokoll_1p!G176,LEN(Protokoll_1p!G176)-FIND(":",Protokoll_1p!G176))),0,1))</f>
        <v/>
      </c>
      <c r="K210" s="1" t="str">
        <f>IF(Protokoll_1p!H176="","",IF(VALUE(LEFT(Protokoll_1p!H176,FIND(":",Protokoll_1p!H176)-1))&gt;VALUE(RIGHT(Protokoll_1p!H176,LEN(Protokoll_1p!H176)-FIND(":",Protokoll_1p!H176))),0,1))</f>
        <v/>
      </c>
      <c r="L210" s="1" t="str">
        <f>IF(Protokoll_1p!I176="","",IF(VALUE(LEFT(Protokoll_1p!I176,FIND(":",Protokoll_1p!I176)-1))&gt;VALUE(RIGHT(Protokoll_1p!I176,LEN(Protokoll_1p!I176)-FIND(":",Protokoll_1p!I176))),0,1))</f>
        <v/>
      </c>
      <c r="M210" s="1" t="str">
        <f>IF(Protokoll_1p!J176="","",IF(VALUE(LEFT(Protokoll_1p!J176,FIND(":",Protokoll_1p!J176)-1))&gt;VALUE(RIGHT(Protokoll_1p!J176,LEN(Protokoll_1p!J176)-FIND(":",Protokoll_1p!J176))),0,1))</f>
        <v/>
      </c>
      <c r="N210" s="1" t="str">
        <f t="shared" si="7"/>
        <v/>
      </c>
    </row>
    <row r="211" spans="2:14">
      <c r="B211" s="1" t="str">
        <f>IF(Protokoll_1p!F177="","",IF(VALUE(LEFT(Protokoll_1p!F177,FIND(":",Protokoll_1p!F177)-1))&gt;VALUE(RIGHT(Protokoll_1p!F177,LEN(Protokoll_1p!F177)-FIND(":",Protokoll_1p!F177))),1,0))</f>
        <v/>
      </c>
      <c r="C211" s="1" t="str">
        <f>IF(Protokoll_1p!G177="","",IF(VALUE(LEFT(Protokoll_1p!G177,FIND(":",Protokoll_1p!G177)-1))&gt;VALUE(RIGHT(Protokoll_1p!G177,LEN(Protokoll_1p!G177)-FIND(":",Protokoll_1p!G177))),1,0))</f>
        <v/>
      </c>
      <c r="D211" s="1" t="str">
        <f>IF(Protokoll_1p!H177="","",IF(VALUE(LEFT(Protokoll_1p!H177,FIND(":",Protokoll_1p!H177)-1))&gt;VALUE(RIGHT(Protokoll_1p!H177,LEN(Protokoll_1p!H177)-FIND(":",Protokoll_1p!H177))),1,0))</f>
        <v/>
      </c>
      <c r="E211" s="1" t="str">
        <f>IF(Protokoll_1p!I177="","",IF(VALUE(LEFT(Protokoll_1p!I177,FIND(":",Protokoll_1p!I177)-1))&gt;VALUE(RIGHT(Protokoll_1p!I177,LEN(Protokoll_1p!I177)-FIND(":",Protokoll_1p!I177))),1,0))</f>
        <v/>
      </c>
      <c r="F211" s="1" t="str">
        <f>IF(Protokoll_1p!J177="","",IF(VALUE(LEFT(Protokoll_1p!J177,FIND(":",Protokoll_1p!J177)-1))&gt;VALUE(RIGHT(Protokoll_1p!J177,LEN(Protokoll_1p!J177)-FIND(":",Protokoll_1p!J177))),1,0))</f>
        <v/>
      </c>
      <c r="G211" s="1" t="str">
        <f t="shared" si="6"/>
        <v/>
      </c>
      <c r="I211" s="1" t="str">
        <f>IF(Protokoll_1p!F177="","",IF(VALUE(LEFT(Protokoll_1p!F177,FIND(":",Protokoll_1p!F177)-1))&gt;VALUE(RIGHT(Protokoll_1p!F177,LEN(Protokoll_1p!F177)-FIND(":",Protokoll_1p!F177))),0,1))</f>
        <v/>
      </c>
      <c r="J211" s="1" t="str">
        <f>IF(Protokoll_1p!G177="","",IF(VALUE(LEFT(Protokoll_1p!G177,FIND(":",Protokoll_1p!G177)-1))&gt;VALUE(RIGHT(Protokoll_1p!G177,LEN(Protokoll_1p!G177)-FIND(":",Protokoll_1p!G177))),0,1))</f>
        <v/>
      </c>
      <c r="K211" s="1" t="str">
        <f>IF(Protokoll_1p!H177="","",IF(VALUE(LEFT(Protokoll_1p!H177,FIND(":",Protokoll_1p!H177)-1))&gt;VALUE(RIGHT(Protokoll_1p!H177,LEN(Protokoll_1p!H177)-FIND(":",Protokoll_1p!H177))),0,1))</f>
        <v/>
      </c>
      <c r="L211" s="1" t="str">
        <f>IF(Protokoll_1p!I177="","",IF(VALUE(LEFT(Protokoll_1p!I177,FIND(":",Protokoll_1p!I177)-1))&gt;VALUE(RIGHT(Protokoll_1p!I177,LEN(Protokoll_1p!I177)-FIND(":",Protokoll_1p!I177))),0,1))</f>
        <v/>
      </c>
      <c r="M211" s="1" t="str">
        <f>IF(Protokoll_1p!J177="","",IF(VALUE(LEFT(Protokoll_1p!J177,FIND(":",Protokoll_1p!J177)-1))&gt;VALUE(RIGHT(Protokoll_1p!J177,LEN(Protokoll_1p!J177)-FIND(":",Protokoll_1p!J177))),0,1))</f>
        <v/>
      </c>
      <c r="N211" s="1" t="str">
        <f t="shared" si="7"/>
        <v/>
      </c>
    </row>
    <row r="212" spans="2:14">
      <c r="B212" s="1" t="str">
        <f>IF(Protokoll_1p!F178="","",IF(VALUE(LEFT(Protokoll_1p!F178,FIND(":",Protokoll_1p!F178)-1))&gt;VALUE(RIGHT(Protokoll_1p!F178,LEN(Protokoll_1p!F178)-FIND(":",Protokoll_1p!F178))),1,0))</f>
        <v/>
      </c>
      <c r="C212" s="1" t="str">
        <f>IF(Protokoll_1p!G178="","",IF(VALUE(LEFT(Protokoll_1p!G178,FIND(":",Protokoll_1p!G178)-1))&gt;VALUE(RIGHT(Protokoll_1p!G178,LEN(Protokoll_1p!G178)-FIND(":",Protokoll_1p!G178))),1,0))</f>
        <v/>
      </c>
      <c r="D212" s="1" t="str">
        <f>IF(Protokoll_1p!H178="","",IF(VALUE(LEFT(Protokoll_1p!H178,FIND(":",Protokoll_1p!H178)-1))&gt;VALUE(RIGHT(Protokoll_1p!H178,LEN(Protokoll_1p!H178)-FIND(":",Protokoll_1p!H178))),1,0))</f>
        <v/>
      </c>
      <c r="E212" s="1" t="str">
        <f>IF(Protokoll_1p!I178="","",IF(VALUE(LEFT(Protokoll_1p!I178,FIND(":",Protokoll_1p!I178)-1))&gt;VALUE(RIGHT(Protokoll_1p!I178,LEN(Protokoll_1p!I178)-FIND(":",Protokoll_1p!I178))),1,0))</f>
        <v/>
      </c>
      <c r="F212" s="1" t="str">
        <f>IF(Protokoll_1p!J178="","",IF(VALUE(LEFT(Protokoll_1p!J178,FIND(":",Protokoll_1p!J178)-1))&gt;VALUE(RIGHT(Protokoll_1p!J178,LEN(Protokoll_1p!J178)-FIND(":",Protokoll_1p!J178))),1,0))</f>
        <v/>
      </c>
      <c r="G212" s="1" t="str">
        <f t="shared" si="6"/>
        <v/>
      </c>
      <c r="I212" s="1" t="str">
        <f>IF(Protokoll_1p!F178="","",IF(VALUE(LEFT(Protokoll_1p!F178,FIND(":",Protokoll_1p!F178)-1))&gt;VALUE(RIGHT(Protokoll_1p!F178,LEN(Protokoll_1p!F178)-FIND(":",Protokoll_1p!F178))),0,1))</f>
        <v/>
      </c>
      <c r="J212" s="1" t="str">
        <f>IF(Protokoll_1p!G178="","",IF(VALUE(LEFT(Protokoll_1p!G178,FIND(":",Protokoll_1p!G178)-1))&gt;VALUE(RIGHT(Protokoll_1p!G178,LEN(Protokoll_1p!G178)-FIND(":",Protokoll_1p!G178))),0,1))</f>
        <v/>
      </c>
      <c r="K212" s="1" t="str">
        <f>IF(Protokoll_1p!H178="","",IF(VALUE(LEFT(Protokoll_1p!H178,FIND(":",Protokoll_1p!H178)-1))&gt;VALUE(RIGHT(Protokoll_1p!H178,LEN(Protokoll_1p!H178)-FIND(":",Protokoll_1p!H178))),0,1))</f>
        <v/>
      </c>
      <c r="L212" s="1" t="str">
        <f>IF(Protokoll_1p!I178="","",IF(VALUE(LEFT(Protokoll_1p!I178,FIND(":",Protokoll_1p!I178)-1))&gt;VALUE(RIGHT(Protokoll_1p!I178,LEN(Protokoll_1p!I178)-FIND(":",Protokoll_1p!I178))),0,1))</f>
        <v/>
      </c>
      <c r="M212" s="1" t="str">
        <f>IF(Protokoll_1p!J178="","",IF(VALUE(LEFT(Protokoll_1p!J178,FIND(":",Protokoll_1p!J178)-1))&gt;VALUE(RIGHT(Protokoll_1p!J178,LEN(Protokoll_1p!J178)-FIND(":",Protokoll_1p!J178))),0,1))</f>
        <v/>
      </c>
      <c r="N212" s="1" t="str">
        <f t="shared" si="7"/>
        <v/>
      </c>
    </row>
    <row r="213" spans="2:14">
      <c r="B213" s="1" t="str">
        <f>IF(Protokoll_1p!F179="","",IF(VALUE(LEFT(Protokoll_1p!F179,FIND(":",Protokoll_1p!F179)-1))&gt;VALUE(RIGHT(Protokoll_1p!F179,LEN(Protokoll_1p!F179)-FIND(":",Protokoll_1p!F179))),1,0))</f>
        <v/>
      </c>
      <c r="C213" s="1" t="str">
        <f>IF(Protokoll_1p!G179="","",IF(VALUE(LEFT(Protokoll_1p!G179,FIND(":",Protokoll_1p!G179)-1))&gt;VALUE(RIGHT(Protokoll_1p!G179,LEN(Protokoll_1p!G179)-FIND(":",Protokoll_1p!G179))),1,0))</f>
        <v/>
      </c>
      <c r="D213" s="1" t="str">
        <f>IF(Protokoll_1p!H179="","",IF(VALUE(LEFT(Protokoll_1p!H179,FIND(":",Protokoll_1p!H179)-1))&gt;VALUE(RIGHT(Protokoll_1p!H179,LEN(Protokoll_1p!H179)-FIND(":",Protokoll_1p!H179))),1,0))</f>
        <v/>
      </c>
      <c r="E213" s="1" t="str">
        <f>IF(Protokoll_1p!I179="","",IF(VALUE(LEFT(Protokoll_1p!I179,FIND(":",Protokoll_1p!I179)-1))&gt;VALUE(RIGHT(Protokoll_1p!I179,LEN(Protokoll_1p!I179)-FIND(":",Protokoll_1p!I179))),1,0))</f>
        <v/>
      </c>
      <c r="F213" s="1" t="str">
        <f>IF(Protokoll_1p!J179="","",IF(VALUE(LEFT(Protokoll_1p!J179,FIND(":",Protokoll_1p!J179)-1))&gt;VALUE(RIGHT(Protokoll_1p!J179,LEN(Protokoll_1p!J179)-FIND(":",Protokoll_1p!J179))),1,0))</f>
        <v/>
      </c>
      <c r="G213" s="1" t="str">
        <f t="shared" si="6"/>
        <v/>
      </c>
      <c r="I213" s="1" t="str">
        <f>IF(Protokoll_1p!F179="","",IF(VALUE(LEFT(Protokoll_1p!F179,FIND(":",Protokoll_1p!F179)-1))&gt;VALUE(RIGHT(Protokoll_1p!F179,LEN(Protokoll_1p!F179)-FIND(":",Protokoll_1p!F179))),0,1))</f>
        <v/>
      </c>
      <c r="J213" s="1" t="str">
        <f>IF(Protokoll_1p!G179="","",IF(VALUE(LEFT(Protokoll_1p!G179,FIND(":",Protokoll_1p!G179)-1))&gt;VALUE(RIGHT(Protokoll_1p!G179,LEN(Protokoll_1p!G179)-FIND(":",Protokoll_1p!G179))),0,1))</f>
        <v/>
      </c>
      <c r="K213" s="1" t="str">
        <f>IF(Protokoll_1p!H179="","",IF(VALUE(LEFT(Protokoll_1p!H179,FIND(":",Protokoll_1p!H179)-1))&gt;VALUE(RIGHT(Protokoll_1p!H179,LEN(Protokoll_1p!H179)-FIND(":",Protokoll_1p!H179))),0,1))</f>
        <v/>
      </c>
      <c r="L213" s="1" t="str">
        <f>IF(Protokoll_1p!I179="","",IF(VALUE(LEFT(Protokoll_1p!I179,FIND(":",Protokoll_1p!I179)-1))&gt;VALUE(RIGHT(Protokoll_1p!I179,LEN(Protokoll_1p!I179)-FIND(":",Protokoll_1p!I179))),0,1))</f>
        <v/>
      </c>
      <c r="M213" s="1" t="str">
        <f>IF(Protokoll_1p!J179="","",IF(VALUE(LEFT(Protokoll_1p!J179,FIND(":",Protokoll_1p!J179)-1))&gt;VALUE(RIGHT(Protokoll_1p!J179,LEN(Protokoll_1p!J179)-FIND(":",Protokoll_1p!J179))),0,1))</f>
        <v/>
      </c>
      <c r="N213" s="1" t="str">
        <f t="shared" si="7"/>
        <v/>
      </c>
    </row>
    <row r="214" spans="2:14">
      <c r="B214" s="1" t="str">
        <f>IF(Protokoll_1p!F180="","",IF(VALUE(LEFT(Protokoll_1p!F180,FIND(":",Protokoll_1p!F180)-1))&gt;VALUE(RIGHT(Protokoll_1p!F180,LEN(Protokoll_1p!F180)-FIND(":",Protokoll_1p!F180))),1,0))</f>
        <v/>
      </c>
      <c r="C214" s="1" t="str">
        <f>IF(Protokoll_1p!G180="","",IF(VALUE(LEFT(Protokoll_1p!G180,FIND(":",Protokoll_1p!G180)-1))&gt;VALUE(RIGHT(Protokoll_1p!G180,LEN(Protokoll_1p!G180)-FIND(":",Protokoll_1p!G180))),1,0))</f>
        <v/>
      </c>
      <c r="D214" s="1" t="str">
        <f>IF(Protokoll_1p!H180="","",IF(VALUE(LEFT(Protokoll_1p!H180,FIND(":",Protokoll_1p!H180)-1))&gt;VALUE(RIGHT(Protokoll_1p!H180,LEN(Protokoll_1p!H180)-FIND(":",Protokoll_1p!H180))),1,0))</f>
        <v/>
      </c>
      <c r="E214" s="1" t="str">
        <f>IF(Protokoll_1p!I180="","",IF(VALUE(LEFT(Protokoll_1p!I180,FIND(":",Protokoll_1p!I180)-1))&gt;VALUE(RIGHT(Protokoll_1p!I180,LEN(Protokoll_1p!I180)-FIND(":",Protokoll_1p!I180))),1,0))</f>
        <v/>
      </c>
      <c r="F214" s="1" t="str">
        <f>IF(Protokoll_1p!J180="","",IF(VALUE(LEFT(Protokoll_1p!J180,FIND(":",Protokoll_1p!J180)-1))&gt;VALUE(RIGHT(Protokoll_1p!J180,LEN(Protokoll_1p!J180)-FIND(":",Protokoll_1p!J180))),1,0))</f>
        <v/>
      </c>
      <c r="G214" s="1" t="str">
        <f t="shared" si="6"/>
        <v/>
      </c>
      <c r="I214" s="1" t="str">
        <f>IF(Protokoll_1p!F180="","",IF(VALUE(LEFT(Protokoll_1p!F180,FIND(":",Protokoll_1p!F180)-1))&gt;VALUE(RIGHT(Protokoll_1p!F180,LEN(Protokoll_1p!F180)-FIND(":",Protokoll_1p!F180))),0,1))</f>
        <v/>
      </c>
      <c r="J214" s="1" t="str">
        <f>IF(Protokoll_1p!G180="","",IF(VALUE(LEFT(Protokoll_1p!G180,FIND(":",Protokoll_1p!G180)-1))&gt;VALUE(RIGHT(Protokoll_1p!G180,LEN(Protokoll_1p!G180)-FIND(":",Protokoll_1p!G180))),0,1))</f>
        <v/>
      </c>
      <c r="K214" s="1" t="str">
        <f>IF(Protokoll_1p!H180="","",IF(VALUE(LEFT(Protokoll_1p!H180,FIND(":",Protokoll_1p!H180)-1))&gt;VALUE(RIGHT(Protokoll_1p!H180,LEN(Protokoll_1p!H180)-FIND(":",Protokoll_1p!H180))),0,1))</f>
        <v/>
      </c>
      <c r="L214" s="1" t="str">
        <f>IF(Protokoll_1p!I180="","",IF(VALUE(LEFT(Protokoll_1p!I180,FIND(":",Protokoll_1p!I180)-1))&gt;VALUE(RIGHT(Protokoll_1p!I180,LEN(Protokoll_1p!I180)-FIND(":",Protokoll_1p!I180))),0,1))</f>
        <v/>
      </c>
      <c r="M214" s="1" t="str">
        <f>IF(Protokoll_1p!J180="","",IF(VALUE(LEFT(Protokoll_1p!J180,FIND(":",Protokoll_1p!J180)-1))&gt;VALUE(RIGHT(Protokoll_1p!J180,LEN(Protokoll_1p!J180)-FIND(":",Protokoll_1p!J180))),0,1))</f>
        <v/>
      </c>
      <c r="N214" s="1" t="str">
        <f t="shared" si="7"/>
        <v/>
      </c>
    </row>
    <row r="215" spans="2:14">
      <c r="B215" s="1" t="str">
        <f>IF(Protokoll_1p!F181="","",IF(VALUE(LEFT(Protokoll_1p!F181,FIND(":",Protokoll_1p!F181)-1))&gt;VALUE(RIGHT(Protokoll_1p!F181,LEN(Protokoll_1p!F181)-FIND(":",Protokoll_1p!F181))),1,0))</f>
        <v/>
      </c>
      <c r="C215" s="1" t="str">
        <f>IF(Protokoll_1p!G181="","",IF(VALUE(LEFT(Protokoll_1p!G181,FIND(":",Protokoll_1p!G181)-1))&gt;VALUE(RIGHT(Protokoll_1p!G181,LEN(Protokoll_1p!G181)-FIND(":",Protokoll_1p!G181))),1,0))</f>
        <v/>
      </c>
      <c r="D215" s="1" t="str">
        <f>IF(Protokoll_1p!H181="","",IF(VALUE(LEFT(Protokoll_1p!H181,FIND(":",Protokoll_1p!H181)-1))&gt;VALUE(RIGHT(Protokoll_1p!H181,LEN(Protokoll_1p!H181)-FIND(":",Protokoll_1p!H181))),1,0))</f>
        <v/>
      </c>
      <c r="E215" s="1" t="str">
        <f>IF(Protokoll_1p!I181="","",IF(VALUE(LEFT(Protokoll_1p!I181,FIND(":",Protokoll_1p!I181)-1))&gt;VALUE(RIGHT(Protokoll_1p!I181,LEN(Protokoll_1p!I181)-FIND(":",Protokoll_1p!I181))),1,0))</f>
        <v/>
      </c>
      <c r="F215" s="1" t="str">
        <f>IF(Protokoll_1p!J181="","",IF(VALUE(LEFT(Protokoll_1p!J181,FIND(":",Protokoll_1p!J181)-1))&gt;VALUE(RIGHT(Protokoll_1p!J181,LEN(Protokoll_1p!J181)-FIND(":",Protokoll_1p!J181))),1,0))</f>
        <v/>
      </c>
      <c r="G215" s="1" t="str">
        <f t="shared" si="6"/>
        <v/>
      </c>
      <c r="I215" s="1" t="str">
        <f>IF(Protokoll_1p!F181="","",IF(VALUE(LEFT(Protokoll_1p!F181,FIND(":",Protokoll_1p!F181)-1))&gt;VALUE(RIGHT(Protokoll_1p!F181,LEN(Protokoll_1p!F181)-FIND(":",Protokoll_1p!F181))),0,1))</f>
        <v/>
      </c>
      <c r="J215" s="1" t="str">
        <f>IF(Protokoll_1p!G181="","",IF(VALUE(LEFT(Protokoll_1p!G181,FIND(":",Protokoll_1p!G181)-1))&gt;VALUE(RIGHT(Protokoll_1p!G181,LEN(Protokoll_1p!G181)-FIND(":",Protokoll_1p!G181))),0,1))</f>
        <v/>
      </c>
      <c r="K215" s="1" t="str">
        <f>IF(Protokoll_1p!H181="","",IF(VALUE(LEFT(Protokoll_1p!H181,FIND(":",Protokoll_1p!H181)-1))&gt;VALUE(RIGHT(Protokoll_1p!H181,LEN(Protokoll_1p!H181)-FIND(":",Protokoll_1p!H181))),0,1))</f>
        <v/>
      </c>
      <c r="L215" s="1" t="str">
        <f>IF(Protokoll_1p!I181="","",IF(VALUE(LEFT(Protokoll_1p!I181,FIND(":",Protokoll_1p!I181)-1))&gt;VALUE(RIGHT(Protokoll_1p!I181,LEN(Protokoll_1p!I181)-FIND(":",Protokoll_1p!I181))),0,1))</f>
        <v/>
      </c>
      <c r="M215" s="1" t="str">
        <f>IF(Protokoll_1p!J181="","",IF(VALUE(LEFT(Protokoll_1p!J181,FIND(":",Protokoll_1p!J181)-1))&gt;VALUE(RIGHT(Protokoll_1p!J181,LEN(Protokoll_1p!J181)-FIND(":",Protokoll_1p!J181))),0,1))</f>
        <v/>
      </c>
      <c r="N215" s="1" t="str">
        <f t="shared" si="7"/>
        <v/>
      </c>
    </row>
    <row r="216" spans="2:14">
      <c r="B216" s="1" t="str">
        <f>IF(Protokoll_1p!F182="","",IF(VALUE(LEFT(Protokoll_1p!F182,FIND(":",Protokoll_1p!F182)-1))&gt;VALUE(RIGHT(Protokoll_1p!F182,LEN(Protokoll_1p!F182)-FIND(":",Protokoll_1p!F182))),1,0))</f>
        <v/>
      </c>
      <c r="C216" s="1" t="str">
        <f>IF(Protokoll_1p!G182="","",IF(VALUE(LEFT(Protokoll_1p!G182,FIND(":",Protokoll_1p!G182)-1))&gt;VALUE(RIGHT(Protokoll_1p!G182,LEN(Protokoll_1p!G182)-FIND(":",Protokoll_1p!G182))),1,0))</f>
        <v/>
      </c>
      <c r="D216" s="1" t="str">
        <f>IF(Protokoll_1p!H182="","",IF(VALUE(LEFT(Protokoll_1p!H182,FIND(":",Protokoll_1p!H182)-1))&gt;VALUE(RIGHT(Protokoll_1p!H182,LEN(Protokoll_1p!H182)-FIND(":",Protokoll_1p!H182))),1,0))</f>
        <v/>
      </c>
      <c r="E216" s="1" t="str">
        <f>IF(Protokoll_1p!I182="","",IF(VALUE(LEFT(Protokoll_1p!I182,FIND(":",Protokoll_1p!I182)-1))&gt;VALUE(RIGHT(Protokoll_1p!I182,LEN(Protokoll_1p!I182)-FIND(":",Protokoll_1p!I182))),1,0))</f>
        <v/>
      </c>
      <c r="F216" s="1" t="str">
        <f>IF(Protokoll_1p!J182="","",IF(VALUE(LEFT(Protokoll_1p!J182,FIND(":",Protokoll_1p!J182)-1))&gt;VALUE(RIGHT(Protokoll_1p!J182,LEN(Protokoll_1p!J182)-FIND(":",Protokoll_1p!J182))),1,0))</f>
        <v/>
      </c>
      <c r="G216" s="1" t="str">
        <f t="shared" si="6"/>
        <v/>
      </c>
      <c r="I216" s="1" t="str">
        <f>IF(Protokoll_1p!F182="","",IF(VALUE(LEFT(Protokoll_1p!F182,FIND(":",Protokoll_1p!F182)-1))&gt;VALUE(RIGHT(Protokoll_1p!F182,LEN(Protokoll_1p!F182)-FIND(":",Protokoll_1p!F182))),0,1))</f>
        <v/>
      </c>
      <c r="J216" s="1" t="str">
        <f>IF(Protokoll_1p!G182="","",IF(VALUE(LEFT(Protokoll_1p!G182,FIND(":",Protokoll_1p!G182)-1))&gt;VALUE(RIGHT(Protokoll_1p!G182,LEN(Protokoll_1p!G182)-FIND(":",Protokoll_1p!G182))),0,1))</f>
        <v/>
      </c>
      <c r="K216" s="1" t="str">
        <f>IF(Protokoll_1p!H182="","",IF(VALUE(LEFT(Protokoll_1p!H182,FIND(":",Protokoll_1p!H182)-1))&gt;VALUE(RIGHT(Protokoll_1p!H182,LEN(Protokoll_1p!H182)-FIND(":",Protokoll_1p!H182))),0,1))</f>
        <v/>
      </c>
      <c r="L216" s="1" t="str">
        <f>IF(Protokoll_1p!I182="","",IF(VALUE(LEFT(Protokoll_1p!I182,FIND(":",Protokoll_1p!I182)-1))&gt;VALUE(RIGHT(Protokoll_1p!I182,LEN(Protokoll_1p!I182)-FIND(":",Protokoll_1p!I182))),0,1))</f>
        <v/>
      </c>
      <c r="M216" s="1" t="str">
        <f>IF(Protokoll_1p!J182="","",IF(VALUE(LEFT(Protokoll_1p!J182,FIND(":",Protokoll_1p!J182)-1))&gt;VALUE(RIGHT(Protokoll_1p!J182,LEN(Protokoll_1p!J182)-FIND(":",Protokoll_1p!J182))),0,1))</f>
        <v/>
      </c>
      <c r="N216" s="1" t="str">
        <f t="shared" si="7"/>
        <v/>
      </c>
    </row>
    <row r="217" spans="2:14">
      <c r="B217" s="1" t="str">
        <f>IF(Protokoll_1p!F183="","",IF(VALUE(LEFT(Protokoll_1p!F183,FIND(":",Protokoll_1p!F183)-1))&gt;VALUE(RIGHT(Protokoll_1p!F183,LEN(Protokoll_1p!F183)-FIND(":",Protokoll_1p!F183))),1,0))</f>
        <v/>
      </c>
      <c r="C217" s="1" t="str">
        <f>IF(Protokoll_1p!G183="","",IF(VALUE(LEFT(Protokoll_1p!G183,FIND(":",Protokoll_1p!G183)-1))&gt;VALUE(RIGHT(Protokoll_1p!G183,LEN(Protokoll_1p!G183)-FIND(":",Protokoll_1p!G183))),1,0))</f>
        <v/>
      </c>
      <c r="D217" s="1" t="str">
        <f>IF(Protokoll_1p!H183="","",IF(VALUE(LEFT(Protokoll_1p!H183,FIND(":",Protokoll_1p!H183)-1))&gt;VALUE(RIGHT(Protokoll_1p!H183,LEN(Protokoll_1p!H183)-FIND(":",Protokoll_1p!H183))),1,0))</f>
        <v/>
      </c>
      <c r="E217" s="1" t="str">
        <f>IF(Protokoll_1p!I183="","",IF(VALUE(LEFT(Protokoll_1p!I183,FIND(":",Protokoll_1p!I183)-1))&gt;VALUE(RIGHT(Protokoll_1p!I183,LEN(Protokoll_1p!I183)-FIND(":",Protokoll_1p!I183))),1,0))</f>
        <v/>
      </c>
      <c r="F217" s="1" t="str">
        <f>IF(Protokoll_1p!J183="","",IF(VALUE(LEFT(Protokoll_1p!J183,FIND(":",Protokoll_1p!J183)-1))&gt;VALUE(RIGHT(Protokoll_1p!J183,LEN(Protokoll_1p!J183)-FIND(":",Protokoll_1p!J183))),1,0))</f>
        <v/>
      </c>
      <c r="G217" s="1" t="str">
        <f t="shared" si="6"/>
        <v/>
      </c>
      <c r="I217" s="1" t="str">
        <f>IF(Protokoll_1p!F183="","",IF(VALUE(LEFT(Protokoll_1p!F183,FIND(":",Protokoll_1p!F183)-1))&gt;VALUE(RIGHT(Protokoll_1p!F183,LEN(Protokoll_1p!F183)-FIND(":",Protokoll_1p!F183))),0,1))</f>
        <v/>
      </c>
      <c r="J217" s="1" t="str">
        <f>IF(Protokoll_1p!G183="","",IF(VALUE(LEFT(Protokoll_1p!G183,FIND(":",Protokoll_1p!G183)-1))&gt;VALUE(RIGHT(Protokoll_1p!G183,LEN(Protokoll_1p!G183)-FIND(":",Protokoll_1p!G183))),0,1))</f>
        <v/>
      </c>
      <c r="K217" s="1" t="str">
        <f>IF(Protokoll_1p!H183="","",IF(VALUE(LEFT(Protokoll_1p!H183,FIND(":",Protokoll_1p!H183)-1))&gt;VALUE(RIGHT(Protokoll_1p!H183,LEN(Protokoll_1p!H183)-FIND(":",Protokoll_1p!H183))),0,1))</f>
        <v/>
      </c>
      <c r="L217" s="1" t="str">
        <f>IF(Protokoll_1p!I183="","",IF(VALUE(LEFT(Protokoll_1p!I183,FIND(":",Protokoll_1p!I183)-1))&gt;VALUE(RIGHT(Protokoll_1p!I183,LEN(Protokoll_1p!I183)-FIND(":",Protokoll_1p!I183))),0,1))</f>
        <v/>
      </c>
      <c r="M217" s="1" t="str">
        <f>IF(Protokoll_1p!J183="","",IF(VALUE(LEFT(Protokoll_1p!J183,FIND(":",Protokoll_1p!J183)-1))&gt;VALUE(RIGHT(Protokoll_1p!J183,LEN(Protokoll_1p!J183)-FIND(":",Protokoll_1p!J183))),0,1))</f>
        <v/>
      </c>
      <c r="N217" s="1" t="str">
        <f t="shared" si="7"/>
        <v/>
      </c>
    </row>
    <row r="218" spans="2:14">
      <c r="B218" s="1" t="str">
        <f>IF(Protokoll_1p!F184="","",IF(VALUE(LEFT(Protokoll_1p!F184,FIND(":",Protokoll_1p!F184)-1))&gt;VALUE(RIGHT(Protokoll_1p!F184,LEN(Protokoll_1p!F184)-FIND(":",Protokoll_1p!F184))),1,0))</f>
        <v/>
      </c>
      <c r="C218" s="1" t="str">
        <f>IF(Protokoll_1p!G184="","",IF(VALUE(LEFT(Protokoll_1p!G184,FIND(":",Protokoll_1p!G184)-1))&gt;VALUE(RIGHT(Protokoll_1p!G184,LEN(Protokoll_1p!G184)-FIND(":",Protokoll_1p!G184))),1,0))</f>
        <v/>
      </c>
      <c r="D218" s="1" t="str">
        <f>IF(Protokoll_1p!H184="","",IF(VALUE(LEFT(Protokoll_1p!H184,FIND(":",Protokoll_1p!H184)-1))&gt;VALUE(RIGHT(Protokoll_1p!H184,LEN(Protokoll_1p!H184)-FIND(":",Protokoll_1p!H184))),1,0))</f>
        <v/>
      </c>
      <c r="E218" s="1" t="str">
        <f>IF(Protokoll_1p!I184="","",IF(VALUE(LEFT(Protokoll_1p!I184,FIND(":",Protokoll_1p!I184)-1))&gt;VALUE(RIGHT(Protokoll_1p!I184,LEN(Protokoll_1p!I184)-FIND(":",Protokoll_1p!I184))),1,0))</f>
        <v/>
      </c>
      <c r="F218" s="1" t="str">
        <f>IF(Protokoll_1p!J184="","",IF(VALUE(LEFT(Protokoll_1p!J184,FIND(":",Protokoll_1p!J184)-1))&gt;VALUE(RIGHT(Protokoll_1p!J184,LEN(Protokoll_1p!J184)-FIND(":",Protokoll_1p!J184))),1,0))</f>
        <v/>
      </c>
      <c r="G218" s="1" t="str">
        <f t="shared" si="6"/>
        <v/>
      </c>
      <c r="I218" s="1" t="str">
        <f>IF(Protokoll_1p!F184="","",IF(VALUE(LEFT(Protokoll_1p!F184,FIND(":",Protokoll_1p!F184)-1))&gt;VALUE(RIGHT(Protokoll_1p!F184,LEN(Protokoll_1p!F184)-FIND(":",Protokoll_1p!F184))),0,1))</f>
        <v/>
      </c>
      <c r="J218" s="1" t="str">
        <f>IF(Protokoll_1p!G184="","",IF(VALUE(LEFT(Protokoll_1p!G184,FIND(":",Protokoll_1p!G184)-1))&gt;VALUE(RIGHT(Protokoll_1p!G184,LEN(Protokoll_1p!G184)-FIND(":",Protokoll_1p!G184))),0,1))</f>
        <v/>
      </c>
      <c r="K218" s="1" t="str">
        <f>IF(Protokoll_1p!H184="","",IF(VALUE(LEFT(Protokoll_1p!H184,FIND(":",Protokoll_1p!H184)-1))&gt;VALUE(RIGHT(Protokoll_1p!H184,LEN(Protokoll_1p!H184)-FIND(":",Protokoll_1p!H184))),0,1))</f>
        <v/>
      </c>
      <c r="L218" s="1" t="str">
        <f>IF(Protokoll_1p!I184="","",IF(VALUE(LEFT(Protokoll_1p!I184,FIND(":",Protokoll_1p!I184)-1))&gt;VALUE(RIGHT(Protokoll_1p!I184,LEN(Protokoll_1p!I184)-FIND(":",Protokoll_1p!I184))),0,1))</f>
        <v/>
      </c>
      <c r="M218" s="1" t="str">
        <f>IF(Protokoll_1p!J184="","",IF(VALUE(LEFT(Protokoll_1p!J184,FIND(":",Protokoll_1p!J184)-1))&gt;VALUE(RIGHT(Protokoll_1p!J184,LEN(Protokoll_1p!J184)-FIND(":",Protokoll_1p!J184))),0,1))</f>
        <v/>
      </c>
      <c r="N218" s="1" t="str">
        <f t="shared" si="7"/>
        <v/>
      </c>
    </row>
    <row r="219" spans="2:14">
      <c r="B219" s="1" t="str">
        <f>IF(Protokoll_1p!F185="","",IF(VALUE(LEFT(Protokoll_1p!F185,FIND(":",Protokoll_1p!F185)-1))&gt;VALUE(RIGHT(Protokoll_1p!F185,LEN(Protokoll_1p!F185)-FIND(":",Protokoll_1p!F185))),1,0))</f>
        <v/>
      </c>
      <c r="C219" s="1" t="str">
        <f>IF(Protokoll_1p!G185="","",IF(VALUE(LEFT(Protokoll_1p!G185,FIND(":",Protokoll_1p!G185)-1))&gt;VALUE(RIGHT(Protokoll_1p!G185,LEN(Protokoll_1p!G185)-FIND(":",Protokoll_1p!G185))),1,0))</f>
        <v/>
      </c>
      <c r="D219" s="1" t="str">
        <f>IF(Protokoll_1p!H185="","",IF(VALUE(LEFT(Protokoll_1p!H185,FIND(":",Protokoll_1p!H185)-1))&gt;VALUE(RIGHT(Protokoll_1p!H185,LEN(Protokoll_1p!H185)-FIND(":",Protokoll_1p!H185))),1,0))</f>
        <v/>
      </c>
      <c r="E219" s="1" t="str">
        <f>IF(Protokoll_1p!I185="","",IF(VALUE(LEFT(Protokoll_1p!I185,FIND(":",Protokoll_1p!I185)-1))&gt;VALUE(RIGHT(Protokoll_1p!I185,LEN(Protokoll_1p!I185)-FIND(":",Protokoll_1p!I185))),1,0))</f>
        <v/>
      </c>
      <c r="F219" s="1" t="str">
        <f>IF(Protokoll_1p!J185="","",IF(VALUE(LEFT(Protokoll_1p!J185,FIND(":",Protokoll_1p!J185)-1))&gt;VALUE(RIGHT(Protokoll_1p!J185,LEN(Protokoll_1p!J185)-FIND(":",Protokoll_1p!J185))),1,0))</f>
        <v/>
      </c>
      <c r="G219" s="1" t="str">
        <f t="shared" si="6"/>
        <v/>
      </c>
      <c r="I219" s="1" t="str">
        <f>IF(Protokoll_1p!F185="","",IF(VALUE(LEFT(Protokoll_1p!F185,FIND(":",Protokoll_1p!F185)-1))&gt;VALUE(RIGHT(Protokoll_1p!F185,LEN(Protokoll_1p!F185)-FIND(":",Protokoll_1p!F185))),0,1))</f>
        <v/>
      </c>
      <c r="J219" s="1" t="str">
        <f>IF(Protokoll_1p!G185="","",IF(VALUE(LEFT(Protokoll_1p!G185,FIND(":",Protokoll_1p!G185)-1))&gt;VALUE(RIGHT(Protokoll_1p!G185,LEN(Protokoll_1p!G185)-FIND(":",Protokoll_1p!G185))),0,1))</f>
        <v/>
      </c>
      <c r="K219" s="1" t="str">
        <f>IF(Protokoll_1p!H185="","",IF(VALUE(LEFT(Protokoll_1p!H185,FIND(":",Protokoll_1p!H185)-1))&gt;VALUE(RIGHT(Protokoll_1p!H185,LEN(Protokoll_1p!H185)-FIND(":",Protokoll_1p!H185))),0,1))</f>
        <v/>
      </c>
      <c r="L219" s="1" t="str">
        <f>IF(Protokoll_1p!I185="","",IF(VALUE(LEFT(Protokoll_1p!I185,FIND(":",Protokoll_1p!I185)-1))&gt;VALUE(RIGHT(Protokoll_1p!I185,LEN(Protokoll_1p!I185)-FIND(":",Protokoll_1p!I185))),0,1))</f>
        <v/>
      </c>
      <c r="M219" s="1" t="str">
        <f>IF(Protokoll_1p!J185="","",IF(VALUE(LEFT(Protokoll_1p!J185,FIND(":",Protokoll_1p!J185)-1))&gt;VALUE(RIGHT(Protokoll_1p!J185,LEN(Protokoll_1p!J185)-FIND(":",Protokoll_1p!J185))),0,1))</f>
        <v/>
      </c>
      <c r="N219" s="1" t="str">
        <f t="shared" si="7"/>
        <v/>
      </c>
    </row>
    <row r="220" spans="2:14">
      <c r="B220" s="1" t="str">
        <f>IF(Protokoll_1p!F186="","",IF(VALUE(LEFT(Protokoll_1p!F186,FIND(":",Protokoll_1p!F186)-1))&gt;VALUE(RIGHT(Protokoll_1p!F186,LEN(Protokoll_1p!F186)-FIND(":",Protokoll_1p!F186))),1,0))</f>
        <v/>
      </c>
      <c r="C220" s="1" t="str">
        <f>IF(Protokoll_1p!G186="","",IF(VALUE(LEFT(Protokoll_1p!G186,FIND(":",Protokoll_1p!G186)-1))&gt;VALUE(RIGHT(Protokoll_1p!G186,LEN(Protokoll_1p!G186)-FIND(":",Protokoll_1p!G186))),1,0))</f>
        <v/>
      </c>
      <c r="D220" s="1" t="str">
        <f>IF(Protokoll_1p!H186="","",IF(VALUE(LEFT(Protokoll_1p!H186,FIND(":",Protokoll_1p!H186)-1))&gt;VALUE(RIGHT(Protokoll_1p!H186,LEN(Protokoll_1p!H186)-FIND(":",Protokoll_1p!H186))),1,0))</f>
        <v/>
      </c>
      <c r="E220" s="1" t="str">
        <f>IF(Protokoll_1p!I186="","",IF(VALUE(LEFT(Protokoll_1p!I186,FIND(":",Protokoll_1p!I186)-1))&gt;VALUE(RIGHT(Protokoll_1p!I186,LEN(Protokoll_1p!I186)-FIND(":",Protokoll_1p!I186))),1,0))</f>
        <v/>
      </c>
      <c r="F220" s="1" t="str">
        <f>IF(Protokoll_1p!J186="","",IF(VALUE(LEFT(Protokoll_1p!J186,FIND(":",Protokoll_1p!J186)-1))&gt;VALUE(RIGHT(Protokoll_1p!J186,LEN(Protokoll_1p!J186)-FIND(":",Protokoll_1p!J186))),1,0))</f>
        <v/>
      </c>
      <c r="G220" s="1" t="str">
        <f t="shared" si="6"/>
        <v/>
      </c>
      <c r="I220" s="1" t="str">
        <f>IF(Protokoll_1p!F186="","",IF(VALUE(LEFT(Protokoll_1p!F186,FIND(":",Protokoll_1p!F186)-1))&gt;VALUE(RIGHT(Protokoll_1p!F186,LEN(Protokoll_1p!F186)-FIND(":",Protokoll_1p!F186))),0,1))</f>
        <v/>
      </c>
      <c r="J220" s="1" t="str">
        <f>IF(Protokoll_1p!G186="","",IF(VALUE(LEFT(Protokoll_1p!G186,FIND(":",Protokoll_1p!G186)-1))&gt;VALUE(RIGHT(Protokoll_1p!G186,LEN(Protokoll_1p!G186)-FIND(":",Protokoll_1p!G186))),0,1))</f>
        <v/>
      </c>
      <c r="K220" s="1" t="str">
        <f>IF(Protokoll_1p!H186="","",IF(VALUE(LEFT(Protokoll_1p!H186,FIND(":",Protokoll_1p!H186)-1))&gt;VALUE(RIGHT(Protokoll_1p!H186,LEN(Protokoll_1p!H186)-FIND(":",Protokoll_1p!H186))),0,1))</f>
        <v/>
      </c>
      <c r="L220" s="1" t="str">
        <f>IF(Protokoll_1p!I186="","",IF(VALUE(LEFT(Protokoll_1p!I186,FIND(":",Protokoll_1p!I186)-1))&gt;VALUE(RIGHT(Protokoll_1p!I186,LEN(Protokoll_1p!I186)-FIND(":",Protokoll_1p!I186))),0,1))</f>
        <v/>
      </c>
      <c r="M220" s="1" t="str">
        <f>IF(Protokoll_1p!J186="","",IF(VALUE(LEFT(Protokoll_1p!J186,FIND(":",Protokoll_1p!J186)-1))&gt;VALUE(RIGHT(Protokoll_1p!J186,LEN(Protokoll_1p!J186)-FIND(":",Protokoll_1p!J186))),0,1))</f>
        <v/>
      </c>
      <c r="N220" s="1" t="str">
        <f t="shared" si="7"/>
        <v/>
      </c>
    </row>
    <row r="221" spans="2:14">
      <c r="B221" s="1" t="str">
        <f>IF(Protokoll_1p!F187="","",IF(VALUE(LEFT(Protokoll_1p!F187,FIND(":",Protokoll_1p!F187)-1))&gt;VALUE(RIGHT(Protokoll_1p!F187,LEN(Protokoll_1p!F187)-FIND(":",Protokoll_1p!F187))),1,0))</f>
        <v/>
      </c>
      <c r="C221" s="1" t="str">
        <f>IF(Protokoll_1p!G187="","",IF(VALUE(LEFT(Protokoll_1p!G187,FIND(":",Protokoll_1p!G187)-1))&gt;VALUE(RIGHT(Protokoll_1p!G187,LEN(Protokoll_1p!G187)-FIND(":",Protokoll_1p!G187))),1,0))</f>
        <v/>
      </c>
      <c r="D221" s="1" t="str">
        <f>IF(Protokoll_1p!H187="","",IF(VALUE(LEFT(Protokoll_1p!H187,FIND(":",Protokoll_1p!H187)-1))&gt;VALUE(RIGHT(Protokoll_1p!H187,LEN(Protokoll_1p!H187)-FIND(":",Protokoll_1p!H187))),1,0))</f>
        <v/>
      </c>
      <c r="E221" s="1" t="str">
        <f>IF(Protokoll_1p!I187="","",IF(VALUE(LEFT(Protokoll_1p!I187,FIND(":",Protokoll_1p!I187)-1))&gt;VALUE(RIGHT(Protokoll_1p!I187,LEN(Protokoll_1p!I187)-FIND(":",Protokoll_1p!I187))),1,0))</f>
        <v/>
      </c>
      <c r="F221" s="1" t="str">
        <f>IF(Protokoll_1p!J187="","",IF(VALUE(LEFT(Protokoll_1p!J187,FIND(":",Protokoll_1p!J187)-1))&gt;VALUE(RIGHT(Protokoll_1p!J187,LEN(Protokoll_1p!J187)-FIND(":",Protokoll_1p!J187))),1,0))</f>
        <v/>
      </c>
      <c r="G221" s="1" t="str">
        <f t="shared" si="6"/>
        <v/>
      </c>
      <c r="I221" s="1" t="str">
        <f>IF(Protokoll_1p!F187="","",IF(VALUE(LEFT(Protokoll_1p!F187,FIND(":",Protokoll_1p!F187)-1))&gt;VALUE(RIGHT(Protokoll_1p!F187,LEN(Protokoll_1p!F187)-FIND(":",Protokoll_1p!F187))),0,1))</f>
        <v/>
      </c>
      <c r="J221" s="1" t="str">
        <f>IF(Protokoll_1p!G187="","",IF(VALUE(LEFT(Protokoll_1p!G187,FIND(":",Protokoll_1p!G187)-1))&gt;VALUE(RIGHT(Protokoll_1p!G187,LEN(Protokoll_1p!G187)-FIND(":",Protokoll_1p!G187))),0,1))</f>
        <v/>
      </c>
      <c r="K221" s="1" t="str">
        <f>IF(Protokoll_1p!H187="","",IF(VALUE(LEFT(Protokoll_1p!H187,FIND(":",Protokoll_1p!H187)-1))&gt;VALUE(RIGHT(Protokoll_1p!H187,LEN(Protokoll_1p!H187)-FIND(":",Protokoll_1p!H187))),0,1))</f>
        <v/>
      </c>
      <c r="L221" s="1" t="str">
        <f>IF(Protokoll_1p!I187="","",IF(VALUE(LEFT(Protokoll_1p!I187,FIND(":",Protokoll_1p!I187)-1))&gt;VALUE(RIGHT(Protokoll_1p!I187,LEN(Protokoll_1p!I187)-FIND(":",Protokoll_1p!I187))),0,1))</f>
        <v/>
      </c>
      <c r="M221" s="1" t="str">
        <f>IF(Protokoll_1p!J187="","",IF(VALUE(LEFT(Protokoll_1p!J187,FIND(":",Protokoll_1p!J187)-1))&gt;VALUE(RIGHT(Protokoll_1p!J187,LEN(Protokoll_1p!J187)-FIND(":",Protokoll_1p!J187))),0,1))</f>
        <v/>
      </c>
      <c r="N221" s="1" t="str">
        <f t="shared" si="7"/>
        <v/>
      </c>
    </row>
    <row r="222" spans="2:14">
      <c r="B222" s="1" t="str">
        <f>IF(Protokoll_1p!F188="","",IF(VALUE(LEFT(Protokoll_1p!F188,FIND(":",Protokoll_1p!F188)-1))&gt;VALUE(RIGHT(Protokoll_1p!F188,LEN(Protokoll_1p!F188)-FIND(":",Protokoll_1p!F188))),1,0))</f>
        <v/>
      </c>
      <c r="C222" s="1" t="str">
        <f>IF(Protokoll_1p!G188="","",IF(VALUE(LEFT(Protokoll_1p!G188,FIND(":",Protokoll_1p!G188)-1))&gt;VALUE(RIGHT(Protokoll_1p!G188,LEN(Protokoll_1p!G188)-FIND(":",Protokoll_1p!G188))),1,0))</f>
        <v/>
      </c>
      <c r="D222" s="1" t="str">
        <f>IF(Protokoll_1p!H188="","",IF(VALUE(LEFT(Protokoll_1p!H188,FIND(":",Protokoll_1p!H188)-1))&gt;VALUE(RIGHT(Protokoll_1p!H188,LEN(Protokoll_1p!H188)-FIND(":",Protokoll_1p!H188))),1,0))</f>
        <v/>
      </c>
      <c r="E222" s="1" t="str">
        <f>IF(Protokoll_1p!I188="","",IF(VALUE(LEFT(Protokoll_1p!I188,FIND(":",Protokoll_1p!I188)-1))&gt;VALUE(RIGHT(Protokoll_1p!I188,LEN(Protokoll_1p!I188)-FIND(":",Protokoll_1p!I188))),1,0))</f>
        <v/>
      </c>
      <c r="F222" s="1" t="str">
        <f>IF(Protokoll_1p!J188="","",IF(VALUE(LEFT(Protokoll_1p!J188,FIND(":",Protokoll_1p!J188)-1))&gt;VALUE(RIGHT(Protokoll_1p!J188,LEN(Protokoll_1p!J188)-FIND(":",Protokoll_1p!J188))),1,0))</f>
        <v/>
      </c>
      <c r="G222" s="1" t="str">
        <f t="shared" si="6"/>
        <v/>
      </c>
      <c r="I222" s="1" t="str">
        <f>IF(Protokoll_1p!F188="","",IF(VALUE(LEFT(Protokoll_1p!F188,FIND(":",Protokoll_1p!F188)-1))&gt;VALUE(RIGHT(Protokoll_1p!F188,LEN(Protokoll_1p!F188)-FIND(":",Protokoll_1p!F188))),0,1))</f>
        <v/>
      </c>
      <c r="J222" s="1" t="str">
        <f>IF(Protokoll_1p!G188="","",IF(VALUE(LEFT(Protokoll_1p!G188,FIND(":",Protokoll_1p!G188)-1))&gt;VALUE(RIGHT(Protokoll_1p!G188,LEN(Protokoll_1p!G188)-FIND(":",Protokoll_1p!G188))),0,1))</f>
        <v/>
      </c>
      <c r="K222" s="1" t="str">
        <f>IF(Protokoll_1p!H188="","",IF(VALUE(LEFT(Protokoll_1p!H188,FIND(":",Protokoll_1p!H188)-1))&gt;VALUE(RIGHT(Protokoll_1p!H188,LEN(Protokoll_1p!H188)-FIND(":",Protokoll_1p!H188))),0,1))</f>
        <v/>
      </c>
      <c r="L222" s="1" t="str">
        <f>IF(Protokoll_1p!I188="","",IF(VALUE(LEFT(Protokoll_1p!I188,FIND(":",Protokoll_1p!I188)-1))&gt;VALUE(RIGHT(Protokoll_1p!I188,LEN(Protokoll_1p!I188)-FIND(":",Protokoll_1p!I188))),0,1))</f>
        <v/>
      </c>
      <c r="M222" s="1" t="str">
        <f>IF(Protokoll_1p!J188="","",IF(VALUE(LEFT(Protokoll_1p!J188,FIND(":",Protokoll_1p!J188)-1))&gt;VALUE(RIGHT(Protokoll_1p!J188,LEN(Protokoll_1p!J188)-FIND(":",Protokoll_1p!J188))),0,1))</f>
        <v/>
      </c>
      <c r="N222" s="1" t="str">
        <f t="shared" si="7"/>
        <v/>
      </c>
    </row>
    <row r="223" spans="2:14">
      <c r="B223" s="1" t="str">
        <f>IF(Protokoll_1p!F189="","",IF(VALUE(LEFT(Protokoll_1p!F189,FIND(":",Protokoll_1p!F189)-1))&gt;VALUE(RIGHT(Protokoll_1p!F189,LEN(Protokoll_1p!F189)-FIND(":",Protokoll_1p!F189))),1,0))</f>
        <v/>
      </c>
      <c r="C223" s="1" t="str">
        <f>IF(Protokoll_1p!G189="","",IF(VALUE(LEFT(Protokoll_1p!G189,FIND(":",Protokoll_1p!G189)-1))&gt;VALUE(RIGHT(Protokoll_1p!G189,LEN(Protokoll_1p!G189)-FIND(":",Protokoll_1p!G189))),1,0))</f>
        <v/>
      </c>
      <c r="D223" s="1" t="str">
        <f>IF(Protokoll_1p!H189="","",IF(VALUE(LEFT(Protokoll_1p!H189,FIND(":",Protokoll_1p!H189)-1))&gt;VALUE(RIGHT(Protokoll_1p!H189,LEN(Protokoll_1p!H189)-FIND(":",Protokoll_1p!H189))),1,0))</f>
        <v/>
      </c>
      <c r="E223" s="1" t="str">
        <f>IF(Protokoll_1p!I189="","",IF(VALUE(LEFT(Protokoll_1p!I189,FIND(":",Protokoll_1p!I189)-1))&gt;VALUE(RIGHT(Protokoll_1p!I189,LEN(Protokoll_1p!I189)-FIND(":",Protokoll_1p!I189))),1,0))</f>
        <v/>
      </c>
      <c r="F223" s="1" t="str">
        <f>IF(Protokoll_1p!J189="","",IF(VALUE(LEFT(Protokoll_1p!J189,FIND(":",Protokoll_1p!J189)-1))&gt;VALUE(RIGHT(Protokoll_1p!J189,LEN(Protokoll_1p!J189)-FIND(":",Protokoll_1p!J189))),1,0))</f>
        <v/>
      </c>
      <c r="G223" s="1" t="str">
        <f t="shared" si="6"/>
        <v/>
      </c>
      <c r="I223" s="1" t="str">
        <f>IF(Protokoll_1p!F189="","",IF(VALUE(LEFT(Protokoll_1p!F189,FIND(":",Protokoll_1p!F189)-1))&gt;VALUE(RIGHT(Protokoll_1p!F189,LEN(Protokoll_1p!F189)-FIND(":",Protokoll_1p!F189))),0,1))</f>
        <v/>
      </c>
      <c r="J223" s="1" t="str">
        <f>IF(Protokoll_1p!G189="","",IF(VALUE(LEFT(Protokoll_1p!G189,FIND(":",Protokoll_1p!G189)-1))&gt;VALUE(RIGHT(Protokoll_1p!G189,LEN(Protokoll_1p!G189)-FIND(":",Protokoll_1p!G189))),0,1))</f>
        <v/>
      </c>
      <c r="K223" s="1" t="str">
        <f>IF(Protokoll_1p!H189="","",IF(VALUE(LEFT(Protokoll_1p!H189,FIND(":",Protokoll_1p!H189)-1))&gt;VALUE(RIGHT(Protokoll_1p!H189,LEN(Protokoll_1p!H189)-FIND(":",Protokoll_1p!H189))),0,1))</f>
        <v/>
      </c>
      <c r="L223" s="1" t="str">
        <f>IF(Protokoll_1p!I189="","",IF(VALUE(LEFT(Protokoll_1p!I189,FIND(":",Protokoll_1p!I189)-1))&gt;VALUE(RIGHT(Protokoll_1p!I189,LEN(Protokoll_1p!I189)-FIND(":",Protokoll_1p!I189))),0,1))</f>
        <v/>
      </c>
      <c r="M223" s="1" t="str">
        <f>IF(Protokoll_1p!J189="","",IF(VALUE(LEFT(Protokoll_1p!J189,FIND(":",Protokoll_1p!J189)-1))&gt;VALUE(RIGHT(Protokoll_1p!J189,LEN(Protokoll_1p!J189)-FIND(":",Protokoll_1p!J189))),0,1))</f>
        <v/>
      </c>
      <c r="N223" s="1" t="str">
        <f t="shared" si="7"/>
        <v/>
      </c>
    </row>
    <row r="224" spans="2:14">
      <c r="B224" s="1" t="str">
        <f>IF(Protokoll_1p!F190="","",IF(VALUE(LEFT(Protokoll_1p!F190,FIND(":",Protokoll_1p!F190)-1))&gt;VALUE(RIGHT(Protokoll_1p!F190,LEN(Protokoll_1p!F190)-FIND(":",Protokoll_1p!F190))),1,0))</f>
        <v/>
      </c>
      <c r="C224" s="1" t="str">
        <f>IF(Protokoll_1p!G190="","",IF(VALUE(LEFT(Protokoll_1p!G190,FIND(":",Protokoll_1p!G190)-1))&gt;VALUE(RIGHT(Protokoll_1p!G190,LEN(Protokoll_1p!G190)-FIND(":",Protokoll_1p!G190))),1,0))</f>
        <v/>
      </c>
      <c r="D224" s="1" t="str">
        <f>IF(Protokoll_1p!H190="","",IF(VALUE(LEFT(Protokoll_1p!H190,FIND(":",Protokoll_1p!H190)-1))&gt;VALUE(RIGHT(Protokoll_1p!H190,LEN(Protokoll_1p!H190)-FIND(":",Protokoll_1p!H190))),1,0))</f>
        <v/>
      </c>
      <c r="E224" s="1" t="str">
        <f>IF(Protokoll_1p!I190="","",IF(VALUE(LEFT(Protokoll_1p!I190,FIND(":",Protokoll_1p!I190)-1))&gt;VALUE(RIGHT(Protokoll_1p!I190,LEN(Protokoll_1p!I190)-FIND(":",Protokoll_1p!I190))),1,0))</f>
        <v/>
      </c>
      <c r="F224" s="1" t="str">
        <f>IF(Protokoll_1p!J190="","",IF(VALUE(LEFT(Protokoll_1p!J190,FIND(":",Protokoll_1p!J190)-1))&gt;VALUE(RIGHT(Protokoll_1p!J190,LEN(Protokoll_1p!J190)-FIND(":",Protokoll_1p!J190))),1,0))</f>
        <v/>
      </c>
      <c r="G224" s="1" t="str">
        <f t="shared" si="6"/>
        <v/>
      </c>
      <c r="I224" s="1" t="str">
        <f>IF(Protokoll_1p!F190="","",IF(VALUE(LEFT(Protokoll_1p!F190,FIND(":",Protokoll_1p!F190)-1))&gt;VALUE(RIGHT(Protokoll_1p!F190,LEN(Protokoll_1p!F190)-FIND(":",Protokoll_1p!F190))),0,1))</f>
        <v/>
      </c>
      <c r="J224" s="1" t="str">
        <f>IF(Protokoll_1p!G190="","",IF(VALUE(LEFT(Protokoll_1p!G190,FIND(":",Protokoll_1p!G190)-1))&gt;VALUE(RIGHT(Protokoll_1p!G190,LEN(Protokoll_1p!G190)-FIND(":",Protokoll_1p!G190))),0,1))</f>
        <v/>
      </c>
      <c r="K224" s="1" t="str">
        <f>IF(Protokoll_1p!H190="","",IF(VALUE(LEFT(Protokoll_1p!H190,FIND(":",Protokoll_1p!H190)-1))&gt;VALUE(RIGHT(Protokoll_1p!H190,LEN(Protokoll_1p!H190)-FIND(":",Protokoll_1p!H190))),0,1))</f>
        <v/>
      </c>
      <c r="L224" s="1" t="str">
        <f>IF(Protokoll_1p!I190="","",IF(VALUE(LEFT(Protokoll_1p!I190,FIND(":",Protokoll_1p!I190)-1))&gt;VALUE(RIGHT(Protokoll_1p!I190,LEN(Protokoll_1p!I190)-FIND(":",Protokoll_1p!I190))),0,1))</f>
        <v/>
      </c>
      <c r="M224" s="1" t="str">
        <f>IF(Protokoll_1p!J190="","",IF(VALUE(LEFT(Protokoll_1p!J190,FIND(":",Protokoll_1p!J190)-1))&gt;VALUE(RIGHT(Protokoll_1p!J190,LEN(Protokoll_1p!J190)-FIND(":",Protokoll_1p!J190))),0,1))</f>
        <v/>
      </c>
      <c r="N224" s="1" t="str">
        <f t="shared" si="7"/>
        <v/>
      </c>
    </row>
    <row r="225" spans="2:14">
      <c r="B225" s="1" t="str">
        <f>IF(Protokoll_1p!F191="","",IF(VALUE(LEFT(Protokoll_1p!F191,FIND(":",Protokoll_1p!F191)-1))&gt;VALUE(RIGHT(Protokoll_1p!F191,LEN(Protokoll_1p!F191)-FIND(":",Protokoll_1p!F191))),1,0))</f>
        <v/>
      </c>
      <c r="C225" s="1" t="str">
        <f>IF(Protokoll_1p!G191="","",IF(VALUE(LEFT(Protokoll_1p!G191,FIND(":",Protokoll_1p!G191)-1))&gt;VALUE(RIGHT(Protokoll_1p!G191,LEN(Protokoll_1p!G191)-FIND(":",Protokoll_1p!G191))),1,0))</f>
        <v/>
      </c>
      <c r="D225" s="1" t="str">
        <f>IF(Protokoll_1p!H191="","",IF(VALUE(LEFT(Protokoll_1p!H191,FIND(":",Protokoll_1p!H191)-1))&gt;VALUE(RIGHT(Protokoll_1p!H191,LEN(Protokoll_1p!H191)-FIND(":",Protokoll_1p!H191))),1,0))</f>
        <v/>
      </c>
      <c r="E225" s="1" t="str">
        <f>IF(Protokoll_1p!I191="","",IF(VALUE(LEFT(Protokoll_1p!I191,FIND(":",Protokoll_1p!I191)-1))&gt;VALUE(RIGHT(Protokoll_1p!I191,LEN(Protokoll_1p!I191)-FIND(":",Protokoll_1p!I191))),1,0))</f>
        <v/>
      </c>
      <c r="F225" s="1" t="str">
        <f>IF(Protokoll_1p!J191="","",IF(VALUE(LEFT(Protokoll_1p!J191,FIND(":",Protokoll_1p!J191)-1))&gt;VALUE(RIGHT(Protokoll_1p!J191,LEN(Protokoll_1p!J191)-FIND(":",Protokoll_1p!J191))),1,0))</f>
        <v/>
      </c>
      <c r="G225" s="1" t="str">
        <f t="shared" si="6"/>
        <v/>
      </c>
      <c r="I225" s="1" t="str">
        <f>IF(Protokoll_1p!F191="","",IF(VALUE(LEFT(Protokoll_1p!F191,FIND(":",Protokoll_1p!F191)-1))&gt;VALUE(RIGHT(Protokoll_1p!F191,LEN(Protokoll_1p!F191)-FIND(":",Protokoll_1p!F191))),0,1))</f>
        <v/>
      </c>
      <c r="J225" s="1" t="str">
        <f>IF(Protokoll_1p!G191="","",IF(VALUE(LEFT(Protokoll_1p!G191,FIND(":",Protokoll_1p!G191)-1))&gt;VALUE(RIGHT(Protokoll_1p!G191,LEN(Protokoll_1p!G191)-FIND(":",Protokoll_1p!G191))),0,1))</f>
        <v/>
      </c>
      <c r="K225" s="1" t="str">
        <f>IF(Protokoll_1p!H191="","",IF(VALUE(LEFT(Protokoll_1p!H191,FIND(":",Protokoll_1p!H191)-1))&gt;VALUE(RIGHT(Protokoll_1p!H191,LEN(Protokoll_1p!H191)-FIND(":",Protokoll_1p!H191))),0,1))</f>
        <v/>
      </c>
      <c r="L225" s="1" t="str">
        <f>IF(Protokoll_1p!I191="","",IF(VALUE(LEFT(Protokoll_1p!I191,FIND(":",Protokoll_1p!I191)-1))&gt;VALUE(RIGHT(Protokoll_1p!I191,LEN(Protokoll_1p!I191)-FIND(":",Protokoll_1p!I191))),0,1))</f>
        <v/>
      </c>
      <c r="M225" s="1" t="str">
        <f>IF(Protokoll_1p!J191="","",IF(VALUE(LEFT(Protokoll_1p!J191,FIND(":",Protokoll_1p!J191)-1))&gt;VALUE(RIGHT(Protokoll_1p!J191,LEN(Protokoll_1p!J191)-FIND(":",Protokoll_1p!J191))),0,1))</f>
        <v/>
      </c>
      <c r="N225" s="1" t="str">
        <f t="shared" si="7"/>
        <v/>
      </c>
    </row>
    <row r="226" spans="2:14">
      <c r="B226" s="1" t="str">
        <f>IF(Protokoll_1p!F192="","",IF(VALUE(LEFT(Protokoll_1p!F192,FIND(":",Protokoll_1p!F192)-1))&gt;VALUE(RIGHT(Protokoll_1p!F192,LEN(Protokoll_1p!F192)-FIND(":",Protokoll_1p!F192))),1,0))</f>
        <v/>
      </c>
      <c r="C226" s="1" t="str">
        <f>IF(Protokoll_1p!G192="","",IF(VALUE(LEFT(Protokoll_1p!G192,FIND(":",Protokoll_1p!G192)-1))&gt;VALUE(RIGHT(Protokoll_1p!G192,LEN(Protokoll_1p!G192)-FIND(":",Protokoll_1p!G192))),1,0))</f>
        <v/>
      </c>
      <c r="D226" s="1" t="str">
        <f>IF(Protokoll_1p!H192="","",IF(VALUE(LEFT(Protokoll_1p!H192,FIND(":",Protokoll_1p!H192)-1))&gt;VALUE(RIGHT(Protokoll_1p!H192,LEN(Protokoll_1p!H192)-FIND(":",Protokoll_1p!H192))),1,0))</f>
        <v/>
      </c>
      <c r="E226" s="1" t="str">
        <f>IF(Protokoll_1p!I192="","",IF(VALUE(LEFT(Protokoll_1p!I192,FIND(":",Protokoll_1p!I192)-1))&gt;VALUE(RIGHT(Protokoll_1p!I192,LEN(Protokoll_1p!I192)-FIND(":",Protokoll_1p!I192))),1,0))</f>
        <v/>
      </c>
      <c r="F226" s="1" t="str">
        <f>IF(Protokoll_1p!J192="","",IF(VALUE(LEFT(Protokoll_1p!J192,FIND(":",Protokoll_1p!J192)-1))&gt;VALUE(RIGHT(Protokoll_1p!J192,LEN(Protokoll_1p!J192)-FIND(":",Protokoll_1p!J192))),1,0))</f>
        <v/>
      </c>
      <c r="G226" s="1" t="str">
        <f t="shared" si="6"/>
        <v/>
      </c>
      <c r="I226" s="1" t="str">
        <f>IF(Protokoll_1p!F192="","",IF(VALUE(LEFT(Protokoll_1p!F192,FIND(":",Protokoll_1p!F192)-1))&gt;VALUE(RIGHT(Protokoll_1p!F192,LEN(Protokoll_1p!F192)-FIND(":",Protokoll_1p!F192))),0,1))</f>
        <v/>
      </c>
      <c r="J226" s="1" t="str">
        <f>IF(Protokoll_1p!G192="","",IF(VALUE(LEFT(Protokoll_1p!G192,FIND(":",Protokoll_1p!G192)-1))&gt;VALUE(RIGHT(Protokoll_1p!G192,LEN(Protokoll_1p!G192)-FIND(":",Protokoll_1p!G192))),0,1))</f>
        <v/>
      </c>
      <c r="K226" s="1" t="str">
        <f>IF(Protokoll_1p!H192="","",IF(VALUE(LEFT(Protokoll_1p!H192,FIND(":",Protokoll_1p!H192)-1))&gt;VALUE(RIGHT(Protokoll_1p!H192,LEN(Protokoll_1p!H192)-FIND(":",Protokoll_1p!H192))),0,1))</f>
        <v/>
      </c>
      <c r="L226" s="1" t="str">
        <f>IF(Protokoll_1p!I192="","",IF(VALUE(LEFT(Protokoll_1p!I192,FIND(":",Protokoll_1p!I192)-1))&gt;VALUE(RIGHT(Protokoll_1p!I192,LEN(Protokoll_1p!I192)-FIND(":",Protokoll_1p!I192))),0,1))</f>
        <v/>
      </c>
      <c r="M226" s="1" t="str">
        <f>IF(Protokoll_1p!J192="","",IF(VALUE(LEFT(Protokoll_1p!J192,FIND(":",Protokoll_1p!J192)-1))&gt;VALUE(RIGHT(Protokoll_1p!J192,LEN(Protokoll_1p!J192)-FIND(":",Protokoll_1p!J192))),0,1))</f>
        <v/>
      </c>
      <c r="N226" s="1" t="str">
        <f t="shared" si="7"/>
        <v/>
      </c>
    </row>
    <row r="227" spans="2:14">
      <c r="B227" s="1" t="str">
        <f>IF(Protokoll_1p!F193="","",IF(VALUE(LEFT(Protokoll_1p!F193,FIND(":",Protokoll_1p!F193)-1))&gt;VALUE(RIGHT(Protokoll_1p!F193,LEN(Protokoll_1p!F193)-FIND(":",Protokoll_1p!F193))),1,0))</f>
        <v/>
      </c>
      <c r="C227" s="1" t="str">
        <f>IF(Protokoll_1p!G193="","",IF(VALUE(LEFT(Protokoll_1p!G193,FIND(":",Protokoll_1p!G193)-1))&gt;VALUE(RIGHT(Protokoll_1p!G193,LEN(Protokoll_1p!G193)-FIND(":",Protokoll_1p!G193))),1,0))</f>
        <v/>
      </c>
      <c r="D227" s="1" t="str">
        <f>IF(Protokoll_1p!H193="","",IF(VALUE(LEFT(Protokoll_1p!H193,FIND(":",Protokoll_1p!H193)-1))&gt;VALUE(RIGHT(Protokoll_1p!H193,LEN(Protokoll_1p!H193)-FIND(":",Protokoll_1p!H193))),1,0))</f>
        <v/>
      </c>
      <c r="E227" s="1" t="str">
        <f>IF(Protokoll_1p!I193="","",IF(VALUE(LEFT(Protokoll_1p!I193,FIND(":",Protokoll_1p!I193)-1))&gt;VALUE(RIGHT(Protokoll_1p!I193,LEN(Protokoll_1p!I193)-FIND(":",Protokoll_1p!I193))),1,0))</f>
        <v/>
      </c>
      <c r="F227" s="1" t="str">
        <f>IF(Protokoll_1p!J193="","",IF(VALUE(LEFT(Protokoll_1p!J193,FIND(":",Protokoll_1p!J193)-1))&gt;VALUE(RIGHT(Protokoll_1p!J193,LEN(Protokoll_1p!J193)-FIND(":",Protokoll_1p!J193))),1,0))</f>
        <v/>
      </c>
      <c r="G227" s="1" t="str">
        <f t="shared" si="6"/>
        <v/>
      </c>
      <c r="I227" s="1" t="str">
        <f>IF(Protokoll_1p!F193="","",IF(VALUE(LEFT(Protokoll_1p!F193,FIND(":",Protokoll_1p!F193)-1))&gt;VALUE(RIGHT(Protokoll_1p!F193,LEN(Protokoll_1p!F193)-FIND(":",Protokoll_1p!F193))),0,1))</f>
        <v/>
      </c>
      <c r="J227" s="1" t="str">
        <f>IF(Protokoll_1p!G193="","",IF(VALUE(LEFT(Protokoll_1p!G193,FIND(":",Protokoll_1p!G193)-1))&gt;VALUE(RIGHT(Protokoll_1p!G193,LEN(Protokoll_1p!G193)-FIND(":",Protokoll_1p!G193))),0,1))</f>
        <v/>
      </c>
      <c r="K227" s="1" t="str">
        <f>IF(Protokoll_1p!H193="","",IF(VALUE(LEFT(Protokoll_1p!H193,FIND(":",Protokoll_1p!H193)-1))&gt;VALUE(RIGHT(Protokoll_1p!H193,LEN(Protokoll_1p!H193)-FIND(":",Protokoll_1p!H193))),0,1))</f>
        <v/>
      </c>
      <c r="L227" s="1" t="str">
        <f>IF(Protokoll_1p!I193="","",IF(VALUE(LEFT(Protokoll_1p!I193,FIND(":",Protokoll_1p!I193)-1))&gt;VALUE(RIGHT(Protokoll_1p!I193,LEN(Protokoll_1p!I193)-FIND(":",Protokoll_1p!I193))),0,1))</f>
        <v/>
      </c>
      <c r="M227" s="1" t="str">
        <f>IF(Protokoll_1p!J193="","",IF(VALUE(LEFT(Protokoll_1p!J193,FIND(":",Protokoll_1p!J193)-1))&gt;VALUE(RIGHT(Protokoll_1p!J193,LEN(Protokoll_1p!J193)-FIND(":",Protokoll_1p!J193))),0,1))</f>
        <v/>
      </c>
      <c r="N227" s="1" t="str">
        <f t="shared" si="7"/>
        <v/>
      </c>
    </row>
    <row r="228" spans="2:14">
      <c r="B228" s="1" t="str">
        <f>IF(Protokoll_1p!F194="","",IF(VALUE(LEFT(Protokoll_1p!F194,FIND(":",Protokoll_1p!F194)-1))&gt;VALUE(RIGHT(Protokoll_1p!F194,LEN(Protokoll_1p!F194)-FIND(":",Protokoll_1p!F194))),1,0))</f>
        <v/>
      </c>
      <c r="C228" s="1" t="str">
        <f>IF(Protokoll_1p!G194="","",IF(VALUE(LEFT(Protokoll_1p!G194,FIND(":",Protokoll_1p!G194)-1))&gt;VALUE(RIGHT(Protokoll_1p!G194,LEN(Protokoll_1p!G194)-FIND(":",Protokoll_1p!G194))),1,0))</f>
        <v/>
      </c>
      <c r="D228" s="1" t="str">
        <f>IF(Protokoll_1p!H194="","",IF(VALUE(LEFT(Protokoll_1p!H194,FIND(":",Protokoll_1p!H194)-1))&gt;VALUE(RIGHT(Protokoll_1p!H194,LEN(Protokoll_1p!H194)-FIND(":",Protokoll_1p!H194))),1,0))</f>
        <v/>
      </c>
      <c r="E228" s="1" t="str">
        <f>IF(Protokoll_1p!I194="","",IF(VALUE(LEFT(Protokoll_1p!I194,FIND(":",Protokoll_1p!I194)-1))&gt;VALUE(RIGHT(Protokoll_1p!I194,LEN(Protokoll_1p!I194)-FIND(":",Protokoll_1p!I194))),1,0))</f>
        <v/>
      </c>
      <c r="F228" s="1" t="str">
        <f>IF(Protokoll_1p!J194="","",IF(VALUE(LEFT(Protokoll_1p!J194,FIND(":",Protokoll_1p!J194)-1))&gt;VALUE(RIGHT(Protokoll_1p!J194,LEN(Protokoll_1p!J194)-FIND(":",Protokoll_1p!J194))),1,0))</f>
        <v/>
      </c>
      <c r="G228" s="1" t="str">
        <f t="shared" si="6"/>
        <v/>
      </c>
      <c r="I228" s="1" t="str">
        <f>IF(Protokoll_1p!F194="","",IF(VALUE(LEFT(Protokoll_1p!F194,FIND(":",Protokoll_1p!F194)-1))&gt;VALUE(RIGHT(Protokoll_1p!F194,LEN(Protokoll_1p!F194)-FIND(":",Protokoll_1p!F194))),0,1))</f>
        <v/>
      </c>
      <c r="J228" s="1" t="str">
        <f>IF(Protokoll_1p!G194="","",IF(VALUE(LEFT(Protokoll_1p!G194,FIND(":",Protokoll_1p!G194)-1))&gt;VALUE(RIGHT(Protokoll_1p!G194,LEN(Protokoll_1p!G194)-FIND(":",Protokoll_1p!G194))),0,1))</f>
        <v/>
      </c>
      <c r="K228" s="1" t="str">
        <f>IF(Protokoll_1p!H194="","",IF(VALUE(LEFT(Protokoll_1p!H194,FIND(":",Protokoll_1p!H194)-1))&gt;VALUE(RIGHT(Protokoll_1p!H194,LEN(Protokoll_1p!H194)-FIND(":",Protokoll_1p!H194))),0,1))</f>
        <v/>
      </c>
      <c r="L228" s="1" t="str">
        <f>IF(Protokoll_1p!I194="","",IF(VALUE(LEFT(Protokoll_1p!I194,FIND(":",Protokoll_1p!I194)-1))&gt;VALUE(RIGHT(Protokoll_1p!I194,LEN(Protokoll_1p!I194)-FIND(":",Protokoll_1p!I194))),0,1))</f>
        <v/>
      </c>
      <c r="M228" s="1" t="str">
        <f>IF(Protokoll_1p!J194="","",IF(VALUE(LEFT(Protokoll_1p!J194,FIND(":",Protokoll_1p!J194)-1))&gt;VALUE(RIGHT(Protokoll_1p!J194,LEN(Protokoll_1p!J194)-FIND(":",Protokoll_1p!J194))),0,1))</f>
        <v/>
      </c>
      <c r="N228" s="1" t="str">
        <f t="shared" si="7"/>
        <v/>
      </c>
    </row>
    <row r="229" spans="2:14">
      <c r="B229" s="1" t="str">
        <f>IF(Protokoll_1p!F195="","",IF(VALUE(LEFT(Protokoll_1p!F195,FIND(":",Protokoll_1p!F195)-1))&gt;VALUE(RIGHT(Protokoll_1p!F195,LEN(Protokoll_1p!F195)-FIND(":",Protokoll_1p!F195))),1,0))</f>
        <v/>
      </c>
      <c r="C229" s="1" t="str">
        <f>IF(Protokoll_1p!G195="","",IF(VALUE(LEFT(Protokoll_1p!G195,FIND(":",Protokoll_1p!G195)-1))&gt;VALUE(RIGHT(Protokoll_1p!G195,LEN(Protokoll_1p!G195)-FIND(":",Protokoll_1p!G195))),1,0))</f>
        <v/>
      </c>
      <c r="D229" s="1" t="str">
        <f>IF(Protokoll_1p!H195="","",IF(VALUE(LEFT(Protokoll_1p!H195,FIND(":",Protokoll_1p!H195)-1))&gt;VALUE(RIGHT(Protokoll_1p!H195,LEN(Protokoll_1p!H195)-FIND(":",Protokoll_1p!H195))),1,0))</f>
        <v/>
      </c>
      <c r="E229" s="1" t="str">
        <f>IF(Protokoll_1p!I195="","",IF(VALUE(LEFT(Protokoll_1p!I195,FIND(":",Protokoll_1p!I195)-1))&gt;VALUE(RIGHT(Protokoll_1p!I195,LEN(Protokoll_1p!I195)-FIND(":",Protokoll_1p!I195))),1,0))</f>
        <v/>
      </c>
      <c r="F229" s="1" t="str">
        <f>IF(Protokoll_1p!J195="","",IF(VALUE(LEFT(Protokoll_1p!J195,FIND(":",Protokoll_1p!J195)-1))&gt;VALUE(RIGHT(Protokoll_1p!J195,LEN(Protokoll_1p!J195)-FIND(":",Protokoll_1p!J195))),1,0))</f>
        <v/>
      </c>
      <c r="G229" s="1" t="str">
        <f t="shared" si="6"/>
        <v/>
      </c>
      <c r="I229" s="1" t="str">
        <f>IF(Protokoll_1p!F195="","",IF(VALUE(LEFT(Protokoll_1p!F195,FIND(":",Protokoll_1p!F195)-1))&gt;VALUE(RIGHT(Protokoll_1p!F195,LEN(Protokoll_1p!F195)-FIND(":",Protokoll_1p!F195))),0,1))</f>
        <v/>
      </c>
      <c r="J229" s="1" t="str">
        <f>IF(Protokoll_1p!G195="","",IF(VALUE(LEFT(Protokoll_1p!G195,FIND(":",Protokoll_1p!G195)-1))&gt;VALUE(RIGHT(Protokoll_1p!G195,LEN(Protokoll_1p!G195)-FIND(":",Protokoll_1p!G195))),0,1))</f>
        <v/>
      </c>
      <c r="K229" s="1" t="str">
        <f>IF(Protokoll_1p!H195="","",IF(VALUE(LEFT(Protokoll_1p!H195,FIND(":",Protokoll_1p!H195)-1))&gt;VALUE(RIGHT(Protokoll_1p!H195,LEN(Protokoll_1p!H195)-FIND(":",Protokoll_1p!H195))),0,1))</f>
        <v/>
      </c>
      <c r="L229" s="1" t="str">
        <f>IF(Protokoll_1p!I195="","",IF(VALUE(LEFT(Protokoll_1p!I195,FIND(":",Protokoll_1p!I195)-1))&gt;VALUE(RIGHT(Protokoll_1p!I195,LEN(Protokoll_1p!I195)-FIND(":",Protokoll_1p!I195))),0,1))</f>
        <v/>
      </c>
      <c r="M229" s="1" t="str">
        <f>IF(Protokoll_1p!J195="","",IF(VALUE(LEFT(Protokoll_1p!J195,FIND(":",Protokoll_1p!J195)-1))&gt;VALUE(RIGHT(Protokoll_1p!J195,LEN(Protokoll_1p!J195)-FIND(":",Protokoll_1p!J195))),0,1))</f>
        <v/>
      </c>
      <c r="N229" s="1" t="str">
        <f t="shared" si="7"/>
        <v/>
      </c>
    </row>
    <row r="230" spans="2:14">
      <c r="B230" s="1" t="str">
        <f>IF(Protokoll_1p!F196="","",IF(VALUE(LEFT(Protokoll_1p!F196,FIND(":",Protokoll_1p!F196)-1))&gt;VALUE(RIGHT(Protokoll_1p!F196,LEN(Protokoll_1p!F196)-FIND(":",Protokoll_1p!F196))),1,0))</f>
        <v/>
      </c>
      <c r="C230" s="1" t="str">
        <f>IF(Protokoll_1p!G196="","",IF(VALUE(LEFT(Protokoll_1p!G196,FIND(":",Protokoll_1p!G196)-1))&gt;VALUE(RIGHT(Protokoll_1p!G196,LEN(Protokoll_1p!G196)-FIND(":",Protokoll_1p!G196))),1,0))</f>
        <v/>
      </c>
      <c r="D230" s="1" t="str">
        <f>IF(Protokoll_1p!H196="","",IF(VALUE(LEFT(Protokoll_1p!H196,FIND(":",Protokoll_1p!H196)-1))&gt;VALUE(RIGHT(Protokoll_1p!H196,LEN(Protokoll_1p!H196)-FIND(":",Protokoll_1p!H196))),1,0))</f>
        <v/>
      </c>
      <c r="E230" s="1" t="str">
        <f>IF(Protokoll_1p!I196="","",IF(VALUE(LEFT(Protokoll_1p!I196,FIND(":",Protokoll_1p!I196)-1))&gt;VALUE(RIGHT(Protokoll_1p!I196,LEN(Protokoll_1p!I196)-FIND(":",Protokoll_1p!I196))),1,0))</f>
        <v/>
      </c>
      <c r="F230" s="1" t="str">
        <f>IF(Protokoll_1p!J196="","",IF(VALUE(LEFT(Protokoll_1p!J196,FIND(":",Protokoll_1p!J196)-1))&gt;VALUE(RIGHT(Protokoll_1p!J196,LEN(Protokoll_1p!J196)-FIND(":",Protokoll_1p!J196))),1,0))</f>
        <v/>
      </c>
      <c r="G230" s="1" t="str">
        <f t="shared" si="6"/>
        <v/>
      </c>
      <c r="I230" s="1" t="str">
        <f>IF(Protokoll_1p!F196="","",IF(VALUE(LEFT(Protokoll_1p!F196,FIND(":",Protokoll_1p!F196)-1))&gt;VALUE(RIGHT(Protokoll_1p!F196,LEN(Protokoll_1p!F196)-FIND(":",Protokoll_1p!F196))),0,1))</f>
        <v/>
      </c>
      <c r="J230" s="1" t="str">
        <f>IF(Protokoll_1p!G196="","",IF(VALUE(LEFT(Protokoll_1p!G196,FIND(":",Protokoll_1p!G196)-1))&gt;VALUE(RIGHT(Protokoll_1p!G196,LEN(Protokoll_1p!G196)-FIND(":",Protokoll_1p!G196))),0,1))</f>
        <v/>
      </c>
      <c r="K230" s="1" t="str">
        <f>IF(Protokoll_1p!H196="","",IF(VALUE(LEFT(Protokoll_1p!H196,FIND(":",Protokoll_1p!H196)-1))&gt;VALUE(RIGHT(Protokoll_1p!H196,LEN(Protokoll_1p!H196)-FIND(":",Protokoll_1p!H196))),0,1))</f>
        <v/>
      </c>
      <c r="L230" s="1" t="str">
        <f>IF(Protokoll_1p!I196="","",IF(VALUE(LEFT(Protokoll_1p!I196,FIND(":",Protokoll_1p!I196)-1))&gt;VALUE(RIGHT(Protokoll_1p!I196,LEN(Protokoll_1p!I196)-FIND(":",Protokoll_1p!I196))),0,1))</f>
        <v/>
      </c>
      <c r="M230" s="1" t="str">
        <f>IF(Protokoll_1p!J196="","",IF(VALUE(LEFT(Protokoll_1p!J196,FIND(":",Protokoll_1p!J196)-1))&gt;VALUE(RIGHT(Protokoll_1p!J196,LEN(Protokoll_1p!J196)-FIND(":",Protokoll_1p!J196))),0,1))</f>
        <v/>
      </c>
      <c r="N230" s="1" t="str">
        <f t="shared" si="7"/>
        <v/>
      </c>
    </row>
    <row r="231" spans="2:14">
      <c r="B231" s="1" t="str">
        <f>IF(Protokoll_1p!F197="","",IF(VALUE(LEFT(Protokoll_1p!F197,FIND(":",Protokoll_1p!F197)-1))&gt;VALUE(RIGHT(Protokoll_1p!F197,LEN(Protokoll_1p!F197)-FIND(":",Protokoll_1p!F197))),1,0))</f>
        <v/>
      </c>
      <c r="C231" s="1" t="str">
        <f>IF(Protokoll_1p!G197="","",IF(VALUE(LEFT(Protokoll_1p!G197,FIND(":",Protokoll_1p!G197)-1))&gt;VALUE(RIGHT(Protokoll_1p!G197,LEN(Protokoll_1p!G197)-FIND(":",Protokoll_1p!G197))),1,0))</f>
        <v/>
      </c>
      <c r="D231" s="1" t="str">
        <f>IF(Protokoll_1p!H197="","",IF(VALUE(LEFT(Protokoll_1p!H197,FIND(":",Protokoll_1p!H197)-1))&gt;VALUE(RIGHT(Protokoll_1p!H197,LEN(Protokoll_1p!H197)-FIND(":",Protokoll_1p!H197))),1,0))</f>
        <v/>
      </c>
      <c r="E231" s="1" t="str">
        <f>IF(Protokoll_1p!I197="","",IF(VALUE(LEFT(Protokoll_1p!I197,FIND(":",Protokoll_1p!I197)-1))&gt;VALUE(RIGHT(Protokoll_1p!I197,LEN(Protokoll_1p!I197)-FIND(":",Protokoll_1p!I197))),1,0))</f>
        <v/>
      </c>
      <c r="F231" s="1" t="str">
        <f>IF(Protokoll_1p!J197="","",IF(VALUE(LEFT(Protokoll_1p!J197,FIND(":",Protokoll_1p!J197)-1))&gt;VALUE(RIGHT(Protokoll_1p!J197,LEN(Protokoll_1p!J197)-FIND(":",Protokoll_1p!J197))),1,0))</f>
        <v/>
      </c>
      <c r="G231" s="1" t="str">
        <f t="shared" si="6"/>
        <v/>
      </c>
      <c r="I231" s="1" t="str">
        <f>IF(Protokoll_1p!F197="","",IF(VALUE(LEFT(Protokoll_1p!F197,FIND(":",Protokoll_1p!F197)-1))&gt;VALUE(RIGHT(Protokoll_1p!F197,LEN(Protokoll_1p!F197)-FIND(":",Protokoll_1p!F197))),0,1))</f>
        <v/>
      </c>
      <c r="J231" s="1" t="str">
        <f>IF(Protokoll_1p!G197="","",IF(VALUE(LEFT(Protokoll_1p!G197,FIND(":",Protokoll_1p!G197)-1))&gt;VALUE(RIGHT(Protokoll_1p!G197,LEN(Protokoll_1p!G197)-FIND(":",Protokoll_1p!G197))),0,1))</f>
        <v/>
      </c>
      <c r="K231" s="1" t="str">
        <f>IF(Protokoll_1p!H197="","",IF(VALUE(LEFT(Protokoll_1p!H197,FIND(":",Protokoll_1p!H197)-1))&gt;VALUE(RIGHT(Protokoll_1p!H197,LEN(Protokoll_1p!H197)-FIND(":",Protokoll_1p!H197))),0,1))</f>
        <v/>
      </c>
      <c r="L231" s="1" t="str">
        <f>IF(Protokoll_1p!I197="","",IF(VALUE(LEFT(Protokoll_1p!I197,FIND(":",Protokoll_1p!I197)-1))&gt;VALUE(RIGHT(Protokoll_1p!I197,LEN(Protokoll_1p!I197)-FIND(":",Protokoll_1p!I197))),0,1))</f>
        <v/>
      </c>
      <c r="M231" s="1" t="str">
        <f>IF(Protokoll_1p!J197="","",IF(VALUE(LEFT(Protokoll_1p!J197,FIND(":",Protokoll_1p!J197)-1))&gt;VALUE(RIGHT(Protokoll_1p!J197,LEN(Protokoll_1p!J197)-FIND(":",Protokoll_1p!J197))),0,1))</f>
        <v/>
      </c>
      <c r="N231" s="1" t="str">
        <f t="shared" si="7"/>
        <v/>
      </c>
    </row>
    <row r="232" spans="2:14">
      <c r="B232" s="1" t="str">
        <f>IF(Protokoll_1p!F198="","",IF(VALUE(LEFT(Protokoll_1p!F198,FIND(":",Protokoll_1p!F198)-1))&gt;VALUE(RIGHT(Protokoll_1p!F198,LEN(Protokoll_1p!F198)-FIND(":",Protokoll_1p!F198))),1,0))</f>
        <v/>
      </c>
      <c r="C232" s="1" t="str">
        <f>IF(Protokoll_1p!G198="","",IF(VALUE(LEFT(Protokoll_1p!G198,FIND(":",Protokoll_1p!G198)-1))&gt;VALUE(RIGHT(Protokoll_1p!G198,LEN(Protokoll_1p!G198)-FIND(":",Protokoll_1p!G198))),1,0))</f>
        <v/>
      </c>
      <c r="D232" s="1" t="str">
        <f>IF(Protokoll_1p!H198="","",IF(VALUE(LEFT(Protokoll_1p!H198,FIND(":",Protokoll_1p!H198)-1))&gt;VALUE(RIGHT(Protokoll_1p!H198,LEN(Protokoll_1p!H198)-FIND(":",Protokoll_1p!H198))),1,0))</f>
        <v/>
      </c>
      <c r="E232" s="1" t="str">
        <f>IF(Protokoll_1p!I198="","",IF(VALUE(LEFT(Protokoll_1p!I198,FIND(":",Protokoll_1p!I198)-1))&gt;VALUE(RIGHT(Protokoll_1p!I198,LEN(Protokoll_1p!I198)-FIND(":",Protokoll_1p!I198))),1,0))</f>
        <v/>
      </c>
      <c r="F232" s="1" t="str">
        <f>IF(Protokoll_1p!J198="","",IF(VALUE(LEFT(Protokoll_1p!J198,FIND(":",Protokoll_1p!J198)-1))&gt;VALUE(RIGHT(Protokoll_1p!J198,LEN(Protokoll_1p!J198)-FIND(":",Protokoll_1p!J198))),1,0))</f>
        <v/>
      </c>
      <c r="G232" s="1" t="str">
        <f t="shared" si="6"/>
        <v/>
      </c>
      <c r="I232" s="1" t="str">
        <f>IF(Protokoll_1p!F198="","",IF(VALUE(LEFT(Protokoll_1p!F198,FIND(":",Protokoll_1p!F198)-1))&gt;VALUE(RIGHT(Protokoll_1p!F198,LEN(Protokoll_1p!F198)-FIND(":",Protokoll_1p!F198))),0,1))</f>
        <v/>
      </c>
      <c r="J232" s="1" t="str">
        <f>IF(Protokoll_1p!G198="","",IF(VALUE(LEFT(Protokoll_1p!G198,FIND(":",Protokoll_1p!G198)-1))&gt;VALUE(RIGHT(Protokoll_1p!G198,LEN(Protokoll_1p!G198)-FIND(":",Protokoll_1p!G198))),0,1))</f>
        <v/>
      </c>
      <c r="K232" s="1" t="str">
        <f>IF(Protokoll_1p!H198="","",IF(VALUE(LEFT(Protokoll_1p!H198,FIND(":",Protokoll_1p!H198)-1))&gt;VALUE(RIGHT(Protokoll_1p!H198,LEN(Protokoll_1p!H198)-FIND(":",Protokoll_1p!H198))),0,1))</f>
        <v/>
      </c>
      <c r="L232" s="1" t="str">
        <f>IF(Protokoll_1p!I198="","",IF(VALUE(LEFT(Protokoll_1p!I198,FIND(":",Protokoll_1p!I198)-1))&gt;VALUE(RIGHT(Protokoll_1p!I198,LEN(Protokoll_1p!I198)-FIND(":",Protokoll_1p!I198))),0,1))</f>
        <v/>
      </c>
      <c r="M232" s="1" t="str">
        <f>IF(Protokoll_1p!J198="","",IF(VALUE(LEFT(Protokoll_1p!J198,FIND(":",Protokoll_1p!J198)-1))&gt;VALUE(RIGHT(Protokoll_1p!J198,LEN(Protokoll_1p!J198)-FIND(":",Protokoll_1p!J198))),0,1))</f>
        <v/>
      </c>
      <c r="N232" s="1" t="str">
        <f t="shared" si="7"/>
        <v/>
      </c>
    </row>
    <row r="233" spans="2:14">
      <c r="B233" s="1" t="str">
        <f>IF(Protokoll_1p!F199="","",IF(VALUE(LEFT(Protokoll_1p!F199,FIND(":",Protokoll_1p!F199)-1))&gt;VALUE(RIGHT(Protokoll_1p!F199,LEN(Protokoll_1p!F199)-FIND(":",Protokoll_1p!F199))),1,0))</f>
        <v/>
      </c>
      <c r="C233" s="1" t="str">
        <f>IF(Protokoll_1p!G199="","",IF(VALUE(LEFT(Protokoll_1p!G199,FIND(":",Protokoll_1p!G199)-1))&gt;VALUE(RIGHT(Protokoll_1p!G199,LEN(Protokoll_1p!G199)-FIND(":",Protokoll_1p!G199))),1,0))</f>
        <v/>
      </c>
      <c r="D233" s="1" t="str">
        <f>IF(Protokoll_1p!H199="","",IF(VALUE(LEFT(Protokoll_1p!H199,FIND(":",Protokoll_1p!H199)-1))&gt;VALUE(RIGHT(Protokoll_1p!H199,LEN(Protokoll_1p!H199)-FIND(":",Protokoll_1p!H199))),1,0))</f>
        <v/>
      </c>
      <c r="E233" s="1" t="str">
        <f>IF(Protokoll_1p!I199="","",IF(VALUE(LEFT(Protokoll_1p!I199,FIND(":",Protokoll_1p!I199)-1))&gt;VALUE(RIGHT(Protokoll_1p!I199,LEN(Protokoll_1p!I199)-FIND(":",Protokoll_1p!I199))),1,0))</f>
        <v/>
      </c>
      <c r="F233" s="1" t="str">
        <f>IF(Protokoll_1p!J199="","",IF(VALUE(LEFT(Protokoll_1p!J199,FIND(":",Protokoll_1p!J199)-1))&gt;VALUE(RIGHT(Protokoll_1p!J199,LEN(Protokoll_1p!J199)-FIND(":",Protokoll_1p!J199))),1,0))</f>
        <v/>
      </c>
      <c r="G233" s="1" t="str">
        <f t="shared" si="6"/>
        <v/>
      </c>
      <c r="I233" s="1" t="str">
        <f>IF(Protokoll_1p!F199="","",IF(VALUE(LEFT(Protokoll_1p!F199,FIND(":",Protokoll_1p!F199)-1))&gt;VALUE(RIGHT(Protokoll_1p!F199,LEN(Protokoll_1p!F199)-FIND(":",Protokoll_1p!F199))),0,1))</f>
        <v/>
      </c>
      <c r="J233" s="1" t="str">
        <f>IF(Protokoll_1p!G199="","",IF(VALUE(LEFT(Protokoll_1p!G199,FIND(":",Protokoll_1p!G199)-1))&gt;VALUE(RIGHT(Protokoll_1p!G199,LEN(Protokoll_1p!G199)-FIND(":",Protokoll_1p!G199))),0,1))</f>
        <v/>
      </c>
      <c r="K233" s="1" t="str">
        <f>IF(Protokoll_1p!H199="","",IF(VALUE(LEFT(Protokoll_1p!H199,FIND(":",Protokoll_1p!H199)-1))&gt;VALUE(RIGHT(Protokoll_1p!H199,LEN(Protokoll_1p!H199)-FIND(":",Protokoll_1p!H199))),0,1))</f>
        <v/>
      </c>
      <c r="L233" s="1" t="str">
        <f>IF(Protokoll_1p!I199="","",IF(VALUE(LEFT(Protokoll_1p!I199,FIND(":",Protokoll_1p!I199)-1))&gt;VALUE(RIGHT(Protokoll_1p!I199,LEN(Protokoll_1p!I199)-FIND(":",Protokoll_1p!I199))),0,1))</f>
        <v/>
      </c>
      <c r="M233" s="1" t="str">
        <f>IF(Protokoll_1p!J199="","",IF(VALUE(LEFT(Protokoll_1p!J199,FIND(":",Protokoll_1p!J199)-1))&gt;VALUE(RIGHT(Protokoll_1p!J199,LEN(Protokoll_1p!J199)-FIND(":",Protokoll_1p!J199))),0,1))</f>
        <v/>
      </c>
      <c r="N233" s="1" t="str">
        <f t="shared" si="7"/>
        <v/>
      </c>
    </row>
    <row r="234" spans="2:14">
      <c r="B234" s="1" t="str">
        <f>IF(Protokoll_1p!F200="","",IF(VALUE(LEFT(Protokoll_1p!F200,FIND(":",Protokoll_1p!F200)-1))&gt;VALUE(RIGHT(Protokoll_1p!F200,LEN(Protokoll_1p!F200)-FIND(":",Protokoll_1p!F200))),1,0))</f>
        <v/>
      </c>
      <c r="C234" s="1" t="str">
        <f>IF(Protokoll_1p!G200="","",IF(VALUE(LEFT(Protokoll_1p!G200,FIND(":",Protokoll_1p!G200)-1))&gt;VALUE(RIGHT(Protokoll_1p!G200,LEN(Protokoll_1p!G200)-FIND(":",Protokoll_1p!G200))),1,0))</f>
        <v/>
      </c>
      <c r="D234" s="1" t="str">
        <f>IF(Protokoll_1p!H200="","",IF(VALUE(LEFT(Protokoll_1p!H200,FIND(":",Protokoll_1p!H200)-1))&gt;VALUE(RIGHT(Protokoll_1p!H200,LEN(Protokoll_1p!H200)-FIND(":",Protokoll_1p!H200))),1,0))</f>
        <v/>
      </c>
      <c r="E234" s="1" t="str">
        <f>IF(Protokoll_1p!I200="","",IF(VALUE(LEFT(Protokoll_1p!I200,FIND(":",Protokoll_1p!I200)-1))&gt;VALUE(RIGHT(Protokoll_1p!I200,LEN(Protokoll_1p!I200)-FIND(":",Protokoll_1p!I200))),1,0))</f>
        <v/>
      </c>
      <c r="F234" s="1" t="str">
        <f>IF(Protokoll_1p!J200="","",IF(VALUE(LEFT(Protokoll_1p!J200,FIND(":",Protokoll_1p!J200)-1))&gt;VALUE(RIGHT(Protokoll_1p!J200,LEN(Protokoll_1p!J200)-FIND(":",Protokoll_1p!J200))),1,0))</f>
        <v/>
      </c>
      <c r="G234" s="1" t="str">
        <f t="shared" si="6"/>
        <v/>
      </c>
      <c r="I234" s="1" t="str">
        <f>IF(Protokoll_1p!F200="","",IF(VALUE(LEFT(Protokoll_1p!F200,FIND(":",Protokoll_1p!F200)-1))&gt;VALUE(RIGHT(Protokoll_1p!F200,LEN(Protokoll_1p!F200)-FIND(":",Protokoll_1p!F200))),0,1))</f>
        <v/>
      </c>
      <c r="J234" s="1" t="str">
        <f>IF(Protokoll_1p!G200="","",IF(VALUE(LEFT(Protokoll_1p!G200,FIND(":",Protokoll_1p!G200)-1))&gt;VALUE(RIGHT(Protokoll_1p!G200,LEN(Protokoll_1p!G200)-FIND(":",Protokoll_1p!G200))),0,1))</f>
        <v/>
      </c>
      <c r="K234" s="1" t="str">
        <f>IF(Protokoll_1p!H200="","",IF(VALUE(LEFT(Protokoll_1p!H200,FIND(":",Protokoll_1p!H200)-1))&gt;VALUE(RIGHT(Protokoll_1p!H200,LEN(Protokoll_1p!H200)-FIND(":",Protokoll_1p!H200))),0,1))</f>
        <v/>
      </c>
      <c r="L234" s="1" t="str">
        <f>IF(Protokoll_1p!I200="","",IF(VALUE(LEFT(Protokoll_1p!I200,FIND(":",Protokoll_1p!I200)-1))&gt;VALUE(RIGHT(Protokoll_1p!I200,LEN(Protokoll_1p!I200)-FIND(":",Protokoll_1p!I200))),0,1))</f>
        <v/>
      </c>
      <c r="M234" s="1" t="str">
        <f>IF(Protokoll_1p!J200="","",IF(VALUE(LEFT(Protokoll_1p!J200,FIND(":",Protokoll_1p!J200)-1))&gt;VALUE(RIGHT(Protokoll_1p!J200,LEN(Protokoll_1p!J200)-FIND(":",Protokoll_1p!J200))),0,1))</f>
        <v/>
      </c>
      <c r="N234" s="1" t="str">
        <f t="shared" si="7"/>
        <v/>
      </c>
    </row>
    <row r="235" spans="2:14">
      <c r="B235" s="1" t="str">
        <f>IF(Protokoll_1p!F201="","",IF(VALUE(LEFT(Protokoll_1p!F201,FIND(":",Protokoll_1p!F201)-1))&gt;VALUE(RIGHT(Protokoll_1p!F201,LEN(Protokoll_1p!F201)-FIND(":",Protokoll_1p!F201))),1,0))</f>
        <v/>
      </c>
      <c r="C235" s="1" t="str">
        <f>IF(Protokoll_1p!G201="","",IF(VALUE(LEFT(Protokoll_1p!G201,FIND(":",Protokoll_1p!G201)-1))&gt;VALUE(RIGHT(Protokoll_1p!G201,LEN(Protokoll_1p!G201)-FIND(":",Protokoll_1p!G201))),1,0))</f>
        <v/>
      </c>
      <c r="D235" s="1" t="str">
        <f>IF(Protokoll_1p!H201="","",IF(VALUE(LEFT(Protokoll_1p!H201,FIND(":",Protokoll_1p!H201)-1))&gt;VALUE(RIGHT(Protokoll_1p!H201,LEN(Protokoll_1p!H201)-FIND(":",Protokoll_1p!H201))),1,0))</f>
        <v/>
      </c>
      <c r="E235" s="1" t="str">
        <f>IF(Protokoll_1p!I201="","",IF(VALUE(LEFT(Protokoll_1p!I201,FIND(":",Protokoll_1p!I201)-1))&gt;VALUE(RIGHT(Protokoll_1p!I201,LEN(Protokoll_1p!I201)-FIND(":",Protokoll_1p!I201))),1,0))</f>
        <v/>
      </c>
      <c r="F235" s="1" t="str">
        <f>IF(Protokoll_1p!J201="","",IF(VALUE(LEFT(Protokoll_1p!J201,FIND(":",Protokoll_1p!J201)-1))&gt;VALUE(RIGHT(Protokoll_1p!J201,LEN(Protokoll_1p!J201)-FIND(":",Protokoll_1p!J201))),1,0))</f>
        <v/>
      </c>
      <c r="G235" s="1" t="str">
        <f t="shared" si="6"/>
        <v/>
      </c>
      <c r="I235" s="1" t="str">
        <f>IF(Protokoll_1p!F201="","",IF(VALUE(LEFT(Protokoll_1p!F201,FIND(":",Protokoll_1p!F201)-1))&gt;VALUE(RIGHT(Protokoll_1p!F201,LEN(Protokoll_1p!F201)-FIND(":",Protokoll_1p!F201))),0,1))</f>
        <v/>
      </c>
      <c r="J235" s="1" t="str">
        <f>IF(Protokoll_1p!G201="","",IF(VALUE(LEFT(Protokoll_1p!G201,FIND(":",Protokoll_1p!G201)-1))&gt;VALUE(RIGHT(Protokoll_1p!G201,LEN(Protokoll_1p!G201)-FIND(":",Protokoll_1p!G201))),0,1))</f>
        <v/>
      </c>
      <c r="K235" s="1" t="str">
        <f>IF(Protokoll_1p!H201="","",IF(VALUE(LEFT(Protokoll_1p!H201,FIND(":",Protokoll_1p!H201)-1))&gt;VALUE(RIGHT(Protokoll_1p!H201,LEN(Protokoll_1p!H201)-FIND(":",Protokoll_1p!H201))),0,1))</f>
        <v/>
      </c>
      <c r="L235" s="1" t="str">
        <f>IF(Protokoll_1p!I201="","",IF(VALUE(LEFT(Protokoll_1p!I201,FIND(":",Protokoll_1p!I201)-1))&gt;VALUE(RIGHT(Protokoll_1p!I201,LEN(Protokoll_1p!I201)-FIND(":",Protokoll_1p!I201))),0,1))</f>
        <v/>
      </c>
      <c r="M235" s="1" t="str">
        <f>IF(Protokoll_1p!J201="","",IF(VALUE(LEFT(Protokoll_1p!J201,FIND(":",Protokoll_1p!J201)-1))&gt;VALUE(RIGHT(Protokoll_1p!J201,LEN(Protokoll_1p!J201)-FIND(":",Protokoll_1p!J201))),0,1))</f>
        <v/>
      </c>
      <c r="N235" s="1" t="str">
        <f t="shared" si="7"/>
        <v/>
      </c>
    </row>
    <row r="236" spans="2:14">
      <c r="B236" s="1" t="str">
        <f>IF(Protokoll_1p!F202="","",IF(VALUE(LEFT(Protokoll_1p!F202,FIND(":",Protokoll_1p!F202)-1))&gt;VALUE(RIGHT(Protokoll_1p!F202,LEN(Protokoll_1p!F202)-FIND(":",Protokoll_1p!F202))),1,0))</f>
        <v/>
      </c>
      <c r="C236" s="1" t="str">
        <f>IF(Protokoll_1p!G202="","",IF(VALUE(LEFT(Protokoll_1p!G202,FIND(":",Protokoll_1p!G202)-1))&gt;VALUE(RIGHT(Protokoll_1p!G202,LEN(Protokoll_1p!G202)-FIND(":",Protokoll_1p!G202))),1,0))</f>
        <v/>
      </c>
      <c r="D236" s="1" t="str">
        <f>IF(Protokoll_1p!H202="","",IF(VALUE(LEFT(Protokoll_1p!H202,FIND(":",Protokoll_1p!H202)-1))&gt;VALUE(RIGHT(Protokoll_1p!H202,LEN(Protokoll_1p!H202)-FIND(":",Protokoll_1p!H202))),1,0))</f>
        <v/>
      </c>
      <c r="E236" s="1" t="str">
        <f>IF(Protokoll_1p!I202="","",IF(VALUE(LEFT(Protokoll_1p!I202,FIND(":",Protokoll_1p!I202)-1))&gt;VALUE(RIGHT(Protokoll_1p!I202,LEN(Protokoll_1p!I202)-FIND(":",Protokoll_1p!I202))),1,0))</f>
        <v/>
      </c>
      <c r="F236" s="1" t="str">
        <f>IF(Protokoll_1p!J202="","",IF(VALUE(LEFT(Protokoll_1p!J202,FIND(":",Protokoll_1p!J202)-1))&gt;VALUE(RIGHT(Protokoll_1p!J202,LEN(Protokoll_1p!J202)-FIND(":",Protokoll_1p!J202))),1,0))</f>
        <v/>
      </c>
      <c r="G236" s="1" t="str">
        <f t="shared" si="6"/>
        <v/>
      </c>
      <c r="I236" s="1" t="str">
        <f>IF(Protokoll_1p!F202="","",IF(VALUE(LEFT(Protokoll_1p!F202,FIND(":",Protokoll_1p!F202)-1))&gt;VALUE(RIGHT(Protokoll_1p!F202,LEN(Protokoll_1p!F202)-FIND(":",Protokoll_1p!F202))),0,1))</f>
        <v/>
      </c>
      <c r="J236" s="1" t="str">
        <f>IF(Protokoll_1p!G202="","",IF(VALUE(LEFT(Protokoll_1p!G202,FIND(":",Protokoll_1p!G202)-1))&gt;VALUE(RIGHT(Protokoll_1p!G202,LEN(Protokoll_1p!G202)-FIND(":",Protokoll_1p!G202))),0,1))</f>
        <v/>
      </c>
      <c r="K236" s="1" t="str">
        <f>IF(Protokoll_1p!H202="","",IF(VALUE(LEFT(Protokoll_1p!H202,FIND(":",Protokoll_1p!H202)-1))&gt;VALUE(RIGHT(Protokoll_1p!H202,LEN(Protokoll_1p!H202)-FIND(":",Protokoll_1p!H202))),0,1))</f>
        <v/>
      </c>
      <c r="L236" s="1" t="str">
        <f>IF(Protokoll_1p!I202="","",IF(VALUE(LEFT(Protokoll_1p!I202,FIND(":",Protokoll_1p!I202)-1))&gt;VALUE(RIGHT(Protokoll_1p!I202,LEN(Protokoll_1p!I202)-FIND(":",Protokoll_1p!I202))),0,1))</f>
        <v/>
      </c>
      <c r="M236" s="1" t="str">
        <f>IF(Protokoll_1p!J202="","",IF(VALUE(LEFT(Protokoll_1p!J202,FIND(":",Protokoll_1p!J202)-1))&gt;VALUE(RIGHT(Protokoll_1p!J202,LEN(Protokoll_1p!J202)-FIND(":",Protokoll_1p!J202))),0,1))</f>
        <v/>
      </c>
      <c r="N236" s="1" t="str">
        <f t="shared" si="7"/>
        <v/>
      </c>
    </row>
    <row r="237" spans="2:14">
      <c r="B237" s="1" t="str">
        <f>IF(Protokoll_1p!F203="","",IF(VALUE(LEFT(Protokoll_1p!F203,FIND(":",Protokoll_1p!F203)-1))&gt;VALUE(RIGHT(Protokoll_1p!F203,LEN(Protokoll_1p!F203)-FIND(":",Protokoll_1p!F203))),1,0))</f>
        <v/>
      </c>
      <c r="C237" s="1" t="str">
        <f>IF(Protokoll_1p!G203="","",IF(VALUE(LEFT(Protokoll_1p!G203,FIND(":",Protokoll_1p!G203)-1))&gt;VALUE(RIGHT(Protokoll_1p!G203,LEN(Protokoll_1p!G203)-FIND(":",Protokoll_1p!G203))),1,0))</f>
        <v/>
      </c>
      <c r="D237" s="1" t="str">
        <f>IF(Protokoll_1p!H203="","",IF(VALUE(LEFT(Protokoll_1p!H203,FIND(":",Protokoll_1p!H203)-1))&gt;VALUE(RIGHT(Protokoll_1p!H203,LEN(Protokoll_1p!H203)-FIND(":",Protokoll_1p!H203))),1,0))</f>
        <v/>
      </c>
      <c r="E237" s="1" t="str">
        <f>IF(Protokoll_1p!I203="","",IF(VALUE(LEFT(Protokoll_1p!I203,FIND(":",Protokoll_1p!I203)-1))&gt;VALUE(RIGHT(Protokoll_1p!I203,LEN(Protokoll_1p!I203)-FIND(":",Protokoll_1p!I203))),1,0))</f>
        <v/>
      </c>
      <c r="F237" s="1" t="str">
        <f>IF(Protokoll_1p!J203="","",IF(VALUE(LEFT(Protokoll_1p!J203,FIND(":",Protokoll_1p!J203)-1))&gt;VALUE(RIGHT(Protokoll_1p!J203,LEN(Protokoll_1p!J203)-FIND(":",Protokoll_1p!J203))),1,0))</f>
        <v/>
      </c>
      <c r="G237" s="1" t="str">
        <f t="shared" si="6"/>
        <v/>
      </c>
      <c r="I237" s="1" t="str">
        <f>IF(Protokoll_1p!F203="","",IF(VALUE(LEFT(Protokoll_1p!F203,FIND(":",Protokoll_1p!F203)-1))&gt;VALUE(RIGHT(Protokoll_1p!F203,LEN(Protokoll_1p!F203)-FIND(":",Protokoll_1p!F203))),0,1))</f>
        <v/>
      </c>
      <c r="J237" s="1" t="str">
        <f>IF(Protokoll_1p!G203="","",IF(VALUE(LEFT(Protokoll_1p!G203,FIND(":",Protokoll_1p!G203)-1))&gt;VALUE(RIGHT(Protokoll_1p!G203,LEN(Protokoll_1p!G203)-FIND(":",Protokoll_1p!G203))),0,1))</f>
        <v/>
      </c>
      <c r="K237" s="1" t="str">
        <f>IF(Protokoll_1p!H203="","",IF(VALUE(LEFT(Protokoll_1p!H203,FIND(":",Protokoll_1p!H203)-1))&gt;VALUE(RIGHT(Protokoll_1p!H203,LEN(Protokoll_1p!H203)-FIND(":",Protokoll_1p!H203))),0,1))</f>
        <v/>
      </c>
      <c r="L237" s="1" t="str">
        <f>IF(Protokoll_1p!I203="","",IF(VALUE(LEFT(Protokoll_1p!I203,FIND(":",Protokoll_1p!I203)-1))&gt;VALUE(RIGHT(Protokoll_1p!I203,LEN(Protokoll_1p!I203)-FIND(":",Protokoll_1p!I203))),0,1))</f>
        <v/>
      </c>
      <c r="M237" s="1" t="str">
        <f>IF(Protokoll_1p!J203="","",IF(VALUE(LEFT(Protokoll_1p!J203,FIND(":",Protokoll_1p!J203)-1))&gt;VALUE(RIGHT(Protokoll_1p!J203,LEN(Protokoll_1p!J203)-FIND(":",Protokoll_1p!J203))),0,1))</f>
        <v/>
      </c>
      <c r="N237" s="1" t="str">
        <f t="shared" si="7"/>
        <v/>
      </c>
    </row>
    <row r="238" spans="2:14">
      <c r="B238" s="1" t="str">
        <f>IF(Protokoll_1p!F204="","",IF(VALUE(LEFT(Protokoll_1p!F204,FIND(":",Protokoll_1p!F204)-1))&gt;VALUE(RIGHT(Protokoll_1p!F204,LEN(Protokoll_1p!F204)-FIND(":",Protokoll_1p!F204))),1,0))</f>
        <v/>
      </c>
      <c r="C238" s="1" t="str">
        <f>IF(Protokoll_1p!G204="","",IF(VALUE(LEFT(Protokoll_1p!G204,FIND(":",Protokoll_1p!G204)-1))&gt;VALUE(RIGHT(Protokoll_1p!G204,LEN(Protokoll_1p!G204)-FIND(":",Protokoll_1p!G204))),1,0))</f>
        <v/>
      </c>
      <c r="D238" s="1" t="str">
        <f>IF(Protokoll_1p!H204="","",IF(VALUE(LEFT(Protokoll_1p!H204,FIND(":",Protokoll_1p!H204)-1))&gt;VALUE(RIGHT(Protokoll_1p!H204,LEN(Protokoll_1p!H204)-FIND(":",Protokoll_1p!H204))),1,0))</f>
        <v/>
      </c>
      <c r="E238" s="1" t="str">
        <f>IF(Protokoll_1p!I204="","",IF(VALUE(LEFT(Protokoll_1p!I204,FIND(":",Protokoll_1p!I204)-1))&gt;VALUE(RIGHT(Protokoll_1p!I204,LEN(Protokoll_1p!I204)-FIND(":",Protokoll_1p!I204))),1,0))</f>
        <v/>
      </c>
      <c r="F238" s="1" t="str">
        <f>IF(Protokoll_1p!J204="","",IF(VALUE(LEFT(Protokoll_1p!J204,FIND(":",Protokoll_1p!J204)-1))&gt;VALUE(RIGHT(Protokoll_1p!J204,LEN(Protokoll_1p!J204)-FIND(":",Protokoll_1p!J204))),1,0))</f>
        <v/>
      </c>
      <c r="G238" s="1" t="str">
        <f t="shared" si="6"/>
        <v/>
      </c>
      <c r="I238" s="1" t="str">
        <f>IF(Protokoll_1p!F204="","",IF(VALUE(LEFT(Protokoll_1p!F204,FIND(":",Protokoll_1p!F204)-1))&gt;VALUE(RIGHT(Protokoll_1p!F204,LEN(Protokoll_1p!F204)-FIND(":",Protokoll_1p!F204))),0,1))</f>
        <v/>
      </c>
      <c r="J238" s="1" t="str">
        <f>IF(Protokoll_1p!G204="","",IF(VALUE(LEFT(Protokoll_1p!G204,FIND(":",Protokoll_1p!G204)-1))&gt;VALUE(RIGHT(Protokoll_1p!G204,LEN(Protokoll_1p!G204)-FIND(":",Protokoll_1p!G204))),0,1))</f>
        <v/>
      </c>
      <c r="K238" s="1" t="str">
        <f>IF(Protokoll_1p!H204="","",IF(VALUE(LEFT(Protokoll_1p!H204,FIND(":",Protokoll_1p!H204)-1))&gt;VALUE(RIGHT(Protokoll_1p!H204,LEN(Protokoll_1p!H204)-FIND(":",Protokoll_1p!H204))),0,1))</f>
        <v/>
      </c>
      <c r="L238" s="1" t="str">
        <f>IF(Protokoll_1p!I204="","",IF(VALUE(LEFT(Protokoll_1p!I204,FIND(":",Protokoll_1p!I204)-1))&gt;VALUE(RIGHT(Protokoll_1p!I204,LEN(Protokoll_1p!I204)-FIND(":",Protokoll_1p!I204))),0,1))</f>
        <v/>
      </c>
      <c r="M238" s="1" t="str">
        <f>IF(Protokoll_1p!J204="","",IF(VALUE(LEFT(Protokoll_1p!J204,FIND(":",Protokoll_1p!J204)-1))&gt;VALUE(RIGHT(Protokoll_1p!J204,LEN(Protokoll_1p!J204)-FIND(":",Protokoll_1p!J204))),0,1))</f>
        <v/>
      </c>
      <c r="N238" s="1" t="str">
        <f t="shared" si="7"/>
        <v/>
      </c>
    </row>
    <row r="239" spans="2:14">
      <c r="B239" s="1" t="str">
        <f>IF(Protokoll_1p!F205="","",IF(VALUE(LEFT(Protokoll_1p!F205,FIND(":",Protokoll_1p!F205)-1))&gt;VALUE(RIGHT(Protokoll_1p!F205,LEN(Protokoll_1p!F205)-FIND(":",Protokoll_1p!F205))),1,0))</f>
        <v/>
      </c>
      <c r="C239" s="1" t="str">
        <f>IF(Protokoll_1p!G205="","",IF(VALUE(LEFT(Protokoll_1p!G205,FIND(":",Protokoll_1p!G205)-1))&gt;VALUE(RIGHT(Protokoll_1p!G205,LEN(Protokoll_1p!G205)-FIND(":",Protokoll_1p!G205))),1,0))</f>
        <v/>
      </c>
      <c r="D239" s="1" t="str">
        <f>IF(Protokoll_1p!H205="","",IF(VALUE(LEFT(Protokoll_1p!H205,FIND(":",Protokoll_1p!H205)-1))&gt;VALUE(RIGHT(Protokoll_1p!H205,LEN(Protokoll_1p!H205)-FIND(":",Protokoll_1p!H205))),1,0))</f>
        <v/>
      </c>
      <c r="E239" s="1" t="str">
        <f>IF(Protokoll_1p!I205="","",IF(VALUE(LEFT(Protokoll_1p!I205,FIND(":",Protokoll_1p!I205)-1))&gt;VALUE(RIGHT(Protokoll_1p!I205,LEN(Protokoll_1p!I205)-FIND(":",Protokoll_1p!I205))),1,0))</f>
        <v/>
      </c>
      <c r="F239" s="1" t="str">
        <f>IF(Protokoll_1p!J205="","",IF(VALUE(LEFT(Protokoll_1p!J205,FIND(":",Protokoll_1p!J205)-1))&gt;VALUE(RIGHT(Protokoll_1p!J205,LEN(Protokoll_1p!J205)-FIND(":",Protokoll_1p!J205))),1,0))</f>
        <v/>
      </c>
      <c r="G239" s="1" t="str">
        <f t="shared" si="6"/>
        <v/>
      </c>
      <c r="I239" s="1" t="str">
        <f>IF(Protokoll_1p!F205="","",IF(VALUE(LEFT(Protokoll_1p!F205,FIND(":",Protokoll_1p!F205)-1))&gt;VALUE(RIGHT(Protokoll_1p!F205,LEN(Protokoll_1p!F205)-FIND(":",Protokoll_1p!F205))),0,1))</f>
        <v/>
      </c>
      <c r="J239" s="1" t="str">
        <f>IF(Protokoll_1p!G205="","",IF(VALUE(LEFT(Protokoll_1p!G205,FIND(":",Protokoll_1p!G205)-1))&gt;VALUE(RIGHT(Protokoll_1p!G205,LEN(Protokoll_1p!G205)-FIND(":",Protokoll_1p!G205))),0,1))</f>
        <v/>
      </c>
      <c r="K239" s="1" t="str">
        <f>IF(Protokoll_1p!H205="","",IF(VALUE(LEFT(Protokoll_1p!H205,FIND(":",Protokoll_1p!H205)-1))&gt;VALUE(RIGHT(Protokoll_1p!H205,LEN(Protokoll_1p!H205)-FIND(":",Protokoll_1p!H205))),0,1))</f>
        <v/>
      </c>
      <c r="L239" s="1" t="str">
        <f>IF(Protokoll_1p!I205="","",IF(VALUE(LEFT(Protokoll_1p!I205,FIND(":",Protokoll_1p!I205)-1))&gt;VALUE(RIGHT(Protokoll_1p!I205,LEN(Protokoll_1p!I205)-FIND(":",Protokoll_1p!I205))),0,1))</f>
        <v/>
      </c>
      <c r="M239" s="1" t="str">
        <f>IF(Protokoll_1p!J205="","",IF(VALUE(LEFT(Protokoll_1p!J205,FIND(":",Protokoll_1p!J205)-1))&gt;VALUE(RIGHT(Protokoll_1p!J205,LEN(Protokoll_1p!J205)-FIND(":",Protokoll_1p!J205))),0,1))</f>
        <v/>
      </c>
      <c r="N239" s="1" t="str">
        <f t="shared" si="7"/>
        <v/>
      </c>
    </row>
    <row r="240" spans="2:14">
      <c r="B240" s="1" t="str">
        <f>IF(Protokoll_1p!F206="","",IF(VALUE(LEFT(Protokoll_1p!F206,FIND(":",Protokoll_1p!F206)-1))&gt;VALUE(RIGHT(Protokoll_1p!F206,LEN(Protokoll_1p!F206)-FIND(":",Protokoll_1p!F206))),1,0))</f>
        <v/>
      </c>
      <c r="C240" s="1" t="str">
        <f>IF(Protokoll_1p!G206="","",IF(VALUE(LEFT(Protokoll_1p!G206,FIND(":",Protokoll_1p!G206)-1))&gt;VALUE(RIGHT(Protokoll_1p!G206,LEN(Protokoll_1p!G206)-FIND(":",Protokoll_1p!G206))),1,0))</f>
        <v/>
      </c>
      <c r="D240" s="1" t="str">
        <f>IF(Protokoll_1p!H206="","",IF(VALUE(LEFT(Protokoll_1p!H206,FIND(":",Protokoll_1p!H206)-1))&gt;VALUE(RIGHT(Protokoll_1p!H206,LEN(Protokoll_1p!H206)-FIND(":",Protokoll_1p!H206))),1,0))</f>
        <v/>
      </c>
      <c r="E240" s="1" t="str">
        <f>IF(Protokoll_1p!I206="","",IF(VALUE(LEFT(Protokoll_1p!I206,FIND(":",Protokoll_1p!I206)-1))&gt;VALUE(RIGHT(Protokoll_1p!I206,LEN(Protokoll_1p!I206)-FIND(":",Protokoll_1p!I206))),1,0))</f>
        <v/>
      </c>
      <c r="F240" s="1" t="str">
        <f>IF(Protokoll_1p!J206="","",IF(VALUE(LEFT(Protokoll_1p!J206,FIND(":",Protokoll_1p!J206)-1))&gt;VALUE(RIGHT(Protokoll_1p!J206,LEN(Protokoll_1p!J206)-FIND(":",Protokoll_1p!J206))),1,0))</f>
        <v/>
      </c>
      <c r="G240" s="1" t="str">
        <f t="shared" si="6"/>
        <v/>
      </c>
      <c r="I240" s="1" t="str">
        <f>IF(Protokoll_1p!F206="","",IF(VALUE(LEFT(Protokoll_1p!F206,FIND(":",Protokoll_1p!F206)-1))&gt;VALUE(RIGHT(Protokoll_1p!F206,LEN(Protokoll_1p!F206)-FIND(":",Protokoll_1p!F206))),0,1))</f>
        <v/>
      </c>
      <c r="J240" s="1" t="str">
        <f>IF(Protokoll_1p!G206="","",IF(VALUE(LEFT(Protokoll_1p!G206,FIND(":",Protokoll_1p!G206)-1))&gt;VALUE(RIGHT(Protokoll_1p!G206,LEN(Protokoll_1p!G206)-FIND(":",Protokoll_1p!G206))),0,1))</f>
        <v/>
      </c>
      <c r="K240" s="1" t="str">
        <f>IF(Protokoll_1p!H206="","",IF(VALUE(LEFT(Protokoll_1p!H206,FIND(":",Protokoll_1p!H206)-1))&gt;VALUE(RIGHT(Protokoll_1p!H206,LEN(Protokoll_1p!H206)-FIND(":",Protokoll_1p!H206))),0,1))</f>
        <v/>
      </c>
      <c r="L240" s="1" t="str">
        <f>IF(Protokoll_1p!I206="","",IF(VALUE(LEFT(Protokoll_1p!I206,FIND(":",Protokoll_1p!I206)-1))&gt;VALUE(RIGHT(Protokoll_1p!I206,LEN(Protokoll_1p!I206)-FIND(":",Protokoll_1p!I206))),0,1))</f>
        <v/>
      </c>
      <c r="M240" s="1" t="str">
        <f>IF(Protokoll_1p!J206="","",IF(VALUE(LEFT(Protokoll_1p!J206,FIND(":",Protokoll_1p!J206)-1))&gt;VALUE(RIGHT(Protokoll_1p!J206,LEN(Protokoll_1p!J206)-FIND(":",Protokoll_1p!J206))),0,1))</f>
        <v/>
      </c>
      <c r="N240" s="1" t="str">
        <f t="shared" si="7"/>
        <v/>
      </c>
    </row>
    <row r="241" spans="2:14">
      <c r="B241" s="1" t="str">
        <f>IF(Protokoll_1p!F207="","",IF(VALUE(LEFT(Protokoll_1p!F207,FIND(":",Protokoll_1p!F207)-1))&gt;VALUE(RIGHT(Protokoll_1p!F207,LEN(Protokoll_1p!F207)-FIND(":",Protokoll_1p!F207))),1,0))</f>
        <v/>
      </c>
      <c r="C241" s="1" t="str">
        <f>IF(Protokoll_1p!G207="","",IF(VALUE(LEFT(Protokoll_1p!G207,FIND(":",Protokoll_1p!G207)-1))&gt;VALUE(RIGHT(Protokoll_1p!G207,LEN(Protokoll_1p!G207)-FIND(":",Protokoll_1p!G207))),1,0))</f>
        <v/>
      </c>
      <c r="D241" s="1" t="str">
        <f>IF(Protokoll_1p!H207="","",IF(VALUE(LEFT(Protokoll_1p!H207,FIND(":",Protokoll_1p!H207)-1))&gt;VALUE(RIGHT(Protokoll_1p!H207,LEN(Protokoll_1p!H207)-FIND(":",Protokoll_1p!H207))),1,0))</f>
        <v/>
      </c>
      <c r="E241" s="1" t="str">
        <f>IF(Protokoll_1p!I207="","",IF(VALUE(LEFT(Protokoll_1p!I207,FIND(":",Protokoll_1p!I207)-1))&gt;VALUE(RIGHT(Protokoll_1p!I207,LEN(Protokoll_1p!I207)-FIND(":",Protokoll_1p!I207))),1,0))</f>
        <v/>
      </c>
      <c r="F241" s="1" t="str">
        <f>IF(Protokoll_1p!J207="","",IF(VALUE(LEFT(Protokoll_1p!J207,FIND(":",Protokoll_1p!J207)-1))&gt;VALUE(RIGHT(Protokoll_1p!J207,LEN(Protokoll_1p!J207)-FIND(":",Protokoll_1p!J207))),1,0))</f>
        <v/>
      </c>
      <c r="G241" s="1" t="str">
        <f t="shared" si="6"/>
        <v/>
      </c>
      <c r="I241" s="1" t="str">
        <f>IF(Protokoll_1p!F207="","",IF(VALUE(LEFT(Protokoll_1p!F207,FIND(":",Protokoll_1p!F207)-1))&gt;VALUE(RIGHT(Protokoll_1p!F207,LEN(Protokoll_1p!F207)-FIND(":",Protokoll_1p!F207))),0,1))</f>
        <v/>
      </c>
      <c r="J241" s="1" t="str">
        <f>IF(Protokoll_1p!G207="","",IF(VALUE(LEFT(Protokoll_1p!G207,FIND(":",Protokoll_1p!G207)-1))&gt;VALUE(RIGHT(Protokoll_1p!G207,LEN(Protokoll_1p!G207)-FIND(":",Protokoll_1p!G207))),0,1))</f>
        <v/>
      </c>
      <c r="K241" s="1" t="str">
        <f>IF(Protokoll_1p!H207="","",IF(VALUE(LEFT(Protokoll_1p!H207,FIND(":",Protokoll_1p!H207)-1))&gt;VALUE(RIGHT(Protokoll_1p!H207,LEN(Protokoll_1p!H207)-FIND(":",Protokoll_1p!H207))),0,1))</f>
        <v/>
      </c>
      <c r="L241" s="1" t="str">
        <f>IF(Protokoll_1p!I207="","",IF(VALUE(LEFT(Protokoll_1p!I207,FIND(":",Protokoll_1p!I207)-1))&gt;VALUE(RIGHT(Protokoll_1p!I207,LEN(Protokoll_1p!I207)-FIND(":",Protokoll_1p!I207))),0,1))</f>
        <v/>
      </c>
      <c r="M241" s="1" t="str">
        <f>IF(Protokoll_1p!J207="","",IF(VALUE(LEFT(Protokoll_1p!J207,FIND(":",Protokoll_1p!J207)-1))&gt;VALUE(RIGHT(Protokoll_1p!J207,LEN(Protokoll_1p!J207)-FIND(":",Protokoll_1p!J207))),0,1))</f>
        <v/>
      </c>
      <c r="N241" s="1" t="str">
        <f t="shared" si="7"/>
        <v/>
      </c>
    </row>
    <row r="242" spans="2:14">
      <c r="B242" s="1" t="str">
        <f>IF(Protokoll_1p!F208="","",IF(VALUE(LEFT(Protokoll_1p!F208,FIND(":",Protokoll_1p!F208)-1))&gt;VALUE(RIGHT(Protokoll_1p!F208,LEN(Protokoll_1p!F208)-FIND(":",Protokoll_1p!F208))),1,0))</f>
        <v/>
      </c>
      <c r="C242" s="1" t="str">
        <f>IF(Protokoll_1p!G208="","",IF(VALUE(LEFT(Protokoll_1p!G208,FIND(":",Protokoll_1p!G208)-1))&gt;VALUE(RIGHT(Protokoll_1p!G208,LEN(Protokoll_1p!G208)-FIND(":",Protokoll_1p!G208))),1,0))</f>
        <v/>
      </c>
      <c r="D242" s="1" t="str">
        <f>IF(Protokoll_1p!H208="","",IF(VALUE(LEFT(Protokoll_1p!H208,FIND(":",Protokoll_1p!H208)-1))&gt;VALUE(RIGHT(Protokoll_1p!H208,LEN(Protokoll_1p!H208)-FIND(":",Protokoll_1p!H208))),1,0))</f>
        <v/>
      </c>
      <c r="E242" s="1" t="str">
        <f>IF(Protokoll_1p!I208="","",IF(VALUE(LEFT(Protokoll_1p!I208,FIND(":",Protokoll_1p!I208)-1))&gt;VALUE(RIGHT(Protokoll_1p!I208,LEN(Protokoll_1p!I208)-FIND(":",Protokoll_1p!I208))),1,0))</f>
        <v/>
      </c>
      <c r="F242" s="1" t="str">
        <f>IF(Protokoll_1p!J208="","",IF(VALUE(LEFT(Protokoll_1p!J208,FIND(":",Protokoll_1p!J208)-1))&gt;VALUE(RIGHT(Protokoll_1p!J208,LEN(Protokoll_1p!J208)-FIND(":",Protokoll_1p!J208))),1,0))</f>
        <v/>
      </c>
      <c r="G242" s="1" t="str">
        <f t="shared" si="6"/>
        <v/>
      </c>
      <c r="I242" s="1" t="str">
        <f>IF(Protokoll_1p!F208="","",IF(VALUE(LEFT(Protokoll_1p!F208,FIND(":",Protokoll_1p!F208)-1))&gt;VALUE(RIGHT(Protokoll_1p!F208,LEN(Protokoll_1p!F208)-FIND(":",Protokoll_1p!F208))),0,1))</f>
        <v/>
      </c>
      <c r="J242" s="1" t="str">
        <f>IF(Protokoll_1p!G208="","",IF(VALUE(LEFT(Protokoll_1p!G208,FIND(":",Protokoll_1p!G208)-1))&gt;VALUE(RIGHT(Protokoll_1p!G208,LEN(Protokoll_1p!G208)-FIND(":",Protokoll_1p!G208))),0,1))</f>
        <v/>
      </c>
      <c r="K242" s="1" t="str">
        <f>IF(Protokoll_1p!H208="","",IF(VALUE(LEFT(Protokoll_1p!H208,FIND(":",Protokoll_1p!H208)-1))&gt;VALUE(RIGHT(Protokoll_1p!H208,LEN(Protokoll_1p!H208)-FIND(":",Protokoll_1p!H208))),0,1))</f>
        <v/>
      </c>
      <c r="L242" s="1" t="str">
        <f>IF(Protokoll_1p!I208="","",IF(VALUE(LEFT(Protokoll_1p!I208,FIND(":",Protokoll_1p!I208)-1))&gt;VALUE(RIGHT(Protokoll_1p!I208,LEN(Protokoll_1p!I208)-FIND(":",Protokoll_1p!I208))),0,1))</f>
        <v/>
      </c>
      <c r="M242" s="1" t="str">
        <f>IF(Protokoll_1p!J208="","",IF(VALUE(LEFT(Protokoll_1p!J208,FIND(":",Protokoll_1p!J208)-1))&gt;VALUE(RIGHT(Protokoll_1p!J208,LEN(Protokoll_1p!J208)-FIND(":",Protokoll_1p!J208))),0,1))</f>
        <v/>
      </c>
      <c r="N242" s="1" t="str">
        <f t="shared" si="7"/>
        <v/>
      </c>
    </row>
    <row r="243" spans="2:14">
      <c r="B243" s="1" t="str">
        <f>IF(Protokoll_1p!F209="","",IF(VALUE(LEFT(Protokoll_1p!F209,FIND(":",Protokoll_1p!F209)-1))&gt;VALUE(RIGHT(Protokoll_1p!F209,LEN(Protokoll_1p!F209)-FIND(":",Protokoll_1p!F209))),1,0))</f>
        <v/>
      </c>
      <c r="C243" s="1" t="str">
        <f>IF(Protokoll_1p!G209="","",IF(VALUE(LEFT(Protokoll_1p!G209,FIND(":",Protokoll_1p!G209)-1))&gt;VALUE(RIGHT(Protokoll_1p!G209,LEN(Protokoll_1p!G209)-FIND(":",Protokoll_1p!G209))),1,0))</f>
        <v/>
      </c>
      <c r="D243" s="1" t="str">
        <f>IF(Protokoll_1p!H209="","",IF(VALUE(LEFT(Protokoll_1p!H209,FIND(":",Protokoll_1p!H209)-1))&gt;VALUE(RIGHT(Protokoll_1p!H209,LEN(Protokoll_1p!H209)-FIND(":",Protokoll_1p!H209))),1,0))</f>
        <v/>
      </c>
      <c r="E243" s="1" t="str">
        <f>IF(Protokoll_1p!I209="","",IF(VALUE(LEFT(Protokoll_1p!I209,FIND(":",Protokoll_1p!I209)-1))&gt;VALUE(RIGHT(Protokoll_1p!I209,LEN(Protokoll_1p!I209)-FIND(":",Protokoll_1p!I209))),1,0))</f>
        <v/>
      </c>
      <c r="F243" s="1" t="str">
        <f>IF(Protokoll_1p!J209="","",IF(VALUE(LEFT(Protokoll_1p!J209,FIND(":",Protokoll_1p!J209)-1))&gt;VALUE(RIGHT(Protokoll_1p!J209,LEN(Protokoll_1p!J209)-FIND(":",Protokoll_1p!J209))),1,0))</f>
        <v/>
      </c>
      <c r="G243" s="1" t="str">
        <f t="shared" si="6"/>
        <v/>
      </c>
      <c r="I243" s="1" t="str">
        <f>IF(Protokoll_1p!F209="","",IF(VALUE(LEFT(Protokoll_1p!F209,FIND(":",Protokoll_1p!F209)-1))&gt;VALUE(RIGHT(Protokoll_1p!F209,LEN(Protokoll_1p!F209)-FIND(":",Protokoll_1p!F209))),0,1))</f>
        <v/>
      </c>
      <c r="J243" s="1" t="str">
        <f>IF(Protokoll_1p!G209="","",IF(VALUE(LEFT(Protokoll_1p!G209,FIND(":",Protokoll_1p!G209)-1))&gt;VALUE(RIGHT(Protokoll_1p!G209,LEN(Protokoll_1p!G209)-FIND(":",Protokoll_1p!G209))),0,1))</f>
        <v/>
      </c>
      <c r="K243" s="1" t="str">
        <f>IF(Protokoll_1p!H209="","",IF(VALUE(LEFT(Protokoll_1p!H209,FIND(":",Protokoll_1p!H209)-1))&gt;VALUE(RIGHT(Protokoll_1p!H209,LEN(Protokoll_1p!H209)-FIND(":",Protokoll_1p!H209))),0,1))</f>
        <v/>
      </c>
      <c r="L243" s="1" t="str">
        <f>IF(Protokoll_1p!I209="","",IF(VALUE(LEFT(Protokoll_1p!I209,FIND(":",Protokoll_1p!I209)-1))&gt;VALUE(RIGHT(Protokoll_1p!I209,LEN(Protokoll_1p!I209)-FIND(":",Protokoll_1p!I209))),0,1))</f>
        <v/>
      </c>
      <c r="M243" s="1" t="str">
        <f>IF(Protokoll_1p!J209="","",IF(VALUE(LEFT(Protokoll_1p!J209,FIND(":",Protokoll_1p!J209)-1))&gt;VALUE(RIGHT(Protokoll_1p!J209,LEN(Protokoll_1p!J209)-FIND(":",Protokoll_1p!J209))),0,1))</f>
        <v/>
      </c>
      <c r="N243" s="1" t="str">
        <f t="shared" si="7"/>
        <v/>
      </c>
    </row>
    <row r="244" spans="2:14">
      <c r="B244" s="1" t="str">
        <f>IF(Protokoll_1p!F210="","",IF(VALUE(LEFT(Protokoll_1p!F210,FIND(":",Protokoll_1p!F210)-1))&gt;VALUE(RIGHT(Protokoll_1p!F210,LEN(Protokoll_1p!F210)-FIND(":",Protokoll_1p!F210))),1,0))</f>
        <v/>
      </c>
      <c r="C244" s="1" t="str">
        <f>IF(Protokoll_1p!G210="","",IF(VALUE(LEFT(Protokoll_1p!G210,FIND(":",Protokoll_1p!G210)-1))&gt;VALUE(RIGHT(Protokoll_1p!G210,LEN(Protokoll_1p!G210)-FIND(":",Protokoll_1p!G210))),1,0))</f>
        <v/>
      </c>
      <c r="D244" s="1" t="str">
        <f>IF(Protokoll_1p!H210="","",IF(VALUE(LEFT(Protokoll_1p!H210,FIND(":",Protokoll_1p!H210)-1))&gt;VALUE(RIGHT(Protokoll_1p!H210,LEN(Protokoll_1p!H210)-FIND(":",Protokoll_1p!H210))),1,0))</f>
        <v/>
      </c>
      <c r="E244" s="1" t="str">
        <f>IF(Protokoll_1p!I210="","",IF(VALUE(LEFT(Protokoll_1p!I210,FIND(":",Protokoll_1p!I210)-1))&gt;VALUE(RIGHT(Protokoll_1p!I210,LEN(Protokoll_1p!I210)-FIND(":",Protokoll_1p!I210))),1,0))</f>
        <v/>
      </c>
      <c r="F244" s="1" t="str">
        <f>IF(Protokoll_1p!J210="","",IF(VALUE(LEFT(Protokoll_1p!J210,FIND(":",Protokoll_1p!J210)-1))&gt;VALUE(RIGHT(Protokoll_1p!J210,LEN(Protokoll_1p!J210)-FIND(":",Protokoll_1p!J210))),1,0))</f>
        <v/>
      </c>
      <c r="G244" s="1" t="str">
        <f t="shared" si="6"/>
        <v/>
      </c>
      <c r="I244" s="1" t="str">
        <f>IF(Protokoll_1p!F210="","",IF(VALUE(LEFT(Protokoll_1p!F210,FIND(":",Protokoll_1p!F210)-1))&gt;VALUE(RIGHT(Protokoll_1p!F210,LEN(Protokoll_1p!F210)-FIND(":",Protokoll_1p!F210))),0,1))</f>
        <v/>
      </c>
      <c r="J244" s="1" t="str">
        <f>IF(Protokoll_1p!G210="","",IF(VALUE(LEFT(Protokoll_1p!G210,FIND(":",Protokoll_1p!G210)-1))&gt;VALUE(RIGHT(Protokoll_1p!G210,LEN(Protokoll_1p!G210)-FIND(":",Protokoll_1p!G210))),0,1))</f>
        <v/>
      </c>
      <c r="K244" s="1" t="str">
        <f>IF(Protokoll_1p!H210="","",IF(VALUE(LEFT(Protokoll_1p!H210,FIND(":",Protokoll_1p!H210)-1))&gt;VALUE(RIGHT(Protokoll_1p!H210,LEN(Protokoll_1p!H210)-FIND(":",Protokoll_1p!H210))),0,1))</f>
        <v/>
      </c>
      <c r="L244" s="1" t="str">
        <f>IF(Protokoll_1p!I210="","",IF(VALUE(LEFT(Protokoll_1p!I210,FIND(":",Protokoll_1p!I210)-1))&gt;VALUE(RIGHT(Protokoll_1p!I210,LEN(Protokoll_1p!I210)-FIND(":",Protokoll_1p!I210))),0,1))</f>
        <v/>
      </c>
      <c r="M244" s="1" t="str">
        <f>IF(Protokoll_1p!J210="","",IF(VALUE(LEFT(Protokoll_1p!J210,FIND(":",Protokoll_1p!J210)-1))&gt;VALUE(RIGHT(Protokoll_1p!J210,LEN(Protokoll_1p!J210)-FIND(":",Protokoll_1p!J210))),0,1))</f>
        <v/>
      </c>
      <c r="N244" s="1" t="str">
        <f t="shared" si="7"/>
        <v/>
      </c>
    </row>
    <row r="245" spans="2:14">
      <c r="B245" s="1" t="str">
        <f>IF(Protokoll_1p!F211="","",IF(VALUE(LEFT(Protokoll_1p!F211,FIND(":",Protokoll_1p!F211)-1))&gt;VALUE(RIGHT(Protokoll_1p!F211,LEN(Protokoll_1p!F211)-FIND(":",Protokoll_1p!F211))),1,0))</f>
        <v/>
      </c>
      <c r="C245" s="1" t="str">
        <f>IF(Protokoll_1p!G211="","",IF(VALUE(LEFT(Protokoll_1p!G211,FIND(":",Protokoll_1p!G211)-1))&gt;VALUE(RIGHT(Protokoll_1p!G211,LEN(Protokoll_1p!G211)-FIND(":",Protokoll_1p!G211))),1,0))</f>
        <v/>
      </c>
      <c r="D245" s="1" t="str">
        <f>IF(Protokoll_1p!H211="","",IF(VALUE(LEFT(Protokoll_1p!H211,FIND(":",Protokoll_1p!H211)-1))&gt;VALUE(RIGHT(Protokoll_1p!H211,LEN(Protokoll_1p!H211)-FIND(":",Protokoll_1p!H211))),1,0))</f>
        <v/>
      </c>
      <c r="E245" s="1" t="str">
        <f>IF(Protokoll_1p!I211="","",IF(VALUE(LEFT(Protokoll_1p!I211,FIND(":",Protokoll_1p!I211)-1))&gt;VALUE(RIGHT(Protokoll_1p!I211,LEN(Protokoll_1p!I211)-FIND(":",Protokoll_1p!I211))),1,0))</f>
        <v/>
      </c>
      <c r="F245" s="1" t="str">
        <f>IF(Protokoll_1p!J211="","",IF(VALUE(LEFT(Protokoll_1p!J211,FIND(":",Protokoll_1p!J211)-1))&gt;VALUE(RIGHT(Protokoll_1p!J211,LEN(Protokoll_1p!J211)-FIND(":",Protokoll_1p!J211))),1,0))</f>
        <v/>
      </c>
      <c r="G245" s="1" t="str">
        <f t="shared" si="6"/>
        <v/>
      </c>
      <c r="I245" s="1" t="str">
        <f>IF(Protokoll_1p!F211="","",IF(VALUE(LEFT(Protokoll_1p!F211,FIND(":",Protokoll_1p!F211)-1))&gt;VALUE(RIGHT(Protokoll_1p!F211,LEN(Protokoll_1p!F211)-FIND(":",Protokoll_1p!F211))),0,1))</f>
        <v/>
      </c>
      <c r="J245" s="1" t="str">
        <f>IF(Protokoll_1p!G211="","",IF(VALUE(LEFT(Protokoll_1p!G211,FIND(":",Protokoll_1p!G211)-1))&gt;VALUE(RIGHT(Protokoll_1p!G211,LEN(Protokoll_1p!G211)-FIND(":",Protokoll_1p!G211))),0,1))</f>
        <v/>
      </c>
      <c r="K245" s="1" t="str">
        <f>IF(Protokoll_1p!H211="","",IF(VALUE(LEFT(Protokoll_1p!H211,FIND(":",Protokoll_1p!H211)-1))&gt;VALUE(RIGHT(Protokoll_1p!H211,LEN(Protokoll_1p!H211)-FIND(":",Protokoll_1p!H211))),0,1))</f>
        <v/>
      </c>
      <c r="L245" s="1" t="str">
        <f>IF(Protokoll_1p!I211="","",IF(VALUE(LEFT(Protokoll_1p!I211,FIND(":",Protokoll_1p!I211)-1))&gt;VALUE(RIGHT(Protokoll_1p!I211,LEN(Protokoll_1p!I211)-FIND(":",Protokoll_1p!I211))),0,1))</f>
        <v/>
      </c>
      <c r="M245" s="1" t="str">
        <f>IF(Protokoll_1p!J211="","",IF(VALUE(LEFT(Protokoll_1p!J211,FIND(":",Protokoll_1p!J211)-1))&gt;VALUE(RIGHT(Protokoll_1p!J211,LEN(Protokoll_1p!J211)-FIND(":",Protokoll_1p!J211))),0,1))</f>
        <v/>
      </c>
      <c r="N245" s="1" t="str">
        <f t="shared" si="7"/>
        <v/>
      </c>
    </row>
    <row r="246" spans="2:14">
      <c r="B246" s="1" t="str">
        <f>IF(Protokoll_1p!F212="","",IF(VALUE(LEFT(Protokoll_1p!F212,FIND(":",Protokoll_1p!F212)-1))&gt;VALUE(RIGHT(Protokoll_1p!F212,LEN(Protokoll_1p!F212)-FIND(":",Protokoll_1p!F212))),1,0))</f>
        <v/>
      </c>
      <c r="C246" s="1" t="str">
        <f>IF(Protokoll_1p!G212="","",IF(VALUE(LEFT(Protokoll_1p!G212,FIND(":",Protokoll_1p!G212)-1))&gt;VALUE(RIGHT(Protokoll_1p!G212,LEN(Protokoll_1p!G212)-FIND(":",Protokoll_1p!G212))),1,0))</f>
        <v/>
      </c>
      <c r="D246" s="1" t="str">
        <f>IF(Protokoll_1p!H212="","",IF(VALUE(LEFT(Protokoll_1p!H212,FIND(":",Protokoll_1p!H212)-1))&gt;VALUE(RIGHT(Protokoll_1p!H212,LEN(Protokoll_1p!H212)-FIND(":",Protokoll_1p!H212))),1,0))</f>
        <v/>
      </c>
      <c r="E246" s="1" t="str">
        <f>IF(Protokoll_1p!I212="","",IF(VALUE(LEFT(Protokoll_1p!I212,FIND(":",Protokoll_1p!I212)-1))&gt;VALUE(RIGHT(Protokoll_1p!I212,LEN(Protokoll_1p!I212)-FIND(":",Protokoll_1p!I212))),1,0))</f>
        <v/>
      </c>
      <c r="F246" s="1" t="str">
        <f>IF(Protokoll_1p!J212="","",IF(VALUE(LEFT(Protokoll_1p!J212,FIND(":",Protokoll_1p!J212)-1))&gt;VALUE(RIGHT(Protokoll_1p!J212,LEN(Protokoll_1p!J212)-FIND(":",Protokoll_1p!J212))),1,0))</f>
        <v/>
      </c>
      <c r="G246" s="1" t="str">
        <f t="shared" si="6"/>
        <v/>
      </c>
      <c r="I246" s="1" t="str">
        <f>IF(Protokoll_1p!F212="","",IF(VALUE(LEFT(Protokoll_1p!F212,FIND(":",Protokoll_1p!F212)-1))&gt;VALUE(RIGHT(Protokoll_1p!F212,LEN(Protokoll_1p!F212)-FIND(":",Protokoll_1p!F212))),0,1))</f>
        <v/>
      </c>
      <c r="J246" s="1" t="str">
        <f>IF(Protokoll_1p!G212="","",IF(VALUE(LEFT(Protokoll_1p!G212,FIND(":",Protokoll_1p!G212)-1))&gt;VALUE(RIGHT(Protokoll_1p!G212,LEN(Protokoll_1p!G212)-FIND(":",Protokoll_1p!G212))),0,1))</f>
        <v/>
      </c>
      <c r="K246" s="1" t="str">
        <f>IF(Protokoll_1p!H212="","",IF(VALUE(LEFT(Protokoll_1p!H212,FIND(":",Protokoll_1p!H212)-1))&gt;VALUE(RIGHT(Protokoll_1p!H212,LEN(Protokoll_1p!H212)-FIND(":",Protokoll_1p!H212))),0,1))</f>
        <v/>
      </c>
      <c r="L246" s="1" t="str">
        <f>IF(Protokoll_1p!I212="","",IF(VALUE(LEFT(Protokoll_1p!I212,FIND(":",Protokoll_1p!I212)-1))&gt;VALUE(RIGHT(Protokoll_1p!I212,LEN(Protokoll_1p!I212)-FIND(":",Protokoll_1p!I212))),0,1))</f>
        <v/>
      </c>
      <c r="M246" s="1" t="str">
        <f>IF(Protokoll_1p!J212="","",IF(VALUE(LEFT(Protokoll_1p!J212,FIND(":",Protokoll_1p!J212)-1))&gt;VALUE(RIGHT(Protokoll_1p!J212,LEN(Protokoll_1p!J212)-FIND(":",Protokoll_1p!J212))),0,1))</f>
        <v/>
      </c>
      <c r="N246" s="1" t="str">
        <f t="shared" si="7"/>
        <v/>
      </c>
    </row>
    <row r="247" spans="2:14">
      <c r="B247" s="1" t="str">
        <f>IF(Protokoll_1p!F213="","",IF(VALUE(LEFT(Protokoll_1p!F213,FIND(":",Protokoll_1p!F213)-1))&gt;VALUE(RIGHT(Protokoll_1p!F213,LEN(Protokoll_1p!F213)-FIND(":",Protokoll_1p!F213))),1,0))</f>
        <v/>
      </c>
      <c r="C247" s="1" t="str">
        <f>IF(Protokoll_1p!G213="","",IF(VALUE(LEFT(Protokoll_1p!G213,FIND(":",Protokoll_1p!G213)-1))&gt;VALUE(RIGHT(Protokoll_1p!G213,LEN(Protokoll_1p!G213)-FIND(":",Protokoll_1p!G213))),1,0))</f>
        <v/>
      </c>
      <c r="D247" s="1" t="str">
        <f>IF(Protokoll_1p!H213="","",IF(VALUE(LEFT(Protokoll_1p!H213,FIND(":",Protokoll_1p!H213)-1))&gt;VALUE(RIGHT(Protokoll_1p!H213,LEN(Protokoll_1p!H213)-FIND(":",Protokoll_1p!H213))),1,0))</f>
        <v/>
      </c>
      <c r="E247" s="1" t="str">
        <f>IF(Protokoll_1p!I213="","",IF(VALUE(LEFT(Protokoll_1p!I213,FIND(":",Protokoll_1p!I213)-1))&gt;VALUE(RIGHT(Protokoll_1p!I213,LEN(Protokoll_1p!I213)-FIND(":",Protokoll_1p!I213))),1,0))</f>
        <v/>
      </c>
      <c r="F247" s="1" t="str">
        <f>IF(Protokoll_1p!J213="","",IF(VALUE(LEFT(Protokoll_1p!J213,FIND(":",Protokoll_1p!J213)-1))&gt;VALUE(RIGHT(Protokoll_1p!J213,LEN(Protokoll_1p!J213)-FIND(":",Protokoll_1p!J213))),1,0))</f>
        <v/>
      </c>
      <c r="G247" s="1" t="str">
        <f t="shared" si="6"/>
        <v/>
      </c>
      <c r="I247" s="1" t="str">
        <f>IF(Protokoll_1p!F213="","",IF(VALUE(LEFT(Protokoll_1p!F213,FIND(":",Protokoll_1p!F213)-1))&gt;VALUE(RIGHT(Protokoll_1p!F213,LEN(Protokoll_1p!F213)-FIND(":",Protokoll_1p!F213))),0,1))</f>
        <v/>
      </c>
      <c r="J247" s="1" t="str">
        <f>IF(Protokoll_1p!G213="","",IF(VALUE(LEFT(Protokoll_1p!G213,FIND(":",Protokoll_1p!G213)-1))&gt;VALUE(RIGHT(Protokoll_1p!G213,LEN(Protokoll_1p!G213)-FIND(":",Protokoll_1p!G213))),0,1))</f>
        <v/>
      </c>
      <c r="K247" s="1" t="str">
        <f>IF(Protokoll_1p!H213="","",IF(VALUE(LEFT(Protokoll_1p!H213,FIND(":",Protokoll_1p!H213)-1))&gt;VALUE(RIGHT(Protokoll_1p!H213,LEN(Protokoll_1p!H213)-FIND(":",Protokoll_1p!H213))),0,1))</f>
        <v/>
      </c>
      <c r="L247" s="1" t="str">
        <f>IF(Protokoll_1p!I213="","",IF(VALUE(LEFT(Protokoll_1p!I213,FIND(":",Protokoll_1p!I213)-1))&gt;VALUE(RIGHT(Protokoll_1p!I213,LEN(Protokoll_1p!I213)-FIND(":",Protokoll_1p!I213))),0,1))</f>
        <v/>
      </c>
      <c r="M247" s="1" t="str">
        <f>IF(Protokoll_1p!J213="","",IF(VALUE(LEFT(Protokoll_1p!J213,FIND(":",Protokoll_1p!J213)-1))&gt;VALUE(RIGHT(Protokoll_1p!J213,LEN(Protokoll_1p!J213)-FIND(":",Protokoll_1p!J213))),0,1))</f>
        <v/>
      </c>
      <c r="N247" s="1" t="str">
        <f t="shared" si="7"/>
        <v/>
      </c>
    </row>
    <row r="248" spans="2:14">
      <c r="B248" s="1" t="str">
        <f>IF(Protokoll_1p!F214="","",IF(VALUE(LEFT(Protokoll_1p!F214,FIND(":",Protokoll_1p!F214)-1))&gt;VALUE(RIGHT(Protokoll_1p!F214,LEN(Protokoll_1p!F214)-FIND(":",Protokoll_1p!F214))),1,0))</f>
        <v/>
      </c>
      <c r="C248" s="1" t="str">
        <f>IF(Protokoll_1p!G214="","",IF(VALUE(LEFT(Protokoll_1p!G214,FIND(":",Protokoll_1p!G214)-1))&gt;VALUE(RIGHT(Protokoll_1p!G214,LEN(Protokoll_1p!G214)-FIND(":",Protokoll_1p!G214))),1,0))</f>
        <v/>
      </c>
      <c r="D248" s="1" t="str">
        <f>IF(Protokoll_1p!H214="","",IF(VALUE(LEFT(Protokoll_1p!H214,FIND(":",Protokoll_1p!H214)-1))&gt;VALUE(RIGHT(Protokoll_1p!H214,LEN(Protokoll_1p!H214)-FIND(":",Protokoll_1p!H214))),1,0))</f>
        <v/>
      </c>
      <c r="E248" s="1" t="str">
        <f>IF(Protokoll_1p!I214="","",IF(VALUE(LEFT(Protokoll_1p!I214,FIND(":",Protokoll_1p!I214)-1))&gt;VALUE(RIGHT(Protokoll_1p!I214,LEN(Protokoll_1p!I214)-FIND(":",Protokoll_1p!I214))),1,0))</f>
        <v/>
      </c>
      <c r="F248" s="1" t="str">
        <f>IF(Protokoll_1p!J214="","",IF(VALUE(LEFT(Protokoll_1p!J214,FIND(":",Protokoll_1p!J214)-1))&gt;VALUE(RIGHT(Protokoll_1p!J214,LEN(Protokoll_1p!J214)-FIND(":",Protokoll_1p!J214))),1,0))</f>
        <v/>
      </c>
      <c r="G248" s="1" t="str">
        <f t="shared" si="6"/>
        <v/>
      </c>
      <c r="I248" s="1" t="str">
        <f>IF(Protokoll_1p!F214="","",IF(VALUE(LEFT(Protokoll_1p!F214,FIND(":",Protokoll_1p!F214)-1))&gt;VALUE(RIGHT(Protokoll_1p!F214,LEN(Protokoll_1p!F214)-FIND(":",Protokoll_1p!F214))),0,1))</f>
        <v/>
      </c>
      <c r="J248" s="1" t="str">
        <f>IF(Protokoll_1p!G214="","",IF(VALUE(LEFT(Protokoll_1p!G214,FIND(":",Protokoll_1p!G214)-1))&gt;VALUE(RIGHT(Protokoll_1p!G214,LEN(Protokoll_1p!G214)-FIND(":",Protokoll_1p!G214))),0,1))</f>
        <v/>
      </c>
      <c r="K248" s="1" t="str">
        <f>IF(Protokoll_1p!H214="","",IF(VALUE(LEFT(Protokoll_1p!H214,FIND(":",Protokoll_1p!H214)-1))&gt;VALUE(RIGHT(Protokoll_1p!H214,LEN(Protokoll_1p!H214)-FIND(":",Protokoll_1p!H214))),0,1))</f>
        <v/>
      </c>
      <c r="L248" s="1" t="str">
        <f>IF(Protokoll_1p!I214="","",IF(VALUE(LEFT(Protokoll_1p!I214,FIND(":",Protokoll_1p!I214)-1))&gt;VALUE(RIGHT(Protokoll_1p!I214,LEN(Protokoll_1p!I214)-FIND(":",Protokoll_1p!I214))),0,1))</f>
        <v/>
      </c>
      <c r="M248" s="1" t="str">
        <f>IF(Protokoll_1p!J214="","",IF(VALUE(LEFT(Protokoll_1p!J214,FIND(":",Protokoll_1p!J214)-1))&gt;VALUE(RIGHT(Protokoll_1p!J214,LEN(Protokoll_1p!J214)-FIND(":",Protokoll_1p!J214))),0,1))</f>
        <v/>
      </c>
      <c r="N248" s="1" t="str">
        <f t="shared" si="7"/>
        <v/>
      </c>
    </row>
    <row r="249" spans="2:14">
      <c r="B249" s="1" t="str">
        <f>IF(Protokoll_1p!F215="","",IF(VALUE(LEFT(Protokoll_1p!F215,FIND(":",Protokoll_1p!F215)-1))&gt;VALUE(RIGHT(Protokoll_1p!F215,LEN(Protokoll_1p!F215)-FIND(":",Protokoll_1p!F215))),1,0))</f>
        <v/>
      </c>
      <c r="C249" s="1" t="str">
        <f>IF(Protokoll_1p!G215="","",IF(VALUE(LEFT(Protokoll_1p!G215,FIND(":",Protokoll_1p!G215)-1))&gt;VALUE(RIGHT(Protokoll_1p!G215,LEN(Protokoll_1p!G215)-FIND(":",Protokoll_1p!G215))),1,0))</f>
        <v/>
      </c>
      <c r="D249" s="1" t="str">
        <f>IF(Protokoll_1p!H215="","",IF(VALUE(LEFT(Protokoll_1p!H215,FIND(":",Protokoll_1p!H215)-1))&gt;VALUE(RIGHT(Protokoll_1p!H215,LEN(Protokoll_1p!H215)-FIND(":",Protokoll_1p!H215))),1,0))</f>
        <v/>
      </c>
      <c r="E249" s="1" t="str">
        <f>IF(Protokoll_1p!I215="","",IF(VALUE(LEFT(Protokoll_1p!I215,FIND(":",Protokoll_1p!I215)-1))&gt;VALUE(RIGHT(Protokoll_1p!I215,LEN(Protokoll_1p!I215)-FIND(":",Protokoll_1p!I215))),1,0))</f>
        <v/>
      </c>
      <c r="F249" s="1" t="str">
        <f>IF(Protokoll_1p!J215="","",IF(VALUE(LEFT(Protokoll_1p!J215,FIND(":",Protokoll_1p!J215)-1))&gt;VALUE(RIGHT(Protokoll_1p!J215,LEN(Protokoll_1p!J215)-FIND(":",Protokoll_1p!J215))),1,0))</f>
        <v/>
      </c>
      <c r="G249" s="1" t="str">
        <f t="shared" si="6"/>
        <v/>
      </c>
      <c r="I249" s="1" t="str">
        <f>IF(Protokoll_1p!F215="","",IF(VALUE(LEFT(Protokoll_1p!F215,FIND(":",Protokoll_1p!F215)-1))&gt;VALUE(RIGHT(Protokoll_1p!F215,LEN(Protokoll_1p!F215)-FIND(":",Protokoll_1p!F215))),0,1))</f>
        <v/>
      </c>
      <c r="J249" s="1" t="str">
        <f>IF(Protokoll_1p!G215="","",IF(VALUE(LEFT(Protokoll_1p!G215,FIND(":",Protokoll_1p!G215)-1))&gt;VALUE(RIGHT(Protokoll_1p!G215,LEN(Protokoll_1p!G215)-FIND(":",Protokoll_1p!G215))),0,1))</f>
        <v/>
      </c>
      <c r="K249" s="1" t="str">
        <f>IF(Protokoll_1p!H215="","",IF(VALUE(LEFT(Protokoll_1p!H215,FIND(":",Protokoll_1p!H215)-1))&gt;VALUE(RIGHT(Protokoll_1p!H215,LEN(Protokoll_1p!H215)-FIND(":",Protokoll_1p!H215))),0,1))</f>
        <v/>
      </c>
      <c r="L249" s="1" t="str">
        <f>IF(Protokoll_1p!I215="","",IF(VALUE(LEFT(Protokoll_1p!I215,FIND(":",Protokoll_1p!I215)-1))&gt;VALUE(RIGHT(Protokoll_1p!I215,LEN(Protokoll_1p!I215)-FIND(":",Protokoll_1p!I215))),0,1))</f>
        <v/>
      </c>
      <c r="M249" s="1" t="str">
        <f>IF(Protokoll_1p!J215="","",IF(VALUE(LEFT(Protokoll_1p!J215,FIND(":",Protokoll_1p!J215)-1))&gt;VALUE(RIGHT(Protokoll_1p!J215,LEN(Protokoll_1p!J215)-FIND(":",Protokoll_1p!J215))),0,1))</f>
        <v/>
      </c>
      <c r="N249" s="1" t="str">
        <f t="shared" si="7"/>
        <v/>
      </c>
    </row>
    <row r="250" spans="2:14">
      <c r="B250" s="1" t="str">
        <f>IF(Protokoll_1p!F216="","",IF(VALUE(LEFT(Protokoll_1p!F216,FIND(":",Protokoll_1p!F216)-1))&gt;VALUE(RIGHT(Protokoll_1p!F216,LEN(Protokoll_1p!F216)-FIND(":",Protokoll_1p!F216))),1,0))</f>
        <v/>
      </c>
      <c r="C250" s="1" t="str">
        <f>IF(Protokoll_1p!G216="","",IF(VALUE(LEFT(Protokoll_1p!G216,FIND(":",Protokoll_1p!G216)-1))&gt;VALUE(RIGHT(Protokoll_1p!G216,LEN(Protokoll_1p!G216)-FIND(":",Protokoll_1p!G216))),1,0))</f>
        <v/>
      </c>
      <c r="D250" s="1" t="str">
        <f>IF(Protokoll_1p!H216="","",IF(VALUE(LEFT(Protokoll_1p!H216,FIND(":",Protokoll_1p!H216)-1))&gt;VALUE(RIGHT(Protokoll_1p!H216,LEN(Protokoll_1p!H216)-FIND(":",Protokoll_1p!H216))),1,0))</f>
        <v/>
      </c>
      <c r="E250" s="1" t="str">
        <f>IF(Protokoll_1p!I216="","",IF(VALUE(LEFT(Protokoll_1p!I216,FIND(":",Protokoll_1p!I216)-1))&gt;VALUE(RIGHT(Protokoll_1p!I216,LEN(Protokoll_1p!I216)-FIND(":",Protokoll_1p!I216))),1,0))</f>
        <v/>
      </c>
      <c r="F250" s="1" t="str">
        <f>IF(Protokoll_1p!J216="","",IF(VALUE(LEFT(Protokoll_1p!J216,FIND(":",Protokoll_1p!J216)-1))&gt;VALUE(RIGHT(Protokoll_1p!J216,LEN(Protokoll_1p!J216)-FIND(":",Protokoll_1p!J216))),1,0))</f>
        <v/>
      </c>
      <c r="G250" s="1" t="str">
        <f t="shared" si="6"/>
        <v/>
      </c>
      <c r="I250" s="1" t="str">
        <f>IF(Protokoll_1p!F216="","",IF(VALUE(LEFT(Protokoll_1p!F216,FIND(":",Protokoll_1p!F216)-1))&gt;VALUE(RIGHT(Protokoll_1p!F216,LEN(Protokoll_1p!F216)-FIND(":",Protokoll_1p!F216))),0,1))</f>
        <v/>
      </c>
      <c r="J250" s="1" t="str">
        <f>IF(Protokoll_1p!G216="","",IF(VALUE(LEFT(Protokoll_1p!G216,FIND(":",Protokoll_1p!G216)-1))&gt;VALUE(RIGHT(Protokoll_1p!G216,LEN(Protokoll_1p!G216)-FIND(":",Protokoll_1p!G216))),0,1))</f>
        <v/>
      </c>
      <c r="K250" s="1" t="str">
        <f>IF(Protokoll_1p!H216="","",IF(VALUE(LEFT(Protokoll_1p!H216,FIND(":",Protokoll_1p!H216)-1))&gt;VALUE(RIGHT(Protokoll_1p!H216,LEN(Protokoll_1p!H216)-FIND(":",Protokoll_1p!H216))),0,1))</f>
        <v/>
      </c>
      <c r="L250" s="1" t="str">
        <f>IF(Protokoll_1p!I216="","",IF(VALUE(LEFT(Protokoll_1p!I216,FIND(":",Protokoll_1p!I216)-1))&gt;VALUE(RIGHT(Protokoll_1p!I216,LEN(Protokoll_1p!I216)-FIND(":",Protokoll_1p!I216))),0,1))</f>
        <v/>
      </c>
      <c r="M250" s="1" t="str">
        <f>IF(Protokoll_1p!J216="","",IF(VALUE(LEFT(Protokoll_1p!J216,FIND(":",Protokoll_1p!J216)-1))&gt;VALUE(RIGHT(Protokoll_1p!J216,LEN(Protokoll_1p!J216)-FIND(":",Protokoll_1p!J216))),0,1))</f>
        <v/>
      </c>
      <c r="N250" s="1" t="str">
        <f t="shared" si="7"/>
        <v/>
      </c>
    </row>
    <row r="251" spans="2:14">
      <c r="B251" s="1" t="str">
        <f>IF(Protokoll_1p!F217="","",IF(VALUE(LEFT(Protokoll_1p!F217,FIND(":",Protokoll_1p!F217)-1))&gt;VALUE(RIGHT(Protokoll_1p!F217,LEN(Protokoll_1p!F217)-FIND(":",Protokoll_1p!F217))),1,0))</f>
        <v/>
      </c>
      <c r="C251" s="1" t="str">
        <f>IF(Protokoll_1p!G217="","",IF(VALUE(LEFT(Protokoll_1p!G217,FIND(":",Protokoll_1p!G217)-1))&gt;VALUE(RIGHT(Protokoll_1p!G217,LEN(Protokoll_1p!G217)-FIND(":",Protokoll_1p!G217))),1,0))</f>
        <v/>
      </c>
      <c r="D251" s="1" t="str">
        <f>IF(Protokoll_1p!H217="","",IF(VALUE(LEFT(Protokoll_1p!H217,FIND(":",Protokoll_1p!H217)-1))&gt;VALUE(RIGHT(Protokoll_1p!H217,LEN(Protokoll_1p!H217)-FIND(":",Protokoll_1p!H217))),1,0))</f>
        <v/>
      </c>
      <c r="E251" s="1" t="str">
        <f>IF(Protokoll_1p!I217="","",IF(VALUE(LEFT(Protokoll_1p!I217,FIND(":",Protokoll_1p!I217)-1))&gt;VALUE(RIGHT(Protokoll_1p!I217,LEN(Protokoll_1p!I217)-FIND(":",Protokoll_1p!I217))),1,0))</f>
        <v/>
      </c>
      <c r="F251" s="1" t="str">
        <f>IF(Protokoll_1p!J217="","",IF(VALUE(LEFT(Protokoll_1p!J217,FIND(":",Protokoll_1p!J217)-1))&gt;VALUE(RIGHT(Protokoll_1p!J217,LEN(Protokoll_1p!J217)-FIND(":",Protokoll_1p!J217))),1,0))</f>
        <v/>
      </c>
      <c r="G251" s="1" t="str">
        <f t="shared" si="6"/>
        <v/>
      </c>
      <c r="I251" s="1" t="str">
        <f>IF(Protokoll_1p!F217="","",IF(VALUE(LEFT(Protokoll_1p!F217,FIND(":",Protokoll_1p!F217)-1))&gt;VALUE(RIGHT(Protokoll_1p!F217,LEN(Protokoll_1p!F217)-FIND(":",Protokoll_1p!F217))),0,1))</f>
        <v/>
      </c>
      <c r="J251" s="1" t="str">
        <f>IF(Protokoll_1p!G217="","",IF(VALUE(LEFT(Protokoll_1p!G217,FIND(":",Protokoll_1p!G217)-1))&gt;VALUE(RIGHT(Protokoll_1p!G217,LEN(Protokoll_1p!G217)-FIND(":",Protokoll_1p!G217))),0,1))</f>
        <v/>
      </c>
      <c r="K251" s="1" t="str">
        <f>IF(Protokoll_1p!H217="","",IF(VALUE(LEFT(Protokoll_1p!H217,FIND(":",Protokoll_1p!H217)-1))&gt;VALUE(RIGHT(Protokoll_1p!H217,LEN(Protokoll_1p!H217)-FIND(":",Protokoll_1p!H217))),0,1))</f>
        <v/>
      </c>
      <c r="L251" s="1" t="str">
        <f>IF(Protokoll_1p!I217="","",IF(VALUE(LEFT(Protokoll_1p!I217,FIND(":",Protokoll_1p!I217)-1))&gt;VALUE(RIGHT(Protokoll_1p!I217,LEN(Protokoll_1p!I217)-FIND(":",Protokoll_1p!I217))),0,1))</f>
        <v/>
      </c>
      <c r="M251" s="1" t="str">
        <f>IF(Protokoll_1p!J217="","",IF(VALUE(LEFT(Protokoll_1p!J217,FIND(":",Protokoll_1p!J217)-1))&gt;VALUE(RIGHT(Protokoll_1p!J217,LEN(Protokoll_1p!J217)-FIND(":",Protokoll_1p!J217))),0,1))</f>
        <v/>
      </c>
      <c r="N251" s="1" t="str">
        <f t="shared" si="7"/>
        <v/>
      </c>
    </row>
    <row r="252" spans="2:14">
      <c r="B252" s="1" t="str">
        <f>IF(Protokoll_1p!F218="","",IF(VALUE(LEFT(Protokoll_1p!F218,FIND(":",Protokoll_1p!F218)-1))&gt;VALUE(RIGHT(Protokoll_1p!F218,LEN(Protokoll_1p!F218)-FIND(":",Protokoll_1p!F218))),1,0))</f>
        <v/>
      </c>
      <c r="C252" s="1" t="str">
        <f>IF(Protokoll_1p!G218="","",IF(VALUE(LEFT(Protokoll_1p!G218,FIND(":",Protokoll_1p!G218)-1))&gt;VALUE(RIGHT(Protokoll_1p!G218,LEN(Protokoll_1p!G218)-FIND(":",Protokoll_1p!G218))),1,0))</f>
        <v/>
      </c>
      <c r="D252" s="1" t="str">
        <f>IF(Protokoll_1p!H218="","",IF(VALUE(LEFT(Protokoll_1p!H218,FIND(":",Protokoll_1p!H218)-1))&gt;VALUE(RIGHT(Protokoll_1p!H218,LEN(Protokoll_1p!H218)-FIND(":",Protokoll_1p!H218))),1,0))</f>
        <v/>
      </c>
      <c r="E252" s="1" t="str">
        <f>IF(Protokoll_1p!I218="","",IF(VALUE(LEFT(Protokoll_1p!I218,FIND(":",Protokoll_1p!I218)-1))&gt;VALUE(RIGHT(Protokoll_1p!I218,LEN(Protokoll_1p!I218)-FIND(":",Protokoll_1p!I218))),1,0))</f>
        <v/>
      </c>
      <c r="F252" s="1" t="str">
        <f>IF(Protokoll_1p!J218="","",IF(VALUE(LEFT(Protokoll_1p!J218,FIND(":",Protokoll_1p!J218)-1))&gt;VALUE(RIGHT(Protokoll_1p!J218,LEN(Protokoll_1p!J218)-FIND(":",Protokoll_1p!J218))),1,0))</f>
        <v/>
      </c>
      <c r="G252" s="1" t="str">
        <f t="shared" si="6"/>
        <v/>
      </c>
      <c r="I252" s="1" t="str">
        <f>IF(Protokoll_1p!F218="","",IF(VALUE(LEFT(Protokoll_1p!F218,FIND(":",Protokoll_1p!F218)-1))&gt;VALUE(RIGHT(Protokoll_1p!F218,LEN(Protokoll_1p!F218)-FIND(":",Protokoll_1p!F218))),0,1))</f>
        <v/>
      </c>
      <c r="J252" s="1" t="str">
        <f>IF(Protokoll_1p!G218="","",IF(VALUE(LEFT(Protokoll_1p!G218,FIND(":",Protokoll_1p!G218)-1))&gt;VALUE(RIGHT(Protokoll_1p!G218,LEN(Protokoll_1p!G218)-FIND(":",Protokoll_1p!G218))),0,1))</f>
        <v/>
      </c>
      <c r="K252" s="1" t="str">
        <f>IF(Protokoll_1p!H218="","",IF(VALUE(LEFT(Protokoll_1p!H218,FIND(":",Protokoll_1p!H218)-1))&gt;VALUE(RIGHT(Protokoll_1p!H218,LEN(Protokoll_1p!H218)-FIND(":",Protokoll_1p!H218))),0,1))</f>
        <v/>
      </c>
      <c r="L252" s="1" t="str">
        <f>IF(Protokoll_1p!I218="","",IF(VALUE(LEFT(Protokoll_1p!I218,FIND(":",Protokoll_1p!I218)-1))&gt;VALUE(RIGHT(Protokoll_1p!I218,LEN(Protokoll_1p!I218)-FIND(":",Protokoll_1p!I218))),0,1))</f>
        <v/>
      </c>
      <c r="M252" s="1" t="str">
        <f>IF(Protokoll_1p!J218="","",IF(VALUE(LEFT(Protokoll_1p!J218,FIND(":",Protokoll_1p!J218)-1))&gt;VALUE(RIGHT(Protokoll_1p!J218,LEN(Protokoll_1p!J218)-FIND(":",Protokoll_1p!J218))),0,1))</f>
        <v/>
      </c>
      <c r="N252" s="1" t="str">
        <f t="shared" si="7"/>
        <v/>
      </c>
    </row>
    <row r="253" spans="2:14">
      <c r="B253" s="1" t="str">
        <f>IF(Protokoll_1p!F219="","",IF(VALUE(LEFT(Protokoll_1p!F219,FIND(":",Protokoll_1p!F219)-1))&gt;VALUE(RIGHT(Protokoll_1p!F219,LEN(Protokoll_1p!F219)-FIND(":",Protokoll_1p!F219))),1,0))</f>
        <v/>
      </c>
      <c r="C253" s="1" t="str">
        <f>IF(Protokoll_1p!G219="","",IF(VALUE(LEFT(Protokoll_1p!G219,FIND(":",Protokoll_1p!G219)-1))&gt;VALUE(RIGHT(Protokoll_1p!G219,LEN(Protokoll_1p!G219)-FIND(":",Protokoll_1p!G219))),1,0))</f>
        <v/>
      </c>
      <c r="D253" s="1" t="str">
        <f>IF(Protokoll_1p!H219="","",IF(VALUE(LEFT(Protokoll_1p!H219,FIND(":",Protokoll_1p!H219)-1))&gt;VALUE(RIGHT(Protokoll_1p!H219,LEN(Protokoll_1p!H219)-FIND(":",Protokoll_1p!H219))),1,0))</f>
        <v/>
      </c>
      <c r="E253" s="1" t="str">
        <f>IF(Protokoll_1p!I219="","",IF(VALUE(LEFT(Protokoll_1p!I219,FIND(":",Protokoll_1p!I219)-1))&gt;VALUE(RIGHT(Protokoll_1p!I219,LEN(Protokoll_1p!I219)-FIND(":",Protokoll_1p!I219))),1,0))</f>
        <v/>
      </c>
      <c r="F253" s="1" t="str">
        <f>IF(Protokoll_1p!J219="","",IF(VALUE(LEFT(Protokoll_1p!J219,FIND(":",Protokoll_1p!J219)-1))&gt;VALUE(RIGHT(Protokoll_1p!J219,LEN(Protokoll_1p!J219)-FIND(":",Protokoll_1p!J219))),1,0))</f>
        <v/>
      </c>
      <c r="G253" s="1" t="str">
        <f t="shared" si="6"/>
        <v/>
      </c>
      <c r="I253" s="1" t="str">
        <f>IF(Protokoll_1p!F219="","",IF(VALUE(LEFT(Protokoll_1p!F219,FIND(":",Protokoll_1p!F219)-1))&gt;VALUE(RIGHT(Protokoll_1p!F219,LEN(Protokoll_1p!F219)-FIND(":",Protokoll_1p!F219))),0,1))</f>
        <v/>
      </c>
      <c r="J253" s="1" t="str">
        <f>IF(Protokoll_1p!G219="","",IF(VALUE(LEFT(Protokoll_1p!G219,FIND(":",Protokoll_1p!G219)-1))&gt;VALUE(RIGHT(Protokoll_1p!G219,LEN(Protokoll_1p!G219)-FIND(":",Protokoll_1p!G219))),0,1))</f>
        <v/>
      </c>
      <c r="K253" s="1" t="str">
        <f>IF(Protokoll_1p!H219="","",IF(VALUE(LEFT(Protokoll_1p!H219,FIND(":",Protokoll_1p!H219)-1))&gt;VALUE(RIGHT(Protokoll_1p!H219,LEN(Protokoll_1p!H219)-FIND(":",Protokoll_1p!H219))),0,1))</f>
        <v/>
      </c>
      <c r="L253" s="1" t="str">
        <f>IF(Protokoll_1p!I219="","",IF(VALUE(LEFT(Protokoll_1p!I219,FIND(":",Protokoll_1p!I219)-1))&gt;VALUE(RIGHT(Protokoll_1p!I219,LEN(Protokoll_1p!I219)-FIND(":",Protokoll_1p!I219))),0,1))</f>
        <v/>
      </c>
      <c r="M253" s="1" t="str">
        <f>IF(Protokoll_1p!J219="","",IF(VALUE(LEFT(Protokoll_1p!J219,FIND(":",Protokoll_1p!J219)-1))&gt;VALUE(RIGHT(Protokoll_1p!J219,LEN(Protokoll_1p!J219)-FIND(":",Protokoll_1p!J219))),0,1))</f>
        <v/>
      </c>
      <c r="N253" s="1" t="str">
        <f t="shared" si="7"/>
        <v/>
      </c>
    </row>
    <row r="254" spans="2:14">
      <c r="B254" s="1" t="str">
        <f>IF(Protokoll_1p!F220="","",IF(VALUE(LEFT(Protokoll_1p!F220,FIND(":",Protokoll_1p!F220)-1))&gt;VALUE(RIGHT(Protokoll_1p!F220,LEN(Protokoll_1p!F220)-FIND(":",Protokoll_1p!F220))),1,0))</f>
        <v/>
      </c>
      <c r="C254" s="1" t="str">
        <f>IF(Protokoll_1p!G220="","",IF(VALUE(LEFT(Protokoll_1p!G220,FIND(":",Protokoll_1p!G220)-1))&gt;VALUE(RIGHT(Protokoll_1p!G220,LEN(Protokoll_1p!G220)-FIND(":",Protokoll_1p!G220))),1,0))</f>
        <v/>
      </c>
      <c r="D254" s="1" t="str">
        <f>IF(Protokoll_1p!H220="","",IF(VALUE(LEFT(Protokoll_1p!H220,FIND(":",Protokoll_1p!H220)-1))&gt;VALUE(RIGHT(Protokoll_1p!H220,LEN(Protokoll_1p!H220)-FIND(":",Protokoll_1p!H220))),1,0))</f>
        <v/>
      </c>
      <c r="E254" s="1" t="str">
        <f>IF(Protokoll_1p!I220="","",IF(VALUE(LEFT(Protokoll_1p!I220,FIND(":",Protokoll_1p!I220)-1))&gt;VALUE(RIGHT(Protokoll_1p!I220,LEN(Protokoll_1p!I220)-FIND(":",Protokoll_1p!I220))),1,0))</f>
        <v/>
      </c>
      <c r="F254" s="1" t="str">
        <f>IF(Protokoll_1p!J220="","",IF(VALUE(LEFT(Protokoll_1p!J220,FIND(":",Protokoll_1p!J220)-1))&gt;VALUE(RIGHT(Protokoll_1p!J220,LEN(Protokoll_1p!J220)-FIND(":",Protokoll_1p!J220))),1,0))</f>
        <v/>
      </c>
      <c r="G254" s="1" t="str">
        <f t="shared" si="6"/>
        <v/>
      </c>
      <c r="I254" s="1" t="str">
        <f>IF(Protokoll_1p!F220="","",IF(VALUE(LEFT(Protokoll_1p!F220,FIND(":",Protokoll_1p!F220)-1))&gt;VALUE(RIGHT(Protokoll_1p!F220,LEN(Protokoll_1p!F220)-FIND(":",Protokoll_1p!F220))),0,1))</f>
        <v/>
      </c>
      <c r="J254" s="1" t="str">
        <f>IF(Protokoll_1p!G220="","",IF(VALUE(LEFT(Protokoll_1p!G220,FIND(":",Protokoll_1p!G220)-1))&gt;VALUE(RIGHT(Protokoll_1p!G220,LEN(Protokoll_1p!G220)-FIND(":",Protokoll_1p!G220))),0,1))</f>
        <v/>
      </c>
      <c r="K254" s="1" t="str">
        <f>IF(Protokoll_1p!H220="","",IF(VALUE(LEFT(Protokoll_1p!H220,FIND(":",Protokoll_1p!H220)-1))&gt;VALUE(RIGHT(Protokoll_1p!H220,LEN(Protokoll_1p!H220)-FIND(":",Protokoll_1p!H220))),0,1))</f>
        <v/>
      </c>
      <c r="L254" s="1" t="str">
        <f>IF(Protokoll_1p!I220="","",IF(VALUE(LEFT(Protokoll_1p!I220,FIND(":",Protokoll_1p!I220)-1))&gt;VALUE(RIGHT(Protokoll_1p!I220,LEN(Protokoll_1p!I220)-FIND(":",Protokoll_1p!I220))),0,1))</f>
        <v/>
      </c>
      <c r="M254" s="1" t="str">
        <f>IF(Protokoll_1p!J220="","",IF(VALUE(LEFT(Protokoll_1p!J220,FIND(":",Protokoll_1p!J220)-1))&gt;VALUE(RIGHT(Protokoll_1p!J220,LEN(Protokoll_1p!J220)-FIND(":",Protokoll_1p!J220))),0,1))</f>
        <v/>
      </c>
      <c r="N254" s="1" t="str">
        <f t="shared" si="7"/>
        <v/>
      </c>
    </row>
    <row r="255" spans="2:14">
      <c r="B255" s="1" t="str">
        <f>IF(Protokoll_1p!F221="","",IF(VALUE(LEFT(Protokoll_1p!F221,FIND(":",Protokoll_1p!F221)-1))&gt;VALUE(RIGHT(Protokoll_1p!F221,LEN(Protokoll_1p!F221)-FIND(":",Protokoll_1p!F221))),1,0))</f>
        <v/>
      </c>
      <c r="C255" s="1" t="str">
        <f>IF(Protokoll_1p!G221="","",IF(VALUE(LEFT(Protokoll_1p!G221,FIND(":",Protokoll_1p!G221)-1))&gt;VALUE(RIGHT(Protokoll_1p!G221,LEN(Protokoll_1p!G221)-FIND(":",Protokoll_1p!G221))),1,0))</f>
        <v/>
      </c>
      <c r="D255" s="1" t="str">
        <f>IF(Protokoll_1p!H221="","",IF(VALUE(LEFT(Protokoll_1p!H221,FIND(":",Protokoll_1p!H221)-1))&gt;VALUE(RIGHT(Protokoll_1p!H221,LEN(Protokoll_1p!H221)-FIND(":",Protokoll_1p!H221))),1,0))</f>
        <v/>
      </c>
      <c r="E255" s="1" t="str">
        <f>IF(Protokoll_1p!I221="","",IF(VALUE(LEFT(Protokoll_1p!I221,FIND(":",Protokoll_1p!I221)-1))&gt;VALUE(RIGHT(Protokoll_1p!I221,LEN(Protokoll_1p!I221)-FIND(":",Protokoll_1p!I221))),1,0))</f>
        <v/>
      </c>
      <c r="F255" s="1" t="str">
        <f>IF(Protokoll_1p!J221="","",IF(VALUE(LEFT(Protokoll_1p!J221,FIND(":",Protokoll_1p!J221)-1))&gt;VALUE(RIGHT(Protokoll_1p!J221,LEN(Protokoll_1p!J221)-FIND(":",Protokoll_1p!J221))),1,0))</f>
        <v/>
      </c>
      <c r="G255" s="1" t="str">
        <f t="shared" si="6"/>
        <v/>
      </c>
      <c r="I255" s="1" t="str">
        <f>IF(Protokoll_1p!F221="","",IF(VALUE(LEFT(Protokoll_1p!F221,FIND(":",Protokoll_1p!F221)-1))&gt;VALUE(RIGHT(Protokoll_1p!F221,LEN(Protokoll_1p!F221)-FIND(":",Protokoll_1p!F221))),0,1))</f>
        <v/>
      </c>
      <c r="J255" s="1" t="str">
        <f>IF(Protokoll_1p!G221="","",IF(VALUE(LEFT(Protokoll_1p!G221,FIND(":",Protokoll_1p!G221)-1))&gt;VALUE(RIGHT(Protokoll_1p!G221,LEN(Protokoll_1p!G221)-FIND(":",Protokoll_1p!G221))),0,1))</f>
        <v/>
      </c>
      <c r="K255" s="1" t="str">
        <f>IF(Protokoll_1p!H221="","",IF(VALUE(LEFT(Protokoll_1p!H221,FIND(":",Protokoll_1p!H221)-1))&gt;VALUE(RIGHT(Protokoll_1p!H221,LEN(Protokoll_1p!H221)-FIND(":",Protokoll_1p!H221))),0,1))</f>
        <v/>
      </c>
      <c r="L255" s="1" t="str">
        <f>IF(Protokoll_1p!I221="","",IF(VALUE(LEFT(Protokoll_1p!I221,FIND(":",Protokoll_1p!I221)-1))&gt;VALUE(RIGHT(Protokoll_1p!I221,LEN(Protokoll_1p!I221)-FIND(":",Protokoll_1p!I221))),0,1))</f>
        <v/>
      </c>
      <c r="M255" s="1" t="str">
        <f>IF(Protokoll_1p!J221="","",IF(VALUE(LEFT(Protokoll_1p!J221,FIND(":",Protokoll_1p!J221)-1))&gt;VALUE(RIGHT(Protokoll_1p!J221,LEN(Protokoll_1p!J221)-FIND(":",Protokoll_1p!J221))),0,1))</f>
        <v/>
      </c>
      <c r="N255" s="1" t="str">
        <f t="shared" si="7"/>
        <v/>
      </c>
    </row>
    <row r="256" spans="2:14">
      <c r="B256" s="1" t="str">
        <f>IF(Protokoll_1p!F222="","",IF(VALUE(LEFT(Protokoll_1p!F222,FIND(":",Protokoll_1p!F222)-1))&gt;VALUE(RIGHT(Protokoll_1p!F222,LEN(Protokoll_1p!F222)-FIND(":",Protokoll_1p!F222))),1,0))</f>
        <v/>
      </c>
      <c r="C256" s="1" t="str">
        <f>IF(Protokoll_1p!G222="","",IF(VALUE(LEFT(Protokoll_1p!G222,FIND(":",Protokoll_1p!G222)-1))&gt;VALUE(RIGHT(Protokoll_1p!G222,LEN(Protokoll_1p!G222)-FIND(":",Protokoll_1p!G222))),1,0))</f>
        <v/>
      </c>
      <c r="D256" s="1" t="str">
        <f>IF(Protokoll_1p!H222="","",IF(VALUE(LEFT(Protokoll_1p!H222,FIND(":",Protokoll_1p!H222)-1))&gt;VALUE(RIGHT(Protokoll_1p!H222,LEN(Protokoll_1p!H222)-FIND(":",Protokoll_1p!H222))),1,0))</f>
        <v/>
      </c>
      <c r="E256" s="1" t="str">
        <f>IF(Protokoll_1p!I222="","",IF(VALUE(LEFT(Protokoll_1p!I222,FIND(":",Protokoll_1p!I222)-1))&gt;VALUE(RIGHT(Protokoll_1p!I222,LEN(Protokoll_1p!I222)-FIND(":",Protokoll_1p!I222))),1,0))</f>
        <v/>
      </c>
      <c r="F256" s="1" t="str">
        <f>IF(Protokoll_1p!J222="","",IF(VALUE(LEFT(Protokoll_1p!J222,FIND(":",Protokoll_1p!J222)-1))&gt;VALUE(RIGHT(Protokoll_1p!J222,LEN(Protokoll_1p!J222)-FIND(":",Protokoll_1p!J222))),1,0))</f>
        <v/>
      </c>
      <c r="G256" s="1" t="str">
        <f t="shared" si="6"/>
        <v/>
      </c>
      <c r="I256" s="1" t="str">
        <f>IF(Protokoll_1p!F222="","",IF(VALUE(LEFT(Protokoll_1p!F222,FIND(":",Protokoll_1p!F222)-1))&gt;VALUE(RIGHT(Protokoll_1p!F222,LEN(Protokoll_1p!F222)-FIND(":",Protokoll_1p!F222))),0,1))</f>
        <v/>
      </c>
      <c r="J256" s="1" t="str">
        <f>IF(Protokoll_1p!G222="","",IF(VALUE(LEFT(Protokoll_1p!G222,FIND(":",Protokoll_1p!G222)-1))&gt;VALUE(RIGHT(Protokoll_1p!G222,LEN(Protokoll_1p!G222)-FIND(":",Protokoll_1p!G222))),0,1))</f>
        <v/>
      </c>
      <c r="K256" s="1" t="str">
        <f>IF(Protokoll_1p!H222="","",IF(VALUE(LEFT(Protokoll_1p!H222,FIND(":",Protokoll_1p!H222)-1))&gt;VALUE(RIGHT(Protokoll_1p!H222,LEN(Protokoll_1p!H222)-FIND(":",Protokoll_1p!H222))),0,1))</f>
        <v/>
      </c>
      <c r="L256" s="1" t="str">
        <f>IF(Protokoll_1p!I222="","",IF(VALUE(LEFT(Protokoll_1p!I222,FIND(":",Protokoll_1p!I222)-1))&gt;VALUE(RIGHT(Protokoll_1p!I222,LEN(Protokoll_1p!I222)-FIND(":",Protokoll_1p!I222))),0,1))</f>
        <v/>
      </c>
      <c r="M256" s="1" t="str">
        <f>IF(Protokoll_1p!J222="","",IF(VALUE(LEFT(Protokoll_1p!J222,FIND(":",Protokoll_1p!J222)-1))&gt;VALUE(RIGHT(Protokoll_1p!J222,LEN(Protokoll_1p!J222)-FIND(":",Protokoll_1p!J222))),0,1))</f>
        <v/>
      </c>
      <c r="N256" s="1" t="str">
        <f t="shared" si="7"/>
        <v/>
      </c>
    </row>
    <row r="257" spans="2:14">
      <c r="B257" s="1" t="str">
        <f>IF(Protokoll_1p!F223="","",IF(VALUE(LEFT(Protokoll_1p!F223,FIND(":",Protokoll_1p!F223)-1))&gt;VALUE(RIGHT(Protokoll_1p!F223,LEN(Protokoll_1p!F223)-FIND(":",Protokoll_1p!F223))),1,0))</f>
        <v/>
      </c>
      <c r="C257" s="1" t="str">
        <f>IF(Protokoll_1p!G223="","",IF(VALUE(LEFT(Protokoll_1p!G223,FIND(":",Protokoll_1p!G223)-1))&gt;VALUE(RIGHT(Protokoll_1p!G223,LEN(Protokoll_1p!G223)-FIND(":",Protokoll_1p!G223))),1,0))</f>
        <v/>
      </c>
      <c r="D257" s="1" t="str">
        <f>IF(Protokoll_1p!H223="","",IF(VALUE(LEFT(Protokoll_1p!H223,FIND(":",Protokoll_1p!H223)-1))&gt;VALUE(RIGHT(Protokoll_1p!H223,LEN(Protokoll_1p!H223)-FIND(":",Protokoll_1p!H223))),1,0))</f>
        <v/>
      </c>
      <c r="E257" s="1" t="str">
        <f>IF(Protokoll_1p!I223="","",IF(VALUE(LEFT(Protokoll_1p!I223,FIND(":",Protokoll_1p!I223)-1))&gt;VALUE(RIGHT(Protokoll_1p!I223,LEN(Protokoll_1p!I223)-FIND(":",Protokoll_1p!I223))),1,0))</f>
        <v/>
      </c>
      <c r="F257" s="1" t="str">
        <f>IF(Protokoll_1p!J223="","",IF(VALUE(LEFT(Protokoll_1p!J223,FIND(":",Protokoll_1p!J223)-1))&gt;VALUE(RIGHT(Protokoll_1p!J223,LEN(Protokoll_1p!J223)-FIND(":",Protokoll_1p!J223))),1,0))</f>
        <v/>
      </c>
      <c r="G257" s="1" t="str">
        <f t="shared" si="6"/>
        <v/>
      </c>
      <c r="I257" s="1" t="str">
        <f>IF(Protokoll_1p!F223="","",IF(VALUE(LEFT(Protokoll_1p!F223,FIND(":",Protokoll_1p!F223)-1))&gt;VALUE(RIGHT(Protokoll_1p!F223,LEN(Protokoll_1p!F223)-FIND(":",Protokoll_1p!F223))),0,1))</f>
        <v/>
      </c>
      <c r="J257" s="1" t="str">
        <f>IF(Protokoll_1p!G223="","",IF(VALUE(LEFT(Protokoll_1p!G223,FIND(":",Protokoll_1p!G223)-1))&gt;VALUE(RIGHT(Protokoll_1p!G223,LEN(Protokoll_1p!G223)-FIND(":",Protokoll_1p!G223))),0,1))</f>
        <v/>
      </c>
      <c r="K257" s="1" t="str">
        <f>IF(Protokoll_1p!H223="","",IF(VALUE(LEFT(Protokoll_1p!H223,FIND(":",Protokoll_1p!H223)-1))&gt;VALUE(RIGHT(Protokoll_1p!H223,LEN(Protokoll_1p!H223)-FIND(":",Protokoll_1p!H223))),0,1))</f>
        <v/>
      </c>
      <c r="L257" s="1" t="str">
        <f>IF(Protokoll_1p!I223="","",IF(VALUE(LEFT(Protokoll_1p!I223,FIND(":",Protokoll_1p!I223)-1))&gt;VALUE(RIGHT(Protokoll_1p!I223,LEN(Protokoll_1p!I223)-FIND(":",Protokoll_1p!I223))),0,1))</f>
        <v/>
      </c>
      <c r="M257" s="1" t="str">
        <f>IF(Protokoll_1p!J223="","",IF(VALUE(LEFT(Protokoll_1p!J223,FIND(":",Protokoll_1p!J223)-1))&gt;VALUE(RIGHT(Protokoll_1p!J223,LEN(Protokoll_1p!J223)-FIND(":",Protokoll_1p!J223))),0,1))</f>
        <v/>
      </c>
      <c r="N257" s="1" t="str">
        <f t="shared" si="7"/>
        <v/>
      </c>
    </row>
    <row r="258" spans="2:14">
      <c r="B258" s="1" t="str">
        <f>IF(Protokoll_1p!F224="","",IF(VALUE(LEFT(Protokoll_1p!F224,FIND(":",Protokoll_1p!F224)-1))&gt;VALUE(RIGHT(Protokoll_1p!F224,LEN(Protokoll_1p!F224)-FIND(":",Protokoll_1p!F224))),1,0))</f>
        <v/>
      </c>
      <c r="C258" s="1" t="str">
        <f>IF(Protokoll_1p!G224="","",IF(VALUE(LEFT(Protokoll_1p!G224,FIND(":",Protokoll_1p!G224)-1))&gt;VALUE(RIGHT(Protokoll_1p!G224,LEN(Protokoll_1p!G224)-FIND(":",Protokoll_1p!G224))),1,0))</f>
        <v/>
      </c>
      <c r="D258" s="1" t="str">
        <f>IF(Protokoll_1p!H224="","",IF(VALUE(LEFT(Protokoll_1p!H224,FIND(":",Protokoll_1p!H224)-1))&gt;VALUE(RIGHT(Protokoll_1p!H224,LEN(Protokoll_1p!H224)-FIND(":",Protokoll_1p!H224))),1,0))</f>
        <v/>
      </c>
      <c r="E258" s="1" t="str">
        <f>IF(Protokoll_1p!I224="","",IF(VALUE(LEFT(Protokoll_1p!I224,FIND(":",Protokoll_1p!I224)-1))&gt;VALUE(RIGHT(Protokoll_1p!I224,LEN(Protokoll_1p!I224)-FIND(":",Protokoll_1p!I224))),1,0))</f>
        <v/>
      </c>
      <c r="F258" s="1" t="str">
        <f>IF(Protokoll_1p!J224="","",IF(VALUE(LEFT(Protokoll_1p!J224,FIND(":",Protokoll_1p!J224)-1))&gt;VALUE(RIGHT(Protokoll_1p!J224,LEN(Protokoll_1p!J224)-FIND(":",Protokoll_1p!J224))),1,0))</f>
        <v/>
      </c>
      <c r="G258" s="1" t="str">
        <f t="shared" si="6"/>
        <v/>
      </c>
      <c r="I258" s="1" t="str">
        <f>IF(Protokoll_1p!F224="","",IF(VALUE(LEFT(Protokoll_1p!F224,FIND(":",Protokoll_1p!F224)-1))&gt;VALUE(RIGHT(Protokoll_1p!F224,LEN(Protokoll_1p!F224)-FIND(":",Protokoll_1p!F224))),0,1))</f>
        <v/>
      </c>
      <c r="J258" s="1" t="str">
        <f>IF(Protokoll_1p!G224="","",IF(VALUE(LEFT(Protokoll_1p!G224,FIND(":",Protokoll_1p!G224)-1))&gt;VALUE(RIGHT(Protokoll_1p!G224,LEN(Protokoll_1p!G224)-FIND(":",Protokoll_1p!G224))),0,1))</f>
        <v/>
      </c>
      <c r="K258" s="1" t="str">
        <f>IF(Protokoll_1p!H224="","",IF(VALUE(LEFT(Protokoll_1p!H224,FIND(":",Protokoll_1p!H224)-1))&gt;VALUE(RIGHT(Protokoll_1p!H224,LEN(Protokoll_1p!H224)-FIND(":",Protokoll_1p!H224))),0,1))</f>
        <v/>
      </c>
      <c r="L258" s="1" t="str">
        <f>IF(Protokoll_1p!I224="","",IF(VALUE(LEFT(Protokoll_1p!I224,FIND(":",Protokoll_1p!I224)-1))&gt;VALUE(RIGHT(Protokoll_1p!I224,LEN(Protokoll_1p!I224)-FIND(":",Protokoll_1p!I224))),0,1))</f>
        <v/>
      </c>
      <c r="M258" s="1" t="str">
        <f>IF(Protokoll_1p!J224="","",IF(VALUE(LEFT(Protokoll_1p!J224,FIND(":",Protokoll_1p!J224)-1))&gt;VALUE(RIGHT(Protokoll_1p!J224,LEN(Protokoll_1p!J224)-FIND(":",Protokoll_1p!J224))),0,1))</f>
        <v/>
      </c>
      <c r="N258" s="1" t="str">
        <f t="shared" si="7"/>
        <v/>
      </c>
    </row>
    <row r="259" spans="2:14">
      <c r="B259" s="1" t="str">
        <f>IF(Protokoll_1p!F225="","",IF(VALUE(LEFT(Protokoll_1p!F225,FIND(":",Protokoll_1p!F225)-1))&gt;VALUE(RIGHT(Protokoll_1p!F225,LEN(Protokoll_1p!F225)-FIND(":",Protokoll_1p!F225))),1,0))</f>
        <v/>
      </c>
      <c r="C259" s="1" t="str">
        <f>IF(Protokoll_1p!G225="","",IF(VALUE(LEFT(Protokoll_1p!G225,FIND(":",Protokoll_1p!G225)-1))&gt;VALUE(RIGHT(Protokoll_1p!G225,LEN(Protokoll_1p!G225)-FIND(":",Protokoll_1p!G225))),1,0))</f>
        <v/>
      </c>
      <c r="D259" s="1" t="str">
        <f>IF(Protokoll_1p!H225="","",IF(VALUE(LEFT(Protokoll_1p!H225,FIND(":",Protokoll_1p!H225)-1))&gt;VALUE(RIGHT(Protokoll_1p!H225,LEN(Protokoll_1p!H225)-FIND(":",Protokoll_1p!H225))),1,0))</f>
        <v/>
      </c>
      <c r="E259" s="1" t="str">
        <f>IF(Protokoll_1p!I225="","",IF(VALUE(LEFT(Protokoll_1p!I225,FIND(":",Protokoll_1p!I225)-1))&gt;VALUE(RIGHT(Protokoll_1p!I225,LEN(Protokoll_1p!I225)-FIND(":",Protokoll_1p!I225))),1,0))</f>
        <v/>
      </c>
      <c r="F259" s="1" t="str">
        <f>IF(Protokoll_1p!J225="","",IF(VALUE(LEFT(Protokoll_1p!J225,FIND(":",Protokoll_1p!J225)-1))&gt;VALUE(RIGHT(Protokoll_1p!J225,LEN(Protokoll_1p!J225)-FIND(":",Protokoll_1p!J225))),1,0))</f>
        <v/>
      </c>
      <c r="G259" s="1" t="str">
        <f t="shared" ref="G259:G285" si="8">IF(B259="","",SUM(B259:F259))</f>
        <v/>
      </c>
      <c r="I259" s="1" t="str">
        <f>IF(Protokoll_1p!F225="","",IF(VALUE(LEFT(Protokoll_1p!F225,FIND(":",Protokoll_1p!F225)-1))&gt;VALUE(RIGHT(Protokoll_1p!F225,LEN(Protokoll_1p!F225)-FIND(":",Protokoll_1p!F225))),0,1))</f>
        <v/>
      </c>
      <c r="J259" s="1" t="str">
        <f>IF(Protokoll_1p!G225="","",IF(VALUE(LEFT(Protokoll_1p!G225,FIND(":",Protokoll_1p!G225)-1))&gt;VALUE(RIGHT(Protokoll_1p!G225,LEN(Protokoll_1p!G225)-FIND(":",Protokoll_1p!G225))),0,1))</f>
        <v/>
      </c>
      <c r="K259" s="1" t="str">
        <f>IF(Protokoll_1p!H225="","",IF(VALUE(LEFT(Protokoll_1p!H225,FIND(":",Protokoll_1p!H225)-1))&gt;VALUE(RIGHT(Protokoll_1p!H225,LEN(Protokoll_1p!H225)-FIND(":",Protokoll_1p!H225))),0,1))</f>
        <v/>
      </c>
      <c r="L259" s="1" t="str">
        <f>IF(Protokoll_1p!I225="","",IF(VALUE(LEFT(Protokoll_1p!I225,FIND(":",Protokoll_1p!I225)-1))&gt;VALUE(RIGHT(Protokoll_1p!I225,LEN(Protokoll_1p!I225)-FIND(":",Protokoll_1p!I225))),0,1))</f>
        <v/>
      </c>
      <c r="M259" s="1" t="str">
        <f>IF(Protokoll_1p!J225="","",IF(VALUE(LEFT(Protokoll_1p!J225,FIND(":",Protokoll_1p!J225)-1))&gt;VALUE(RIGHT(Protokoll_1p!J225,LEN(Protokoll_1p!J225)-FIND(":",Protokoll_1p!J225))),0,1))</f>
        <v/>
      </c>
      <c r="N259" s="1" t="str">
        <f t="shared" ref="N259:N285" si="9">IF(I259="","",SUM(I259:M259))</f>
        <v/>
      </c>
    </row>
    <row r="260" spans="2:14">
      <c r="B260" s="1" t="str">
        <f>IF(Protokoll_1p!F226="","",IF(VALUE(LEFT(Protokoll_1p!F226,FIND(":",Protokoll_1p!F226)-1))&gt;VALUE(RIGHT(Protokoll_1p!F226,LEN(Protokoll_1p!F226)-FIND(":",Protokoll_1p!F226))),1,0))</f>
        <v/>
      </c>
      <c r="C260" s="1" t="str">
        <f>IF(Protokoll_1p!G226="","",IF(VALUE(LEFT(Protokoll_1p!G226,FIND(":",Protokoll_1p!G226)-1))&gt;VALUE(RIGHT(Protokoll_1p!G226,LEN(Protokoll_1p!G226)-FIND(":",Protokoll_1p!G226))),1,0))</f>
        <v/>
      </c>
      <c r="D260" s="1" t="str">
        <f>IF(Protokoll_1p!H226="","",IF(VALUE(LEFT(Protokoll_1p!H226,FIND(":",Protokoll_1p!H226)-1))&gt;VALUE(RIGHT(Protokoll_1p!H226,LEN(Protokoll_1p!H226)-FIND(":",Protokoll_1p!H226))),1,0))</f>
        <v/>
      </c>
      <c r="E260" s="1" t="str">
        <f>IF(Protokoll_1p!I226="","",IF(VALUE(LEFT(Protokoll_1p!I226,FIND(":",Protokoll_1p!I226)-1))&gt;VALUE(RIGHT(Protokoll_1p!I226,LEN(Protokoll_1p!I226)-FIND(":",Protokoll_1p!I226))),1,0))</f>
        <v/>
      </c>
      <c r="F260" s="1" t="str">
        <f>IF(Protokoll_1p!J226="","",IF(VALUE(LEFT(Protokoll_1p!J226,FIND(":",Protokoll_1p!J226)-1))&gt;VALUE(RIGHT(Protokoll_1p!J226,LEN(Protokoll_1p!J226)-FIND(":",Protokoll_1p!J226))),1,0))</f>
        <v/>
      </c>
      <c r="G260" s="1" t="str">
        <f t="shared" si="8"/>
        <v/>
      </c>
      <c r="I260" s="1" t="str">
        <f>IF(Protokoll_1p!F226="","",IF(VALUE(LEFT(Protokoll_1p!F226,FIND(":",Protokoll_1p!F226)-1))&gt;VALUE(RIGHT(Protokoll_1p!F226,LEN(Protokoll_1p!F226)-FIND(":",Protokoll_1p!F226))),0,1))</f>
        <v/>
      </c>
      <c r="J260" s="1" t="str">
        <f>IF(Protokoll_1p!G226="","",IF(VALUE(LEFT(Protokoll_1p!G226,FIND(":",Protokoll_1p!G226)-1))&gt;VALUE(RIGHT(Protokoll_1p!G226,LEN(Protokoll_1p!G226)-FIND(":",Protokoll_1p!G226))),0,1))</f>
        <v/>
      </c>
      <c r="K260" s="1" t="str">
        <f>IF(Protokoll_1p!H226="","",IF(VALUE(LEFT(Protokoll_1p!H226,FIND(":",Protokoll_1p!H226)-1))&gt;VALUE(RIGHT(Protokoll_1p!H226,LEN(Protokoll_1p!H226)-FIND(":",Protokoll_1p!H226))),0,1))</f>
        <v/>
      </c>
      <c r="L260" s="1" t="str">
        <f>IF(Protokoll_1p!I226="","",IF(VALUE(LEFT(Protokoll_1p!I226,FIND(":",Protokoll_1p!I226)-1))&gt;VALUE(RIGHT(Protokoll_1p!I226,LEN(Protokoll_1p!I226)-FIND(":",Protokoll_1p!I226))),0,1))</f>
        <v/>
      </c>
      <c r="M260" s="1" t="str">
        <f>IF(Protokoll_1p!J226="","",IF(VALUE(LEFT(Protokoll_1p!J226,FIND(":",Protokoll_1p!J226)-1))&gt;VALUE(RIGHT(Protokoll_1p!J226,LEN(Protokoll_1p!J226)-FIND(":",Protokoll_1p!J226))),0,1))</f>
        <v/>
      </c>
      <c r="N260" s="1" t="str">
        <f t="shared" si="9"/>
        <v/>
      </c>
    </row>
    <row r="261" spans="2:14">
      <c r="B261" s="1" t="str">
        <f>IF(Protokoll_1p!F227="","",IF(VALUE(LEFT(Protokoll_1p!F227,FIND(":",Protokoll_1p!F227)-1))&gt;VALUE(RIGHT(Protokoll_1p!F227,LEN(Protokoll_1p!F227)-FIND(":",Protokoll_1p!F227))),1,0))</f>
        <v/>
      </c>
      <c r="C261" s="1" t="str">
        <f>IF(Protokoll_1p!G227="","",IF(VALUE(LEFT(Protokoll_1p!G227,FIND(":",Protokoll_1p!G227)-1))&gt;VALUE(RIGHT(Protokoll_1p!G227,LEN(Protokoll_1p!G227)-FIND(":",Protokoll_1p!G227))),1,0))</f>
        <v/>
      </c>
      <c r="D261" s="1" t="str">
        <f>IF(Protokoll_1p!H227="","",IF(VALUE(LEFT(Protokoll_1p!H227,FIND(":",Protokoll_1p!H227)-1))&gt;VALUE(RIGHT(Protokoll_1p!H227,LEN(Protokoll_1p!H227)-FIND(":",Protokoll_1p!H227))),1,0))</f>
        <v/>
      </c>
      <c r="E261" s="1" t="str">
        <f>IF(Protokoll_1p!I227="","",IF(VALUE(LEFT(Protokoll_1p!I227,FIND(":",Protokoll_1p!I227)-1))&gt;VALUE(RIGHT(Protokoll_1p!I227,LEN(Protokoll_1p!I227)-FIND(":",Protokoll_1p!I227))),1,0))</f>
        <v/>
      </c>
      <c r="F261" s="1" t="str">
        <f>IF(Protokoll_1p!J227="","",IF(VALUE(LEFT(Protokoll_1p!J227,FIND(":",Protokoll_1p!J227)-1))&gt;VALUE(RIGHT(Protokoll_1p!J227,LEN(Protokoll_1p!J227)-FIND(":",Protokoll_1p!J227))),1,0))</f>
        <v/>
      </c>
      <c r="G261" s="1" t="str">
        <f t="shared" si="8"/>
        <v/>
      </c>
      <c r="I261" s="1" t="str">
        <f>IF(Protokoll_1p!F227="","",IF(VALUE(LEFT(Protokoll_1p!F227,FIND(":",Protokoll_1p!F227)-1))&gt;VALUE(RIGHT(Protokoll_1p!F227,LEN(Protokoll_1p!F227)-FIND(":",Protokoll_1p!F227))),0,1))</f>
        <v/>
      </c>
      <c r="J261" s="1" t="str">
        <f>IF(Protokoll_1p!G227="","",IF(VALUE(LEFT(Protokoll_1p!G227,FIND(":",Protokoll_1p!G227)-1))&gt;VALUE(RIGHT(Protokoll_1p!G227,LEN(Protokoll_1p!G227)-FIND(":",Protokoll_1p!G227))),0,1))</f>
        <v/>
      </c>
      <c r="K261" s="1" t="str">
        <f>IF(Protokoll_1p!H227="","",IF(VALUE(LEFT(Protokoll_1p!H227,FIND(":",Protokoll_1p!H227)-1))&gt;VALUE(RIGHT(Protokoll_1p!H227,LEN(Protokoll_1p!H227)-FIND(":",Protokoll_1p!H227))),0,1))</f>
        <v/>
      </c>
      <c r="L261" s="1" t="str">
        <f>IF(Protokoll_1p!I227="","",IF(VALUE(LEFT(Protokoll_1p!I227,FIND(":",Protokoll_1p!I227)-1))&gt;VALUE(RIGHT(Protokoll_1p!I227,LEN(Protokoll_1p!I227)-FIND(":",Protokoll_1p!I227))),0,1))</f>
        <v/>
      </c>
      <c r="M261" s="1" t="str">
        <f>IF(Protokoll_1p!J227="","",IF(VALUE(LEFT(Protokoll_1p!J227,FIND(":",Protokoll_1p!J227)-1))&gt;VALUE(RIGHT(Protokoll_1p!J227,LEN(Protokoll_1p!J227)-FIND(":",Protokoll_1p!J227))),0,1))</f>
        <v/>
      </c>
      <c r="N261" s="1" t="str">
        <f t="shared" si="9"/>
        <v/>
      </c>
    </row>
    <row r="262" spans="2:14">
      <c r="B262" s="1" t="str">
        <f>IF(Protokoll_1p!F228="","",IF(VALUE(LEFT(Protokoll_1p!F228,FIND(":",Protokoll_1p!F228)-1))&gt;VALUE(RIGHT(Protokoll_1p!F228,LEN(Protokoll_1p!F228)-FIND(":",Protokoll_1p!F228))),1,0))</f>
        <v/>
      </c>
      <c r="C262" s="1" t="str">
        <f>IF(Protokoll_1p!G228="","",IF(VALUE(LEFT(Protokoll_1p!G228,FIND(":",Protokoll_1p!G228)-1))&gt;VALUE(RIGHT(Protokoll_1p!G228,LEN(Protokoll_1p!G228)-FIND(":",Protokoll_1p!G228))),1,0))</f>
        <v/>
      </c>
      <c r="D262" s="1" t="str">
        <f>IF(Protokoll_1p!H228="","",IF(VALUE(LEFT(Protokoll_1p!H228,FIND(":",Protokoll_1p!H228)-1))&gt;VALUE(RIGHT(Protokoll_1p!H228,LEN(Protokoll_1p!H228)-FIND(":",Protokoll_1p!H228))),1,0))</f>
        <v/>
      </c>
      <c r="E262" s="1" t="str">
        <f>IF(Protokoll_1p!I228="","",IF(VALUE(LEFT(Protokoll_1p!I228,FIND(":",Protokoll_1p!I228)-1))&gt;VALUE(RIGHT(Protokoll_1p!I228,LEN(Protokoll_1p!I228)-FIND(":",Protokoll_1p!I228))),1,0))</f>
        <v/>
      </c>
      <c r="F262" s="1" t="str">
        <f>IF(Protokoll_1p!J228="","",IF(VALUE(LEFT(Protokoll_1p!J228,FIND(":",Protokoll_1p!J228)-1))&gt;VALUE(RIGHT(Protokoll_1p!J228,LEN(Protokoll_1p!J228)-FIND(":",Protokoll_1p!J228))),1,0))</f>
        <v/>
      </c>
      <c r="G262" s="1" t="str">
        <f t="shared" si="8"/>
        <v/>
      </c>
      <c r="I262" s="1" t="str">
        <f>IF(Protokoll_1p!F228="","",IF(VALUE(LEFT(Protokoll_1p!F228,FIND(":",Protokoll_1p!F228)-1))&gt;VALUE(RIGHT(Protokoll_1p!F228,LEN(Protokoll_1p!F228)-FIND(":",Protokoll_1p!F228))),0,1))</f>
        <v/>
      </c>
      <c r="J262" s="1" t="str">
        <f>IF(Protokoll_1p!G228="","",IF(VALUE(LEFT(Protokoll_1p!G228,FIND(":",Protokoll_1p!G228)-1))&gt;VALUE(RIGHT(Protokoll_1p!G228,LEN(Protokoll_1p!G228)-FIND(":",Protokoll_1p!G228))),0,1))</f>
        <v/>
      </c>
      <c r="K262" s="1" t="str">
        <f>IF(Protokoll_1p!H228="","",IF(VALUE(LEFT(Protokoll_1p!H228,FIND(":",Protokoll_1p!H228)-1))&gt;VALUE(RIGHT(Protokoll_1p!H228,LEN(Protokoll_1p!H228)-FIND(":",Protokoll_1p!H228))),0,1))</f>
        <v/>
      </c>
      <c r="L262" s="1" t="str">
        <f>IF(Protokoll_1p!I228="","",IF(VALUE(LEFT(Protokoll_1p!I228,FIND(":",Protokoll_1p!I228)-1))&gt;VALUE(RIGHT(Protokoll_1p!I228,LEN(Protokoll_1p!I228)-FIND(":",Protokoll_1p!I228))),0,1))</f>
        <v/>
      </c>
      <c r="M262" s="1" t="str">
        <f>IF(Protokoll_1p!J228="","",IF(VALUE(LEFT(Protokoll_1p!J228,FIND(":",Protokoll_1p!J228)-1))&gt;VALUE(RIGHT(Protokoll_1p!J228,LEN(Protokoll_1p!J228)-FIND(":",Protokoll_1p!J228))),0,1))</f>
        <v/>
      </c>
      <c r="N262" s="1" t="str">
        <f t="shared" si="9"/>
        <v/>
      </c>
    </row>
    <row r="263" spans="2:14">
      <c r="B263" s="1" t="str">
        <f>IF(Protokoll_1p!F229="","",IF(VALUE(LEFT(Protokoll_1p!F229,FIND(":",Protokoll_1p!F229)-1))&gt;VALUE(RIGHT(Protokoll_1p!F229,LEN(Protokoll_1p!F229)-FIND(":",Protokoll_1p!F229))),1,0))</f>
        <v/>
      </c>
      <c r="C263" s="1" t="str">
        <f>IF(Protokoll_1p!G229="","",IF(VALUE(LEFT(Protokoll_1p!G229,FIND(":",Protokoll_1p!G229)-1))&gt;VALUE(RIGHT(Protokoll_1p!G229,LEN(Protokoll_1p!G229)-FIND(":",Protokoll_1p!G229))),1,0))</f>
        <v/>
      </c>
      <c r="D263" s="1" t="str">
        <f>IF(Protokoll_1p!H229="","",IF(VALUE(LEFT(Protokoll_1p!H229,FIND(":",Protokoll_1p!H229)-1))&gt;VALUE(RIGHT(Protokoll_1p!H229,LEN(Protokoll_1p!H229)-FIND(":",Protokoll_1p!H229))),1,0))</f>
        <v/>
      </c>
      <c r="E263" s="1" t="str">
        <f>IF(Protokoll_1p!I229="","",IF(VALUE(LEFT(Protokoll_1p!I229,FIND(":",Protokoll_1p!I229)-1))&gt;VALUE(RIGHT(Protokoll_1p!I229,LEN(Protokoll_1p!I229)-FIND(":",Protokoll_1p!I229))),1,0))</f>
        <v/>
      </c>
      <c r="F263" s="1" t="str">
        <f>IF(Protokoll_1p!J229="","",IF(VALUE(LEFT(Protokoll_1p!J229,FIND(":",Protokoll_1p!J229)-1))&gt;VALUE(RIGHT(Protokoll_1p!J229,LEN(Protokoll_1p!J229)-FIND(":",Protokoll_1p!J229))),1,0))</f>
        <v/>
      </c>
      <c r="G263" s="1" t="str">
        <f t="shared" si="8"/>
        <v/>
      </c>
      <c r="I263" s="1" t="str">
        <f>IF(Protokoll_1p!F229="","",IF(VALUE(LEFT(Protokoll_1p!F229,FIND(":",Protokoll_1p!F229)-1))&gt;VALUE(RIGHT(Protokoll_1p!F229,LEN(Protokoll_1p!F229)-FIND(":",Protokoll_1p!F229))),0,1))</f>
        <v/>
      </c>
      <c r="J263" s="1" t="str">
        <f>IF(Protokoll_1p!G229="","",IF(VALUE(LEFT(Protokoll_1p!G229,FIND(":",Protokoll_1p!G229)-1))&gt;VALUE(RIGHT(Protokoll_1p!G229,LEN(Protokoll_1p!G229)-FIND(":",Protokoll_1p!G229))),0,1))</f>
        <v/>
      </c>
      <c r="K263" s="1" t="str">
        <f>IF(Protokoll_1p!H229="","",IF(VALUE(LEFT(Protokoll_1p!H229,FIND(":",Protokoll_1p!H229)-1))&gt;VALUE(RIGHT(Protokoll_1p!H229,LEN(Protokoll_1p!H229)-FIND(":",Protokoll_1p!H229))),0,1))</f>
        <v/>
      </c>
      <c r="L263" s="1" t="str">
        <f>IF(Protokoll_1p!I229="","",IF(VALUE(LEFT(Protokoll_1p!I229,FIND(":",Protokoll_1p!I229)-1))&gt;VALUE(RIGHT(Protokoll_1p!I229,LEN(Protokoll_1p!I229)-FIND(":",Protokoll_1p!I229))),0,1))</f>
        <v/>
      </c>
      <c r="M263" s="1" t="str">
        <f>IF(Protokoll_1p!J229="","",IF(VALUE(LEFT(Protokoll_1p!J229,FIND(":",Protokoll_1p!J229)-1))&gt;VALUE(RIGHT(Protokoll_1p!J229,LEN(Protokoll_1p!J229)-FIND(":",Protokoll_1p!J229))),0,1))</f>
        <v/>
      </c>
      <c r="N263" s="1" t="str">
        <f t="shared" si="9"/>
        <v/>
      </c>
    </row>
    <row r="264" spans="2:14">
      <c r="B264" s="1" t="str">
        <f>IF(Protokoll_1p!F230="","",IF(VALUE(LEFT(Protokoll_1p!F230,FIND(":",Protokoll_1p!F230)-1))&gt;VALUE(RIGHT(Protokoll_1p!F230,LEN(Protokoll_1p!F230)-FIND(":",Protokoll_1p!F230))),1,0))</f>
        <v/>
      </c>
      <c r="C264" s="1" t="str">
        <f>IF(Protokoll_1p!G230="","",IF(VALUE(LEFT(Protokoll_1p!G230,FIND(":",Protokoll_1p!G230)-1))&gt;VALUE(RIGHT(Protokoll_1p!G230,LEN(Protokoll_1p!G230)-FIND(":",Protokoll_1p!G230))),1,0))</f>
        <v/>
      </c>
      <c r="D264" s="1" t="str">
        <f>IF(Protokoll_1p!H230="","",IF(VALUE(LEFT(Protokoll_1p!H230,FIND(":",Protokoll_1p!H230)-1))&gt;VALUE(RIGHT(Protokoll_1p!H230,LEN(Protokoll_1p!H230)-FIND(":",Protokoll_1p!H230))),1,0))</f>
        <v/>
      </c>
      <c r="E264" s="1" t="str">
        <f>IF(Protokoll_1p!I230="","",IF(VALUE(LEFT(Protokoll_1p!I230,FIND(":",Protokoll_1p!I230)-1))&gt;VALUE(RIGHT(Protokoll_1p!I230,LEN(Protokoll_1p!I230)-FIND(":",Protokoll_1p!I230))),1,0))</f>
        <v/>
      </c>
      <c r="F264" s="1" t="str">
        <f>IF(Protokoll_1p!J230="","",IF(VALUE(LEFT(Protokoll_1p!J230,FIND(":",Protokoll_1p!J230)-1))&gt;VALUE(RIGHT(Protokoll_1p!J230,LEN(Protokoll_1p!J230)-FIND(":",Protokoll_1p!J230))),1,0))</f>
        <v/>
      </c>
      <c r="G264" s="1" t="str">
        <f t="shared" si="8"/>
        <v/>
      </c>
      <c r="I264" s="1" t="str">
        <f>IF(Protokoll_1p!F230="","",IF(VALUE(LEFT(Protokoll_1p!F230,FIND(":",Protokoll_1p!F230)-1))&gt;VALUE(RIGHT(Protokoll_1p!F230,LEN(Protokoll_1p!F230)-FIND(":",Protokoll_1p!F230))),0,1))</f>
        <v/>
      </c>
      <c r="J264" s="1" t="str">
        <f>IF(Protokoll_1p!G230="","",IF(VALUE(LEFT(Protokoll_1p!G230,FIND(":",Protokoll_1p!G230)-1))&gt;VALUE(RIGHT(Protokoll_1p!G230,LEN(Protokoll_1p!G230)-FIND(":",Protokoll_1p!G230))),0,1))</f>
        <v/>
      </c>
      <c r="K264" s="1" t="str">
        <f>IF(Protokoll_1p!H230="","",IF(VALUE(LEFT(Protokoll_1p!H230,FIND(":",Protokoll_1p!H230)-1))&gt;VALUE(RIGHT(Protokoll_1p!H230,LEN(Protokoll_1p!H230)-FIND(":",Protokoll_1p!H230))),0,1))</f>
        <v/>
      </c>
      <c r="L264" s="1" t="str">
        <f>IF(Protokoll_1p!I230="","",IF(VALUE(LEFT(Protokoll_1p!I230,FIND(":",Protokoll_1p!I230)-1))&gt;VALUE(RIGHT(Protokoll_1p!I230,LEN(Protokoll_1p!I230)-FIND(":",Protokoll_1p!I230))),0,1))</f>
        <v/>
      </c>
      <c r="M264" s="1" t="str">
        <f>IF(Protokoll_1p!J230="","",IF(VALUE(LEFT(Protokoll_1p!J230,FIND(":",Protokoll_1p!J230)-1))&gt;VALUE(RIGHT(Protokoll_1p!J230,LEN(Protokoll_1p!J230)-FIND(":",Protokoll_1p!J230))),0,1))</f>
        <v/>
      </c>
      <c r="N264" s="1" t="str">
        <f t="shared" si="9"/>
        <v/>
      </c>
    </row>
    <row r="265" spans="2:14">
      <c r="B265" s="1" t="str">
        <f>IF(Protokoll_1p!F231="","",IF(VALUE(LEFT(Protokoll_1p!F231,FIND(":",Protokoll_1p!F231)-1))&gt;VALUE(RIGHT(Protokoll_1p!F231,LEN(Protokoll_1p!F231)-FIND(":",Protokoll_1p!F231))),1,0))</f>
        <v/>
      </c>
      <c r="C265" s="1" t="str">
        <f>IF(Protokoll_1p!G231="","",IF(VALUE(LEFT(Protokoll_1p!G231,FIND(":",Protokoll_1p!G231)-1))&gt;VALUE(RIGHT(Protokoll_1p!G231,LEN(Protokoll_1p!G231)-FIND(":",Protokoll_1p!G231))),1,0))</f>
        <v/>
      </c>
      <c r="D265" s="1" t="str">
        <f>IF(Protokoll_1p!H231="","",IF(VALUE(LEFT(Protokoll_1p!H231,FIND(":",Protokoll_1p!H231)-1))&gt;VALUE(RIGHT(Protokoll_1p!H231,LEN(Protokoll_1p!H231)-FIND(":",Protokoll_1p!H231))),1,0))</f>
        <v/>
      </c>
      <c r="E265" s="1" t="str">
        <f>IF(Protokoll_1p!I231="","",IF(VALUE(LEFT(Protokoll_1p!I231,FIND(":",Protokoll_1p!I231)-1))&gt;VALUE(RIGHT(Protokoll_1p!I231,LEN(Protokoll_1p!I231)-FIND(":",Protokoll_1p!I231))),1,0))</f>
        <v/>
      </c>
      <c r="F265" s="1" t="str">
        <f>IF(Protokoll_1p!J231="","",IF(VALUE(LEFT(Protokoll_1p!J231,FIND(":",Protokoll_1p!J231)-1))&gt;VALUE(RIGHT(Protokoll_1p!J231,LEN(Protokoll_1p!J231)-FIND(":",Protokoll_1p!J231))),1,0))</f>
        <v/>
      </c>
      <c r="G265" s="1" t="str">
        <f t="shared" si="8"/>
        <v/>
      </c>
      <c r="I265" s="1" t="str">
        <f>IF(Protokoll_1p!F231="","",IF(VALUE(LEFT(Protokoll_1p!F231,FIND(":",Protokoll_1p!F231)-1))&gt;VALUE(RIGHT(Protokoll_1p!F231,LEN(Protokoll_1p!F231)-FIND(":",Protokoll_1p!F231))),0,1))</f>
        <v/>
      </c>
      <c r="J265" s="1" t="str">
        <f>IF(Protokoll_1p!G231="","",IF(VALUE(LEFT(Protokoll_1p!G231,FIND(":",Protokoll_1p!G231)-1))&gt;VALUE(RIGHT(Protokoll_1p!G231,LEN(Protokoll_1p!G231)-FIND(":",Protokoll_1p!G231))),0,1))</f>
        <v/>
      </c>
      <c r="K265" s="1" t="str">
        <f>IF(Protokoll_1p!H231="","",IF(VALUE(LEFT(Protokoll_1p!H231,FIND(":",Protokoll_1p!H231)-1))&gt;VALUE(RIGHT(Protokoll_1p!H231,LEN(Protokoll_1p!H231)-FIND(":",Protokoll_1p!H231))),0,1))</f>
        <v/>
      </c>
      <c r="L265" s="1" t="str">
        <f>IF(Protokoll_1p!I231="","",IF(VALUE(LEFT(Protokoll_1p!I231,FIND(":",Protokoll_1p!I231)-1))&gt;VALUE(RIGHT(Protokoll_1p!I231,LEN(Protokoll_1p!I231)-FIND(":",Protokoll_1p!I231))),0,1))</f>
        <v/>
      </c>
      <c r="M265" s="1" t="str">
        <f>IF(Protokoll_1p!J231="","",IF(VALUE(LEFT(Protokoll_1p!J231,FIND(":",Protokoll_1p!J231)-1))&gt;VALUE(RIGHT(Protokoll_1p!J231,LEN(Protokoll_1p!J231)-FIND(":",Protokoll_1p!J231))),0,1))</f>
        <v/>
      </c>
      <c r="N265" s="1" t="str">
        <f t="shared" si="9"/>
        <v/>
      </c>
    </row>
    <row r="266" spans="2:14">
      <c r="B266" s="1" t="str">
        <f>IF(Protokoll_1p!F232="","",IF(VALUE(LEFT(Protokoll_1p!F232,FIND(":",Protokoll_1p!F232)-1))&gt;VALUE(RIGHT(Protokoll_1p!F232,LEN(Protokoll_1p!F232)-FIND(":",Protokoll_1p!F232))),1,0))</f>
        <v/>
      </c>
      <c r="C266" s="1" t="str">
        <f>IF(Protokoll_1p!G232="","",IF(VALUE(LEFT(Protokoll_1p!G232,FIND(":",Protokoll_1p!G232)-1))&gt;VALUE(RIGHT(Protokoll_1p!G232,LEN(Protokoll_1p!G232)-FIND(":",Protokoll_1p!G232))),1,0))</f>
        <v/>
      </c>
      <c r="D266" s="1" t="str">
        <f>IF(Protokoll_1p!H232="","",IF(VALUE(LEFT(Protokoll_1p!H232,FIND(":",Protokoll_1p!H232)-1))&gt;VALUE(RIGHT(Protokoll_1p!H232,LEN(Protokoll_1p!H232)-FIND(":",Protokoll_1p!H232))),1,0))</f>
        <v/>
      </c>
      <c r="E266" s="1" t="str">
        <f>IF(Protokoll_1p!I232="","",IF(VALUE(LEFT(Protokoll_1p!I232,FIND(":",Protokoll_1p!I232)-1))&gt;VALUE(RIGHT(Protokoll_1p!I232,LEN(Protokoll_1p!I232)-FIND(":",Protokoll_1p!I232))),1,0))</f>
        <v/>
      </c>
      <c r="F266" s="1" t="str">
        <f>IF(Protokoll_1p!J232="","",IF(VALUE(LEFT(Protokoll_1p!J232,FIND(":",Protokoll_1p!J232)-1))&gt;VALUE(RIGHT(Protokoll_1p!J232,LEN(Protokoll_1p!J232)-FIND(":",Protokoll_1p!J232))),1,0))</f>
        <v/>
      </c>
      <c r="G266" s="1" t="str">
        <f t="shared" si="8"/>
        <v/>
      </c>
      <c r="I266" s="1" t="str">
        <f>IF(Protokoll_1p!F232="","",IF(VALUE(LEFT(Protokoll_1p!F232,FIND(":",Protokoll_1p!F232)-1))&gt;VALUE(RIGHT(Protokoll_1p!F232,LEN(Protokoll_1p!F232)-FIND(":",Protokoll_1p!F232))),0,1))</f>
        <v/>
      </c>
      <c r="J266" s="1" t="str">
        <f>IF(Protokoll_1p!G232="","",IF(VALUE(LEFT(Protokoll_1p!G232,FIND(":",Protokoll_1p!G232)-1))&gt;VALUE(RIGHT(Protokoll_1p!G232,LEN(Protokoll_1p!G232)-FIND(":",Protokoll_1p!G232))),0,1))</f>
        <v/>
      </c>
      <c r="K266" s="1" t="str">
        <f>IF(Protokoll_1p!H232="","",IF(VALUE(LEFT(Protokoll_1p!H232,FIND(":",Protokoll_1p!H232)-1))&gt;VALUE(RIGHT(Protokoll_1p!H232,LEN(Protokoll_1p!H232)-FIND(":",Protokoll_1p!H232))),0,1))</f>
        <v/>
      </c>
      <c r="L266" s="1" t="str">
        <f>IF(Protokoll_1p!I232="","",IF(VALUE(LEFT(Protokoll_1p!I232,FIND(":",Protokoll_1p!I232)-1))&gt;VALUE(RIGHT(Protokoll_1p!I232,LEN(Protokoll_1p!I232)-FIND(":",Protokoll_1p!I232))),0,1))</f>
        <v/>
      </c>
      <c r="M266" s="1" t="str">
        <f>IF(Protokoll_1p!J232="","",IF(VALUE(LEFT(Protokoll_1p!J232,FIND(":",Protokoll_1p!J232)-1))&gt;VALUE(RIGHT(Protokoll_1p!J232,LEN(Protokoll_1p!J232)-FIND(":",Protokoll_1p!J232))),0,1))</f>
        <v/>
      </c>
      <c r="N266" s="1" t="str">
        <f t="shared" si="9"/>
        <v/>
      </c>
    </row>
    <row r="267" spans="2:14">
      <c r="B267" s="1" t="str">
        <f>IF(Protokoll_1p!F233="","",IF(VALUE(LEFT(Protokoll_1p!F233,FIND(":",Protokoll_1p!F233)-1))&gt;VALUE(RIGHT(Protokoll_1p!F233,LEN(Protokoll_1p!F233)-FIND(":",Protokoll_1p!F233))),1,0))</f>
        <v/>
      </c>
      <c r="C267" s="1" t="str">
        <f>IF(Protokoll_1p!G233="","",IF(VALUE(LEFT(Protokoll_1p!G233,FIND(":",Protokoll_1p!G233)-1))&gt;VALUE(RIGHT(Protokoll_1p!G233,LEN(Protokoll_1p!G233)-FIND(":",Protokoll_1p!G233))),1,0))</f>
        <v/>
      </c>
      <c r="D267" s="1" t="str">
        <f>IF(Protokoll_1p!H233="","",IF(VALUE(LEFT(Protokoll_1p!H233,FIND(":",Protokoll_1p!H233)-1))&gt;VALUE(RIGHT(Protokoll_1p!H233,LEN(Protokoll_1p!H233)-FIND(":",Protokoll_1p!H233))),1,0))</f>
        <v/>
      </c>
      <c r="E267" s="1" t="str">
        <f>IF(Protokoll_1p!I233="","",IF(VALUE(LEFT(Protokoll_1p!I233,FIND(":",Protokoll_1p!I233)-1))&gt;VALUE(RIGHT(Protokoll_1p!I233,LEN(Protokoll_1p!I233)-FIND(":",Protokoll_1p!I233))),1,0))</f>
        <v/>
      </c>
      <c r="F267" s="1" t="str">
        <f>IF(Protokoll_1p!J233="","",IF(VALUE(LEFT(Protokoll_1p!J233,FIND(":",Protokoll_1p!J233)-1))&gt;VALUE(RIGHT(Protokoll_1p!J233,LEN(Protokoll_1p!J233)-FIND(":",Protokoll_1p!J233))),1,0))</f>
        <v/>
      </c>
      <c r="G267" s="1" t="str">
        <f t="shared" si="8"/>
        <v/>
      </c>
      <c r="I267" s="1" t="str">
        <f>IF(Protokoll_1p!F233="","",IF(VALUE(LEFT(Protokoll_1p!F233,FIND(":",Protokoll_1p!F233)-1))&gt;VALUE(RIGHT(Protokoll_1p!F233,LEN(Protokoll_1p!F233)-FIND(":",Protokoll_1p!F233))),0,1))</f>
        <v/>
      </c>
      <c r="J267" s="1" t="str">
        <f>IF(Protokoll_1p!G233="","",IF(VALUE(LEFT(Protokoll_1p!G233,FIND(":",Protokoll_1p!G233)-1))&gt;VALUE(RIGHT(Protokoll_1p!G233,LEN(Protokoll_1p!G233)-FIND(":",Protokoll_1p!G233))),0,1))</f>
        <v/>
      </c>
      <c r="K267" s="1" t="str">
        <f>IF(Protokoll_1p!H233="","",IF(VALUE(LEFT(Protokoll_1p!H233,FIND(":",Protokoll_1p!H233)-1))&gt;VALUE(RIGHT(Protokoll_1p!H233,LEN(Protokoll_1p!H233)-FIND(":",Protokoll_1p!H233))),0,1))</f>
        <v/>
      </c>
      <c r="L267" s="1" t="str">
        <f>IF(Protokoll_1p!I233="","",IF(VALUE(LEFT(Protokoll_1p!I233,FIND(":",Protokoll_1p!I233)-1))&gt;VALUE(RIGHT(Protokoll_1p!I233,LEN(Protokoll_1p!I233)-FIND(":",Protokoll_1p!I233))),0,1))</f>
        <v/>
      </c>
      <c r="M267" s="1" t="str">
        <f>IF(Protokoll_1p!J233="","",IF(VALUE(LEFT(Protokoll_1p!J233,FIND(":",Protokoll_1p!J233)-1))&gt;VALUE(RIGHT(Protokoll_1p!J233,LEN(Protokoll_1p!J233)-FIND(":",Protokoll_1p!J233))),0,1))</f>
        <v/>
      </c>
      <c r="N267" s="1" t="str">
        <f t="shared" si="9"/>
        <v/>
      </c>
    </row>
    <row r="268" spans="2:14">
      <c r="B268" s="1" t="str">
        <f>IF(Protokoll_1p!F234="","",IF(VALUE(LEFT(Protokoll_1p!F234,FIND(":",Protokoll_1p!F234)-1))&gt;VALUE(RIGHT(Protokoll_1p!F234,LEN(Protokoll_1p!F234)-FIND(":",Protokoll_1p!F234))),1,0))</f>
        <v/>
      </c>
      <c r="C268" s="1" t="str">
        <f>IF(Protokoll_1p!G234="","",IF(VALUE(LEFT(Protokoll_1p!G234,FIND(":",Protokoll_1p!G234)-1))&gt;VALUE(RIGHT(Protokoll_1p!G234,LEN(Protokoll_1p!G234)-FIND(":",Protokoll_1p!G234))),1,0))</f>
        <v/>
      </c>
      <c r="D268" s="1" t="str">
        <f>IF(Protokoll_1p!H234="","",IF(VALUE(LEFT(Protokoll_1p!H234,FIND(":",Protokoll_1p!H234)-1))&gt;VALUE(RIGHT(Protokoll_1p!H234,LEN(Protokoll_1p!H234)-FIND(":",Protokoll_1p!H234))),1,0))</f>
        <v/>
      </c>
      <c r="E268" s="1" t="str">
        <f>IF(Protokoll_1p!I234="","",IF(VALUE(LEFT(Protokoll_1p!I234,FIND(":",Protokoll_1p!I234)-1))&gt;VALUE(RIGHT(Protokoll_1p!I234,LEN(Protokoll_1p!I234)-FIND(":",Protokoll_1p!I234))),1,0))</f>
        <v/>
      </c>
      <c r="F268" s="1" t="str">
        <f>IF(Protokoll_1p!J234="","",IF(VALUE(LEFT(Protokoll_1p!J234,FIND(":",Protokoll_1p!J234)-1))&gt;VALUE(RIGHT(Protokoll_1p!J234,LEN(Protokoll_1p!J234)-FIND(":",Protokoll_1p!J234))),1,0))</f>
        <v/>
      </c>
      <c r="G268" s="1" t="str">
        <f t="shared" si="8"/>
        <v/>
      </c>
      <c r="I268" s="1" t="str">
        <f>IF(Protokoll_1p!F234="","",IF(VALUE(LEFT(Protokoll_1p!F234,FIND(":",Protokoll_1p!F234)-1))&gt;VALUE(RIGHT(Protokoll_1p!F234,LEN(Protokoll_1p!F234)-FIND(":",Protokoll_1p!F234))),0,1))</f>
        <v/>
      </c>
      <c r="J268" s="1" t="str">
        <f>IF(Protokoll_1p!G234="","",IF(VALUE(LEFT(Protokoll_1p!G234,FIND(":",Protokoll_1p!G234)-1))&gt;VALUE(RIGHT(Protokoll_1p!G234,LEN(Protokoll_1p!G234)-FIND(":",Protokoll_1p!G234))),0,1))</f>
        <v/>
      </c>
      <c r="K268" s="1" t="str">
        <f>IF(Protokoll_1p!H234="","",IF(VALUE(LEFT(Protokoll_1p!H234,FIND(":",Protokoll_1p!H234)-1))&gt;VALUE(RIGHT(Protokoll_1p!H234,LEN(Protokoll_1p!H234)-FIND(":",Protokoll_1p!H234))),0,1))</f>
        <v/>
      </c>
      <c r="L268" s="1" t="str">
        <f>IF(Protokoll_1p!I234="","",IF(VALUE(LEFT(Protokoll_1p!I234,FIND(":",Protokoll_1p!I234)-1))&gt;VALUE(RIGHT(Protokoll_1p!I234,LEN(Protokoll_1p!I234)-FIND(":",Protokoll_1p!I234))),0,1))</f>
        <v/>
      </c>
      <c r="M268" s="1" t="str">
        <f>IF(Protokoll_1p!J234="","",IF(VALUE(LEFT(Protokoll_1p!J234,FIND(":",Protokoll_1p!J234)-1))&gt;VALUE(RIGHT(Protokoll_1p!J234,LEN(Protokoll_1p!J234)-FIND(":",Protokoll_1p!J234))),0,1))</f>
        <v/>
      </c>
      <c r="N268" s="1" t="str">
        <f t="shared" si="9"/>
        <v/>
      </c>
    </row>
    <row r="269" spans="2:14">
      <c r="B269" s="1" t="str">
        <f>IF(Protokoll_1p!F235="","",IF(VALUE(LEFT(Protokoll_1p!F235,FIND(":",Protokoll_1p!F235)-1))&gt;VALUE(RIGHT(Protokoll_1p!F235,LEN(Protokoll_1p!F235)-FIND(":",Protokoll_1p!F235))),1,0))</f>
        <v/>
      </c>
      <c r="C269" s="1" t="str">
        <f>IF(Protokoll_1p!G235="","",IF(VALUE(LEFT(Protokoll_1p!G235,FIND(":",Protokoll_1p!G235)-1))&gt;VALUE(RIGHT(Protokoll_1p!G235,LEN(Protokoll_1p!G235)-FIND(":",Protokoll_1p!G235))),1,0))</f>
        <v/>
      </c>
      <c r="D269" s="1" t="str">
        <f>IF(Protokoll_1p!H235="","",IF(VALUE(LEFT(Protokoll_1p!H235,FIND(":",Protokoll_1p!H235)-1))&gt;VALUE(RIGHT(Protokoll_1p!H235,LEN(Protokoll_1p!H235)-FIND(":",Protokoll_1p!H235))),1,0))</f>
        <v/>
      </c>
      <c r="E269" s="1" t="str">
        <f>IF(Protokoll_1p!I235="","",IF(VALUE(LEFT(Protokoll_1p!I235,FIND(":",Protokoll_1p!I235)-1))&gt;VALUE(RIGHT(Protokoll_1p!I235,LEN(Protokoll_1p!I235)-FIND(":",Protokoll_1p!I235))),1,0))</f>
        <v/>
      </c>
      <c r="F269" s="1" t="str">
        <f>IF(Protokoll_1p!J235="","",IF(VALUE(LEFT(Protokoll_1p!J235,FIND(":",Protokoll_1p!J235)-1))&gt;VALUE(RIGHT(Protokoll_1p!J235,LEN(Protokoll_1p!J235)-FIND(":",Protokoll_1p!J235))),1,0))</f>
        <v/>
      </c>
      <c r="G269" s="1" t="str">
        <f t="shared" si="8"/>
        <v/>
      </c>
      <c r="I269" s="1" t="str">
        <f>IF(Protokoll_1p!F235="","",IF(VALUE(LEFT(Protokoll_1p!F235,FIND(":",Protokoll_1p!F235)-1))&gt;VALUE(RIGHT(Protokoll_1p!F235,LEN(Protokoll_1p!F235)-FIND(":",Protokoll_1p!F235))),0,1))</f>
        <v/>
      </c>
      <c r="J269" s="1" t="str">
        <f>IF(Protokoll_1p!G235="","",IF(VALUE(LEFT(Protokoll_1p!G235,FIND(":",Protokoll_1p!G235)-1))&gt;VALUE(RIGHT(Protokoll_1p!G235,LEN(Protokoll_1p!G235)-FIND(":",Protokoll_1p!G235))),0,1))</f>
        <v/>
      </c>
      <c r="K269" s="1" t="str">
        <f>IF(Protokoll_1p!H235="","",IF(VALUE(LEFT(Protokoll_1p!H235,FIND(":",Protokoll_1p!H235)-1))&gt;VALUE(RIGHT(Protokoll_1p!H235,LEN(Protokoll_1p!H235)-FIND(":",Protokoll_1p!H235))),0,1))</f>
        <v/>
      </c>
      <c r="L269" s="1" t="str">
        <f>IF(Protokoll_1p!I235="","",IF(VALUE(LEFT(Protokoll_1p!I235,FIND(":",Protokoll_1p!I235)-1))&gt;VALUE(RIGHT(Protokoll_1p!I235,LEN(Protokoll_1p!I235)-FIND(":",Protokoll_1p!I235))),0,1))</f>
        <v/>
      </c>
      <c r="M269" s="1" t="str">
        <f>IF(Protokoll_1p!J235="","",IF(VALUE(LEFT(Protokoll_1p!J235,FIND(":",Protokoll_1p!J235)-1))&gt;VALUE(RIGHT(Protokoll_1p!J235,LEN(Protokoll_1p!J235)-FIND(":",Protokoll_1p!J235))),0,1))</f>
        <v/>
      </c>
      <c r="N269" s="1" t="str">
        <f t="shared" si="9"/>
        <v/>
      </c>
    </row>
    <row r="270" spans="2:14">
      <c r="B270" s="1" t="str">
        <f>IF(Protokoll_1p!F236="","",IF(VALUE(LEFT(Protokoll_1p!F236,FIND(":",Protokoll_1p!F236)-1))&gt;VALUE(RIGHT(Protokoll_1p!F236,LEN(Protokoll_1p!F236)-FIND(":",Protokoll_1p!F236))),1,0))</f>
        <v/>
      </c>
      <c r="C270" s="1" t="str">
        <f>IF(Protokoll_1p!G236="","",IF(VALUE(LEFT(Protokoll_1p!G236,FIND(":",Protokoll_1p!G236)-1))&gt;VALUE(RIGHT(Protokoll_1p!G236,LEN(Protokoll_1p!G236)-FIND(":",Protokoll_1p!G236))),1,0))</f>
        <v/>
      </c>
      <c r="D270" s="1" t="str">
        <f>IF(Protokoll_1p!H236="","",IF(VALUE(LEFT(Protokoll_1p!H236,FIND(":",Protokoll_1p!H236)-1))&gt;VALUE(RIGHT(Protokoll_1p!H236,LEN(Protokoll_1p!H236)-FIND(":",Protokoll_1p!H236))),1,0))</f>
        <v/>
      </c>
      <c r="E270" s="1" t="str">
        <f>IF(Protokoll_1p!I236="","",IF(VALUE(LEFT(Protokoll_1p!I236,FIND(":",Protokoll_1p!I236)-1))&gt;VALUE(RIGHT(Protokoll_1p!I236,LEN(Protokoll_1p!I236)-FIND(":",Protokoll_1p!I236))),1,0))</f>
        <v/>
      </c>
      <c r="F270" s="1" t="str">
        <f>IF(Protokoll_1p!J236="","",IF(VALUE(LEFT(Protokoll_1p!J236,FIND(":",Protokoll_1p!J236)-1))&gt;VALUE(RIGHT(Protokoll_1p!J236,LEN(Protokoll_1p!J236)-FIND(":",Protokoll_1p!J236))),1,0))</f>
        <v/>
      </c>
      <c r="G270" s="1" t="str">
        <f t="shared" si="8"/>
        <v/>
      </c>
      <c r="I270" s="1" t="str">
        <f>IF(Protokoll_1p!F236="","",IF(VALUE(LEFT(Protokoll_1p!F236,FIND(":",Protokoll_1p!F236)-1))&gt;VALUE(RIGHT(Protokoll_1p!F236,LEN(Protokoll_1p!F236)-FIND(":",Protokoll_1p!F236))),0,1))</f>
        <v/>
      </c>
      <c r="J270" s="1" t="str">
        <f>IF(Protokoll_1p!G236="","",IF(VALUE(LEFT(Protokoll_1p!G236,FIND(":",Protokoll_1p!G236)-1))&gt;VALUE(RIGHT(Protokoll_1p!G236,LEN(Protokoll_1p!G236)-FIND(":",Protokoll_1p!G236))),0,1))</f>
        <v/>
      </c>
      <c r="K270" s="1" t="str">
        <f>IF(Protokoll_1p!H236="","",IF(VALUE(LEFT(Protokoll_1p!H236,FIND(":",Protokoll_1p!H236)-1))&gt;VALUE(RIGHT(Protokoll_1p!H236,LEN(Protokoll_1p!H236)-FIND(":",Protokoll_1p!H236))),0,1))</f>
        <v/>
      </c>
      <c r="L270" s="1" t="str">
        <f>IF(Protokoll_1p!I236="","",IF(VALUE(LEFT(Protokoll_1p!I236,FIND(":",Protokoll_1p!I236)-1))&gt;VALUE(RIGHT(Protokoll_1p!I236,LEN(Protokoll_1p!I236)-FIND(":",Protokoll_1p!I236))),0,1))</f>
        <v/>
      </c>
      <c r="M270" s="1" t="str">
        <f>IF(Protokoll_1p!J236="","",IF(VALUE(LEFT(Protokoll_1p!J236,FIND(":",Protokoll_1p!J236)-1))&gt;VALUE(RIGHT(Protokoll_1p!J236,LEN(Protokoll_1p!J236)-FIND(":",Protokoll_1p!J236))),0,1))</f>
        <v/>
      </c>
      <c r="N270" s="1" t="str">
        <f t="shared" si="9"/>
        <v/>
      </c>
    </row>
    <row r="271" spans="2:14">
      <c r="B271" s="1" t="str">
        <f>IF(Protokoll_1p!F237="","",IF(VALUE(LEFT(Protokoll_1p!F237,FIND(":",Protokoll_1p!F237)-1))&gt;VALUE(RIGHT(Protokoll_1p!F237,LEN(Protokoll_1p!F237)-FIND(":",Protokoll_1p!F237))),1,0))</f>
        <v/>
      </c>
      <c r="C271" s="1" t="str">
        <f>IF(Protokoll_1p!G237="","",IF(VALUE(LEFT(Protokoll_1p!G237,FIND(":",Protokoll_1p!G237)-1))&gt;VALUE(RIGHT(Protokoll_1p!G237,LEN(Protokoll_1p!G237)-FIND(":",Protokoll_1p!G237))),1,0))</f>
        <v/>
      </c>
      <c r="D271" s="1" t="str">
        <f>IF(Protokoll_1p!H237="","",IF(VALUE(LEFT(Protokoll_1p!H237,FIND(":",Protokoll_1p!H237)-1))&gt;VALUE(RIGHT(Protokoll_1p!H237,LEN(Protokoll_1p!H237)-FIND(":",Protokoll_1p!H237))),1,0))</f>
        <v/>
      </c>
      <c r="E271" s="1" t="str">
        <f>IF(Protokoll_1p!I237="","",IF(VALUE(LEFT(Protokoll_1p!I237,FIND(":",Protokoll_1p!I237)-1))&gt;VALUE(RIGHT(Protokoll_1p!I237,LEN(Protokoll_1p!I237)-FIND(":",Protokoll_1p!I237))),1,0))</f>
        <v/>
      </c>
      <c r="F271" s="1" t="str">
        <f>IF(Protokoll_1p!J237="","",IF(VALUE(LEFT(Protokoll_1p!J237,FIND(":",Protokoll_1p!J237)-1))&gt;VALUE(RIGHT(Protokoll_1p!J237,LEN(Protokoll_1p!J237)-FIND(":",Protokoll_1p!J237))),1,0))</f>
        <v/>
      </c>
      <c r="G271" s="1" t="str">
        <f t="shared" si="8"/>
        <v/>
      </c>
      <c r="I271" s="1" t="str">
        <f>IF(Protokoll_1p!F237="","",IF(VALUE(LEFT(Protokoll_1p!F237,FIND(":",Protokoll_1p!F237)-1))&gt;VALUE(RIGHT(Protokoll_1p!F237,LEN(Protokoll_1p!F237)-FIND(":",Protokoll_1p!F237))),0,1))</f>
        <v/>
      </c>
      <c r="J271" s="1" t="str">
        <f>IF(Protokoll_1p!G237="","",IF(VALUE(LEFT(Protokoll_1p!G237,FIND(":",Protokoll_1p!G237)-1))&gt;VALUE(RIGHT(Protokoll_1p!G237,LEN(Protokoll_1p!G237)-FIND(":",Protokoll_1p!G237))),0,1))</f>
        <v/>
      </c>
      <c r="K271" s="1" t="str">
        <f>IF(Protokoll_1p!H237="","",IF(VALUE(LEFT(Protokoll_1p!H237,FIND(":",Protokoll_1p!H237)-1))&gt;VALUE(RIGHT(Protokoll_1p!H237,LEN(Protokoll_1p!H237)-FIND(":",Protokoll_1p!H237))),0,1))</f>
        <v/>
      </c>
      <c r="L271" s="1" t="str">
        <f>IF(Protokoll_1p!I237="","",IF(VALUE(LEFT(Protokoll_1p!I237,FIND(":",Protokoll_1p!I237)-1))&gt;VALUE(RIGHT(Protokoll_1p!I237,LEN(Protokoll_1p!I237)-FIND(":",Protokoll_1p!I237))),0,1))</f>
        <v/>
      </c>
      <c r="M271" s="1" t="str">
        <f>IF(Protokoll_1p!J237="","",IF(VALUE(LEFT(Protokoll_1p!J237,FIND(":",Protokoll_1p!J237)-1))&gt;VALUE(RIGHT(Protokoll_1p!J237,LEN(Protokoll_1p!J237)-FIND(":",Protokoll_1p!J237))),0,1))</f>
        <v/>
      </c>
      <c r="N271" s="1" t="str">
        <f t="shared" si="9"/>
        <v/>
      </c>
    </row>
    <row r="272" spans="2:14">
      <c r="B272" s="1" t="str">
        <f>IF(Protokoll_1p!F238="","",IF(VALUE(LEFT(Protokoll_1p!F238,FIND(":",Protokoll_1p!F238)-1))&gt;VALUE(RIGHT(Protokoll_1p!F238,LEN(Protokoll_1p!F238)-FIND(":",Protokoll_1p!F238))),1,0))</f>
        <v/>
      </c>
      <c r="C272" s="1" t="str">
        <f>IF(Protokoll_1p!G238="","",IF(VALUE(LEFT(Protokoll_1p!G238,FIND(":",Protokoll_1p!G238)-1))&gt;VALUE(RIGHT(Protokoll_1p!G238,LEN(Protokoll_1p!G238)-FIND(":",Protokoll_1p!G238))),1,0))</f>
        <v/>
      </c>
      <c r="D272" s="1" t="str">
        <f>IF(Protokoll_1p!H238="","",IF(VALUE(LEFT(Protokoll_1p!H238,FIND(":",Protokoll_1p!H238)-1))&gt;VALUE(RIGHT(Protokoll_1p!H238,LEN(Protokoll_1p!H238)-FIND(":",Protokoll_1p!H238))),1,0))</f>
        <v/>
      </c>
      <c r="E272" s="1" t="str">
        <f>IF(Protokoll_1p!I238="","",IF(VALUE(LEFT(Protokoll_1p!I238,FIND(":",Protokoll_1p!I238)-1))&gt;VALUE(RIGHT(Protokoll_1p!I238,LEN(Protokoll_1p!I238)-FIND(":",Protokoll_1p!I238))),1,0))</f>
        <v/>
      </c>
      <c r="F272" s="1" t="str">
        <f>IF(Protokoll_1p!J238="","",IF(VALUE(LEFT(Protokoll_1p!J238,FIND(":",Protokoll_1p!J238)-1))&gt;VALUE(RIGHT(Protokoll_1p!J238,LEN(Protokoll_1p!J238)-FIND(":",Protokoll_1p!J238))),1,0))</f>
        <v/>
      </c>
      <c r="G272" s="1" t="str">
        <f t="shared" si="8"/>
        <v/>
      </c>
      <c r="I272" s="1" t="str">
        <f>IF(Protokoll_1p!F238="","",IF(VALUE(LEFT(Protokoll_1p!F238,FIND(":",Protokoll_1p!F238)-1))&gt;VALUE(RIGHT(Protokoll_1p!F238,LEN(Protokoll_1p!F238)-FIND(":",Protokoll_1p!F238))),0,1))</f>
        <v/>
      </c>
      <c r="J272" s="1" t="str">
        <f>IF(Protokoll_1p!G238="","",IF(VALUE(LEFT(Protokoll_1p!G238,FIND(":",Protokoll_1p!G238)-1))&gt;VALUE(RIGHT(Protokoll_1p!G238,LEN(Protokoll_1p!G238)-FIND(":",Protokoll_1p!G238))),0,1))</f>
        <v/>
      </c>
      <c r="K272" s="1" t="str">
        <f>IF(Protokoll_1p!H238="","",IF(VALUE(LEFT(Protokoll_1p!H238,FIND(":",Protokoll_1p!H238)-1))&gt;VALUE(RIGHT(Protokoll_1p!H238,LEN(Protokoll_1p!H238)-FIND(":",Protokoll_1p!H238))),0,1))</f>
        <v/>
      </c>
      <c r="L272" s="1" t="str">
        <f>IF(Protokoll_1p!I238="","",IF(VALUE(LEFT(Protokoll_1p!I238,FIND(":",Protokoll_1p!I238)-1))&gt;VALUE(RIGHT(Protokoll_1p!I238,LEN(Protokoll_1p!I238)-FIND(":",Protokoll_1p!I238))),0,1))</f>
        <v/>
      </c>
      <c r="M272" s="1" t="str">
        <f>IF(Protokoll_1p!J238="","",IF(VALUE(LEFT(Protokoll_1p!J238,FIND(":",Protokoll_1p!J238)-1))&gt;VALUE(RIGHT(Protokoll_1p!J238,LEN(Protokoll_1p!J238)-FIND(":",Protokoll_1p!J238))),0,1))</f>
        <v/>
      </c>
      <c r="N272" s="1" t="str">
        <f t="shared" si="9"/>
        <v/>
      </c>
    </row>
    <row r="273" spans="2:14">
      <c r="B273" s="1" t="str">
        <f>IF(Protokoll_1p!F239="","",IF(VALUE(LEFT(Protokoll_1p!F239,FIND(":",Protokoll_1p!F239)-1))&gt;VALUE(RIGHT(Protokoll_1p!F239,LEN(Protokoll_1p!F239)-FIND(":",Protokoll_1p!F239))),1,0))</f>
        <v/>
      </c>
      <c r="C273" s="1" t="str">
        <f>IF(Protokoll_1p!G239="","",IF(VALUE(LEFT(Protokoll_1p!G239,FIND(":",Protokoll_1p!G239)-1))&gt;VALUE(RIGHT(Protokoll_1p!G239,LEN(Protokoll_1p!G239)-FIND(":",Protokoll_1p!G239))),1,0))</f>
        <v/>
      </c>
      <c r="D273" s="1" t="str">
        <f>IF(Protokoll_1p!H239="","",IF(VALUE(LEFT(Protokoll_1p!H239,FIND(":",Protokoll_1p!H239)-1))&gt;VALUE(RIGHT(Protokoll_1p!H239,LEN(Protokoll_1p!H239)-FIND(":",Protokoll_1p!H239))),1,0))</f>
        <v/>
      </c>
      <c r="E273" s="1" t="str">
        <f>IF(Protokoll_1p!I239="","",IF(VALUE(LEFT(Protokoll_1p!I239,FIND(":",Protokoll_1p!I239)-1))&gt;VALUE(RIGHT(Protokoll_1p!I239,LEN(Protokoll_1p!I239)-FIND(":",Protokoll_1p!I239))),1,0))</f>
        <v/>
      </c>
      <c r="F273" s="1" t="str">
        <f>IF(Protokoll_1p!J239="","",IF(VALUE(LEFT(Protokoll_1p!J239,FIND(":",Protokoll_1p!J239)-1))&gt;VALUE(RIGHT(Protokoll_1p!J239,LEN(Protokoll_1p!J239)-FIND(":",Protokoll_1p!J239))),1,0))</f>
        <v/>
      </c>
      <c r="G273" s="1" t="str">
        <f t="shared" si="8"/>
        <v/>
      </c>
      <c r="I273" s="1" t="str">
        <f>IF(Protokoll_1p!F239="","",IF(VALUE(LEFT(Protokoll_1p!F239,FIND(":",Protokoll_1p!F239)-1))&gt;VALUE(RIGHT(Protokoll_1p!F239,LEN(Protokoll_1p!F239)-FIND(":",Protokoll_1p!F239))),0,1))</f>
        <v/>
      </c>
      <c r="J273" s="1" t="str">
        <f>IF(Protokoll_1p!G239="","",IF(VALUE(LEFT(Protokoll_1p!G239,FIND(":",Protokoll_1p!G239)-1))&gt;VALUE(RIGHT(Protokoll_1p!G239,LEN(Protokoll_1p!G239)-FIND(":",Protokoll_1p!G239))),0,1))</f>
        <v/>
      </c>
      <c r="K273" s="1" t="str">
        <f>IF(Protokoll_1p!H239="","",IF(VALUE(LEFT(Protokoll_1p!H239,FIND(":",Protokoll_1p!H239)-1))&gt;VALUE(RIGHT(Protokoll_1p!H239,LEN(Protokoll_1p!H239)-FIND(":",Protokoll_1p!H239))),0,1))</f>
        <v/>
      </c>
      <c r="L273" s="1" t="str">
        <f>IF(Protokoll_1p!I239="","",IF(VALUE(LEFT(Protokoll_1p!I239,FIND(":",Protokoll_1p!I239)-1))&gt;VALUE(RIGHT(Protokoll_1p!I239,LEN(Protokoll_1p!I239)-FIND(":",Protokoll_1p!I239))),0,1))</f>
        <v/>
      </c>
      <c r="M273" s="1" t="str">
        <f>IF(Protokoll_1p!J239="","",IF(VALUE(LEFT(Protokoll_1p!J239,FIND(":",Protokoll_1p!J239)-1))&gt;VALUE(RIGHT(Protokoll_1p!J239,LEN(Protokoll_1p!J239)-FIND(":",Protokoll_1p!J239))),0,1))</f>
        <v/>
      </c>
      <c r="N273" s="1" t="str">
        <f t="shared" si="9"/>
        <v/>
      </c>
    </row>
    <row r="274" spans="2:14">
      <c r="B274" s="1" t="str">
        <f>IF(Protokoll_1p!F240="","",IF(VALUE(LEFT(Protokoll_1p!F240,FIND(":",Protokoll_1p!F240)-1))&gt;VALUE(RIGHT(Protokoll_1p!F240,LEN(Protokoll_1p!F240)-FIND(":",Protokoll_1p!F240))),1,0))</f>
        <v/>
      </c>
      <c r="C274" s="1" t="str">
        <f>IF(Protokoll_1p!G240="","",IF(VALUE(LEFT(Protokoll_1p!G240,FIND(":",Protokoll_1p!G240)-1))&gt;VALUE(RIGHT(Protokoll_1p!G240,LEN(Protokoll_1p!G240)-FIND(":",Protokoll_1p!G240))),1,0))</f>
        <v/>
      </c>
      <c r="D274" s="1" t="str">
        <f>IF(Protokoll_1p!H240="","",IF(VALUE(LEFT(Protokoll_1p!H240,FIND(":",Protokoll_1p!H240)-1))&gt;VALUE(RIGHT(Protokoll_1p!H240,LEN(Protokoll_1p!H240)-FIND(":",Protokoll_1p!H240))),1,0))</f>
        <v/>
      </c>
      <c r="E274" s="1" t="str">
        <f>IF(Protokoll_1p!I240="","",IF(VALUE(LEFT(Protokoll_1p!I240,FIND(":",Protokoll_1p!I240)-1))&gt;VALUE(RIGHT(Protokoll_1p!I240,LEN(Protokoll_1p!I240)-FIND(":",Protokoll_1p!I240))),1,0))</f>
        <v/>
      </c>
      <c r="F274" s="1" t="str">
        <f>IF(Protokoll_1p!J240="","",IF(VALUE(LEFT(Protokoll_1p!J240,FIND(":",Protokoll_1p!J240)-1))&gt;VALUE(RIGHT(Protokoll_1p!J240,LEN(Protokoll_1p!J240)-FIND(":",Protokoll_1p!J240))),1,0))</f>
        <v/>
      </c>
      <c r="G274" s="1" t="str">
        <f t="shared" si="8"/>
        <v/>
      </c>
      <c r="I274" s="1" t="str">
        <f>IF(Protokoll_1p!F240="","",IF(VALUE(LEFT(Protokoll_1p!F240,FIND(":",Protokoll_1p!F240)-1))&gt;VALUE(RIGHT(Protokoll_1p!F240,LEN(Protokoll_1p!F240)-FIND(":",Protokoll_1p!F240))),0,1))</f>
        <v/>
      </c>
      <c r="J274" s="1" t="str">
        <f>IF(Protokoll_1p!G240="","",IF(VALUE(LEFT(Protokoll_1p!G240,FIND(":",Protokoll_1p!G240)-1))&gt;VALUE(RIGHT(Protokoll_1p!G240,LEN(Protokoll_1p!G240)-FIND(":",Protokoll_1p!G240))),0,1))</f>
        <v/>
      </c>
      <c r="K274" s="1" t="str">
        <f>IF(Protokoll_1p!H240="","",IF(VALUE(LEFT(Protokoll_1p!H240,FIND(":",Protokoll_1p!H240)-1))&gt;VALUE(RIGHT(Protokoll_1p!H240,LEN(Protokoll_1p!H240)-FIND(":",Protokoll_1p!H240))),0,1))</f>
        <v/>
      </c>
      <c r="L274" s="1" t="str">
        <f>IF(Protokoll_1p!I240="","",IF(VALUE(LEFT(Protokoll_1p!I240,FIND(":",Protokoll_1p!I240)-1))&gt;VALUE(RIGHT(Protokoll_1p!I240,LEN(Protokoll_1p!I240)-FIND(":",Protokoll_1p!I240))),0,1))</f>
        <v/>
      </c>
      <c r="M274" s="1" t="str">
        <f>IF(Protokoll_1p!J240="","",IF(VALUE(LEFT(Protokoll_1p!J240,FIND(":",Protokoll_1p!J240)-1))&gt;VALUE(RIGHT(Protokoll_1p!J240,LEN(Protokoll_1p!J240)-FIND(":",Protokoll_1p!J240))),0,1))</f>
        <v/>
      </c>
      <c r="N274" s="1" t="str">
        <f t="shared" si="9"/>
        <v/>
      </c>
    </row>
    <row r="275" spans="2:14">
      <c r="B275" s="1" t="str">
        <f>IF(Protokoll_1p!F241="","",IF(VALUE(LEFT(Protokoll_1p!F241,FIND(":",Protokoll_1p!F241)-1))&gt;VALUE(RIGHT(Protokoll_1p!F241,LEN(Protokoll_1p!F241)-FIND(":",Protokoll_1p!F241))),1,0))</f>
        <v/>
      </c>
      <c r="C275" s="1" t="str">
        <f>IF(Protokoll_1p!G241="","",IF(VALUE(LEFT(Protokoll_1p!G241,FIND(":",Protokoll_1p!G241)-1))&gt;VALUE(RIGHT(Protokoll_1p!G241,LEN(Protokoll_1p!G241)-FIND(":",Protokoll_1p!G241))),1,0))</f>
        <v/>
      </c>
      <c r="D275" s="1" t="str">
        <f>IF(Protokoll_1p!H241="","",IF(VALUE(LEFT(Protokoll_1p!H241,FIND(":",Protokoll_1p!H241)-1))&gt;VALUE(RIGHT(Protokoll_1p!H241,LEN(Protokoll_1p!H241)-FIND(":",Protokoll_1p!H241))),1,0))</f>
        <v/>
      </c>
      <c r="E275" s="1" t="str">
        <f>IF(Protokoll_1p!I241="","",IF(VALUE(LEFT(Protokoll_1p!I241,FIND(":",Protokoll_1p!I241)-1))&gt;VALUE(RIGHT(Protokoll_1p!I241,LEN(Protokoll_1p!I241)-FIND(":",Protokoll_1p!I241))),1,0))</f>
        <v/>
      </c>
      <c r="F275" s="1" t="str">
        <f>IF(Protokoll_1p!J241="","",IF(VALUE(LEFT(Protokoll_1p!J241,FIND(":",Protokoll_1p!J241)-1))&gt;VALUE(RIGHT(Protokoll_1p!J241,LEN(Protokoll_1p!J241)-FIND(":",Protokoll_1p!J241))),1,0))</f>
        <v/>
      </c>
      <c r="G275" s="1" t="str">
        <f t="shared" si="8"/>
        <v/>
      </c>
      <c r="I275" s="1" t="str">
        <f>IF(Protokoll_1p!F241="","",IF(VALUE(LEFT(Protokoll_1p!F241,FIND(":",Protokoll_1p!F241)-1))&gt;VALUE(RIGHT(Protokoll_1p!F241,LEN(Protokoll_1p!F241)-FIND(":",Protokoll_1p!F241))),0,1))</f>
        <v/>
      </c>
      <c r="J275" s="1" t="str">
        <f>IF(Protokoll_1p!G241="","",IF(VALUE(LEFT(Protokoll_1p!G241,FIND(":",Protokoll_1p!G241)-1))&gt;VALUE(RIGHT(Protokoll_1p!G241,LEN(Protokoll_1p!G241)-FIND(":",Protokoll_1p!G241))),0,1))</f>
        <v/>
      </c>
      <c r="K275" s="1" t="str">
        <f>IF(Protokoll_1p!H241="","",IF(VALUE(LEFT(Protokoll_1p!H241,FIND(":",Protokoll_1p!H241)-1))&gt;VALUE(RIGHT(Protokoll_1p!H241,LEN(Protokoll_1p!H241)-FIND(":",Protokoll_1p!H241))),0,1))</f>
        <v/>
      </c>
      <c r="L275" s="1" t="str">
        <f>IF(Protokoll_1p!I241="","",IF(VALUE(LEFT(Protokoll_1p!I241,FIND(":",Protokoll_1p!I241)-1))&gt;VALUE(RIGHT(Protokoll_1p!I241,LEN(Protokoll_1p!I241)-FIND(":",Protokoll_1p!I241))),0,1))</f>
        <v/>
      </c>
      <c r="M275" s="1" t="str">
        <f>IF(Protokoll_1p!J241="","",IF(VALUE(LEFT(Protokoll_1p!J241,FIND(":",Protokoll_1p!J241)-1))&gt;VALUE(RIGHT(Protokoll_1p!J241,LEN(Protokoll_1p!J241)-FIND(":",Protokoll_1p!J241))),0,1))</f>
        <v/>
      </c>
      <c r="N275" s="1" t="str">
        <f t="shared" si="9"/>
        <v/>
      </c>
    </row>
    <row r="276" spans="2:14">
      <c r="B276" s="1" t="str">
        <f>IF(Protokoll_1p!F242="","",IF(VALUE(LEFT(Protokoll_1p!F242,FIND(":",Protokoll_1p!F242)-1))&gt;VALUE(RIGHT(Protokoll_1p!F242,LEN(Protokoll_1p!F242)-FIND(":",Protokoll_1p!F242))),1,0))</f>
        <v/>
      </c>
      <c r="C276" s="1" t="str">
        <f>IF(Protokoll_1p!G242="","",IF(VALUE(LEFT(Protokoll_1p!G242,FIND(":",Protokoll_1p!G242)-1))&gt;VALUE(RIGHT(Protokoll_1p!G242,LEN(Protokoll_1p!G242)-FIND(":",Protokoll_1p!G242))),1,0))</f>
        <v/>
      </c>
      <c r="D276" s="1" t="str">
        <f>IF(Protokoll_1p!H242="","",IF(VALUE(LEFT(Protokoll_1p!H242,FIND(":",Protokoll_1p!H242)-1))&gt;VALUE(RIGHT(Protokoll_1p!H242,LEN(Protokoll_1p!H242)-FIND(":",Protokoll_1p!H242))),1,0))</f>
        <v/>
      </c>
      <c r="E276" s="1" t="str">
        <f>IF(Protokoll_1p!I242="","",IF(VALUE(LEFT(Protokoll_1p!I242,FIND(":",Protokoll_1p!I242)-1))&gt;VALUE(RIGHT(Protokoll_1p!I242,LEN(Protokoll_1p!I242)-FIND(":",Protokoll_1p!I242))),1,0))</f>
        <v/>
      </c>
      <c r="F276" s="1" t="str">
        <f>IF(Protokoll_1p!J242="","",IF(VALUE(LEFT(Protokoll_1p!J242,FIND(":",Protokoll_1p!J242)-1))&gt;VALUE(RIGHT(Protokoll_1p!J242,LEN(Protokoll_1p!J242)-FIND(":",Protokoll_1p!J242))),1,0))</f>
        <v/>
      </c>
      <c r="G276" s="1" t="str">
        <f t="shared" si="8"/>
        <v/>
      </c>
      <c r="I276" s="1" t="str">
        <f>IF(Protokoll_1p!F242="","",IF(VALUE(LEFT(Protokoll_1p!F242,FIND(":",Protokoll_1p!F242)-1))&gt;VALUE(RIGHT(Protokoll_1p!F242,LEN(Protokoll_1p!F242)-FIND(":",Protokoll_1p!F242))),0,1))</f>
        <v/>
      </c>
      <c r="J276" s="1" t="str">
        <f>IF(Protokoll_1p!G242="","",IF(VALUE(LEFT(Protokoll_1p!G242,FIND(":",Protokoll_1p!G242)-1))&gt;VALUE(RIGHT(Protokoll_1p!G242,LEN(Protokoll_1p!G242)-FIND(":",Protokoll_1p!G242))),0,1))</f>
        <v/>
      </c>
      <c r="K276" s="1" t="str">
        <f>IF(Protokoll_1p!H242="","",IF(VALUE(LEFT(Protokoll_1p!H242,FIND(":",Protokoll_1p!H242)-1))&gt;VALUE(RIGHT(Protokoll_1p!H242,LEN(Protokoll_1p!H242)-FIND(":",Protokoll_1p!H242))),0,1))</f>
        <v/>
      </c>
      <c r="L276" s="1" t="str">
        <f>IF(Protokoll_1p!I242="","",IF(VALUE(LEFT(Protokoll_1p!I242,FIND(":",Protokoll_1p!I242)-1))&gt;VALUE(RIGHT(Protokoll_1p!I242,LEN(Protokoll_1p!I242)-FIND(":",Protokoll_1p!I242))),0,1))</f>
        <v/>
      </c>
      <c r="M276" s="1" t="str">
        <f>IF(Protokoll_1p!J242="","",IF(VALUE(LEFT(Protokoll_1p!J242,FIND(":",Protokoll_1p!J242)-1))&gt;VALUE(RIGHT(Protokoll_1p!J242,LEN(Protokoll_1p!J242)-FIND(":",Protokoll_1p!J242))),0,1))</f>
        <v/>
      </c>
      <c r="N276" s="1" t="str">
        <f t="shared" si="9"/>
        <v/>
      </c>
    </row>
    <row r="277" spans="2:14">
      <c r="B277" s="1" t="str">
        <f>IF(Protokoll_1p!F243="","",IF(VALUE(LEFT(Protokoll_1p!F243,FIND(":",Protokoll_1p!F243)-1))&gt;VALUE(RIGHT(Protokoll_1p!F243,LEN(Protokoll_1p!F243)-FIND(":",Protokoll_1p!F243))),1,0))</f>
        <v/>
      </c>
      <c r="C277" s="1" t="str">
        <f>IF(Protokoll_1p!G243="","",IF(VALUE(LEFT(Protokoll_1p!G243,FIND(":",Protokoll_1p!G243)-1))&gt;VALUE(RIGHT(Protokoll_1p!G243,LEN(Protokoll_1p!G243)-FIND(":",Protokoll_1p!G243))),1,0))</f>
        <v/>
      </c>
      <c r="D277" s="1" t="str">
        <f>IF(Protokoll_1p!H243="","",IF(VALUE(LEFT(Protokoll_1p!H243,FIND(":",Protokoll_1p!H243)-1))&gt;VALUE(RIGHT(Protokoll_1p!H243,LEN(Protokoll_1p!H243)-FIND(":",Protokoll_1p!H243))),1,0))</f>
        <v/>
      </c>
      <c r="E277" s="1" t="str">
        <f>IF(Protokoll_1p!I243="","",IF(VALUE(LEFT(Protokoll_1p!I243,FIND(":",Protokoll_1p!I243)-1))&gt;VALUE(RIGHT(Protokoll_1p!I243,LEN(Protokoll_1p!I243)-FIND(":",Protokoll_1p!I243))),1,0))</f>
        <v/>
      </c>
      <c r="F277" s="1" t="str">
        <f>IF(Protokoll_1p!J243="","",IF(VALUE(LEFT(Protokoll_1p!J243,FIND(":",Protokoll_1p!J243)-1))&gt;VALUE(RIGHT(Protokoll_1p!J243,LEN(Protokoll_1p!J243)-FIND(":",Protokoll_1p!J243))),1,0))</f>
        <v/>
      </c>
      <c r="G277" s="1" t="str">
        <f t="shared" si="8"/>
        <v/>
      </c>
      <c r="I277" s="1" t="str">
        <f>IF(Protokoll_1p!F243="","",IF(VALUE(LEFT(Protokoll_1p!F243,FIND(":",Protokoll_1p!F243)-1))&gt;VALUE(RIGHT(Protokoll_1p!F243,LEN(Protokoll_1p!F243)-FIND(":",Protokoll_1p!F243))),0,1))</f>
        <v/>
      </c>
      <c r="J277" s="1" t="str">
        <f>IF(Protokoll_1p!G243="","",IF(VALUE(LEFT(Protokoll_1p!G243,FIND(":",Protokoll_1p!G243)-1))&gt;VALUE(RIGHT(Protokoll_1p!G243,LEN(Protokoll_1p!G243)-FIND(":",Protokoll_1p!G243))),0,1))</f>
        <v/>
      </c>
      <c r="K277" s="1" t="str">
        <f>IF(Protokoll_1p!H243="","",IF(VALUE(LEFT(Protokoll_1p!H243,FIND(":",Protokoll_1p!H243)-1))&gt;VALUE(RIGHT(Protokoll_1p!H243,LEN(Protokoll_1p!H243)-FIND(":",Protokoll_1p!H243))),0,1))</f>
        <v/>
      </c>
      <c r="L277" s="1" t="str">
        <f>IF(Protokoll_1p!I243="","",IF(VALUE(LEFT(Protokoll_1p!I243,FIND(":",Protokoll_1p!I243)-1))&gt;VALUE(RIGHT(Protokoll_1p!I243,LEN(Protokoll_1p!I243)-FIND(":",Protokoll_1p!I243))),0,1))</f>
        <v/>
      </c>
      <c r="M277" s="1" t="str">
        <f>IF(Protokoll_1p!J243="","",IF(VALUE(LEFT(Protokoll_1p!J243,FIND(":",Protokoll_1p!J243)-1))&gt;VALUE(RIGHT(Protokoll_1p!J243,LEN(Protokoll_1p!J243)-FIND(":",Protokoll_1p!J243))),0,1))</f>
        <v/>
      </c>
      <c r="N277" s="1" t="str">
        <f t="shared" si="9"/>
        <v/>
      </c>
    </row>
    <row r="278" spans="2:14">
      <c r="B278" s="1" t="str">
        <f>IF(Protokoll_1p!F244="","",IF(VALUE(LEFT(Protokoll_1p!F244,FIND(":",Protokoll_1p!F244)-1))&gt;VALUE(RIGHT(Protokoll_1p!F244,LEN(Protokoll_1p!F244)-FIND(":",Protokoll_1p!F244))),1,0))</f>
        <v/>
      </c>
      <c r="C278" s="1" t="str">
        <f>IF(Protokoll_1p!G244="","",IF(VALUE(LEFT(Protokoll_1p!G244,FIND(":",Protokoll_1p!G244)-1))&gt;VALUE(RIGHT(Protokoll_1p!G244,LEN(Protokoll_1p!G244)-FIND(":",Protokoll_1p!G244))),1,0))</f>
        <v/>
      </c>
      <c r="D278" s="1" t="str">
        <f>IF(Protokoll_1p!H244="","",IF(VALUE(LEFT(Protokoll_1p!H244,FIND(":",Protokoll_1p!H244)-1))&gt;VALUE(RIGHT(Protokoll_1p!H244,LEN(Protokoll_1p!H244)-FIND(":",Protokoll_1p!H244))),1,0))</f>
        <v/>
      </c>
      <c r="E278" s="1" t="str">
        <f>IF(Protokoll_1p!I244="","",IF(VALUE(LEFT(Protokoll_1p!I244,FIND(":",Protokoll_1p!I244)-1))&gt;VALUE(RIGHT(Protokoll_1p!I244,LEN(Protokoll_1p!I244)-FIND(":",Protokoll_1p!I244))),1,0))</f>
        <v/>
      </c>
      <c r="F278" s="1" t="str">
        <f>IF(Protokoll_1p!J244="","",IF(VALUE(LEFT(Protokoll_1p!J244,FIND(":",Protokoll_1p!J244)-1))&gt;VALUE(RIGHT(Protokoll_1p!J244,LEN(Protokoll_1p!J244)-FIND(":",Protokoll_1p!J244))),1,0))</f>
        <v/>
      </c>
      <c r="G278" s="1" t="str">
        <f t="shared" si="8"/>
        <v/>
      </c>
      <c r="I278" s="1" t="str">
        <f>IF(Protokoll_1p!F244="","",IF(VALUE(LEFT(Protokoll_1p!F244,FIND(":",Protokoll_1p!F244)-1))&gt;VALUE(RIGHT(Protokoll_1p!F244,LEN(Protokoll_1p!F244)-FIND(":",Protokoll_1p!F244))),0,1))</f>
        <v/>
      </c>
      <c r="J278" s="1" t="str">
        <f>IF(Protokoll_1p!G244="","",IF(VALUE(LEFT(Protokoll_1p!G244,FIND(":",Protokoll_1p!G244)-1))&gt;VALUE(RIGHT(Protokoll_1p!G244,LEN(Protokoll_1p!G244)-FIND(":",Protokoll_1p!G244))),0,1))</f>
        <v/>
      </c>
      <c r="K278" s="1" t="str">
        <f>IF(Protokoll_1p!H244="","",IF(VALUE(LEFT(Protokoll_1p!H244,FIND(":",Protokoll_1p!H244)-1))&gt;VALUE(RIGHT(Protokoll_1p!H244,LEN(Protokoll_1p!H244)-FIND(":",Protokoll_1p!H244))),0,1))</f>
        <v/>
      </c>
      <c r="L278" s="1" t="str">
        <f>IF(Protokoll_1p!I244="","",IF(VALUE(LEFT(Protokoll_1p!I244,FIND(":",Protokoll_1p!I244)-1))&gt;VALUE(RIGHT(Protokoll_1p!I244,LEN(Protokoll_1p!I244)-FIND(":",Protokoll_1p!I244))),0,1))</f>
        <v/>
      </c>
      <c r="M278" s="1" t="str">
        <f>IF(Protokoll_1p!J244="","",IF(VALUE(LEFT(Protokoll_1p!J244,FIND(":",Protokoll_1p!J244)-1))&gt;VALUE(RIGHT(Protokoll_1p!J244,LEN(Protokoll_1p!J244)-FIND(":",Protokoll_1p!J244))),0,1))</f>
        <v/>
      </c>
      <c r="N278" s="1" t="str">
        <f t="shared" si="9"/>
        <v/>
      </c>
    </row>
    <row r="279" spans="2:14">
      <c r="B279" s="1" t="str">
        <f>IF(Protokoll_1p!F245="","",IF(VALUE(LEFT(Protokoll_1p!F245,FIND(":",Protokoll_1p!F245)-1))&gt;VALUE(RIGHT(Protokoll_1p!F245,LEN(Protokoll_1p!F245)-FIND(":",Protokoll_1p!F245))),1,0))</f>
        <v/>
      </c>
      <c r="C279" s="1" t="str">
        <f>IF(Protokoll_1p!G245="","",IF(VALUE(LEFT(Protokoll_1p!G245,FIND(":",Protokoll_1p!G245)-1))&gt;VALUE(RIGHT(Protokoll_1p!G245,LEN(Protokoll_1p!G245)-FIND(":",Protokoll_1p!G245))),1,0))</f>
        <v/>
      </c>
      <c r="D279" s="1" t="str">
        <f>IF(Protokoll_1p!H245="","",IF(VALUE(LEFT(Protokoll_1p!H245,FIND(":",Protokoll_1p!H245)-1))&gt;VALUE(RIGHT(Protokoll_1p!H245,LEN(Protokoll_1p!H245)-FIND(":",Protokoll_1p!H245))),1,0))</f>
        <v/>
      </c>
      <c r="E279" s="1" t="str">
        <f>IF(Protokoll_1p!I245="","",IF(VALUE(LEFT(Protokoll_1p!I245,FIND(":",Protokoll_1p!I245)-1))&gt;VALUE(RIGHT(Protokoll_1p!I245,LEN(Protokoll_1p!I245)-FIND(":",Protokoll_1p!I245))),1,0))</f>
        <v/>
      </c>
      <c r="F279" s="1" t="str">
        <f>IF(Protokoll_1p!J245="","",IF(VALUE(LEFT(Protokoll_1p!J245,FIND(":",Protokoll_1p!J245)-1))&gt;VALUE(RIGHT(Protokoll_1p!J245,LEN(Protokoll_1p!J245)-FIND(":",Protokoll_1p!J245))),1,0))</f>
        <v/>
      </c>
      <c r="G279" s="1" t="str">
        <f t="shared" si="8"/>
        <v/>
      </c>
      <c r="I279" s="1" t="str">
        <f>IF(Protokoll_1p!F245="","",IF(VALUE(LEFT(Protokoll_1p!F245,FIND(":",Protokoll_1p!F245)-1))&gt;VALUE(RIGHT(Protokoll_1p!F245,LEN(Protokoll_1p!F245)-FIND(":",Protokoll_1p!F245))),0,1))</f>
        <v/>
      </c>
      <c r="J279" s="1" t="str">
        <f>IF(Protokoll_1p!G245="","",IF(VALUE(LEFT(Protokoll_1p!G245,FIND(":",Protokoll_1p!G245)-1))&gt;VALUE(RIGHT(Protokoll_1p!G245,LEN(Protokoll_1p!G245)-FIND(":",Protokoll_1p!G245))),0,1))</f>
        <v/>
      </c>
      <c r="K279" s="1" t="str">
        <f>IF(Protokoll_1p!H245="","",IF(VALUE(LEFT(Protokoll_1p!H245,FIND(":",Protokoll_1p!H245)-1))&gt;VALUE(RIGHT(Protokoll_1p!H245,LEN(Protokoll_1p!H245)-FIND(":",Protokoll_1p!H245))),0,1))</f>
        <v/>
      </c>
      <c r="L279" s="1" t="str">
        <f>IF(Protokoll_1p!I245="","",IF(VALUE(LEFT(Protokoll_1p!I245,FIND(":",Protokoll_1p!I245)-1))&gt;VALUE(RIGHT(Protokoll_1p!I245,LEN(Protokoll_1p!I245)-FIND(":",Protokoll_1p!I245))),0,1))</f>
        <v/>
      </c>
      <c r="M279" s="1" t="str">
        <f>IF(Protokoll_1p!J245="","",IF(VALUE(LEFT(Protokoll_1p!J245,FIND(":",Protokoll_1p!J245)-1))&gt;VALUE(RIGHT(Protokoll_1p!J245,LEN(Protokoll_1p!J245)-FIND(":",Protokoll_1p!J245))),0,1))</f>
        <v/>
      </c>
      <c r="N279" s="1" t="str">
        <f t="shared" si="9"/>
        <v/>
      </c>
    </row>
    <row r="280" spans="2:14">
      <c r="B280" s="1" t="str">
        <f>IF(Protokoll_1p!F246="","",IF(VALUE(LEFT(Protokoll_1p!F246,FIND(":",Protokoll_1p!F246)-1))&gt;VALUE(RIGHT(Protokoll_1p!F246,LEN(Protokoll_1p!F246)-FIND(":",Protokoll_1p!F246))),1,0))</f>
        <v/>
      </c>
      <c r="C280" s="1" t="str">
        <f>IF(Protokoll_1p!G246="","",IF(VALUE(LEFT(Protokoll_1p!G246,FIND(":",Protokoll_1p!G246)-1))&gt;VALUE(RIGHT(Protokoll_1p!G246,LEN(Protokoll_1p!G246)-FIND(":",Protokoll_1p!G246))),1,0))</f>
        <v/>
      </c>
      <c r="D280" s="1" t="str">
        <f>IF(Protokoll_1p!H246="","",IF(VALUE(LEFT(Protokoll_1p!H246,FIND(":",Protokoll_1p!H246)-1))&gt;VALUE(RIGHT(Protokoll_1p!H246,LEN(Protokoll_1p!H246)-FIND(":",Protokoll_1p!H246))),1,0))</f>
        <v/>
      </c>
      <c r="E280" s="1" t="str">
        <f>IF(Protokoll_1p!I246="","",IF(VALUE(LEFT(Protokoll_1p!I246,FIND(":",Protokoll_1p!I246)-1))&gt;VALUE(RIGHT(Protokoll_1p!I246,LEN(Protokoll_1p!I246)-FIND(":",Protokoll_1p!I246))),1,0))</f>
        <v/>
      </c>
      <c r="F280" s="1" t="str">
        <f>IF(Protokoll_1p!J246="","",IF(VALUE(LEFT(Protokoll_1p!J246,FIND(":",Protokoll_1p!J246)-1))&gt;VALUE(RIGHT(Protokoll_1p!J246,LEN(Protokoll_1p!J246)-FIND(":",Protokoll_1p!J246))),1,0))</f>
        <v/>
      </c>
      <c r="G280" s="1" t="str">
        <f t="shared" si="8"/>
        <v/>
      </c>
      <c r="I280" s="1" t="str">
        <f>IF(Protokoll_1p!F246="","",IF(VALUE(LEFT(Protokoll_1p!F246,FIND(":",Protokoll_1p!F246)-1))&gt;VALUE(RIGHT(Protokoll_1p!F246,LEN(Protokoll_1p!F246)-FIND(":",Protokoll_1p!F246))),0,1))</f>
        <v/>
      </c>
      <c r="J280" s="1" t="str">
        <f>IF(Protokoll_1p!G246="","",IF(VALUE(LEFT(Protokoll_1p!G246,FIND(":",Protokoll_1p!G246)-1))&gt;VALUE(RIGHT(Protokoll_1p!G246,LEN(Protokoll_1p!G246)-FIND(":",Protokoll_1p!G246))),0,1))</f>
        <v/>
      </c>
      <c r="K280" s="1" t="str">
        <f>IF(Protokoll_1p!H246="","",IF(VALUE(LEFT(Protokoll_1p!H246,FIND(":",Protokoll_1p!H246)-1))&gt;VALUE(RIGHT(Protokoll_1p!H246,LEN(Protokoll_1p!H246)-FIND(":",Protokoll_1p!H246))),0,1))</f>
        <v/>
      </c>
      <c r="L280" s="1" t="str">
        <f>IF(Protokoll_1p!I246="","",IF(VALUE(LEFT(Protokoll_1p!I246,FIND(":",Protokoll_1p!I246)-1))&gt;VALUE(RIGHT(Protokoll_1p!I246,LEN(Protokoll_1p!I246)-FIND(":",Protokoll_1p!I246))),0,1))</f>
        <v/>
      </c>
      <c r="M280" s="1" t="str">
        <f>IF(Protokoll_1p!J246="","",IF(VALUE(LEFT(Protokoll_1p!J246,FIND(":",Protokoll_1p!J246)-1))&gt;VALUE(RIGHT(Protokoll_1p!J246,LEN(Protokoll_1p!J246)-FIND(":",Protokoll_1p!J246))),0,1))</f>
        <v/>
      </c>
      <c r="N280" s="1" t="str">
        <f t="shared" si="9"/>
        <v/>
      </c>
    </row>
    <row r="281" spans="2:14">
      <c r="B281" s="1" t="str">
        <f>IF(Protokoll_1p!F247="","",IF(VALUE(LEFT(Protokoll_1p!F247,FIND(":",Protokoll_1p!F247)-1))&gt;VALUE(RIGHT(Protokoll_1p!F247,LEN(Protokoll_1p!F247)-FIND(":",Protokoll_1p!F247))),1,0))</f>
        <v/>
      </c>
      <c r="C281" s="1" t="str">
        <f>IF(Protokoll_1p!G247="","",IF(VALUE(LEFT(Protokoll_1p!G247,FIND(":",Protokoll_1p!G247)-1))&gt;VALUE(RIGHT(Protokoll_1p!G247,LEN(Protokoll_1p!G247)-FIND(":",Protokoll_1p!G247))),1,0))</f>
        <v/>
      </c>
      <c r="D281" s="1" t="str">
        <f>IF(Protokoll_1p!H247="","",IF(VALUE(LEFT(Protokoll_1p!H247,FIND(":",Protokoll_1p!H247)-1))&gt;VALUE(RIGHT(Protokoll_1p!H247,LEN(Protokoll_1p!H247)-FIND(":",Protokoll_1p!H247))),1,0))</f>
        <v/>
      </c>
      <c r="E281" s="1" t="str">
        <f>IF(Protokoll_1p!I247="","",IF(VALUE(LEFT(Protokoll_1p!I247,FIND(":",Protokoll_1p!I247)-1))&gt;VALUE(RIGHT(Protokoll_1p!I247,LEN(Protokoll_1p!I247)-FIND(":",Protokoll_1p!I247))),1,0))</f>
        <v/>
      </c>
      <c r="F281" s="1" t="str">
        <f>IF(Protokoll_1p!J247="","",IF(VALUE(LEFT(Protokoll_1p!J247,FIND(":",Protokoll_1p!J247)-1))&gt;VALUE(RIGHT(Protokoll_1p!J247,LEN(Protokoll_1p!J247)-FIND(":",Protokoll_1p!J247))),1,0))</f>
        <v/>
      </c>
      <c r="G281" s="1" t="str">
        <f t="shared" si="8"/>
        <v/>
      </c>
      <c r="I281" s="1" t="str">
        <f>IF(Protokoll_1p!F247="","",IF(VALUE(LEFT(Protokoll_1p!F247,FIND(":",Protokoll_1p!F247)-1))&gt;VALUE(RIGHT(Protokoll_1p!F247,LEN(Protokoll_1p!F247)-FIND(":",Protokoll_1p!F247))),0,1))</f>
        <v/>
      </c>
      <c r="J281" s="1" t="str">
        <f>IF(Protokoll_1p!G247="","",IF(VALUE(LEFT(Protokoll_1p!G247,FIND(":",Protokoll_1p!G247)-1))&gt;VALUE(RIGHT(Protokoll_1p!G247,LEN(Protokoll_1p!G247)-FIND(":",Protokoll_1p!G247))),0,1))</f>
        <v/>
      </c>
      <c r="K281" s="1" t="str">
        <f>IF(Protokoll_1p!H247="","",IF(VALUE(LEFT(Protokoll_1p!H247,FIND(":",Protokoll_1p!H247)-1))&gt;VALUE(RIGHT(Protokoll_1p!H247,LEN(Protokoll_1p!H247)-FIND(":",Protokoll_1p!H247))),0,1))</f>
        <v/>
      </c>
      <c r="L281" s="1" t="str">
        <f>IF(Protokoll_1p!I247="","",IF(VALUE(LEFT(Protokoll_1p!I247,FIND(":",Protokoll_1p!I247)-1))&gt;VALUE(RIGHT(Protokoll_1p!I247,LEN(Protokoll_1p!I247)-FIND(":",Protokoll_1p!I247))),0,1))</f>
        <v/>
      </c>
      <c r="M281" s="1" t="str">
        <f>IF(Protokoll_1p!J247="","",IF(VALUE(LEFT(Protokoll_1p!J247,FIND(":",Protokoll_1p!J247)-1))&gt;VALUE(RIGHT(Protokoll_1p!J247,LEN(Protokoll_1p!J247)-FIND(":",Protokoll_1p!J247))),0,1))</f>
        <v/>
      </c>
      <c r="N281" s="1" t="str">
        <f t="shared" si="9"/>
        <v/>
      </c>
    </row>
    <row r="282" spans="2:14">
      <c r="B282" s="1" t="str">
        <f>IF(Protokoll_1p!F248="","",IF(VALUE(LEFT(Protokoll_1p!F248,FIND(":",Protokoll_1p!F248)-1))&gt;VALUE(RIGHT(Protokoll_1p!F248,LEN(Protokoll_1p!F248)-FIND(":",Protokoll_1p!F248))),1,0))</f>
        <v/>
      </c>
      <c r="C282" s="1" t="str">
        <f>IF(Protokoll_1p!G248="","",IF(VALUE(LEFT(Protokoll_1p!G248,FIND(":",Protokoll_1p!G248)-1))&gt;VALUE(RIGHT(Protokoll_1p!G248,LEN(Protokoll_1p!G248)-FIND(":",Protokoll_1p!G248))),1,0))</f>
        <v/>
      </c>
      <c r="D282" s="1" t="str">
        <f>IF(Protokoll_1p!H248="","",IF(VALUE(LEFT(Protokoll_1p!H248,FIND(":",Protokoll_1p!H248)-1))&gt;VALUE(RIGHT(Protokoll_1p!H248,LEN(Protokoll_1p!H248)-FIND(":",Protokoll_1p!H248))),1,0))</f>
        <v/>
      </c>
      <c r="E282" s="1" t="str">
        <f>IF(Protokoll_1p!I248="","",IF(VALUE(LEFT(Protokoll_1p!I248,FIND(":",Protokoll_1p!I248)-1))&gt;VALUE(RIGHT(Protokoll_1p!I248,LEN(Protokoll_1p!I248)-FIND(":",Protokoll_1p!I248))),1,0))</f>
        <v/>
      </c>
      <c r="F282" s="1" t="str">
        <f>IF(Protokoll_1p!J248="","",IF(VALUE(LEFT(Protokoll_1p!J248,FIND(":",Protokoll_1p!J248)-1))&gt;VALUE(RIGHT(Protokoll_1p!J248,LEN(Protokoll_1p!J248)-FIND(":",Protokoll_1p!J248))),1,0))</f>
        <v/>
      </c>
      <c r="G282" s="1" t="str">
        <f t="shared" si="8"/>
        <v/>
      </c>
      <c r="I282" s="1" t="str">
        <f>IF(Protokoll_1p!F248="","",IF(VALUE(LEFT(Protokoll_1p!F248,FIND(":",Protokoll_1p!F248)-1))&gt;VALUE(RIGHT(Protokoll_1p!F248,LEN(Protokoll_1p!F248)-FIND(":",Protokoll_1p!F248))),0,1))</f>
        <v/>
      </c>
      <c r="J282" s="1" t="str">
        <f>IF(Protokoll_1p!G248="","",IF(VALUE(LEFT(Protokoll_1p!G248,FIND(":",Protokoll_1p!G248)-1))&gt;VALUE(RIGHT(Protokoll_1p!G248,LEN(Protokoll_1p!G248)-FIND(":",Protokoll_1p!G248))),0,1))</f>
        <v/>
      </c>
      <c r="K282" s="1" t="str">
        <f>IF(Protokoll_1p!H248="","",IF(VALUE(LEFT(Protokoll_1p!H248,FIND(":",Protokoll_1p!H248)-1))&gt;VALUE(RIGHT(Protokoll_1p!H248,LEN(Protokoll_1p!H248)-FIND(":",Protokoll_1p!H248))),0,1))</f>
        <v/>
      </c>
      <c r="L282" s="1" t="str">
        <f>IF(Protokoll_1p!I248="","",IF(VALUE(LEFT(Protokoll_1p!I248,FIND(":",Protokoll_1p!I248)-1))&gt;VALUE(RIGHT(Protokoll_1p!I248,LEN(Protokoll_1p!I248)-FIND(":",Protokoll_1p!I248))),0,1))</f>
        <v/>
      </c>
      <c r="M282" s="1" t="str">
        <f>IF(Protokoll_1p!J248="","",IF(VALUE(LEFT(Protokoll_1p!J248,FIND(":",Protokoll_1p!J248)-1))&gt;VALUE(RIGHT(Protokoll_1p!J248,LEN(Protokoll_1p!J248)-FIND(":",Protokoll_1p!J248))),0,1))</f>
        <v/>
      </c>
      <c r="N282" s="1" t="str">
        <f t="shared" si="9"/>
        <v/>
      </c>
    </row>
    <row r="283" spans="2:14">
      <c r="B283" s="1" t="str">
        <f>IF(Protokoll_1p!F249="","",IF(VALUE(LEFT(Protokoll_1p!F249,FIND(":",Protokoll_1p!F249)-1))&gt;VALUE(RIGHT(Protokoll_1p!F249,LEN(Protokoll_1p!F249)-FIND(":",Protokoll_1p!F249))),1,0))</f>
        <v/>
      </c>
      <c r="C283" s="1" t="str">
        <f>IF(Protokoll_1p!G249="","",IF(VALUE(LEFT(Protokoll_1p!G249,FIND(":",Protokoll_1p!G249)-1))&gt;VALUE(RIGHT(Protokoll_1p!G249,LEN(Protokoll_1p!G249)-FIND(":",Protokoll_1p!G249))),1,0))</f>
        <v/>
      </c>
      <c r="D283" s="1" t="str">
        <f>IF(Protokoll_1p!H249="","",IF(VALUE(LEFT(Protokoll_1p!H249,FIND(":",Protokoll_1p!H249)-1))&gt;VALUE(RIGHT(Protokoll_1p!H249,LEN(Protokoll_1p!H249)-FIND(":",Protokoll_1p!H249))),1,0))</f>
        <v/>
      </c>
      <c r="E283" s="1" t="str">
        <f>IF(Protokoll_1p!I249="","",IF(VALUE(LEFT(Protokoll_1p!I249,FIND(":",Protokoll_1p!I249)-1))&gt;VALUE(RIGHT(Protokoll_1p!I249,LEN(Protokoll_1p!I249)-FIND(":",Protokoll_1p!I249))),1,0))</f>
        <v/>
      </c>
      <c r="F283" s="1" t="str">
        <f>IF(Protokoll_1p!J249="","",IF(VALUE(LEFT(Protokoll_1p!J249,FIND(":",Protokoll_1p!J249)-1))&gt;VALUE(RIGHT(Protokoll_1p!J249,LEN(Protokoll_1p!J249)-FIND(":",Protokoll_1p!J249))),1,0))</f>
        <v/>
      </c>
      <c r="G283" s="1" t="str">
        <f t="shared" si="8"/>
        <v/>
      </c>
      <c r="I283" s="1" t="str">
        <f>IF(Protokoll_1p!F249="","",IF(VALUE(LEFT(Protokoll_1p!F249,FIND(":",Protokoll_1p!F249)-1))&gt;VALUE(RIGHT(Protokoll_1p!F249,LEN(Protokoll_1p!F249)-FIND(":",Protokoll_1p!F249))),0,1))</f>
        <v/>
      </c>
      <c r="J283" s="1" t="str">
        <f>IF(Protokoll_1p!G249="","",IF(VALUE(LEFT(Protokoll_1p!G249,FIND(":",Protokoll_1p!G249)-1))&gt;VALUE(RIGHT(Protokoll_1p!G249,LEN(Protokoll_1p!G249)-FIND(":",Protokoll_1p!G249))),0,1))</f>
        <v/>
      </c>
      <c r="K283" s="1" t="str">
        <f>IF(Protokoll_1p!H249="","",IF(VALUE(LEFT(Protokoll_1p!H249,FIND(":",Protokoll_1p!H249)-1))&gt;VALUE(RIGHT(Protokoll_1p!H249,LEN(Protokoll_1p!H249)-FIND(":",Protokoll_1p!H249))),0,1))</f>
        <v/>
      </c>
      <c r="L283" s="1" t="str">
        <f>IF(Protokoll_1p!I249="","",IF(VALUE(LEFT(Protokoll_1p!I249,FIND(":",Protokoll_1p!I249)-1))&gt;VALUE(RIGHT(Protokoll_1p!I249,LEN(Protokoll_1p!I249)-FIND(":",Protokoll_1p!I249))),0,1))</f>
        <v/>
      </c>
      <c r="M283" s="1" t="str">
        <f>IF(Protokoll_1p!J249="","",IF(VALUE(LEFT(Protokoll_1p!J249,FIND(":",Protokoll_1p!J249)-1))&gt;VALUE(RIGHT(Protokoll_1p!J249,LEN(Protokoll_1p!J249)-FIND(":",Protokoll_1p!J249))),0,1))</f>
        <v/>
      </c>
      <c r="N283" s="1" t="str">
        <f t="shared" si="9"/>
        <v/>
      </c>
    </row>
    <row r="284" spans="2:14">
      <c r="B284" s="1" t="str">
        <f>IF(Protokoll_1p!F250="","",IF(VALUE(LEFT(Protokoll_1p!F250,FIND(":",Protokoll_1p!F250)-1))&gt;VALUE(RIGHT(Protokoll_1p!F250,LEN(Protokoll_1p!F250)-FIND(":",Protokoll_1p!F250))),1,0))</f>
        <v/>
      </c>
      <c r="C284" s="1" t="str">
        <f>IF(Protokoll_1p!G250="","",IF(VALUE(LEFT(Protokoll_1p!G250,FIND(":",Protokoll_1p!G250)-1))&gt;VALUE(RIGHT(Protokoll_1p!G250,LEN(Protokoll_1p!G250)-FIND(":",Protokoll_1p!G250))),1,0))</f>
        <v/>
      </c>
      <c r="D284" s="1" t="str">
        <f>IF(Protokoll_1p!H250="","",IF(VALUE(LEFT(Protokoll_1p!H250,FIND(":",Protokoll_1p!H250)-1))&gt;VALUE(RIGHT(Protokoll_1p!H250,LEN(Protokoll_1p!H250)-FIND(":",Protokoll_1p!H250))),1,0))</f>
        <v/>
      </c>
      <c r="E284" s="1" t="str">
        <f>IF(Protokoll_1p!I250="","",IF(VALUE(LEFT(Protokoll_1p!I250,FIND(":",Protokoll_1p!I250)-1))&gt;VALUE(RIGHT(Protokoll_1p!I250,LEN(Protokoll_1p!I250)-FIND(":",Protokoll_1p!I250))),1,0))</f>
        <v/>
      </c>
      <c r="F284" s="1" t="str">
        <f>IF(Protokoll_1p!J250="","",IF(VALUE(LEFT(Protokoll_1p!J250,FIND(":",Protokoll_1p!J250)-1))&gt;VALUE(RIGHT(Protokoll_1p!J250,LEN(Protokoll_1p!J250)-FIND(":",Protokoll_1p!J250))),1,0))</f>
        <v/>
      </c>
      <c r="G284" s="1" t="str">
        <f t="shared" si="8"/>
        <v/>
      </c>
      <c r="I284" s="1" t="str">
        <f>IF(Protokoll_1p!F250="","",IF(VALUE(LEFT(Protokoll_1p!F250,FIND(":",Protokoll_1p!F250)-1))&gt;VALUE(RIGHT(Protokoll_1p!F250,LEN(Protokoll_1p!F250)-FIND(":",Protokoll_1p!F250))),0,1))</f>
        <v/>
      </c>
      <c r="J284" s="1" t="str">
        <f>IF(Protokoll_1p!G250="","",IF(VALUE(LEFT(Protokoll_1p!G250,FIND(":",Protokoll_1p!G250)-1))&gt;VALUE(RIGHT(Protokoll_1p!G250,LEN(Protokoll_1p!G250)-FIND(":",Protokoll_1p!G250))),0,1))</f>
        <v/>
      </c>
      <c r="K284" s="1" t="str">
        <f>IF(Protokoll_1p!H250="","",IF(VALUE(LEFT(Protokoll_1p!H250,FIND(":",Protokoll_1p!H250)-1))&gt;VALUE(RIGHT(Protokoll_1p!H250,LEN(Protokoll_1p!H250)-FIND(":",Protokoll_1p!H250))),0,1))</f>
        <v/>
      </c>
      <c r="L284" s="1" t="str">
        <f>IF(Protokoll_1p!I250="","",IF(VALUE(LEFT(Protokoll_1p!I250,FIND(":",Protokoll_1p!I250)-1))&gt;VALUE(RIGHT(Protokoll_1p!I250,LEN(Protokoll_1p!I250)-FIND(":",Protokoll_1p!I250))),0,1))</f>
        <v/>
      </c>
      <c r="M284" s="1" t="str">
        <f>IF(Protokoll_1p!J250="","",IF(VALUE(LEFT(Protokoll_1p!J250,FIND(":",Protokoll_1p!J250)-1))&gt;VALUE(RIGHT(Protokoll_1p!J250,LEN(Protokoll_1p!J250)-FIND(":",Protokoll_1p!J250))),0,1))</f>
        <v/>
      </c>
      <c r="N284" s="1" t="str">
        <f t="shared" si="9"/>
        <v/>
      </c>
    </row>
    <row r="285" spans="2:14">
      <c r="B285" s="1" t="str">
        <f>IF(Protokoll_1p!F251="","",IF(VALUE(LEFT(Protokoll_1p!F251,FIND(":",Protokoll_1p!F251)-1))&gt;VALUE(RIGHT(Protokoll_1p!F251,LEN(Protokoll_1p!F251)-FIND(":",Protokoll_1p!F251))),1,0))</f>
        <v/>
      </c>
      <c r="C285" s="1" t="str">
        <f>IF(Protokoll_1p!G251="","",IF(VALUE(LEFT(Protokoll_1p!G251,FIND(":",Protokoll_1p!G251)-1))&gt;VALUE(RIGHT(Protokoll_1p!G251,LEN(Protokoll_1p!G251)-FIND(":",Protokoll_1p!G251))),1,0))</f>
        <v/>
      </c>
      <c r="D285" s="1" t="str">
        <f>IF(Protokoll_1p!H251="","",IF(VALUE(LEFT(Protokoll_1p!H251,FIND(":",Protokoll_1p!H251)-1))&gt;VALUE(RIGHT(Protokoll_1p!H251,LEN(Protokoll_1p!H251)-FIND(":",Protokoll_1p!H251))),1,0))</f>
        <v/>
      </c>
      <c r="E285" s="1" t="str">
        <f>IF(Protokoll_1p!I251="","",IF(VALUE(LEFT(Protokoll_1p!I251,FIND(":",Protokoll_1p!I251)-1))&gt;VALUE(RIGHT(Protokoll_1p!I251,LEN(Protokoll_1p!I251)-FIND(":",Protokoll_1p!I251))),1,0))</f>
        <v/>
      </c>
      <c r="F285" s="1" t="str">
        <f>IF(Protokoll_1p!J251="","",IF(VALUE(LEFT(Protokoll_1p!J251,FIND(":",Protokoll_1p!J251)-1))&gt;VALUE(RIGHT(Protokoll_1p!J251,LEN(Protokoll_1p!J251)-FIND(":",Protokoll_1p!J251))),1,0))</f>
        <v/>
      </c>
      <c r="G285" s="1" t="str">
        <f t="shared" si="8"/>
        <v/>
      </c>
      <c r="I285" s="1" t="str">
        <f>IF(Protokoll_1p!F251="","",IF(VALUE(LEFT(Protokoll_1p!F251,FIND(":",Protokoll_1p!F251)-1))&gt;VALUE(RIGHT(Protokoll_1p!F251,LEN(Protokoll_1p!F251)-FIND(":",Protokoll_1p!F251))),0,1))</f>
        <v/>
      </c>
      <c r="J285" s="1" t="str">
        <f>IF(Protokoll_1p!G251="","",IF(VALUE(LEFT(Protokoll_1p!G251,FIND(":",Protokoll_1p!G251)-1))&gt;VALUE(RIGHT(Protokoll_1p!G251,LEN(Protokoll_1p!G251)-FIND(":",Protokoll_1p!G251))),0,1))</f>
        <v/>
      </c>
      <c r="K285" s="1" t="str">
        <f>IF(Protokoll_1p!H251="","",IF(VALUE(LEFT(Protokoll_1p!H251,FIND(":",Protokoll_1p!H251)-1))&gt;VALUE(RIGHT(Protokoll_1p!H251,LEN(Protokoll_1p!H251)-FIND(":",Protokoll_1p!H251))),0,1))</f>
        <v/>
      </c>
      <c r="L285" s="1" t="str">
        <f>IF(Protokoll_1p!I251="","",IF(VALUE(LEFT(Protokoll_1p!I251,FIND(":",Protokoll_1p!I251)-1))&gt;VALUE(RIGHT(Protokoll_1p!I251,LEN(Protokoll_1p!I251)-FIND(":",Protokoll_1p!I251))),0,1))</f>
        <v/>
      </c>
      <c r="M285" s="1" t="str">
        <f>IF(Protokoll_1p!J251="","",IF(VALUE(LEFT(Protokoll_1p!J251,FIND(":",Protokoll_1p!J251)-1))&gt;VALUE(RIGHT(Protokoll_1p!J251,LEN(Protokoll_1p!J251)-FIND(":",Protokoll_1p!J251))),0,1))</f>
        <v/>
      </c>
      <c r="N285" s="1" t="str">
        <f t="shared" si="9"/>
        <v/>
      </c>
    </row>
    <row r="286" spans="2:14">
      <c r="B286" s="1" t="str">
        <f>IF(Protokoll_1p!F257="","",IF(VALUE(LEFT(Protokoll_1p!F257,FIND(":",Protokoll_1p!F257)-1))&gt;VALUE(RIGHT(Protokoll_1p!F257,LEN(Protokoll_1p!F257)-FIND(":",Protokoll_1p!F257))),1,0))</f>
        <v/>
      </c>
      <c r="C286" s="1" t="str">
        <f>IF(Protokoll_1p!G257="","",IF(VALUE(LEFT(Protokoll_1p!G257,FIND(":",Protokoll_1p!G257)-1))&gt;VALUE(RIGHT(Protokoll_1p!G257,LEN(Protokoll_1p!G257)-FIND(":",Protokoll_1p!G257))),1,0))</f>
        <v/>
      </c>
      <c r="D286" s="1" t="str">
        <f>IF(Protokoll_1p!H257="","",IF(VALUE(LEFT(Protokoll_1p!H257,FIND(":",Protokoll_1p!H257)-1))&gt;VALUE(RIGHT(Protokoll_1p!H257,LEN(Protokoll_1p!H257)-FIND(":",Protokoll_1p!H257))),1,0))</f>
        <v/>
      </c>
      <c r="E286" s="1" t="str">
        <f>IF(Protokoll_1p!I257="","",IF(VALUE(LEFT(Protokoll_1p!I257,FIND(":",Protokoll_1p!I257)-1))&gt;VALUE(RIGHT(Protokoll_1p!I257,LEN(Protokoll_1p!I257)-FIND(":",Protokoll_1p!I257))),1,0))</f>
        <v/>
      </c>
      <c r="F286" s="1" t="str">
        <f>IF(Protokoll_1p!J257="","",IF(VALUE(LEFT(Protokoll_1p!J257,FIND(":",Protokoll_1p!J257)-1))&gt;VALUE(RIGHT(Protokoll_1p!J257,LEN(Protokoll_1p!J257)-FIND(":",Protokoll_1p!J257))),1,0))</f>
        <v/>
      </c>
      <c r="G286" s="1" t="str">
        <f t="shared" ref="G286" si="10">IF(B286="","",SUM(B286:F286))</f>
        <v/>
      </c>
      <c r="I286" s="1" t="str">
        <f>IF(Protokoll_1p!F257="","",IF(VALUE(LEFT(Protokoll_1p!F257,FIND(":",Protokoll_1p!F257)-1))&gt;VALUE(RIGHT(Protokoll_1p!F257,LEN(Protokoll_1p!F257)-FIND(":",Protokoll_1p!F257))),0,1))</f>
        <v/>
      </c>
      <c r="J286" s="1" t="str">
        <f>IF(Protokoll_1p!G257="","",IF(VALUE(LEFT(Protokoll_1p!G257,FIND(":",Protokoll_1p!G257)-1))&gt;VALUE(RIGHT(Protokoll_1p!G257,LEN(Protokoll_1p!G257)-FIND(":",Protokoll_1p!G257))),0,1))</f>
        <v/>
      </c>
      <c r="K286" s="1" t="str">
        <f>IF(Protokoll_1p!H257="","",IF(VALUE(LEFT(Protokoll_1p!H257,FIND(":",Protokoll_1p!H257)-1))&gt;VALUE(RIGHT(Protokoll_1p!H257,LEN(Protokoll_1p!H257)-FIND(":",Protokoll_1p!H257))),0,1))</f>
        <v/>
      </c>
      <c r="L286" s="1" t="str">
        <f>IF(Protokoll_1p!I257="","",IF(VALUE(LEFT(Protokoll_1p!I257,FIND(":",Protokoll_1p!I257)-1))&gt;VALUE(RIGHT(Protokoll_1p!I257,LEN(Protokoll_1p!I257)-FIND(":",Protokoll_1p!I257))),0,1))</f>
        <v/>
      </c>
      <c r="M286" s="1" t="str">
        <f>IF(Protokoll_1p!J257="","",IF(VALUE(LEFT(Protokoll_1p!J257,FIND(":",Protokoll_1p!J257)-1))&gt;VALUE(RIGHT(Protokoll_1p!J257,LEN(Protokoll_1p!J257)-FIND(":",Protokoll_1p!J257))),0,1))</f>
        <v/>
      </c>
      <c r="N286" s="1" t="str">
        <f t="shared" ref="N286" si="11">IF(I286="","",SUM(I286:M286))</f>
        <v/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C9E73-5D41-433D-A7CB-307FF6C9FB15}">
  <dimension ref="B1:N286"/>
  <sheetViews>
    <sheetView workbookViewId="0">
      <selection activeCell="A2" sqref="A2"/>
    </sheetView>
  </sheetViews>
  <sheetFormatPr defaultColWidth="3.28515625" defaultRowHeight="15"/>
  <cols>
    <col min="2" max="4" width="8.5703125" customWidth="1"/>
    <col min="5" max="6" width="8.5703125" style="52" customWidth="1"/>
    <col min="7" max="7" width="8.42578125" bestFit="1" customWidth="1"/>
    <col min="9" max="14" width="8.42578125" bestFit="1" customWidth="1"/>
    <col min="15" max="15" width="1.5703125" customWidth="1"/>
  </cols>
  <sheetData>
    <row r="1" spans="2:14">
      <c r="B1" s="50"/>
      <c r="G1" t="s">
        <v>143</v>
      </c>
      <c r="N1" t="s">
        <v>144</v>
      </c>
    </row>
    <row r="2" spans="2:14">
      <c r="B2" s="1">
        <f>IF(Protokoll_2p!F8="","",IF(VALUE(LEFT(Protokoll_2p!F8,FIND(":",Protokoll_2p!F8)-1))&gt;VALUE(RIGHT(Protokoll_2p!F8,LEN(Protokoll_2p!F8)-FIND(":",Protokoll_2p!F8))),1,0))</f>
        <v>1</v>
      </c>
      <c r="C2" s="1">
        <f>IF(Protokoll_2p!G8="","",IF(VALUE(LEFT(Protokoll_2p!G8,FIND(":",Protokoll_2p!G8)-1))&gt;VALUE(RIGHT(Protokoll_2p!G8,LEN(Protokoll_2p!G8)-FIND(":",Protokoll_2p!G8))),1,0))</f>
        <v>1</v>
      </c>
      <c r="D2" s="1">
        <f>IF(Protokoll_2p!H8="","",IF(VALUE(LEFT(Protokoll_2p!H8,FIND(":",Protokoll_2p!H8)-1))&gt;VALUE(RIGHT(Protokoll_2p!H8,LEN(Protokoll_2p!H8)-FIND(":",Protokoll_2p!H8))),1,0))</f>
        <v>1</v>
      </c>
      <c r="E2" s="1" t="str">
        <f>IF(Protokoll_2p!I8="","",IF(VALUE(LEFT(Protokoll_2p!I8,FIND(":",Protokoll_2p!I8)-1))&gt;VALUE(RIGHT(Protokoll_2p!I8,LEN(Protokoll_2p!I8)-FIND(":",Protokoll_2p!I8))),1,0))</f>
        <v/>
      </c>
      <c r="F2" s="1" t="str">
        <f>IF(Protokoll_2p!J8="","",IF(VALUE(LEFT(Protokoll_2p!J8,FIND(":",Protokoll_2p!J8)-1))&gt;VALUE(RIGHT(Protokoll_2p!J8,LEN(Protokoll_2p!J8)-FIND(":",Protokoll_2p!J8))),1,0))</f>
        <v/>
      </c>
      <c r="G2" s="1">
        <f>IF(B2="","",SUM(B2:F2))</f>
        <v>3</v>
      </c>
      <c r="I2" s="1">
        <f>IF(Protokoll_2p!F8="","",IF(VALUE(LEFT(Protokoll_2p!F8,FIND(":",Protokoll_2p!F8)-1))&gt;VALUE(RIGHT(Protokoll_2p!F8,LEN(Protokoll_2p!F8)-FIND(":",Protokoll_2p!F8))),0,1))</f>
        <v>0</v>
      </c>
      <c r="J2" s="1">
        <f>IF(Protokoll_2p!G8="","",IF(VALUE(LEFT(Protokoll_2p!G8,FIND(":",Protokoll_2p!G8)-1))&gt;VALUE(RIGHT(Protokoll_2p!G8,LEN(Protokoll_2p!G8)-FIND(":",Protokoll_2p!G8))),0,1))</f>
        <v>0</v>
      </c>
      <c r="K2" s="1">
        <f>IF(Protokoll_2p!H8="","",IF(VALUE(LEFT(Protokoll_2p!H8,FIND(":",Protokoll_2p!H8)-1))&gt;VALUE(RIGHT(Protokoll_2p!H8,LEN(Protokoll_2p!H8)-FIND(":",Protokoll_2p!H8))),0,1))</f>
        <v>0</v>
      </c>
      <c r="L2" s="1" t="str">
        <f>IF(Protokoll_2p!I8="","",IF(VALUE(LEFT(Protokoll_2p!I8,FIND(":",Protokoll_2p!I8)-1))&gt;VALUE(RIGHT(Protokoll_2p!I8,LEN(Protokoll_2p!I8)-FIND(":",Protokoll_2p!I8))),0,1))</f>
        <v/>
      </c>
      <c r="M2" s="1" t="str">
        <f>IF(Protokoll_2p!J8="","",IF(VALUE(LEFT(Protokoll_2p!J8,FIND(":",Protokoll_2p!J8)-1))&gt;VALUE(RIGHT(Protokoll_2p!J8,LEN(Protokoll_2p!J8)-FIND(":",Protokoll_2p!J8))),0,1))</f>
        <v/>
      </c>
      <c r="N2" s="1">
        <f>IF(I2="","",SUM(I2:M2))</f>
        <v>0</v>
      </c>
    </row>
    <row r="3" spans="2:14">
      <c r="B3" s="1">
        <f>IF(Protokoll_2p!F9="","",IF(VALUE(LEFT(Protokoll_2p!F9,FIND(":",Protokoll_2p!F9)-1))&gt;VALUE(RIGHT(Protokoll_2p!F9,LEN(Protokoll_2p!F9)-FIND(":",Protokoll_2p!F9))),1,0))</f>
        <v>0</v>
      </c>
      <c r="C3" s="1">
        <f>IF(Protokoll_2p!G9="","",IF(VALUE(LEFT(Protokoll_2p!G9,FIND(":",Protokoll_2p!G9)-1))&gt;VALUE(RIGHT(Protokoll_2p!G9,LEN(Protokoll_2p!G9)-FIND(":",Protokoll_2p!G9))),1,0))</f>
        <v>0</v>
      </c>
      <c r="D3" s="1">
        <f>IF(Protokoll_2p!H9="","",IF(VALUE(LEFT(Protokoll_2p!H9,FIND(":",Protokoll_2p!H9)-1))&gt;VALUE(RIGHT(Protokoll_2p!H9,LEN(Protokoll_2p!H9)-FIND(":",Protokoll_2p!H9))),1,0))</f>
        <v>1</v>
      </c>
      <c r="E3" s="1">
        <f>IF(Protokoll_2p!I9="","",IF(VALUE(LEFT(Protokoll_2p!I9,FIND(":",Protokoll_2p!I9)-1))&gt;VALUE(RIGHT(Protokoll_2p!I9,LEN(Protokoll_2p!I9)-FIND(":",Protokoll_2p!I9))),1,0))</f>
        <v>1</v>
      </c>
      <c r="F3" s="1">
        <f>IF(Protokoll_2p!J9="","",IF(VALUE(LEFT(Protokoll_2p!J9,FIND(":",Protokoll_2p!J9)-1))&gt;VALUE(RIGHT(Protokoll_2p!J9,LEN(Protokoll_2p!J9)-FIND(":",Protokoll_2p!J9))),1,0))</f>
        <v>1</v>
      </c>
      <c r="G3" s="1">
        <f t="shared" ref="G3:G66" si="0">IF(B3="","",SUM(B3:F3))</f>
        <v>3</v>
      </c>
      <c r="I3" s="1">
        <f>IF(Protokoll_2p!F9="","",IF(VALUE(LEFT(Protokoll_2p!F9,FIND(":",Protokoll_2p!F9)-1))&gt;VALUE(RIGHT(Protokoll_2p!F9,LEN(Protokoll_2p!F9)-FIND(":",Protokoll_2p!F9))),0,1))</f>
        <v>1</v>
      </c>
      <c r="J3" s="1">
        <f>IF(Protokoll_2p!G9="","",IF(VALUE(LEFT(Protokoll_2p!G9,FIND(":",Protokoll_2p!G9)-1))&gt;VALUE(RIGHT(Protokoll_2p!G9,LEN(Protokoll_2p!G9)-FIND(":",Protokoll_2p!G9))),0,1))</f>
        <v>1</v>
      </c>
      <c r="K3" s="1">
        <f>IF(Protokoll_2p!H9="","",IF(VALUE(LEFT(Protokoll_2p!H9,FIND(":",Protokoll_2p!H9)-1))&gt;VALUE(RIGHT(Protokoll_2p!H9,LEN(Protokoll_2p!H9)-FIND(":",Protokoll_2p!H9))),0,1))</f>
        <v>0</v>
      </c>
      <c r="L3" s="1">
        <f>IF(Protokoll_2p!I9="","",IF(VALUE(LEFT(Protokoll_2p!I9,FIND(":",Protokoll_2p!I9)-1))&gt;VALUE(RIGHT(Protokoll_2p!I9,LEN(Protokoll_2p!I9)-FIND(":",Protokoll_2p!I9))),0,1))</f>
        <v>0</v>
      </c>
      <c r="M3" s="1">
        <f>IF(Protokoll_2p!J9="","",IF(VALUE(LEFT(Protokoll_2p!J9,FIND(":",Protokoll_2p!J9)-1))&gt;VALUE(RIGHT(Protokoll_2p!J9,LEN(Protokoll_2p!J9)-FIND(":",Protokoll_2p!J9))),0,1))</f>
        <v>0</v>
      </c>
      <c r="N3" s="1">
        <f t="shared" ref="N3:N66" si="1">IF(I3="","",SUM(I3:M3))</f>
        <v>2</v>
      </c>
    </row>
    <row r="4" spans="2:14">
      <c r="B4" s="1">
        <f>IF(Protokoll_2p!F10="","",IF(VALUE(LEFT(Protokoll_2p!F10,FIND(":",Protokoll_2p!F10)-1))&gt;VALUE(RIGHT(Protokoll_2p!F10,LEN(Protokoll_2p!F10)-FIND(":",Protokoll_2p!F10))),1,0))</f>
        <v>1</v>
      </c>
      <c r="C4" s="1">
        <f>IF(Protokoll_2p!G10="","",IF(VALUE(LEFT(Protokoll_2p!G10,FIND(":",Protokoll_2p!G10)-1))&gt;VALUE(RIGHT(Protokoll_2p!G10,LEN(Protokoll_2p!G10)-FIND(":",Protokoll_2p!G10))),1,0))</f>
        <v>1</v>
      </c>
      <c r="D4" s="1">
        <f>IF(Protokoll_2p!H10="","",IF(VALUE(LEFT(Protokoll_2p!H10,FIND(":",Protokoll_2p!H10)-1))&gt;VALUE(RIGHT(Protokoll_2p!H10,LEN(Protokoll_2p!H10)-FIND(":",Protokoll_2p!H10))),1,0))</f>
        <v>1</v>
      </c>
      <c r="E4" s="1" t="str">
        <f>IF(Protokoll_2p!I10="","",IF(VALUE(LEFT(Protokoll_2p!I10,FIND(":",Protokoll_2p!I10)-1))&gt;VALUE(RIGHT(Protokoll_2p!I10,LEN(Protokoll_2p!I10)-FIND(":",Protokoll_2p!I10))),1,0))</f>
        <v/>
      </c>
      <c r="F4" s="1" t="str">
        <f>IF(Protokoll_2p!J10="","",IF(VALUE(LEFT(Protokoll_2p!J10,FIND(":",Protokoll_2p!J10)-1))&gt;VALUE(RIGHT(Protokoll_2p!J10,LEN(Protokoll_2p!J10)-FIND(":",Protokoll_2p!J10))),1,0))</f>
        <v/>
      </c>
      <c r="G4" s="1">
        <f t="shared" si="0"/>
        <v>3</v>
      </c>
      <c r="I4" s="1">
        <f>IF(Protokoll_2p!F10="","",IF(VALUE(LEFT(Protokoll_2p!F10,FIND(":",Protokoll_2p!F10)-1))&gt;VALUE(RIGHT(Protokoll_2p!F10,LEN(Protokoll_2p!F10)-FIND(":",Protokoll_2p!F10))),0,1))</f>
        <v>0</v>
      </c>
      <c r="J4" s="1">
        <f>IF(Protokoll_2p!G10="","",IF(VALUE(LEFT(Protokoll_2p!G10,FIND(":",Protokoll_2p!G10)-1))&gt;VALUE(RIGHT(Protokoll_2p!G10,LEN(Protokoll_2p!G10)-FIND(":",Protokoll_2p!G10))),0,1))</f>
        <v>0</v>
      </c>
      <c r="K4" s="1">
        <f>IF(Protokoll_2p!H10="","",IF(VALUE(LEFT(Protokoll_2p!H10,FIND(":",Protokoll_2p!H10)-1))&gt;VALUE(RIGHT(Protokoll_2p!H10,LEN(Protokoll_2p!H10)-FIND(":",Protokoll_2p!H10))),0,1))</f>
        <v>0</v>
      </c>
      <c r="L4" s="1" t="str">
        <f>IF(Protokoll_2p!I10="","",IF(VALUE(LEFT(Protokoll_2p!I10,FIND(":",Protokoll_2p!I10)-1))&gt;VALUE(RIGHT(Protokoll_2p!I10,LEN(Protokoll_2p!I10)-FIND(":",Protokoll_2p!I10))),0,1))</f>
        <v/>
      </c>
      <c r="M4" s="1" t="str">
        <f>IF(Protokoll_2p!J10="","",IF(VALUE(LEFT(Protokoll_2p!J10,FIND(":",Protokoll_2p!J10)-1))&gt;VALUE(RIGHT(Protokoll_2p!J10,LEN(Protokoll_2p!J10)-FIND(":",Protokoll_2p!J10))),0,1))</f>
        <v/>
      </c>
      <c r="N4" s="1">
        <f t="shared" si="1"/>
        <v>0</v>
      </c>
    </row>
    <row r="5" spans="2:14">
      <c r="B5" s="1">
        <f>IF(Protokoll_2p!F11="","",IF(VALUE(LEFT(Protokoll_2p!F11,FIND(":",Protokoll_2p!F11)-1))&gt;VALUE(RIGHT(Protokoll_2p!F11,LEN(Protokoll_2p!F11)-FIND(":",Protokoll_2p!F11))),1,0))</f>
        <v>0</v>
      </c>
      <c r="C5" s="1">
        <f>IF(Protokoll_2p!G11="","",IF(VALUE(LEFT(Protokoll_2p!G11,FIND(":",Protokoll_2p!G11)-1))&gt;VALUE(RIGHT(Protokoll_2p!G11,LEN(Protokoll_2p!G11)-FIND(":",Protokoll_2p!G11))),1,0))</f>
        <v>1</v>
      </c>
      <c r="D5" s="1">
        <f>IF(Protokoll_2p!H11="","",IF(VALUE(LEFT(Protokoll_2p!H11,FIND(":",Protokoll_2p!H11)-1))&gt;VALUE(RIGHT(Protokoll_2p!H11,LEN(Protokoll_2p!H11)-FIND(":",Protokoll_2p!H11))),1,0))</f>
        <v>1</v>
      </c>
      <c r="E5" s="1">
        <f>IF(Protokoll_2p!I11="","",IF(VALUE(LEFT(Protokoll_2p!I11,FIND(":",Protokoll_2p!I11)-1))&gt;VALUE(RIGHT(Protokoll_2p!I11,LEN(Protokoll_2p!I11)-FIND(":",Protokoll_2p!I11))),1,0))</f>
        <v>0</v>
      </c>
      <c r="F5" s="1">
        <f>IF(Protokoll_2p!J11="","",IF(VALUE(LEFT(Protokoll_2p!J11,FIND(":",Protokoll_2p!J11)-1))&gt;VALUE(RIGHT(Protokoll_2p!J11,LEN(Protokoll_2p!J11)-FIND(":",Protokoll_2p!J11))),1,0))</f>
        <v>1</v>
      </c>
      <c r="G5" s="1">
        <f t="shared" si="0"/>
        <v>3</v>
      </c>
      <c r="I5" s="1">
        <f>IF(Protokoll_2p!F11="","",IF(VALUE(LEFT(Protokoll_2p!F11,FIND(":",Protokoll_2p!F11)-1))&gt;VALUE(RIGHT(Protokoll_2p!F11,LEN(Protokoll_2p!F11)-FIND(":",Protokoll_2p!F11))),0,1))</f>
        <v>1</v>
      </c>
      <c r="J5" s="1">
        <f>IF(Protokoll_2p!G11="","",IF(VALUE(LEFT(Protokoll_2p!G11,FIND(":",Protokoll_2p!G11)-1))&gt;VALUE(RIGHT(Protokoll_2p!G11,LEN(Protokoll_2p!G11)-FIND(":",Protokoll_2p!G11))),0,1))</f>
        <v>0</v>
      </c>
      <c r="K5" s="1">
        <f>IF(Protokoll_2p!H11="","",IF(VALUE(LEFT(Protokoll_2p!H11,FIND(":",Protokoll_2p!H11)-1))&gt;VALUE(RIGHT(Protokoll_2p!H11,LEN(Protokoll_2p!H11)-FIND(":",Protokoll_2p!H11))),0,1))</f>
        <v>0</v>
      </c>
      <c r="L5" s="1">
        <f>IF(Protokoll_2p!I11="","",IF(VALUE(LEFT(Protokoll_2p!I11,FIND(":",Protokoll_2p!I11)-1))&gt;VALUE(RIGHT(Protokoll_2p!I11,LEN(Protokoll_2p!I11)-FIND(":",Protokoll_2p!I11))),0,1))</f>
        <v>1</v>
      </c>
      <c r="M5" s="1">
        <f>IF(Protokoll_2p!J11="","",IF(VALUE(LEFT(Protokoll_2p!J11,FIND(":",Protokoll_2p!J11)-1))&gt;VALUE(RIGHT(Protokoll_2p!J11,LEN(Protokoll_2p!J11)-FIND(":",Protokoll_2p!J11))),0,1))</f>
        <v>0</v>
      </c>
      <c r="N5" s="1">
        <f t="shared" si="1"/>
        <v>2</v>
      </c>
    </row>
    <row r="6" spans="2:14">
      <c r="B6" s="1" t="str">
        <f>IF(Protokoll_2p!F12="","",IF(VALUE(LEFT(Protokoll_2p!F12,FIND(":",Protokoll_2p!F12)-1))&gt;VALUE(RIGHT(Protokoll_2p!F12,LEN(Protokoll_2p!F12)-FIND(":",Protokoll_2p!F12))),1,0))</f>
        <v/>
      </c>
      <c r="C6" s="1" t="str">
        <f>IF(Protokoll_2p!G12="","",IF(VALUE(LEFT(Protokoll_2p!G12,FIND(":",Protokoll_2p!G12)-1))&gt;VALUE(RIGHT(Protokoll_2p!G12,LEN(Protokoll_2p!G12)-FIND(":",Protokoll_2p!G12))),1,0))</f>
        <v/>
      </c>
      <c r="D6" s="1" t="str">
        <f>IF(Protokoll_2p!H12="","",IF(VALUE(LEFT(Protokoll_2p!H12,FIND(":",Protokoll_2p!H12)-1))&gt;VALUE(RIGHT(Protokoll_2p!H12,LEN(Protokoll_2p!H12)-FIND(":",Protokoll_2p!H12))),1,0))</f>
        <v/>
      </c>
      <c r="E6" s="1" t="str">
        <f>IF(Protokoll_2p!I12="","",IF(VALUE(LEFT(Protokoll_2p!I12,FIND(":",Protokoll_2p!I12)-1))&gt;VALUE(RIGHT(Protokoll_2p!I12,LEN(Protokoll_2p!I12)-FIND(":",Protokoll_2p!I12))),1,0))</f>
        <v/>
      </c>
      <c r="F6" s="1" t="str">
        <f>IF(Protokoll_2p!J12="","",IF(VALUE(LEFT(Protokoll_2p!J12,FIND(":",Protokoll_2p!J12)-1))&gt;VALUE(RIGHT(Protokoll_2p!J12,LEN(Protokoll_2p!J12)-FIND(":",Protokoll_2p!J12))),1,0))</f>
        <v/>
      </c>
      <c r="G6" s="1" t="str">
        <f t="shared" si="0"/>
        <v/>
      </c>
      <c r="I6" s="1" t="str">
        <f>IF(Protokoll_2p!F12="","",IF(VALUE(LEFT(Protokoll_2p!F12,FIND(":",Protokoll_2p!F12)-1))&gt;VALUE(RIGHT(Protokoll_2p!F12,LEN(Protokoll_2p!F12)-FIND(":",Protokoll_2p!F12))),0,1))</f>
        <v/>
      </c>
      <c r="J6" s="1" t="str">
        <f>IF(Protokoll_2p!G12="","",IF(VALUE(LEFT(Protokoll_2p!G12,FIND(":",Protokoll_2p!G12)-1))&gt;VALUE(RIGHT(Protokoll_2p!G12,LEN(Protokoll_2p!G12)-FIND(":",Protokoll_2p!G12))),0,1))</f>
        <v/>
      </c>
      <c r="K6" s="1" t="str">
        <f>IF(Protokoll_2p!H12="","",IF(VALUE(LEFT(Protokoll_2p!H12,FIND(":",Protokoll_2p!H12)-1))&gt;VALUE(RIGHT(Protokoll_2p!H12,LEN(Protokoll_2p!H12)-FIND(":",Protokoll_2p!H12))),0,1))</f>
        <v/>
      </c>
      <c r="L6" s="1" t="str">
        <f>IF(Protokoll_2p!I12="","",IF(VALUE(LEFT(Protokoll_2p!I12,FIND(":",Protokoll_2p!I12)-1))&gt;VALUE(RIGHT(Protokoll_2p!I12,LEN(Protokoll_2p!I12)-FIND(":",Protokoll_2p!I12))),0,1))</f>
        <v/>
      </c>
      <c r="M6" s="1" t="str">
        <f>IF(Protokoll_2p!J12="","",IF(VALUE(LEFT(Protokoll_2p!J12,FIND(":",Protokoll_2p!J12)-1))&gt;VALUE(RIGHT(Protokoll_2p!J12,LEN(Protokoll_2p!J12)-FIND(":",Protokoll_2p!J12))),0,1))</f>
        <v/>
      </c>
      <c r="N6" s="1" t="str">
        <f t="shared" si="1"/>
        <v/>
      </c>
    </row>
    <row r="7" spans="2:14">
      <c r="B7" s="1" t="str">
        <f>IF(Protokoll_2p!F13="","",IF(VALUE(LEFT(Protokoll_2p!F13,FIND(":",Protokoll_2p!F13)-1))&gt;VALUE(RIGHT(Protokoll_2p!F13,LEN(Protokoll_2p!F13)-FIND(":",Protokoll_2p!F13))),1,0))</f>
        <v/>
      </c>
      <c r="C7" s="1" t="str">
        <f>IF(Protokoll_2p!G13="","",IF(VALUE(LEFT(Protokoll_2p!G13,FIND(":",Protokoll_2p!G13)-1))&gt;VALUE(RIGHT(Protokoll_2p!G13,LEN(Protokoll_2p!G13)-FIND(":",Protokoll_2p!G13))),1,0))</f>
        <v/>
      </c>
      <c r="D7" s="1" t="str">
        <f>IF(Protokoll_2p!H13="","",IF(VALUE(LEFT(Protokoll_2p!H13,FIND(":",Protokoll_2p!H13)-1))&gt;VALUE(RIGHT(Protokoll_2p!H13,LEN(Protokoll_2p!H13)-FIND(":",Protokoll_2p!H13))),1,0))</f>
        <v/>
      </c>
      <c r="E7" s="1" t="str">
        <f>IF(Protokoll_2p!I13="","",IF(VALUE(LEFT(Protokoll_2p!I13,FIND(":",Protokoll_2p!I13)-1))&gt;VALUE(RIGHT(Protokoll_2p!I13,LEN(Protokoll_2p!I13)-FIND(":",Protokoll_2p!I13))),1,0))</f>
        <v/>
      </c>
      <c r="F7" s="1" t="str">
        <f>IF(Protokoll_2p!J13="","",IF(VALUE(LEFT(Protokoll_2p!J13,FIND(":",Protokoll_2p!J13)-1))&gt;VALUE(RIGHT(Protokoll_2p!J13,LEN(Protokoll_2p!J13)-FIND(":",Protokoll_2p!J13))),1,0))</f>
        <v/>
      </c>
      <c r="G7" s="1" t="str">
        <f t="shared" si="0"/>
        <v/>
      </c>
      <c r="I7" s="1" t="str">
        <f>IF(Protokoll_2p!F13="","",IF(VALUE(LEFT(Protokoll_2p!F13,FIND(":",Protokoll_2p!F13)-1))&gt;VALUE(RIGHT(Protokoll_2p!F13,LEN(Protokoll_2p!F13)-FIND(":",Protokoll_2p!F13))),0,1))</f>
        <v/>
      </c>
      <c r="J7" s="1" t="str">
        <f>IF(Protokoll_2p!G13="","",IF(VALUE(LEFT(Protokoll_2p!G13,FIND(":",Protokoll_2p!G13)-1))&gt;VALUE(RIGHT(Protokoll_2p!G13,LEN(Protokoll_2p!G13)-FIND(":",Protokoll_2p!G13))),0,1))</f>
        <v/>
      </c>
      <c r="K7" s="1" t="str">
        <f>IF(Protokoll_2p!H13="","",IF(VALUE(LEFT(Protokoll_2p!H13,FIND(":",Protokoll_2p!H13)-1))&gt;VALUE(RIGHT(Protokoll_2p!H13,LEN(Protokoll_2p!H13)-FIND(":",Protokoll_2p!H13))),0,1))</f>
        <v/>
      </c>
      <c r="L7" s="1" t="str">
        <f>IF(Protokoll_2p!I13="","",IF(VALUE(LEFT(Protokoll_2p!I13,FIND(":",Protokoll_2p!I13)-1))&gt;VALUE(RIGHT(Protokoll_2p!I13,LEN(Protokoll_2p!I13)-FIND(":",Protokoll_2p!I13))),0,1))</f>
        <v/>
      </c>
      <c r="M7" s="1" t="str">
        <f>IF(Protokoll_2p!J13="","",IF(VALUE(LEFT(Protokoll_2p!J13,FIND(":",Protokoll_2p!J13)-1))&gt;VALUE(RIGHT(Protokoll_2p!J13,LEN(Protokoll_2p!J13)-FIND(":",Protokoll_2p!J13))),0,1))</f>
        <v/>
      </c>
      <c r="N7" s="1" t="str">
        <f t="shared" si="1"/>
        <v/>
      </c>
    </row>
    <row r="8" spans="2:14">
      <c r="B8" s="1" t="str">
        <f>IF(Protokoll_2p!F14="","",IF(VALUE(LEFT(Protokoll_2p!F14,FIND(":",Protokoll_2p!F14)-1))&gt;VALUE(RIGHT(Protokoll_2p!F14,LEN(Protokoll_2p!F14)-FIND(":",Protokoll_2p!F14))),1,0))</f>
        <v/>
      </c>
      <c r="C8" s="1" t="str">
        <f>IF(Protokoll_2p!G14="","",IF(VALUE(LEFT(Protokoll_2p!G14,FIND(":",Protokoll_2p!G14)-1))&gt;VALUE(RIGHT(Protokoll_2p!G14,LEN(Protokoll_2p!G14)-FIND(":",Protokoll_2p!G14))),1,0))</f>
        <v/>
      </c>
      <c r="D8" s="1" t="str">
        <f>IF(Protokoll_2p!H14="","",IF(VALUE(LEFT(Protokoll_2p!H14,FIND(":",Protokoll_2p!H14)-1))&gt;VALUE(RIGHT(Protokoll_2p!H14,LEN(Protokoll_2p!H14)-FIND(":",Protokoll_2p!H14))),1,0))</f>
        <v/>
      </c>
      <c r="E8" s="1" t="str">
        <f>IF(Protokoll_2p!I14="","",IF(VALUE(LEFT(Protokoll_2p!I14,FIND(":",Protokoll_2p!I14)-1))&gt;VALUE(RIGHT(Protokoll_2p!I14,LEN(Protokoll_2p!I14)-FIND(":",Protokoll_2p!I14))),1,0))</f>
        <v/>
      </c>
      <c r="F8" s="1" t="str">
        <f>IF(Protokoll_2p!J14="","",IF(VALUE(LEFT(Protokoll_2p!J14,FIND(":",Protokoll_2p!J14)-1))&gt;VALUE(RIGHT(Protokoll_2p!J14,LEN(Protokoll_2p!J14)-FIND(":",Protokoll_2p!J14))),1,0))</f>
        <v/>
      </c>
      <c r="G8" s="1" t="str">
        <f t="shared" si="0"/>
        <v/>
      </c>
      <c r="I8" s="1" t="str">
        <f>IF(Protokoll_2p!F14="","",IF(VALUE(LEFT(Protokoll_2p!F14,FIND(":",Protokoll_2p!F14)-1))&gt;VALUE(RIGHT(Protokoll_2p!F14,LEN(Protokoll_2p!F14)-FIND(":",Protokoll_2p!F14))),0,1))</f>
        <v/>
      </c>
      <c r="J8" s="1" t="str">
        <f>IF(Protokoll_2p!G14="","",IF(VALUE(LEFT(Protokoll_2p!G14,FIND(":",Protokoll_2p!G14)-1))&gt;VALUE(RIGHT(Protokoll_2p!G14,LEN(Protokoll_2p!G14)-FIND(":",Protokoll_2p!G14))),0,1))</f>
        <v/>
      </c>
      <c r="K8" s="1" t="str">
        <f>IF(Protokoll_2p!H14="","",IF(VALUE(LEFT(Protokoll_2p!H14,FIND(":",Protokoll_2p!H14)-1))&gt;VALUE(RIGHT(Protokoll_2p!H14,LEN(Protokoll_2p!H14)-FIND(":",Protokoll_2p!H14))),0,1))</f>
        <v/>
      </c>
      <c r="L8" s="1" t="str">
        <f>IF(Protokoll_2p!I14="","",IF(VALUE(LEFT(Protokoll_2p!I14,FIND(":",Protokoll_2p!I14)-1))&gt;VALUE(RIGHT(Protokoll_2p!I14,LEN(Protokoll_2p!I14)-FIND(":",Protokoll_2p!I14))),0,1))</f>
        <v/>
      </c>
      <c r="M8" s="1" t="str">
        <f>IF(Protokoll_2p!J14="","",IF(VALUE(LEFT(Protokoll_2p!J14,FIND(":",Protokoll_2p!J14)-1))&gt;VALUE(RIGHT(Protokoll_2p!J14,LEN(Protokoll_2p!J14)-FIND(":",Protokoll_2p!J14))),0,1))</f>
        <v/>
      </c>
      <c r="N8" s="1" t="str">
        <f t="shared" si="1"/>
        <v/>
      </c>
    </row>
    <row r="9" spans="2:14">
      <c r="B9" s="1" t="str">
        <f>IF(Protokoll_2p!F15="","",IF(VALUE(LEFT(Protokoll_2p!F15,FIND(":",Protokoll_2p!F15)-1))&gt;VALUE(RIGHT(Protokoll_2p!F15,LEN(Protokoll_2p!F15)-FIND(":",Protokoll_2p!F15))),1,0))</f>
        <v/>
      </c>
      <c r="C9" s="1" t="str">
        <f>IF(Protokoll_2p!G15="","",IF(VALUE(LEFT(Protokoll_2p!G15,FIND(":",Protokoll_2p!G15)-1))&gt;VALUE(RIGHT(Protokoll_2p!G15,LEN(Protokoll_2p!G15)-FIND(":",Protokoll_2p!G15))),1,0))</f>
        <v/>
      </c>
      <c r="D9" s="1" t="str">
        <f>IF(Protokoll_2p!H15="","",IF(VALUE(LEFT(Protokoll_2p!H15,FIND(":",Protokoll_2p!H15)-1))&gt;VALUE(RIGHT(Protokoll_2p!H15,LEN(Protokoll_2p!H15)-FIND(":",Protokoll_2p!H15))),1,0))</f>
        <v/>
      </c>
      <c r="E9" s="1" t="str">
        <f>IF(Protokoll_2p!I15="","",IF(VALUE(LEFT(Protokoll_2p!I15,FIND(":",Protokoll_2p!I15)-1))&gt;VALUE(RIGHT(Protokoll_2p!I15,LEN(Protokoll_2p!I15)-FIND(":",Protokoll_2p!I15))),1,0))</f>
        <v/>
      </c>
      <c r="F9" s="1" t="str">
        <f>IF(Protokoll_2p!J15="","",IF(VALUE(LEFT(Protokoll_2p!J15,FIND(":",Protokoll_2p!J15)-1))&gt;VALUE(RIGHT(Protokoll_2p!J15,LEN(Protokoll_2p!J15)-FIND(":",Protokoll_2p!J15))),1,0))</f>
        <v/>
      </c>
      <c r="G9" s="1" t="str">
        <f t="shared" si="0"/>
        <v/>
      </c>
      <c r="I9" s="1" t="str">
        <f>IF(Protokoll_2p!F15="","",IF(VALUE(LEFT(Protokoll_2p!F15,FIND(":",Protokoll_2p!F15)-1))&gt;VALUE(RIGHT(Protokoll_2p!F15,LEN(Protokoll_2p!F15)-FIND(":",Protokoll_2p!F15))),0,1))</f>
        <v/>
      </c>
      <c r="J9" s="1" t="str">
        <f>IF(Protokoll_2p!G15="","",IF(VALUE(LEFT(Protokoll_2p!G15,FIND(":",Protokoll_2p!G15)-1))&gt;VALUE(RIGHT(Protokoll_2p!G15,LEN(Protokoll_2p!G15)-FIND(":",Protokoll_2p!G15))),0,1))</f>
        <v/>
      </c>
      <c r="K9" s="1" t="str">
        <f>IF(Protokoll_2p!H15="","",IF(VALUE(LEFT(Protokoll_2p!H15,FIND(":",Protokoll_2p!H15)-1))&gt;VALUE(RIGHT(Protokoll_2p!H15,LEN(Protokoll_2p!H15)-FIND(":",Protokoll_2p!H15))),0,1))</f>
        <v/>
      </c>
      <c r="L9" s="1" t="str">
        <f>IF(Protokoll_2p!I15="","",IF(VALUE(LEFT(Protokoll_2p!I15,FIND(":",Protokoll_2p!I15)-1))&gt;VALUE(RIGHT(Protokoll_2p!I15,LEN(Protokoll_2p!I15)-FIND(":",Protokoll_2p!I15))),0,1))</f>
        <v/>
      </c>
      <c r="M9" s="1" t="str">
        <f>IF(Protokoll_2p!J15="","",IF(VALUE(LEFT(Protokoll_2p!J15,FIND(":",Protokoll_2p!J15)-1))&gt;VALUE(RIGHT(Protokoll_2p!J15,LEN(Protokoll_2p!J15)-FIND(":",Protokoll_2p!J15))),0,1))</f>
        <v/>
      </c>
      <c r="N9" s="1" t="str">
        <f t="shared" si="1"/>
        <v/>
      </c>
    </row>
    <row r="10" spans="2:14">
      <c r="B10" s="1" t="str">
        <f>IF(Protokoll_2p!F16="","",IF(VALUE(LEFT(Protokoll_2p!F16,FIND(":",Protokoll_2p!F16)-1))&gt;VALUE(RIGHT(Protokoll_2p!F16,LEN(Protokoll_2p!F16)-FIND(":",Protokoll_2p!F16))),1,0))</f>
        <v/>
      </c>
      <c r="C10" s="1" t="str">
        <f>IF(Protokoll_2p!G16="","",IF(VALUE(LEFT(Protokoll_2p!G16,FIND(":",Protokoll_2p!G16)-1))&gt;VALUE(RIGHT(Protokoll_2p!G16,LEN(Protokoll_2p!G16)-FIND(":",Protokoll_2p!G16))),1,0))</f>
        <v/>
      </c>
      <c r="D10" s="1" t="str">
        <f>IF(Protokoll_2p!H16="","",IF(VALUE(LEFT(Protokoll_2p!H16,FIND(":",Protokoll_2p!H16)-1))&gt;VALUE(RIGHT(Protokoll_2p!H16,LEN(Protokoll_2p!H16)-FIND(":",Protokoll_2p!H16))),1,0))</f>
        <v/>
      </c>
      <c r="E10" s="1" t="str">
        <f>IF(Protokoll_2p!I16="","",IF(VALUE(LEFT(Protokoll_2p!I16,FIND(":",Protokoll_2p!I16)-1))&gt;VALUE(RIGHT(Protokoll_2p!I16,LEN(Protokoll_2p!I16)-FIND(":",Protokoll_2p!I16))),1,0))</f>
        <v/>
      </c>
      <c r="F10" s="1" t="str">
        <f>IF(Protokoll_2p!J16="","",IF(VALUE(LEFT(Protokoll_2p!J16,FIND(":",Protokoll_2p!J16)-1))&gt;VALUE(RIGHT(Protokoll_2p!J16,LEN(Protokoll_2p!J16)-FIND(":",Protokoll_2p!J16))),1,0))</f>
        <v/>
      </c>
      <c r="G10" s="1" t="str">
        <f t="shared" si="0"/>
        <v/>
      </c>
      <c r="I10" s="1" t="str">
        <f>IF(Protokoll_2p!F16="","",IF(VALUE(LEFT(Protokoll_2p!F16,FIND(":",Protokoll_2p!F16)-1))&gt;VALUE(RIGHT(Protokoll_2p!F16,LEN(Protokoll_2p!F16)-FIND(":",Protokoll_2p!F16))),0,1))</f>
        <v/>
      </c>
      <c r="J10" s="1" t="str">
        <f>IF(Protokoll_2p!G16="","",IF(VALUE(LEFT(Protokoll_2p!G16,FIND(":",Protokoll_2p!G16)-1))&gt;VALUE(RIGHT(Protokoll_2p!G16,LEN(Protokoll_2p!G16)-FIND(":",Protokoll_2p!G16))),0,1))</f>
        <v/>
      </c>
      <c r="K10" s="1" t="str">
        <f>IF(Protokoll_2p!H16="","",IF(VALUE(LEFT(Protokoll_2p!H16,FIND(":",Protokoll_2p!H16)-1))&gt;VALUE(RIGHT(Protokoll_2p!H16,LEN(Protokoll_2p!H16)-FIND(":",Protokoll_2p!H16))),0,1))</f>
        <v/>
      </c>
      <c r="L10" s="1" t="str">
        <f>IF(Protokoll_2p!I16="","",IF(VALUE(LEFT(Protokoll_2p!I16,FIND(":",Protokoll_2p!I16)-1))&gt;VALUE(RIGHT(Protokoll_2p!I16,LEN(Protokoll_2p!I16)-FIND(":",Protokoll_2p!I16))),0,1))</f>
        <v/>
      </c>
      <c r="M10" s="1" t="str">
        <f>IF(Protokoll_2p!J16="","",IF(VALUE(LEFT(Protokoll_2p!J16,FIND(":",Protokoll_2p!J16)-1))&gt;VALUE(RIGHT(Protokoll_2p!J16,LEN(Protokoll_2p!J16)-FIND(":",Protokoll_2p!J16))),0,1))</f>
        <v/>
      </c>
      <c r="N10" s="1" t="str">
        <f t="shared" si="1"/>
        <v/>
      </c>
    </row>
    <row r="11" spans="2:14">
      <c r="B11" s="1" t="e">
        <f>IF(Protokoll_2p!F17="","",IF(VALUE(LEFT(Protokoll_2p!F17,FIND(":",Protokoll_2p!F17)-1))&gt;VALUE(RIGHT(Protokoll_2p!F17,LEN(Protokoll_2p!F17)-FIND(":",Protokoll_2p!F17))),1,0))</f>
        <v>#VALUE!</v>
      </c>
      <c r="C11" s="1" t="e">
        <f>IF(Protokoll_2p!G17="","",IF(VALUE(LEFT(Protokoll_2p!G17,FIND(":",Protokoll_2p!G17)-1))&gt;VALUE(RIGHT(Protokoll_2p!G17,LEN(Protokoll_2p!G17)-FIND(":",Protokoll_2p!G17))),1,0))</f>
        <v>#VALUE!</v>
      </c>
      <c r="D11" s="1" t="e">
        <f>IF(Protokoll_2p!H17="","",IF(VALUE(LEFT(Protokoll_2p!H17,FIND(":",Protokoll_2p!H17)-1))&gt;VALUE(RIGHT(Protokoll_2p!H17,LEN(Protokoll_2p!H17)-FIND(":",Protokoll_2p!H17))),1,0))</f>
        <v>#VALUE!</v>
      </c>
      <c r="E11" s="1" t="e">
        <f>IF(Protokoll_2p!I17="","",IF(VALUE(LEFT(Protokoll_2p!I17,FIND(":",Protokoll_2p!I17)-1))&gt;VALUE(RIGHT(Protokoll_2p!I17,LEN(Protokoll_2p!I17)-FIND(":",Protokoll_2p!I17))),1,0))</f>
        <v>#VALUE!</v>
      </c>
      <c r="F11" s="1" t="e">
        <f>IF(Protokoll_2p!J17="","",IF(VALUE(LEFT(Protokoll_2p!J17,FIND(":",Protokoll_2p!J17)-1))&gt;VALUE(RIGHT(Protokoll_2p!J17,LEN(Protokoll_2p!J17)-FIND(":",Protokoll_2p!J17))),1,0))</f>
        <v>#VALUE!</v>
      </c>
      <c r="G11" s="1" t="e">
        <f t="shared" si="0"/>
        <v>#VALUE!</v>
      </c>
      <c r="I11" s="1" t="e">
        <f>IF(Protokoll_2p!F17="","",IF(VALUE(LEFT(Protokoll_2p!F17,FIND(":",Protokoll_2p!F17)-1))&gt;VALUE(RIGHT(Protokoll_2p!F17,LEN(Protokoll_2p!F17)-FIND(":",Protokoll_2p!F17))),0,1))</f>
        <v>#VALUE!</v>
      </c>
      <c r="J11" s="1" t="e">
        <f>IF(Protokoll_2p!G17="","",IF(VALUE(LEFT(Protokoll_2p!G17,FIND(":",Protokoll_2p!G17)-1))&gt;VALUE(RIGHT(Protokoll_2p!G17,LEN(Protokoll_2p!G17)-FIND(":",Protokoll_2p!G17))),0,1))</f>
        <v>#VALUE!</v>
      </c>
      <c r="K11" s="1" t="e">
        <f>IF(Protokoll_2p!H17="","",IF(VALUE(LEFT(Protokoll_2p!H17,FIND(":",Protokoll_2p!H17)-1))&gt;VALUE(RIGHT(Protokoll_2p!H17,LEN(Protokoll_2p!H17)-FIND(":",Protokoll_2p!H17))),0,1))</f>
        <v>#VALUE!</v>
      </c>
      <c r="L11" s="1" t="e">
        <f>IF(Protokoll_2p!I17="","",IF(VALUE(LEFT(Protokoll_2p!I17,FIND(":",Protokoll_2p!I17)-1))&gt;VALUE(RIGHT(Protokoll_2p!I17,LEN(Protokoll_2p!I17)-FIND(":",Protokoll_2p!I17))),0,1))</f>
        <v>#VALUE!</v>
      </c>
      <c r="M11" s="1" t="e">
        <f>IF(Protokoll_2p!J17="","",IF(VALUE(LEFT(Protokoll_2p!J17,FIND(":",Protokoll_2p!J17)-1))&gt;VALUE(RIGHT(Protokoll_2p!J17,LEN(Protokoll_2p!J17)-FIND(":",Protokoll_2p!J17))),0,1))</f>
        <v>#VALUE!</v>
      </c>
      <c r="N11" s="1" t="e">
        <f t="shared" si="1"/>
        <v>#VALUE!</v>
      </c>
    </row>
    <row r="12" spans="2:14">
      <c r="B12" s="1">
        <f>IF(Protokoll_2p!F18="","",IF(VALUE(LEFT(Protokoll_2p!F18,FIND(":",Protokoll_2p!F18)-1))&gt;VALUE(RIGHT(Protokoll_2p!F18,LEN(Protokoll_2p!F18)-FIND(":",Protokoll_2p!F18))),1,0))</f>
        <v>1</v>
      </c>
      <c r="C12" s="1">
        <f>IF(Protokoll_2p!G18="","",IF(VALUE(LEFT(Protokoll_2p!G18,FIND(":",Protokoll_2p!G18)-1))&gt;VALUE(RIGHT(Protokoll_2p!G18,LEN(Protokoll_2p!G18)-FIND(":",Protokoll_2p!G18))),1,0))</f>
        <v>1</v>
      </c>
      <c r="D12" s="1">
        <f>IF(Protokoll_2p!H18="","",IF(VALUE(LEFT(Protokoll_2p!H18,FIND(":",Protokoll_2p!H18)-1))&gt;VALUE(RIGHT(Protokoll_2p!H18,LEN(Protokoll_2p!H18)-FIND(":",Protokoll_2p!H18))),1,0))</f>
        <v>1</v>
      </c>
      <c r="E12" s="1" t="str">
        <f>IF(Protokoll_2p!I18="","",IF(VALUE(LEFT(Protokoll_2p!I18,FIND(":",Protokoll_2p!I18)-1))&gt;VALUE(RIGHT(Protokoll_2p!I18,LEN(Protokoll_2p!I18)-FIND(":",Protokoll_2p!I18))),1,0))</f>
        <v/>
      </c>
      <c r="F12" s="1" t="str">
        <f>IF(Protokoll_2p!J18="","",IF(VALUE(LEFT(Protokoll_2p!J18,FIND(":",Protokoll_2p!J18)-1))&gt;VALUE(RIGHT(Protokoll_2p!J18,LEN(Protokoll_2p!J18)-FIND(":",Protokoll_2p!J18))),1,0))</f>
        <v/>
      </c>
      <c r="G12" s="1">
        <f t="shared" si="0"/>
        <v>3</v>
      </c>
      <c r="I12" s="1">
        <f>IF(Protokoll_2p!F18="","",IF(VALUE(LEFT(Protokoll_2p!F18,FIND(":",Protokoll_2p!F18)-1))&gt;VALUE(RIGHT(Protokoll_2p!F18,LEN(Protokoll_2p!F18)-FIND(":",Protokoll_2p!F18))),0,1))</f>
        <v>0</v>
      </c>
      <c r="J12" s="1">
        <f>IF(Protokoll_2p!G18="","",IF(VALUE(LEFT(Protokoll_2p!G18,FIND(":",Protokoll_2p!G18)-1))&gt;VALUE(RIGHT(Protokoll_2p!G18,LEN(Protokoll_2p!G18)-FIND(":",Protokoll_2p!G18))),0,1))</f>
        <v>0</v>
      </c>
      <c r="K12" s="1">
        <f>IF(Protokoll_2p!H18="","",IF(VALUE(LEFT(Protokoll_2p!H18,FIND(":",Protokoll_2p!H18)-1))&gt;VALUE(RIGHT(Protokoll_2p!H18,LEN(Protokoll_2p!H18)-FIND(":",Protokoll_2p!H18))),0,1))</f>
        <v>0</v>
      </c>
      <c r="L12" s="1" t="str">
        <f>IF(Protokoll_2p!I18="","",IF(VALUE(LEFT(Protokoll_2p!I18,FIND(":",Protokoll_2p!I18)-1))&gt;VALUE(RIGHT(Protokoll_2p!I18,LEN(Protokoll_2p!I18)-FIND(":",Protokoll_2p!I18))),0,1))</f>
        <v/>
      </c>
      <c r="M12" s="1" t="str">
        <f>IF(Protokoll_2p!J18="","",IF(VALUE(LEFT(Protokoll_2p!J18,FIND(":",Protokoll_2p!J18)-1))&gt;VALUE(RIGHT(Protokoll_2p!J18,LEN(Protokoll_2p!J18)-FIND(":",Protokoll_2p!J18))),0,1))</f>
        <v/>
      </c>
      <c r="N12" s="1">
        <f t="shared" si="1"/>
        <v>0</v>
      </c>
    </row>
    <row r="13" spans="2:14">
      <c r="B13" s="1">
        <f>IF(Protokoll_2p!F19="","",IF(VALUE(LEFT(Protokoll_2p!F19,FIND(":",Protokoll_2p!F19)-1))&gt;VALUE(RIGHT(Protokoll_2p!F19,LEN(Protokoll_2p!F19)-FIND(":",Protokoll_2p!F19))),1,0))</f>
        <v>1</v>
      </c>
      <c r="C13" s="1">
        <f>IF(Protokoll_2p!G19="","",IF(VALUE(LEFT(Protokoll_2p!G19,FIND(":",Protokoll_2p!G19)-1))&gt;VALUE(RIGHT(Protokoll_2p!G19,LEN(Protokoll_2p!G19)-FIND(":",Protokoll_2p!G19))),1,0))</f>
        <v>0</v>
      </c>
      <c r="D13" s="1">
        <f>IF(Protokoll_2p!H19="","",IF(VALUE(LEFT(Protokoll_2p!H19,FIND(":",Protokoll_2p!H19)-1))&gt;VALUE(RIGHT(Protokoll_2p!H19,LEN(Protokoll_2p!H19)-FIND(":",Protokoll_2p!H19))),1,0))</f>
        <v>1</v>
      </c>
      <c r="E13" s="1">
        <f>IF(Protokoll_2p!I19="","",IF(VALUE(LEFT(Protokoll_2p!I19,FIND(":",Protokoll_2p!I19)-1))&gt;VALUE(RIGHT(Protokoll_2p!I19,LEN(Protokoll_2p!I19)-FIND(":",Protokoll_2p!I19))),1,0))</f>
        <v>1</v>
      </c>
      <c r="F13" s="1" t="str">
        <f>IF(Protokoll_2p!J19="","",IF(VALUE(LEFT(Protokoll_2p!J19,FIND(":",Protokoll_2p!J19)-1))&gt;VALUE(RIGHT(Protokoll_2p!J19,LEN(Protokoll_2p!J19)-FIND(":",Protokoll_2p!J19))),1,0))</f>
        <v/>
      </c>
      <c r="G13" s="1">
        <f t="shared" si="0"/>
        <v>3</v>
      </c>
      <c r="I13" s="1">
        <f>IF(Protokoll_2p!F19="","",IF(VALUE(LEFT(Protokoll_2p!F19,FIND(":",Protokoll_2p!F19)-1))&gt;VALUE(RIGHT(Protokoll_2p!F19,LEN(Protokoll_2p!F19)-FIND(":",Protokoll_2p!F19))),0,1))</f>
        <v>0</v>
      </c>
      <c r="J13" s="1">
        <f>IF(Protokoll_2p!G19="","",IF(VALUE(LEFT(Protokoll_2p!G19,FIND(":",Protokoll_2p!G19)-1))&gt;VALUE(RIGHT(Protokoll_2p!G19,LEN(Protokoll_2p!G19)-FIND(":",Protokoll_2p!G19))),0,1))</f>
        <v>1</v>
      </c>
      <c r="K13" s="1">
        <f>IF(Protokoll_2p!H19="","",IF(VALUE(LEFT(Protokoll_2p!H19,FIND(":",Protokoll_2p!H19)-1))&gt;VALUE(RIGHT(Protokoll_2p!H19,LEN(Protokoll_2p!H19)-FIND(":",Protokoll_2p!H19))),0,1))</f>
        <v>0</v>
      </c>
      <c r="L13" s="1">
        <f>IF(Protokoll_2p!I19="","",IF(VALUE(LEFT(Protokoll_2p!I19,FIND(":",Protokoll_2p!I19)-1))&gt;VALUE(RIGHT(Protokoll_2p!I19,LEN(Protokoll_2p!I19)-FIND(":",Protokoll_2p!I19))),0,1))</f>
        <v>0</v>
      </c>
      <c r="M13" s="1" t="str">
        <f>IF(Protokoll_2p!J19="","",IF(VALUE(LEFT(Protokoll_2p!J19,FIND(":",Protokoll_2p!J19)-1))&gt;VALUE(RIGHT(Protokoll_2p!J19,LEN(Protokoll_2p!J19)-FIND(":",Protokoll_2p!J19))),0,1))</f>
        <v/>
      </c>
      <c r="N13" s="1">
        <f t="shared" si="1"/>
        <v>1</v>
      </c>
    </row>
    <row r="14" spans="2:14">
      <c r="B14" s="1">
        <f>IF(Protokoll_2p!F20="","",IF(VALUE(LEFT(Protokoll_2p!F20,FIND(":",Protokoll_2p!F20)-1))&gt;VALUE(RIGHT(Protokoll_2p!F20,LEN(Protokoll_2p!F20)-FIND(":",Protokoll_2p!F20))),1,0))</f>
        <v>1</v>
      </c>
      <c r="C14" s="1">
        <f>IF(Protokoll_2p!G20="","",IF(VALUE(LEFT(Protokoll_2p!G20,FIND(":",Protokoll_2p!G20)-1))&gt;VALUE(RIGHT(Protokoll_2p!G20,LEN(Protokoll_2p!G20)-FIND(":",Protokoll_2p!G20))),1,0))</f>
        <v>1</v>
      </c>
      <c r="D14" s="1">
        <f>IF(Protokoll_2p!H20="","",IF(VALUE(LEFT(Protokoll_2p!H20,FIND(":",Protokoll_2p!H20)-1))&gt;VALUE(RIGHT(Protokoll_2p!H20,LEN(Protokoll_2p!H20)-FIND(":",Protokoll_2p!H20))),1,0))</f>
        <v>1</v>
      </c>
      <c r="E14" s="1" t="str">
        <f>IF(Protokoll_2p!I20="","",IF(VALUE(LEFT(Protokoll_2p!I20,FIND(":",Protokoll_2p!I20)-1))&gt;VALUE(RIGHT(Protokoll_2p!I20,LEN(Protokoll_2p!I20)-FIND(":",Protokoll_2p!I20))),1,0))</f>
        <v/>
      </c>
      <c r="F14" s="1" t="str">
        <f>IF(Protokoll_2p!J20="","",IF(VALUE(LEFT(Protokoll_2p!J20,FIND(":",Protokoll_2p!J20)-1))&gt;VALUE(RIGHT(Protokoll_2p!J20,LEN(Protokoll_2p!J20)-FIND(":",Protokoll_2p!J20))),1,0))</f>
        <v/>
      </c>
      <c r="G14" s="1">
        <f t="shared" si="0"/>
        <v>3</v>
      </c>
      <c r="I14" s="1">
        <f>IF(Protokoll_2p!F20="","",IF(VALUE(LEFT(Protokoll_2p!F20,FIND(":",Protokoll_2p!F20)-1))&gt;VALUE(RIGHT(Protokoll_2p!F20,LEN(Protokoll_2p!F20)-FIND(":",Protokoll_2p!F20))),0,1))</f>
        <v>0</v>
      </c>
      <c r="J14" s="1">
        <f>IF(Protokoll_2p!G20="","",IF(VALUE(LEFT(Protokoll_2p!G20,FIND(":",Protokoll_2p!G20)-1))&gt;VALUE(RIGHT(Protokoll_2p!G20,LEN(Protokoll_2p!G20)-FIND(":",Protokoll_2p!G20))),0,1))</f>
        <v>0</v>
      </c>
      <c r="K14" s="1">
        <f>IF(Protokoll_2p!H20="","",IF(VALUE(LEFT(Protokoll_2p!H20,FIND(":",Protokoll_2p!H20)-1))&gt;VALUE(RIGHT(Protokoll_2p!H20,LEN(Protokoll_2p!H20)-FIND(":",Protokoll_2p!H20))),0,1))</f>
        <v>0</v>
      </c>
      <c r="L14" s="1" t="str">
        <f>IF(Protokoll_2p!I20="","",IF(VALUE(LEFT(Protokoll_2p!I20,FIND(":",Protokoll_2p!I20)-1))&gt;VALUE(RIGHT(Protokoll_2p!I20,LEN(Protokoll_2p!I20)-FIND(":",Protokoll_2p!I20))),0,1))</f>
        <v/>
      </c>
      <c r="M14" s="1" t="str">
        <f>IF(Protokoll_2p!J20="","",IF(VALUE(LEFT(Protokoll_2p!J20,FIND(":",Protokoll_2p!J20)-1))&gt;VALUE(RIGHT(Protokoll_2p!J20,LEN(Protokoll_2p!J20)-FIND(":",Protokoll_2p!J20))),0,1))</f>
        <v/>
      </c>
      <c r="N14" s="1">
        <f t="shared" si="1"/>
        <v>0</v>
      </c>
    </row>
    <row r="15" spans="2:14">
      <c r="B15" s="1">
        <f>IF(Protokoll_2p!F21="","",IF(VALUE(LEFT(Protokoll_2p!F21,FIND(":",Protokoll_2p!F21)-1))&gt;VALUE(RIGHT(Protokoll_2p!F21,LEN(Protokoll_2p!F21)-FIND(":",Protokoll_2p!F21))),1,0))</f>
        <v>0</v>
      </c>
      <c r="C15" s="1">
        <f>IF(Protokoll_2p!G21="","",IF(VALUE(LEFT(Protokoll_2p!G21,FIND(":",Protokoll_2p!G21)-1))&gt;VALUE(RIGHT(Protokoll_2p!G21,LEN(Protokoll_2p!G21)-FIND(":",Protokoll_2p!G21))),1,0))</f>
        <v>1</v>
      </c>
      <c r="D15" s="1">
        <f>IF(Protokoll_2p!H21="","",IF(VALUE(LEFT(Protokoll_2p!H21,FIND(":",Protokoll_2p!H21)-1))&gt;VALUE(RIGHT(Protokoll_2p!H21,LEN(Protokoll_2p!H21)-FIND(":",Protokoll_2p!H21))),1,0))</f>
        <v>0</v>
      </c>
      <c r="E15" s="1">
        <f>IF(Protokoll_2p!I21="","",IF(VALUE(LEFT(Protokoll_2p!I21,FIND(":",Protokoll_2p!I21)-1))&gt;VALUE(RIGHT(Protokoll_2p!I21,LEN(Protokoll_2p!I21)-FIND(":",Protokoll_2p!I21))),1,0))</f>
        <v>1</v>
      </c>
      <c r="F15" s="1">
        <f>IF(Protokoll_2p!J21="","",IF(VALUE(LEFT(Protokoll_2p!J21,FIND(":",Protokoll_2p!J21)-1))&gt;VALUE(RIGHT(Protokoll_2p!J21,LEN(Protokoll_2p!J21)-FIND(":",Protokoll_2p!J21))),1,0))</f>
        <v>1</v>
      </c>
      <c r="G15" s="1">
        <f t="shared" si="0"/>
        <v>3</v>
      </c>
      <c r="I15" s="1">
        <f>IF(Protokoll_2p!F21="","",IF(VALUE(LEFT(Protokoll_2p!F21,FIND(":",Protokoll_2p!F21)-1))&gt;VALUE(RIGHT(Protokoll_2p!F21,LEN(Protokoll_2p!F21)-FIND(":",Protokoll_2p!F21))),0,1))</f>
        <v>1</v>
      </c>
      <c r="J15" s="1">
        <f>IF(Protokoll_2p!G21="","",IF(VALUE(LEFT(Protokoll_2p!G21,FIND(":",Protokoll_2p!G21)-1))&gt;VALUE(RIGHT(Protokoll_2p!G21,LEN(Protokoll_2p!G21)-FIND(":",Protokoll_2p!G21))),0,1))</f>
        <v>0</v>
      </c>
      <c r="K15" s="1">
        <f>IF(Protokoll_2p!H21="","",IF(VALUE(LEFT(Protokoll_2p!H21,FIND(":",Protokoll_2p!H21)-1))&gt;VALUE(RIGHT(Protokoll_2p!H21,LEN(Protokoll_2p!H21)-FIND(":",Protokoll_2p!H21))),0,1))</f>
        <v>1</v>
      </c>
      <c r="L15" s="1">
        <f>IF(Protokoll_2p!I21="","",IF(VALUE(LEFT(Protokoll_2p!I21,FIND(":",Protokoll_2p!I21)-1))&gt;VALUE(RIGHT(Protokoll_2p!I21,LEN(Protokoll_2p!I21)-FIND(":",Protokoll_2p!I21))),0,1))</f>
        <v>0</v>
      </c>
      <c r="M15" s="1">
        <f>IF(Protokoll_2p!J21="","",IF(VALUE(LEFT(Protokoll_2p!J21,FIND(":",Protokoll_2p!J21)-1))&gt;VALUE(RIGHT(Protokoll_2p!J21,LEN(Protokoll_2p!J21)-FIND(":",Protokoll_2p!J21))),0,1))</f>
        <v>0</v>
      </c>
      <c r="N15" s="1">
        <f t="shared" si="1"/>
        <v>2</v>
      </c>
    </row>
    <row r="16" spans="2:14">
      <c r="B16" s="1" t="str">
        <f>IF(Protokoll_2p!F22="","",IF(VALUE(LEFT(Protokoll_2p!F22,FIND(":",Protokoll_2p!F22)-1))&gt;VALUE(RIGHT(Protokoll_2p!F22,LEN(Protokoll_2p!F22)-FIND(":",Protokoll_2p!F22))),1,0))</f>
        <v/>
      </c>
      <c r="C16" s="1" t="str">
        <f>IF(Protokoll_2p!G22="","",IF(VALUE(LEFT(Protokoll_2p!G22,FIND(":",Protokoll_2p!G22)-1))&gt;VALUE(RIGHT(Protokoll_2p!G22,LEN(Protokoll_2p!G22)-FIND(":",Protokoll_2p!G22))),1,0))</f>
        <v/>
      </c>
      <c r="D16" s="1" t="str">
        <f>IF(Protokoll_2p!H22="","",IF(VALUE(LEFT(Protokoll_2p!H22,FIND(":",Protokoll_2p!H22)-1))&gt;VALUE(RIGHT(Protokoll_2p!H22,LEN(Protokoll_2p!H22)-FIND(":",Protokoll_2p!H22))),1,0))</f>
        <v/>
      </c>
      <c r="E16" s="1" t="str">
        <f>IF(Protokoll_2p!I22="","",IF(VALUE(LEFT(Protokoll_2p!I22,FIND(":",Protokoll_2p!I22)-1))&gt;VALUE(RIGHT(Protokoll_2p!I22,LEN(Protokoll_2p!I22)-FIND(":",Protokoll_2p!I22))),1,0))</f>
        <v/>
      </c>
      <c r="F16" s="1" t="str">
        <f>IF(Protokoll_2p!J22="","",IF(VALUE(LEFT(Protokoll_2p!J22,FIND(":",Protokoll_2p!J22)-1))&gt;VALUE(RIGHT(Protokoll_2p!J22,LEN(Protokoll_2p!J22)-FIND(":",Protokoll_2p!J22))),1,0))</f>
        <v/>
      </c>
      <c r="G16" s="1" t="str">
        <f t="shared" si="0"/>
        <v/>
      </c>
      <c r="I16" s="1" t="str">
        <f>IF(Protokoll_2p!F22="","",IF(VALUE(LEFT(Protokoll_2p!F22,FIND(":",Protokoll_2p!F22)-1))&gt;VALUE(RIGHT(Protokoll_2p!F22,LEN(Protokoll_2p!F22)-FIND(":",Protokoll_2p!F22))),0,1))</f>
        <v/>
      </c>
      <c r="J16" s="1" t="str">
        <f>IF(Protokoll_2p!G22="","",IF(VALUE(LEFT(Protokoll_2p!G22,FIND(":",Protokoll_2p!G22)-1))&gt;VALUE(RIGHT(Protokoll_2p!G22,LEN(Protokoll_2p!G22)-FIND(":",Protokoll_2p!G22))),0,1))</f>
        <v/>
      </c>
      <c r="K16" s="1" t="str">
        <f>IF(Protokoll_2p!H22="","",IF(VALUE(LEFT(Protokoll_2p!H22,FIND(":",Protokoll_2p!H22)-1))&gt;VALUE(RIGHT(Protokoll_2p!H22,LEN(Protokoll_2p!H22)-FIND(":",Protokoll_2p!H22))),0,1))</f>
        <v/>
      </c>
      <c r="L16" s="1" t="str">
        <f>IF(Protokoll_2p!I22="","",IF(VALUE(LEFT(Protokoll_2p!I22,FIND(":",Protokoll_2p!I22)-1))&gt;VALUE(RIGHT(Protokoll_2p!I22,LEN(Protokoll_2p!I22)-FIND(":",Protokoll_2p!I22))),0,1))</f>
        <v/>
      </c>
      <c r="M16" s="1" t="str">
        <f>IF(Protokoll_2p!J22="","",IF(VALUE(LEFT(Protokoll_2p!J22,FIND(":",Protokoll_2p!J22)-1))&gt;VALUE(RIGHT(Protokoll_2p!J22,LEN(Protokoll_2p!J22)-FIND(":",Protokoll_2p!J22))),0,1))</f>
        <v/>
      </c>
      <c r="N16" s="1" t="str">
        <f t="shared" si="1"/>
        <v/>
      </c>
    </row>
    <row r="17" spans="2:14">
      <c r="B17" s="1" t="str">
        <f>IF(Protokoll_2p!F23="","",IF(VALUE(LEFT(Protokoll_2p!F23,FIND(":",Protokoll_2p!F23)-1))&gt;VALUE(RIGHT(Protokoll_2p!F23,LEN(Protokoll_2p!F23)-FIND(":",Protokoll_2p!F23))),1,0))</f>
        <v/>
      </c>
      <c r="C17" s="1" t="str">
        <f>IF(Protokoll_2p!G23="","",IF(VALUE(LEFT(Protokoll_2p!G23,FIND(":",Protokoll_2p!G23)-1))&gt;VALUE(RIGHT(Protokoll_2p!G23,LEN(Protokoll_2p!G23)-FIND(":",Protokoll_2p!G23))),1,0))</f>
        <v/>
      </c>
      <c r="D17" s="1" t="str">
        <f>IF(Protokoll_2p!H23="","",IF(VALUE(LEFT(Protokoll_2p!H23,FIND(":",Protokoll_2p!H23)-1))&gt;VALUE(RIGHT(Protokoll_2p!H23,LEN(Protokoll_2p!H23)-FIND(":",Protokoll_2p!H23))),1,0))</f>
        <v/>
      </c>
      <c r="E17" s="1" t="str">
        <f>IF(Protokoll_2p!I23="","",IF(VALUE(LEFT(Protokoll_2p!I23,FIND(":",Protokoll_2p!I23)-1))&gt;VALUE(RIGHT(Protokoll_2p!I23,LEN(Protokoll_2p!I23)-FIND(":",Protokoll_2p!I23))),1,0))</f>
        <v/>
      </c>
      <c r="F17" s="1" t="str">
        <f>IF(Protokoll_2p!J23="","",IF(VALUE(LEFT(Protokoll_2p!J23,FIND(":",Protokoll_2p!J23)-1))&gt;VALUE(RIGHT(Protokoll_2p!J23,LEN(Protokoll_2p!J23)-FIND(":",Protokoll_2p!J23))),1,0))</f>
        <v/>
      </c>
      <c r="G17" s="1" t="str">
        <f t="shared" si="0"/>
        <v/>
      </c>
      <c r="I17" s="1" t="str">
        <f>IF(Protokoll_2p!F23="","",IF(VALUE(LEFT(Protokoll_2p!F23,FIND(":",Protokoll_2p!F23)-1))&gt;VALUE(RIGHT(Protokoll_2p!F23,LEN(Protokoll_2p!F23)-FIND(":",Protokoll_2p!F23))),0,1))</f>
        <v/>
      </c>
      <c r="J17" s="1" t="str">
        <f>IF(Protokoll_2p!G23="","",IF(VALUE(LEFT(Protokoll_2p!G23,FIND(":",Protokoll_2p!G23)-1))&gt;VALUE(RIGHT(Protokoll_2p!G23,LEN(Protokoll_2p!G23)-FIND(":",Protokoll_2p!G23))),0,1))</f>
        <v/>
      </c>
      <c r="K17" s="1" t="str">
        <f>IF(Protokoll_2p!H23="","",IF(VALUE(LEFT(Protokoll_2p!H23,FIND(":",Protokoll_2p!H23)-1))&gt;VALUE(RIGHT(Protokoll_2p!H23,LEN(Protokoll_2p!H23)-FIND(":",Protokoll_2p!H23))),0,1))</f>
        <v/>
      </c>
      <c r="L17" s="1" t="str">
        <f>IF(Protokoll_2p!I23="","",IF(VALUE(LEFT(Protokoll_2p!I23,FIND(":",Protokoll_2p!I23)-1))&gt;VALUE(RIGHT(Protokoll_2p!I23,LEN(Protokoll_2p!I23)-FIND(":",Protokoll_2p!I23))),0,1))</f>
        <v/>
      </c>
      <c r="M17" s="1" t="str">
        <f>IF(Protokoll_2p!J23="","",IF(VALUE(LEFT(Protokoll_2p!J23,FIND(":",Protokoll_2p!J23)-1))&gt;VALUE(RIGHT(Protokoll_2p!J23,LEN(Protokoll_2p!J23)-FIND(":",Protokoll_2p!J23))),0,1))</f>
        <v/>
      </c>
      <c r="N17" s="1" t="str">
        <f t="shared" si="1"/>
        <v/>
      </c>
    </row>
    <row r="18" spans="2:14">
      <c r="B18" s="1" t="str">
        <f>IF(Protokoll_2p!F24="","",IF(VALUE(LEFT(Protokoll_2p!F24,FIND(":",Protokoll_2p!F24)-1))&gt;VALUE(RIGHT(Protokoll_2p!F24,LEN(Protokoll_2p!F24)-FIND(":",Protokoll_2p!F24))),1,0))</f>
        <v/>
      </c>
      <c r="C18" s="1" t="str">
        <f>IF(Protokoll_2p!G24="","",IF(VALUE(LEFT(Protokoll_2p!G24,FIND(":",Protokoll_2p!G24)-1))&gt;VALUE(RIGHT(Protokoll_2p!G24,LEN(Protokoll_2p!G24)-FIND(":",Protokoll_2p!G24))),1,0))</f>
        <v/>
      </c>
      <c r="D18" s="1" t="str">
        <f>IF(Protokoll_2p!H24="","",IF(VALUE(LEFT(Protokoll_2p!H24,FIND(":",Protokoll_2p!H24)-1))&gt;VALUE(RIGHT(Protokoll_2p!H24,LEN(Protokoll_2p!H24)-FIND(":",Protokoll_2p!H24))),1,0))</f>
        <v/>
      </c>
      <c r="E18" s="1" t="str">
        <f>IF(Protokoll_2p!I24="","",IF(VALUE(LEFT(Protokoll_2p!I24,FIND(":",Protokoll_2p!I24)-1))&gt;VALUE(RIGHT(Protokoll_2p!I24,LEN(Protokoll_2p!I24)-FIND(":",Protokoll_2p!I24))),1,0))</f>
        <v/>
      </c>
      <c r="F18" s="1" t="str">
        <f>IF(Protokoll_2p!J24="","",IF(VALUE(LEFT(Protokoll_2p!J24,FIND(":",Protokoll_2p!J24)-1))&gt;VALUE(RIGHT(Protokoll_2p!J24,LEN(Protokoll_2p!J24)-FIND(":",Protokoll_2p!J24))),1,0))</f>
        <v/>
      </c>
      <c r="G18" s="1" t="str">
        <f t="shared" si="0"/>
        <v/>
      </c>
      <c r="I18" s="1" t="str">
        <f>IF(Protokoll_2p!F24="","",IF(VALUE(LEFT(Protokoll_2p!F24,FIND(":",Protokoll_2p!F24)-1))&gt;VALUE(RIGHT(Protokoll_2p!F24,LEN(Protokoll_2p!F24)-FIND(":",Protokoll_2p!F24))),0,1))</f>
        <v/>
      </c>
      <c r="J18" s="1" t="str">
        <f>IF(Protokoll_2p!G24="","",IF(VALUE(LEFT(Protokoll_2p!G24,FIND(":",Protokoll_2p!G24)-1))&gt;VALUE(RIGHT(Protokoll_2p!G24,LEN(Protokoll_2p!G24)-FIND(":",Protokoll_2p!G24))),0,1))</f>
        <v/>
      </c>
      <c r="K18" s="1" t="str">
        <f>IF(Protokoll_2p!H24="","",IF(VALUE(LEFT(Protokoll_2p!H24,FIND(":",Protokoll_2p!H24)-1))&gt;VALUE(RIGHT(Protokoll_2p!H24,LEN(Protokoll_2p!H24)-FIND(":",Protokoll_2p!H24))),0,1))</f>
        <v/>
      </c>
      <c r="L18" s="1" t="str">
        <f>IF(Protokoll_2p!I24="","",IF(VALUE(LEFT(Protokoll_2p!I24,FIND(":",Protokoll_2p!I24)-1))&gt;VALUE(RIGHT(Protokoll_2p!I24,LEN(Protokoll_2p!I24)-FIND(":",Protokoll_2p!I24))),0,1))</f>
        <v/>
      </c>
      <c r="M18" s="1" t="str">
        <f>IF(Protokoll_2p!J24="","",IF(VALUE(LEFT(Protokoll_2p!J24,FIND(":",Protokoll_2p!J24)-1))&gt;VALUE(RIGHT(Protokoll_2p!J24,LEN(Protokoll_2p!J24)-FIND(":",Protokoll_2p!J24))),0,1))</f>
        <v/>
      </c>
      <c r="N18" s="1" t="str">
        <f t="shared" si="1"/>
        <v/>
      </c>
    </row>
    <row r="19" spans="2:14">
      <c r="B19" s="1" t="str">
        <f>IF(Protokoll_2p!F25="","",IF(VALUE(LEFT(Protokoll_2p!F25,FIND(":",Protokoll_2p!F25)-1))&gt;VALUE(RIGHT(Protokoll_2p!F25,LEN(Protokoll_2p!F25)-FIND(":",Protokoll_2p!F25))),1,0))</f>
        <v/>
      </c>
      <c r="C19" s="1" t="str">
        <f>IF(Protokoll_2p!G25="","",IF(VALUE(LEFT(Protokoll_2p!G25,FIND(":",Protokoll_2p!G25)-1))&gt;VALUE(RIGHT(Protokoll_2p!G25,LEN(Protokoll_2p!G25)-FIND(":",Protokoll_2p!G25))),1,0))</f>
        <v/>
      </c>
      <c r="D19" s="1" t="str">
        <f>IF(Protokoll_2p!H25="","",IF(VALUE(LEFT(Protokoll_2p!H25,FIND(":",Protokoll_2p!H25)-1))&gt;VALUE(RIGHT(Protokoll_2p!H25,LEN(Protokoll_2p!H25)-FIND(":",Protokoll_2p!H25))),1,0))</f>
        <v/>
      </c>
      <c r="E19" s="1" t="str">
        <f>IF(Protokoll_2p!I25="","",IF(VALUE(LEFT(Protokoll_2p!I25,FIND(":",Protokoll_2p!I25)-1))&gt;VALUE(RIGHT(Protokoll_2p!I25,LEN(Protokoll_2p!I25)-FIND(":",Protokoll_2p!I25))),1,0))</f>
        <v/>
      </c>
      <c r="F19" s="1" t="str">
        <f>IF(Protokoll_2p!J25="","",IF(VALUE(LEFT(Protokoll_2p!J25,FIND(":",Protokoll_2p!J25)-1))&gt;VALUE(RIGHT(Protokoll_2p!J25,LEN(Protokoll_2p!J25)-FIND(":",Protokoll_2p!J25))),1,0))</f>
        <v/>
      </c>
      <c r="G19" s="1" t="str">
        <f t="shared" si="0"/>
        <v/>
      </c>
      <c r="I19" s="1" t="str">
        <f>IF(Protokoll_2p!F25="","",IF(VALUE(LEFT(Protokoll_2p!F25,FIND(":",Protokoll_2p!F25)-1))&gt;VALUE(RIGHT(Protokoll_2p!F25,LEN(Protokoll_2p!F25)-FIND(":",Protokoll_2p!F25))),0,1))</f>
        <v/>
      </c>
      <c r="J19" s="1" t="str">
        <f>IF(Protokoll_2p!G25="","",IF(VALUE(LEFT(Protokoll_2p!G25,FIND(":",Protokoll_2p!G25)-1))&gt;VALUE(RIGHT(Protokoll_2p!G25,LEN(Protokoll_2p!G25)-FIND(":",Protokoll_2p!G25))),0,1))</f>
        <v/>
      </c>
      <c r="K19" s="1" t="str">
        <f>IF(Protokoll_2p!H25="","",IF(VALUE(LEFT(Protokoll_2p!H25,FIND(":",Protokoll_2p!H25)-1))&gt;VALUE(RIGHT(Protokoll_2p!H25,LEN(Protokoll_2p!H25)-FIND(":",Protokoll_2p!H25))),0,1))</f>
        <v/>
      </c>
      <c r="L19" s="1" t="str">
        <f>IF(Protokoll_2p!I25="","",IF(VALUE(LEFT(Protokoll_2p!I25,FIND(":",Protokoll_2p!I25)-1))&gt;VALUE(RIGHT(Protokoll_2p!I25,LEN(Protokoll_2p!I25)-FIND(":",Protokoll_2p!I25))),0,1))</f>
        <v/>
      </c>
      <c r="M19" s="1" t="str">
        <f>IF(Protokoll_2p!J25="","",IF(VALUE(LEFT(Protokoll_2p!J25,FIND(":",Protokoll_2p!J25)-1))&gt;VALUE(RIGHT(Protokoll_2p!J25,LEN(Protokoll_2p!J25)-FIND(":",Protokoll_2p!J25))),0,1))</f>
        <v/>
      </c>
      <c r="N19" s="1" t="str">
        <f t="shared" si="1"/>
        <v/>
      </c>
    </row>
    <row r="20" spans="2:14">
      <c r="B20" s="1" t="str">
        <f>IF(Protokoll_2p!F26="","",IF(VALUE(LEFT(Protokoll_2p!F26,FIND(":",Protokoll_2p!F26)-1))&gt;VALUE(RIGHT(Protokoll_2p!F26,LEN(Protokoll_2p!F26)-FIND(":",Protokoll_2p!F26))),1,0))</f>
        <v/>
      </c>
      <c r="C20" s="1" t="str">
        <f>IF(Protokoll_2p!G26="","",IF(VALUE(LEFT(Protokoll_2p!G26,FIND(":",Protokoll_2p!G26)-1))&gt;VALUE(RIGHT(Protokoll_2p!G26,LEN(Protokoll_2p!G26)-FIND(":",Protokoll_2p!G26))),1,0))</f>
        <v/>
      </c>
      <c r="D20" s="1" t="str">
        <f>IF(Protokoll_2p!H26="","",IF(VALUE(LEFT(Protokoll_2p!H26,FIND(":",Protokoll_2p!H26)-1))&gt;VALUE(RIGHT(Protokoll_2p!H26,LEN(Protokoll_2p!H26)-FIND(":",Protokoll_2p!H26))),1,0))</f>
        <v/>
      </c>
      <c r="E20" s="1" t="str">
        <f>IF(Protokoll_2p!I26="","",IF(VALUE(LEFT(Protokoll_2p!I26,FIND(":",Protokoll_2p!I26)-1))&gt;VALUE(RIGHT(Protokoll_2p!I26,LEN(Protokoll_2p!I26)-FIND(":",Protokoll_2p!I26))),1,0))</f>
        <v/>
      </c>
      <c r="F20" s="1" t="str">
        <f>IF(Protokoll_2p!J26="","",IF(VALUE(LEFT(Protokoll_2p!J26,FIND(":",Protokoll_2p!J26)-1))&gt;VALUE(RIGHT(Protokoll_2p!J26,LEN(Protokoll_2p!J26)-FIND(":",Protokoll_2p!J26))),1,0))</f>
        <v/>
      </c>
      <c r="G20" s="1" t="str">
        <f t="shared" si="0"/>
        <v/>
      </c>
      <c r="I20" s="1" t="str">
        <f>IF(Protokoll_2p!F26="","",IF(VALUE(LEFT(Protokoll_2p!F26,FIND(":",Protokoll_2p!F26)-1))&gt;VALUE(RIGHT(Protokoll_2p!F26,LEN(Protokoll_2p!F26)-FIND(":",Protokoll_2p!F26))),0,1))</f>
        <v/>
      </c>
      <c r="J20" s="1" t="str">
        <f>IF(Protokoll_2p!G26="","",IF(VALUE(LEFT(Protokoll_2p!G26,FIND(":",Protokoll_2p!G26)-1))&gt;VALUE(RIGHT(Protokoll_2p!G26,LEN(Protokoll_2p!G26)-FIND(":",Protokoll_2p!G26))),0,1))</f>
        <v/>
      </c>
      <c r="K20" s="1" t="str">
        <f>IF(Protokoll_2p!H26="","",IF(VALUE(LEFT(Protokoll_2p!H26,FIND(":",Protokoll_2p!H26)-1))&gt;VALUE(RIGHT(Protokoll_2p!H26,LEN(Protokoll_2p!H26)-FIND(":",Protokoll_2p!H26))),0,1))</f>
        <v/>
      </c>
      <c r="L20" s="1" t="str">
        <f>IF(Protokoll_2p!I26="","",IF(VALUE(LEFT(Protokoll_2p!I26,FIND(":",Protokoll_2p!I26)-1))&gt;VALUE(RIGHT(Protokoll_2p!I26,LEN(Protokoll_2p!I26)-FIND(":",Protokoll_2p!I26))),0,1))</f>
        <v/>
      </c>
      <c r="M20" s="1" t="str">
        <f>IF(Protokoll_2p!J26="","",IF(VALUE(LEFT(Protokoll_2p!J26,FIND(":",Protokoll_2p!J26)-1))&gt;VALUE(RIGHT(Protokoll_2p!J26,LEN(Protokoll_2p!J26)-FIND(":",Protokoll_2p!J26))),0,1))</f>
        <v/>
      </c>
      <c r="N20" s="1" t="str">
        <f t="shared" si="1"/>
        <v/>
      </c>
    </row>
    <row r="21" spans="2:14">
      <c r="B21" s="1" t="e">
        <f>IF(Protokoll_2p!F27="","",IF(VALUE(LEFT(Protokoll_2p!F27,FIND(":",Protokoll_2p!F27)-1))&gt;VALUE(RIGHT(Protokoll_2p!F27,LEN(Protokoll_2p!F27)-FIND(":",Protokoll_2p!F27))),1,0))</f>
        <v>#VALUE!</v>
      </c>
      <c r="C21" s="1" t="e">
        <f>IF(Protokoll_2p!G27="","",IF(VALUE(LEFT(Protokoll_2p!G27,FIND(":",Protokoll_2p!G27)-1))&gt;VALUE(RIGHT(Protokoll_2p!G27,LEN(Protokoll_2p!G27)-FIND(":",Protokoll_2p!G27))),1,0))</f>
        <v>#VALUE!</v>
      </c>
      <c r="D21" s="1" t="e">
        <f>IF(Protokoll_2p!H27="","",IF(VALUE(LEFT(Protokoll_2p!H27,FIND(":",Protokoll_2p!H27)-1))&gt;VALUE(RIGHT(Protokoll_2p!H27,LEN(Protokoll_2p!H27)-FIND(":",Protokoll_2p!H27))),1,0))</f>
        <v>#VALUE!</v>
      </c>
      <c r="E21" s="1" t="e">
        <f>IF(Protokoll_2p!I27="","",IF(VALUE(LEFT(Protokoll_2p!I27,FIND(":",Protokoll_2p!I27)-1))&gt;VALUE(RIGHT(Protokoll_2p!I27,LEN(Protokoll_2p!I27)-FIND(":",Protokoll_2p!I27))),1,0))</f>
        <v>#VALUE!</v>
      </c>
      <c r="F21" s="1" t="e">
        <f>IF(Protokoll_2p!J27="","",IF(VALUE(LEFT(Protokoll_2p!J27,FIND(":",Protokoll_2p!J27)-1))&gt;VALUE(RIGHT(Protokoll_2p!J27,LEN(Protokoll_2p!J27)-FIND(":",Protokoll_2p!J27))),1,0))</f>
        <v>#VALUE!</v>
      </c>
      <c r="G21" s="1" t="e">
        <f t="shared" si="0"/>
        <v>#VALUE!</v>
      </c>
      <c r="I21" s="1" t="e">
        <f>IF(Protokoll_2p!F27="","",IF(VALUE(LEFT(Protokoll_2p!F27,FIND(":",Protokoll_2p!F27)-1))&gt;VALUE(RIGHT(Protokoll_2p!F27,LEN(Protokoll_2p!F27)-FIND(":",Protokoll_2p!F27))),0,1))</f>
        <v>#VALUE!</v>
      </c>
      <c r="J21" s="1" t="e">
        <f>IF(Protokoll_2p!G27="","",IF(VALUE(LEFT(Protokoll_2p!G27,FIND(":",Protokoll_2p!G27)-1))&gt;VALUE(RIGHT(Protokoll_2p!G27,LEN(Protokoll_2p!G27)-FIND(":",Protokoll_2p!G27))),0,1))</f>
        <v>#VALUE!</v>
      </c>
      <c r="K21" s="1" t="e">
        <f>IF(Protokoll_2p!H27="","",IF(VALUE(LEFT(Protokoll_2p!H27,FIND(":",Protokoll_2p!H27)-1))&gt;VALUE(RIGHT(Protokoll_2p!H27,LEN(Protokoll_2p!H27)-FIND(":",Protokoll_2p!H27))),0,1))</f>
        <v>#VALUE!</v>
      </c>
      <c r="L21" s="1" t="e">
        <f>IF(Protokoll_2p!I27="","",IF(VALUE(LEFT(Protokoll_2p!I27,FIND(":",Protokoll_2p!I27)-1))&gt;VALUE(RIGHT(Protokoll_2p!I27,LEN(Protokoll_2p!I27)-FIND(":",Protokoll_2p!I27))),0,1))</f>
        <v>#VALUE!</v>
      </c>
      <c r="M21" s="1" t="e">
        <f>IF(Protokoll_2p!J27="","",IF(VALUE(LEFT(Protokoll_2p!J27,FIND(":",Protokoll_2p!J27)-1))&gt;VALUE(RIGHT(Protokoll_2p!J27,LEN(Protokoll_2p!J27)-FIND(":",Protokoll_2p!J27))),0,1))</f>
        <v>#VALUE!</v>
      </c>
      <c r="N21" s="1" t="e">
        <f t="shared" si="1"/>
        <v>#VALUE!</v>
      </c>
    </row>
    <row r="22" spans="2:14">
      <c r="B22" s="1">
        <f>IF(Protokoll_2p!F28="","",IF(VALUE(LEFT(Protokoll_2p!F28,FIND(":",Protokoll_2p!F28)-1))&gt;VALUE(RIGHT(Protokoll_2p!F28,LEN(Protokoll_2p!F28)-FIND(":",Protokoll_2p!F28))),1,0))</f>
        <v>1</v>
      </c>
      <c r="C22" s="1">
        <f>IF(Protokoll_2p!G28="","",IF(VALUE(LEFT(Protokoll_2p!G28,FIND(":",Protokoll_2p!G28)-1))&gt;VALUE(RIGHT(Protokoll_2p!G28,LEN(Protokoll_2p!G28)-FIND(":",Protokoll_2p!G28))),1,0))</f>
        <v>1</v>
      </c>
      <c r="D22" s="1">
        <f>IF(Protokoll_2p!H28="","",IF(VALUE(LEFT(Protokoll_2p!H28,FIND(":",Protokoll_2p!H28)-1))&gt;VALUE(RIGHT(Protokoll_2p!H28,LEN(Protokoll_2p!H28)-FIND(":",Protokoll_2p!H28))),1,0))</f>
        <v>1</v>
      </c>
      <c r="E22" s="1" t="str">
        <f>IF(Protokoll_2p!I28="","",IF(VALUE(LEFT(Protokoll_2p!I28,FIND(":",Protokoll_2p!I28)-1))&gt;VALUE(RIGHT(Protokoll_2p!I28,LEN(Protokoll_2p!I28)-FIND(":",Protokoll_2p!I28))),1,0))</f>
        <v/>
      </c>
      <c r="F22" s="1" t="str">
        <f>IF(Protokoll_2p!J28="","",IF(VALUE(LEFT(Protokoll_2p!J28,FIND(":",Protokoll_2p!J28)-1))&gt;VALUE(RIGHT(Protokoll_2p!J28,LEN(Protokoll_2p!J28)-FIND(":",Protokoll_2p!J28))),1,0))</f>
        <v/>
      </c>
      <c r="G22" s="1">
        <f t="shared" si="0"/>
        <v>3</v>
      </c>
      <c r="I22" s="1">
        <f>IF(Protokoll_2p!F28="","",IF(VALUE(LEFT(Protokoll_2p!F28,FIND(":",Protokoll_2p!F28)-1))&gt;VALUE(RIGHT(Protokoll_2p!F28,LEN(Protokoll_2p!F28)-FIND(":",Protokoll_2p!F28))),0,1))</f>
        <v>0</v>
      </c>
      <c r="J22" s="1">
        <f>IF(Protokoll_2p!G28="","",IF(VALUE(LEFT(Protokoll_2p!G28,FIND(":",Protokoll_2p!G28)-1))&gt;VALUE(RIGHT(Protokoll_2p!G28,LEN(Protokoll_2p!G28)-FIND(":",Protokoll_2p!G28))),0,1))</f>
        <v>0</v>
      </c>
      <c r="K22" s="1">
        <f>IF(Protokoll_2p!H28="","",IF(VALUE(LEFT(Protokoll_2p!H28,FIND(":",Protokoll_2p!H28)-1))&gt;VALUE(RIGHT(Protokoll_2p!H28,LEN(Protokoll_2p!H28)-FIND(":",Protokoll_2p!H28))),0,1))</f>
        <v>0</v>
      </c>
      <c r="L22" s="1" t="str">
        <f>IF(Protokoll_2p!I28="","",IF(VALUE(LEFT(Protokoll_2p!I28,FIND(":",Protokoll_2p!I28)-1))&gt;VALUE(RIGHT(Protokoll_2p!I28,LEN(Protokoll_2p!I28)-FIND(":",Protokoll_2p!I28))),0,1))</f>
        <v/>
      </c>
      <c r="M22" s="1" t="str">
        <f>IF(Protokoll_2p!J28="","",IF(VALUE(LEFT(Protokoll_2p!J28,FIND(":",Protokoll_2p!J28)-1))&gt;VALUE(RIGHT(Protokoll_2p!J28,LEN(Protokoll_2p!J28)-FIND(":",Protokoll_2p!J28))),0,1))</f>
        <v/>
      </c>
      <c r="N22" s="1">
        <f t="shared" si="1"/>
        <v>0</v>
      </c>
    </row>
    <row r="23" spans="2:14">
      <c r="B23" s="1">
        <f>IF(Protokoll_2p!F29="","",IF(VALUE(LEFT(Protokoll_2p!F29,FIND(":",Protokoll_2p!F29)-1))&gt;VALUE(RIGHT(Protokoll_2p!F29,LEN(Protokoll_2p!F29)-FIND(":",Protokoll_2p!F29))),1,0))</f>
        <v>1</v>
      </c>
      <c r="C23" s="1">
        <f>IF(Protokoll_2p!G29="","",IF(VALUE(LEFT(Protokoll_2p!G29,FIND(":",Protokoll_2p!G29)-1))&gt;VALUE(RIGHT(Protokoll_2p!G29,LEN(Protokoll_2p!G29)-FIND(":",Protokoll_2p!G29))),1,0))</f>
        <v>1</v>
      </c>
      <c r="D23" s="1">
        <f>IF(Protokoll_2p!H29="","",IF(VALUE(LEFT(Protokoll_2p!H29,FIND(":",Protokoll_2p!H29)-1))&gt;VALUE(RIGHT(Protokoll_2p!H29,LEN(Protokoll_2p!H29)-FIND(":",Protokoll_2p!H29))),1,0))</f>
        <v>1</v>
      </c>
      <c r="E23" s="1" t="str">
        <f>IF(Protokoll_2p!I29="","",IF(VALUE(LEFT(Protokoll_2p!I29,FIND(":",Protokoll_2p!I29)-1))&gt;VALUE(RIGHT(Protokoll_2p!I29,LEN(Protokoll_2p!I29)-FIND(":",Protokoll_2p!I29))),1,0))</f>
        <v/>
      </c>
      <c r="F23" s="1" t="str">
        <f>IF(Protokoll_2p!J29="","",IF(VALUE(LEFT(Protokoll_2p!J29,FIND(":",Protokoll_2p!J29)-1))&gt;VALUE(RIGHT(Protokoll_2p!J29,LEN(Protokoll_2p!J29)-FIND(":",Protokoll_2p!J29))),1,0))</f>
        <v/>
      </c>
      <c r="G23" s="1">
        <f t="shared" si="0"/>
        <v>3</v>
      </c>
      <c r="I23" s="1">
        <f>IF(Protokoll_2p!F29="","",IF(VALUE(LEFT(Protokoll_2p!F29,FIND(":",Protokoll_2p!F29)-1))&gt;VALUE(RIGHT(Protokoll_2p!F29,LEN(Protokoll_2p!F29)-FIND(":",Protokoll_2p!F29))),0,1))</f>
        <v>0</v>
      </c>
      <c r="J23" s="1">
        <f>IF(Protokoll_2p!G29="","",IF(VALUE(LEFT(Protokoll_2p!G29,FIND(":",Protokoll_2p!G29)-1))&gt;VALUE(RIGHT(Protokoll_2p!G29,LEN(Protokoll_2p!G29)-FIND(":",Protokoll_2p!G29))),0,1))</f>
        <v>0</v>
      </c>
      <c r="K23" s="1">
        <f>IF(Protokoll_2p!H29="","",IF(VALUE(LEFT(Protokoll_2p!H29,FIND(":",Protokoll_2p!H29)-1))&gt;VALUE(RIGHT(Protokoll_2p!H29,LEN(Protokoll_2p!H29)-FIND(":",Protokoll_2p!H29))),0,1))</f>
        <v>0</v>
      </c>
      <c r="L23" s="1" t="str">
        <f>IF(Protokoll_2p!I29="","",IF(VALUE(LEFT(Protokoll_2p!I29,FIND(":",Protokoll_2p!I29)-1))&gt;VALUE(RIGHT(Protokoll_2p!I29,LEN(Protokoll_2p!I29)-FIND(":",Protokoll_2p!I29))),0,1))</f>
        <v/>
      </c>
      <c r="M23" s="1" t="str">
        <f>IF(Protokoll_2p!J29="","",IF(VALUE(LEFT(Protokoll_2p!J29,FIND(":",Protokoll_2p!J29)-1))&gt;VALUE(RIGHT(Protokoll_2p!J29,LEN(Protokoll_2p!J29)-FIND(":",Protokoll_2p!J29))),0,1))</f>
        <v/>
      </c>
      <c r="N23" s="1">
        <f t="shared" si="1"/>
        <v>0</v>
      </c>
    </row>
    <row r="24" spans="2:14">
      <c r="B24" s="1">
        <f>IF(Protokoll_2p!F30="","",IF(VALUE(LEFT(Protokoll_2p!F30,FIND(":",Protokoll_2p!F30)-1))&gt;VALUE(RIGHT(Protokoll_2p!F30,LEN(Protokoll_2p!F30)-FIND(":",Protokoll_2p!F30))),1,0))</f>
        <v>0</v>
      </c>
      <c r="C24" s="1">
        <f>IF(Protokoll_2p!G30="","",IF(VALUE(LEFT(Protokoll_2p!G30,FIND(":",Protokoll_2p!G30)-1))&gt;VALUE(RIGHT(Protokoll_2p!G30,LEN(Protokoll_2p!G30)-FIND(":",Protokoll_2p!G30))),1,0))</f>
        <v>0</v>
      </c>
      <c r="D24" s="1">
        <f>IF(Protokoll_2p!H30="","",IF(VALUE(LEFT(Protokoll_2p!H30,FIND(":",Protokoll_2p!H30)-1))&gt;VALUE(RIGHT(Protokoll_2p!H30,LEN(Protokoll_2p!H30)-FIND(":",Protokoll_2p!H30))),1,0))</f>
        <v>0</v>
      </c>
      <c r="E24" s="1" t="str">
        <f>IF(Protokoll_2p!I30="","",IF(VALUE(LEFT(Protokoll_2p!I30,FIND(":",Protokoll_2p!I30)-1))&gt;VALUE(RIGHT(Protokoll_2p!I30,LEN(Protokoll_2p!I30)-FIND(":",Protokoll_2p!I30))),1,0))</f>
        <v/>
      </c>
      <c r="F24" s="1" t="str">
        <f>IF(Protokoll_2p!J30="","",IF(VALUE(LEFT(Protokoll_2p!J30,FIND(":",Protokoll_2p!J30)-1))&gt;VALUE(RIGHT(Protokoll_2p!J30,LEN(Protokoll_2p!J30)-FIND(":",Protokoll_2p!J30))),1,0))</f>
        <v/>
      </c>
      <c r="G24" s="1">
        <f t="shared" si="0"/>
        <v>0</v>
      </c>
      <c r="I24" s="1">
        <f>IF(Protokoll_2p!F30="","",IF(VALUE(LEFT(Protokoll_2p!F30,FIND(":",Protokoll_2p!F30)-1))&gt;VALUE(RIGHT(Protokoll_2p!F30,LEN(Protokoll_2p!F30)-FIND(":",Protokoll_2p!F30))),0,1))</f>
        <v>1</v>
      </c>
      <c r="J24" s="1">
        <f>IF(Protokoll_2p!G30="","",IF(VALUE(LEFT(Protokoll_2p!G30,FIND(":",Protokoll_2p!G30)-1))&gt;VALUE(RIGHT(Protokoll_2p!G30,LEN(Protokoll_2p!G30)-FIND(":",Protokoll_2p!G30))),0,1))</f>
        <v>1</v>
      </c>
      <c r="K24" s="1">
        <f>IF(Protokoll_2p!H30="","",IF(VALUE(LEFT(Protokoll_2p!H30,FIND(":",Protokoll_2p!H30)-1))&gt;VALUE(RIGHT(Protokoll_2p!H30,LEN(Protokoll_2p!H30)-FIND(":",Protokoll_2p!H30))),0,1))</f>
        <v>1</v>
      </c>
      <c r="L24" s="1" t="str">
        <f>IF(Protokoll_2p!I30="","",IF(VALUE(LEFT(Protokoll_2p!I30,FIND(":",Protokoll_2p!I30)-1))&gt;VALUE(RIGHT(Protokoll_2p!I30,LEN(Protokoll_2p!I30)-FIND(":",Protokoll_2p!I30))),0,1))</f>
        <v/>
      </c>
      <c r="M24" s="1" t="str">
        <f>IF(Protokoll_2p!J30="","",IF(VALUE(LEFT(Protokoll_2p!J30,FIND(":",Protokoll_2p!J30)-1))&gt;VALUE(RIGHT(Protokoll_2p!J30,LEN(Protokoll_2p!J30)-FIND(":",Protokoll_2p!J30))),0,1))</f>
        <v/>
      </c>
      <c r="N24" s="1">
        <f t="shared" si="1"/>
        <v>3</v>
      </c>
    </row>
    <row r="25" spans="2:14">
      <c r="B25" s="1">
        <f>IF(Protokoll_2p!F31="","",IF(VALUE(LEFT(Protokoll_2p!F31,FIND(":",Protokoll_2p!F31)-1))&gt;VALUE(RIGHT(Protokoll_2p!F31,LEN(Protokoll_2p!F31)-FIND(":",Protokoll_2p!F31))),1,0))</f>
        <v>0</v>
      </c>
      <c r="C25" s="1">
        <f>IF(Protokoll_2p!G31="","",IF(VALUE(LEFT(Protokoll_2p!G31,FIND(":",Protokoll_2p!G31)-1))&gt;VALUE(RIGHT(Protokoll_2p!G31,LEN(Protokoll_2p!G31)-FIND(":",Protokoll_2p!G31))),1,0))</f>
        <v>1</v>
      </c>
      <c r="D25" s="1">
        <f>IF(Protokoll_2p!H31="","",IF(VALUE(LEFT(Protokoll_2p!H31,FIND(":",Protokoll_2p!H31)-1))&gt;VALUE(RIGHT(Protokoll_2p!H31,LEN(Protokoll_2p!H31)-FIND(":",Protokoll_2p!H31))),1,0))</f>
        <v>1</v>
      </c>
      <c r="E25" s="1">
        <f>IF(Protokoll_2p!I31="","",IF(VALUE(LEFT(Protokoll_2p!I31,FIND(":",Protokoll_2p!I31)-1))&gt;VALUE(RIGHT(Protokoll_2p!I31,LEN(Protokoll_2p!I31)-FIND(":",Protokoll_2p!I31))),1,0))</f>
        <v>1</v>
      </c>
      <c r="F25" s="1" t="str">
        <f>IF(Protokoll_2p!J31="","",IF(VALUE(LEFT(Protokoll_2p!J31,FIND(":",Protokoll_2p!J31)-1))&gt;VALUE(RIGHT(Protokoll_2p!J31,LEN(Protokoll_2p!J31)-FIND(":",Protokoll_2p!J31))),1,0))</f>
        <v/>
      </c>
      <c r="G25" s="1">
        <f t="shared" si="0"/>
        <v>3</v>
      </c>
      <c r="I25" s="1">
        <f>IF(Protokoll_2p!F31="","",IF(VALUE(LEFT(Protokoll_2p!F31,FIND(":",Protokoll_2p!F31)-1))&gt;VALUE(RIGHT(Protokoll_2p!F31,LEN(Protokoll_2p!F31)-FIND(":",Protokoll_2p!F31))),0,1))</f>
        <v>1</v>
      </c>
      <c r="J25" s="1">
        <f>IF(Protokoll_2p!G31="","",IF(VALUE(LEFT(Protokoll_2p!G31,FIND(":",Protokoll_2p!G31)-1))&gt;VALUE(RIGHT(Protokoll_2p!G31,LEN(Protokoll_2p!G31)-FIND(":",Protokoll_2p!G31))),0,1))</f>
        <v>0</v>
      </c>
      <c r="K25" s="1">
        <f>IF(Protokoll_2p!H31="","",IF(VALUE(LEFT(Protokoll_2p!H31,FIND(":",Protokoll_2p!H31)-1))&gt;VALUE(RIGHT(Protokoll_2p!H31,LEN(Protokoll_2p!H31)-FIND(":",Protokoll_2p!H31))),0,1))</f>
        <v>0</v>
      </c>
      <c r="L25" s="1">
        <f>IF(Protokoll_2p!I31="","",IF(VALUE(LEFT(Protokoll_2p!I31,FIND(":",Protokoll_2p!I31)-1))&gt;VALUE(RIGHT(Protokoll_2p!I31,LEN(Protokoll_2p!I31)-FIND(":",Protokoll_2p!I31))),0,1))</f>
        <v>0</v>
      </c>
      <c r="M25" s="1" t="str">
        <f>IF(Protokoll_2p!J31="","",IF(VALUE(LEFT(Protokoll_2p!J31,FIND(":",Protokoll_2p!J31)-1))&gt;VALUE(RIGHT(Protokoll_2p!J31,LEN(Protokoll_2p!J31)-FIND(":",Protokoll_2p!J31))),0,1))</f>
        <v/>
      </c>
      <c r="N25" s="1">
        <f t="shared" si="1"/>
        <v>1</v>
      </c>
    </row>
    <row r="26" spans="2:14">
      <c r="B26" s="1" t="str">
        <f>IF(Protokoll_2p!F32="","",IF(VALUE(LEFT(Protokoll_2p!F32,FIND(":",Protokoll_2p!F32)-1))&gt;VALUE(RIGHT(Protokoll_2p!F32,LEN(Protokoll_2p!F32)-FIND(":",Protokoll_2p!F32))),1,0))</f>
        <v/>
      </c>
      <c r="C26" s="1" t="str">
        <f>IF(Protokoll_2p!G32="","",IF(VALUE(LEFT(Protokoll_2p!G32,FIND(":",Protokoll_2p!G32)-1))&gt;VALUE(RIGHT(Protokoll_2p!G32,LEN(Protokoll_2p!G32)-FIND(":",Protokoll_2p!G32))),1,0))</f>
        <v/>
      </c>
      <c r="D26" s="1" t="str">
        <f>IF(Protokoll_2p!H32="","",IF(VALUE(LEFT(Protokoll_2p!H32,FIND(":",Protokoll_2p!H32)-1))&gt;VALUE(RIGHT(Protokoll_2p!H32,LEN(Protokoll_2p!H32)-FIND(":",Protokoll_2p!H32))),1,0))</f>
        <v/>
      </c>
      <c r="E26" s="1" t="str">
        <f>IF(Protokoll_2p!I32="","",IF(VALUE(LEFT(Protokoll_2p!I32,FIND(":",Protokoll_2p!I32)-1))&gt;VALUE(RIGHT(Protokoll_2p!I32,LEN(Protokoll_2p!I32)-FIND(":",Protokoll_2p!I32))),1,0))</f>
        <v/>
      </c>
      <c r="F26" s="1" t="str">
        <f>IF(Protokoll_2p!J32="","",IF(VALUE(LEFT(Protokoll_2p!J32,FIND(":",Protokoll_2p!J32)-1))&gt;VALUE(RIGHT(Protokoll_2p!J32,LEN(Protokoll_2p!J32)-FIND(":",Protokoll_2p!J32))),1,0))</f>
        <v/>
      </c>
      <c r="G26" s="1" t="str">
        <f t="shared" si="0"/>
        <v/>
      </c>
      <c r="I26" s="1" t="str">
        <f>IF(Protokoll_2p!F32="","",IF(VALUE(LEFT(Protokoll_2p!F32,FIND(":",Protokoll_2p!F32)-1))&gt;VALUE(RIGHT(Protokoll_2p!F32,LEN(Protokoll_2p!F32)-FIND(":",Protokoll_2p!F32))),0,1))</f>
        <v/>
      </c>
      <c r="J26" s="1" t="str">
        <f>IF(Protokoll_2p!G32="","",IF(VALUE(LEFT(Protokoll_2p!G32,FIND(":",Protokoll_2p!G32)-1))&gt;VALUE(RIGHT(Protokoll_2p!G32,LEN(Protokoll_2p!G32)-FIND(":",Protokoll_2p!G32))),0,1))</f>
        <v/>
      </c>
      <c r="K26" s="1" t="str">
        <f>IF(Protokoll_2p!H32="","",IF(VALUE(LEFT(Protokoll_2p!H32,FIND(":",Protokoll_2p!H32)-1))&gt;VALUE(RIGHT(Protokoll_2p!H32,LEN(Protokoll_2p!H32)-FIND(":",Protokoll_2p!H32))),0,1))</f>
        <v/>
      </c>
      <c r="L26" s="1" t="str">
        <f>IF(Protokoll_2p!I32="","",IF(VALUE(LEFT(Protokoll_2p!I32,FIND(":",Protokoll_2p!I32)-1))&gt;VALUE(RIGHT(Protokoll_2p!I32,LEN(Protokoll_2p!I32)-FIND(":",Protokoll_2p!I32))),0,1))</f>
        <v/>
      </c>
      <c r="M26" s="1" t="str">
        <f>IF(Protokoll_2p!J32="","",IF(VALUE(LEFT(Protokoll_2p!J32,FIND(":",Protokoll_2p!J32)-1))&gt;VALUE(RIGHT(Protokoll_2p!J32,LEN(Protokoll_2p!J32)-FIND(":",Protokoll_2p!J32))),0,1))</f>
        <v/>
      </c>
      <c r="N26" s="1" t="str">
        <f t="shared" si="1"/>
        <v/>
      </c>
    </row>
    <row r="27" spans="2:14">
      <c r="B27" s="1">
        <f>IF(Protokoll_2p!F33="","",IF(VALUE(LEFT(Protokoll_2p!F33,FIND(":",Protokoll_2p!F33)-1))&gt;VALUE(RIGHT(Protokoll_2p!F33,LEN(Protokoll_2p!F33)-FIND(":",Protokoll_2p!F33))),1,0))</f>
        <v>1</v>
      </c>
      <c r="C27" s="1">
        <f>IF(Protokoll_2p!G33="","",IF(VALUE(LEFT(Protokoll_2p!G33,FIND(":",Protokoll_2p!G33)-1))&gt;VALUE(RIGHT(Protokoll_2p!G33,LEN(Protokoll_2p!G33)-FIND(":",Protokoll_2p!G33))),1,0))</f>
        <v>0</v>
      </c>
      <c r="D27" s="1">
        <f>IF(Protokoll_2p!H33="","",IF(VALUE(LEFT(Protokoll_2p!H33,FIND(":",Protokoll_2p!H33)-1))&gt;VALUE(RIGHT(Protokoll_2p!H33,LEN(Protokoll_2p!H33)-FIND(":",Protokoll_2p!H33))),1,0))</f>
        <v>0</v>
      </c>
      <c r="E27" s="1">
        <f>IF(Protokoll_2p!I33="","",IF(VALUE(LEFT(Protokoll_2p!I33,FIND(":",Protokoll_2p!I33)-1))&gt;VALUE(RIGHT(Protokoll_2p!I33,LEN(Protokoll_2p!I33)-FIND(":",Protokoll_2p!I33))),1,0))</f>
        <v>1</v>
      </c>
      <c r="F27" s="1">
        <f>IF(Protokoll_2p!J33="","",IF(VALUE(LEFT(Protokoll_2p!J33,FIND(":",Protokoll_2p!J33)-1))&gt;VALUE(RIGHT(Protokoll_2p!J33,LEN(Protokoll_2p!J33)-FIND(":",Protokoll_2p!J33))),1,0))</f>
        <v>1</v>
      </c>
      <c r="G27" s="1">
        <f t="shared" si="0"/>
        <v>3</v>
      </c>
      <c r="I27" s="1">
        <f>IF(Protokoll_2p!F33="","",IF(VALUE(LEFT(Protokoll_2p!F33,FIND(":",Protokoll_2p!F33)-1))&gt;VALUE(RIGHT(Protokoll_2p!F33,LEN(Protokoll_2p!F33)-FIND(":",Protokoll_2p!F33))),0,1))</f>
        <v>0</v>
      </c>
      <c r="J27" s="1">
        <f>IF(Protokoll_2p!G33="","",IF(VALUE(LEFT(Protokoll_2p!G33,FIND(":",Protokoll_2p!G33)-1))&gt;VALUE(RIGHT(Protokoll_2p!G33,LEN(Protokoll_2p!G33)-FIND(":",Protokoll_2p!G33))),0,1))</f>
        <v>1</v>
      </c>
      <c r="K27" s="1">
        <f>IF(Protokoll_2p!H33="","",IF(VALUE(LEFT(Protokoll_2p!H33,FIND(":",Protokoll_2p!H33)-1))&gt;VALUE(RIGHT(Protokoll_2p!H33,LEN(Protokoll_2p!H33)-FIND(":",Protokoll_2p!H33))),0,1))</f>
        <v>1</v>
      </c>
      <c r="L27" s="1">
        <f>IF(Protokoll_2p!I33="","",IF(VALUE(LEFT(Protokoll_2p!I33,FIND(":",Protokoll_2p!I33)-1))&gt;VALUE(RIGHT(Protokoll_2p!I33,LEN(Protokoll_2p!I33)-FIND(":",Protokoll_2p!I33))),0,1))</f>
        <v>0</v>
      </c>
      <c r="M27" s="1">
        <f>IF(Protokoll_2p!J33="","",IF(VALUE(LEFT(Protokoll_2p!J33,FIND(":",Protokoll_2p!J33)-1))&gt;VALUE(RIGHT(Protokoll_2p!J33,LEN(Protokoll_2p!J33)-FIND(":",Protokoll_2p!J33))),0,1))</f>
        <v>0</v>
      </c>
      <c r="N27" s="1">
        <f t="shared" si="1"/>
        <v>2</v>
      </c>
    </row>
    <row r="28" spans="2:14">
      <c r="B28" s="1" t="str">
        <f>IF(Protokoll_2p!F34="","",IF(VALUE(LEFT(Protokoll_2p!F34,FIND(":",Protokoll_2p!F34)-1))&gt;VALUE(RIGHT(Protokoll_2p!F34,LEN(Protokoll_2p!F34)-FIND(":",Protokoll_2p!F34))),1,0))</f>
        <v/>
      </c>
      <c r="C28" s="1" t="str">
        <f>IF(Protokoll_2p!G34="","",IF(VALUE(LEFT(Protokoll_2p!G34,FIND(":",Protokoll_2p!G34)-1))&gt;VALUE(RIGHT(Protokoll_2p!G34,LEN(Protokoll_2p!G34)-FIND(":",Protokoll_2p!G34))),1,0))</f>
        <v/>
      </c>
      <c r="D28" s="1" t="str">
        <f>IF(Protokoll_2p!H34="","",IF(VALUE(LEFT(Protokoll_2p!H34,FIND(":",Protokoll_2p!H34)-1))&gt;VALUE(RIGHT(Protokoll_2p!H34,LEN(Protokoll_2p!H34)-FIND(":",Protokoll_2p!H34))),1,0))</f>
        <v/>
      </c>
      <c r="E28" s="1" t="str">
        <f>IF(Protokoll_2p!I34="","",IF(VALUE(LEFT(Protokoll_2p!I34,FIND(":",Protokoll_2p!I34)-1))&gt;VALUE(RIGHT(Protokoll_2p!I34,LEN(Protokoll_2p!I34)-FIND(":",Protokoll_2p!I34))),1,0))</f>
        <v/>
      </c>
      <c r="F28" s="1" t="str">
        <f>IF(Protokoll_2p!J34="","",IF(VALUE(LEFT(Protokoll_2p!J34,FIND(":",Protokoll_2p!J34)-1))&gt;VALUE(RIGHT(Protokoll_2p!J34,LEN(Protokoll_2p!J34)-FIND(":",Protokoll_2p!J34))),1,0))</f>
        <v/>
      </c>
      <c r="G28" s="1" t="str">
        <f t="shared" si="0"/>
        <v/>
      </c>
      <c r="I28" s="1" t="str">
        <f>IF(Protokoll_2p!F34="","",IF(VALUE(LEFT(Protokoll_2p!F34,FIND(":",Protokoll_2p!F34)-1))&gt;VALUE(RIGHT(Protokoll_2p!F34,LEN(Protokoll_2p!F34)-FIND(":",Protokoll_2p!F34))),0,1))</f>
        <v/>
      </c>
      <c r="J28" s="1" t="str">
        <f>IF(Protokoll_2p!G34="","",IF(VALUE(LEFT(Protokoll_2p!G34,FIND(":",Protokoll_2p!G34)-1))&gt;VALUE(RIGHT(Protokoll_2p!G34,LEN(Protokoll_2p!G34)-FIND(":",Protokoll_2p!G34))),0,1))</f>
        <v/>
      </c>
      <c r="K28" s="1" t="str">
        <f>IF(Protokoll_2p!H34="","",IF(VALUE(LEFT(Protokoll_2p!H34,FIND(":",Protokoll_2p!H34)-1))&gt;VALUE(RIGHT(Protokoll_2p!H34,LEN(Protokoll_2p!H34)-FIND(":",Protokoll_2p!H34))),0,1))</f>
        <v/>
      </c>
      <c r="L28" s="1" t="str">
        <f>IF(Protokoll_2p!I34="","",IF(VALUE(LEFT(Protokoll_2p!I34,FIND(":",Protokoll_2p!I34)-1))&gt;VALUE(RIGHT(Protokoll_2p!I34,LEN(Protokoll_2p!I34)-FIND(":",Protokoll_2p!I34))),0,1))</f>
        <v/>
      </c>
      <c r="M28" s="1" t="str">
        <f>IF(Protokoll_2p!J34="","",IF(VALUE(LEFT(Protokoll_2p!J34,FIND(":",Protokoll_2p!J34)-1))&gt;VALUE(RIGHT(Protokoll_2p!J34,LEN(Protokoll_2p!J34)-FIND(":",Protokoll_2p!J34))),0,1))</f>
        <v/>
      </c>
      <c r="N28" s="1" t="str">
        <f t="shared" si="1"/>
        <v/>
      </c>
    </row>
    <row r="29" spans="2:14">
      <c r="B29" s="1" t="str">
        <f>IF(Protokoll_2p!F35="","",IF(VALUE(LEFT(Protokoll_2p!F35,FIND(":",Protokoll_2p!F35)-1))&gt;VALUE(RIGHT(Protokoll_2p!F35,LEN(Protokoll_2p!F35)-FIND(":",Protokoll_2p!F35))),1,0))</f>
        <v/>
      </c>
      <c r="C29" s="1" t="str">
        <f>IF(Protokoll_2p!G35="","",IF(VALUE(LEFT(Protokoll_2p!G35,FIND(":",Protokoll_2p!G35)-1))&gt;VALUE(RIGHT(Protokoll_2p!G35,LEN(Protokoll_2p!G35)-FIND(":",Protokoll_2p!G35))),1,0))</f>
        <v/>
      </c>
      <c r="D29" s="1" t="str">
        <f>IF(Protokoll_2p!H35="","",IF(VALUE(LEFT(Protokoll_2p!H35,FIND(":",Protokoll_2p!H35)-1))&gt;VALUE(RIGHT(Protokoll_2p!H35,LEN(Protokoll_2p!H35)-FIND(":",Protokoll_2p!H35))),1,0))</f>
        <v/>
      </c>
      <c r="E29" s="1" t="str">
        <f>IF(Protokoll_2p!I35="","",IF(VALUE(LEFT(Protokoll_2p!I35,FIND(":",Protokoll_2p!I35)-1))&gt;VALUE(RIGHT(Protokoll_2p!I35,LEN(Protokoll_2p!I35)-FIND(":",Protokoll_2p!I35))),1,0))</f>
        <v/>
      </c>
      <c r="F29" s="1" t="str">
        <f>IF(Protokoll_2p!J35="","",IF(VALUE(LEFT(Protokoll_2p!J35,FIND(":",Protokoll_2p!J35)-1))&gt;VALUE(RIGHT(Protokoll_2p!J35,LEN(Protokoll_2p!J35)-FIND(":",Protokoll_2p!J35))),1,0))</f>
        <v/>
      </c>
      <c r="G29" s="1" t="str">
        <f t="shared" si="0"/>
        <v/>
      </c>
      <c r="I29" s="1" t="str">
        <f>IF(Protokoll_2p!F35="","",IF(VALUE(LEFT(Protokoll_2p!F35,FIND(":",Protokoll_2p!F35)-1))&gt;VALUE(RIGHT(Protokoll_2p!F35,LEN(Protokoll_2p!F35)-FIND(":",Protokoll_2p!F35))),0,1))</f>
        <v/>
      </c>
      <c r="J29" s="1" t="str">
        <f>IF(Protokoll_2p!G35="","",IF(VALUE(LEFT(Protokoll_2p!G35,FIND(":",Protokoll_2p!G35)-1))&gt;VALUE(RIGHT(Protokoll_2p!G35,LEN(Protokoll_2p!G35)-FIND(":",Protokoll_2p!G35))),0,1))</f>
        <v/>
      </c>
      <c r="K29" s="1" t="str">
        <f>IF(Protokoll_2p!H35="","",IF(VALUE(LEFT(Protokoll_2p!H35,FIND(":",Protokoll_2p!H35)-1))&gt;VALUE(RIGHT(Protokoll_2p!H35,LEN(Protokoll_2p!H35)-FIND(":",Protokoll_2p!H35))),0,1))</f>
        <v/>
      </c>
      <c r="L29" s="1" t="str">
        <f>IF(Protokoll_2p!I35="","",IF(VALUE(LEFT(Protokoll_2p!I35,FIND(":",Protokoll_2p!I35)-1))&gt;VALUE(RIGHT(Protokoll_2p!I35,LEN(Protokoll_2p!I35)-FIND(":",Protokoll_2p!I35))),0,1))</f>
        <v/>
      </c>
      <c r="M29" s="1" t="str">
        <f>IF(Protokoll_2p!J35="","",IF(VALUE(LEFT(Protokoll_2p!J35,FIND(":",Protokoll_2p!J35)-1))&gt;VALUE(RIGHT(Protokoll_2p!J35,LEN(Protokoll_2p!J35)-FIND(":",Protokoll_2p!J35))),0,1))</f>
        <v/>
      </c>
      <c r="N29" s="1" t="str">
        <f t="shared" si="1"/>
        <v/>
      </c>
    </row>
    <row r="30" spans="2:14">
      <c r="B30" s="1" t="str">
        <f>IF(Protokoll_2p!F36="","",IF(VALUE(LEFT(Protokoll_2p!F36,FIND(":",Protokoll_2p!F36)-1))&gt;VALUE(RIGHT(Protokoll_2p!F36,LEN(Protokoll_2p!F36)-FIND(":",Protokoll_2p!F36))),1,0))</f>
        <v/>
      </c>
      <c r="C30" s="1" t="str">
        <f>IF(Protokoll_2p!G36="","",IF(VALUE(LEFT(Protokoll_2p!G36,FIND(":",Protokoll_2p!G36)-1))&gt;VALUE(RIGHT(Protokoll_2p!G36,LEN(Protokoll_2p!G36)-FIND(":",Protokoll_2p!G36))),1,0))</f>
        <v/>
      </c>
      <c r="D30" s="1" t="str">
        <f>IF(Protokoll_2p!H36="","",IF(VALUE(LEFT(Protokoll_2p!H36,FIND(":",Protokoll_2p!H36)-1))&gt;VALUE(RIGHT(Protokoll_2p!H36,LEN(Protokoll_2p!H36)-FIND(":",Protokoll_2p!H36))),1,0))</f>
        <v/>
      </c>
      <c r="E30" s="1" t="str">
        <f>IF(Protokoll_2p!I36="","",IF(VALUE(LEFT(Protokoll_2p!I36,FIND(":",Protokoll_2p!I36)-1))&gt;VALUE(RIGHT(Protokoll_2p!I36,LEN(Protokoll_2p!I36)-FIND(":",Protokoll_2p!I36))),1,0))</f>
        <v/>
      </c>
      <c r="F30" s="1" t="str">
        <f>IF(Protokoll_2p!J36="","",IF(VALUE(LEFT(Protokoll_2p!J36,FIND(":",Protokoll_2p!J36)-1))&gt;VALUE(RIGHT(Protokoll_2p!J36,LEN(Protokoll_2p!J36)-FIND(":",Protokoll_2p!J36))),1,0))</f>
        <v/>
      </c>
      <c r="G30" s="1" t="str">
        <f t="shared" si="0"/>
        <v/>
      </c>
      <c r="I30" s="1" t="str">
        <f>IF(Protokoll_2p!F36="","",IF(VALUE(LEFT(Protokoll_2p!F36,FIND(":",Protokoll_2p!F36)-1))&gt;VALUE(RIGHT(Protokoll_2p!F36,LEN(Protokoll_2p!F36)-FIND(":",Protokoll_2p!F36))),0,1))</f>
        <v/>
      </c>
      <c r="J30" s="1" t="str">
        <f>IF(Protokoll_2p!G36="","",IF(VALUE(LEFT(Protokoll_2p!G36,FIND(":",Protokoll_2p!G36)-1))&gt;VALUE(RIGHT(Protokoll_2p!G36,LEN(Protokoll_2p!G36)-FIND(":",Protokoll_2p!G36))),0,1))</f>
        <v/>
      </c>
      <c r="K30" s="1" t="str">
        <f>IF(Protokoll_2p!H36="","",IF(VALUE(LEFT(Protokoll_2p!H36,FIND(":",Protokoll_2p!H36)-1))&gt;VALUE(RIGHT(Protokoll_2p!H36,LEN(Protokoll_2p!H36)-FIND(":",Protokoll_2p!H36))),0,1))</f>
        <v/>
      </c>
      <c r="L30" s="1" t="str">
        <f>IF(Protokoll_2p!I36="","",IF(VALUE(LEFT(Protokoll_2p!I36,FIND(":",Protokoll_2p!I36)-1))&gt;VALUE(RIGHT(Protokoll_2p!I36,LEN(Protokoll_2p!I36)-FIND(":",Protokoll_2p!I36))),0,1))</f>
        <v/>
      </c>
      <c r="M30" s="1" t="str">
        <f>IF(Protokoll_2p!J36="","",IF(VALUE(LEFT(Protokoll_2p!J36,FIND(":",Protokoll_2p!J36)-1))&gt;VALUE(RIGHT(Protokoll_2p!J36,LEN(Protokoll_2p!J36)-FIND(":",Protokoll_2p!J36))),0,1))</f>
        <v/>
      </c>
      <c r="N30" s="1" t="str">
        <f t="shared" si="1"/>
        <v/>
      </c>
    </row>
    <row r="31" spans="2:14">
      <c r="B31" s="1" t="e">
        <f>IF(Protokoll_2p!F37="","",IF(VALUE(LEFT(Protokoll_2p!F37,FIND(":",Protokoll_2p!F37)-1))&gt;VALUE(RIGHT(Protokoll_2p!F37,LEN(Protokoll_2p!F37)-FIND(":",Protokoll_2p!F37))),1,0))</f>
        <v>#VALUE!</v>
      </c>
      <c r="C31" s="1" t="e">
        <f>IF(Protokoll_2p!G37="","",IF(VALUE(LEFT(Protokoll_2p!G37,FIND(":",Protokoll_2p!G37)-1))&gt;VALUE(RIGHT(Protokoll_2p!G37,LEN(Protokoll_2p!G37)-FIND(":",Protokoll_2p!G37))),1,0))</f>
        <v>#VALUE!</v>
      </c>
      <c r="D31" s="1" t="e">
        <f>IF(Protokoll_2p!H37="","",IF(VALUE(LEFT(Protokoll_2p!H37,FIND(":",Protokoll_2p!H37)-1))&gt;VALUE(RIGHT(Protokoll_2p!H37,LEN(Protokoll_2p!H37)-FIND(":",Protokoll_2p!H37))),1,0))</f>
        <v>#VALUE!</v>
      </c>
      <c r="E31" s="1" t="e">
        <f>IF(Protokoll_2p!I37="","",IF(VALUE(LEFT(Protokoll_2p!I37,FIND(":",Protokoll_2p!I37)-1))&gt;VALUE(RIGHT(Protokoll_2p!I37,LEN(Protokoll_2p!I37)-FIND(":",Protokoll_2p!I37))),1,0))</f>
        <v>#VALUE!</v>
      </c>
      <c r="F31" s="1" t="e">
        <f>IF(Protokoll_2p!J37="","",IF(VALUE(LEFT(Protokoll_2p!J37,FIND(":",Protokoll_2p!J37)-1))&gt;VALUE(RIGHT(Protokoll_2p!J37,LEN(Protokoll_2p!J37)-FIND(":",Protokoll_2p!J37))),1,0))</f>
        <v>#VALUE!</v>
      </c>
      <c r="G31" s="1" t="e">
        <f t="shared" si="0"/>
        <v>#VALUE!</v>
      </c>
      <c r="I31" s="1" t="e">
        <f>IF(Protokoll_2p!F37="","",IF(VALUE(LEFT(Protokoll_2p!F37,FIND(":",Protokoll_2p!F37)-1))&gt;VALUE(RIGHT(Protokoll_2p!F37,LEN(Protokoll_2p!F37)-FIND(":",Protokoll_2p!F37))),0,1))</f>
        <v>#VALUE!</v>
      </c>
      <c r="J31" s="1" t="e">
        <f>IF(Protokoll_2p!G37="","",IF(VALUE(LEFT(Protokoll_2p!G37,FIND(":",Protokoll_2p!G37)-1))&gt;VALUE(RIGHT(Protokoll_2p!G37,LEN(Protokoll_2p!G37)-FIND(":",Protokoll_2p!G37))),0,1))</f>
        <v>#VALUE!</v>
      </c>
      <c r="K31" s="1" t="e">
        <f>IF(Protokoll_2p!H37="","",IF(VALUE(LEFT(Protokoll_2p!H37,FIND(":",Protokoll_2p!H37)-1))&gt;VALUE(RIGHT(Protokoll_2p!H37,LEN(Protokoll_2p!H37)-FIND(":",Protokoll_2p!H37))),0,1))</f>
        <v>#VALUE!</v>
      </c>
      <c r="L31" s="1" t="e">
        <f>IF(Protokoll_2p!I37="","",IF(VALUE(LEFT(Protokoll_2p!I37,FIND(":",Protokoll_2p!I37)-1))&gt;VALUE(RIGHT(Protokoll_2p!I37,LEN(Protokoll_2p!I37)-FIND(":",Protokoll_2p!I37))),0,1))</f>
        <v>#VALUE!</v>
      </c>
      <c r="M31" s="1" t="e">
        <f>IF(Protokoll_2p!J37="","",IF(VALUE(LEFT(Protokoll_2p!J37,FIND(":",Protokoll_2p!J37)-1))&gt;VALUE(RIGHT(Protokoll_2p!J37,LEN(Protokoll_2p!J37)-FIND(":",Protokoll_2p!J37))),0,1))</f>
        <v>#VALUE!</v>
      </c>
      <c r="N31" s="1" t="e">
        <f t="shared" si="1"/>
        <v>#VALUE!</v>
      </c>
    </row>
    <row r="32" spans="2:14">
      <c r="B32" s="1">
        <f>IF(Protokoll_2p!F38="","",IF(VALUE(LEFT(Protokoll_2p!F38,FIND(":",Protokoll_2p!F38)-1))&gt;VALUE(RIGHT(Protokoll_2p!F38,LEN(Protokoll_2p!F38)-FIND(":",Protokoll_2p!F38))),1,0))</f>
        <v>1</v>
      </c>
      <c r="C32" s="1">
        <f>IF(Protokoll_2p!G38="","",IF(VALUE(LEFT(Protokoll_2p!G38,FIND(":",Protokoll_2p!G38)-1))&gt;VALUE(RIGHT(Protokoll_2p!G38,LEN(Protokoll_2p!G38)-FIND(":",Protokoll_2p!G38))),1,0))</f>
        <v>1</v>
      </c>
      <c r="D32" s="1">
        <f>IF(Protokoll_2p!H38="","",IF(VALUE(LEFT(Protokoll_2p!H38,FIND(":",Protokoll_2p!H38)-1))&gt;VALUE(RIGHT(Protokoll_2p!H38,LEN(Protokoll_2p!H38)-FIND(":",Protokoll_2p!H38))),1,0))</f>
        <v>1</v>
      </c>
      <c r="E32" s="1" t="str">
        <f>IF(Protokoll_2p!I38="","",IF(VALUE(LEFT(Protokoll_2p!I38,FIND(":",Protokoll_2p!I38)-1))&gt;VALUE(RIGHT(Protokoll_2p!I38,LEN(Protokoll_2p!I38)-FIND(":",Protokoll_2p!I38))),1,0))</f>
        <v/>
      </c>
      <c r="F32" s="1" t="str">
        <f>IF(Protokoll_2p!J38="","",IF(VALUE(LEFT(Protokoll_2p!J38,FIND(":",Protokoll_2p!J38)-1))&gt;VALUE(RIGHT(Protokoll_2p!J38,LEN(Protokoll_2p!J38)-FIND(":",Protokoll_2p!J38))),1,0))</f>
        <v/>
      </c>
      <c r="G32" s="1">
        <f t="shared" si="0"/>
        <v>3</v>
      </c>
      <c r="I32" s="1">
        <f>IF(Protokoll_2p!F38="","",IF(VALUE(LEFT(Protokoll_2p!F38,FIND(":",Protokoll_2p!F38)-1))&gt;VALUE(RIGHT(Protokoll_2p!F38,LEN(Protokoll_2p!F38)-FIND(":",Protokoll_2p!F38))),0,1))</f>
        <v>0</v>
      </c>
      <c r="J32" s="1">
        <f>IF(Protokoll_2p!G38="","",IF(VALUE(LEFT(Protokoll_2p!G38,FIND(":",Protokoll_2p!G38)-1))&gt;VALUE(RIGHT(Protokoll_2p!G38,LEN(Protokoll_2p!G38)-FIND(":",Protokoll_2p!G38))),0,1))</f>
        <v>0</v>
      </c>
      <c r="K32" s="1">
        <f>IF(Protokoll_2p!H38="","",IF(VALUE(LEFT(Protokoll_2p!H38,FIND(":",Protokoll_2p!H38)-1))&gt;VALUE(RIGHT(Protokoll_2p!H38,LEN(Protokoll_2p!H38)-FIND(":",Protokoll_2p!H38))),0,1))</f>
        <v>0</v>
      </c>
      <c r="L32" s="1" t="str">
        <f>IF(Protokoll_2p!I38="","",IF(VALUE(LEFT(Protokoll_2p!I38,FIND(":",Protokoll_2p!I38)-1))&gt;VALUE(RIGHT(Protokoll_2p!I38,LEN(Protokoll_2p!I38)-FIND(":",Protokoll_2p!I38))),0,1))</f>
        <v/>
      </c>
      <c r="M32" s="1" t="str">
        <f>IF(Protokoll_2p!J38="","",IF(VALUE(LEFT(Protokoll_2p!J38,FIND(":",Protokoll_2p!J38)-1))&gt;VALUE(RIGHT(Protokoll_2p!J38,LEN(Protokoll_2p!J38)-FIND(":",Protokoll_2p!J38))),0,1))</f>
        <v/>
      </c>
      <c r="N32" s="1">
        <f t="shared" si="1"/>
        <v>0</v>
      </c>
    </row>
    <row r="33" spans="2:14">
      <c r="B33" s="1">
        <f>IF(Protokoll_2p!F39="","",IF(VALUE(LEFT(Protokoll_2p!F39,FIND(":",Protokoll_2p!F39)-1))&gt;VALUE(RIGHT(Protokoll_2p!F39,LEN(Protokoll_2p!F39)-FIND(":",Protokoll_2p!F39))),1,0))</f>
        <v>1</v>
      </c>
      <c r="C33" s="1">
        <f>IF(Protokoll_2p!G39="","",IF(VALUE(LEFT(Protokoll_2p!G39,FIND(":",Protokoll_2p!G39)-1))&gt;VALUE(RIGHT(Protokoll_2p!G39,LEN(Protokoll_2p!G39)-FIND(":",Protokoll_2p!G39))),1,0))</f>
        <v>1</v>
      </c>
      <c r="D33" s="1">
        <f>IF(Protokoll_2p!H39="","",IF(VALUE(LEFT(Protokoll_2p!H39,FIND(":",Protokoll_2p!H39)-1))&gt;VALUE(RIGHT(Protokoll_2p!H39,LEN(Protokoll_2p!H39)-FIND(":",Protokoll_2p!H39))),1,0))</f>
        <v>1</v>
      </c>
      <c r="E33" s="1" t="str">
        <f>IF(Protokoll_2p!I39="","",IF(VALUE(LEFT(Protokoll_2p!I39,FIND(":",Protokoll_2p!I39)-1))&gt;VALUE(RIGHT(Protokoll_2p!I39,LEN(Protokoll_2p!I39)-FIND(":",Protokoll_2p!I39))),1,0))</f>
        <v/>
      </c>
      <c r="F33" s="1" t="str">
        <f>IF(Protokoll_2p!J39="","",IF(VALUE(LEFT(Protokoll_2p!J39,FIND(":",Protokoll_2p!J39)-1))&gt;VALUE(RIGHT(Protokoll_2p!J39,LEN(Protokoll_2p!J39)-FIND(":",Protokoll_2p!J39))),1,0))</f>
        <v/>
      </c>
      <c r="G33" s="1">
        <f t="shared" si="0"/>
        <v>3</v>
      </c>
      <c r="I33" s="1">
        <f>IF(Protokoll_2p!F39="","",IF(VALUE(LEFT(Protokoll_2p!F39,FIND(":",Protokoll_2p!F39)-1))&gt;VALUE(RIGHT(Protokoll_2p!F39,LEN(Protokoll_2p!F39)-FIND(":",Protokoll_2p!F39))),0,1))</f>
        <v>0</v>
      </c>
      <c r="J33" s="1">
        <f>IF(Protokoll_2p!G39="","",IF(VALUE(LEFT(Protokoll_2p!G39,FIND(":",Protokoll_2p!G39)-1))&gt;VALUE(RIGHT(Protokoll_2p!G39,LEN(Protokoll_2p!G39)-FIND(":",Protokoll_2p!G39))),0,1))</f>
        <v>0</v>
      </c>
      <c r="K33" s="1">
        <f>IF(Protokoll_2p!H39="","",IF(VALUE(LEFT(Protokoll_2p!H39,FIND(":",Protokoll_2p!H39)-1))&gt;VALUE(RIGHT(Protokoll_2p!H39,LEN(Protokoll_2p!H39)-FIND(":",Protokoll_2p!H39))),0,1))</f>
        <v>0</v>
      </c>
      <c r="L33" s="1" t="str">
        <f>IF(Protokoll_2p!I39="","",IF(VALUE(LEFT(Protokoll_2p!I39,FIND(":",Protokoll_2p!I39)-1))&gt;VALUE(RIGHT(Protokoll_2p!I39,LEN(Protokoll_2p!I39)-FIND(":",Protokoll_2p!I39))),0,1))</f>
        <v/>
      </c>
      <c r="M33" s="1" t="str">
        <f>IF(Protokoll_2p!J39="","",IF(VALUE(LEFT(Protokoll_2p!J39,FIND(":",Protokoll_2p!J39)-1))&gt;VALUE(RIGHT(Protokoll_2p!J39,LEN(Protokoll_2p!J39)-FIND(":",Protokoll_2p!J39))),0,1))</f>
        <v/>
      </c>
      <c r="N33" s="1">
        <f t="shared" si="1"/>
        <v>0</v>
      </c>
    </row>
    <row r="34" spans="2:14">
      <c r="B34" s="1">
        <f>IF(Protokoll_2p!F40="","",IF(VALUE(LEFT(Protokoll_2p!F40,FIND(":",Protokoll_2p!F40)-1))&gt;VALUE(RIGHT(Protokoll_2p!F40,LEN(Protokoll_2p!F40)-FIND(":",Protokoll_2p!F40))),1,0))</f>
        <v>1</v>
      </c>
      <c r="C34" s="1">
        <f>IF(Protokoll_2p!G40="","",IF(VALUE(LEFT(Protokoll_2p!G40,FIND(":",Protokoll_2p!G40)-1))&gt;VALUE(RIGHT(Protokoll_2p!G40,LEN(Protokoll_2p!G40)-FIND(":",Protokoll_2p!G40))),1,0))</f>
        <v>1</v>
      </c>
      <c r="D34" s="1">
        <f>IF(Protokoll_2p!H40="","",IF(VALUE(LEFT(Protokoll_2p!H40,FIND(":",Protokoll_2p!H40)-1))&gt;VALUE(RIGHT(Protokoll_2p!H40,LEN(Protokoll_2p!H40)-FIND(":",Protokoll_2p!H40))),1,0))</f>
        <v>1</v>
      </c>
      <c r="E34" s="1" t="str">
        <f>IF(Protokoll_2p!I40="","",IF(VALUE(LEFT(Protokoll_2p!I40,FIND(":",Protokoll_2p!I40)-1))&gt;VALUE(RIGHT(Protokoll_2p!I40,LEN(Protokoll_2p!I40)-FIND(":",Protokoll_2p!I40))),1,0))</f>
        <v/>
      </c>
      <c r="F34" s="1" t="str">
        <f>IF(Protokoll_2p!J40="","",IF(VALUE(LEFT(Protokoll_2p!J40,FIND(":",Protokoll_2p!J40)-1))&gt;VALUE(RIGHT(Protokoll_2p!J40,LEN(Protokoll_2p!J40)-FIND(":",Protokoll_2p!J40))),1,0))</f>
        <v/>
      </c>
      <c r="G34" s="1">
        <f t="shared" si="0"/>
        <v>3</v>
      </c>
      <c r="I34" s="1">
        <f>IF(Protokoll_2p!F40="","",IF(VALUE(LEFT(Protokoll_2p!F40,FIND(":",Protokoll_2p!F40)-1))&gt;VALUE(RIGHT(Protokoll_2p!F40,LEN(Protokoll_2p!F40)-FIND(":",Protokoll_2p!F40))),0,1))</f>
        <v>0</v>
      </c>
      <c r="J34" s="1">
        <f>IF(Protokoll_2p!G40="","",IF(VALUE(LEFT(Protokoll_2p!G40,FIND(":",Protokoll_2p!G40)-1))&gt;VALUE(RIGHT(Protokoll_2p!G40,LEN(Protokoll_2p!G40)-FIND(":",Protokoll_2p!G40))),0,1))</f>
        <v>0</v>
      </c>
      <c r="K34" s="1">
        <f>IF(Protokoll_2p!H40="","",IF(VALUE(LEFT(Protokoll_2p!H40,FIND(":",Protokoll_2p!H40)-1))&gt;VALUE(RIGHT(Protokoll_2p!H40,LEN(Protokoll_2p!H40)-FIND(":",Protokoll_2p!H40))),0,1))</f>
        <v>0</v>
      </c>
      <c r="L34" s="1" t="str">
        <f>IF(Protokoll_2p!I40="","",IF(VALUE(LEFT(Protokoll_2p!I40,FIND(":",Protokoll_2p!I40)-1))&gt;VALUE(RIGHT(Protokoll_2p!I40,LEN(Protokoll_2p!I40)-FIND(":",Protokoll_2p!I40))),0,1))</f>
        <v/>
      </c>
      <c r="M34" s="1" t="str">
        <f>IF(Protokoll_2p!J40="","",IF(VALUE(LEFT(Protokoll_2p!J40,FIND(":",Protokoll_2p!J40)-1))&gt;VALUE(RIGHT(Protokoll_2p!J40,LEN(Protokoll_2p!J40)-FIND(":",Protokoll_2p!J40))),0,1))</f>
        <v/>
      </c>
      <c r="N34" s="1">
        <f t="shared" si="1"/>
        <v>0</v>
      </c>
    </row>
    <row r="35" spans="2:14">
      <c r="B35" s="1">
        <f>IF(Protokoll_2p!F41="","",IF(VALUE(LEFT(Protokoll_2p!F41,FIND(":",Protokoll_2p!F41)-1))&gt;VALUE(RIGHT(Protokoll_2p!F41,LEN(Protokoll_2p!F41)-FIND(":",Protokoll_2p!F41))),1,0))</f>
        <v>1</v>
      </c>
      <c r="C35" s="1">
        <f>IF(Protokoll_2p!G41="","",IF(VALUE(LEFT(Protokoll_2p!G41,FIND(":",Protokoll_2p!G41)-1))&gt;VALUE(RIGHT(Protokoll_2p!G41,LEN(Protokoll_2p!G41)-FIND(":",Protokoll_2p!G41))),1,0))</f>
        <v>1</v>
      </c>
      <c r="D35" s="1">
        <f>IF(Protokoll_2p!H41="","",IF(VALUE(LEFT(Protokoll_2p!H41,FIND(":",Protokoll_2p!H41)-1))&gt;VALUE(RIGHT(Protokoll_2p!H41,LEN(Protokoll_2p!H41)-FIND(":",Protokoll_2p!H41))),1,0))</f>
        <v>1</v>
      </c>
      <c r="E35" s="1" t="str">
        <f>IF(Protokoll_2p!I41="","",IF(VALUE(LEFT(Protokoll_2p!I41,FIND(":",Protokoll_2p!I41)-1))&gt;VALUE(RIGHT(Protokoll_2p!I41,LEN(Protokoll_2p!I41)-FIND(":",Protokoll_2p!I41))),1,0))</f>
        <v/>
      </c>
      <c r="F35" s="1" t="str">
        <f>IF(Protokoll_2p!J41="","",IF(VALUE(LEFT(Protokoll_2p!J41,FIND(":",Protokoll_2p!J41)-1))&gt;VALUE(RIGHT(Protokoll_2p!J41,LEN(Protokoll_2p!J41)-FIND(":",Protokoll_2p!J41))),1,0))</f>
        <v/>
      </c>
      <c r="G35" s="1">
        <f t="shared" si="0"/>
        <v>3</v>
      </c>
      <c r="I35" s="1">
        <f>IF(Protokoll_2p!F41="","",IF(VALUE(LEFT(Protokoll_2p!F41,FIND(":",Protokoll_2p!F41)-1))&gt;VALUE(RIGHT(Protokoll_2p!F41,LEN(Protokoll_2p!F41)-FIND(":",Protokoll_2p!F41))),0,1))</f>
        <v>0</v>
      </c>
      <c r="J35" s="1">
        <f>IF(Protokoll_2p!G41="","",IF(VALUE(LEFT(Protokoll_2p!G41,FIND(":",Protokoll_2p!G41)-1))&gt;VALUE(RIGHT(Protokoll_2p!G41,LEN(Protokoll_2p!G41)-FIND(":",Protokoll_2p!G41))),0,1))</f>
        <v>0</v>
      </c>
      <c r="K35" s="1">
        <f>IF(Protokoll_2p!H41="","",IF(VALUE(LEFT(Protokoll_2p!H41,FIND(":",Protokoll_2p!H41)-1))&gt;VALUE(RIGHT(Protokoll_2p!H41,LEN(Protokoll_2p!H41)-FIND(":",Protokoll_2p!H41))),0,1))</f>
        <v>0</v>
      </c>
      <c r="L35" s="1" t="str">
        <f>IF(Protokoll_2p!I41="","",IF(VALUE(LEFT(Protokoll_2p!I41,FIND(":",Protokoll_2p!I41)-1))&gt;VALUE(RIGHT(Protokoll_2p!I41,LEN(Protokoll_2p!I41)-FIND(":",Protokoll_2p!I41))),0,1))</f>
        <v/>
      </c>
      <c r="M35" s="1" t="str">
        <f>IF(Protokoll_2p!J41="","",IF(VALUE(LEFT(Protokoll_2p!J41,FIND(":",Protokoll_2p!J41)-1))&gt;VALUE(RIGHT(Protokoll_2p!J41,LEN(Protokoll_2p!J41)-FIND(":",Protokoll_2p!J41))),0,1))</f>
        <v/>
      </c>
      <c r="N35" s="1">
        <f t="shared" si="1"/>
        <v>0</v>
      </c>
    </row>
    <row r="36" spans="2:14">
      <c r="B36" s="1" t="str">
        <f>IF(Protokoll_2p!F42="","",IF(VALUE(LEFT(Protokoll_2p!F42,FIND(":",Protokoll_2p!F42)-1))&gt;VALUE(RIGHT(Protokoll_2p!F42,LEN(Protokoll_2p!F42)-FIND(":",Protokoll_2p!F42))),1,0))</f>
        <v/>
      </c>
      <c r="C36" s="1" t="str">
        <f>IF(Protokoll_2p!G42="","",IF(VALUE(LEFT(Protokoll_2p!G42,FIND(":",Protokoll_2p!G42)-1))&gt;VALUE(RIGHT(Protokoll_2p!G42,LEN(Protokoll_2p!G42)-FIND(":",Protokoll_2p!G42))),1,0))</f>
        <v/>
      </c>
      <c r="D36" s="1" t="str">
        <f>IF(Protokoll_2p!H42="","",IF(VALUE(LEFT(Protokoll_2p!H42,FIND(":",Protokoll_2p!H42)-1))&gt;VALUE(RIGHT(Protokoll_2p!H42,LEN(Protokoll_2p!H42)-FIND(":",Protokoll_2p!H42))),1,0))</f>
        <v/>
      </c>
      <c r="E36" s="1" t="str">
        <f>IF(Protokoll_2p!I42="","",IF(VALUE(LEFT(Protokoll_2p!I42,FIND(":",Protokoll_2p!I42)-1))&gt;VALUE(RIGHT(Protokoll_2p!I42,LEN(Protokoll_2p!I42)-FIND(":",Protokoll_2p!I42))),1,0))</f>
        <v/>
      </c>
      <c r="F36" s="1" t="str">
        <f>IF(Protokoll_2p!J42="","",IF(VALUE(LEFT(Protokoll_2p!J42,FIND(":",Protokoll_2p!J42)-1))&gt;VALUE(RIGHT(Protokoll_2p!J42,LEN(Protokoll_2p!J42)-FIND(":",Protokoll_2p!J42))),1,0))</f>
        <v/>
      </c>
      <c r="G36" s="1" t="str">
        <f t="shared" si="0"/>
        <v/>
      </c>
      <c r="I36" s="1" t="str">
        <f>IF(Protokoll_2p!F42="","",IF(VALUE(LEFT(Protokoll_2p!F42,FIND(":",Protokoll_2p!F42)-1))&gt;VALUE(RIGHT(Protokoll_2p!F42,LEN(Protokoll_2p!F42)-FIND(":",Protokoll_2p!F42))),0,1))</f>
        <v/>
      </c>
      <c r="J36" s="1" t="str">
        <f>IF(Protokoll_2p!G42="","",IF(VALUE(LEFT(Protokoll_2p!G42,FIND(":",Protokoll_2p!G42)-1))&gt;VALUE(RIGHT(Protokoll_2p!G42,LEN(Protokoll_2p!G42)-FIND(":",Protokoll_2p!G42))),0,1))</f>
        <v/>
      </c>
      <c r="K36" s="1" t="str">
        <f>IF(Protokoll_2p!H42="","",IF(VALUE(LEFT(Protokoll_2p!H42,FIND(":",Protokoll_2p!H42)-1))&gt;VALUE(RIGHT(Protokoll_2p!H42,LEN(Protokoll_2p!H42)-FIND(":",Protokoll_2p!H42))),0,1))</f>
        <v/>
      </c>
      <c r="L36" s="1" t="str">
        <f>IF(Protokoll_2p!I42="","",IF(VALUE(LEFT(Protokoll_2p!I42,FIND(":",Protokoll_2p!I42)-1))&gt;VALUE(RIGHT(Protokoll_2p!I42,LEN(Protokoll_2p!I42)-FIND(":",Protokoll_2p!I42))),0,1))</f>
        <v/>
      </c>
      <c r="M36" s="1" t="str">
        <f>IF(Protokoll_2p!J42="","",IF(VALUE(LEFT(Protokoll_2p!J42,FIND(":",Protokoll_2p!J42)-1))&gt;VALUE(RIGHT(Protokoll_2p!J42,LEN(Protokoll_2p!J42)-FIND(":",Protokoll_2p!J42))),0,1))</f>
        <v/>
      </c>
      <c r="N36" s="1" t="str">
        <f t="shared" si="1"/>
        <v/>
      </c>
    </row>
    <row r="37" spans="2:14">
      <c r="B37" s="1" t="str">
        <f>IF(Protokoll_2p!F43="","",IF(VALUE(LEFT(Protokoll_2p!F43,FIND(":",Protokoll_2p!F43)-1))&gt;VALUE(RIGHT(Protokoll_2p!F43,LEN(Protokoll_2p!F43)-FIND(":",Protokoll_2p!F43))),1,0))</f>
        <v/>
      </c>
      <c r="C37" s="1" t="str">
        <f>IF(Protokoll_2p!G43="","",IF(VALUE(LEFT(Protokoll_2p!G43,FIND(":",Protokoll_2p!G43)-1))&gt;VALUE(RIGHT(Protokoll_2p!G43,LEN(Protokoll_2p!G43)-FIND(":",Protokoll_2p!G43))),1,0))</f>
        <v/>
      </c>
      <c r="D37" s="1" t="str">
        <f>IF(Protokoll_2p!H43="","",IF(VALUE(LEFT(Protokoll_2p!H43,FIND(":",Protokoll_2p!H43)-1))&gt;VALUE(RIGHT(Protokoll_2p!H43,LEN(Protokoll_2p!H43)-FIND(":",Protokoll_2p!H43))),1,0))</f>
        <v/>
      </c>
      <c r="E37" s="1" t="str">
        <f>IF(Protokoll_2p!I43="","",IF(VALUE(LEFT(Protokoll_2p!I43,FIND(":",Protokoll_2p!I43)-1))&gt;VALUE(RIGHT(Protokoll_2p!I43,LEN(Protokoll_2p!I43)-FIND(":",Protokoll_2p!I43))),1,0))</f>
        <v/>
      </c>
      <c r="F37" s="1" t="str">
        <f>IF(Protokoll_2p!J43="","",IF(VALUE(LEFT(Protokoll_2p!J43,FIND(":",Protokoll_2p!J43)-1))&gt;VALUE(RIGHT(Protokoll_2p!J43,LEN(Protokoll_2p!J43)-FIND(":",Protokoll_2p!J43))),1,0))</f>
        <v/>
      </c>
      <c r="G37" s="1" t="str">
        <f t="shared" si="0"/>
        <v/>
      </c>
      <c r="I37" s="1" t="str">
        <f>IF(Protokoll_2p!F43="","",IF(VALUE(LEFT(Protokoll_2p!F43,FIND(":",Protokoll_2p!F43)-1))&gt;VALUE(RIGHT(Protokoll_2p!F43,LEN(Protokoll_2p!F43)-FIND(":",Protokoll_2p!F43))),0,1))</f>
        <v/>
      </c>
      <c r="J37" s="1" t="str">
        <f>IF(Protokoll_2p!G43="","",IF(VALUE(LEFT(Protokoll_2p!G43,FIND(":",Protokoll_2p!G43)-1))&gt;VALUE(RIGHT(Protokoll_2p!G43,LEN(Protokoll_2p!G43)-FIND(":",Protokoll_2p!G43))),0,1))</f>
        <v/>
      </c>
      <c r="K37" s="1" t="str">
        <f>IF(Protokoll_2p!H43="","",IF(VALUE(LEFT(Protokoll_2p!H43,FIND(":",Protokoll_2p!H43)-1))&gt;VALUE(RIGHT(Protokoll_2p!H43,LEN(Protokoll_2p!H43)-FIND(":",Protokoll_2p!H43))),0,1))</f>
        <v/>
      </c>
      <c r="L37" s="1" t="str">
        <f>IF(Protokoll_2p!I43="","",IF(VALUE(LEFT(Protokoll_2p!I43,FIND(":",Protokoll_2p!I43)-1))&gt;VALUE(RIGHT(Protokoll_2p!I43,LEN(Protokoll_2p!I43)-FIND(":",Protokoll_2p!I43))),0,1))</f>
        <v/>
      </c>
      <c r="M37" s="1" t="str">
        <f>IF(Protokoll_2p!J43="","",IF(VALUE(LEFT(Protokoll_2p!J43,FIND(":",Protokoll_2p!J43)-1))&gt;VALUE(RIGHT(Protokoll_2p!J43,LEN(Protokoll_2p!J43)-FIND(":",Protokoll_2p!J43))),0,1))</f>
        <v/>
      </c>
      <c r="N37" s="1" t="str">
        <f t="shared" si="1"/>
        <v/>
      </c>
    </row>
    <row r="38" spans="2:14">
      <c r="B38" s="1" t="str">
        <f>IF(Protokoll_2p!F44="","",IF(VALUE(LEFT(Protokoll_2p!F44,FIND(":",Protokoll_2p!F44)-1))&gt;VALUE(RIGHT(Protokoll_2p!F44,LEN(Protokoll_2p!F44)-FIND(":",Protokoll_2p!F44))),1,0))</f>
        <v/>
      </c>
      <c r="C38" s="1" t="str">
        <f>IF(Protokoll_2p!G44="","",IF(VALUE(LEFT(Protokoll_2p!G44,FIND(":",Protokoll_2p!G44)-1))&gt;VALUE(RIGHT(Protokoll_2p!G44,LEN(Protokoll_2p!G44)-FIND(":",Protokoll_2p!G44))),1,0))</f>
        <v/>
      </c>
      <c r="D38" s="1" t="str">
        <f>IF(Protokoll_2p!H44="","",IF(VALUE(LEFT(Protokoll_2p!H44,FIND(":",Protokoll_2p!H44)-1))&gt;VALUE(RIGHT(Protokoll_2p!H44,LEN(Protokoll_2p!H44)-FIND(":",Protokoll_2p!H44))),1,0))</f>
        <v/>
      </c>
      <c r="E38" s="1" t="str">
        <f>IF(Protokoll_2p!I44="","",IF(VALUE(LEFT(Protokoll_2p!I44,FIND(":",Protokoll_2p!I44)-1))&gt;VALUE(RIGHT(Protokoll_2p!I44,LEN(Protokoll_2p!I44)-FIND(":",Protokoll_2p!I44))),1,0))</f>
        <v/>
      </c>
      <c r="F38" s="1" t="str">
        <f>IF(Protokoll_2p!J44="","",IF(VALUE(LEFT(Protokoll_2p!J44,FIND(":",Protokoll_2p!J44)-1))&gt;VALUE(RIGHT(Protokoll_2p!J44,LEN(Protokoll_2p!J44)-FIND(":",Protokoll_2p!J44))),1,0))</f>
        <v/>
      </c>
      <c r="G38" s="1" t="str">
        <f t="shared" si="0"/>
        <v/>
      </c>
      <c r="I38" s="1" t="str">
        <f>IF(Protokoll_2p!F44="","",IF(VALUE(LEFT(Protokoll_2p!F44,FIND(":",Protokoll_2p!F44)-1))&gt;VALUE(RIGHT(Protokoll_2p!F44,LEN(Protokoll_2p!F44)-FIND(":",Protokoll_2p!F44))),0,1))</f>
        <v/>
      </c>
      <c r="J38" s="1" t="str">
        <f>IF(Protokoll_2p!G44="","",IF(VALUE(LEFT(Protokoll_2p!G44,FIND(":",Protokoll_2p!G44)-1))&gt;VALUE(RIGHT(Protokoll_2p!G44,LEN(Protokoll_2p!G44)-FIND(":",Protokoll_2p!G44))),0,1))</f>
        <v/>
      </c>
      <c r="K38" s="1" t="str">
        <f>IF(Protokoll_2p!H44="","",IF(VALUE(LEFT(Protokoll_2p!H44,FIND(":",Protokoll_2p!H44)-1))&gt;VALUE(RIGHT(Protokoll_2p!H44,LEN(Protokoll_2p!H44)-FIND(":",Protokoll_2p!H44))),0,1))</f>
        <v/>
      </c>
      <c r="L38" s="1" t="str">
        <f>IF(Protokoll_2p!I44="","",IF(VALUE(LEFT(Protokoll_2p!I44,FIND(":",Protokoll_2p!I44)-1))&gt;VALUE(RIGHT(Protokoll_2p!I44,LEN(Protokoll_2p!I44)-FIND(":",Protokoll_2p!I44))),0,1))</f>
        <v/>
      </c>
      <c r="M38" s="1" t="str">
        <f>IF(Protokoll_2p!J44="","",IF(VALUE(LEFT(Protokoll_2p!J44,FIND(":",Protokoll_2p!J44)-1))&gt;VALUE(RIGHT(Protokoll_2p!J44,LEN(Protokoll_2p!J44)-FIND(":",Protokoll_2p!J44))),0,1))</f>
        <v/>
      </c>
      <c r="N38" s="1" t="str">
        <f t="shared" si="1"/>
        <v/>
      </c>
    </row>
    <row r="39" spans="2:14">
      <c r="B39" s="1" t="str">
        <f>IF(Protokoll_2p!F45="","",IF(VALUE(LEFT(Protokoll_2p!F45,FIND(":",Protokoll_2p!F45)-1))&gt;VALUE(RIGHT(Protokoll_2p!F45,LEN(Protokoll_2p!F45)-FIND(":",Protokoll_2p!F45))),1,0))</f>
        <v/>
      </c>
      <c r="C39" s="1" t="str">
        <f>IF(Protokoll_2p!G45="","",IF(VALUE(LEFT(Protokoll_2p!G45,FIND(":",Protokoll_2p!G45)-1))&gt;VALUE(RIGHT(Protokoll_2p!G45,LEN(Protokoll_2p!G45)-FIND(":",Protokoll_2p!G45))),1,0))</f>
        <v/>
      </c>
      <c r="D39" s="1" t="str">
        <f>IF(Protokoll_2p!H45="","",IF(VALUE(LEFT(Protokoll_2p!H45,FIND(":",Protokoll_2p!H45)-1))&gt;VALUE(RIGHT(Protokoll_2p!H45,LEN(Protokoll_2p!H45)-FIND(":",Protokoll_2p!H45))),1,0))</f>
        <v/>
      </c>
      <c r="E39" s="1" t="str">
        <f>IF(Protokoll_2p!I45="","",IF(VALUE(LEFT(Protokoll_2p!I45,FIND(":",Protokoll_2p!I45)-1))&gt;VALUE(RIGHT(Protokoll_2p!I45,LEN(Protokoll_2p!I45)-FIND(":",Protokoll_2p!I45))),1,0))</f>
        <v/>
      </c>
      <c r="F39" s="1" t="str">
        <f>IF(Protokoll_2p!J45="","",IF(VALUE(LEFT(Protokoll_2p!J45,FIND(":",Protokoll_2p!J45)-1))&gt;VALUE(RIGHT(Protokoll_2p!J45,LEN(Protokoll_2p!J45)-FIND(":",Protokoll_2p!J45))),1,0))</f>
        <v/>
      </c>
      <c r="G39" s="1" t="str">
        <f t="shared" si="0"/>
        <v/>
      </c>
      <c r="I39" s="1" t="str">
        <f>IF(Protokoll_2p!F45="","",IF(VALUE(LEFT(Protokoll_2p!F45,FIND(":",Protokoll_2p!F45)-1))&gt;VALUE(RIGHT(Protokoll_2p!F45,LEN(Protokoll_2p!F45)-FIND(":",Protokoll_2p!F45))),0,1))</f>
        <v/>
      </c>
      <c r="J39" s="1" t="str">
        <f>IF(Protokoll_2p!G45="","",IF(VALUE(LEFT(Protokoll_2p!G45,FIND(":",Protokoll_2p!G45)-1))&gt;VALUE(RIGHT(Protokoll_2p!G45,LEN(Protokoll_2p!G45)-FIND(":",Protokoll_2p!G45))),0,1))</f>
        <v/>
      </c>
      <c r="K39" s="1" t="str">
        <f>IF(Protokoll_2p!H45="","",IF(VALUE(LEFT(Protokoll_2p!H45,FIND(":",Protokoll_2p!H45)-1))&gt;VALUE(RIGHT(Protokoll_2p!H45,LEN(Protokoll_2p!H45)-FIND(":",Protokoll_2p!H45))),0,1))</f>
        <v/>
      </c>
      <c r="L39" s="1" t="str">
        <f>IF(Protokoll_2p!I45="","",IF(VALUE(LEFT(Protokoll_2p!I45,FIND(":",Protokoll_2p!I45)-1))&gt;VALUE(RIGHT(Protokoll_2p!I45,LEN(Protokoll_2p!I45)-FIND(":",Protokoll_2p!I45))),0,1))</f>
        <v/>
      </c>
      <c r="M39" s="1" t="str">
        <f>IF(Protokoll_2p!J45="","",IF(VALUE(LEFT(Protokoll_2p!J45,FIND(":",Protokoll_2p!J45)-1))&gt;VALUE(RIGHT(Protokoll_2p!J45,LEN(Protokoll_2p!J45)-FIND(":",Protokoll_2p!J45))),0,1))</f>
        <v/>
      </c>
      <c r="N39" s="1" t="str">
        <f t="shared" si="1"/>
        <v/>
      </c>
    </row>
    <row r="40" spans="2:14">
      <c r="B40" s="1" t="str">
        <f>IF(Protokoll_2p!F46="","",IF(VALUE(LEFT(Protokoll_2p!F46,FIND(":",Protokoll_2p!F46)-1))&gt;VALUE(RIGHT(Protokoll_2p!F46,LEN(Protokoll_2p!F46)-FIND(":",Protokoll_2p!F46))),1,0))</f>
        <v/>
      </c>
      <c r="C40" s="1" t="str">
        <f>IF(Protokoll_2p!G46="","",IF(VALUE(LEFT(Protokoll_2p!G46,FIND(":",Protokoll_2p!G46)-1))&gt;VALUE(RIGHT(Protokoll_2p!G46,LEN(Protokoll_2p!G46)-FIND(":",Protokoll_2p!G46))),1,0))</f>
        <v/>
      </c>
      <c r="D40" s="1" t="str">
        <f>IF(Protokoll_2p!H46="","",IF(VALUE(LEFT(Protokoll_2p!H46,FIND(":",Protokoll_2p!H46)-1))&gt;VALUE(RIGHT(Protokoll_2p!H46,LEN(Protokoll_2p!H46)-FIND(":",Protokoll_2p!H46))),1,0))</f>
        <v/>
      </c>
      <c r="E40" s="1" t="str">
        <f>IF(Protokoll_2p!I46="","",IF(VALUE(LEFT(Protokoll_2p!I46,FIND(":",Protokoll_2p!I46)-1))&gt;VALUE(RIGHT(Protokoll_2p!I46,LEN(Protokoll_2p!I46)-FIND(":",Protokoll_2p!I46))),1,0))</f>
        <v/>
      </c>
      <c r="F40" s="1" t="str">
        <f>IF(Protokoll_2p!J46="","",IF(VALUE(LEFT(Protokoll_2p!J46,FIND(":",Protokoll_2p!J46)-1))&gt;VALUE(RIGHT(Protokoll_2p!J46,LEN(Protokoll_2p!J46)-FIND(":",Protokoll_2p!J46))),1,0))</f>
        <v/>
      </c>
      <c r="G40" s="1" t="str">
        <f t="shared" si="0"/>
        <v/>
      </c>
      <c r="I40" s="1" t="str">
        <f>IF(Protokoll_2p!F46="","",IF(VALUE(LEFT(Protokoll_2p!F46,FIND(":",Protokoll_2p!F46)-1))&gt;VALUE(RIGHT(Protokoll_2p!F46,LEN(Protokoll_2p!F46)-FIND(":",Protokoll_2p!F46))),0,1))</f>
        <v/>
      </c>
      <c r="J40" s="1" t="str">
        <f>IF(Protokoll_2p!G46="","",IF(VALUE(LEFT(Protokoll_2p!G46,FIND(":",Protokoll_2p!G46)-1))&gt;VALUE(RIGHT(Protokoll_2p!G46,LEN(Protokoll_2p!G46)-FIND(":",Protokoll_2p!G46))),0,1))</f>
        <v/>
      </c>
      <c r="K40" s="1" t="str">
        <f>IF(Protokoll_2p!H46="","",IF(VALUE(LEFT(Protokoll_2p!H46,FIND(":",Protokoll_2p!H46)-1))&gt;VALUE(RIGHT(Protokoll_2p!H46,LEN(Protokoll_2p!H46)-FIND(":",Protokoll_2p!H46))),0,1))</f>
        <v/>
      </c>
      <c r="L40" s="1" t="str">
        <f>IF(Protokoll_2p!I46="","",IF(VALUE(LEFT(Protokoll_2p!I46,FIND(":",Protokoll_2p!I46)-1))&gt;VALUE(RIGHT(Protokoll_2p!I46,LEN(Protokoll_2p!I46)-FIND(":",Protokoll_2p!I46))),0,1))</f>
        <v/>
      </c>
      <c r="M40" s="1" t="str">
        <f>IF(Protokoll_2p!J46="","",IF(VALUE(LEFT(Protokoll_2p!J46,FIND(":",Protokoll_2p!J46)-1))&gt;VALUE(RIGHT(Protokoll_2p!J46,LEN(Protokoll_2p!J46)-FIND(":",Protokoll_2p!J46))),0,1))</f>
        <v/>
      </c>
      <c r="N40" s="1" t="str">
        <f t="shared" si="1"/>
        <v/>
      </c>
    </row>
    <row r="41" spans="2:14">
      <c r="B41" s="1" t="e">
        <f>IF(Protokoll_2p!F47="","",IF(VALUE(LEFT(Protokoll_2p!F47,FIND(":",Protokoll_2p!F47)-1))&gt;VALUE(RIGHT(Protokoll_2p!F47,LEN(Protokoll_2p!F47)-FIND(":",Protokoll_2p!F47))),1,0))</f>
        <v>#VALUE!</v>
      </c>
      <c r="C41" s="1" t="e">
        <f>IF(Protokoll_2p!G47="","",IF(VALUE(LEFT(Protokoll_2p!G47,FIND(":",Protokoll_2p!G47)-1))&gt;VALUE(RIGHT(Protokoll_2p!G47,LEN(Protokoll_2p!G47)-FIND(":",Protokoll_2p!G47))),1,0))</f>
        <v>#VALUE!</v>
      </c>
      <c r="D41" s="1" t="e">
        <f>IF(Protokoll_2p!H47="","",IF(VALUE(LEFT(Protokoll_2p!H47,FIND(":",Protokoll_2p!H47)-1))&gt;VALUE(RIGHT(Protokoll_2p!H47,LEN(Protokoll_2p!H47)-FIND(":",Protokoll_2p!H47))),1,0))</f>
        <v>#VALUE!</v>
      </c>
      <c r="E41" s="1" t="e">
        <f>IF(Protokoll_2p!I47="","",IF(VALUE(LEFT(Protokoll_2p!I47,FIND(":",Protokoll_2p!I47)-1))&gt;VALUE(RIGHT(Protokoll_2p!I47,LEN(Protokoll_2p!I47)-FIND(":",Protokoll_2p!I47))),1,0))</f>
        <v>#VALUE!</v>
      </c>
      <c r="F41" s="1" t="e">
        <f>IF(Protokoll_2p!J47="","",IF(VALUE(LEFT(Protokoll_2p!J47,FIND(":",Protokoll_2p!J47)-1))&gt;VALUE(RIGHT(Protokoll_2p!J47,LEN(Protokoll_2p!J47)-FIND(":",Protokoll_2p!J47))),1,0))</f>
        <v>#VALUE!</v>
      </c>
      <c r="G41" s="1" t="e">
        <f t="shared" si="0"/>
        <v>#VALUE!</v>
      </c>
      <c r="I41" s="1" t="e">
        <f>IF(Protokoll_2p!F47="","",IF(VALUE(LEFT(Protokoll_2p!F47,FIND(":",Protokoll_2p!F47)-1))&gt;VALUE(RIGHT(Protokoll_2p!F47,LEN(Protokoll_2p!F47)-FIND(":",Protokoll_2p!F47))),0,1))</f>
        <v>#VALUE!</v>
      </c>
      <c r="J41" s="1" t="e">
        <f>IF(Protokoll_2p!G47="","",IF(VALUE(LEFT(Protokoll_2p!G47,FIND(":",Protokoll_2p!G47)-1))&gt;VALUE(RIGHT(Protokoll_2p!G47,LEN(Protokoll_2p!G47)-FIND(":",Protokoll_2p!G47))),0,1))</f>
        <v>#VALUE!</v>
      </c>
      <c r="K41" s="1" t="e">
        <f>IF(Protokoll_2p!H47="","",IF(VALUE(LEFT(Protokoll_2p!H47,FIND(":",Protokoll_2p!H47)-1))&gt;VALUE(RIGHT(Protokoll_2p!H47,LEN(Protokoll_2p!H47)-FIND(":",Protokoll_2p!H47))),0,1))</f>
        <v>#VALUE!</v>
      </c>
      <c r="L41" s="1" t="e">
        <f>IF(Protokoll_2p!I47="","",IF(VALUE(LEFT(Protokoll_2p!I47,FIND(":",Protokoll_2p!I47)-1))&gt;VALUE(RIGHT(Protokoll_2p!I47,LEN(Protokoll_2p!I47)-FIND(":",Protokoll_2p!I47))),0,1))</f>
        <v>#VALUE!</v>
      </c>
      <c r="M41" s="1" t="e">
        <f>IF(Protokoll_2p!J47="","",IF(VALUE(LEFT(Protokoll_2p!J47,FIND(":",Protokoll_2p!J47)-1))&gt;VALUE(RIGHT(Protokoll_2p!J47,LEN(Protokoll_2p!J47)-FIND(":",Protokoll_2p!J47))),0,1))</f>
        <v>#VALUE!</v>
      </c>
      <c r="N41" s="1" t="e">
        <f t="shared" si="1"/>
        <v>#VALUE!</v>
      </c>
    </row>
    <row r="42" spans="2:14">
      <c r="B42" s="1">
        <f>IF(Protokoll_2p!F48="","",IF(VALUE(LEFT(Protokoll_2p!F48,FIND(":",Protokoll_2p!F48)-1))&gt;VALUE(RIGHT(Protokoll_2p!F48,LEN(Protokoll_2p!F48)-FIND(":",Protokoll_2p!F48))),1,0))</f>
        <v>1</v>
      </c>
      <c r="C42" s="1">
        <f>IF(Protokoll_2p!G48="","",IF(VALUE(LEFT(Protokoll_2p!G48,FIND(":",Protokoll_2p!G48)-1))&gt;VALUE(RIGHT(Protokoll_2p!G48,LEN(Protokoll_2p!G48)-FIND(":",Protokoll_2p!G48))),1,0))</f>
        <v>0</v>
      </c>
      <c r="D42" s="1">
        <f>IF(Protokoll_2p!H48="","",IF(VALUE(LEFT(Protokoll_2p!H48,FIND(":",Protokoll_2p!H48)-1))&gt;VALUE(RIGHT(Protokoll_2p!H48,LEN(Protokoll_2p!H48)-FIND(":",Protokoll_2p!H48))),1,0))</f>
        <v>1</v>
      </c>
      <c r="E42" s="1">
        <f>IF(Protokoll_2p!I48="","",IF(VALUE(LEFT(Protokoll_2p!I48,FIND(":",Protokoll_2p!I48)-1))&gt;VALUE(RIGHT(Protokoll_2p!I48,LEN(Protokoll_2p!I48)-FIND(":",Protokoll_2p!I48))),1,0))</f>
        <v>1</v>
      </c>
      <c r="F42" s="1" t="str">
        <f>IF(Protokoll_2p!J48="","",IF(VALUE(LEFT(Protokoll_2p!J48,FIND(":",Protokoll_2p!J48)-1))&gt;VALUE(RIGHT(Protokoll_2p!J48,LEN(Protokoll_2p!J48)-FIND(":",Protokoll_2p!J48))),1,0))</f>
        <v/>
      </c>
      <c r="G42" s="1">
        <f t="shared" si="0"/>
        <v>3</v>
      </c>
      <c r="I42" s="1">
        <f>IF(Protokoll_2p!F48="","",IF(VALUE(LEFT(Protokoll_2p!F48,FIND(":",Protokoll_2p!F48)-1))&gt;VALUE(RIGHT(Protokoll_2p!F48,LEN(Protokoll_2p!F48)-FIND(":",Protokoll_2p!F48))),0,1))</f>
        <v>0</v>
      </c>
      <c r="J42" s="1">
        <f>IF(Protokoll_2p!G48="","",IF(VALUE(LEFT(Protokoll_2p!G48,FIND(":",Protokoll_2p!G48)-1))&gt;VALUE(RIGHT(Protokoll_2p!G48,LEN(Protokoll_2p!G48)-FIND(":",Protokoll_2p!G48))),0,1))</f>
        <v>1</v>
      </c>
      <c r="K42" s="1">
        <f>IF(Protokoll_2p!H48="","",IF(VALUE(LEFT(Protokoll_2p!H48,FIND(":",Protokoll_2p!H48)-1))&gt;VALUE(RIGHT(Protokoll_2p!H48,LEN(Protokoll_2p!H48)-FIND(":",Protokoll_2p!H48))),0,1))</f>
        <v>0</v>
      </c>
      <c r="L42" s="1">
        <f>IF(Protokoll_2p!I48="","",IF(VALUE(LEFT(Protokoll_2p!I48,FIND(":",Protokoll_2p!I48)-1))&gt;VALUE(RIGHT(Protokoll_2p!I48,LEN(Protokoll_2p!I48)-FIND(":",Protokoll_2p!I48))),0,1))</f>
        <v>0</v>
      </c>
      <c r="M42" s="1" t="str">
        <f>IF(Protokoll_2p!J48="","",IF(VALUE(LEFT(Protokoll_2p!J48,FIND(":",Protokoll_2p!J48)-1))&gt;VALUE(RIGHT(Protokoll_2p!J48,LEN(Protokoll_2p!J48)-FIND(":",Protokoll_2p!J48))),0,1))</f>
        <v/>
      </c>
      <c r="N42" s="1">
        <f t="shared" si="1"/>
        <v>1</v>
      </c>
    </row>
    <row r="43" spans="2:14">
      <c r="B43" s="1">
        <f>IF(Protokoll_2p!F49="","",IF(VALUE(LEFT(Protokoll_2p!F49,FIND(":",Protokoll_2p!F49)-1))&gt;VALUE(RIGHT(Protokoll_2p!F49,LEN(Protokoll_2p!F49)-FIND(":",Protokoll_2p!F49))),1,0))</f>
        <v>0</v>
      </c>
      <c r="C43" s="1">
        <f>IF(Protokoll_2p!G49="","",IF(VALUE(LEFT(Protokoll_2p!G49,FIND(":",Protokoll_2p!G49)-1))&gt;VALUE(RIGHT(Protokoll_2p!G49,LEN(Protokoll_2p!G49)-FIND(":",Protokoll_2p!G49))),1,0))</f>
        <v>0</v>
      </c>
      <c r="D43" s="1">
        <f>IF(Protokoll_2p!H49="","",IF(VALUE(LEFT(Protokoll_2p!H49,FIND(":",Protokoll_2p!H49)-1))&gt;VALUE(RIGHT(Protokoll_2p!H49,LEN(Protokoll_2p!H49)-FIND(":",Protokoll_2p!H49))),1,0))</f>
        <v>0</v>
      </c>
      <c r="E43" s="1" t="str">
        <f>IF(Protokoll_2p!I49="","",IF(VALUE(LEFT(Protokoll_2p!I49,FIND(":",Protokoll_2p!I49)-1))&gt;VALUE(RIGHT(Protokoll_2p!I49,LEN(Protokoll_2p!I49)-FIND(":",Protokoll_2p!I49))),1,0))</f>
        <v/>
      </c>
      <c r="F43" s="1" t="str">
        <f>IF(Protokoll_2p!J49="","",IF(VALUE(LEFT(Protokoll_2p!J49,FIND(":",Protokoll_2p!J49)-1))&gt;VALUE(RIGHT(Protokoll_2p!J49,LEN(Protokoll_2p!J49)-FIND(":",Protokoll_2p!J49))),1,0))</f>
        <v/>
      </c>
      <c r="G43" s="1">
        <f t="shared" si="0"/>
        <v>0</v>
      </c>
      <c r="I43" s="1">
        <f>IF(Protokoll_2p!F49="","",IF(VALUE(LEFT(Protokoll_2p!F49,FIND(":",Protokoll_2p!F49)-1))&gt;VALUE(RIGHT(Protokoll_2p!F49,LEN(Protokoll_2p!F49)-FIND(":",Protokoll_2p!F49))),0,1))</f>
        <v>1</v>
      </c>
      <c r="J43" s="1">
        <f>IF(Protokoll_2p!G49="","",IF(VALUE(LEFT(Protokoll_2p!G49,FIND(":",Protokoll_2p!G49)-1))&gt;VALUE(RIGHT(Protokoll_2p!G49,LEN(Protokoll_2p!G49)-FIND(":",Protokoll_2p!G49))),0,1))</f>
        <v>1</v>
      </c>
      <c r="K43" s="1">
        <f>IF(Protokoll_2p!H49="","",IF(VALUE(LEFT(Protokoll_2p!H49,FIND(":",Protokoll_2p!H49)-1))&gt;VALUE(RIGHT(Protokoll_2p!H49,LEN(Protokoll_2p!H49)-FIND(":",Protokoll_2p!H49))),0,1))</f>
        <v>1</v>
      </c>
      <c r="L43" s="1" t="str">
        <f>IF(Protokoll_2p!I49="","",IF(VALUE(LEFT(Protokoll_2p!I49,FIND(":",Protokoll_2p!I49)-1))&gt;VALUE(RIGHT(Protokoll_2p!I49,LEN(Protokoll_2p!I49)-FIND(":",Protokoll_2p!I49))),0,1))</f>
        <v/>
      </c>
      <c r="M43" s="1" t="str">
        <f>IF(Protokoll_2p!J49="","",IF(VALUE(LEFT(Protokoll_2p!J49,FIND(":",Protokoll_2p!J49)-1))&gt;VALUE(RIGHT(Protokoll_2p!J49,LEN(Protokoll_2p!J49)-FIND(":",Protokoll_2p!J49))),0,1))</f>
        <v/>
      </c>
      <c r="N43" s="1">
        <f t="shared" si="1"/>
        <v>3</v>
      </c>
    </row>
    <row r="44" spans="2:14">
      <c r="B44" s="1">
        <f>IF(Protokoll_2p!F50="","",IF(VALUE(LEFT(Protokoll_2p!F50,FIND(":",Protokoll_2p!F50)-1))&gt;VALUE(RIGHT(Protokoll_2p!F50,LEN(Protokoll_2p!F50)-FIND(":",Protokoll_2p!F50))),1,0))</f>
        <v>1</v>
      </c>
      <c r="C44" s="1">
        <f>IF(Protokoll_2p!G50="","",IF(VALUE(LEFT(Protokoll_2p!G50,FIND(":",Protokoll_2p!G50)-1))&gt;VALUE(RIGHT(Protokoll_2p!G50,LEN(Protokoll_2p!G50)-FIND(":",Protokoll_2p!G50))),1,0))</f>
        <v>1</v>
      </c>
      <c r="D44" s="1">
        <f>IF(Protokoll_2p!H50="","",IF(VALUE(LEFT(Protokoll_2p!H50,FIND(":",Protokoll_2p!H50)-1))&gt;VALUE(RIGHT(Protokoll_2p!H50,LEN(Protokoll_2p!H50)-FIND(":",Protokoll_2p!H50))),1,0))</f>
        <v>1</v>
      </c>
      <c r="E44" s="1" t="str">
        <f>IF(Protokoll_2p!I50="","",IF(VALUE(LEFT(Protokoll_2p!I50,FIND(":",Protokoll_2p!I50)-1))&gt;VALUE(RIGHT(Protokoll_2p!I50,LEN(Protokoll_2p!I50)-FIND(":",Protokoll_2p!I50))),1,0))</f>
        <v/>
      </c>
      <c r="F44" s="1" t="str">
        <f>IF(Protokoll_2p!J50="","",IF(VALUE(LEFT(Protokoll_2p!J50,FIND(":",Protokoll_2p!J50)-1))&gt;VALUE(RIGHT(Protokoll_2p!J50,LEN(Protokoll_2p!J50)-FIND(":",Protokoll_2p!J50))),1,0))</f>
        <v/>
      </c>
      <c r="G44" s="1">
        <f t="shared" si="0"/>
        <v>3</v>
      </c>
      <c r="I44" s="1">
        <f>IF(Protokoll_2p!F50="","",IF(VALUE(LEFT(Protokoll_2p!F50,FIND(":",Protokoll_2p!F50)-1))&gt;VALUE(RIGHT(Protokoll_2p!F50,LEN(Protokoll_2p!F50)-FIND(":",Protokoll_2p!F50))),0,1))</f>
        <v>0</v>
      </c>
      <c r="J44" s="1">
        <f>IF(Protokoll_2p!G50="","",IF(VALUE(LEFT(Protokoll_2p!G50,FIND(":",Protokoll_2p!G50)-1))&gt;VALUE(RIGHT(Protokoll_2p!G50,LEN(Protokoll_2p!G50)-FIND(":",Protokoll_2p!G50))),0,1))</f>
        <v>0</v>
      </c>
      <c r="K44" s="1">
        <f>IF(Protokoll_2p!H50="","",IF(VALUE(LEFT(Protokoll_2p!H50,FIND(":",Protokoll_2p!H50)-1))&gt;VALUE(RIGHT(Protokoll_2p!H50,LEN(Protokoll_2p!H50)-FIND(":",Protokoll_2p!H50))),0,1))</f>
        <v>0</v>
      </c>
      <c r="L44" s="1" t="str">
        <f>IF(Protokoll_2p!I50="","",IF(VALUE(LEFT(Protokoll_2p!I50,FIND(":",Protokoll_2p!I50)-1))&gt;VALUE(RIGHT(Protokoll_2p!I50,LEN(Protokoll_2p!I50)-FIND(":",Protokoll_2p!I50))),0,1))</f>
        <v/>
      </c>
      <c r="M44" s="1" t="str">
        <f>IF(Protokoll_2p!J50="","",IF(VALUE(LEFT(Protokoll_2p!J50,FIND(":",Protokoll_2p!J50)-1))&gt;VALUE(RIGHT(Protokoll_2p!J50,LEN(Protokoll_2p!J50)-FIND(":",Protokoll_2p!J50))),0,1))</f>
        <v/>
      </c>
      <c r="N44" s="1">
        <f t="shared" si="1"/>
        <v>0</v>
      </c>
    </row>
    <row r="45" spans="2:14">
      <c r="B45" s="1">
        <f>IF(Protokoll_2p!F51="","",IF(VALUE(LEFT(Protokoll_2p!F51,FIND(":",Protokoll_2p!F51)-1))&gt;VALUE(RIGHT(Protokoll_2p!F51,LEN(Protokoll_2p!F51)-FIND(":",Protokoll_2p!F51))),1,0))</f>
        <v>1</v>
      </c>
      <c r="C45" s="1">
        <f>IF(Protokoll_2p!G51="","",IF(VALUE(LEFT(Protokoll_2p!G51,FIND(":",Protokoll_2p!G51)-1))&gt;VALUE(RIGHT(Protokoll_2p!G51,LEN(Protokoll_2p!G51)-FIND(":",Protokoll_2p!G51))),1,0))</f>
        <v>1</v>
      </c>
      <c r="D45" s="1">
        <f>IF(Protokoll_2p!H51="","",IF(VALUE(LEFT(Protokoll_2p!H51,FIND(":",Protokoll_2p!H51)-1))&gt;VALUE(RIGHT(Protokoll_2p!H51,LEN(Protokoll_2p!H51)-FIND(":",Protokoll_2p!H51))),1,0))</f>
        <v>1</v>
      </c>
      <c r="E45" s="1" t="str">
        <f>IF(Protokoll_2p!I51="","",IF(VALUE(LEFT(Protokoll_2p!I51,FIND(":",Protokoll_2p!I51)-1))&gt;VALUE(RIGHT(Protokoll_2p!I51,LEN(Protokoll_2p!I51)-FIND(":",Protokoll_2p!I51))),1,0))</f>
        <v/>
      </c>
      <c r="F45" s="1" t="str">
        <f>IF(Protokoll_2p!J51="","",IF(VALUE(LEFT(Protokoll_2p!J51,FIND(":",Protokoll_2p!J51)-1))&gt;VALUE(RIGHT(Protokoll_2p!J51,LEN(Protokoll_2p!J51)-FIND(":",Protokoll_2p!J51))),1,0))</f>
        <v/>
      </c>
      <c r="G45" s="1">
        <f t="shared" si="0"/>
        <v>3</v>
      </c>
      <c r="I45" s="1">
        <f>IF(Protokoll_2p!F51="","",IF(VALUE(LEFT(Protokoll_2p!F51,FIND(":",Protokoll_2p!F51)-1))&gt;VALUE(RIGHT(Protokoll_2p!F51,LEN(Protokoll_2p!F51)-FIND(":",Protokoll_2p!F51))),0,1))</f>
        <v>0</v>
      </c>
      <c r="J45" s="1">
        <f>IF(Protokoll_2p!G51="","",IF(VALUE(LEFT(Protokoll_2p!G51,FIND(":",Protokoll_2p!G51)-1))&gt;VALUE(RIGHT(Protokoll_2p!G51,LEN(Protokoll_2p!G51)-FIND(":",Protokoll_2p!G51))),0,1))</f>
        <v>0</v>
      </c>
      <c r="K45" s="1">
        <f>IF(Protokoll_2p!H51="","",IF(VALUE(LEFT(Protokoll_2p!H51,FIND(":",Protokoll_2p!H51)-1))&gt;VALUE(RIGHT(Protokoll_2p!H51,LEN(Protokoll_2p!H51)-FIND(":",Protokoll_2p!H51))),0,1))</f>
        <v>0</v>
      </c>
      <c r="L45" s="1" t="str">
        <f>IF(Protokoll_2p!I51="","",IF(VALUE(LEFT(Protokoll_2p!I51,FIND(":",Protokoll_2p!I51)-1))&gt;VALUE(RIGHT(Protokoll_2p!I51,LEN(Protokoll_2p!I51)-FIND(":",Protokoll_2p!I51))),0,1))</f>
        <v/>
      </c>
      <c r="M45" s="1" t="str">
        <f>IF(Protokoll_2p!J51="","",IF(VALUE(LEFT(Protokoll_2p!J51,FIND(":",Protokoll_2p!J51)-1))&gt;VALUE(RIGHT(Protokoll_2p!J51,LEN(Protokoll_2p!J51)-FIND(":",Protokoll_2p!J51))),0,1))</f>
        <v/>
      </c>
      <c r="N45" s="1">
        <f t="shared" si="1"/>
        <v>0</v>
      </c>
    </row>
    <row r="46" spans="2:14">
      <c r="B46" s="1" t="str">
        <f>IF(Protokoll_2p!F52="","",IF(VALUE(LEFT(Protokoll_2p!F52,FIND(":",Protokoll_2p!F52)-1))&gt;VALUE(RIGHT(Protokoll_2p!F52,LEN(Protokoll_2p!F52)-FIND(":",Protokoll_2p!F52))),1,0))</f>
        <v/>
      </c>
      <c r="C46" s="1" t="str">
        <f>IF(Protokoll_2p!G52="","",IF(VALUE(LEFT(Protokoll_2p!G52,FIND(":",Protokoll_2p!G52)-1))&gt;VALUE(RIGHT(Protokoll_2p!G52,LEN(Protokoll_2p!G52)-FIND(":",Protokoll_2p!G52))),1,0))</f>
        <v/>
      </c>
      <c r="D46" s="1" t="str">
        <f>IF(Protokoll_2p!H52="","",IF(VALUE(LEFT(Protokoll_2p!H52,FIND(":",Protokoll_2p!H52)-1))&gt;VALUE(RIGHT(Protokoll_2p!H52,LEN(Protokoll_2p!H52)-FIND(":",Protokoll_2p!H52))),1,0))</f>
        <v/>
      </c>
      <c r="E46" s="1" t="str">
        <f>IF(Protokoll_2p!I52="","",IF(VALUE(LEFT(Protokoll_2p!I52,FIND(":",Protokoll_2p!I52)-1))&gt;VALUE(RIGHT(Protokoll_2p!I52,LEN(Protokoll_2p!I52)-FIND(":",Protokoll_2p!I52))),1,0))</f>
        <v/>
      </c>
      <c r="F46" s="1" t="str">
        <f>IF(Protokoll_2p!J52="","",IF(VALUE(LEFT(Protokoll_2p!J52,FIND(":",Protokoll_2p!J52)-1))&gt;VALUE(RIGHT(Protokoll_2p!J52,LEN(Protokoll_2p!J52)-FIND(":",Protokoll_2p!J52))),1,0))</f>
        <v/>
      </c>
      <c r="G46" s="1" t="str">
        <f t="shared" si="0"/>
        <v/>
      </c>
      <c r="I46" s="1" t="str">
        <f>IF(Protokoll_2p!F52="","",IF(VALUE(LEFT(Protokoll_2p!F52,FIND(":",Protokoll_2p!F52)-1))&gt;VALUE(RIGHT(Protokoll_2p!F52,LEN(Protokoll_2p!F52)-FIND(":",Protokoll_2p!F52))),0,1))</f>
        <v/>
      </c>
      <c r="J46" s="1" t="str">
        <f>IF(Protokoll_2p!G52="","",IF(VALUE(LEFT(Protokoll_2p!G52,FIND(":",Protokoll_2p!G52)-1))&gt;VALUE(RIGHT(Protokoll_2p!G52,LEN(Protokoll_2p!G52)-FIND(":",Protokoll_2p!G52))),0,1))</f>
        <v/>
      </c>
      <c r="K46" s="1" t="str">
        <f>IF(Protokoll_2p!H52="","",IF(VALUE(LEFT(Protokoll_2p!H52,FIND(":",Protokoll_2p!H52)-1))&gt;VALUE(RIGHT(Protokoll_2p!H52,LEN(Protokoll_2p!H52)-FIND(":",Protokoll_2p!H52))),0,1))</f>
        <v/>
      </c>
      <c r="L46" s="1" t="str">
        <f>IF(Protokoll_2p!I52="","",IF(VALUE(LEFT(Protokoll_2p!I52,FIND(":",Protokoll_2p!I52)-1))&gt;VALUE(RIGHT(Protokoll_2p!I52,LEN(Protokoll_2p!I52)-FIND(":",Protokoll_2p!I52))),0,1))</f>
        <v/>
      </c>
      <c r="M46" s="1" t="str">
        <f>IF(Protokoll_2p!J52="","",IF(VALUE(LEFT(Protokoll_2p!J52,FIND(":",Protokoll_2p!J52)-1))&gt;VALUE(RIGHT(Protokoll_2p!J52,LEN(Protokoll_2p!J52)-FIND(":",Protokoll_2p!J52))),0,1))</f>
        <v/>
      </c>
      <c r="N46" s="1" t="str">
        <f t="shared" si="1"/>
        <v/>
      </c>
    </row>
    <row r="47" spans="2:14">
      <c r="B47" s="1">
        <f>IF(Protokoll_2p!F53="","",IF(VALUE(LEFT(Protokoll_2p!F53,FIND(":",Protokoll_2p!F53)-1))&gt;VALUE(RIGHT(Protokoll_2p!F53,LEN(Protokoll_2p!F53)-FIND(":",Protokoll_2p!F53))),1,0))</f>
        <v>0</v>
      </c>
      <c r="C47" s="1">
        <f>IF(Protokoll_2p!G53="","",IF(VALUE(LEFT(Protokoll_2p!G53,FIND(":",Protokoll_2p!G53)-1))&gt;VALUE(RIGHT(Protokoll_2p!G53,LEN(Protokoll_2p!G53)-FIND(":",Protokoll_2p!G53))),1,0))</f>
        <v>0</v>
      </c>
      <c r="D47" s="1">
        <f>IF(Protokoll_2p!H53="","",IF(VALUE(LEFT(Protokoll_2p!H53,FIND(":",Protokoll_2p!H53)-1))&gt;VALUE(RIGHT(Protokoll_2p!H53,LEN(Protokoll_2p!H53)-FIND(":",Protokoll_2p!H53))),1,0))</f>
        <v>0</v>
      </c>
      <c r="E47" s="1" t="str">
        <f>IF(Protokoll_2p!I53="","",IF(VALUE(LEFT(Protokoll_2p!I53,FIND(":",Protokoll_2p!I53)-1))&gt;VALUE(RIGHT(Protokoll_2p!I53,LEN(Protokoll_2p!I53)-FIND(":",Protokoll_2p!I53))),1,0))</f>
        <v/>
      </c>
      <c r="F47" s="1" t="str">
        <f>IF(Protokoll_2p!J53="","",IF(VALUE(LEFT(Protokoll_2p!J53,FIND(":",Protokoll_2p!J53)-1))&gt;VALUE(RIGHT(Protokoll_2p!J53,LEN(Protokoll_2p!J53)-FIND(":",Protokoll_2p!J53))),1,0))</f>
        <v/>
      </c>
      <c r="G47" s="1">
        <f t="shared" si="0"/>
        <v>0</v>
      </c>
      <c r="I47" s="1">
        <f>IF(Protokoll_2p!F53="","",IF(VALUE(LEFT(Protokoll_2p!F53,FIND(":",Protokoll_2p!F53)-1))&gt;VALUE(RIGHT(Protokoll_2p!F53,LEN(Protokoll_2p!F53)-FIND(":",Protokoll_2p!F53))),0,1))</f>
        <v>1</v>
      </c>
      <c r="J47" s="1">
        <f>IF(Protokoll_2p!G53="","",IF(VALUE(LEFT(Protokoll_2p!G53,FIND(":",Protokoll_2p!G53)-1))&gt;VALUE(RIGHT(Protokoll_2p!G53,LEN(Protokoll_2p!G53)-FIND(":",Protokoll_2p!G53))),0,1))</f>
        <v>1</v>
      </c>
      <c r="K47" s="1">
        <f>IF(Protokoll_2p!H53="","",IF(VALUE(LEFT(Protokoll_2p!H53,FIND(":",Protokoll_2p!H53)-1))&gt;VALUE(RIGHT(Protokoll_2p!H53,LEN(Protokoll_2p!H53)-FIND(":",Protokoll_2p!H53))),0,1))</f>
        <v>1</v>
      </c>
      <c r="L47" s="1" t="str">
        <f>IF(Protokoll_2p!I53="","",IF(VALUE(LEFT(Protokoll_2p!I53,FIND(":",Protokoll_2p!I53)-1))&gt;VALUE(RIGHT(Protokoll_2p!I53,LEN(Protokoll_2p!I53)-FIND(":",Protokoll_2p!I53))),0,1))</f>
        <v/>
      </c>
      <c r="M47" s="1" t="str">
        <f>IF(Protokoll_2p!J53="","",IF(VALUE(LEFT(Protokoll_2p!J53,FIND(":",Protokoll_2p!J53)-1))&gt;VALUE(RIGHT(Protokoll_2p!J53,LEN(Protokoll_2p!J53)-FIND(":",Protokoll_2p!J53))),0,1))</f>
        <v/>
      </c>
      <c r="N47" s="1">
        <f t="shared" si="1"/>
        <v>3</v>
      </c>
    </row>
    <row r="48" spans="2:14">
      <c r="B48" s="1">
        <f>IF(Protokoll_2p!F54="","",IF(VALUE(LEFT(Protokoll_2p!F54,FIND(":",Protokoll_2p!F54)-1))&gt;VALUE(RIGHT(Protokoll_2p!F54,LEN(Protokoll_2p!F54)-FIND(":",Protokoll_2p!F54))),1,0))</f>
        <v>1</v>
      </c>
      <c r="C48" s="1">
        <f>IF(Protokoll_2p!G54="","",IF(VALUE(LEFT(Protokoll_2p!G54,FIND(":",Protokoll_2p!G54)-1))&gt;VALUE(RIGHT(Protokoll_2p!G54,LEN(Protokoll_2p!G54)-FIND(":",Protokoll_2p!G54))),1,0))</f>
        <v>1</v>
      </c>
      <c r="D48" s="1">
        <f>IF(Protokoll_2p!H54="","",IF(VALUE(LEFT(Protokoll_2p!H54,FIND(":",Protokoll_2p!H54)-1))&gt;VALUE(RIGHT(Protokoll_2p!H54,LEN(Protokoll_2p!H54)-FIND(":",Protokoll_2p!H54))),1,0))</f>
        <v>1</v>
      </c>
      <c r="E48" s="1" t="str">
        <f>IF(Protokoll_2p!I54="","",IF(VALUE(LEFT(Protokoll_2p!I54,FIND(":",Protokoll_2p!I54)-1))&gt;VALUE(RIGHT(Protokoll_2p!I54,LEN(Protokoll_2p!I54)-FIND(":",Protokoll_2p!I54))),1,0))</f>
        <v/>
      </c>
      <c r="F48" s="1" t="str">
        <f>IF(Protokoll_2p!J54="","",IF(VALUE(LEFT(Protokoll_2p!J54,FIND(":",Protokoll_2p!J54)-1))&gt;VALUE(RIGHT(Protokoll_2p!J54,LEN(Protokoll_2p!J54)-FIND(":",Protokoll_2p!J54))),1,0))</f>
        <v/>
      </c>
      <c r="G48" s="1">
        <f t="shared" si="0"/>
        <v>3</v>
      </c>
      <c r="I48" s="1">
        <f>IF(Protokoll_2p!F54="","",IF(VALUE(LEFT(Protokoll_2p!F54,FIND(":",Protokoll_2p!F54)-1))&gt;VALUE(RIGHT(Protokoll_2p!F54,LEN(Protokoll_2p!F54)-FIND(":",Protokoll_2p!F54))),0,1))</f>
        <v>0</v>
      </c>
      <c r="J48" s="1">
        <f>IF(Protokoll_2p!G54="","",IF(VALUE(LEFT(Protokoll_2p!G54,FIND(":",Protokoll_2p!G54)-1))&gt;VALUE(RIGHT(Protokoll_2p!G54,LEN(Protokoll_2p!G54)-FIND(":",Protokoll_2p!G54))),0,1))</f>
        <v>0</v>
      </c>
      <c r="K48" s="1">
        <f>IF(Protokoll_2p!H54="","",IF(VALUE(LEFT(Protokoll_2p!H54,FIND(":",Protokoll_2p!H54)-1))&gt;VALUE(RIGHT(Protokoll_2p!H54,LEN(Protokoll_2p!H54)-FIND(":",Protokoll_2p!H54))),0,1))</f>
        <v>0</v>
      </c>
      <c r="L48" s="1" t="str">
        <f>IF(Protokoll_2p!I54="","",IF(VALUE(LEFT(Protokoll_2p!I54,FIND(":",Protokoll_2p!I54)-1))&gt;VALUE(RIGHT(Protokoll_2p!I54,LEN(Protokoll_2p!I54)-FIND(":",Protokoll_2p!I54))),0,1))</f>
        <v/>
      </c>
      <c r="M48" s="1" t="str">
        <f>IF(Protokoll_2p!J54="","",IF(VALUE(LEFT(Protokoll_2p!J54,FIND(":",Protokoll_2p!J54)-1))&gt;VALUE(RIGHT(Protokoll_2p!J54,LEN(Protokoll_2p!J54)-FIND(":",Protokoll_2p!J54))),0,1))</f>
        <v/>
      </c>
      <c r="N48" s="1">
        <f t="shared" si="1"/>
        <v>0</v>
      </c>
    </row>
    <row r="49" spans="2:14">
      <c r="B49" s="1" t="str">
        <f>IF(Protokoll_2p!F55="","",IF(VALUE(LEFT(Protokoll_2p!F55,FIND(":",Protokoll_2p!F55)-1))&gt;VALUE(RIGHT(Protokoll_2p!F55,LEN(Protokoll_2p!F55)-FIND(":",Protokoll_2p!F55))),1,0))</f>
        <v/>
      </c>
      <c r="C49" s="1" t="str">
        <f>IF(Protokoll_2p!G55="","",IF(VALUE(LEFT(Protokoll_2p!G55,FIND(":",Protokoll_2p!G55)-1))&gt;VALUE(RIGHT(Protokoll_2p!G55,LEN(Protokoll_2p!G55)-FIND(":",Protokoll_2p!G55))),1,0))</f>
        <v/>
      </c>
      <c r="D49" s="1" t="str">
        <f>IF(Protokoll_2p!H55="","",IF(VALUE(LEFT(Protokoll_2p!H55,FIND(":",Protokoll_2p!H55)-1))&gt;VALUE(RIGHT(Protokoll_2p!H55,LEN(Protokoll_2p!H55)-FIND(":",Protokoll_2p!H55))),1,0))</f>
        <v/>
      </c>
      <c r="E49" s="1" t="str">
        <f>IF(Protokoll_2p!I55="","",IF(VALUE(LEFT(Protokoll_2p!I55,FIND(":",Protokoll_2p!I55)-1))&gt;VALUE(RIGHT(Protokoll_2p!I55,LEN(Protokoll_2p!I55)-FIND(":",Protokoll_2p!I55))),1,0))</f>
        <v/>
      </c>
      <c r="F49" s="1" t="str">
        <f>IF(Protokoll_2p!J55="","",IF(VALUE(LEFT(Protokoll_2p!J55,FIND(":",Protokoll_2p!J55)-1))&gt;VALUE(RIGHT(Protokoll_2p!J55,LEN(Protokoll_2p!J55)-FIND(":",Protokoll_2p!J55))),1,0))</f>
        <v/>
      </c>
      <c r="G49" s="1" t="str">
        <f t="shared" si="0"/>
        <v/>
      </c>
      <c r="I49" s="1" t="str">
        <f>IF(Protokoll_2p!F55="","",IF(VALUE(LEFT(Protokoll_2p!F55,FIND(":",Protokoll_2p!F55)-1))&gt;VALUE(RIGHT(Protokoll_2p!F55,LEN(Protokoll_2p!F55)-FIND(":",Protokoll_2p!F55))),0,1))</f>
        <v/>
      </c>
      <c r="J49" s="1" t="str">
        <f>IF(Protokoll_2p!G55="","",IF(VALUE(LEFT(Protokoll_2p!G55,FIND(":",Protokoll_2p!G55)-1))&gt;VALUE(RIGHT(Protokoll_2p!G55,LEN(Protokoll_2p!G55)-FIND(":",Protokoll_2p!G55))),0,1))</f>
        <v/>
      </c>
      <c r="K49" s="1" t="str">
        <f>IF(Protokoll_2p!H55="","",IF(VALUE(LEFT(Protokoll_2p!H55,FIND(":",Protokoll_2p!H55)-1))&gt;VALUE(RIGHT(Protokoll_2p!H55,LEN(Protokoll_2p!H55)-FIND(":",Protokoll_2p!H55))),0,1))</f>
        <v/>
      </c>
      <c r="L49" s="1" t="str">
        <f>IF(Protokoll_2p!I55="","",IF(VALUE(LEFT(Protokoll_2p!I55,FIND(":",Protokoll_2p!I55)-1))&gt;VALUE(RIGHT(Protokoll_2p!I55,LEN(Protokoll_2p!I55)-FIND(":",Protokoll_2p!I55))),0,1))</f>
        <v/>
      </c>
      <c r="M49" s="1" t="str">
        <f>IF(Protokoll_2p!J55="","",IF(VALUE(LEFT(Protokoll_2p!J55,FIND(":",Protokoll_2p!J55)-1))&gt;VALUE(RIGHT(Protokoll_2p!J55,LEN(Protokoll_2p!J55)-FIND(":",Protokoll_2p!J55))),0,1))</f>
        <v/>
      </c>
      <c r="N49" s="1" t="str">
        <f t="shared" si="1"/>
        <v/>
      </c>
    </row>
    <row r="50" spans="2:14">
      <c r="B50" s="1" t="str">
        <f>IF(Protokoll_2p!F56="","",IF(VALUE(LEFT(Protokoll_2p!F56,FIND(":",Protokoll_2p!F56)-1))&gt;VALUE(RIGHT(Protokoll_2p!F56,LEN(Protokoll_2p!F56)-FIND(":",Protokoll_2p!F56))),1,0))</f>
        <v/>
      </c>
      <c r="C50" s="1" t="str">
        <f>IF(Protokoll_2p!G56="","",IF(VALUE(LEFT(Protokoll_2p!G56,FIND(":",Protokoll_2p!G56)-1))&gt;VALUE(RIGHT(Protokoll_2p!G56,LEN(Protokoll_2p!G56)-FIND(":",Protokoll_2p!G56))),1,0))</f>
        <v/>
      </c>
      <c r="D50" s="1" t="str">
        <f>IF(Protokoll_2p!H56="","",IF(VALUE(LEFT(Protokoll_2p!H56,FIND(":",Protokoll_2p!H56)-1))&gt;VALUE(RIGHT(Protokoll_2p!H56,LEN(Protokoll_2p!H56)-FIND(":",Protokoll_2p!H56))),1,0))</f>
        <v/>
      </c>
      <c r="E50" s="1" t="str">
        <f>IF(Protokoll_2p!I56="","",IF(VALUE(LEFT(Protokoll_2p!I56,FIND(":",Protokoll_2p!I56)-1))&gt;VALUE(RIGHT(Protokoll_2p!I56,LEN(Protokoll_2p!I56)-FIND(":",Protokoll_2p!I56))),1,0))</f>
        <v/>
      </c>
      <c r="F50" s="1" t="str">
        <f>IF(Protokoll_2p!J56="","",IF(VALUE(LEFT(Protokoll_2p!J56,FIND(":",Protokoll_2p!J56)-1))&gt;VALUE(RIGHT(Protokoll_2p!J56,LEN(Protokoll_2p!J56)-FIND(":",Protokoll_2p!J56))),1,0))</f>
        <v/>
      </c>
      <c r="G50" s="1" t="str">
        <f t="shared" si="0"/>
        <v/>
      </c>
      <c r="I50" s="1" t="str">
        <f>IF(Protokoll_2p!F56="","",IF(VALUE(LEFT(Protokoll_2p!F56,FIND(":",Protokoll_2p!F56)-1))&gt;VALUE(RIGHT(Protokoll_2p!F56,LEN(Protokoll_2p!F56)-FIND(":",Protokoll_2p!F56))),0,1))</f>
        <v/>
      </c>
      <c r="J50" s="1" t="str">
        <f>IF(Protokoll_2p!G56="","",IF(VALUE(LEFT(Protokoll_2p!G56,FIND(":",Protokoll_2p!G56)-1))&gt;VALUE(RIGHT(Protokoll_2p!G56,LEN(Protokoll_2p!G56)-FIND(":",Protokoll_2p!G56))),0,1))</f>
        <v/>
      </c>
      <c r="K50" s="1" t="str">
        <f>IF(Protokoll_2p!H56="","",IF(VALUE(LEFT(Protokoll_2p!H56,FIND(":",Protokoll_2p!H56)-1))&gt;VALUE(RIGHT(Protokoll_2p!H56,LEN(Protokoll_2p!H56)-FIND(":",Protokoll_2p!H56))),0,1))</f>
        <v/>
      </c>
      <c r="L50" s="1" t="str">
        <f>IF(Protokoll_2p!I56="","",IF(VALUE(LEFT(Protokoll_2p!I56,FIND(":",Protokoll_2p!I56)-1))&gt;VALUE(RIGHT(Protokoll_2p!I56,LEN(Protokoll_2p!I56)-FIND(":",Protokoll_2p!I56))),0,1))</f>
        <v/>
      </c>
      <c r="M50" s="1" t="str">
        <f>IF(Protokoll_2p!J56="","",IF(VALUE(LEFT(Protokoll_2p!J56,FIND(":",Protokoll_2p!J56)-1))&gt;VALUE(RIGHT(Protokoll_2p!J56,LEN(Protokoll_2p!J56)-FIND(":",Protokoll_2p!J56))),0,1))</f>
        <v/>
      </c>
      <c r="N50" s="1" t="str">
        <f t="shared" si="1"/>
        <v/>
      </c>
    </row>
    <row r="51" spans="2:14">
      <c r="B51" s="1" t="e">
        <f>IF(Protokoll_2p!F57="","",IF(VALUE(LEFT(Protokoll_2p!F57,FIND(":",Protokoll_2p!F57)-1))&gt;VALUE(RIGHT(Protokoll_2p!F57,LEN(Protokoll_2p!F57)-FIND(":",Protokoll_2p!F57))),1,0))</f>
        <v>#VALUE!</v>
      </c>
      <c r="C51" s="1" t="e">
        <f>IF(Protokoll_2p!G57="","",IF(VALUE(LEFT(Protokoll_2p!G57,FIND(":",Protokoll_2p!G57)-1))&gt;VALUE(RIGHT(Protokoll_2p!G57,LEN(Protokoll_2p!G57)-FIND(":",Protokoll_2p!G57))),1,0))</f>
        <v>#VALUE!</v>
      </c>
      <c r="D51" s="1" t="e">
        <f>IF(Protokoll_2p!H57="","",IF(VALUE(LEFT(Protokoll_2p!H57,FIND(":",Protokoll_2p!H57)-1))&gt;VALUE(RIGHT(Protokoll_2p!H57,LEN(Protokoll_2p!H57)-FIND(":",Protokoll_2p!H57))),1,0))</f>
        <v>#VALUE!</v>
      </c>
      <c r="E51" s="1" t="e">
        <f>IF(Protokoll_2p!I57="","",IF(VALUE(LEFT(Protokoll_2p!I57,FIND(":",Protokoll_2p!I57)-1))&gt;VALUE(RIGHT(Protokoll_2p!I57,LEN(Protokoll_2p!I57)-FIND(":",Protokoll_2p!I57))),1,0))</f>
        <v>#VALUE!</v>
      </c>
      <c r="F51" s="1" t="e">
        <f>IF(Protokoll_2p!J57="","",IF(VALUE(LEFT(Protokoll_2p!J57,FIND(":",Protokoll_2p!J57)-1))&gt;VALUE(RIGHT(Protokoll_2p!J57,LEN(Protokoll_2p!J57)-FIND(":",Protokoll_2p!J57))),1,0))</f>
        <v>#VALUE!</v>
      </c>
      <c r="G51" s="1" t="e">
        <f t="shared" si="0"/>
        <v>#VALUE!</v>
      </c>
      <c r="I51" s="1" t="e">
        <f>IF(Protokoll_2p!F57="","",IF(VALUE(LEFT(Protokoll_2p!F57,FIND(":",Protokoll_2p!F57)-1))&gt;VALUE(RIGHT(Protokoll_2p!F57,LEN(Protokoll_2p!F57)-FIND(":",Protokoll_2p!F57))),0,1))</f>
        <v>#VALUE!</v>
      </c>
      <c r="J51" s="1" t="e">
        <f>IF(Protokoll_2p!G57="","",IF(VALUE(LEFT(Protokoll_2p!G57,FIND(":",Protokoll_2p!G57)-1))&gt;VALUE(RIGHT(Protokoll_2p!G57,LEN(Protokoll_2p!G57)-FIND(":",Protokoll_2p!G57))),0,1))</f>
        <v>#VALUE!</v>
      </c>
      <c r="K51" s="1" t="e">
        <f>IF(Protokoll_2p!H57="","",IF(VALUE(LEFT(Protokoll_2p!H57,FIND(":",Protokoll_2p!H57)-1))&gt;VALUE(RIGHT(Protokoll_2p!H57,LEN(Protokoll_2p!H57)-FIND(":",Protokoll_2p!H57))),0,1))</f>
        <v>#VALUE!</v>
      </c>
      <c r="L51" s="1" t="e">
        <f>IF(Protokoll_2p!I57="","",IF(VALUE(LEFT(Protokoll_2p!I57,FIND(":",Protokoll_2p!I57)-1))&gt;VALUE(RIGHT(Protokoll_2p!I57,LEN(Protokoll_2p!I57)-FIND(":",Protokoll_2p!I57))),0,1))</f>
        <v>#VALUE!</v>
      </c>
      <c r="M51" s="1" t="e">
        <f>IF(Protokoll_2p!J57="","",IF(VALUE(LEFT(Protokoll_2p!J57,FIND(":",Protokoll_2p!J57)-1))&gt;VALUE(RIGHT(Protokoll_2p!J57,LEN(Protokoll_2p!J57)-FIND(":",Protokoll_2p!J57))),0,1))</f>
        <v>#VALUE!</v>
      </c>
      <c r="N51" s="1" t="e">
        <f t="shared" si="1"/>
        <v>#VALUE!</v>
      </c>
    </row>
    <row r="52" spans="2:14">
      <c r="B52" s="1">
        <f>IF(Protokoll_2p!F58="","",IF(VALUE(LEFT(Protokoll_2p!F58,FIND(":",Protokoll_2p!F58)-1))&gt;VALUE(RIGHT(Protokoll_2p!F58,LEN(Protokoll_2p!F58)-FIND(":",Protokoll_2p!F58))),1,0))</f>
        <v>0</v>
      </c>
      <c r="C52" s="1">
        <f>IF(Protokoll_2p!G58="","",IF(VALUE(LEFT(Protokoll_2p!G58,FIND(":",Protokoll_2p!G58)-1))&gt;VALUE(RIGHT(Protokoll_2p!G58,LEN(Protokoll_2p!G58)-FIND(":",Protokoll_2p!G58))),1,0))</f>
        <v>1</v>
      </c>
      <c r="D52" s="1">
        <f>IF(Protokoll_2p!H58="","",IF(VALUE(LEFT(Protokoll_2p!H58,FIND(":",Protokoll_2p!H58)-1))&gt;VALUE(RIGHT(Protokoll_2p!H58,LEN(Protokoll_2p!H58)-FIND(":",Protokoll_2p!H58))),1,0))</f>
        <v>1</v>
      </c>
      <c r="E52" s="1">
        <f>IF(Protokoll_2p!I58="","",IF(VALUE(LEFT(Protokoll_2p!I58,FIND(":",Protokoll_2p!I58)-1))&gt;VALUE(RIGHT(Protokoll_2p!I58,LEN(Protokoll_2p!I58)-FIND(":",Protokoll_2p!I58))),1,0))</f>
        <v>1</v>
      </c>
      <c r="F52" s="1" t="str">
        <f>IF(Protokoll_2p!J58="","",IF(VALUE(LEFT(Protokoll_2p!J58,FIND(":",Protokoll_2p!J58)-1))&gt;VALUE(RIGHT(Protokoll_2p!J58,LEN(Protokoll_2p!J58)-FIND(":",Protokoll_2p!J58))),1,0))</f>
        <v/>
      </c>
      <c r="G52" s="1">
        <f t="shared" si="0"/>
        <v>3</v>
      </c>
      <c r="I52" s="1">
        <f>IF(Protokoll_2p!F58="","",IF(VALUE(LEFT(Protokoll_2p!F58,FIND(":",Protokoll_2p!F58)-1))&gt;VALUE(RIGHT(Protokoll_2p!F58,LEN(Protokoll_2p!F58)-FIND(":",Protokoll_2p!F58))),0,1))</f>
        <v>1</v>
      </c>
      <c r="J52" s="1">
        <f>IF(Protokoll_2p!G58="","",IF(VALUE(LEFT(Protokoll_2p!G58,FIND(":",Protokoll_2p!G58)-1))&gt;VALUE(RIGHT(Protokoll_2p!G58,LEN(Protokoll_2p!G58)-FIND(":",Protokoll_2p!G58))),0,1))</f>
        <v>0</v>
      </c>
      <c r="K52" s="1">
        <f>IF(Protokoll_2p!H58="","",IF(VALUE(LEFT(Protokoll_2p!H58,FIND(":",Protokoll_2p!H58)-1))&gt;VALUE(RIGHT(Protokoll_2p!H58,LEN(Protokoll_2p!H58)-FIND(":",Protokoll_2p!H58))),0,1))</f>
        <v>0</v>
      </c>
      <c r="L52" s="1">
        <f>IF(Protokoll_2p!I58="","",IF(VALUE(LEFT(Protokoll_2p!I58,FIND(":",Protokoll_2p!I58)-1))&gt;VALUE(RIGHT(Protokoll_2p!I58,LEN(Protokoll_2p!I58)-FIND(":",Protokoll_2p!I58))),0,1))</f>
        <v>0</v>
      </c>
      <c r="M52" s="1" t="str">
        <f>IF(Protokoll_2p!J58="","",IF(VALUE(LEFT(Protokoll_2p!J58,FIND(":",Protokoll_2p!J58)-1))&gt;VALUE(RIGHT(Protokoll_2p!J58,LEN(Protokoll_2p!J58)-FIND(":",Protokoll_2p!J58))),0,1))</f>
        <v/>
      </c>
      <c r="N52" s="1">
        <f t="shared" si="1"/>
        <v>1</v>
      </c>
    </row>
    <row r="53" spans="2:14">
      <c r="B53" s="1">
        <f>IF(Protokoll_2p!F59="","",IF(VALUE(LEFT(Protokoll_2p!F59,FIND(":",Protokoll_2p!F59)-1))&gt;VALUE(RIGHT(Protokoll_2p!F59,LEN(Protokoll_2p!F59)-FIND(":",Protokoll_2p!F59))),1,0))</f>
        <v>0</v>
      </c>
      <c r="C53" s="1">
        <f>IF(Protokoll_2p!G59="","",IF(VALUE(LEFT(Protokoll_2p!G59,FIND(":",Protokoll_2p!G59)-1))&gt;VALUE(RIGHT(Protokoll_2p!G59,LEN(Protokoll_2p!G59)-FIND(":",Protokoll_2p!G59))),1,0))</f>
        <v>0</v>
      </c>
      <c r="D53" s="1">
        <f>IF(Protokoll_2p!H59="","",IF(VALUE(LEFT(Protokoll_2p!H59,FIND(":",Protokoll_2p!H59)-1))&gt;VALUE(RIGHT(Protokoll_2p!H59,LEN(Protokoll_2p!H59)-FIND(":",Protokoll_2p!H59))),1,0))</f>
        <v>0</v>
      </c>
      <c r="E53" s="1" t="str">
        <f>IF(Protokoll_2p!I59="","",IF(VALUE(LEFT(Protokoll_2p!I59,FIND(":",Protokoll_2p!I59)-1))&gt;VALUE(RIGHT(Protokoll_2p!I59,LEN(Protokoll_2p!I59)-FIND(":",Protokoll_2p!I59))),1,0))</f>
        <v/>
      </c>
      <c r="F53" s="1" t="str">
        <f>IF(Protokoll_2p!J59="","",IF(VALUE(LEFT(Protokoll_2p!J59,FIND(":",Protokoll_2p!J59)-1))&gt;VALUE(RIGHT(Protokoll_2p!J59,LEN(Protokoll_2p!J59)-FIND(":",Protokoll_2p!J59))),1,0))</f>
        <v/>
      </c>
      <c r="G53" s="1">
        <f t="shared" si="0"/>
        <v>0</v>
      </c>
      <c r="I53" s="1">
        <f>IF(Protokoll_2p!F59="","",IF(VALUE(LEFT(Protokoll_2p!F59,FIND(":",Protokoll_2p!F59)-1))&gt;VALUE(RIGHT(Protokoll_2p!F59,LEN(Protokoll_2p!F59)-FIND(":",Protokoll_2p!F59))),0,1))</f>
        <v>1</v>
      </c>
      <c r="J53" s="1">
        <f>IF(Protokoll_2p!G59="","",IF(VALUE(LEFT(Protokoll_2p!G59,FIND(":",Protokoll_2p!G59)-1))&gt;VALUE(RIGHT(Protokoll_2p!G59,LEN(Protokoll_2p!G59)-FIND(":",Protokoll_2p!G59))),0,1))</f>
        <v>1</v>
      </c>
      <c r="K53" s="1">
        <f>IF(Protokoll_2p!H59="","",IF(VALUE(LEFT(Protokoll_2p!H59,FIND(":",Protokoll_2p!H59)-1))&gt;VALUE(RIGHT(Protokoll_2p!H59,LEN(Protokoll_2p!H59)-FIND(":",Protokoll_2p!H59))),0,1))</f>
        <v>1</v>
      </c>
      <c r="L53" s="1" t="str">
        <f>IF(Protokoll_2p!I59="","",IF(VALUE(LEFT(Protokoll_2p!I59,FIND(":",Protokoll_2p!I59)-1))&gt;VALUE(RIGHT(Protokoll_2p!I59,LEN(Protokoll_2p!I59)-FIND(":",Protokoll_2p!I59))),0,1))</f>
        <v/>
      </c>
      <c r="M53" s="1" t="str">
        <f>IF(Protokoll_2p!J59="","",IF(VALUE(LEFT(Protokoll_2p!J59,FIND(":",Protokoll_2p!J59)-1))&gt;VALUE(RIGHT(Protokoll_2p!J59,LEN(Protokoll_2p!J59)-FIND(":",Protokoll_2p!J59))),0,1))</f>
        <v/>
      </c>
      <c r="N53" s="1">
        <f t="shared" si="1"/>
        <v>3</v>
      </c>
    </row>
    <row r="54" spans="2:14">
      <c r="B54" s="1">
        <f>IF(Protokoll_2p!F60="","",IF(VALUE(LEFT(Protokoll_2p!F60,FIND(":",Protokoll_2p!F60)-1))&gt;VALUE(RIGHT(Protokoll_2p!F60,LEN(Protokoll_2p!F60)-FIND(":",Protokoll_2p!F60))),1,0))</f>
        <v>1</v>
      </c>
      <c r="C54" s="1">
        <f>IF(Protokoll_2p!G60="","",IF(VALUE(LEFT(Protokoll_2p!G60,FIND(":",Protokoll_2p!G60)-1))&gt;VALUE(RIGHT(Protokoll_2p!G60,LEN(Protokoll_2p!G60)-FIND(":",Protokoll_2p!G60))),1,0))</f>
        <v>1</v>
      </c>
      <c r="D54" s="1">
        <f>IF(Protokoll_2p!H60="","",IF(VALUE(LEFT(Protokoll_2p!H60,FIND(":",Protokoll_2p!H60)-1))&gt;VALUE(RIGHT(Protokoll_2p!H60,LEN(Protokoll_2p!H60)-FIND(":",Protokoll_2p!H60))),1,0))</f>
        <v>1</v>
      </c>
      <c r="E54" s="1" t="str">
        <f>IF(Protokoll_2p!I60="","",IF(VALUE(LEFT(Protokoll_2p!I60,FIND(":",Protokoll_2p!I60)-1))&gt;VALUE(RIGHT(Protokoll_2p!I60,LEN(Protokoll_2p!I60)-FIND(":",Protokoll_2p!I60))),1,0))</f>
        <v/>
      </c>
      <c r="F54" s="1" t="str">
        <f>IF(Protokoll_2p!J60="","",IF(VALUE(LEFT(Protokoll_2p!J60,FIND(":",Protokoll_2p!J60)-1))&gt;VALUE(RIGHT(Protokoll_2p!J60,LEN(Protokoll_2p!J60)-FIND(":",Protokoll_2p!J60))),1,0))</f>
        <v/>
      </c>
      <c r="G54" s="1">
        <f t="shared" si="0"/>
        <v>3</v>
      </c>
      <c r="I54" s="1">
        <f>IF(Protokoll_2p!F60="","",IF(VALUE(LEFT(Protokoll_2p!F60,FIND(":",Protokoll_2p!F60)-1))&gt;VALUE(RIGHT(Protokoll_2p!F60,LEN(Protokoll_2p!F60)-FIND(":",Protokoll_2p!F60))),0,1))</f>
        <v>0</v>
      </c>
      <c r="J54" s="1">
        <f>IF(Protokoll_2p!G60="","",IF(VALUE(LEFT(Protokoll_2p!G60,FIND(":",Protokoll_2p!G60)-1))&gt;VALUE(RIGHT(Protokoll_2p!G60,LEN(Protokoll_2p!G60)-FIND(":",Protokoll_2p!G60))),0,1))</f>
        <v>0</v>
      </c>
      <c r="K54" s="1">
        <f>IF(Protokoll_2p!H60="","",IF(VALUE(LEFT(Protokoll_2p!H60,FIND(":",Protokoll_2p!H60)-1))&gt;VALUE(RIGHT(Protokoll_2p!H60,LEN(Protokoll_2p!H60)-FIND(":",Protokoll_2p!H60))),0,1))</f>
        <v>0</v>
      </c>
      <c r="L54" s="1" t="str">
        <f>IF(Protokoll_2p!I60="","",IF(VALUE(LEFT(Protokoll_2p!I60,FIND(":",Protokoll_2p!I60)-1))&gt;VALUE(RIGHT(Protokoll_2p!I60,LEN(Protokoll_2p!I60)-FIND(":",Protokoll_2p!I60))),0,1))</f>
        <v/>
      </c>
      <c r="M54" s="1" t="str">
        <f>IF(Protokoll_2p!J60="","",IF(VALUE(LEFT(Protokoll_2p!J60,FIND(":",Protokoll_2p!J60)-1))&gt;VALUE(RIGHT(Protokoll_2p!J60,LEN(Protokoll_2p!J60)-FIND(":",Protokoll_2p!J60))),0,1))</f>
        <v/>
      </c>
      <c r="N54" s="1">
        <f t="shared" si="1"/>
        <v>0</v>
      </c>
    </row>
    <row r="55" spans="2:14">
      <c r="B55" s="1">
        <f>IF(Protokoll_2p!F61="","",IF(VALUE(LEFT(Protokoll_2p!F61,FIND(":",Protokoll_2p!F61)-1))&gt;VALUE(RIGHT(Protokoll_2p!F61,LEN(Protokoll_2p!F61)-FIND(":",Protokoll_2p!F61))),1,0))</f>
        <v>1</v>
      </c>
      <c r="C55" s="1">
        <f>IF(Protokoll_2p!G61="","",IF(VALUE(LEFT(Protokoll_2p!G61,FIND(":",Protokoll_2p!G61)-1))&gt;VALUE(RIGHT(Protokoll_2p!G61,LEN(Protokoll_2p!G61)-FIND(":",Protokoll_2p!G61))),1,0))</f>
        <v>1</v>
      </c>
      <c r="D55" s="1">
        <f>IF(Protokoll_2p!H61="","",IF(VALUE(LEFT(Protokoll_2p!H61,FIND(":",Protokoll_2p!H61)-1))&gt;VALUE(RIGHT(Protokoll_2p!H61,LEN(Protokoll_2p!H61)-FIND(":",Protokoll_2p!H61))),1,0))</f>
        <v>1</v>
      </c>
      <c r="E55" s="1" t="str">
        <f>IF(Protokoll_2p!I61="","",IF(VALUE(LEFT(Protokoll_2p!I61,FIND(":",Protokoll_2p!I61)-1))&gt;VALUE(RIGHT(Protokoll_2p!I61,LEN(Protokoll_2p!I61)-FIND(":",Protokoll_2p!I61))),1,0))</f>
        <v/>
      </c>
      <c r="F55" s="1" t="str">
        <f>IF(Protokoll_2p!J61="","",IF(VALUE(LEFT(Protokoll_2p!J61,FIND(":",Protokoll_2p!J61)-1))&gt;VALUE(RIGHT(Protokoll_2p!J61,LEN(Protokoll_2p!J61)-FIND(":",Protokoll_2p!J61))),1,0))</f>
        <v/>
      </c>
      <c r="G55" s="1">
        <f t="shared" si="0"/>
        <v>3</v>
      </c>
      <c r="I55" s="1">
        <f>IF(Protokoll_2p!F61="","",IF(VALUE(LEFT(Protokoll_2p!F61,FIND(":",Protokoll_2p!F61)-1))&gt;VALUE(RIGHT(Protokoll_2p!F61,LEN(Protokoll_2p!F61)-FIND(":",Protokoll_2p!F61))),0,1))</f>
        <v>0</v>
      </c>
      <c r="J55" s="1">
        <f>IF(Protokoll_2p!G61="","",IF(VALUE(LEFT(Protokoll_2p!G61,FIND(":",Protokoll_2p!G61)-1))&gt;VALUE(RIGHT(Protokoll_2p!G61,LEN(Protokoll_2p!G61)-FIND(":",Protokoll_2p!G61))),0,1))</f>
        <v>0</v>
      </c>
      <c r="K55" s="1">
        <f>IF(Protokoll_2p!H61="","",IF(VALUE(LEFT(Protokoll_2p!H61,FIND(":",Protokoll_2p!H61)-1))&gt;VALUE(RIGHT(Protokoll_2p!H61,LEN(Protokoll_2p!H61)-FIND(":",Protokoll_2p!H61))),0,1))</f>
        <v>0</v>
      </c>
      <c r="L55" s="1" t="str">
        <f>IF(Protokoll_2p!I61="","",IF(VALUE(LEFT(Protokoll_2p!I61,FIND(":",Protokoll_2p!I61)-1))&gt;VALUE(RIGHT(Protokoll_2p!I61,LEN(Protokoll_2p!I61)-FIND(":",Protokoll_2p!I61))),0,1))</f>
        <v/>
      </c>
      <c r="M55" s="1" t="str">
        <f>IF(Protokoll_2p!J61="","",IF(VALUE(LEFT(Protokoll_2p!J61,FIND(":",Protokoll_2p!J61)-1))&gt;VALUE(RIGHT(Protokoll_2p!J61,LEN(Protokoll_2p!J61)-FIND(":",Protokoll_2p!J61))),0,1))</f>
        <v/>
      </c>
      <c r="N55" s="1">
        <f t="shared" si="1"/>
        <v>0</v>
      </c>
    </row>
    <row r="56" spans="2:14">
      <c r="B56" s="1" t="str">
        <f>IF(Protokoll_2p!F62="","",IF(VALUE(LEFT(Protokoll_2p!F62,FIND(":",Protokoll_2p!F62)-1))&gt;VALUE(RIGHT(Protokoll_2p!F62,LEN(Protokoll_2p!F62)-FIND(":",Protokoll_2p!F62))),1,0))</f>
        <v/>
      </c>
      <c r="C56" s="1" t="str">
        <f>IF(Protokoll_2p!G62="","",IF(VALUE(LEFT(Protokoll_2p!G62,FIND(":",Protokoll_2p!G62)-1))&gt;VALUE(RIGHT(Protokoll_2p!G62,LEN(Protokoll_2p!G62)-FIND(":",Protokoll_2p!G62))),1,0))</f>
        <v/>
      </c>
      <c r="D56" s="1" t="str">
        <f>IF(Protokoll_2p!H62="","",IF(VALUE(LEFT(Protokoll_2p!H62,FIND(":",Protokoll_2p!H62)-1))&gt;VALUE(RIGHT(Protokoll_2p!H62,LEN(Protokoll_2p!H62)-FIND(":",Protokoll_2p!H62))),1,0))</f>
        <v/>
      </c>
      <c r="E56" s="1" t="str">
        <f>IF(Protokoll_2p!I62="","",IF(VALUE(LEFT(Protokoll_2p!I62,FIND(":",Protokoll_2p!I62)-1))&gt;VALUE(RIGHT(Protokoll_2p!I62,LEN(Protokoll_2p!I62)-FIND(":",Protokoll_2p!I62))),1,0))</f>
        <v/>
      </c>
      <c r="F56" s="1" t="str">
        <f>IF(Protokoll_2p!J62="","",IF(VALUE(LEFT(Protokoll_2p!J62,FIND(":",Protokoll_2p!J62)-1))&gt;VALUE(RIGHT(Protokoll_2p!J62,LEN(Protokoll_2p!J62)-FIND(":",Protokoll_2p!J62))),1,0))</f>
        <v/>
      </c>
      <c r="G56" s="1" t="str">
        <f t="shared" si="0"/>
        <v/>
      </c>
      <c r="I56" s="1" t="str">
        <f>IF(Protokoll_2p!F62="","",IF(VALUE(LEFT(Protokoll_2p!F62,FIND(":",Protokoll_2p!F62)-1))&gt;VALUE(RIGHT(Protokoll_2p!F62,LEN(Protokoll_2p!F62)-FIND(":",Protokoll_2p!F62))),0,1))</f>
        <v/>
      </c>
      <c r="J56" s="1" t="str">
        <f>IF(Protokoll_2p!G62="","",IF(VALUE(LEFT(Protokoll_2p!G62,FIND(":",Protokoll_2p!G62)-1))&gt;VALUE(RIGHT(Protokoll_2p!G62,LEN(Protokoll_2p!G62)-FIND(":",Protokoll_2p!G62))),0,1))</f>
        <v/>
      </c>
      <c r="K56" s="1" t="str">
        <f>IF(Protokoll_2p!H62="","",IF(VALUE(LEFT(Protokoll_2p!H62,FIND(":",Protokoll_2p!H62)-1))&gt;VALUE(RIGHT(Protokoll_2p!H62,LEN(Protokoll_2p!H62)-FIND(":",Protokoll_2p!H62))),0,1))</f>
        <v/>
      </c>
      <c r="L56" s="1" t="str">
        <f>IF(Protokoll_2p!I62="","",IF(VALUE(LEFT(Protokoll_2p!I62,FIND(":",Protokoll_2p!I62)-1))&gt;VALUE(RIGHT(Protokoll_2p!I62,LEN(Protokoll_2p!I62)-FIND(":",Protokoll_2p!I62))),0,1))</f>
        <v/>
      </c>
      <c r="M56" s="1" t="str">
        <f>IF(Protokoll_2p!J62="","",IF(VALUE(LEFT(Protokoll_2p!J62,FIND(":",Protokoll_2p!J62)-1))&gt;VALUE(RIGHT(Protokoll_2p!J62,LEN(Protokoll_2p!J62)-FIND(":",Protokoll_2p!J62))),0,1))</f>
        <v/>
      </c>
      <c r="N56" s="1" t="str">
        <f t="shared" si="1"/>
        <v/>
      </c>
    </row>
    <row r="57" spans="2:14">
      <c r="B57" s="1">
        <f>IF(Protokoll_2p!F63="","",IF(VALUE(LEFT(Protokoll_2p!F63,FIND(":",Protokoll_2p!F63)-1))&gt;VALUE(RIGHT(Protokoll_2p!F63,LEN(Protokoll_2p!F63)-FIND(":",Protokoll_2p!F63))),1,0))</f>
        <v>1</v>
      </c>
      <c r="C57" s="1">
        <f>IF(Protokoll_2p!G63="","",IF(VALUE(LEFT(Protokoll_2p!G63,FIND(":",Protokoll_2p!G63)-1))&gt;VALUE(RIGHT(Protokoll_2p!G63,LEN(Protokoll_2p!G63)-FIND(":",Protokoll_2p!G63))),1,0))</f>
        <v>1</v>
      </c>
      <c r="D57" s="1">
        <f>IF(Protokoll_2p!H63="","",IF(VALUE(LEFT(Protokoll_2p!H63,FIND(":",Protokoll_2p!H63)-1))&gt;VALUE(RIGHT(Protokoll_2p!H63,LEN(Protokoll_2p!H63)-FIND(":",Protokoll_2p!H63))),1,0))</f>
        <v>1</v>
      </c>
      <c r="E57" s="1" t="str">
        <f>IF(Protokoll_2p!I63="","",IF(VALUE(LEFT(Protokoll_2p!I63,FIND(":",Protokoll_2p!I63)-1))&gt;VALUE(RIGHT(Protokoll_2p!I63,LEN(Protokoll_2p!I63)-FIND(":",Protokoll_2p!I63))),1,0))</f>
        <v/>
      </c>
      <c r="F57" s="1" t="str">
        <f>IF(Protokoll_2p!J63="","",IF(VALUE(LEFT(Protokoll_2p!J63,FIND(":",Protokoll_2p!J63)-1))&gt;VALUE(RIGHT(Protokoll_2p!J63,LEN(Protokoll_2p!J63)-FIND(":",Protokoll_2p!J63))),1,0))</f>
        <v/>
      </c>
      <c r="G57" s="1">
        <f t="shared" si="0"/>
        <v>3</v>
      </c>
      <c r="I57" s="1">
        <f>IF(Protokoll_2p!F63="","",IF(VALUE(LEFT(Protokoll_2p!F63,FIND(":",Protokoll_2p!F63)-1))&gt;VALUE(RIGHT(Protokoll_2p!F63,LEN(Protokoll_2p!F63)-FIND(":",Protokoll_2p!F63))),0,1))</f>
        <v>0</v>
      </c>
      <c r="J57" s="1">
        <f>IF(Protokoll_2p!G63="","",IF(VALUE(LEFT(Protokoll_2p!G63,FIND(":",Protokoll_2p!G63)-1))&gt;VALUE(RIGHT(Protokoll_2p!G63,LEN(Protokoll_2p!G63)-FIND(":",Protokoll_2p!G63))),0,1))</f>
        <v>0</v>
      </c>
      <c r="K57" s="1">
        <f>IF(Protokoll_2p!H63="","",IF(VALUE(LEFT(Protokoll_2p!H63,FIND(":",Protokoll_2p!H63)-1))&gt;VALUE(RIGHT(Protokoll_2p!H63,LEN(Protokoll_2p!H63)-FIND(":",Protokoll_2p!H63))),0,1))</f>
        <v>0</v>
      </c>
      <c r="L57" s="1" t="str">
        <f>IF(Protokoll_2p!I63="","",IF(VALUE(LEFT(Protokoll_2p!I63,FIND(":",Protokoll_2p!I63)-1))&gt;VALUE(RIGHT(Protokoll_2p!I63,LEN(Protokoll_2p!I63)-FIND(":",Protokoll_2p!I63))),0,1))</f>
        <v/>
      </c>
      <c r="M57" s="1" t="str">
        <f>IF(Protokoll_2p!J63="","",IF(VALUE(LEFT(Protokoll_2p!J63,FIND(":",Protokoll_2p!J63)-1))&gt;VALUE(RIGHT(Protokoll_2p!J63,LEN(Protokoll_2p!J63)-FIND(":",Protokoll_2p!J63))),0,1))</f>
        <v/>
      </c>
      <c r="N57" s="1">
        <f t="shared" si="1"/>
        <v>0</v>
      </c>
    </row>
    <row r="58" spans="2:14">
      <c r="B58" s="1" t="str">
        <f>IF(Protokoll_2p!F64="","",IF(VALUE(LEFT(Protokoll_2p!F64,FIND(":",Protokoll_2p!F64)-1))&gt;VALUE(RIGHT(Protokoll_2p!F64,LEN(Protokoll_2p!F64)-FIND(":",Protokoll_2p!F64))),1,0))</f>
        <v/>
      </c>
      <c r="C58" s="1" t="str">
        <f>IF(Protokoll_2p!G64="","",IF(VALUE(LEFT(Protokoll_2p!G64,FIND(":",Protokoll_2p!G64)-1))&gt;VALUE(RIGHT(Protokoll_2p!G64,LEN(Protokoll_2p!G64)-FIND(":",Protokoll_2p!G64))),1,0))</f>
        <v/>
      </c>
      <c r="D58" s="1" t="str">
        <f>IF(Protokoll_2p!H64="","",IF(VALUE(LEFT(Protokoll_2p!H64,FIND(":",Protokoll_2p!H64)-1))&gt;VALUE(RIGHT(Protokoll_2p!H64,LEN(Protokoll_2p!H64)-FIND(":",Protokoll_2p!H64))),1,0))</f>
        <v/>
      </c>
      <c r="E58" s="1" t="str">
        <f>IF(Protokoll_2p!I64="","",IF(VALUE(LEFT(Protokoll_2p!I64,FIND(":",Protokoll_2p!I64)-1))&gt;VALUE(RIGHT(Protokoll_2p!I64,LEN(Protokoll_2p!I64)-FIND(":",Protokoll_2p!I64))),1,0))</f>
        <v/>
      </c>
      <c r="F58" s="1" t="str">
        <f>IF(Protokoll_2p!J64="","",IF(VALUE(LEFT(Protokoll_2p!J64,FIND(":",Protokoll_2p!J64)-1))&gt;VALUE(RIGHT(Protokoll_2p!J64,LEN(Protokoll_2p!J64)-FIND(":",Protokoll_2p!J64))),1,0))</f>
        <v/>
      </c>
      <c r="G58" s="1" t="str">
        <f t="shared" si="0"/>
        <v/>
      </c>
      <c r="I58" s="1" t="str">
        <f>IF(Protokoll_2p!F64="","",IF(VALUE(LEFT(Protokoll_2p!F64,FIND(":",Protokoll_2p!F64)-1))&gt;VALUE(RIGHT(Protokoll_2p!F64,LEN(Protokoll_2p!F64)-FIND(":",Protokoll_2p!F64))),0,1))</f>
        <v/>
      </c>
      <c r="J58" s="1" t="str">
        <f>IF(Protokoll_2p!G64="","",IF(VALUE(LEFT(Protokoll_2p!G64,FIND(":",Protokoll_2p!G64)-1))&gt;VALUE(RIGHT(Protokoll_2p!G64,LEN(Protokoll_2p!G64)-FIND(":",Protokoll_2p!G64))),0,1))</f>
        <v/>
      </c>
      <c r="K58" s="1" t="str">
        <f>IF(Protokoll_2p!H64="","",IF(VALUE(LEFT(Protokoll_2p!H64,FIND(":",Protokoll_2p!H64)-1))&gt;VALUE(RIGHT(Protokoll_2p!H64,LEN(Protokoll_2p!H64)-FIND(":",Protokoll_2p!H64))),0,1))</f>
        <v/>
      </c>
      <c r="L58" s="1" t="str">
        <f>IF(Protokoll_2p!I64="","",IF(VALUE(LEFT(Protokoll_2p!I64,FIND(":",Protokoll_2p!I64)-1))&gt;VALUE(RIGHT(Protokoll_2p!I64,LEN(Protokoll_2p!I64)-FIND(":",Protokoll_2p!I64))),0,1))</f>
        <v/>
      </c>
      <c r="M58" s="1" t="str">
        <f>IF(Protokoll_2p!J64="","",IF(VALUE(LEFT(Protokoll_2p!J64,FIND(":",Protokoll_2p!J64)-1))&gt;VALUE(RIGHT(Protokoll_2p!J64,LEN(Protokoll_2p!J64)-FIND(":",Protokoll_2p!J64))),0,1))</f>
        <v/>
      </c>
      <c r="N58" s="1" t="str">
        <f t="shared" si="1"/>
        <v/>
      </c>
    </row>
    <row r="59" spans="2:14">
      <c r="B59" s="1" t="str">
        <f>IF(Protokoll_2p!F65="","",IF(VALUE(LEFT(Protokoll_2p!F65,FIND(":",Protokoll_2p!F65)-1))&gt;VALUE(RIGHT(Protokoll_2p!F65,LEN(Protokoll_2p!F65)-FIND(":",Protokoll_2p!F65))),1,0))</f>
        <v/>
      </c>
      <c r="C59" s="1" t="str">
        <f>IF(Protokoll_2p!G65="","",IF(VALUE(LEFT(Protokoll_2p!G65,FIND(":",Protokoll_2p!G65)-1))&gt;VALUE(RIGHT(Protokoll_2p!G65,LEN(Protokoll_2p!G65)-FIND(":",Protokoll_2p!G65))),1,0))</f>
        <v/>
      </c>
      <c r="D59" s="1" t="str">
        <f>IF(Protokoll_2p!H65="","",IF(VALUE(LEFT(Protokoll_2p!H65,FIND(":",Protokoll_2p!H65)-1))&gt;VALUE(RIGHT(Protokoll_2p!H65,LEN(Protokoll_2p!H65)-FIND(":",Protokoll_2p!H65))),1,0))</f>
        <v/>
      </c>
      <c r="E59" s="1" t="str">
        <f>IF(Protokoll_2p!I65="","",IF(VALUE(LEFT(Protokoll_2p!I65,FIND(":",Protokoll_2p!I65)-1))&gt;VALUE(RIGHT(Protokoll_2p!I65,LEN(Protokoll_2p!I65)-FIND(":",Protokoll_2p!I65))),1,0))</f>
        <v/>
      </c>
      <c r="F59" s="1" t="str">
        <f>IF(Protokoll_2p!J65="","",IF(VALUE(LEFT(Protokoll_2p!J65,FIND(":",Protokoll_2p!J65)-1))&gt;VALUE(RIGHT(Protokoll_2p!J65,LEN(Protokoll_2p!J65)-FIND(":",Protokoll_2p!J65))),1,0))</f>
        <v/>
      </c>
      <c r="G59" s="1" t="str">
        <f t="shared" si="0"/>
        <v/>
      </c>
      <c r="I59" s="1" t="str">
        <f>IF(Protokoll_2p!F65="","",IF(VALUE(LEFT(Protokoll_2p!F65,FIND(":",Protokoll_2p!F65)-1))&gt;VALUE(RIGHT(Protokoll_2p!F65,LEN(Protokoll_2p!F65)-FIND(":",Protokoll_2p!F65))),0,1))</f>
        <v/>
      </c>
      <c r="J59" s="1" t="str">
        <f>IF(Protokoll_2p!G65="","",IF(VALUE(LEFT(Protokoll_2p!G65,FIND(":",Protokoll_2p!G65)-1))&gt;VALUE(RIGHT(Protokoll_2p!G65,LEN(Protokoll_2p!G65)-FIND(":",Protokoll_2p!G65))),0,1))</f>
        <v/>
      </c>
      <c r="K59" s="1" t="str">
        <f>IF(Protokoll_2p!H65="","",IF(VALUE(LEFT(Protokoll_2p!H65,FIND(":",Protokoll_2p!H65)-1))&gt;VALUE(RIGHT(Protokoll_2p!H65,LEN(Protokoll_2p!H65)-FIND(":",Protokoll_2p!H65))),0,1))</f>
        <v/>
      </c>
      <c r="L59" s="1" t="str">
        <f>IF(Protokoll_2p!I65="","",IF(VALUE(LEFT(Protokoll_2p!I65,FIND(":",Protokoll_2p!I65)-1))&gt;VALUE(RIGHT(Protokoll_2p!I65,LEN(Protokoll_2p!I65)-FIND(":",Protokoll_2p!I65))),0,1))</f>
        <v/>
      </c>
      <c r="M59" s="1" t="str">
        <f>IF(Protokoll_2p!J65="","",IF(VALUE(LEFT(Protokoll_2p!J65,FIND(":",Protokoll_2p!J65)-1))&gt;VALUE(RIGHT(Protokoll_2p!J65,LEN(Protokoll_2p!J65)-FIND(":",Protokoll_2p!J65))),0,1))</f>
        <v/>
      </c>
      <c r="N59" s="1" t="str">
        <f t="shared" si="1"/>
        <v/>
      </c>
    </row>
    <row r="60" spans="2:14">
      <c r="B60" s="1" t="str">
        <f>IF(Protokoll_2p!F66="","",IF(VALUE(LEFT(Protokoll_2p!F66,FIND(":",Protokoll_2p!F66)-1))&gt;VALUE(RIGHT(Protokoll_2p!F66,LEN(Protokoll_2p!F66)-FIND(":",Protokoll_2p!F66))),1,0))</f>
        <v/>
      </c>
      <c r="C60" s="1" t="str">
        <f>IF(Protokoll_2p!G66="","",IF(VALUE(LEFT(Protokoll_2p!G66,FIND(":",Protokoll_2p!G66)-1))&gt;VALUE(RIGHT(Protokoll_2p!G66,LEN(Protokoll_2p!G66)-FIND(":",Protokoll_2p!G66))),1,0))</f>
        <v/>
      </c>
      <c r="D60" s="1" t="str">
        <f>IF(Protokoll_2p!H66="","",IF(VALUE(LEFT(Protokoll_2p!H66,FIND(":",Protokoll_2p!H66)-1))&gt;VALUE(RIGHT(Protokoll_2p!H66,LEN(Protokoll_2p!H66)-FIND(":",Protokoll_2p!H66))),1,0))</f>
        <v/>
      </c>
      <c r="E60" s="1" t="str">
        <f>IF(Protokoll_2p!I66="","",IF(VALUE(LEFT(Protokoll_2p!I66,FIND(":",Protokoll_2p!I66)-1))&gt;VALUE(RIGHT(Protokoll_2p!I66,LEN(Protokoll_2p!I66)-FIND(":",Protokoll_2p!I66))),1,0))</f>
        <v/>
      </c>
      <c r="F60" s="1" t="str">
        <f>IF(Protokoll_2p!J66="","",IF(VALUE(LEFT(Protokoll_2p!J66,FIND(":",Protokoll_2p!J66)-1))&gt;VALUE(RIGHT(Protokoll_2p!J66,LEN(Protokoll_2p!J66)-FIND(":",Protokoll_2p!J66))),1,0))</f>
        <v/>
      </c>
      <c r="G60" s="1" t="str">
        <f t="shared" si="0"/>
        <v/>
      </c>
      <c r="I60" s="1" t="str">
        <f>IF(Protokoll_2p!F66="","",IF(VALUE(LEFT(Protokoll_2p!F66,FIND(":",Protokoll_2p!F66)-1))&gt;VALUE(RIGHT(Protokoll_2p!F66,LEN(Protokoll_2p!F66)-FIND(":",Protokoll_2p!F66))),0,1))</f>
        <v/>
      </c>
      <c r="J60" s="1" t="str">
        <f>IF(Protokoll_2p!G66="","",IF(VALUE(LEFT(Protokoll_2p!G66,FIND(":",Protokoll_2p!G66)-1))&gt;VALUE(RIGHT(Protokoll_2p!G66,LEN(Protokoll_2p!G66)-FIND(":",Protokoll_2p!G66))),0,1))</f>
        <v/>
      </c>
      <c r="K60" s="1" t="str">
        <f>IF(Protokoll_2p!H66="","",IF(VALUE(LEFT(Protokoll_2p!H66,FIND(":",Protokoll_2p!H66)-1))&gt;VALUE(RIGHT(Protokoll_2p!H66,LEN(Protokoll_2p!H66)-FIND(":",Protokoll_2p!H66))),0,1))</f>
        <v/>
      </c>
      <c r="L60" s="1" t="str">
        <f>IF(Protokoll_2p!I66="","",IF(VALUE(LEFT(Protokoll_2p!I66,FIND(":",Protokoll_2p!I66)-1))&gt;VALUE(RIGHT(Protokoll_2p!I66,LEN(Protokoll_2p!I66)-FIND(":",Protokoll_2p!I66))),0,1))</f>
        <v/>
      </c>
      <c r="M60" s="1" t="str">
        <f>IF(Protokoll_2p!J66="","",IF(VALUE(LEFT(Protokoll_2p!J66,FIND(":",Protokoll_2p!J66)-1))&gt;VALUE(RIGHT(Protokoll_2p!J66,LEN(Protokoll_2p!J66)-FIND(":",Protokoll_2p!J66))),0,1))</f>
        <v/>
      </c>
      <c r="N60" s="1" t="str">
        <f t="shared" si="1"/>
        <v/>
      </c>
    </row>
    <row r="61" spans="2:14">
      <c r="B61" s="1" t="e">
        <f>IF(Protokoll_2p!F67="","",IF(VALUE(LEFT(Protokoll_2p!F67,FIND(":",Protokoll_2p!F67)-1))&gt;VALUE(RIGHT(Protokoll_2p!F67,LEN(Protokoll_2p!F67)-FIND(":",Protokoll_2p!F67))),1,0))</f>
        <v>#VALUE!</v>
      </c>
      <c r="C61" s="1" t="e">
        <f>IF(Protokoll_2p!G67="","",IF(VALUE(LEFT(Protokoll_2p!G67,FIND(":",Protokoll_2p!G67)-1))&gt;VALUE(RIGHT(Protokoll_2p!G67,LEN(Protokoll_2p!G67)-FIND(":",Protokoll_2p!G67))),1,0))</f>
        <v>#VALUE!</v>
      </c>
      <c r="D61" s="1" t="e">
        <f>IF(Protokoll_2p!H67="","",IF(VALUE(LEFT(Protokoll_2p!H67,FIND(":",Protokoll_2p!H67)-1))&gt;VALUE(RIGHT(Protokoll_2p!H67,LEN(Protokoll_2p!H67)-FIND(":",Protokoll_2p!H67))),1,0))</f>
        <v>#VALUE!</v>
      </c>
      <c r="E61" s="1" t="e">
        <f>IF(Protokoll_2p!I67="","",IF(VALUE(LEFT(Protokoll_2p!I67,FIND(":",Protokoll_2p!I67)-1))&gt;VALUE(RIGHT(Protokoll_2p!I67,LEN(Protokoll_2p!I67)-FIND(":",Protokoll_2p!I67))),1,0))</f>
        <v>#VALUE!</v>
      </c>
      <c r="F61" s="1" t="e">
        <f>IF(Protokoll_2p!J67="","",IF(VALUE(LEFT(Protokoll_2p!J67,FIND(":",Protokoll_2p!J67)-1))&gt;VALUE(RIGHT(Protokoll_2p!J67,LEN(Protokoll_2p!J67)-FIND(":",Protokoll_2p!J67))),1,0))</f>
        <v>#VALUE!</v>
      </c>
      <c r="G61" s="1" t="e">
        <f t="shared" si="0"/>
        <v>#VALUE!</v>
      </c>
      <c r="I61" s="1" t="e">
        <f>IF(Protokoll_2p!F67="","",IF(VALUE(LEFT(Protokoll_2p!F67,FIND(":",Protokoll_2p!F67)-1))&gt;VALUE(RIGHT(Protokoll_2p!F67,LEN(Protokoll_2p!F67)-FIND(":",Protokoll_2p!F67))),0,1))</f>
        <v>#VALUE!</v>
      </c>
      <c r="J61" s="1" t="e">
        <f>IF(Protokoll_2p!G67="","",IF(VALUE(LEFT(Protokoll_2p!G67,FIND(":",Protokoll_2p!G67)-1))&gt;VALUE(RIGHT(Protokoll_2p!G67,LEN(Protokoll_2p!G67)-FIND(":",Protokoll_2p!G67))),0,1))</f>
        <v>#VALUE!</v>
      </c>
      <c r="K61" s="1" t="e">
        <f>IF(Protokoll_2p!H67="","",IF(VALUE(LEFT(Protokoll_2p!H67,FIND(":",Protokoll_2p!H67)-1))&gt;VALUE(RIGHT(Protokoll_2p!H67,LEN(Protokoll_2p!H67)-FIND(":",Protokoll_2p!H67))),0,1))</f>
        <v>#VALUE!</v>
      </c>
      <c r="L61" s="1" t="e">
        <f>IF(Protokoll_2p!I67="","",IF(VALUE(LEFT(Protokoll_2p!I67,FIND(":",Protokoll_2p!I67)-1))&gt;VALUE(RIGHT(Protokoll_2p!I67,LEN(Protokoll_2p!I67)-FIND(":",Protokoll_2p!I67))),0,1))</f>
        <v>#VALUE!</v>
      </c>
      <c r="M61" s="1" t="e">
        <f>IF(Protokoll_2p!J67="","",IF(VALUE(LEFT(Protokoll_2p!J67,FIND(":",Protokoll_2p!J67)-1))&gt;VALUE(RIGHT(Protokoll_2p!J67,LEN(Protokoll_2p!J67)-FIND(":",Protokoll_2p!J67))),0,1))</f>
        <v>#VALUE!</v>
      </c>
      <c r="N61" s="1" t="e">
        <f t="shared" si="1"/>
        <v>#VALUE!</v>
      </c>
    </row>
    <row r="62" spans="2:14">
      <c r="B62" s="1">
        <f>IF(Protokoll_2p!F68="","",IF(VALUE(LEFT(Protokoll_2p!F68,FIND(":",Protokoll_2p!F68)-1))&gt;VALUE(RIGHT(Protokoll_2p!F68,LEN(Protokoll_2p!F68)-FIND(":",Protokoll_2p!F68))),1,0))</f>
        <v>1</v>
      </c>
      <c r="C62" s="1">
        <f>IF(Protokoll_2p!G68="","",IF(VALUE(LEFT(Protokoll_2p!G68,FIND(":",Protokoll_2p!G68)-1))&gt;VALUE(RIGHT(Protokoll_2p!G68,LEN(Protokoll_2p!G68)-FIND(":",Protokoll_2p!G68))),1,0))</f>
        <v>0</v>
      </c>
      <c r="D62" s="1">
        <f>IF(Protokoll_2p!H68="","",IF(VALUE(LEFT(Protokoll_2p!H68,FIND(":",Protokoll_2p!H68)-1))&gt;VALUE(RIGHT(Protokoll_2p!H68,LEN(Protokoll_2p!H68)-FIND(":",Protokoll_2p!H68))),1,0))</f>
        <v>1</v>
      </c>
      <c r="E62" s="1">
        <f>IF(Protokoll_2p!I68="","",IF(VALUE(LEFT(Protokoll_2p!I68,FIND(":",Protokoll_2p!I68)-1))&gt;VALUE(RIGHT(Protokoll_2p!I68,LEN(Protokoll_2p!I68)-FIND(":",Protokoll_2p!I68))),1,0))</f>
        <v>1</v>
      </c>
      <c r="F62" s="1" t="str">
        <f>IF(Protokoll_2p!J68="","",IF(VALUE(LEFT(Protokoll_2p!J68,FIND(":",Protokoll_2p!J68)-1))&gt;VALUE(RIGHT(Protokoll_2p!J68,LEN(Protokoll_2p!J68)-FIND(":",Protokoll_2p!J68))),1,0))</f>
        <v/>
      </c>
      <c r="G62" s="1">
        <f t="shared" si="0"/>
        <v>3</v>
      </c>
      <c r="I62" s="1">
        <f>IF(Protokoll_2p!F68="","",IF(VALUE(LEFT(Protokoll_2p!F68,FIND(":",Protokoll_2p!F68)-1))&gt;VALUE(RIGHT(Protokoll_2p!F68,LEN(Protokoll_2p!F68)-FIND(":",Protokoll_2p!F68))),0,1))</f>
        <v>0</v>
      </c>
      <c r="J62" s="1">
        <f>IF(Protokoll_2p!G68="","",IF(VALUE(LEFT(Protokoll_2p!G68,FIND(":",Protokoll_2p!G68)-1))&gt;VALUE(RIGHT(Protokoll_2p!G68,LEN(Protokoll_2p!G68)-FIND(":",Protokoll_2p!G68))),0,1))</f>
        <v>1</v>
      </c>
      <c r="K62" s="1">
        <f>IF(Protokoll_2p!H68="","",IF(VALUE(LEFT(Protokoll_2p!H68,FIND(":",Protokoll_2p!H68)-1))&gt;VALUE(RIGHT(Protokoll_2p!H68,LEN(Protokoll_2p!H68)-FIND(":",Protokoll_2p!H68))),0,1))</f>
        <v>0</v>
      </c>
      <c r="L62" s="1">
        <f>IF(Protokoll_2p!I68="","",IF(VALUE(LEFT(Protokoll_2p!I68,FIND(":",Protokoll_2p!I68)-1))&gt;VALUE(RIGHT(Protokoll_2p!I68,LEN(Protokoll_2p!I68)-FIND(":",Protokoll_2p!I68))),0,1))</f>
        <v>0</v>
      </c>
      <c r="M62" s="1" t="str">
        <f>IF(Protokoll_2p!J68="","",IF(VALUE(LEFT(Protokoll_2p!J68,FIND(":",Protokoll_2p!J68)-1))&gt;VALUE(RIGHT(Protokoll_2p!J68,LEN(Protokoll_2p!J68)-FIND(":",Protokoll_2p!J68))),0,1))</f>
        <v/>
      </c>
      <c r="N62" s="1">
        <f t="shared" si="1"/>
        <v>1</v>
      </c>
    </row>
    <row r="63" spans="2:14">
      <c r="B63" s="1">
        <f>IF(Protokoll_2p!F69="","",IF(VALUE(LEFT(Protokoll_2p!F69,FIND(":",Protokoll_2p!F69)-1))&gt;VALUE(RIGHT(Protokoll_2p!F69,LEN(Protokoll_2p!F69)-FIND(":",Protokoll_2p!F69))),1,0))</f>
        <v>1</v>
      </c>
      <c r="C63" s="1">
        <f>IF(Protokoll_2p!G69="","",IF(VALUE(LEFT(Protokoll_2p!G69,FIND(":",Protokoll_2p!G69)-1))&gt;VALUE(RIGHT(Protokoll_2p!G69,LEN(Protokoll_2p!G69)-FIND(":",Protokoll_2p!G69))),1,0))</f>
        <v>1</v>
      </c>
      <c r="D63" s="1">
        <f>IF(Protokoll_2p!H69="","",IF(VALUE(LEFT(Protokoll_2p!H69,FIND(":",Protokoll_2p!H69)-1))&gt;VALUE(RIGHT(Protokoll_2p!H69,LEN(Protokoll_2p!H69)-FIND(":",Protokoll_2p!H69))),1,0))</f>
        <v>1</v>
      </c>
      <c r="E63" s="1" t="str">
        <f>IF(Protokoll_2p!I69="","",IF(VALUE(LEFT(Protokoll_2p!I69,FIND(":",Protokoll_2p!I69)-1))&gt;VALUE(RIGHT(Protokoll_2p!I69,LEN(Protokoll_2p!I69)-FIND(":",Protokoll_2p!I69))),1,0))</f>
        <v/>
      </c>
      <c r="F63" s="1" t="str">
        <f>IF(Protokoll_2p!J69="","",IF(VALUE(LEFT(Protokoll_2p!J69,FIND(":",Protokoll_2p!J69)-1))&gt;VALUE(RIGHT(Protokoll_2p!J69,LEN(Protokoll_2p!J69)-FIND(":",Protokoll_2p!J69))),1,0))</f>
        <v/>
      </c>
      <c r="G63" s="1">
        <f t="shared" si="0"/>
        <v>3</v>
      </c>
      <c r="I63" s="1">
        <f>IF(Protokoll_2p!F69="","",IF(VALUE(LEFT(Protokoll_2p!F69,FIND(":",Protokoll_2p!F69)-1))&gt;VALUE(RIGHT(Protokoll_2p!F69,LEN(Protokoll_2p!F69)-FIND(":",Protokoll_2p!F69))),0,1))</f>
        <v>0</v>
      </c>
      <c r="J63" s="1">
        <f>IF(Protokoll_2p!G69="","",IF(VALUE(LEFT(Protokoll_2p!G69,FIND(":",Protokoll_2p!G69)-1))&gt;VALUE(RIGHT(Protokoll_2p!G69,LEN(Protokoll_2p!G69)-FIND(":",Protokoll_2p!G69))),0,1))</f>
        <v>0</v>
      </c>
      <c r="K63" s="1">
        <f>IF(Protokoll_2p!H69="","",IF(VALUE(LEFT(Protokoll_2p!H69,FIND(":",Protokoll_2p!H69)-1))&gt;VALUE(RIGHT(Protokoll_2p!H69,LEN(Protokoll_2p!H69)-FIND(":",Protokoll_2p!H69))),0,1))</f>
        <v>0</v>
      </c>
      <c r="L63" s="1" t="str">
        <f>IF(Protokoll_2p!I69="","",IF(VALUE(LEFT(Protokoll_2p!I69,FIND(":",Protokoll_2p!I69)-1))&gt;VALUE(RIGHT(Protokoll_2p!I69,LEN(Protokoll_2p!I69)-FIND(":",Protokoll_2p!I69))),0,1))</f>
        <v/>
      </c>
      <c r="M63" s="1" t="str">
        <f>IF(Protokoll_2p!J69="","",IF(VALUE(LEFT(Protokoll_2p!J69,FIND(":",Protokoll_2p!J69)-1))&gt;VALUE(RIGHT(Protokoll_2p!J69,LEN(Protokoll_2p!J69)-FIND(":",Protokoll_2p!J69))),0,1))</f>
        <v/>
      </c>
      <c r="N63" s="1">
        <f t="shared" si="1"/>
        <v>0</v>
      </c>
    </row>
    <row r="64" spans="2:14">
      <c r="B64" s="1">
        <f>IF(Protokoll_2p!F70="","",IF(VALUE(LEFT(Protokoll_2p!F70,FIND(":",Protokoll_2p!F70)-1))&gt;VALUE(RIGHT(Protokoll_2p!F70,LEN(Protokoll_2p!F70)-FIND(":",Protokoll_2p!F70))),1,0))</f>
        <v>0</v>
      </c>
      <c r="C64" s="1">
        <f>IF(Protokoll_2p!G70="","",IF(VALUE(LEFT(Protokoll_2p!G70,FIND(":",Protokoll_2p!G70)-1))&gt;VALUE(RIGHT(Protokoll_2p!G70,LEN(Protokoll_2p!G70)-FIND(":",Protokoll_2p!G70))),1,0))</f>
        <v>1</v>
      </c>
      <c r="D64" s="1">
        <f>IF(Protokoll_2p!H70="","",IF(VALUE(LEFT(Protokoll_2p!H70,FIND(":",Protokoll_2p!H70)-1))&gt;VALUE(RIGHT(Protokoll_2p!H70,LEN(Protokoll_2p!H70)-FIND(":",Protokoll_2p!H70))),1,0))</f>
        <v>0</v>
      </c>
      <c r="E64" s="1">
        <f>IF(Protokoll_2p!I70="","",IF(VALUE(LEFT(Protokoll_2p!I70,FIND(":",Protokoll_2p!I70)-1))&gt;VALUE(RIGHT(Protokoll_2p!I70,LEN(Protokoll_2p!I70)-FIND(":",Protokoll_2p!I70))),1,0))</f>
        <v>1</v>
      </c>
      <c r="F64" s="1">
        <f>IF(Protokoll_2p!J70="","",IF(VALUE(LEFT(Protokoll_2p!J70,FIND(":",Protokoll_2p!J70)-1))&gt;VALUE(RIGHT(Protokoll_2p!J70,LEN(Protokoll_2p!J70)-FIND(":",Protokoll_2p!J70))),1,0))</f>
        <v>1</v>
      </c>
      <c r="G64" s="1">
        <f t="shared" si="0"/>
        <v>3</v>
      </c>
      <c r="I64" s="1">
        <f>IF(Protokoll_2p!F70="","",IF(VALUE(LEFT(Protokoll_2p!F70,FIND(":",Protokoll_2p!F70)-1))&gt;VALUE(RIGHT(Protokoll_2p!F70,LEN(Protokoll_2p!F70)-FIND(":",Protokoll_2p!F70))),0,1))</f>
        <v>1</v>
      </c>
      <c r="J64" s="1">
        <f>IF(Protokoll_2p!G70="","",IF(VALUE(LEFT(Protokoll_2p!G70,FIND(":",Protokoll_2p!G70)-1))&gt;VALUE(RIGHT(Protokoll_2p!G70,LEN(Protokoll_2p!G70)-FIND(":",Protokoll_2p!G70))),0,1))</f>
        <v>0</v>
      </c>
      <c r="K64" s="1">
        <f>IF(Protokoll_2p!H70="","",IF(VALUE(LEFT(Protokoll_2p!H70,FIND(":",Protokoll_2p!H70)-1))&gt;VALUE(RIGHT(Protokoll_2p!H70,LEN(Protokoll_2p!H70)-FIND(":",Protokoll_2p!H70))),0,1))</f>
        <v>1</v>
      </c>
      <c r="L64" s="1">
        <f>IF(Protokoll_2p!I70="","",IF(VALUE(LEFT(Protokoll_2p!I70,FIND(":",Protokoll_2p!I70)-1))&gt;VALUE(RIGHT(Protokoll_2p!I70,LEN(Protokoll_2p!I70)-FIND(":",Protokoll_2p!I70))),0,1))</f>
        <v>0</v>
      </c>
      <c r="M64" s="1">
        <f>IF(Protokoll_2p!J70="","",IF(VALUE(LEFT(Protokoll_2p!J70,FIND(":",Protokoll_2p!J70)-1))&gt;VALUE(RIGHT(Protokoll_2p!J70,LEN(Protokoll_2p!J70)-FIND(":",Protokoll_2p!J70))),0,1))</f>
        <v>0</v>
      </c>
      <c r="N64" s="1">
        <f t="shared" si="1"/>
        <v>2</v>
      </c>
    </row>
    <row r="65" spans="2:14">
      <c r="B65" s="1">
        <f>IF(Protokoll_2p!F71="","",IF(VALUE(LEFT(Protokoll_2p!F71,FIND(":",Protokoll_2p!F71)-1))&gt;VALUE(RIGHT(Protokoll_2p!F71,LEN(Protokoll_2p!F71)-FIND(":",Protokoll_2p!F71))),1,0))</f>
        <v>1</v>
      </c>
      <c r="C65" s="1">
        <f>IF(Protokoll_2p!G71="","",IF(VALUE(LEFT(Protokoll_2p!G71,FIND(":",Protokoll_2p!G71)-1))&gt;VALUE(RIGHT(Protokoll_2p!G71,LEN(Protokoll_2p!G71)-FIND(":",Protokoll_2p!G71))),1,0))</f>
        <v>1</v>
      </c>
      <c r="D65" s="1">
        <f>IF(Protokoll_2p!H71="","",IF(VALUE(LEFT(Protokoll_2p!H71,FIND(":",Protokoll_2p!H71)-1))&gt;VALUE(RIGHT(Protokoll_2p!H71,LEN(Protokoll_2p!H71)-FIND(":",Protokoll_2p!H71))),1,0))</f>
        <v>0</v>
      </c>
      <c r="E65" s="1">
        <f>IF(Protokoll_2p!I71="","",IF(VALUE(LEFT(Protokoll_2p!I71,FIND(":",Protokoll_2p!I71)-1))&gt;VALUE(RIGHT(Protokoll_2p!I71,LEN(Protokoll_2p!I71)-FIND(":",Protokoll_2p!I71))),1,0))</f>
        <v>0</v>
      </c>
      <c r="F65" s="1">
        <f>IF(Protokoll_2p!J71="","",IF(VALUE(LEFT(Protokoll_2p!J71,FIND(":",Protokoll_2p!J71)-1))&gt;VALUE(RIGHT(Protokoll_2p!J71,LEN(Protokoll_2p!J71)-FIND(":",Protokoll_2p!J71))),1,0))</f>
        <v>1</v>
      </c>
      <c r="G65" s="1">
        <f t="shared" si="0"/>
        <v>3</v>
      </c>
      <c r="I65" s="1">
        <f>IF(Protokoll_2p!F71="","",IF(VALUE(LEFT(Protokoll_2p!F71,FIND(":",Protokoll_2p!F71)-1))&gt;VALUE(RIGHT(Protokoll_2p!F71,LEN(Protokoll_2p!F71)-FIND(":",Protokoll_2p!F71))),0,1))</f>
        <v>0</v>
      </c>
      <c r="J65" s="1">
        <f>IF(Protokoll_2p!G71="","",IF(VALUE(LEFT(Protokoll_2p!G71,FIND(":",Protokoll_2p!G71)-1))&gt;VALUE(RIGHT(Protokoll_2p!G71,LEN(Protokoll_2p!G71)-FIND(":",Protokoll_2p!G71))),0,1))</f>
        <v>0</v>
      </c>
      <c r="K65" s="1">
        <f>IF(Protokoll_2p!H71="","",IF(VALUE(LEFT(Protokoll_2p!H71,FIND(":",Protokoll_2p!H71)-1))&gt;VALUE(RIGHT(Protokoll_2p!H71,LEN(Protokoll_2p!H71)-FIND(":",Protokoll_2p!H71))),0,1))</f>
        <v>1</v>
      </c>
      <c r="L65" s="1">
        <f>IF(Protokoll_2p!I71="","",IF(VALUE(LEFT(Protokoll_2p!I71,FIND(":",Protokoll_2p!I71)-1))&gt;VALUE(RIGHT(Protokoll_2p!I71,LEN(Protokoll_2p!I71)-FIND(":",Protokoll_2p!I71))),0,1))</f>
        <v>1</v>
      </c>
      <c r="M65" s="1">
        <f>IF(Protokoll_2p!J71="","",IF(VALUE(LEFT(Protokoll_2p!J71,FIND(":",Protokoll_2p!J71)-1))&gt;VALUE(RIGHT(Protokoll_2p!J71,LEN(Protokoll_2p!J71)-FIND(":",Protokoll_2p!J71))),0,1))</f>
        <v>0</v>
      </c>
      <c r="N65" s="1">
        <f t="shared" si="1"/>
        <v>2</v>
      </c>
    </row>
    <row r="66" spans="2:14">
      <c r="B66" s="1" t="str">
        <f>IF(Protokoll_2p!F72="","",IF(VALUE(LEFT(Protokoll_2p!F72,FIND(":",Protokoll_2p!F72)-1))&gt;VALUE(RIGHT(Protokoll_2p!F72,LEN(Protokoll_2p!F72)-FIND(":",Protokoll_2p!F72))),1,0))</f>
        <v/>
      </c>
      <c r="C66" s="1" t="str">
        <f>IF(Protokoll_2p!G72="","",IF(VALUE(LEFT(Protokoll_2p!G72,FIND(":",Protokoll_2p!G72)-1))&gt;VALUE(RIGHT(Protokoll_2p!G72,LEN(Protokoll_2p!G72)-FIND(":",Protokoll_2p!G72))),1,0))</f>
        <v/>
      </c>
      <c r="D66" s="1" t="str">
        <f>IF(Protokoll_2p!H72="","",IF(VALUE(LEFT(Protokoll_2p!H72,FIND(":",Protokoll_2p!H72)-1))&gt;VALUE(RIGHT(Protokoll_2p!H72,LEN(Protokoll_2p!H72)-FIND(":",Protokoll_2p!H72))),1,0))</f>
        <v/>
      </c>
      <c r="E66" s="1" t="str">
        <f>IF(Protokoll_2p!I72="","",IF(VALUE(LEFT(Protokoll_2p!I72,FIND(":",Protokoll_2p!I72)-1))&gt;VALUE(RIGHT(Protokoll_2p!I72,LEN(Protokoll_2p!I72)-FIND(":",Protokoll_2p!I72))),1,0))</f>
        <v/>
      </c>
      <c r="F66" s="1" t="str">
        <f>IF(Protokoll_2p!J72="","",IF(VALUE(LEFT(Protokoll_2p!J72,FIND(":",Protokoll_2p!J72)-1))&gt;VALUE(RIGHT(Protokoll_2p!J72,LEN(Protokoll_2p!J72)-FIND(":",Protokoll_2p!J72))),1,0))</f>
        <v/>
      </c>
      <c r="G66" s="1" t="str">
        <f t="shared" si="0"/>
        <v/>
      </c>
      <c r="I66" s="1" t="str">
        <f>IF(Protokoll_2p!F72="","",IF(VALUE(LEFT(Protokoll_2p!F72,FIND(":",Protokoll_2p!F72)-1))&gt;VALUE(RIGHT(Protokoll_2p!F72,LEN(Protokoll_2p!F72)-FIND(":",Protokoll_2p!F72))),0,1))</f>
        <v/>
      </c>
      <c r="J66" s="1" t="str">
        <f>IF(Protokoll_2p!G72="","",IF(VALUE(LEFT(Protokoll_2p!G72,FIND(":",Protokoll_2p!G72)-1))&gt;VALUE(RIGHT(Protokoll_2p!G72,LEN(Protokoll_2p!G72)-FIND(":",Protokoll_2p!G72))),0,1))</f>
        <v/>
      </c>
      <c r="K66" s="1" t="str">
        <f>IF(Protokoll_2p!H72="","",IF(VALUE(LEFT(Protokoll_2p!H72,FIND(":",Protokoll_2p!H72)-1))&gt;VALUE(RIGHT(Protokoll_2p!H72,LEN(Protokoll_2p!H72)-FIND(":",Protokoll_2p!H72))),0,1))</f>
        <v/>
      </c>
      <c r="L66" s="1" t="str">
        <f>IF(Protokoll_2p!I72="","",IF(VALUE(LEFT(Protokoll_2p!I72,FIND(":",Protokoll_2p!I72)-1))&gt;VALUE(RIGHT(Protokoll_2p!I72,LEN(Protokoll_2p!I72)-FIND(":",Protokoll_2p!I72))),0,1))</f>
        <v/>
      </c>
      <c r="M66" s="1" t="str">
        <f>IF(Protokoll_2p!J72="","",IF(VALUE(LEFT(Protokoll_2p!J72,FIND(":",Protokoll_2p!J72)-1))&gt;VALUE(RIGHT(Protokoll_2p!J72,LEN(Protokoll_2p!J72)-FIND(":",Protokoll_2p!J72))),0,1))</f>
        <v/>
      </c>
      <c r="N66" s="1" t="str">
        <f t="shared" si="1"/>
        <v/>
      </c>
    </row>
    <row r="67" spans="2:14">
      <c r="B67" s="1" t="str">
        <f>IF(Protokoll_2p!F73="","",IF(VALUE(LEFT(Protokoll_2p!F73,FIND(":",Protokoll_2p!F73)-1))&gt;VALUE(RIGHT(Protokoll_2p!F73,LEN(Protokoll_2p!F73)-FIND(":",Protokoll_2p!F73))),1,0))</f>
        <v/>
      </c>
      <c r="C67" s="1" t="str">
        <f>IF(Protokoll_2p!G73="","",IF(VALUE(LEFT(Protokoll_2p!G73,FIND(":",Protokoll_2p!G73)-1))&gt;VALUE(RIGHT(Protokoll_2p!G73,LEN(Protokoll_2p!G73)-FIND(":",Protokoll_2p!G73))),1,0))</f>
        <v/>
      </c>
      <c r="D67" s="1" t="str">
        <f>IF(Protokoll_2p!H73="","",IF(VALUE(LEFT(Protokoll_2p!H73,FIND(":",Protokoll_2p!H73)-1))&gt;VALUE(RIGHT(Protokoll_2p!H73,LEN(Protokoll_2p!H73)-FIND(":",Protokoll_2p!H73))),1,0))</f>
        <v/>
      </c>
      <c r="E67" s="1" t="str">
        <f>IF(Protokoll_2p!I73="","",IF(VALUE(LEFT(Protokoll_2p!I73,FIND(":",Protokoll_2p!I73)-1))&gt;VALUE(RIGHT(Protokoll_2p!I73,LEN(Protokoll_2p!I73)-FIND(":",Protokoll_2p!I73))),1,0))</f>
        <v/>
      </c>
      <c r="F67" s="1" t="str">
        <f>IF(Protokoll_2p!J73="","",IF(VALUE(LEFT(Protokoll_2p!J73,FIND(":",Protokoll_2p!J73)-1))&gt;VALUE(RIGHT(Protokoll_2p!J73,LEN(Protokoll_2p!J73)-FIND(":",Protokoll_2p!J73))),1,0))</f>
        <v/>
      </c>
      <c r="G67" s="1" t="str">
        <f t="shared" ref="G67:G130" si="2">IF(B67="","",SUM(B67:F67))</f>
        <v/>
      </c>
      <c r="I67" s="1" t="str">
        <f>IF(Protokoll_2p!F73="","",IF(VALUE(LEFT(Protokoll_2p!F73,FIND(":",Protokoll_2p!F73)-1))&gt;VALUE(RIGHT(Protokoll_2p!F73,LEN(Protokoll_2p!F73)-FIND(":",Protokoll_2p!F73))),0,1))</f>
        <v/>
      </c>
      <c r="J67" s="1" t="str">
        <f>IF(Protokoll_2p!G73="","",IF(VALUE(LEFT(Protokoll_2p!G73,FIND(":",Protokoll_2p!G73)-1))&gt;VALUE(RIGHT(Protokoll_2p!G73,LEN(Protokoll_2p!G73)-FIND(":",Protokoll_2p!G73))),0,1))</f>
        <v/>
      </c>
      <c r="K67" s="1" t="str">
        <f>IF(Protokoll_2p!H73="","",IF(VALUE(LEFT(Protokoll_2p!H73,FIND(":",Protokoll_2p!H73)-1))&gt;VALUE(RIGHT(Protokoll_2p!H73,LEN(Protokoll_2p!H73)-FIND(":",Protokoll_2p!H73))),0,1))</f>
        <v/>
      </c>
      <c r="L67" s="1" t="str">
        <f>IF(Protokoll_2p!I73="","",IF(VALUE(LEFT(Protokoll_2p!I73,FIND(":",Protokoll_2p!I73)-1))&gt;VALUE(RIGHT(Protokoll_2p!I73,LEN(Protokoll_2p!I73)-FIND(":",Protokoll_2p!I73))),0,1))</f>
        <v/>
      </c>
      <c r="M67" s="1" t="str">
        <f>IF(Protokoll_2p!J73="","",IF(VALUE(LEFT(Protokoll_2p!J73,FIND(":",Protokoll_2p!J73)-1))&gt;VALUE(RIGHT(Protokoll_2p!J73,LEN(Protokoll_2p!J73)-FIND(":",Protokoll_2p!J73))),0,1))</f>
        <v/>
      </c>
      <c r="N67" s="1" t="str">
        <f t="shared" ref="N67:N130" si="3">IF(I67="","",SUM(I67:M67))</f>
        <v/>
      </c>
    </row>
    <row r="68" spans="2:14">
      <c r="B68" s="1" t="str">
        <f>IF(Protokoll_2p!F74="","",IF(VALUE(LEFT(Protokoll_2p!F74,FIND(":",Protokoll_2p!F74)-1))&gt;VALUE(RIGHT(Protokoll_2p!F74,LEN(Protokoll_2p!F74)-FIND(":",Protokoll_2p!F74))),1,0))</f>
        <v/>
      </c>
      <c r="C68" s="1" t="str">
        <f>IF(Protokoll_2p!G74="","",IF(VALUE(LEFT(Protokoll_2p!G74,FIND(":",Protokoll_2p!G74)-1))&gt;VALUE(RIGHT(Protokoll_2p!G74,LEN(Protokoll_2p!G74)-FIND(":",Protokoll_2p!G74))),1,0))</f>
        <v/>
      </c>
      <c r="D68" s="1" t="str">
        <f>IF(Protokoll_2p!H74="","",IF(VALUE(LEFT(Protokoll_2p!H74,FIND(":",Protokoll_2p!H74)-1))&gt;VALUE(RIGHT(Protokoll_2p!H74,LEN(Protokoll_2p!H74)-FIND(":",Protokoll_2p!H74))),1,0))</f>
        <v/>
      </c>
      <c r="E68" s="1" t="str">
        <f>IF(Protokoll_2p!I74="","",IF(VALUE(LEFT(Protokoll_2p!I74,FIND(":",Protokoll_2p!I74)-1))&gt;VALUE(RIGHT(Protokoll_2p!I74,LEN(Protokoll_2p!I74)-FIND(":",Protokoll_2p!I74))),1,0))</f>
        <v/>
      </c>
      <c r="F68" s="1" t="str">
        <f>IF(Protokoll_2p!J74="","",IF(VALUE(LEFT(Protokoll_2p!J74,FIND(":",Protokoll_2p!J74)-1))&gt;VALUE(RIGHT(Protokoll_2p!J74,LEN(Protokoll_2p!J74)-FIND(":",Protokoll_2p!J74))),1,0))</f>
        <v/>
      </c>
      <c r="G68" s="1" t="str">
        <f t="shared" si="2"/>
        <v/>
      </c>
      <c r="I68" s="1" t="str">
        <f>IF(Protokoll_2p!F74="","",IF(VALUE(LEFT(Protokoll_2p!F74,FIND(":",Protokoll_2p!F74)-1))&gt;VALUE(RIGHT(Protokoll_2p!F74,LEN(Protokoll_2p!F74)-FIND(":",Protokoll_2p!F74))),0,1))</f>
        <v/>
      </c>
      <c r="J68" s="1" t="str">
        <f>IF(Protokoll_2p!G74="","",IF(VALUE(LEFT(Protokoll_2p!G74,FIND(":",Protokoll_2p!G74)-1))&gt;VALUE(RIGHT(Protokoll_2p!G74,LEN(Protokoll_2p!G74)-FIND(":",Protokoll_2p!G74))),0,1))</f>
        <v/>
      </c>
      <c r="K68" s="1" t="str">
        <f>IF(Protokoll_2p!H74="","",IF(VALUE(LEFT(Protokoll_2p!H74,FIND(":",Protokoll_2p!H74)-1))&gt;VALUE(RIGHT(Protokoll_2p!H74,LEN(Protokoll_2p!H74)-FIND(":",Protokoll_2p!H74))),0,1))</f>
        <v/>
      </c>
      <c r="L68" s="1" t="str">
        <f>IF(Protokoll_2p!I74="","",IF(VALUE(LEFT(Protokoll_2p!I74,FIND(":",Protokoll_2p!I74)-1))&gt;VALUE(RIGHT(Protokoll_2p!I74,LEN(Protokoll_2p!I74)-FIND(":",Protokoll_2p!I74))),0,1))</f>
        <v/>
      </c>
      <c r="M68" s="1" t="str">
        <f>IF(Protokoll_2p!J74="","",IF(VALUE(LEFT(Protokoll_2p!J74,FIND(":",Protokoll_2p!J74)-1))&gt;VALUE(RIGHT(Protokoll_2p!J74,LEN(Protokoll_2p!J74)-FIND(":",Protokoll_2p!J74))),0,1))</f>
        <v/>
      </c>
      <c r="N68" s="1" t="str">
        <f t="shared" si="3"/>
        <v/>
      </c>
    </row>
    <row r="69" spans="2:14">
      <c r="B69" s="1" t="str">
        <f>IF(Protokoll_2p!F75="","",IF(VALUE(LEFT(Protokoll_2p!F75,FIND(":",Protokoll_2p!F75)-1))&gt;VALUE(RIGHT(Protokoll_2p!F75,LEN(Protokoll_2p!F75)-FIND(":",Protokoll_2p!F75))),1,0))</f>
        <v/>
      </c>
      <c r="C69" s="1" t="str">
        <f>IF(Protokoll_2p!G75="","",IF(VALUE(LEFT(Protokoll_2p!G75,FIND(":",Protokoll_2p!G75)-1))&gt;VALUE(RIGHT(Protokoll_2p!G75,LEN(Protokoll_2p!G75)-FIND(":",Protokoll_2p!G75))),1,0))</f>
        <v/>
      </c>
      <c r="D69" s="1" t="str">
        <f>IF(Protokoll_2p!H75="","",IF(VALUE(LEFT(Protokoll_2p!H75,FIND(":",Protokoll_2p!H75)-1))&gt;VALUE(RIGHT(Protokoll_2p!H75,LEN(Protokoll_2p!H75)-FIND(":",Protokoll_2p!H75))),1,0))</f>
        <v/>
      </c>
      <c r="E69" s="1" t="str">
        <f>IF(Protokoll_2p!I75="","",IF(VALUE(LEFT(Protokoll_2p!I75,FIND(":",Protokoll_2p!I75)-1))&gt;VALUE(RIGHT(Protokoll_2p!I75,LEN(Protokoll_2p!I75)-FIND(":",Protokoll_2p!I75))),1,0))</f>
        <v/>
      </c>
      <c r="F69" s="1" t="str">
        <f>IF(Protokoll_2p!J75="","",IF(VALUE(LEFT(Protokoll_2p!J75,FIND(":",Protokoll_2p!J75)-1))&gt;VALUE(RIGHT(Protokoll_2p!J75,LEN(Protokoll_2p!J75)-FIND(":",Protokoll_2p!J75))),1,0))</f>
        <v/>
      </c>
      <c r="G69" s="1" t="str">
        <f t="shared" si="2"/>
        <v/>
      </c>
      <c r="I69" s="1" t="str">
        <f>IF(Protokoll_2p!F75="","",IF(VALUE(LEFT(Protokoll_2p!F75,FIND(":",Protokoll_2p!F75)-1))&gt;VALUE(RIGHT(Protokoll_2p!F75,LEN(Protokoll_2p!F75)-FIND(":",Protokoll_2p!F75))),0,1))</f>
        <v/>
      </c>
      <c r="J69" s="1" t="str">
        <f>IF(Protokoll_2p!G75="","",IF(VALUE(LEFT(Protokoll_2p!G75,FIND(":",Protokoll_2p!G75)-1))&gt;VALUE(RIGHT(Protokoll_2p!G75,LEN(Protokoll_2p!G75)-FIND(":",Protokoll_2p!G75))),0,1))</f>
        <v/>
      </c>
      <c r="K69" s="1" t="str">
        <f>IF(Protokoll_2p!H75="","",IF(VALUE(LEFT(Protokoll_2p!H75,FIND(":",Protokoll_2p!H75)-1))&gt;VALUE(RIGHT(Protokoll_2p!H75,LEN(Protokoll_2p!H75)-FIND(":",Protokoll_2p!H75))),0,1))</f>
        <v/>
      </c>
      <c r="L69" s="1" t="str">
        <f>IF(Protokoll_2p!I75="","",IF(VALUE(LEFT(Protokoll_2p!I75,FIND(":",Protokoll_2p!I75)-1))&gt;VALUE(RIGHT(Protokoll_2p!I75,LEN(Protokoll_2p!I75)-FIND(":",Protokoll_2p!I75))),0,1))</f>
        <v/>
      </c>
      <c r="M69" s="1" t="str">
        <f>IF(Protokoll_2p!J75="","",IF(VALUE(LEFT(Protokoll_2p!J75,FIND(":",Protokoll_2p!J75)-1))&gt;VALUE(RIGHT(Protokoll_2p!J75,LEN(Protokoll_2p!J75)-FIND(":",Protokoll_2p!J75))),0,1))</f>
        <v/>
      </c>
      <c r="N69" s="1" t="str">
        <f t="shared" si="3"/>
        <v/>
      </c>
    </row>
    <row r="70" spans="2:14">
      <c r="B70" s="1" t="str">
        <f>IF(Protokoll_2p!F76="","",IF(VALUE(LEFT(Protokoll_2p!F76,FIND(":",Protokoll_2p!F76)-1))&gt;VALUE(RIGHT(Protokoll_2p!F76,LEN(Protokoll_2p!F76)-FIND(":",Protokoll_2p!F76))),1,0))</f>
        <v/>
      </c>
      <c r="C70" s="1" t="str">
        <f>IF(Protokoll_2p!G76="","",IF(VALUE(LEFT(Protokoll_2p!G76,FIND(":",Protokoll_2p!G76)-1))&gt;VALUE(RIGHT(Protokoll_2p!G76,LEN(Protokoll_2p!G76)-FIND(":",Protokoll_2p!G76))),1,0))</f>
        <v/>
      </c>
      <c r="D70" s="1" t="str">
        <f>IF(Protokoll_2p!H76="","",IF(VALUE(LEFT(Protokoll_2p!H76,FIND(":",Protokoll_2p!H76)-1))&gt;VALUE(RIGHT(Protokoll_2p!H76,LEN(Protokoll_2p!H76)-FIND(":",Protokoll_2p!H76))),1,0))</f>
        <v/>
      </c>
      <c r="E70" s="1" t="str">
        <f>IF(Protokoll_2p!I76="","",IF(VALUE(LEFT(Protokoll_2p!I76,FIND(":",Protokoll_2p!I76)-1))&gt;VALUE(RIGHT(Protokoll_2p!I76,LEN(Protokoll_2p!I76)-FIND(":",Protokoll_2p!I76))),1,0))</f>
        <v/>
      </c>
      <c r="F70" s="1" t="str">
        <f>IF(Protokoll_2p!J76="","",IF(VALUE(LEFT(Protokoll_2p!J76,FIND(":",Protokoll_2p!J76)-1))&gt;VALUE(RIGHT(Protokoll_2p!J76,LEN(Protokoll_2p!J76)-FIND(":",Protokoll_2p!J76))),1,0))</f>
        <v/>
      </c>
      <c r="G70" s="1" t="str">
        <f t="shared" si="2"/>
        <v/>
      </c>
      <c r="I70" s="1" t="str">
        <f>IF(Protokoll_2p!F76="","",IF(VALUE(LEFT(Protokoll_2p!F76,FIND(":",Protokoll_2p!F76)-1))&gt;VALUE(RIGHT(Protokoll_2p!F76,LEN(Protokoll_2p!F76)-FIND(":",Protokoll_2p!F76))),0,1))</f>
        <v/>
      </c>
      <c r="J70" s="1" t="str">
        <f>IF(Protokoll_2p!G76="","",IF(VALUE(LEFT(Protokoll_2p!G76,FIND(":",Protokoll_2p!G76)-1))&gt;VALUE(RIGHT(Protokoll_2p!G76,LEN(Protokoll_2p!G76)-FIND(":",Protokoll_2p!G76))),0,1))</f>
        <v/>
      </c>
      <c r="K70" s="1" t="str">
        <f>IF(Protokoll_2p!H76="","",IF(VALUE(LEFT(Protokoll_2p!H76,FIND(":",Protokoll_2p!H76)-1))&gt;VALUE(RIGHT(Protokoll_2p!H76,LEN(Protokoll_2p!H76)-FIND(":",Protokoll_2p!H76))),0,1))</f>
        <v/>
      </c>
      <c r="L70" s="1" t="str">
        <f>IF(Protokoll_2p!I76="","",IF(VALUE(LEFT(Protokoll_2p!I76,FIND(":",Protokoll_2p!I76)-1))&gt;VALUE(RIGHT(Protokoll_2p!I76,LEN(Protokoll_2p!I76)-FIND(":",Protokoll_2p!I76))),0,1))</f>
        <v/>
      </c>
      <c r="M70" s="1" t="str">
        <f>IF(Protokoll_2p!J76="","",IF(VALUE(LEFT(Protokoll_2p!J76,FIND(":",Protokoll_2p!J76)-1))&gt;VALUE(RIGHT(Protokoll_2p!J76,LEN(Protokoll_2p!J76)-FIND(":",Protokoll_2p!J76))),0,1))</f>
        <v/>
      </c>
      <c r="N70" s="1" t="str">
        <f t="shared" si="3"/>
        <v/>
      </c>
    </row>
    <row r="71" spans="2:14">
      <c r="B71" s="1" t="e">
        <f>IF(Protokoll_2p!F77="","",IF(VALUE(LEFT(Protokoll_2p!F77,FIND(":",Protokoll_2p!F77)-1))&gt;VALUE(RIGHT(Protokoll_2p!F77,LEN(Protokoll_2p!F77)-FIND(":",Protokoll_2p!F77))),1,0))</f>
        <v>#VALUE!</v>
      </c>
      <c r="C71" s="1" t="e">
        <f>IF(Protokoll_2p!G77="","",IF(VALUE(LEFT(Protokoll_2p!G77,FIND(":",Protokoll_2p!G77)-1))&gt;VALUE(RIGHT(Protokoll_2p!G77,LEN(Protokoll_2p!G77)-FIND(":",Protokoll_2p!G77))),1,0))</f>
        <v>#VALUE!</v>
      </c>
      <c r="D71" s="1" t="e">
        <f>IF(Protokoll_2p!H77="","",IF(VALUE(LEFT(Protokoll_2p!H77,FIND(":",Protokoll_2p!H77)-1))&gt;VALUE(RIGHT(Protokoll_2p!H77,LEN(Protokoll_2p!H77)-FIND(":",Protokoll_2p!H77))),1,0))</f>
        <v>#VALUE!</v>
      </c>
      <c r="E71" s="1" t="e">
        <f>IF(Protokoll_2p!I77="","",IF(VALUE(LEFT(Protokoll_2p!I77,FIND(":",Protokoll_2p!I77)-1))&gt;VALUE(RIGHT(Protokoll_2p!I77,LEN(Protokoll_2p!I77)-FIND(":",Protokoll_2p!I77))),1,0))</f>
        <v>#VALUE!</v>
      </c>
      <c r="F71" s="1" t="e">
        <f>IF(Protokoll_2p!J77="","",IF(VALUE(LEFT(Protokoll_2p!J77,FIND(":",Protokoll_2p!J77)-1))&gt;VALUE(RIGHT(Protokoll_2p!J77,LEN(Protokoll_2p!J77)-FIND(":",Protokoll_2p!J77))),1,0))</f>
        <v>#VALUE!</v>
      </c>
      <c r="G71" s="1" t="e">
        <f t="shared" si="2"/>
        <v>#VALUE!</v>
      </c>
      <c r="I71" s="1" t="e">
        <f>IF(Protokoll_2p!F77="","",IF(VALUE(LEFT(Protokoll_2p!F77,FIND(":",Protokoll_2p!F77)-1))&gt;VALUE(RIGHT(Protokoll_2p!F77,LEN(Protokoll_2p!F77)-FIND(":",Protokoll_2p!F77))),0,1))</f>
        <v>#VALUE!</v>
      </c>
      <c r="J71" s="1" t="e">
        <f>IF(Protokoll_2p!G77="","",IF(VALUE(LEFT(Protokoll_2p!G77,FIND(":",Protokoll_2p!G77)-1))&gt;VALUE(RIGHT(Protokoll_2p!G77,LEN(Protokoll_2p!G77)-FIND(":",Protokoll_2p!G77))),0,1))</f>
        <v>#VALUE!</v>
      </c>
      <c r="K71" s="1" t="e">
        <f>IF(Protokoll_2p!H77="","",IF(VALUE(LEFT(Protokoll_2p!H77,FIND(":",Protokoll_2p!H77)-1))&gt;VALUE(RIGHT(Protokoll_2p!H77,LEN(Protokoll_2p!H77)-FIND(":",Protokoll_2p!H77))),0,1))</f>
        <v>#VALUE!</v>
      </c>
      <c r="L71" s="1" t="e">
        <f>IF(Protokoll_2p!I77="","",IF(VALUE(LEFT(Protokoll_2p!I77,FIND(":",Protokoll_2p!I77)-1))&gt;VALUE(RIGHT(Protokoll_2p!I77,LEN(Protokoll_2p!I77)-FIND(":",Protokoll_2p!I77))),0,1))</f>
        <v>#VALUE!</v>
      </c>
      <c r="M71" s="1" t="e">
        <f>IF(Protokoll_2p!J77="","",IF(VALUE(LEFT(Protokoll_2p!J77,FIND(":",Protokoll_2p!J77)-1))&gt;VALUE(RIGHT(Protokoll_2p!J77,LEN(Protokoll_2p!J77)-FIND(":",Protokoll_2p!J77))),0,1))</f>
        <v>#VALUE!</v>
      </c>
      <c r="N71" s="1" t="e">
        <f t="shared" si="3"/>
        <v>#VALUE!</v>
      </c>
    </row>
    <row r="72" spans="2:14">
      <c r="B72" s="1">
        <f>IF(Protokoll_2p!F78="","",IF(VALUE(LEFT(Protokoll_2p!F78,FIND(":",Protokoll_2p!F78)-1))&gt;VALUE(RIGHT(Protokoll_2p!F78,LEN(Protokoll_2p!F78)-FIND(":",Protokoll_2p!F78))),1,0))</f>
        <v>0</v>
      </c>
      <c r="C72" s="1">
        <f>IF(Protokoll_2p!G78="","",IF(VALUE(LEFT(Protokoll_2p!G78,FIND(":",Protokoll_2p!G78)-1))&gt;VALUE(RIGHT(Protokoll_2p!G78,LEN(Protokoll_2p!G78)-FIND(":",Protokoll_2p!G78))),1,0))</f>
        <v>1</v>
      </c>
      <c r="D72" s="1">
        <f>IF(Protokoll_2p!H78="","",IF(VALUE(LEFT(Protokoll_2p!H78,FIND(":",Protokoll_2p!H78)-1))&gt;VALUE(RIGHT(Protokoll_2p!H78,LEN(Protokoll_2p!H78)-FIND(":",Protokoll_2p!H78))),1,0))</f>
        <v>0</v>
      </c>
      <c r="E72" s="1">
        <f>IF(Protokoll_2p!I78="","",IF(VALUE(LEFT(Protokoll_2p!I78,FIND(":",Protokoll_2p!I78)-1))&gt;VALUE(RIGHT(Protokoll_2p!I78,LEN(Protokoll_2p!I78)-FIND(":",Protokoll_2p!I78))),1,0))</f>
        <v>1</v>
      </c>
      <c r="F72" s="1">
        <f>IF(Protokoll_2p!J78="","",IF(VALUE(LEFT(Protokoll_2p!J78,FIND(":",Protokoll_2p!J78)-1))&gt;VALUE(RIGHT(Protokoll_2p!J78,LEN(Protokoll_2p!J78)-FIND(":",Protokoll_2p!J78))),1,0))</f>
        <v>0</v>
      </c>
      <c r="G72" s="1">
        <f t="shared" si="2"/>
        <v>2</v>
      </c>
      <c r="I72" s="1">
        <f>IF(Protokoll_2p!F78="","",IF(VALUE(LEFT(Protokoll_2p!F78,FIND(":",Protokoll_2p!F78)-1))&gt;VALUE(RIGHT(Protokoll_2p!F78,LEN(Protokoll_2p!F78)-FIND(":",Protokoll_2p!F78))),0,1))</f>
        <v>1</v>
      </c>
      <c r="J72" s="1">
        <f>IF(Protokoll_2p!G78="","",IF(VALUE(LEFT(Protokoll_2p!G78,FIND(":",Protokoll_2p!G78)-1))&gt;VALUE(RIGHT(Protokoll_2p!G78,LEN(Protokoll_2p!G78)-FIND(":",Protokoll_2p!G78))),0,1))</f>
        <v>0</v>
      </c>
      <c r="K72" s="1">
        <f>IF(Protokoll_2p!H78="","",IF(VALUE(LEFT(Protokoll_2p!H78,FIND(":",Protokoll_2p!H78)-1))&gt;VALUE(RIGHT(Protokoll_2p!H78,LEN(Protokoll_2p!H78)-FIND(":",Protokoll_2p!H78))),0,1))</f>
        <v>1</v>
      </c>
      <c r="L72" s="1">
        <f>IF(Protokoll_2p!I78="","",IF(VALUE(LEFT(Protokoll_2p!I78,FIND(":",Protokoll_2p!I78)-1))&gt;VALUE(RIGHT(Protokoll_2p!I78,LEN(Protokoll_2p!I78)-FIND(":",Protokoll_2p!I78))),0,1))</f>
        <v>0</v>
      </c>
      <c r="M72" s="1">
        <f>IF(Protokoll_2p!J78="","",IF(VALUE(LEFT(Protokoll_2p!J78,FIND(":",Protokoll_2p!J78)-1))&gt;VALUE(RIGHT(Protokoll_2p!J78,LEN(Protokoll_2p!J78)-FIND(":",Protokoll_2p!J78))),0,1))</f>
        <v>1</v>
      </c>
      <c r="N72" s="1">
        <f t="shared" si="3"/>
        <v>3</v>
      </c>
    </row>
    <row r="73" spans="2:14">
      <c r="B73" s="1">
        <f>IF(Protokoll_2p!F79="","",IF(VALUE(LEFT(Protokoll_2p!F79,FIND(":",Protokoll_2p!F79)-1))&gt;VALUE(RIGHT(Protokoll_2p!F79,LEN(Protokoll_2p!F79)-FIND(":",Protokoll_2p!F79))),1,0))</f>
        <v>0</v>
      </c>
      <c r="C73" s="1">
        <f>IF(Protokoll_2p!G79="","",IF(VALUE(LEFT(Protokoll_2p!G79,FIND(":",Protokoll_2p!G79)-1))&gt;VALUE(RIGHT(Protokoll_2p!G79,LEN(Protokoll_2p!G79)-FIND(":",Protokoll_2p!G79))),1,0))</f>
        <v>0</v>
      </c>
      <c r="D73" s="1">
        <f>IF(Protokoll_2p!H79="","",IF(VALUE(LEFT(Protokoll_2p!H79,FIND(":",Protokoll_2p!H79)-1))&gt;VALUE(RIGHT(Protokoll_2p!H79,LEN(Protokoll_2p!H79)-FIND(":",Protokoll_2p!H79))),1,0))</f>
        <v>0</v>
      </c>
      <c r="E73" s="1" t="str">
        <f>IF(Protokoll_2p!I79="","",IF(VALUE(LEFT(Protokoll_2p!I79,FIND(":",Protokoll_2p!I79)-1))&gt;VALUE(RIGHT(Protokoll_2p!I79,LEN(Protokoll_2p!I79)-FIND(":",Protokoll_2p!I79))),1,0))</f>
        <v/>
      </c>
      <c r="F73" s="1" t="str">
        <f>IF(Protokoll_2p!J79="","",IF(VALUE(LEFT(Protokoll_2p!J79,FIND(":",Protokoll_2p!J79)-1))&gt;VALUE(RIGHT(Protokoll_2p!J79,LEN(Protokoll_2p!J79)-FIND(":",Protokoll_2p!J79))),1,0))</f>
        <v/>
      </c>
      <c r="G73" s="1">
        <f t="shared" si="2"/>
        <v>0</v>
      </c>
      <c r="I73" s="1">
        <f>IF(Protokoll_2p!F79="","",IF(VALUE(LEFT(Protokoll_2p!F79,FIND(":",Protokoll_2p!F79)-1))&gt;VALUE(RIGHT(Protokoll_2p!F79,LEN(Protokoll_2p!F79)-FIND(":",Protokoll_2p!F79))),0,1))</f>
        <v>1</v>
      </c>
      <c r="J73" s="1">
        <f>IF(Protokoll_2p!G79="","",IF(VALUE(LEFT(Protokoll_2p!G79,FIND(":",Protokoll_2p!G79)-1))&gt;VALUE(RIGHT(Protokoll_2p!G79,LEN(Protokoll_2p!G79)-FIND(":",Protokoll_2p!G79))),0,1))</f>
        <v>1</v>
      </c>
      <c r="K73" s="1">
        <f>IF(Protokoll_2p!H79="","",IF(VALUE(LEFT(Protokoll_2p!H79,FIND(":",Protokoll_2p!H79)-1))&gt;VALUE(RIGHT(Protokoll_2p!H79,LEN(Protokoll_2p!H79)-FIND(":",Protokoll_2p!H79))),0,1))</f>
        <v>1</v>
      </c>
      <c r="L73" s="1" t="str">
        <f>IF(Protokoll_2p!I79="","",IF(VALUE(LEFT(Protokoll_2p!I79,FIND(":",Protokoll_2p!I79)-1))&gt;VALUE(RIGHT(Protokoll_2p!I79,LEN(Protokoll_2p!I79)-FIND(":",Protokoll_2p!I79))),0,1))</f>
        <v/>
      </c>
      <c r="M73" s="1" t="str">
        <f>IF(Protokoll_2p!J79="","",IF(VALUE(LEFT(Protokoll_2p!J79,FIND(":",Protokoll_2p!J79)-1))&gt;VALUE(RIGHT(Protokoll_2p!J79,LEN(Protokoll_2p!J79)-FIND(":",Protokoll_2p!J79))),0,1))</f>
        <v/>
      </c>
      <c r="N73" s="1">
        <f t="shared" si="3"/>
        <v>3</v>
      </c>
    </row>
    <row r="74" spans="2:14">
      <c r="B74" s="1">
        <f>IF(Protokoll_2p!F80="","",IF(VALUE(LEFT(Protokoll_2p!F80,FIND(":",Protokoll_2p!F80)-1))&gt;VALUE(RIGHT(Protokoll_2p!F80,LEN(Protokoll_2p!F80)-FIND(":",Protokoll_2p!F80))),1,0))</f>
        <v>1</v>
      </c>
      <c r="C74" s="1">
        <f>IF(Protokoll_2p!G80="","",IF(VALUE(LEFT(Protokoll_2p!G80,FIND(":",Protokoll_2p!G80)-1))&gt;VALUE(RIGHT(Protokoll_2p!G80,LEN(Protokoll_2p!G80)-FIND(":",Protokoll_2p!G80))),1,0))</f>
        <v>0</v>
      </c>
      <c r="D74" s="1">
        <f>IF(Protokoll_2p!H80="","",IF(VALUE(LEFT(Protokoll_2p!H80,FIND(":",Protokoll_2p!H80)-1))&gt;VALUE(RIGHT(Protokoll_2p!H80,LEN(Protokoll_2p!H80)-FIND(":",Protokoll_2p!H80))),1,0))</f>
        <v>0</v>
      </c>
      <c r="E74" s="1">
        <f>IF(Protokoll_2p!I80="","",IF(VALUE(LEFT(Protokoll_2p!I80,FIND(":",Protokoll_2p!I80)-1))&gt;VALUE(RIGHT(Protokoll_2p!I80,LEN(Protokoll_2p!I80)-FIND(":",Protokoll_2p!I80))),1,0))</f>
        <v>1</v>
      </c>
      <c r="F74" s="1">
        <f>IF(Protokoll_2p!J80="","",IF(VALUE(LEFT(Protokoll_2p!J80,FIND(":",Protokoll_2p!J80)-1))&gt;VALUE(RIGHT(Protokoll_2p!J80,LEN(Protokoll_2p!J80)-FIND(":",Protokoll_2p!J80))),1,0))</f>
        <v>0</v>
      </c>
      <c r="G74" s="1">
        <f t="shared" si="2"/>
        <v>2</v>
      </c>
      <c r="I74" s="1">
        <f>IF(Protokoll_2p!F80="","",IF(VALUE(LEFT(Protokoll_2p!F80,FIND(":",Protokoll_2p!F80)-1))&gt;VALUE(RIGHT(Protokoll_2p!F80,LEN(Protokoll_2p!F80)-FIND(":",Protokoll_2p!F80))),0,1))</f>
        <v>0</v>
      </c>
      <c r="J74" s="1">
        <f>IF(Protokoll_2p!G80="","",IF(VALUE(LEFT(Protokoll_2p!G80,FIND(":",Protokoll_2p!G80)-1))&gt;VALUE(RIGHT(Protokoll_2p!G80,LEN(Protokoll_2p!G80)-FIND(":",Protokoll_2p!G80))),0,1))</f>
        <v>1</v>
      </c>
      <c r="K74" s="1">
        <f>IF(Protokoll_2p!H80="","",IF(VALUE(LEFT(Protokoll_2p!H80,FIND(":",Protokoll_2p!H80)-1))&gt;VALUE(RIGHT(Protokoll_2p!H80,LEN(Protokoll_2p!H80)-FIND(":",Protokoll_2p!H80))),0,1))</f>
        <v>1</v>
      </c>
      <c r="L74" s="1">
        <f>IF(Protokoll_2p!I80="","",IF(VALUE(LEFT(Protokoll_2p!I80,FIND(":",Protokoll_2p!I80)-1))&gt;VALUE(RIGHT(Protokoll_2p!I80,LEN(Protokoll_2p!I80)-FIND(":",Protokoll_2p!I80))),0,1))</f>
        <v>0</v>
      </c>
      <c r="M74" s="1">
        <f>IF(Protokoll_2p!J80="","",IF(VALUE(LEFT(Protokoll_2p!J80,FIND(":",Protokoll_2p!J80)-1))&gt;VALUE(RIGHT(Protokoll_2p!J80,LEN(Protokoll_2p!J80)-FIND(":",Protokoll_2p!J80))),0,1))</f>
        <v>1</v>
      </c>
      <c r="N74" s="1">
        <f t="shared" si="3"/>
        <v>3</v>
      </c>
    </row>
    <row r="75" spans="2:14">
      <c r="B75" s="1">
        <f>IF(Protokoll_2p!F81="","",IF(VALUE(LEFT(Protokoll_2p!F81,FIND(":",Protokoll_2p!F81)-1))&gt;VALUE(RIGHT(Protokoll_2p!F81,LEN(Protokoll_2p!F81)-FIND(":",Protokoll_2p!F81))),1,0))</f>
        <v>0</v>
      </c>
      <c r="C75" s="1">
        <f>IF(Protokoll_2p!G81="","",IF(VALUE(LEFT(Protokoll_2p!G81,FIND(":",Protokoll_2p!G81)-1))&gt;VALUE(RIGHT(Protokoll_2p!G81,LEN(Protokoll_2p!G81)-FIND(":",Protokoll_2p!G81))),1,0))</f>
        <v>1</v>
      </c>
      <c r="D75" s="1">
        <f>IF(Protokoll_2p!H81="","",IF(VALUE(LEFT(Protokoll_2p!H81,FIND(":",Protokoll_2p!H81)-1))&gt;VALUE(RIGHT(Protokoll_2p!H81,LEN(Protokoll_2p!H81)-FIND(":",Protokoll_2p!H81))),1,0))</f>
        <v>0</v>
      </c>
      <c r="E75" s="1">
        <f>IF(Protokoll_2p!I81="","",IF(VALUE(LEFT(Protokoll_2p!I81,FIND(":",Protokoll_2p!I81)-1))&gt;VALUE(RIGHT(Protokoll_2p!I81,LEN(Protokoll_2p!I81)-FIND(":",Protokoll_2p!I81))),1,0))</f>
        <v>0</v>
      </c>
      <c r="F75" s="1" t="str">
        <f>IF(Protokoll_2p!J81="","",IF(VALUE(LEFT(Protokoll_2p!J81,FIND(":",Protokoll_2p!J81)-1))&gt;VALUE(RIGHT(Protokoll_2p!J81,LEN(Protokoll_2p!J81)-FIND(":",Protokoll_2p!J81))),1,0))</f>
        <v/>
      </c>
      <c r="G75" s="1">
        <f t="shared" si="2"/>
        <v>1</v>
      </c>
      <c r="I75" s="1">
        <f>IF(Protokoll_2p!F81="","",IF(VALUE(LEFT(Protokoll_2p!F81,FIND(":",Protokoll_2p!F81)-1))&gt;VALUE(RIGHT(Protokoll_2p!F81,LEN(Protokoll_2p!F81)-FIND(":",Protokoll_2p!F81))),0,1))</f>
        <v>1</v>
      </c>
      <c r="J75" s="1">
        <f>IF(Protokoll_2p!G81="","",IF(VALUE(LEFT(Protokoll_2p!G81,FIND(":",Protokoll_2p!G81)-1))&gt;VALUE(RIGHT(Protokoll_2p!G81,LEN(Protokoll_2p!G81)-FIND(":",Protokoll_2p!G81))),0,1))</f>
        <v>0</v>
      </c>
      <c r="K75" s="1">
        <f>IF(Protokoll_2p!H81="","",IF(VALUE(LEFT(Protokoll_2p!H81,FIND(":",Protokoll_2p!H81)-1))&gt;VALUE(RIGHT(Protokoll_2p!H81,LEN(Protokoll_2p!H81)-FIND(":",Protokoll_2p!H81))),0,1))</f>
        <v>1</v>
      </c>
      <c r="L75" s="1">
        <f>IF(Protokoll_2p!I81="","",IF(VALUE(LEFT(Protokoll_2p!I81,FIND(":",Protokoll_2p!I81)-1))&gt;VALUE(RIGHT(Protokoll_2p!I81,LEN(Protokoll_2p!I81)-FIND(":",Protokoll_2p!I81))),0,1))</f>
        <v>1</v>
      </c>
      <c r="M75" s="1" t="str">
        <f>IF(Protokoll_2p!J81="","",IF(VALUE(LEFT(Protokoll_2p!J81,FIND(":",Protokoll_2p!J81)-1))&gt;VALUE(RIGHT(Protokoll_2p!J81,LEN(Protokoll_2p!J81)-FIND(":",Protokoll_2p!J81))),0,1))</f>
        <v/>
      </c>
      <c r="N75" s="1">
        <f t="shared" si="3"/>
        <v>3</v>
      </c>
    </row>
    <row r="76" spans="2:14">
      <c r="B76" s="1" t="str">
        <f>IF(Protokoll_2p!F82="","",IF(VALUE(LEFT(Protokoll_2p!F82,FIND(":",Protokoll_2p!F82)-1))&gt;VALUE(RIGHT(Protokoll_2p!F82,LEN(Protokoll_2p!F82)-FIND(":",Protokoll_2p!F82))),1,0))</f>
        <v/>
      </c>
      <c r="C76" s="1" t="str">
        <f>IF(Protokoll_2p!G82="","",IF(VALUE(LEFT(Protokoll_2p!G82,FIND(":",Protokoll_2p!G82)-1))&gt;VALUE(RIGHT(Protokoll_2p!G82,LEN(Protokoll_2p!G82)-FIND(":",Protokoll_2p!G82))),1,0))</f>
        <v/>
      </c>
      <c r="D76" s="1" t="str">
        <f>IF(Protokoll_2p!H82="","",IF(VALUE(LEFT(Protokoll_2p!H82,FIND(":",Protokoll_2p!H82)-1))&gt;VALUE(RIGHT(Protokoll_2p!H82,LEN(Protokoll_2p!H82)-FIND(":",Protokoll_2p!H82))),1,0))</f>
        <v/>
      </c>
      <c r="E76" s="1" t="str">
        <f>IF(Protokoll_2p!I82="","",IF(VALUE(LEFT(Protokoll_2p!I82,FIND(":",Protokoll_2p!I82)-1))&gt;VALUE(RIGHT(Protokoll_2p!I82,LEN(Protokoll_2p!I82)-FIND(":",Protokoll_2p!I82))),1,0))</f>
        <v/>
      </c>
      <c r="F76" s="1" t="str">
        <f>IF(Protokoll_2p!J82="","",IF(VALUE(LEFT(Protokoll_2p!J82,FIND(":",Protokoll_2p!J82)-1))&gt;VALUE(RIGHT(Protokoll_2p!J82,LEN(Protokoll_2p!J82)-FIND(":",Protokoll_2p!J82))),1,0))</f>
        <v/>
      </c>
      <c r="G76" s="1" t="str">
        <f t="shared" si="2"/>
        <v/>
      </c>
      <c r="I76" s="1" t="str">
        <f>IF(Protokoll_2p!F82="","",IF(VALUE(LEFT(Protokoll_2p!F82,FIND(":",Protokoll_2p!F82)-1))&gt;VALUE(RIGHT(Protokoll_2p!F82,LEN(Protokoll_2p!F82)-FIND(":",Protokoll_2p!F82))),0,1))</f>
        <v/>
      </c>
      <c r="J76" s="1" t="str">
        <f>IF(Protokoll_2p!G82="","",IF(VALUE(LEFT(Protokoll_2p!G82,FIND(":",Protokoll_2p!G82)-1))&gt;VALUE(RIGHT(Protokoll_2p!G82,LEN(Protokoll_2p!G82)-FIND(":",Protokoll_2p!G82))),0,1))</f>
        <v/>
      </c>
      <c r="K76" s="1" t="str">
        <f>IF(Protokoll_2p!H82="","",IF(VALUE(LEFT(Protokoll_2p!H82,FIND(":",Protokoll_2p!H82)-1))&gt;VALUE(RIGHT(Protokoll_2p!H82,LEN(Protokoll_2p!H82)-FIND(":",Protokoll_2p!H82))),0,1))</f>
        <v/>
      </c>
      <c r="L76" s="1" t="str">
        <f>IF(Protokoll_2p!I82="","",IF(VALUE(LEFT(Protokoll_2p!I82,FIND(":",Protokoll_2p!I82)-1))&gt;VALUE(RIGHT(Protokoll_2p!I82,LEN(Protokoll_2p!I82)-FIND(":",Protokoll_2p!I82))),0,1))</f>
        <v/>
      </c>
      <c r="M76" s="1" t="str">
        <f>IF(Protokoll_2p!J82="","",IF(VALUE(LEFT(Protokoll_2p!J82,FIND(":",Protokoll_2p!J82)-1))&gt;VALUE(RIGHT(Protokoll_2p!J82,LEN(Protokoll_2p!J82)-FIND(":",Protokoll_2p!J82))),0,1))</f>
        <v/>
      </c>
      <c r="N76" s="1" t="str">
        <f t="shared" si="3"/>
        <v/>
      </c>
    </row>
    <row r="77" spans="2:14">
      <c r="B77" s="1" t="str">
        <f>IF(Protokoll_2p!F83="","",IF(VALUE(LEFT(Protokoll_2p!F83,FIND(":",Protokoll_2p!F83)-1))&gt;VALUE(RIGHT(Protokoll_2p!F83,LEN(Protokoll_2p!F83)-FIND(":",Protokoll_2p!F83))),1,0))</f>
        <v/>
      </c>
      <c r="C77" s="1" t="str">
        <f>IF(Protokoll_2p!G83="","",IF(VALUE(LEFT(Protokoll_2p!G83,FIND(":",Protokoll_2p!G83)-1))&gt;VALUE(RIGHT(Protokoll_2p!G83,LEN(Protokoll_2p!G83)-FIND(":",Protokoll_2p!G83))),1,0))</f>
        <v/>
      </c>
      <c r="D77" s="1" t="str">
        <f>IF(Protokoll_2p!H83="","",IF(VALUE(LEFT(Protokoll_2p!H83,FIND(":",Protokoll_2p!H83)-1))&gt;VALUE(RIGHT(Protokoll_2p!H83,LEN(Protokoll_2p!H83)-FIND(":",Protokoll_2p!H83))),1,0))</f>
        <v/>
      </c>
      <c r="E77" s="1" t="str">
        <f>IF(Protokoll_2p!I83="","",IF(VALUE(LEFT(Protokoll_2p!I83,FIND(":",Protokoll_2p!I83)-1))&gt;VALUE(RIGHT(Protokoll_2p!I83,LEN(Protokoll_2p!I83)-FIND(":",Protokoll_2p!I83))),1,0))</f>
        <v/>
      </c>
      <c r="F77" s="1" t="str">
        <f>IF(Protokoll_2p!J83="","",IF(VALUE(LEFT(Protokoll_2p!J83,FIND(":",Protokoll_2p!J83)-1))&gt;VALUE(RIGHT(Protokoll_2p!J83,LEN(Protokoll_2p!J83)-FIND(":",Protokoll_2p!J83))),1,0))</f>
        <v/>
      </c>
      <c r="G77" s="1" t="str">
        <f t="shared" si="2"/>
        <v/>
      </c>
      <c r="I77" s="1" t="str">
        <f>IF(Protokoll_2p!F83="","",IF(VALUE(LEFT(Protokoll_2p!F83,FIND(":",Protokoll_2p!F83)-1))&gt;VALUE(RIGHT(Protokoll_2p!F83,LEN(Protokoll_2p!F83)-FIND(":",Protokoll_2p!F83))),0,1))</f>
        <v/>
      </c>
      <c r="J77" s="1" t="str">
        <f>IF(Protokoll_2p!G83="","",IF(VALUE(LEFT(Protokoll_2p!G83,FIND(":",Protokoll_2p!G83)-1))&gt;VALUE(RIGHT(Protokoll_2p!G83,LEN(Protokoll_2p!G83)-FIND(":",Protokoll_2p!G83))),0,1))</f>
        <v/>
      </c>
      <c r="K77" s="1" t="str">
        <f>IF(Protokoll_2p!H83="","",IF(VALUE(LEFT(Protokoll_2p!H83,FIND(":",Protokoll_2p!H83)-1))&gt;VALUE(RIGHT(Protokoll_2p!H83,LEN(Protokoll_2p!H83)-FIND(":",Protokoll_2p!H83))),0,1))</f>
        <v/>
      </c>
      <c r="L77" s="1" t="str">
        <f>IF(Protokoll_2p!I83="","",IF(VALUE(LEFT(Protokoll_2p!I83,FIND(":",Protokoll_2p!I83)-1))&gt;VALUE(RIGHT(Protokoll_2p!I83,LEN(Protokoll_2p!I83)-FIND(":",Protokoll_2p!I83))),0,1))</f>
        <v/>
      </c>
      <c r="M77" s="1" t="str">
        <f>IF(Protokoll_2p!J83="","",IF(VALUE(LEFT(Protokoll_2p!J83,FIND(":",Protokoll_2p!J83)-1))&gt;VALUE(RIGHT(Protokoll_2p!J83,LEN(Protokoll_2p!J83)-FIND(":",Protokoll_2p!J83))),0,1))</f>
        <v/>
      </c>
      <c r="N77" s="1" t="str">
        <f t="shared" si="3"/>
        <v/>
      </c>
    </row>
    <row r="78" spans="2:14">
      <c r="B78" s="1" t="str">
        <f>IF(Protokoll_2p!F84="","",IF(VALUE(LEFT(Protokoll_2p!F84,FIND(":",Protokoll_2p!F84)-1))&gt;VALUE(RIGHT(Protokoll_2p!F84,LEN(Protokoll_2p!F84)-FIND(":",Protokoll_2p!F84))),1,0))</f>
        <v/>
      </c>
      <c r="C78" s="1" t="str">
        <f>IF(Protokoll_2p!G84="","",IF(VALUE(LEFT(Protokoll_2p!G84,FIND(":",Protokoll_2p!G84)-1))&gt;VALUE(RIGHT(Protokoll_2p!G84,LEN(Protokoll_2p!G84)-FIND(":",Protokoll_2p!G84))),1,0))</f>
        <v/>
      </c>
      <c r="D78" s="1" t="str">
        <f>IF(Protokoll_2p!H84="","",IF(VALUE(LEFT(Protokoll_2p!H84,FIND(":",Protokoll_2p!H84)-1))&gt;VALUE(RIGHT(Protokoll_2p!H84,LEN(Protokoll_2p!H84)-FIND(":",Protokoll_2p!H84))),1,0))</f>
        <v/>
      </c>
      <c r="E78" s="1" t="str">
        <f>IF(Protokoll_2p!I84="","",IF(VALUE(LEFT(Protokoll_2p!I84,FIND(":",Protokoll_2p!I84)-1))&gt;VALUE(RIGHT(Protokoll_2p!I84,LEN(Protokoll_2p!I84)-FIND(":",Protokoll_2p!I84))),1,0))</f>
        <v/>
      </c>
      <c r="F78" s="1" t="str">
        <f>IF(Protokoll_2p!J84="","",IF(VALUE(LEFT(Protokoll_2p!J84,FIND(":",Protokoll_2p!J84)-1))&gt;VALUE(RIGHT(Protokoll_2p!J84,LEN(Protokoll_2p!J84)-FIND(":",Protokoll_2p!J84))),1,0))</f>
        <v/>
      </c>
      <c r="G78" s="1" t="str">
        <f t="shared" si="2"/>
        <v/>
      </c>
      <c r="I78" s="1" t="str">
        <f>IF(Protokoll_2p!F84="","",IF(VALUE(LEFT(Protokoll_2p!F84,FIND(":",Protokoll_2p!F84)-1))&gt;VALUE(RIGHT(Protokoll_2p!F84,LEN(Protokoll_2p!F84)-FIND(":",Protokoll_2p!F84))),0,1))</f>
        <v/>
      </c>
      <c r="J78" s="1" t="str">
        <f>IF(Protokoll_2p!G84="","",IF(VALUE(LEFT(Protokoll_2p!G84,FIND(":",Protokoll_2p!G84)-1))&gt;VALUE(RIGHT(Protokoll_2p!G84,LEN(Protokoll_2p!G84)-FIND(":",Protokoll_2p!G84))),0,1))</f>
        <v/>
      </c>
      <c r="K78" s="1" t="str">
        <f>IF(Protokoll_2p!H84="","",IF(VALUE(LEFT(Protokoll_2p!H84,FIND(":",Protokoll_2p!H84)-1))&gt;VALUE(RIGHT(Protokoll_2p!H84,LEN(Protokoll_2p!H84)-FIND(":",Protokoll_2p!H84))),0,1))</f>
        <v/>
      </c>
      <c r="L78" s="1" t="str">
        <f>IF(Protokoll_2p!I84="","",IF(VALUE(LEFT(Protokoll_2p!I84,FIND(":",Protokoll_2p!I84)-1))&gt;VALUE(RIGHT(Protokoll_2p!I84,LEN(Protokoll_2p!I84)-FIND(":",Protokoll_2p!I84))),0,1))</f>
        <v/>
      </c>
      <c r="M78" s="1" t="str">
        <f>IF(Protokoll_2p!J84="","",IF(VALUE(LEFT(Protokoll_2p!J84,FIND(":",Protokoll_2p!J84)-1))&gt;VALUE(RIGHT(Protokoll_2p!J84,LEN(Protokoll_2p!J84)-FIND(":",Protokoll_2p!J84))),0,1))</f>
        <v/>
      </c>
      <c r="N78" s="1" t="str">
        <f t="shared" si="3"/>
        <v/>
      </c>
    </row>
    <row r="79" spans="2:14">
      <c r="B79" s="1" t="str">
        <f>IF(Protokoll_2p!F85="","",IF(VALUE(LEFT(Protokoll_2p!F85,FIND(":",Protokoll_2p!F85)-1))&gt;VALUE(RIGHT(Protokoll_2p!F85,LEN(Protokoll_2p!F85)-FIND(":",Protokoll_2p!F85))),1,0))</f>
        <v/>
      </c>
      <c r="C79" s="1" t="str">
        <f>IF(Protokoll_2p!G85="","",IF(VALUE(LEFT(Protokoll_2p!G85,FIND(":",Protokoll_2p!G85)-1))&gt;VALUE(RIGHT(Protokoll_2p!G85,LEN(Protokoll_2p!G85)-FIND(":",Protokoll_2p!G85))),1,0))</f>
        <v/>
      </c>
      <c r="D79" s="1" t="str">
        <f>IF(Protokoll_2p!H85="","",IF(VALUE(LEFT(Protokoll_2p!H85,FIND(":",Protokoll_2p!H85)-1))&gt;VALUE(RIGHT(Protokoll_2p!H85,LEN(Protokoll_2p!H85)-FIND(":",Protokoll_2p!H85))),1,0))</f>
        <v/>
      </c>
      <c r="E79" s="1" t="str">
        <f>IF(Protokoll_2p!I85="","",IF(VALUE(LEFT(Protokoll_2p!I85,FIND(":",Protokoll_2p!I85)-1))&gt;VALUE(RIGHT(Protokoll_2p!I85,LEN(Protokoll_2p!I85)-FIND(":",Protokoll_2p!I85))),1,0))</f>
        <v/>
      </c>
      <c r="F79" s="1" t="str">
        <f>IF(Protokoll_2p!J85="","",IF(VALUE(LEFT(Protokoll_2p!J85,FIND(":",Protokoll_2p!J85)-1))&gt;VALUE(RIGHT(Protokoll_2p!J85,LEN(Protokoll_2p!J85)-FIND(":",Protokoll_2p!J85))),1,0))</f>
        <v/>
      </c>
      <c r="G79" s="1" t="str">
        <f t="shared" si="2"/>
        <v/>
      </c>
      <c r="I79" s="1" t="str">
        <f>IF(Protokoll_2p!F85="","",IF(VALUE(LEFT(Protokoll_2p!F85,FIND(":",Protokoll_2p!F85)-1))&gt;VALUE(RIGHT(Protokoll_2p!F85,LEN(Protokoll_2p!F85)-FIND(":",Protokoll_2p!F85))),0,1))</f>
        <v/>
      </c>
      <c r="J79" s="1" t="str">
        <f>IF(Protokoll_2p!G85="","",IF(VALUE(LEFT(Protokoll_2p!G85,FIND(":",Protokoll_2p!G85)-1))&gt;VALUE(RIGHT(Protokoll_2p!G85,LEN(Protokoll_2p!G85)-FIND(":",Protokoll_2p!G85))),0,1))</f>
        <v/>
      </c>
      <c r="K79" s="1" t="str">
        <f>IF(Protokoll_2p!H85="","",IF(VALUE(LEFT(Protokoll_2p!H85,FIND(":",Protokoll_2p!H85)-1))&gt;VALUE(RIGHT(Protokoll_2p!H85,LEN(Protokoll_2p!H85)-FIND(":",Protokoll_2p!H85))),0,1))</f>
        <v/>
      </c>
      <c r="L79" s="1" t="str">
        <f>IF(Protokoll_2p!I85="","",IF(VALUE(LEFT(Protokoll_2p!I85,FIND(":",Protokoll_2p!I85)-1))&gt;VALUE(RIGHT(Protokoll_2p!I85,LEN(Protokoll_2p!I85)-FIND(":",Protokoll_2p!I85))),0,1))</f>
        <v/>
      </c>
      <c r="M79" s="1" t="str">
        <f>IF(Protokoll_2p!J85="","",IF(VALUE(LEFT(Protokoll_2p!J85,FIND(":",Protokoll_2p!J85)-1))&gt;VALUE(RIGHT(Protokoll_2p!J85,LEN(Protokoll_2p!J85)-FIND(":",Protokoll_2p!J85))),0,1))</f>
        <v/>
      </c>
      <c r="N79" s="1" t="str">
        <f t="shared" si="3"/>
        <v/>
      </c>
    </row>
    <row r="80" spans="2:14">
      <c r="B80" s="1" t="str">
        <f>IF(Protokoll_2p!F86="","",IF(VALUE(LEFT(Protokoll_2p!F86,FIND(":",Protokoll_2p!F86)-1))&gt;VALUE(RIGHT(Protokoll_2p!F86,LEN(Protokoll_2p!F86)-FIND(":",Protokoll_2p!F86))),1,0))</f>
        <v/>
      </c>
      <c r="C80" s="1" t="str">
        <f>IF(Protokoll_2p!G86="","",IF(VALUE(LEFT(Protokoll_2p!G86,FIND(":",Protokoll_2p!G86)-1))&gt;VALUE(RIGHT(Protokoll_2p!G86,LEN(Protokoll_2p!G86)-FIND(":",Protokoll_2p!G86))),1,0))</f>
        <v/>
      </c>
      <c r="D80" s="1" t="str">
        <f>IF(Protokoll_2p!H86="","",IF(VALUE(LEFT(Protokoll_2p!H86,FIND(":",Protokoll_2p!H86)-1))&gt;VALUE(RIGHT(Protokoll_2p!H86,LEN(Protokoll_2p!H86)-FIND(":",Protokoll_2p!H86))),1,0))</f>
        <v/>
      </c>
      <c r="E80" s="1" t="str">
        <f>IF(Protokoll_2p!I86="","",IF(VALUE(LEFT(Protokoll_2p!I86,FIND(":",Protokoll_2p!I86)-1))&gt;VALUE(RIGHT(Protokoll_2p!I86,LEN(Protokoll_2p!I86)-FIND(":",Protokoll_2p!I86))),1,0))</f>
        <v/>
      </c>
      <c r="F80" s="1" t="str">
        <f>IF(Protokoll_2p!J86="","",IF(VALUE(LEFT(Protokoll_2p!J86,FIND(":",Protokoll_2p!J86)-1))&gt;VALUE(RIGHT(Protokoll_2p!J86,LEN(Protokoll_2p!J86)-FIND(":",Protokoll_2p!J86))),1,0))</f>
        <v/>
      </c>
      <c r="G80" s="1" t="str">
        <f t="shared" si="2"/>
        <v/>
      </c>
      <c r="I80" s="1" t="str">
        <f>IF(Protokoll_2p!F86="","",IF(VALUE(LEFT(Protokoll_2p!F86,FIND(":",Protokoll_2p!F86)-1))&gt;VALUE(RIGHT(Protokoll_2p!F86,LEN(Protokoll_2p!F86)-FIND(":",Protokoll_2p!F86))),0,1))</f>
        <v/>
      </c>
      <c r="J80" s="1" t="str">
        <f>IF(Protokoll_2p!G86="","",IF(VALUE(LEFT(Protokoll_2p!G86,FIND(":",Protokoll_2p!G86)-1))&gt;VALUE(RIGHT(Protokoll_2p!G86,LEN(Protokoll_2p!G86)-FIND(":",Protokoll_2p!G86))),0,1))</f>
        <v/>
      </c>
      <c r="K80" s="1" t="str">
        <f>IF(Protokoll_2p!H86="","",IF(VALUE(LEFT(Protokoll_2p!H86,FIND(":",Protokoll_2p!H86)-1))&gt;VALUE(RIGHT(Protokoll_2p!H86,LEN(Protokoll_2p!H86)-FIND(":",Protokoll_2p!H86))),0,1))</f>
        <v/>
      </c>
      <c r="L80" s="1" t="str">
        <f>IF(Protokoll_2p!I86="","",IF(VALUE(LEFT(Protokoll_2p!I86,FIND(":",Protokoll_2p!I86)-1))&gt;VALUE(RIGHT(Protokoll_2p!I86,LEN(Protokoll_2p!I86)-FIND(":",Protokoll_2p!I86))),0,1))</f>
        <v/>
      </c>
      <c r="M80" s="1" t="str">
        <f>IF(Protokoll_2p!J86="","",IF(VALUE(LEFT(Protokoll_2p!J86,FIND(":",Protokoll_2p!J86)-1))&gt;VALUE(RIGHT(Protokoll_2p!J86,LEN(Protokoll_2p!J86)-FIND(":",Protokoll_2p!J86))),0,1))</f>
        <v/>
      </c>
      <c r="N80" s="1" t="str">
        <f t="shared" si="3"/>
        <v/>
      </c>
    </row>
    <row r="81" spans="2:14">
      <c r="B81" s="1" t="e">
        <f>IF(Protokoll_2p!F87="","",IF(VALUE(LEFT(Protokoll_2p!F87,FIND(":",Protokoll_2p!F87)-1))&gt;VALUE(RIGHT(Protokoll_2p!F87,LEN(Protokoll_2p!F87)-FIND(":",Protokoll_2p!F87))),1,0))</f>
        <v>#VALUE!</v>
      </c>
      <c r="C81" s="1" t="e">
        <f>IF(Protokoll_2p!G87="","",IF(VALUE(LEFT(Protokoll_2p!G87,FIND(":",Protokoll_2p!G87)-1))&gt;VALUE(RIGHT(Protokoll_2p!G87,LEN(Protokoll_2p!G87)-FIND(":",Protokoll_2p!G87))),1,0))</f>
        <v>#VALUE!</v>
      </c>
      <c r="D81" s="1" t="e">
        <f>IF(Protokoll_2p!H87="","",IF(VALUE(LEFT(Protokoll_2p!H87,FIND(":",Protokoll_2p!H87)-1))&gt;VALUE(RIGHT(Protokoll_2p!H87,LEN(Protokoll_2p!H87)-FIND(":",Protokoll_2p!H87))),1,0))</f>
        <v>#VALUE!</v>
      </c>
      <c r="E81" s="1" t="e">
        <f>IF(Protokoll_2p!I87="","",IF(VALUE(LEFT(Protokoll_2p!I87,FIND(":",Protokoll_2p!I87)-1))&gt;VALUE(RIGHT(Protokoll_2p!I87,LEN(Protokoll_2p!I87)-FIND(":",Protokoll_2p!I87))),1,0))</f>
        <v>#VALUE!</v>
      </c>
      <c r="F81" s="1" t="e">
        <f>IF(Protokoll_2p!J87="","",IF(VALUE(LEFT(Protokoll_2p!J87,FIND(":",Protokoll_2p!J87)-1))&gt;VALUE(RIGHT(Protokoll_2p!J87,LEN(Protokoll_2p!J87)-FIND(":",Protokoll_2p!J87))),1,0))</f>
        <v>#VALUE!</v>
      </c>
      <c r="G81" s="1" t="e">
        <f t="shared" si="2"/>
        <v>#VALUE!</v>
      </c>
      <c r="I81" s="1" t="e">
        <f>IF(Protokoll_2p!F87="","",IF(VALUE(LEFT(Protokoll_2p!F87,FIND(":",Protokoll_2p!F87)-1))&gt;VALUE(RIGHT(Protokoll_2p!F87,LEN(Protokoll_2p!F87)-FIND(":",Protokoll_2p!F87))),0,1))</f>
        <v>#VALUE!</v>
      </c>
      <c r="J81" s="1" t="e">
        <f>IF(Protokoll_2p!G87="","",IF(VALUE(LEFT(Protokoll_2p!G87,FIND(":",Protokoll_2p!G87)-1))&gt;VALUE(RIGHT(Protokoll_2p!G87,LEN(Protokoll_2p!G87)-FIND(":",Protokoll_2p!G87))),0,1))</f>
        <v>#VALUE!</v>
      </c>
      <c r="K81" s="1" t="e">
        <f>IF(Protokoll_2p!H87="","",IF(VALUE(LEFT(Protokoll_2p!H87,FIND(":",Protokoll_2p!H87)-1))&gt;VALUE(RIGHT(Protokoll_2p!H87,LEN(Protokoll_2p!H87)-FIND(":",Protokoll_2p!H87))),0,1))</f>
        <v>#VALUE!</v>
      </c>
      <c r="L81" s="1" t="e">
        <f>IF(Protokoll_2p!I87="","",IF(VALUE(LEFT(Protokoll_2p!I87,FIND(":",Protokoll_2p!I87)-1))&gt;VALUE(RIGHT(Protokoll_2p!I87,LEN(Protokoll_2p!I87)-FIND(":",Protokoll_2p!I87))),0,1))</f>
        <v>#VALUE!</v>
      </c>
      <c r="M81" s="1" t="e">
        <f>IF(Protokoll_2p!J87="","",IF(VALUE(LEFT(Protokoll_2p!J87,FIND(":",Protokoll_2p!J87)-1))&gt;VALUE(RIGHT(Protokoll_2p!J87,LEN(Protokoll_2p!J87)-FIND(":",Protokoll_2p!J87))),0,1))</f>
        <v>#VALUE!</v>
      </c>
      <c r="N81" s="1" t="e">
        <f t="shared" si="3"/>
        <v>#VALUE!</v>
      </c>
    </row>
    <row r="82" spans="2:14">
      <c r="B82" s="1">
        <f>IF(Protokoll_2p!F88="","",IF(VALUE(LEFT(Protokoll_2p!F88,FIND(":",Protokoll_2p!F88)-1))&gt;VALUE(RIGHT(Protokoll_2p!F88,LEN(Protokoll_2p!F88)-FIND(":",Protokoll_2p!F88))),1,0))</f>
        <v>1</v>
      </c>
      <c r="C82" s="1">
        <f>IF(Protokoll_2p!G88="","",IF(VALUE(LEFT(Protokoll_2p!G88,FIND(":",Protokoll_2p!G88)-1))&gt;VALUE(RIGHT(Protokoll_2p!G88,LEN(Protokoll_2p!G88)-FIND(":",Protokoll_2p!G88))),1,0))</f>
        <v>1</v>
      </c>
      <c r="D82" s="1">
        <f>IF(Protokoll_2p!H88="","",IF(VALUE(LEFT(Protokoll_2p!H88,FIND(":",Protokoll_2p!H88)-1))&gt;VALUE(RIGHT(Protokoll_2p!H88,LEN(Protokoll_2p!H88)-FIND(":",Protokoll_2p!H88))),1,0))</f>
        <v>1</v>
      </c>
      <c r="E82" s="1" t="str">
        <f>IF(Protokoll_2p!I88="","",IF(VALUE(LEFT(Protokoll_2p!I88,FIND(":",Protokoll_2p!I88)-1))&gt;VALUE(RIGHT(Protokoll_2p!I88,LEN(Protokoll_2p!I88)-FIND(":",Protokoll_2p!I88))),1,0))</f>
        <v/>
      </c>
      <c r="F82" s="1" t="str">
        <f>IF(Protokoll_2p!J88="","",IF(VALUE(LEFT(Protokoll_2p!J88,FIND(":",Protokoll_2p!J88)-1))&gt;VALUE(RIGHT(Protokoll_2p!J88,LEN(Protokoll_2p!J88)-FIND(":",Protokoll_2p!J88))),1,0))</f>
        <v/>
      </c>
      <c r="G82" s="1">
        <f t="shared" si="2"/>
        <v>3</v>
      </c>
      <c r="I82" s="1">
        <f>IF(Protokoll_2p!F88="","",IF(VALUE(LEFT(Protokoll_2p!F88,FIND(":",Protokoll_2p!F88)-1))&gt;VALUE(RIGHT(Protokoll_2p!F88,LEN(Protokoll_2p!F88)-FIND(":",Protokoll_2p!F88))),0,1))</f>
        <v>0</v>
      </c>
      <c r="J82" s="1">
        <f>IF(Protokoll_2p!G88="","",IF(VALUE(LEFT(Protokoll_2p!G88,FIND(":",Protokoll_2p!G88)-1))&gt;VALUE(RIGHT(Protokoll_2p!G88,LEN(Protokoll_2p!G88)-FIND(":",Protokoll_2p!G88))),0,1))</f>
        <v>0</v>
      </c>
      <c r="K82" s="1">
        <f>IF(Protokoll_2p!H88="","",IF(VALUE(LEFT(Protokoll_2p!H88,FIND(":",Protokoll_2p!H88)-1))&gt;VALUE(RIGHT(Protokoll_2p!H88,LEN(Protokoll_2p!H88)-FIND(":",Protokoll_2p!H88))),0,1))</f>
        <v>0</v>
      </c>
      <c r="L82" s="1" t="str">
        <f>IF(Protokoll_2p!I88="","",IF(VALUE(LEFT(Protokoll_2p!I88,FIND(":",Protokoll_2p!I88)-1))&gt;VALUE(RIGHT(Protokoll_2p!I88,LEN(Protokoll_2p!I88)-FIND(":",Protokoll_2p!I88))),0,1))</f>
        <v/>
      </c>
      <c r="M82" s="1" t="str">
        <f>IF(Protokoll_2p!J88="","",IF(VALUE(LEFT(Protokoll_2p!J88,FIND(":",Protokoll_2p!J88)-1))&gt;VALUE(RIGHT(Protokoll_2p!J88,LEN(Protokoll_2p!J88)-FIND(":",Protokoll_2p!J88))),0,1))</f>
        <v/>
      </c>
      <c r="N82" s="1">
        <f t="shared" si="3"/>
        <v>0</v>
      </c>
    </row>
    <row r="83" spans="2:14">
      <c r="B83" s="1">
        <f>IF(Protokoll_2p!F89="","",IF(VALUE(LEFT(Protokoll_2p!F89,FIND(":",Protokoll_2p!F89)-1))&gt;VALUE(RIGHT(Protokoll_2p!F89,LEN(Protokoll_2p!F89)-FIND(":",Protokoll_2p!F89))),1,0))</f>
        <v>0</v>
      </c>
      <c r="C83" s="1">
        <f>IF(Protokoll_2p!G89="","",IF(VALUE(LEFT(Protokoll_2p!G89,FIND(":",Protokoll_2p!G89)-1))&gt;VALUE(RIGHT(Protokoll_2p!G89,LEN(Protokoll_2p!G89)-FIND(":",Protokoll_2p!G89))),1,0))</f>
        <v>0</v>
      </c>
      <c r="D83" s="1">
        <f>IF(Protokoll_2p!H89="","",IF(VALUE(LEFT(Protokoll_2p!H89,FIND(":",Protokoll_2p!H89)-1))&gt;VALUE(RIGHT(Protokoll_2p!H89,LEN(Protokoll_2p!H89)-FIND(":",Protokoll_2p!H89))),1,0))</f>
        <v>1</v>
      </c>
      <c r="E83" s="1">
        <f>IF(Protokoll_2p!I89="","",IF(VALUE(LEFT(Protokoll_2p!I89,FIND(":",Protokoll_2p!I89)-1))&gt;VALUE(RIGHT(Protokoll_2p!I89,LEN(Protokoll_2p!I89)-FIND(":",Protokoll_2p!I89))),1,0))</f>
        <v>0</v>
      </c>
      <c r="F83" s="1" t="str">
        <f>IF(Protokoll_2p!J89="","",IF(VALUE(LEFT(Protokoll_2p!J89,FIND(":",Protokoll_2p!J89)-1))&gt;VALUE(RIGHT(Protokoll_2p!J89,LEN(Protokoll_2p!J89)-FIND(":",Protokoll_2p!J89))),1,0))</f>
        <v/>
      </c>
      <c r="G83" s="1">
        <f t="shared" si="2"/>
        <v>1</v>
      </c>
      <c r="I83" s="1">
        <f>IF(Protokoll_2p!F89="","",IF(VALUE(LEFT(Protokoll_2p!F89,FIND(":",Protokoll_2p!F89)-1))&gt;VALUE(RIGHT(Protokoll_2p!F89,LEN(Protokoll_2p!F89)-FIND(":",Protokoll_2p!F89))),0,1))</f>
        <v>1</v>
      </c>
      <c r="J83" s="1">
        <f>IF(Protokoll_2p!G89="","",IF(VALUE(LEFT(Protokoll_2p!G89,FIND(":",Protokoll_2p!G89)-1))&gt;VALUE(RIGHT(Protokoll_2p!G89,LEN(Protokoll_2p!G89)-FIND(":",Protokoll_2p!G89))),0,1))</f>
        <v>1</v>
      </c>
      <c r="K83" s="1">
        <f>IF(Protokoll_2p!H89="","",IF(VALUE(LEFT(Protokoll_2p!H89,FIND(":",Protokoll_2p!H89)-1))&gt;VALUE(RIGHT(Protokoll_2p!H89,LEN(Protokoll_2p!H89)-FIND(":",Protokoll_2p!H89))),0,1))</f>
        <v>0</v>
      </c>
      <c r="L83" s="1">
        <f>IF(Protokoll_2p!I89="","",IF(VALUE(LEFT(Protokoll_2p!I89,FIND(":",Protokoll_2p!I89)-1))&gt;VALUE(RIGHT(Protokoll_2p!I89,LEN(Protokoll_2p!I89)-FIND(":",Protokoll_2p!I89))),0,1))</f>
        <v>1</v>
      </c>
      <c r="M83" s="1" t="str">
        <f>IF(Protokoll_2p!J89="","",IF(VALUE(LEFT(Protokoll_2p!J89,FIND(":",Protokoll_2p!J89)-1))&gt;VALUE(RIGHT(Protokoll_2p!J89,LEN(Protokoll_2p!J89)-FIND(":",Protokoll_2p!J89))),0,1))</f>
        <v/>
      </c>
      <c r="N83" s="1">
        <f t="shared" si="3"/>
        <v>3</v>
      </c>
    </row>
    <row r="84" spans="2:14">
      <c r="B84" s="1">
        <f>IF(Protokoll_2p!F90="","",IF(VALUE(LEFT(Protokoll_2p!F90,FIND(":",Protokoll_2p!F90)-1))&gt;VALUE(RIGHT(Protokoll_2p!F90,LEN(Protokoll_2p!F90)-FIND(":",Protokoll_2p!F90))),1,0))</f>
        <v>1</v>
      </c>
      <c r="C84" s="1">
        <f>IF(Protokoll_2p!G90="","",IF(VALUE(LEFT(Protokoll_2p!G90,FIND(":",Protokoll_2p!G90)-1))&gt;VALUE(RIGHT(Protokoll_2p!G90,LEN(Protokoll_2p!G90)-FIND(":",Protokoll_2p!G90))),1,0))</f>
        <v>1</v>
      </c>
      <c r="D84" s="1">
        <f>IF(Protokoll_2p!H90="","",IF(VALUE(LEFT(Protokoll_2p!H90,FIND(":",Protokoll_2p!H90)-1))&gt;VALUE(RIGHT(Protokoll_2p!H90,LEN(Protokoll_2p!H90)-FIND(":",Protokoll_2p!H90))),1,0))</f>
        <v>1</v>
      </c>
      <c r="E84" s="1" t="str">
        <f>IF(Protokoll_2p!I90="","",IF(VALUE(LEFT(Protokoll_2p!I90,FIND(":",Protokoll_2p!I90)-1))&gt;VALUE(RIGHT(Protokoll_2p!I90,LEN(Protokoll_2p!I90)-FIND(":",Protokoll_2p!I90))),1,0))</f>
        <v/>
      </c>
      <c r="F84" s="1" t="str">
        <f>IF(Protokoll_2p!J90="","",IF(VALUE(LEFT(Protokoll_2p!J90,FIND(":",Protokoll_2p!J90)-1))&gt;VALUE(RIGHT(Protokoll_2p!J90,LEN(Protokoll_2p!J90)-FIND(":",Protokoll_2p!J90))),1,0))</f>
        <v/>
      </c>
      <c r="G84" s="1">
        <f t="shared" si="2"/>
        <v>3</v>
      </c>
      <c r="I84" s="1">
        <f>IF(Protokoll_2p!F90="","",IF(VALUE(LEFT(Protokoll_2p!F90,FIND(":",Protokoll_2p!F90)-1))&gt;VALUE(RIGHT(Protokoll_2p!F90,LEN(Protokoll_2p!F90)-FIND(":",Protokoll_2p!F90))),0,1))</f>
        <v>0</v>
      </c>
      <c r="J84" s="1">
        <f>IF(Protokoll_2p!G90="","",IF(VALUE(LEFT(Protokoll_2p!G90,FIND(":",Protokoll_2p!G90)-1))&gt;VALUE(RIGHT(Protokoll_2p!G90,LEN(Protokoll_2p!G90)-FIND(":",Protokoll_2p!G90))),0,1))</f>
        <v>0</v>
      </c>
      <c r="K84" s="1">
        <f>IF(Protokoll_2p!H90="","",IF(VALUE(LEFT(Protokoll_2p!H90,FIND(":",Protokoll_2p!H90)-1))&gt;VALUE(RIGHT(Protokoll_2p!H90,LEN(Protokoll_2p!H90)-FIND(":",Protokoll_2p!H90))),0,1))</f>
        <v>0</v>
      </c>
      <c r="L84" s="1" t="str">
        <f>IF(Protokoll_2p!I90="","",IF(VALUE(LEFT(Protokoll_2p!I90,FIND(":",Protokoll_2p!I90)-1))&gt;VALUE(RIGHT(Protokoll_2p!I90,LEN(Protokoll_2p!I90)-FIND(":",Protokoll_2p!I90))),0,1))</f>
        <v/>
      </c>
      <c r="M84" s="1" t="str">
        <f>IF(Protokoll_2p!J90="","",IF(VALUE(LEFT(Protokoll_2p!J90,FIND(":",Protokoll_2p!J90)-1))&gt;VALUE(RIGHT(Protokoll_2p!J90,LEN(Protokoll_2p!J90)-FIND(":",Protokoll_2p!J90))),0,1))</f>
        <v/>
      </c>
      <c r="N84" s="1">
        <f t="shared" si="3"/>
        <v>0</v>
      </c>
    </row>
    <row r="85" spans="2:14">
      <c r="B85" s="1">
        <f>IF(Protokoll_2p!F91="","",IF(VALUE(LEFT(Protokoll_2p!F91,FIND(":",Protokoll_2p!F91)-1))&gt;VALUE(RIGHT(Protokoll_2p!F91,LEN(Protokoll_2p!F91)-FIND(":",Protokoll_2p!F91))),1,0))</f>
        <v>1</v>
      </c>
      <c r="C85" s="1">
        <f>IF(Protokoll_2p!G91="","",IF(VALUE(LEFT(Protokoll_2p!G91,FIND(":",Protokoll_2p!G91)-1))&gt;VALUE(RIGHT(Protokoll_2p!G91,LEN(Protokoll_2p!G91)-FIND(":",Protokoll_2p!G91))),1,0))</f>
        <v>1</v>
      </c>
      <c r="D85" s="1">
        <f>IF(Protokoll_2p!H91="","",IF(VALUE(LEFT(Protokoll_2p!H91,FIND(":",Protokoll_2p!H91)-1))&gt;VALUE(RIGHT(Protokoll_2p!H91,LEN(Protokoll_2p!H91)-FIND(":",Protokoll_2p!H91))),1,0))</f>
        <v>0</v>
      </c>
      <c r="E85" s="1">
        <f>IF(Protokoll_2p!I91="","",IF(VALUE(LEFT(Protokoll_2p!I91,FIND(":",Protokoll_2p!I91)-1))&gt;VALUE(RIGHT(Protokoll_2p!I91,LEN(Protokoll_2p!I91)-FIND(":",Protokoll_2p!I91))),1,0))</f>
        <v>0</v>
      </c>
      <c r="F85" s="1">
        <f>IF(Protokoll_2p!J91="","",IF(VALUE(LEFT(Protokoll_2p!J91,FIND(":",Protokoll_2p!J91)-1))&gt;VALUE(RIGHT(Protokoll_2p!J91,LEN(Protokoll_2p!J91)-FIND(":",Protokoll_2p!J91))),1,0))</f>
        <v>0</v>
      </c>
      <c r="G85" s="1">
        <f t="shared" si="2"/>
        <v>2</v>
      </c>
      <c r="I85" s="1">
        <f>IF(Protokoll_2p!F91="","",IF(VALUE(LEFT(Protokoll_2p!F91,FIND(":",Protokoll_2p!F91)-1))&gt;VALUE(RIGHT(Protokoll_2p!F91,LEN(Protokoll_2p!F91)-FIND(":",Protokoll_2p!F91))),0,1))</f>
        <v>0</v>
      </c>
      <c r="J85" s="1">
        <f>IF(Protokoll_2p!G91="","",IF(VALUE(LEFT(Protokoll_2p!G91,FIND(":",Protokoll_2p!G91)-1))&gt;VALUE(RIGHT(Protokoll_2p!G91,LEN(Protokoll_2p!G91)-FIND(":",Protokoll_2p!G91))),0,1))</f>
        <v>0</v>
      </c>
      <c r="K85" s="1">
        <f>IF(Protokoll_2p!H91="","",IF(VALUE(LEFT(Protokoll_2p!H91,FIND(":",Protokoll_2p!H91)-1))&gt;VALUE(RIGHT(Protokoll_2p!H91,LEN(Protokoll_2p!H91)-FIND(":",Protokoll_2p!H91))),0,1))</f>
        <v>1</v>
      </c>
      <c r="L85" s="1">
        <f>IF(Protokoll_2p!I91="","",IF(VALUE(LEFT(Protokoll_2p!I91,FIND(":",Protokoll_2p!I91)-1))&gt;VALUE(RIGHT(Protokoll_2p!I91,LEN(Protokoll_2p!I91)-FIND(":",Protokoll_2p!I91))),0,1))</f>
        <v>1</v>
      </c>
      <c r="M85" s="1">
        <f>IF(Protokoll_2p!J91="","",IF(VALUE(LEFT(Protokoll_2p!J91,FIND(":",Protokoll_2p!J91)-1))&gt;VALUE(RIGHT(Protokoll_2p!J91,LEN(Protokoll_2p!J91)-FIND(":",Protokoll_2p!J91))),0,1))</f>
        <v>1</v>
      </c>
      <c r="N85" s="1">
        <f t="shared" si="3"/>
        <v>3</v>
      </c>
    </row>
    <row r="86" spans="2:14">
      <c r="B86" s="1" t="str">
        <f>IF(Protokoll_2p!F92="","",IF(VALUE(LEFT(Protokoll_2p!F92,FIND(":",Protokoll_2p!F92)-1))&gt;VALUE(RIGHT(Protokoll_2p!F92,LEN(Protokoll_2p!F92)-FIND(":",Protokoll_2p!F92))),1,0))</f>
        <v/>
      </c>
      <c r="C86" s="1" t="str">
        <f>IF(Protokoll_2p!G92="","",IF(VALUE(LEFT(Protokoll_2p!G92,FIND(":",Protokoll_2p!G92)-1))&gt;VALUE(RIGHT(Protokoll_2p!G92,LEN(Protokoll_2p!G92)-FIND(":",Protokoll_2p!G92))),1,0))</f>
        <v/>
      </c>
      <c r="D86" s="1" t="str">
        <f>IF(Protokoll_2p!H92="","",IF(VALUE(LEFT(Protokoll_2p!H92,FIND(":",Protokoll_2p!H92)-1))&gt;VALUE(RIGHT(Protokoll_2p!H92,LEN(Protokoll_2p!H92)-FIND(":",Protokoll_2p!H92))),1,0))</f>
        <v/>
      </c>
      <c r="E86" s="1" t="str">
        <f>IF(Protokoll_2p!I92="","",IF(VALUE(LEFT(Protokoll_2p!I92,FIND(":",Protokoll_2p!I92)-1))&gt;VALUE(RIGHT(Protokoll_2p!I92,LEN(Protokoll_2p!I92)-FIND(":",Protokoll_2p!I92))),1,0))</f>
        <v/>
      </c>
      <c r="F86" s="1" t="str">
        <f>IF(Protokoll_2p!J92="","",IF(VALUE(LEFT(Protokoll_2p!J92,FIND(":",Protokoll_2p!J92)-1))&gt;VALUE(RIGHT(Protokoll_2p!J92,LEN(Protokoll_2p!J92)-FIND(":",Protokoll_2p!J92))),1,0))</f>
        <v/>
      </c>
      <c r="G86" s="1" t="str">
        <f t="shared" si="2"/>
        <v/>
      </c>
      <c r="I86" s="1" t="str">
        <f>IF(Protokoll_2p!F92="","",IF(VALUE(LEFT(Protokoll_2p!F92,FIND(":",Protokoll_2p!F92)-1))&gt;VALUE(RIGHT(Protokoll_2p!F92,LEN(Protokoll_2p!F92)-FIND(":",Protokoll_2p!F92))),0,1))</f>
        <v/>
      </c>
      <c r="J86" s="1" t="str">
        <f>IF(Protokoll_2p!G92="","",IF(VALUE(LEFT(Protokoll_2p!G92,FIND(":",Protokoll_2p!G92)-1))&gt;VALUE(RIGHT(Protokoll_2p!G92,LEN(Protokoll_2p!G92)-FIND(":",Protokoll_2p!G92))),0,1))</f>
        <v/>
      </c>
      <c r="K86" s="1" t="str">
        <f>IF(Protokoll_2p!H92="","",IF(VALUE(LEFT(Protokoll_2p!H92,FIND(":",Protokoll_2p!H92)-1))&gt;VALUE(RIGHT(Protokoll_2p!H92,LEN(Protokoll_2p!H92)-FIND(":",Protokoll_2p!H92))),0,1))</f>
        <v/>
      </c>
      <c r="L86" s="1" t="str">
        <f>IF(Protokoll_2p!I92="","",IF(VALUE(LEFT(Protokoll_2p!I92,FIND(":",Protokoll_2p!I92)-1))&gt;VALUE(RIGHT(Protokoll_2p!I92,LEN(Protokoll_2p!I92)-FIND(":",Protokoll_2p!I92))),0,1))</f>
        <v/>
      </c>
      <c r="M86" s="1" t="str">
        <f>IF(Protokoll_2p!J92="","",IF(VALUE(LEFT(Protokoll_2p!J92,FIND(":",Protokoll_2p!J92)-1))&gt;VALUE(RIGHT(Protokoll_2p!J92,LEN(Protokoll_2p!J92)-FIND(":",Protokoll_2p!J92))),0,1))</f>
        <v/>
      </c>
      <c r="N86" s="1" t="str">
        <f t="shared" si="3"/>
        <v/>
      </c>
    </row>
    <row r="87" spans="2:14">
      <c r="B87" s="1">
        <f>IF(Protokoll_2p!F93="","",IF(VALUE(LEFT(Protokoll_2p!F93,FIND(":",Protokoll_2p!F93)-1))&gt;VALUE(RIGHT(Protokoll_2p!F93,LEN(Protokoll_2p!F93)-FIND(":",Protokoll_2p!F93))),1,0))</f>
        <v>1</v>
      </c>
      <c r="C87" s="1">
        <f>IF(Protokoll_2p!G93="","",IF(VALUE(LEFT(Protokoll_2p!G93,FIND(":",Protokoll_2p!G93)-1))&gt;VALUE(RIGHT(Protokoll_2p!G93,LEN(Protokoll_2p!G93)-FIND(":",Protokoll_2p!G93))),1,0))</f>
        <v>1</v>
      </c>
      <c r="D87" s="1">
        <f>IF(Protokoll_2p!H93="","",IF(VALUE(LEFT(Protokoll_2p!H93,FIND(":",Protokoll_2p!H93)-1))&gt;VALUE(RIGHT(Protokoll_2p!H93,LEN(Protokoll_2p!H93)-FIND(":",Protokoll_2p!H93))),1,0))</f>
        <v>1</v>
      </c>
      <c r="E87" s="1" t="str">
        <f>IF(Protokoll_2p!I93="","",IF(VALUE(LEFT(Protokoll_2p!I93,FIND(":",Protokoll_2p!I93)-1))&gt;VALUE(RIGHT(Protokoll_2p!I93,LEN(Protokoll_2p!I93)-FIND(":",Protokoll_2p!I93))),1,0))</f>
        <v/>
      </c>
      <c r="F87" s="1" t="str">
        <f>IF(Protokoll_2p!J93="","",IF(VALUE(LEFT(Protokoll_2p!J93,FIND(":",Protokoll_2p!J93)-1))&gt;VALUE(RIGHT(Protokoll_2p!J93,LEN(Protokoll_2p!J93)-FIND(":",Protokoll_2p!J93))),1,0))</f>
        <v/>
      </c>
      <c r="G87" s="1">
        <f t="shared" si="2"/>
        <v>3</v>
      </c>
      <c r="I87" s="1">
        <f>IF(Protokoll_2p!F93="","",IF(VALUE(LEFT(Protokoll_2p!F93,FIND(":",Protokoll_2p!F93)-1))&gt;VALUE(RIGHT(Protokoll_2p!F93,LEN(Protokoll_2p!F93)-FIND(":",Protokoll_2p!F93))),0,1))</f>
        <v>0</v>
      </c>
      <c r="J87" s="1">
        <f>IF(Protokoll_2p!G93="","",IF(VALUE(LEFT(Protokoll_2p!G93,FIND(":",Protokoll_2p!G93)-1))&gt;VALUE(RIGHT(Protokoll_2p!G93,LEN(Protokoll_2p!G93)-FIND(":",Protokoll_2p!G93))),0,1))</f>
        <v>0</v>
      </c>
      <c r="K87" s="1">
        <f>IF(Protokoll_2p!H93="","",IF(VALUE(LEFT(Protokoll_2p!H93,FIND(":",Protokoll_2p!H93)-1))&gt;VALUE(RIGHT(Protokoll_2p!H93,LEN(Protokoll_2p!H93)-FIND(":",Protokoll_2p!H93))),0,1))</f>
        <v>0</v>
      </c>
      <c r="L87" s="1" t="str">
        <f>IF(Protokoll_2p!I93="","",IF(VALUE(LEFT(Protokoll_2p!I93,FIND(":",Protokoll_2p!I93)-1))&gt;VALUE(RIGHT(Protokoll_2p!I93,LEN(Protokoll_2p!I93)-FIND(":",Protokoll_2p!I93))),0,1))</f>
        <v/>
      </c>
      <c r="M87" s="1" t="str">
        <f>IF(Protokoll_2p!J93="","",IF(VALUE(LEFT(Protokoll_2p!J93,FIND(":",Protokoll_2p!J93)-1))&gt;VALUE(RIGHT(Protokoll_2p!J93,LEN(Protokoll_2p!J93)-FIND(":",Protokoll_2p!J93))),0,1))</f>
        <v/>
      </c>
      <c r="N87" s="1">
        <f t="shared" si="3"/>
        <v>0</v>
      </c>
    </row>
    <row r="88" spans="2:14">
      <c r="B88" s="1">
        <f>IF(Protokoll_2p!F94="","",IF(VALUE(LEFT(Protokoll_2p!F94,FIND(":",Protokoll_2p!F94)-1))&gt;VALUE(RIGHT(Protokoll_2p!F94,LEN(Protokoll_2p!F94)-FIND(":",Protokoll_2p!F94))),1,0))</f>
        <v>1</v>
      </c>
      <c r="C88" s="1">
        <f>IF(Protokoll_2p!G94="","",IF(VALUE(LEFT(Protokoll_2p!G94,FIND(":",Protokoll_2p!G94)-1))&gt;VALUE(RIGHT(Protokoll_2p!G94,LEN(Protokoll_2p!G94)-FIND(":",Protokoll_2p!G94))),1,0))</f>
        <v>0</v>
      </c>
      <c r="D88" s="1">
        <f>IF(Protokoll_2p!H94="","",IF(VALUE(LEFT(Protokoll_2p!H94,FIND(":",Protokoll_2p!H94)-1))&gt;VALUE(RIGHT(Protokoll_2p!H94,LEN(Protokoll_2p!H94)-FIND(":",Protokoll_2p!H94))),1,0))</f>
        <v>0</v>
      </c>
      <c r="E88" s="1">
        <f>IF(Protokoll_2p!I94="","",IF(VALUE(LEFT(Protokoll_2p!I94,FIND(":",Protokoll_2p!I94)-1))&gt;VALUE(RIGHT(Protokoll_2p!I94,LEN(Protokoll_2p!I94)-FIND(":",Protokoll_2p!I94))),1,0))</f>
        <v>0</v>
      </c>
      <c r="F88" s="1" t="str">
        <f>IF(Protokoll_2p!J94="","",IF(VALUE(LEFT(Protokoll_2p!J94,FIND(":",Protokoll_2p!J94)-1))&gt;VALUE(RIGHT(Protokoll_2p!J94,LEN(Protokoll_2p!J94)-FIND(":",Protokoll_2p!J94))),1,0))</f>
        <v/>
      </c>
      <c r="G88" s="1">
        <f t="shared" si="2"/>
        <v>1</v>
      </c>
      <c r="I88" s="1">
        <f>IF(Protokoll_2p!F94="","",IF(VALUE(LEFT(Protokoll_2p!F94,FIND(":",Protokoll_2p!F94)-1))&gt;VALUE(RIGHT(Protokoll_2p!F94,LEN(Protokoll_2p!F94)-FIND(":",Protokoll_2p!F94))),0,1))</f>
        <v>0</v>
      </c>
      <c r="J88" s="1">
        <f>IF(Protokoll_2p!G94="","",IF(VALUE(LEFT(Protokoll_2p!G94,FIND(":",Protokoll_2p!G94)-1))&gt;VALUE(RIGHT(Protokoll_2p!G94,LEN(Protokoll_2p!G94)-FIND(":",Protokoll_2p!G94))),0,1))</f>
        <v>1</v>
      </c>
      <c r="K88" s="1">
        <f>IF(Protokoll_2p!H94="","",IF(VALUE(LEFT(Protokoll_2p!H94,FIND(":",Protokoll_2p!H94)-1))&gt;VALUE(RIGHT(Protokoll_2p!H94,LEN(Protokoll_2p!H94)-FIND(":",Protokoll_2p!H94))),0,1))</f>
        <v>1</v>
      </c>
      <c r="L88" s="1">
        <f>IF(Protokoll_2p!I94="","",IF(VALUE(LEFT(Protokoll_2p!I94,FIND(":",Protokoll_2p!I94)-1))&gt;VALUE(RIGHT(Protokoll_2p!I94,LEN(Protokoll_2p!I94)-FIND(":",Protokoll_2p!I94))),0,1))</f>
        <v>1</v>
      </c>
      <c r="M88" s="1" t="str">
        <f>IF(Protokoll_2p!J94="","",IF(VALUE(LEFT(Protokoll_2p!J94,FIND(":",Protokoll_2p!J94)-1))&gt;VALUE(RIGHT(Protokoll_2p!J94,LEN(Protokoll_2p!J94)-FIND(":",Protokoll_2p!J94))),0,1))</f>
        <v/>
      </c>
      <c r="N88" s="1">
        <f t="shared" si="3"/>
        <v>3</v>
      </c>
    </row>
    <row r="89" spans="2:14">
      <c r="B89" s="1">
        <f>IF(Protokoll_2p!F95="","",IF(VALUE(LEFT(Protokoll_2p!F95,FIND(":",Protokoll_2p!F95)-1))&gt;VALUE(RIGHT(Protokoll_2p!F95,LEN(Protokoll_2p!F95)-FIND(":",Protokoll_2p!F95))),1,0))</f>
        <v>1</v>
      </c>
      <c r="C89" s="1">
        <f>IF(Protokoll_2p!G95="","",IF(VALUE(LEFT(Protokoll_2p!G95,FIND(":",Protokoll_2p!G95)-1))&gt;VALUE(RIGHT(Protokoll_2p!G95,LEN(Protokoll_2p!G95)-FIND(":",Protokoll_2p!G95))),1,0))</f>
        <v>1</v>
      </c>
      <c r="D89" s="1">
        <f>IF(Protokoll_2p!H95="","",IF(VALUE(LEFT(Protokoll_2p!H95,FIND(":",Protokoll_2p!H95)-1))&gt;VALUE(RIGHT(Protokoll_2p!H95,LEN(Protokoll_2p!H95)-FIND(":",Protokoll_2p!H95))),1,0))</f>
        <v>1</v>
      </c>
      <c r="E89" s="1" t="str">
        <f>IF(Protokoll_2p!I95="","",IF(VALUE(LEFT(Protokoll_2p!I95,FIND(":",Protokoll_2p!I95)-1))&gt;VALUE(RIGHT(Protokoll_2p!I95,LEN(Protokoll_2p!I95)-FIND(":",Protokoll_2p!I95))),1,0))</f>
        <v/>
      </c>
      <c r="F89" s="1" t="str">
        <f>IF(Protokoll_2p!J95="","",IF(VALUE(LEFT(Protokoll_2p!J95,FIND(":",Protokoll_2p!J95)-1))&gt;VALUE(RIGHT(Protokoll_2p!J95,LEN(Protokoll_2p!J95)-FIND(":",Protokoll_2p!J95))),1,0))</f>
        <v/>
      </c>
      <c r="G89" s="1">
        <f t="shared" si="2"/>
        <v>3</v>
      </c>
      <c r="I89" s="1">
        <f>IF(Protokoll_2p!F95="","",IF(VALUE(LEFT(Protokoll_2p!F95,FIND(":",Protokoll_2p!F95)-1))&gt;VALUE(RIGHT(Protokoll_2p!F95,LEN(Protokoll_2p!F95)-FIND(":",Protokoll_2p!F95))),0,1))</f>
        <v>0</v>
      </c>
      <c r="J89" s="1">
        <f>IF(Protokoll_2p!G95="","",IF(VALUE(LEFT(Protokoll_2p!G95,FIND(":",Protokoll_2p!G95)-1))&gt;VALUE(RIGHT(Protokoll_2p!G95,LEN(Protokoll_2p!G95)-FIND(":",Protokoll_2p!G95))),0,1))</f>
        <v>0</v>
      </c>
      <c r="K89" s="1">
        <f>IF(Protokoll_2p!H95="","",IF(VALUE(LEFT(Protokoll_2p!H95,FIND(":",Protokoll_2p!H95)-1))&gt;VALUE(RIGHT(Protokoll_2p!H95,LEN(Protokoll_2p!H95)-FIND(":",Protokoll_2p!H95))),0,1))</f>
        <v>0</v>
      </c>
      <c r="L89" s="1" t="str">
        <f>IF(Protokoll_2p!I95="","",IF(VALUE(LEFT(Protokoll_2p!I95,FIND(":",Protokoll_2p!I95)-1))&gt;VALUE(RIGHT(Protokoll_2p!I95,LEN(Protokoll_2p!I95)-FIND(":",Protokoll_2p!I95))),0,1))</f>
        <v/>
      </c>
      <c r="M89" s="1" t="str">
        <f>IF(Protokoll_2p!J95="","",IF(VALUE(LEFT(Protokoll_2p!J95,FIND(":",Protokoll_2p!J95)-1))&gt;VALUE(RIGHT(Protokoll_2p!J95,LEN(Protokoll_2p!J95)-FIND(":",Protokoll_2p!J95))),0,1))</f>
        <v/>
      </c>
      <c r="N89" s="1">
        <f t="shared" si="3"/>
        <v>0</v>
      </c>
    </row>
    <row r="90" spans="2:14">
      <c r="B90" s="1" t="str">
        <f>IF(Protokoll_2p!F96="","",IF(VALUE(LEFT(Protokoll_2p!F96,FIND(":",Protokoll_2p!F96)-1))&gt;VALUE(RIGHT(Protokoll_2p!F96,LEN(Protokoll_2p!F96)-FIND(":",Protokoll_2p!F96))),1,0))</f>
        <v/>
      </c>
      <c r="C90" s="1" t="str">
        <f>IF(Protokoll_2p!G96="","",IF(VALUE(LEFT(Protokoll_2p!G96,FIND(":",Protokoll_2p!G96)-1))&gt;VALUE(RIGHT(Protokoll_2p!G96,LEN(Protokoll_2p!G96)-FIND(":",Protokoll_2p!G96))),1,0))</f>
        <v/>
      </c>
      <c r="D90" s="1" t="str">
        <f>IF(Protokoll_2p!H96="","",IF(VALUE(LEFT(Protokoll_2p!H96,FIND(":",Protokoll_2p!H96)-1))&gt;VALUE(RIGHT(Protokoll_2p!H96,LEN(Protokoll_2p!H96)-FIND(":",Protokoll_2p!H96))),1,0))</f>
        <v/>
      </c>
      <c r="E90" s="1" t="str">
        <f>IF(Protokoll_2p!I96="","",IF(VALUE(LEFT(Protokoll_2p!I96,FIND(":",Protokoll_2p!I96)-1))&gt;VALUE(RIGHT(Protokoll_2p!I96,LEN(Protokoll_2p!I96)-FIND(":",Protokoll_2p!I96))),1,0))</f>
        <v/>
      </c>
      <c r="F90" s="1" t="str">
        <f>IF(Protokoll_2p!J96="","",IF(VALUE(LEFT(Protokoll_2p!J96,FIND(":",Protokoll_2p!J96)-1))&gt;VALUE(RIGHT(Protokoll_2p!J96,LEN(Protokoll_2p!J96)-FIND(":",Protokoll_2p!J96))),1,0))</f>
        <v/>
      </c>
      <c r="G90" s="1" t="str">
        <f t="shared" si="2"/>
        <v/>
      </c>
      <c r="I90" s="1" t="str">
        <f>IF(Protokoll_2p!F96="","",IF(VALUE(LEFT(Protokoll_2p!F96,FIND(":",Protokoll_2p!F96)-1))&gt;VALUE(RIGHT(Protokoll_2p!F96,LEN(Protokoll_2p!F96)-FIND(":",Protokoll_2p!F96))),0,1))</f>
        <v/>
      </c>
      <c r="J90" s="1" t="str">
        <f>IF(Protokoll_2p!G96="","",IF(VALUE(LEFT(Protokoll_2p!G96,FIND(":",Protokoll_2p!G96)-1))&gt;VALUE(RIGHT(Protokoll_2p!G96,LEN(Protokoll_2p!G96)-FIND(":",Protokoll_2p!G96))),0,1))</f>
        <v/>
      </c>
      <c r="K90" s="1" t="str">
        <f>IF(Protokoll_2p!H96="","",IF(VALUE(LEFT(Protokoll_2p!H96,FIND(":",Protokoll_2p!H96)-1))&gt;VALUE(RIGHT(Protokoll_2p!H96,LEN(Protokoll_2p!H96)-FIND(":",Protokoll_2p!H96))),0,1))</f>
        <v/>
      </c>
      <c r="L90" s="1" t="str">
        <f>IF(Protokoll_2p!I96="","",IF(VALUE(LEFT(Protokoll_2p!I96,FIND(":",Protokoll_2p!I96)-1))&gt;VALUE(RIGHT(Protokoll_2p!I96,LEN(Protokoll_2p!I96)-FIND(":",Protokoll_2p!I96))),0,1))</f>
        <v/>
      </c>
      <c r="M90" s="1" t="str">
        <f>IF(Protokoll_2p!J96="","",IF(VALUE(LEFT(Protokoll_2p!J96,FIND(":",Protokoll_2p!J96)-1))&gt;VALUE(RIGHT(Protokoll_2p!J96,LEN(Protokoll_2p!J96)-FIND(":",Protokoll_2p!J96))),0,1))</f>
        <v/>
      </c>
      <c r="N90" s="1" t="str">
        <f t="shared" si="3"/>
        <v/>
      </c>
    </row>
    <row r="91" spans="2:14">
      <c r="B91" s="1" t="e">
        <f>IF(Protokoll_2p!F97="","",IF(VALUE(LEFT(Protokoll_2p!F97,FIND(":",Protokoll_2p!F97)-1))&gt;VALUE(RIGHT(Protokoll_2p!F97,LEN(Protokoll_2p!F97)-FIND(":",Protokoll_2p!F97))),1,0))</f>
        <v>#VALUE!</v>
      </c>
      <c r="C91" s="1" t="e">
        <f>IF(Protokoll_2p!G97="","",IF(VALUE(LEFT(Protokoll_2p!G97,FIND(":",Protokoll_2p!G97)-1))&gt;VALUE(RIGHT(Protokoll_2p!G97,LEN(Protokoll_2p!G97)-FIND(":",Protokoll_2p!G97))),1,0))</f>
        <v>#VALUE!</v>
      </c>
      <c r="D91" s="1" t="e">
        <f>IF(Protokoll_2p!H97="","",IF(VALUE(LEFT(Protokoll_2p!H97,FIND(":",Protokoll_2p!H97)-1))&gt;VALUE(RIGHT(Protokoll_2p!H97,LEN(Protokoll_2p!H97)-FIND(":",Protokoll_2p!H97))),1,0))</f>
        <v>#VALUE!</v>
      </c>
      <c r="E91" s="1" t="e">
        <f>IF(Protokoll_2p!I97="","",IF(VALUE(LEFT(Protokoll_2p!I97,FIND(":",Protokoll_2p!I97)-1))&gt;VALUE(RIGHT(Protokoll_2p!I97,LEN(Protokoll_2p!I97)-FIND(":",Protokoll_2p!I97))),1,0))</f>
        <v>#VALUE!</v>
      </c>
      <c r="F91" s="1" t="e">
        <f>IF(Protokoll_2p!J97="","",IF(VALUE(LEFT(Protokoll_2p!J97,FIND(":",Protokoll_2p!J97)-1))&gt;VALUE(RIGHT(Protokoll_2p!J97,LEN(Protokoll_2p!J97)-FIND(":",Protokoll_2p!J97))),1,0))</f>
        <v>#VALUE!</v>
      </c>
      <c r="G91" s="1" t="e">
        <f t="shared" si="2"/>
        <v>#VALUE!</v>
      </c>
      <c r="I91" s="1" t="e">
        <f>IF(Protokoll_2p!F97="","",IF(VALUE(LEFT(Protokoll_2p!F97,FIND(":",Protokoll_2p!F97)-1))&gt;VALUE(RIGHT(Protokoll_2p!F97,LEN(Protokoll_2p!F97)-FIND(":",Protokoll_2p!F97))),0,1))</f>
        <v>#VALUE!</v>
      </c>
      <c r="J91" s="1" t="e">
        <f>IF(Protokoll_2p!G97="","",IF(VALUE(LEFT(Protokoll_2p!G97,FIND(":",Protokoll_2p!G97)-1))&gt;VALUE(RIGHT(Protokoll_2p!G97,LEN(Protokoll_2p!G97)-FIND(":",Protokoll_2p!G97))),0,1))</f>
        <v>#VALUE!</v>
      </c>
      <c r="K91" s="1" t="e">
        <f>IF(Protokoll_2p!H97="","",IF(VALUE(LEFT(Protokoll_2p!H97,FIND(":",Protokoll_2p!H97)-1))&gt;VALUE(RIGHT(Protokoll_2p!H97,LEN(Protokoll_2p!H97)-FIND(":",Protokoll_2p!H97))),0,1))</f>
        <v>#VALUE!</v>
      </c>
      <c r="L91" s="1" t="e">
        <f>IF(Protokoll_2p!I97="","",IF(VALUE(LEFT(Protokoll_2p!I97,FIND(":",Protokoll_2p!I97)-1))&gt;VALUE(RIGHT(Protokoll_2p!I97,LEN(Protokoll_2p!I97)-FIND(":",Protokoll_2p!I97))),0,1))</f>
        <v>#VALUE!</v>
      </c>
      <c r="M91" s="1" t="e">
        <f>IF(Protokoll_2p!J97="","",IF(VALUE(LEFT(Protokoll_2p!J97,FIND(":",Protokoll_2p!J97)-1))&gt;VALUE(RIGHT(Protokoll_2p!J97,LEN(Protokoll_2p!J97)-FIND(":",Protokoll_2p!J97))),0,1))</f>
        <v>#VALUE!</v>
      </c>
      <c r="N91" s="1" t="e">
        <f t="shared" si="3"/>
        <v>#VALUE!</v>
      </c>
    </row>
    <row r="92" spans="2:14">
      <c r="B92" s="1">
        <f>IF(Protokoll_2p!F98="","",IF(VALUE(LEFT(Protokoll_2p!F98,FIND(":",Protokoll_2p!F98)-1))&gt;VALUE(RIGHT(Protokoll_2p!F98,LEN(Protokoll_2p!F98)-FIND(":",Protokoll_2p!F98))),1,0))</f>
        <v>1</v>
      </c>
      <c r="C92" s="1">
        <f>IF(Protokoll_2p!G98="","",IF(VALUE(LEFT(Protokoll_2p!G98,FIND(":",Protokoll_2p!G98)-1))&gt;VALUE(RIGHT(Protokoll_2p!G98,LEN(Protokoll_2p!G98)-FIND(":",Protokoll_2p!G98))),1,0))</f>
        <v>1</v>
      </c>
      <c r="D92" s="1">
        <f>IF(Protokoll_2p!H98="","",IF(VALUE(LEFT(Protokoll_2p!H98,FIND(":",Protokoll_2p!H98)-1))&gt;VALUE(RIGHT(Protokoll_2p!H98,LEN(Protokoll_2p!H98)-FIND(":",Protokoll_2p!H98))),1,0))</f>
        <v>1</v>
      </c>
      <c r="E92" s="1" t="str">
        <f>IF(Protokoll_2p!I98="","",IF(VALUE(LEFT(Protokoll_2p!I98,FIND(":",Protokoll_2p!I98)-1))&gt;VALUE(RIGHT(Protokoll_2p!I98,LEN(Protokoll_2p!I98)-FIND(":",Protokoll_2p!I98))),1,0))</f>
        <v/>
      </c>
      <c r="F92" s="1" t="str">
        <f>IF(Protokoll_2p!J98="","",IF(VALUE(LEFT(Protokoll_2p!J98,FIND(":",Protokoll_2p!J98)-1))&gt;VALUE(RIGHT(Protokoll_2p!J98,LEN(Protokoll_2p!J98)-FIND(":",Protokoll_2p!J98))),1,0))</f>
        <v/>
      </c>
      <c r="G92" s="1">
        <f t="shared" si="2"/>
        <v>3</v>
      </c>
      <c r="I92" s="1">
        <f>IF(Protokoll_2p!F98="","",IF(VALUE(LEFT(Protokoll_2p!F98,FIND(":",Protokoll_2p!F98)-1))&gt;VALUE(RIGHT(Protokoll_2p!F98,LEN(Protokoll_2p!F98)-FIND(":",Protokoll_2p!F98))),0,1))</f>
        <v>0</v>
      </c>
      <c r="J92" s="1">
        <f>IF(Protokoll_2p!G98="","",IF(VALUE(LEFT(Protokoll_2p!G98,FIND(":",Protokoll_2p!G98)-1))&gt;VALUE(RIGHT(Protokoll_2p!G98,LEN(Protokoll_2p!G98)-FIND(":",Protokoll_2p!G98))),0,1))</f>
        <v>0</v>
      </c>
      <c r="K92" s="1">
        <f>IF(Protokoll_2p!H98="","",IF(VALUE(LEFT(Protokoll_2p!H98,FIND(":",Protokoll_2p!H98)-1))&gt;VALUE(RIGHT(Protokoll_2p!H98,LEN(Protokoll_2p!H98)-FIND(":",Protokoll_2p!H98))),0,1))</f>
        <v>0</v>
      </c>
      <c r="L92" s="1" t="str">
        <f>IF(Protokoll_2p!I98="","",IF(VALUE(LEFT(Protokoll_2p!I98,FIND(":",Protokoll_2p!I98)-1))&gt;VALUE(RIGHT(Protokoll_2p!I98,LEN(Protokoll_2p!I98)-FIND(":",Protokoll_2p!I98))),0,1))</f>
        <v/>
      </c>
      <c r="M92" s="1" t="str">
        <f>IF(Protokoll_2p!J98="","",IF(VALUE(LEFT(Protokoll_2p!J98,FIND(":",Protokoll_2p!J98)-1))&gt;VALUE(RIGHT(Protokoll_2p!J98,LEN(Protokoll_2p!J98)-FIND(":",Protokoll_2p!J98))),0,1))</f>
        <v/>
      </c>
      <c r="N92" s="1">
        <f t="shared" si="3"/>
        <v>0</v>
      </c>
    </row>
    <row r="93" spans="2:14">
      <c r="B93" s="1">
        <f>IF(Protokoll_2p!F99="","",IF(VALUE(LEFT(Protokoll_2p!F99,FIND(":",Protokoll_2p!F99)-1))&gt;VALUE(RIGHT(Protokoll_2p!F99,LEN(Protokoll_2p!F99)-FIND(":",Protokoll_2p!F99))),1,0))</f>
        <v>1</v>
      </c>
      <c r="C93" s="1">
        <f>IF(Protokoll_2p!G99="","",IF(VALUE(LEFT(Protokoll_2p!G99,FIND(":",Protokoll_2p!G99)-1))&gt;VALUE(RIGHT(Protokoll_2p!G99,LEN(Protokoll_2p!G99)-FIND(":",Protokoll_2p!G99))),1,0))</f>
        <v>1</v>
      </c>
      <c r="D93" s="1">
        <f>IF(Protokoll_2p!H99="","",IF(VALUE(LEFT(Protokoll_2p!H99,FIND(":",Protokoll_2p!H99)-1))&gt;VALUE(RIGHT(Protokoll_2p!H99,LEN(Protokoll_2p!H99)-FIND(":",Protokoll_2p!H99))),1,0))</f>
        <v>0</v>
      </c>
      <c r="E93" s="1">
        <f>IF(Protokoll_2p!I99="","",IF(VALUE(LEFT(Protokoll_2p!I99,FIND(":",Protokoll_2p!I99)-1))&gt;VALUE(RIGHT(Protokoll_2p!I99,LEN(Protokoll_2p!I99)-FIND(":",Protokoll_2p!I99))),1,0))</f>
        <v>1</v>
      </c>
      <c r="F93" s="1" t="str">
        <f>IF(Protokoll_2p!J99="","",IF(VALUE(LEFT(Protokoll_2p!J99,FIND(":",Protokoll_2p!J99)-1))&gt;VALUE(RIGHT(Protokoll_2p!J99,LEN(Protokoll_2p!J99)-FIND(":",Protokoll_2p!J99))),1,0))</f>
        <v/>
      </c>
      <c r="G93" s="1">
        <f t="shared" si="2"/>
        <v>3</v>
      </c>
      <c r="I93" s="1">
        <f>IF(Protokoll_2p!F99="","",IF(VALUE(LEFT(Protokoll_2p!F99,FIND(":",Protokoll_2p!F99)-1))&gt;VALUE(RIGHT(Protokoll_2p!F99,LEN(Protokoll_2p!F99)-FIND(":",Protokoll_2p!F99))),0,1))</f>
        <v>0</v>
      </c>
      <c r="J93" s="1">
        <f>IF(Protokoll_2p!G99="","",IF(VALUE(LEFT(Protokoll_2p!G99,FIND(":",Protokoll_2p!G99)-1))&gt;VALUE(RIGHT(Protokoll_2p!G99,LEN(Protokoll_2p!G99)-FIND(":",Protokoll_2p!G99))),0,1))</f>
        <v>0</v>
      </c>
      <c r="K93" s="1">
        <f>IF(Protokoll_2p!H99="","",IF(VALUE(LEFT(Protokoll_2p!H99,FIND(":",Protokoll_2p!H99)-1))&gt;VALUE(RIGHT(Protokoll_2p!H99,LEN(Protokoll_2p!H99)-FIND(":",Protokoll_2p!H99))),0,1))</f>
        <v>1</v>
      </c>
      <c r="L93" s="1">
        <f>IF(Protokoll_2p!I99="","",IF(VALUE(LEFT(Protokoll_2p!I99,FIND(":",Protokoll_2p!I99)-1))&gt;VALUE(RIGHT(Protokoll_2p!I99,LEN(Protokoll_2p!I99)-FIND(":",Protokoll_2p!I99))),0,1))</f>
        <v>0</v>
      </c>
      <c r="M93" s="1" t="str">
        <f>IF(Protokoll_2p!J99="","",IF(VALUE(LEFT(Protokoll_2p!J99,FIND(":",Protokoll_2p!J99)-1))&gt;VALUE(RIGHT(Protokoll_2p!J99,LEN(Protokoll_2p!J99)-FIND(":",Protokoll_2p!J99))),0,1))</f>
        <v/>
      </c>
      <c r="N93" s="1">
        <f t="shared" si="3"/>
        <v>1</v>
      </c>
    </row>
    <row r="94" spans="2:14">
      <c r="B94" s="1">
        <f>IF(Protokoll_2p!F100="","",IF(VALUE(LEFT(Protokoll_2p!F100,FIND(":",Protokoll_2p!F100)-1))&gt;VALUE(RIGHT(Protokoll_2p!F100,LEN(Protokoll_2p!F100)-FIND(":",Protokoll_2p!F100))),1,0))</f>
        <v>0</v>
      </c>
      <c r="C94" s="1">
        <f>IF(Protokoll_2p!G100="","",IF(VALUE(LEFT(Protokoll_2p!G100,FIND(":",Protokoll_2p!G100)-1))&gt;VALUE(RIGHT(Protokoll_2p!G100,LEN(Protokoll_2p!G100)-FIND(":",Protokoll_2p!G100))),1,0))</f>
        <v>0</v>
      </c>
      <c r="D94" s="1">
        <f>IF(Protokoll_2p!H100="","",IF(VALUE(LEFT(Protokoll_2p!H100,FIND(":",Protokoll_2p!H100)-1))&gt;VALUE(RIGHT(Protokoll_2p!H100,LEN(Protokoll_2p!H100)-FIND(":",Protokoll_2p!H100))),1,0))</f>
        <v>0</v>
      </c>
      <c r="E94" s="1" t="str">
        <f>IF(Protokoll_2p!I100="","",IF(VALUE(LEFT(Protokoll_2p!I100,FIND(":",Protokoll_2p!I100)-1))&gt;VALUE(RIGHT(Protokoll_2p!I100,LEN(Protokoll_2p!I100)-FIND(":",Protokoll_2p!I100))),1,0))</f>
        <v/>
      </c>
      <c r="F94" s="1" t="str">
        <f>IF(Protokoll_2p!J100="","",IF(VALUE(LEFT(Protokoll_2p!J100,FIND(":",Protokoll_2p!J100)-1))&gt;VALUE(RIGHT(Protokoll_2p!J100,LEN(Protokoll_2p!J100)-FIND(":",Protokoll_2p!J100))),1,0))</f>
        <v/>
      </c>
      <c r="G94" s="1">
        <f t="shared" si="2"/>
        <v>0</v>
      </c>
      <c r="I94" s="1">
        <f>IF(Protokoll_2p!F100="","",IF(VALUE(LEFT(Protokoll_2p!F100,FIND(":",Protokoll_2p!F100)-1))&gt;VALUE(RIGHT(Protokoll_2p!F100,LEN(Protokoll_2p!F100)-FIND(":",Protokoll_2p!F100))),0,1))</f>
        <v>1</v>
      </c>
      <c r="J94" s="1">
        <f>IF(Protokoll_2p!G100="","",IF(VALUE(LEFT(Protokoll_2p!G100,FIND(":",Protokoll_2p!G100)-1))&gt;VALUE(RIGHT(Protokoll_2p!G100,LEN(Protokoll_2p!G100)-FIND(":",Protokoll_2p!G100))),0,1))</f>
        <v>1</v>
      </c>
      <c r="K94" s="1">
        <f>IF(Protokoll_2p!H100="","",IF(VALUE(LEFT(Protokoll_2p!H100,FIND(":",Protokoll_2p!H100)-1))&gt;VALUE(RIGHT(Protokoll_2p!H100,LEN(Protokoll_2p!H100)-FIND(":",Protokoll_2p!H100))),0,1))</f>
        <v>1</v>
      </c>
      <c r="L94" s="1" t="str">
        <f>IF(Protokoll_2p!I100="","",IF(VALUE(LEFT(Protokoll_2p!I100,FIND(":",Protokoll_2p!I100)-1))&gt;VALUE(RIGHT(Protokoll_2p!I100,LEN(Protokoll_2p!I100)-FIND(":",Protokoll_2p!I100))),0,1))</f>
        <v/>
      </c>
      <c r="M94" s="1" t="str">
        <f>IF(Protokoll_2p!J100="","",IF(VALUE(LEFT(Protokoll_2p!J100,FIND(":",Protokoll_2p!J100)-1))&gt;VALUE(RIGHT(Protokoll_2p!J100,LEN(Protokoll_2p!J100)-FIND(":",Protokoll_2p!J100))),0,1))</f>
        <v/>
      </c>
      <c r="N94" s="1">
        <f t="shared" si="3"/>
        <v>3</v>
      </c>
    </row>
    <row r="95" spans="2:14">
      <c r="B95" s="1">
        <f>IF(Protokoll_2p!F101="","",IF(VALUE(LEFT(Protokoll_2p!F101,FIND(":",Protokoll_2p!F101)-1))&gt;VALUE(RIGHT(Protokoll_2p!F101,LEN(Protokoll_2p!F101)-FIND(":",Protokoll_2p!F101))),1,0))</f>
        <v>1</v>
      </c>
      <c r="C95" s="1">
        <f>IF(Protokoll_2p!G101="","",IF(VALUE(LEFT(Protokoll_2p!G101,FIND(":",Protokoll_2p!G101)-1))&gt;VALUE(RIGHT(Protokoll_2p!G101,LEN(Protokoll_2p!G101)-FIND(":",Protokoll_2p!G101))),1,0))</f>
        <v>1</v>
      </c>
      <c r="D95" s="1">
        <f>IF(Protokoll_2p!H101="","",IF(VALUE(LEFT(Protokoll_2p!H101,FIND(":",Protokoll_2p!H101)-1))&gt;VALUE(RIGHT(Protokoll_2p!H101,LEN(Protokoll_2p!H101)-FIND(":",Protokoll_2p!H101))),1,0))</f>
        <v>1</v>
      </c>
      <c r="E95" s="1" t="str">
        <f>IF(Protokoll_2p!I101="","",IF(VALUE(LEFT(Protokoll_2p!I101,FIND(":",Protokoll_2p!I101)-1))&gt;VALUE(RIGHT(Protokoll_2p!I101,LEN(Protokoll_2p!I101)-FIND(":",Protokoll_2p!I101))),1,0))</f>
        <v/>
      </c>
      <c r="F95" s="1" t="str">
        <f>IF(Protokoll_2p!J101="","",IF(VALUE(LEFT(Protokoll_2p!J101,FIND(":",Protokoll_2p!J101)-1))&gt;VALUE(RIGHT(Protokoll_2p!J101,LEN(Protokoll_2p!J101)-FIND(":",Protokoll_2p!J101))),1,0))</f>
        <v/>
      </c>
      <c r="G95" s="1">
        <f t="shared" si="2"/>
        <v>3</v>
      </c>
      <c r="I95" s="1">
        <f>IF(Protokoll_2p!F101="","",IF(VALUE(LEFT(Protokoll_2p!F101,FIND(":",Protokoll_2p!F101)-1))&gt;VALUE(RIGHT(Protokoll_2p!F101,LEN(Protokoll_2p!F101)-FIND(":",Protokoll_2p!F101))),0,1))</f>
        <v>0</v>
      </c>
      <c r="J95" s="1">
        <f>IF(Protokoll_2p!G101="","",IF(VALUE(LEFT(Protokoll_2p!G101,FIND(":",Protokoll_2p!G101)-1))&gt;VALUE(RIGHT(Protokoll_2p!G101,LEN(Protokoll_2p!G101)-FIND(":",Protokoll_2p!G101))),0,1))</f>
        <v>0</v>
      </c>
      <c r="K95" s="1">
        <f>IF(Protokoll_2p!H101="","",IF(VALUE(LEFT(Protokoll_2p!H101,FIND(":",Protokoll_2p!H101)-1))&gt;VALUE(RIGHT(Protokoll_2p!H101,LEN(Protokoll_2p!H101)-FIND(":",Protokoll_2p!H101))),0,1))</f>
        <v>0</v>
      </c>
      <c r="L95" s="1" t="str">
        <f>IF(Protokoll_2p!I101="","",IF(VALUE(LEFT(Protokoll_2p!I101,FIND(":",Protokoll_2p!I101)-1))&gt;VALUE(RIGHT(Protokoll_2p!I101,LEN(Protokoll_2p!I101)-FIND(":",Protokoll_2p!I101))),0,1))</f>
        <v/>
      </c>
      <c r="M95" s="1" t="str">
        <f>IF(Protokoll_2p!J101="","",IF(VALUE(LEFT(Protokoll_2p!J101,FIND(":",Protokoll_2p!J101)-1))&gt;VALUE(RIGHT(Protokoll_2p!J101,LEN(Protokoll_2p!J101)-FIND(":",Protokoll_2p!J101))),0,1))</f>
        <v/>
      </c>
      <c r="N95" s="1">
        <f t="shared" si="3"/>
        <v>0</v>
      </c>
    </row>
    <row r="96" spans="2:14">
      <c r="B96" s="1" t="str">
        <f>IF(Protokoll_2p!F102="","",IF(VALUE(LEFT(Protokoll_2p!F102,FIND(":",Protokoll_2p!F102)-1))&gt;VALUE(RIGHT(Protokoll_2p!F102,LEN(Protokoll_2p!F102)-FIND(":",Protokoll_2p!F102))),1,0))</f>
        <v/>
      </c>
      <c r="C96" s="1" t="str">
        <f>IF(Protokoll_2p!G102="","",IF(VALUE(LEFT(Protokoll_2p!G102,FIND(":",Protokoll_2p!G102)-1))&gt;VALUE(RIGHT(Protokoll_2p!G102,LEN(Protokoll_2p!G102)-FIND(":",Protokoll_2p!G102))),1,0))</f>
        <v/>
      </c>
      <c r="D96" s="1" t="str">
        <f>IF(Protokoll_2p!H102="","",IF(VALUE(LEFT(Protokoll_2p!H102,FIND(":",Protokoll_2p!H102)-1))&gt;VALUE(RIGHT(Protokoll_2p!H102,LEN(Protokoll_2p!H102)-FIND(":",Protokoll_2p!H102))),1,0))</f>
        <v/>
      </c>
      <c r="E96" s="1" t="str">
        <f>IF(Protokoll_2p!I102="","",IF(VALUE(LEFT(Protokoll_2p!I102,FIND(":",Protokoll_2p!I102)-1))&gt;VALUE(RIGHT(Protokoll_2p!I102,LEN(Protokoll_2p!I102)-FIND(":",Protokoll_2p!I102))),1,0))</f>
        <v/>
      </c>
      <c r="F96" s="1" t="str">
        <f>IF(Protokoll_2p!J102="","",IF(VALUE(LEFT(Protokoll_2p!J102,FIND(":",Protokoll_2p!J102)-1))&gt;VALUE(RIGHT(Protokoll_2p!J102,LEN(Protokoll_2p!J102)-FIND(":",Protokoll_2p!J102))),1,0))</f>
        <v/>
      </c>
      <c r="G96" s="1" t="str">
        <f t="shared" si="2"/>
        <v/>
      </c>
      <c r="I96" s="1" t="str">
        <f>IF(Protokoll_2p!F102="","",IF(VALUE(LEFT(Protokoll_2p!F102,FIND(":",Protokoll_2p!F102)-1))&gt;VALUE(RIGHT(Protokoll_2p!F102,LEN(Protokoll_2p!F102)-FIND(":",Protokoll_2p!F102))),0,1))</f>
        <v/>
      </c>
      <c r="J96" s="1" t="str">
        <f>IF(Protokoll_2p!G102="","",IF(VALUE(LEFT(Protokoll_2p!G102,FIND(":",Protokoll_2p!G102)-1))&gt;VALUE(RIGHT(Protokoll_2p!G102,LEN(Protokoll_2p!G102)-FIND(":",Protokoll_2p!G102))),0,1))</f>
        <v/>
      </c>
      <c r="K96" s="1" t="str">
        <f>IF(Protokoll_2p!H102="","",IF(VALUE(LEFT(Protokoll_2p!H102,FIND(":",Protokoll_2p!H102)-1))&gt;VALUE(RIGHT(Protokoll_2p!H102,LEN(Protokoll_2p!H102)-FIND(":",Protokoll_2p!H102))),0,1))</f>
        <v/>
      </c>
      <c r="L96" s="1" t="str">
        <f>IF(Protokoll_2p!I102="","",IF(VALUE(LEFT(Protokoll_2p!I102,FIND(":",Protokoll_2p!I102)-1))&gt;VALUE(RIGHT(Protokoll_2p!I102,LEN(Protokoll_2p!I102)-FIND(":",Protokoll_2p!I102))),0,1))</f>
        <v/>
      </c>
      <c r="M96" s="1" t="str">
        <f>IF(Protokoll_2p!J102="","",IF(VALUE(LEFT(Protokoll_2p!J102,FIND(":",Protokoll_2p!J102)-1))&gt;VALUE(RIGHT(Protokoll_2p!J102,LEN(Protokoll_2p!J102)-FIND(":",Protokoll_2p!J102))),0,1))</f>
        <v/>
      </c>
      <c r="N96" s="1" t="str">
        <f t="shared" si="3"/>
        <v/>
      </c>
    </row>
    <row r="97" spans="2:14">
      <c r="B97" s="1">
        <f>IF(Protokoll_2p!F103="","",IF(VALUE(LEFT(Protokoll_2p!F103,FIND(":",Protokoll_2p!F103)-1))&gt;VALUE(RIGHT(Protokoll_2p!F103,LEN(Protokoll_2p!F103)-FIND(":",Protokoll_2p!F103))),1,0))</f>
        <v>0</v>
      </c>
      <c r="C97" s="1">
        <f>IF(Protokoll_2p!G103="","",IF(VALUE(LEFT(Protokoll_2p!G103,FIND(":",Protokoll_2p!G103)-1))&gt;VALUE(RIGHT(Protokoll_2p!G103,LEN(Protokoll_2p!G103)-FIND(":",Protokoll_2p!G103))),1,0))</f>
        <v>1</v>
      </c>
      <c r="D97" s="1">
        <f>IF(Protokoll_2p!H103="","",IF(VALUE(LEFT(Protokoll_2p!H103,FIND(":",Protokoll_2p!H103)-1))&gt;VALUE(RIGHT(Protokoll_2p!H103,LEN(Protokoll_2p!H103)-FIND(":",Protokoll_2p!H103))),1,0))</f>
        <v>0</v>
      </c>
      <c r="E97" s="1">
        <f>IF(Protokoll_2p!I103="","",IF(VALUE(LEFT(Protokoll_2p!I103,FIND(":",Protokoll_2p!I103)-1))&gt;VALUE(RIGHT(Protokoll_2p!I103,LEN(Protokoll_2p!I103)-FIND(":",Protokoll_2p!I103))),1,0))</f>
        <v>1</v>
      </c>
      <c r="F97" s="1">
        <f>IF(Protokoll_2p!J103="","",IF(VALUE(LEFT(Protokoll_2p!J103,FIND(":",Protokoll_2p!J103)-1))&gt;VALUE(RIGHT(Protokoll_2p!J103,LEN(Protokoll_2p!J103)-FIND(":",Protokoll_2p!J103))),1,0))</f>
        <v>0</v>
      </c>
      <c r="G97" s="1">
        <f t="shared" si="2"/>
        <v>2</v>
      </c>
      <c r="I97" s="1">
        <f>IF(Protokoll_2p!F103="","",IF(VALUE(LEFT(Protokoll_2p!F103,FIND(":",Protokoll_2p!F103)-1))&gt;VALUE(RIGHT(Protokoll_2p!F103,LEN(Protokoll_2p!F103)-FIND(":",Protokoll_2p!F103))),0,1))</f>
        <v>1</v>
      </c>
      <c r="J97" s="1">
        <f>IF(Protokoll_2p!G103="","",IF(VALUE(LEFT(Protokoll_2p!G103,FIND(":",Protokoll_2p!G103)-1))&gt;VALUE(RIGHT(Protokoll_2p!G103,LEN(Protokoll_2p!G103)-FIND(":",Protokoll_2p!G103))),0,1))</f>
        <v>0</v>
      </c>
      <c r="K97" s="1">
        <f>IF(Protokoll_2p!H103="","",IF(VALUE(LEFT(Protokoll_2p!H103,FIND(":",Protokoll_2p!H103)-1))&gt;VALUE(RIGHT(Protokoll_2p!H103,LEN(Protokoll_2p!H103)-FIND(":",Protokoll_2p!H103))),0,1))</f>
        <v>1</v>
      </c>
      <c r="L97" s="1">
        <f>IF(Protokoll_2p!I103="","",IF(VALUE(LEFT(Protokoll_2p!I103,FIND(":",Protokoll_2p!I103)-1))&gt;VALUE(RIGHT(Protokoll_2p!I103,LEN(Protokoll_2p!I103)-FIND(":",Protokoll_2p!I103))),0,1))</f>
        <v>0</v>
      </c>
      <c r="M97" s="1">
        <f>IF(Protokoll_2p!J103="","",IF(VALUE(LEFT(Protokoll_2p!J103,FIND(":",Protokoll_2p!J103)-1))&gt;VALUE(RIGHT(Protokoll_2p!J103,LEN(Protokoll_2p!J103)-FIND(":",Protokoll_2p!J103))),0,1))</f>
        <v>1</v>
      </c>
      <c r="N97" s="1">
        <f t="shared" si="3"/>
        <v>3</v>
      </c>
    </row>
    <row r="98" spans="2:14">
      <c r="B98" s="1">
        <f>IF(Protokoll_2p!F104="","",IF(VALUE(LEFT(Protokoll_2p!F104,FIND(":",Protokoll_2p!F104)-1))&gt;VALUE(RIGHT(Protokoll_2p!F104,LEN(Protokoll_2p!F104)-FIND(":",Protokoll_2p!F104))),1,0))</f>
        <v>1</v>
      </c>
      <c r="C98" s="1">
        <f>IF(Protokoll_2p!G104="","",IF(VALUE(LEFT(Protokoll_2p!G104,FIND(":",Protokoll_2p!G104)-1))&gt;VALUE(RIGHT(Protokoll_2p!G104,LEN(Protokoll_2p!G104)-FIND(":",Protokoll_2p!G104))),1,0))</f>
        <v>1</v>
      </c>
      <c r="D98" s="1">
        <f>IF(Protokoll_2p!H104="","",IF(VALUE(LEFT(Protokoll_2p!H104,FIND(":",Protokoll_2p!H104)-1))&gt;VALUE(RIGHT(Protokoll_2p!H104,LEN(Protokoll_2p!H104)-FIND(":",Protokoll_2p!H104))),1,0))</f>
        <v>1</v>
      </c>
      <c r="E98" s="1" t="str">
        <f>IF(Protokoll_2p!I104="","",IF(VALUE(LEFT(Protokoll_2p!I104,FIND(":",Protokoll_2p!I104)-1))&gt;VALUE(RIGHT(Protokoll_2p!I104,LEN(Protokoll_2p!I104)-FIND(":",Protokoll_2p!I104))),1,0))</f>
        <v/>
      </c>
      <c r="F98" s="1" t="str">
        <f>IF(Protokoll_2p!J104="","",IF(VALUE(LEFT(Protokoll_2p!J104,FIND(":",Protokoll_2p!J104)-1))&gt;VALUE(RIGHT(Protokoll_2p!J104,LEN(Protokoll_2p!J104)-FIND(":",Protokoll_2p!J104))),1,0))</f>
        <v/>
      </c>
      <c r="G98" s="1">
        <f t="shared" si="2"/>
        <v>3</v>
      </c>
      <c r="I98" s="1">
        <f>IF(Protokoll_2p!F104="","",IF(VALUE(LEFT(Protokoll_2p!F104,FIND(":",Protokoll_2p!F104)-1))&gt;VALUE(RIGHT(Protokoll_2p!F104,LEN(Protokoll_2p!F104)-FIND(":",Protokoll_2p!F104))),0,1))</f>
        <v>0</v>
      </c>
      <c r="J98" s="1">
        <f>IF(Protokoll_2p!G104="","",IF(VALUE(LEFT(Protokoll_2p!G104,FIND(":",Protokoll_2p!G104)-1))&gt;VALUE(RIGHT(Protokoll_2p!G104,LEN(Protokoll_2p!G104)-FIND(":",Protokoll_2p!G104))),0,1))</f>
        <v>0</v>
      </c>
      <c r="K98" s="1">
        <f>IF(Protokoll_2p!H104="","",IF(VALUE(LEFT(Protokoll_2p!H104,FIND(":",Protokoll_2p!H104)-1))&gt;VALUE(RIGHT(Protokoll_2p!H104,LEN(Protokoll_2p!H104)-FIND(":",Protokoll_2p!H104))),0,1))</f>
        <v>0</v>
      </c>
      <c r="L98" s="1" t="str">
        <f>IF(Protokoll_2p!I104="","",IF(VALUE(LEFT(Protokoll_2p!I104,FIND(":",Protokoll_2p!I104)-1))&gt;VALUE(RIGHT(Protokoll_2p!I104,LEN(Protokoll_2p!I104)-FIND(":",Protokoll_2p!I104))),0,1))</f>
        <v/>
      </c>
      <c r="M98" s="1" t="str">
        <f>IF(Protokoll_2p!J104="","",IF(VALUE(LEFT(Protokoll_2p!J104,FIND(":",Protokoll_2p!J104)-1))&gt;VALUE(RIGHT(Protokoll_2p!J104,LEN(Protokoll_2p!J104)-FIND(":",Protokoll_2p!J104))),0,1))</f>
        <v/>
      </c>
      <c r="N98" s="1">
        <f t="shared" si="3"/>
        <v>0</v>
      </c>
    </row>
    <row r="99" spans="2:14">
      <c r="B99" s="1" t="str">
        <f>IF(Protokoll_2p!F105="","",IF(VALUE(LEFT(Protokoll_2p!F105,FIND(":",Protokoll_2p!F105)-1))&gt;VALUE(RIGHT(Protokoll_2p!F105,LEN(Protokoll_2p!F105)-FIND(":",Protokoll_2p!F105))),1,0))</f>
        <v/>
      </c>
      <c r="C99" s="1" t="str">
        <f>IF(Protokoll_2p!G105="","",IF(VALUE(LEFT(Protokoll_2p!G105,FIND(":",Protokoll_2p!G105)-1))&gt;VALUE(RIGHT(Protokoll_2p!G105,LEN(Protokoll_2p!G105)-FIND(":",Protokoll_2p!G105))),1,0))</f>
        <v/>
      </c>
      <c r="D99" s="1" t="str">
        <f>IF(Protokoll_2p!H105="","",IF(VALUE(LEFT(Protokoll_2p!H105,FIND(":",Protokoll_2p!H105)-1))&gt;VALUE(RIGHT(Protokoll_2p!H105,LEN(Protokoll_2p!H105)-FIND(":",Protokoll_2p!H105))),1,0))</f>
        <v/>
      </c>
      <c r="E99" s="1" t="str">
        <f>IF(Protokoll_2p!I105="","",IF(VALUE(LEFT(Protokoll_2p!I105,FIND(":",Protokoll_2p!I105)-1))&gt;VALUE(RIGHT(Protokoll_2p!I105,LEN(Protokoll_2p!I105)-FIND(":",Protokoll_2p!I105))),1,0))</f>
        <v/>
      </c>
      <c r="F99" s="1" t="str">
        <f>IF(Protokoll_2p!J105="","",IF(VALUE(LEFT(Protokoll_2p!J105,FIND(":",Protokoll_2p!J105)-1))&gt;VALUE(RIGHT(Protokoll_2p!J105,LEN(Protokoll_2p!J105)-FIND(":",Protokoll_2p!J105))),1,0))</f>
        <v/>
      </c>
      <c r="G99" s="1" t="str">
        <f t="shared" si="2"/>
        <v/>
      </c>
      <c r="I99" s="1" t="str">
        <f>IF(Protokoll_2p!F105="","",IF(VALUE(LEFT(Protokoll_2p!F105,FIND(":",Protokoll_2p!F105)-1))&gt;VALUE(RIGHT(Protokoll_2p!F105,LEN(Protokoll_2p!F105)-FIND(":",Protokoll_2p!F105))),0,1))</f>
        <v/>
      </c>
      <c r="J99" s="1" t="str">
        <f>IF(Protokoll_2p!G105="","",IF(VALUE(LEFT(Protokoll_2p!G105,FIND(":",Protokoll_2p!G105)-1))&gt;VALUE(RIGHT(Protokoll_2p!G105,LEN(Protokoll_2p!G105)-FIND(":",Protokoll_2p!G105))),0,1))</f>
        <v/>
      </c>
      <c r="K99" s="1" t="str">
        <f>IF(Protokoll_2p!H105="","",IF(VALUE(LEFT(Protokoll_2p!H105,FIND(":",Protokoll_2p!H105)-1))&gt;VALUE(RIGHT(Protokoll_2p!H105,LEN(Protokoll_2p!H105)-FIND(":",Protokoll_2p!H105))),0,1))</f>
        <v/>
      </c>
      <c r="L99" s="1" t="str">
        <f>IF(Protokoll_2p!I105="","",IF(VALUE(LEFT(Protokoll_2p!I105,FIND(":",Protokoll_2p!I105)-1))&gt;VALUE(RIGHT(Protokoll_2p!I105,LEN(Protokoll_2p!I105)-FIND(":",Protokoll_2p!I105))),0,1))</f>
        <v/>
      </c>
      <c r="M99" s="1" t="str">
        <f>IF(Protokoll_2p!J105="","",IF(VALUE(LEFT(Protokoll_2p!J105,FIND(":",Protokoll_2p!J105)-1))&gt;VALUE(RIGHT(Protokoll_2p!J105,LEN(Protokoll_2p!J105)-FIND(":",Protokoll_2p!J105))),0,1))</f>
        <v/>
      </c>
      <c r="N99" s="1" t="str">
        <f t="shared" si="3"/>
        <v/>
      </c>
    </row>
    <row r="100" spans="2:14">
      <c r="B100" s="1" t="str">
        <f>IF(Protokoll_2p!F106="","",IF(VALUE(LEFT(Protokoll_2p!F106,FIND(":",Protokoll_2p!F106)-1))&gt;VALUE(RIGHT(Protokoll_2p!F106,LEN(Protokoll_2p!F106)-FIND(":",Protokoll_2p!F106))),1,0))</f>
        <v/>
      </c>
      <c r="C100" s="1" t="str">
        <f>IF(Protokoll_2p!G106="","",IF(VALUE(LEFT(Protokoll_2p!G106,FIND(":",Protokoll_2p!G106)-1))&gt;VALUE(RIGHT(Protokoll_2p!G106,LEN(Protokoll_2p!G106)-FIND(":",Protokoll_2p!G106))),1,0))</f>
        <v/>
      </c>
      <c r="D100" s="1" t="str">
        <f>IF(Protokoll_2p!H106="","",IF(VALUE(LEFT(Protokoll_2p!H106,FIND(":",Protokoll_2p!H106)-1))&gt;VALUE(RIGHT(Protokoll_2p!H106,LEN(Protokoll_2p!H106)-FIND(":",Protokoll_2p!H106))),1,0))</f>
        <v/>
      </c>
      <c r="E100" s="1" t="str">
        <f>IF(Protokoll_2p!I106="","",IF(VALUE(LEFT(Protokoll_2p!I106,FIND(":",Protokoll_2p!I106)-1))&gt;VALUE(RIGHT(Protokoll_2p!I106,LEN(Protokoll_2p!I106)-FIND(":",Protokoll_2p!I106))),1,0))</f>
        <v/>
      </c>
      <c r="F100" s="1" t="str">
        <f>IF(Protokoll_2p!J106="","",IF(VALUE(LEFT(Protokoll_2p!J106,FIND(":",Protokoll_2p!J106)-1))&gt;VALUE(RIGHT(Protokoll_2p!J106,LEN(Protokoll_2p!J106)-FIND(":",Protokoll_2p!J106))),1,0))</f>
        <v/>
      </c>
      <c r="G100" s="1" t="str">
        <f t="shared" si="2"/>
        <v/>
      </c>
      <c r="I100" s="1" t="str">
        <f>IF(Protokoll_2p!F106="","",IF(VALUE(LEFT(Protokoll_2p!F106,FIND(":",Protokoll_2p!F106)-1))&gt;VALUE(RIGHT(Protokoll_2p!F106,LEN(Protokoll_2p!F106)-FIND(":",Protokoll_2p!F106))),0,1))</f>
        <v/>
      </c>
      <c r="J100" s="1" t="str">
        <f>IF(Protokoll_2p!G106="","",IF(VALUE(LEFT(Protokoll_2p!G106,FIND(":",Protokoll_2p!G106)-1))&gt;VALUE(RIGHT(Protokoll_2p!G106,LEN(Protokoll_2p!G106)-FIND(":",Protokoll_2p!G106))),0,1))</f>
        <v/>
      </c>
      <c r="K100" s="1" t="str">
        <f>IF(Protokoll_2p!H106="","",IF(VALUE(LEFT(Protokoll_2p!H106,FIND(":",Protokoll_2p!H106)-1))&gt;VALUE(RIGHT(Protokoll_2p!H106,LEN(Protokoll_2p!H106)-FIND(":",Protokoll_2p!H106))),0,1))</f>
        <v/>
      </c>
      <c r="L100" s="1" t="str">
        <f>IF(Protokoll_2p!I106="","",IF(VALUE(LEFT(Protokoll_2p!I106,FIND(":",Protokoll_2p!I106)-1))&gt;VALUE(RIGHT(Protokoll_2p!I106,LEN(Protokoll_2p!I106)-FIND(":",Protokoll_2p!I106))),0,1))</f>
        <v/>
      </c>
      <c r="M100" s="1" t="str">
        <f>IF(Protokoll_2p!J106="","",IF(VALUE(LEFT(Protokoll_2p!J106,FIND(":",Protokoll_2p!J106)-1))&gt;VALUE(RIGHT(Protokoll_2p!J106,LEN(Protokoll_2p!J106)-FIND(":",Protokoll_2p!J106))),0,1))</f>
        <v/>
      </c>
      <c r="N100" s="1" t="str">
        <f t="shared" si="3"/>
        <v/>
      </c>
    </row>
    <row r="101" spans="2:14">
      <c r="B101" s="1" t="e">
        <f>IF(Protokoll_2p!F107="","",IF(VALUE(LEFT(Protokoll_2p!F107,FIND(":",Protokoll_2p!F107)-1))&gt;VALUE(RIGHT(Protokoll_2p!F107,LEN(Protokoll_2p!F107)-FIND(":",Protokoll_2p!F107))),1,0))</f>
        <v>#VALUE!</v>
      </c>
      <c r="C101" s="1" t="e">
        <f>IF(Protokoll_2p!G107="","",IF(VALUE(LEFT(Protokoll_2p!G107,FIND(":",Protokoll_2p!G107)-1))&gt;VALUE(RIGHT(Protokoll_2p!G107,LEN(Protokoll_2p!G107)-FIND(":",Protokoll_2p!G107))),1,0))</f>
        <v>#VALUE!</v>
      </c>
      <c r="D101" s="1" t="e">
        <f>IF(Protokoll_2p!H107="","",IF(VALUE(LEFT(Protokoll_2p!H107,FIND(":",Protokoll_2p!H107)-1))&gt;VALUE(RIGHT(Protokoll_2p!H107,LEN(Protokoll_2p!H107)-FIND(":",Protokoll_2p!H107))),1,0))</f>
        <v>#VALUE!</v>
      </c>
      <c r="E101" s="1" t="e">
        <f>IF(Protokoll_2p!I107="","",IF(VALUE(LEFT(Protokoll_2p!I107,FIND(":",Protokoll_2p!I107)-1))&gt;VALUE(RIGHT(Protokoll_2p!I107,LEN(Protokoll_2p!I107)-FIND(":",Protokoll_2p!I107))),1,0))</f>
        <v>#VALUE!</v>
      </c>
      <c r="F101" s="1" t="e">
        <f>IF(Protokoll_2p!J107="","",IF(VALUE(LEFT(Protokoll_2p!J107,FIND(":",Protokoll_2p!J107)-1))&gt;VALUE(RIGHT(Protokoll_2p!J107,LEN(Protokoll_2p!J107)-FIND(":",Protokoll_2p!J107))),1,0))</f>
        <v>#VALUE!</v>
      </c>
      <c r="G101" s="1" t="e">
        <f t="shared" si="2"/>
        <v>#VALUE!</v>
      </c>
      <c r="I101" s="1" t="e">
        <f>IF(Protokoll_2p!F107="","",IF(VALUE(LEFT(Protokoll_2p!F107,FIND(":",Protokoll_2p!F107)-1))&gt;VALUE(RIGHT(Protokoll_2p!F107,LEN(Protokoll_2p!F107)-FIND(":",Protokoll_2p!F107))),0,1))</f>
        <v>#VALUE!</v>
      </c>
      <c r="J101" s="1" t="e">
        <f>IF(Protokoll_2p!G107="","",IF(VALUE(LEFT(Protokoll_2p!G107,FIND(":",Protokoll_2p!G107)-1))&gt;VALUE(RIGHT(Protokoll_2p!G107,LEN(Protokoll_2p!G107)-FIND(":",Protokoll_2p!G107))),0,1))</f>
        <v>#VALUE!</v>
      </c>
      <c r="K101" s="1" t="e">
        <f>IF(Protokoll_2p!H107="","",IF(VALUE(LEFT(Protokoll_2p!H107,FIND(":",Protokoll_2p!H107)-1))&gt;VALUE(RIGHT(Protokoll_2p!H107,LEN(Protokoll_2p!H107)-FIND(":",Protokoll_2p!H107))),0,1))</f>
        <v>#VALUE!</v>
      </c>
      <c r="L101" s="1" t="e">
        <f>IF(Protokoll_2p!I107="","",IF(VALUE(LEFT(Protokoll_2p!I107,FIND(":",Protokoll_2p!I107)-1))&gt;VALUE(RIGHT(Protokoll_2p!I107,LEN(Protokoll_2p!I107)-FIND(":",Protokoll_2p!I107))),0,1))</f>
        <v>#VALUE!</v>
      </c>
      <c r="M101" s="1" t="e">
        <f>IF(Protokoll_2p!J107="","",IF(VALUE(LEFT(Protokoll_2p!J107,FIND(":",Protokoll_2p!J107)-1))&gt;VALUE(RIGHT(Protokoll_2p!J107,LEN(Protokoll_2p!J107)-FIND(":",Protokoll_2p!J107))),0,1))</f>
        <v>#VALUE!</v>
      </c>
      <c r="N101" s="1" t="e">
        <f t="shared" si="3"/>
        <v>#VALUE!</v>
      </c>
    </row>
    <row r="102" spans="2:14">
      <c r="B102" s="1">
        <f>IF(Protokoll_2p!F108="","",IF(VALUE(LEFT(Protokoll_2p!F108,FIND(":",Protokoll_2p!F108)-1))&gt;VALUE(RIGHT(Protokoll_2p!F108,LEN(Protokoll_2p!F108)-FIND(":",Protokoll_2p!F108))),1,0))</f>
        <v>0</v>
      </c>
      <c r="C102" s="1">
        <f>IF(Protokoll_2p!G108="","",IF(VALUE(LEFT(Protokoll_2p!G108,FIND(":",Protokoll_2p!G108)-1))&gt;VALUE(RIGHT(Protokoll_2p!G108,LEN(Protokoll_2p!G108)-FIND(":",Protokoll_2p!G108))),1,0))</f>
        <v>1</v>
      </c>
      <c r="D102" s="1">
        <f>IF(Protokoll_2p!H108="","",IF(VALUE(LEFT(Protokoll_2p!H108,FIND(":",Protokoll_2p!H108)-1))&gt;VALUE(RIGHT(Protokoll_2p!H108,LEN(Protokoll_2p!H108)-FIND(":",Protokoll_2p!H108))),1,0))</f>
        <v>1</v>
      </c>
      <c r="E102" s="1">
        <f>IF(Protokoll_2p!I108="","",IF(VALUE(LEFT(Protokoll_2p!I108,FIND(":",Protokoll_2p!I108)-1))&gt;VALUE(RIGHT(Protokoll_2p!I108,LEN(Protokoll_2p!I108)-FIND(":",Protokoll_2p!I108))),1,0))</f>
        <v>1</v>
      </c>
      <c r="F102" s="1" t="str">
        <f>IF(Protokoll_2p!J108="","",IF(VALUE(LEFT(Protokoll_2p!J108,FIND(":",Protokoll_2p!J108)-1))&gt;VALUE(RIGHT(Protokoll_2p!J108,LEN(Protokoll_2p!J108)-FIND(":",Protokoll_2p!J108))),1,0))</f>
        <v/>
      </c>
      <c r="G102" s="1">
        <f t="shared" si="2"/>
        <v>3</v>
      </c>
      <c r="I102" s="1">
        <f>IF(Protokoll_2p!F108="","",IF(VALUE(LEFT(Protokoll_2p!F108,FIND(":",Protokoll_2p!F108)-1))&gt;VALUE(RIGHT(Protokoll_2p!F108,LEN(Protokoll_2p!F108)-FIND(":",Protokoll_2p!F108))),0,1))</f>
        <v>1</v>
      </c>
      <c r="J102" s="1">
        <f>IF(Protokoll_2p!G108="","",IF(VALUE(LEFT(Protokoll_2p!G108,FIND(":",Protokoll_2p!G108)-1))&gt;VALUE(RIGHT(Protokoll_2p!G108,LEN(Protokoll_2p!G108)-FIND(":",Protokoll_2p!G108))),0,1))</f>
        <v>0</v>
      </c>
      <c r="K102" s="1">
        <f>IF(Protokoll_2p!H108="","",IF(VALUE(LEFT(Protokoll_2p!H108,FIND(":",Protokoll_2p!H108)-1))&gt;VALUE(RIGHT(Protokoll_2p!H108,LEN(Protokoll_2p!H108)-FIND(":",Protokoll_2p!H108))),0,1))</f>
        <v>0</v>
      </c>
      <c r="L102" s="1">
        <f>IF(Protokoll_2p!I108="","",IF(VALUE(LEFT(Protokoll_2p!I108,FIND(":",Protokoll_2p!I108)-1))&gt;VALUE(RIGHT(Protokoll_2p!I108,LEN(Protokoll_2p!I108)-FIND(":",Protokoll_2p!I108))),0,1))</f>
        <v>0</v>
      </c>
      <c r="M102" s="1" t="str">
        <f>IF(Protokoll_2p!J108="","",IF(VALUE(LEFT(Protokoll_2p!J108,FIND(":",Protokoll_2p!J108)-1))&gt;VALUE(RIGHT(Protokoll_2p!J108,LEN(Protokoll_2p!J108)-FIND(":",Protokoll_2p!J108))),0,1))</f>
        <v/>
      </c>
      <c r="N102" s="1">
        <f t="shared" si="3"/>
        <v>1</v>
      </c>
    </row>
    <row r="103" spans="2:14">
      <c r="B103" s="1">
        <f>IF(Protokoll_2p!F109="","",IF(VALUE(LEFT(Protokoll_2p!F109,FIND(":",Protokoll_2p!F109)-1))&gt;VALUE(RIGHT(Protokoll_2p!F109,LEN(Protokoll_2p!F109)-FIND(":",Protokoll_2p!F109))),1,0))</f>
        <v>1</v>
      </c>
      <c r="C103" s="1">
        <f>IF(Protokoll_2p!G109="","",IF(VALUE(LEFT(Protokoll_2p!G109,FIND(":",Protokoll_2p!G109)-1))&gt;VALUE(RIGHT(Protokoll_2p!G109,LEN(Protokoll_2p!G109)-FIND(":",Protokoll_2p!G109))),1,0))</f>
        <v>1</v>
      </c>
      <c r="D103" s="1">
        <f>IF(Protokoll_2p!H109="","",IF(VALUE(LEFT(Protokoll_2p!H109,FIND(":",Protokoll_2p!H109)-1))&gt;VALUE(RIGHT(Protokoll_2p!H109,LEN(Protokoll_2p!H109)-FIND(":",Protokoll_2p!H109))),1,0))</f>
        <v>1</v>
      </c>
      <c r="E103" s="1" t="str">
        <f>IF(Protokoll_2p!I109="","",IF(VALUE(LEFT(Protokoll_2p!I109,FIND(":",Protokoll_2p!I109)-1))&gt;VALUE(RIGHT(Protokoll_2p!I109,LEN(Protokoll_2p!I109)-FIND(":",Protokoll_2p!I109))),1,0))</f>
        <v/>
      </c>
      <c r="F103" s="1" t="str">
        <f>IF(Protokoll_2p!J109="","",IF(VALUE(LEFT(Protokoll_2p!J109,FIND(":",Protokoll_2p!J109)-1))&gt;VALUE(RIGHT(Protokoll_2p!J109,LEN(Protokoll_2p!J109)-FIND(":",Protokoll_2p!J109))),1,0))</f>
        <v/>
      </c>
      <c r="G103" s="1">
        <f t="shared" si="2"/>
        <v>3</v>
      </c>
      <c r="I103" s="1">
        <f>IF(Protokoll_2p!F109="","",IF(VALUE(LEFT(Protokoll_2p!F109,FIND(":",Protokoll_2p!F109)-1))&gt;VALUE(RIGHT(Protokoll_2p!F109,LEN(Protokoll_2p!F109)-FIND(":",Protokoll_2p!F109))),0,1))</f>
        <v>0</v>
      </c>
      <c r="J103" s="1">
        <f>IF(Protokoll_2p!G109="","",IF(VALUE(LEFT(Protokoll_2p!G109,FIND(":",Protokoll_2p!G109)-1))&gt;VALUE(RIGHT(Protokoll_2p!G109,LEN(Protokoll_2p!G109)-FIND(":",Protokoll_2p!G109))),0,1))</f>
        <v>0</v>
      </c>
      <c r="K103" s="1">
        <f>IF(Protokoll_2p!H109="","",IF(VALUE(LEFT(Protokoll_2p!H109,FIND(":",Protokoll_2p!H109)-1))&gt;VALUE(RIGHT(Protokoll_2p!H109,LEN(Protokoll_2p!H109)-FIND(":",Protokoll_2p!H109))),0,1))</f>
        <v>0</v>
      </c>
      <c r="L103" s="1" t="str">
        <f>IF(Protokoll_2p!I109="","",IF(VALUE(LEFT(Protokoll_2p!I109,FIND(":",Protokoll_2p!I109)-1))&gt;VALUE(RIGHT(Protokoll_2p!I109,LEN(Protokoll_2p!I109)-FIND(":",Protokoll_2p!I109))),0,1))</f>
        <v/>
      </c>
      <c r="M103" s="1" t="str">
        <f>IF(Protokoll_2p!J109="","",IF(VALUE(LEFT(Protokoll_2p!J109,FIND(":",Protokoll_2p!J109)-1))&gt;VALUE(RIGHT(Protokoll_2p!J109,LEN(Protokoll_2p!J109)-FIND(":",Protokoll_2p!J109))),0,1))</f>
        <v/>
      </c>
      <c r="N103" s="1">
        <f t="shared" si="3"/>
        <v>0</v>
      </c>
    </row>
    <row r="104" spans="2:14">
      <c r="B104" s="1">
        <f>IF(Protokoll_2p!F110="","",IF(VALUE(LEFT(Protokoll_2p!F110,FIND(":",Protokoll_2p!F110)-1))&gt;VALUE(RIGHT(Protokoll_2p!F110,LEN(Protokoll_2p!F110)-FIND(":",Protokoll_2p!F110))),1,0))</f>
        <v>1</v>
      </c>
      <c r="C104" s="1">
        <f>IF(Protokoll_2p!G110="","",IF(VALUE(LEFT(Protokoll_2p!G110,FIND(":",Protokoll_2p!G110)-1))&gt;VALUE(RIGHT(Protokoll_2p!G110,LEN(Protokoll_2p!G110)-FIND(":",Protokoll_2p!G110))),1,0))</f>
        <v>0</v>
      </c>
      <c r="D104" s="1">
        <f>IF(Protokoll_2p!H110="","",IF(VALUE(LEFT(Protokoll_2p!H110,FIND(":",Protokoll_2p!H110)-1))&gt;VALUE(RIGHT(Protokoll_2p!H110,LEN(Protokoll_2p!H110)-FIND(":",Protokoll_2p!H110))),1,0))</f>
        <v>0</v>
      </c>
      <c r="E104" s="1">
        <f>IF(Protokoll_2p!I110="","",IF(VALUE(LEFT(Protokoll_2p!I110,FIND(":",Protokoll_2p!I110)-1))&gt;VALUE(RIGHT(Protokoll_2p!I110,LEN(Protokoll_2p!I110)-FIND(":",Protokoll_2p!I110))),1,0))</f>
        <v>0</v>
      </c>
      <c r="F104" s="1" t="str">
        <f>IF(Protokoll_2p!J110="","",IF(VALUE(LEFT(Protokoll_2p!J110,FIND(":",Protokoll_2p!J110)-1))&gt;VALUE(RIGHT(Protokoll_2p!J110,LEN(Protokoll_2p!J110)-FIND(":",Protokoll_2p!J110))),1,0))</f>
        <v/>
      </c>
      <c r="G104" s="1">
        <f t="shared" si="2"/>
        <v>1</v>
      </c>
      <c r="I104" s="1">
        <f>IF(Protokoll_2p!F110="","",IF(VALUE(LEFT(Protokoll_2p!F110,FIND(":",Protokoll_2p!F110)-1))&gt;VALUE(RIGHT(Protokoll_2p!F110,LEN(Protokoll_2p!F110)-FIND(":",Protokoll_2p!F110))),0,1))</f>
        <v>0</v>
      </c>
      <c r="J104" s="1">
        <f>IF(Protokoll_2p!G110="","",IF(VALUE(LEFT(Protokoll_2p!G110,FIND(":",Protokoll_2p!G110)-1))&gt;VALUE(RIGHT(Protokoll_2p!G110,LEN(Protokoll_2p!G110)-FIND(":",Protokoll_2p!G110))),0,1))</f>
        <v>1</v>
      </c>
      <c r="K104" s="1">
        <f>IF(Protokoll_2p!H110="","",IF(VALUE(LEFT(Protokoll_2p!H110,FIND(":",Protokoll_2p!H110)-1))&gt;VALUE(RIGHT(Protokoll_2p!H110,LEN(Protokoll_2p!H110)-FIND(":",Protokoll_2p!H110))),0,1))</f>
        <v>1</v>
      </c>
      <c r="L104" s="1">
        <f>IF(Protokoll_2p!I110="","",IF(VALUE(LEFT(Protokoll_2p!I110,FIND(":",Protokoll_2p!I110)-1))&gt;VALUE(RIGHT(Protokoll_2p!I110,LEN(Protokoll_2p!I110)-FIND(":",Protokoll_2p!I110))),0,1))</f>
        <v>1</v>
      </c>
      <c r="M104" s="1" t="str">
        <f>IF(Protokoll_2p!J110="","",IF(VALUE(LEFT(Protokoll_2p!J110,FIND(":",Protokoll_2p!J110)-1))&gt;VALUE(RIGHT(Protokoll_2p!J110,LEN(Protokoll_2p!J110)-FIND(":",Protokoll_2p!J110))),0,1))</f>
        <v/>
      </c>
      <c r="N104" s="1">
        <f t="shared" si="3"/>
        <v>3</v>
      </c>
    </row>
    <row r="105" spans="2:14">
      <c r="B105" s="1">
        <f>IF(Protokoll_2p!F111="","",IF(VALUE(LEFT(Protokoll_2p!F111,FIND(":",Protokoll_2p!F111)-1))&gt;VALUE(RIGHT(Protokoll_2p!F111,LEN(Protokoll_2p!F111)-FIND(":",Protokoll_2p!F111))),1,0))</f>
        <v>1</v>
      </c>
      <c r="C105" s="1">
        <f>IF(Protokoll_2p!G111="","",IF(VALUE(LEFT(Protokoll_2p!G111,FIND(":",Protokoll_2p!G111)-1))&gt;VALUE(RIGHT(Protokoll_2p!G111,LEN(Protokoll_2p!G111)-FIND(":",Protokoll_2p!G111))),1,0))</f>
        <v>1</v>
      </c>
      <c r="D105" s="1">
        <f>IF(Protokoll_2p!H111="","",IF(VALUE(LEFT(Protokoll_2p!H111,FIND(":",Protokoll_2p!H111)-1))&gt;VALUE(RIGHT(Protokoll_2p!H111,LEN(Protokoll_2p!H111)-FIND(":",Protokoll_2p!H111))),1,0))</f>
        <v>0</v>
      </c>
      <c r="E105" s="1">
        <f>IF(Protokoll_2p!I111="","",IF(VALUE(LEFT(Protokoll_2p!I111,FIND(":",Protokoll_2p!I111)-1))&gt;VALUE(RIGHT(Protokoll_2p!I111,LEN(Protokoll_2p!I111)-FIND(":",Protokoll_2p!I111))),1,0))</f>
        <v>0</v>
      </c>
      <c r="F105" s="1">
        <f>IF(Protokoll_2p!J111="","",IF(VALUE(LEFT(Protokoll_2p!J111,FIND(":",Protokoll_2p!J111)-1))&gt;VALUE(RIGHT(Protokoll_2p!J111,LEN(Protokoll_2p!J111)-FIND(":",Protokoll_2p!J111))),1,0))</f>
        <v>1</v>
      </c>
      <c r="G105" s="1">
        <f t="shared" si="2"/>
        <v>3</v>
      </c>
      <c r="I105" s="1">
        <f>IF(Protokoll_2p!F111="","",IF(VALUE(LEFT(Protokoll_2p!F111,FIND(":",Protokoll_2p!F111)-1))&gt;VALUE(RIGHT(Protokoll_2p!F111,LEN(Protokoll_2p!F111)-FIND(":",Protokoll_2p!F111))),0,1))</f>
        <v>0</v>
      </c>
      <c r="J105" s="1">
        <f>IF(Protokoll_2p!G111="","",IF(VALUE(LEFT(Protokoll_2p!G111,FIND(":",Protokoll_2p!G111)-1))&gt;VALUE(RIGHT(Protokoll_2p!G111,LEN(Protokoll_2p!G111)-FIND(":",Protokoll_2p!G111))),0,1))</f>
        <v>0</v>
      </c>
      <c r="K105" s="1">
        <f>IF(Protokoll_2p!H111="","",IF(VALUE(LEFT(Protokoll_2p!H111,FIND(":",Protokoll_2p!H111)-1))&gt;VALUE(RIGHT(Protokoll_2p!H111,LEN(Protokoll_2p!H111)-FIND(":",Protokoll_2p!H111))),0,1))</f>
        <v>1</v>
      </c>
      <c r="L105" s="1">
        <f>IF(Protokoll_2p!I111="","",IF(VALUE(LEFT(Protokoll_2p!I111,FIND(":",Protokoll_2p!I111)-1))&gt;VALUE(RIGHT(Protokoll_2p!I111,LEN(Protokoll_2p!I111)-FIND(":",Protokoll_2p!I111))),0,1))</f>
        <v>1</v>
      </c>
      <c r="M105" s="1">
        <f>IF(Protokoll_2p!J111="","",IF(VALUE(LEFT(Protokoll_2p!J111,FIND(":",Protokoll_2p!J111)-1))&gt;VALUE(RIGHT(Protokoll_2p!J111,LEN(Protokoll_2p!J111)-FIND(":",Protokoll_2p!J111))),0,1))</f>
        <v>0</v>
      </c>
      <c r="N105" s="1">
        <f t="shared" si="3"/>
        <v>2</v>
      </c>
    </row>
    <row r="106" spans="2:14">
      <c r="B106" s="1" t="str">
        <f>IF(Protokoll_2p!F112="","",IF(VALUE(LEFT(Protokoll_2p!F112,FIND(":",Protokoll_2p!F112)-1))&gt;VALUE(RIGHT(Protokoll_2p!F112,LEN(Protokoll_2p!F112)-FIND(":",Protokoll_2p!F112))),1,0))</f>
        <v/>
      </c>
      <c r="C106" s="1" t="str">
        <f>IF(Protokoll_2p!G112="","",IF(VALUE(LEFT(Protokoll_2p!G112,FIND(":",Protokoll_2p!G112)-1))&gt;VALUE(RIGHT(Protokoll_2p!G112,LEN(Protokoll_2p!G112)-FIND(":",Protokoll_2p!G112))),1,0))</f>
        <v/>
      </c>
      <c r="D106" s="1" t="str">
        <f>IF(Protokoll_2p!H112="","",IF(VALUE(LEFT(Protokoll_2p!H112,FIND(":",Protokoll_2p!H112)-1))&gt;VALUE(RIGHT(Protokoll_2p!H112,LEN(Protokoll_2p!H112)-FIND(":",Protokoll_2p!H112))),1,0))</f>
        <v/>
      </c>
      <c r="E106" s="1" t="str">
        <f>IF(Protokoll_2p!I112="","",IF(VALUE(LEFT(Protokoll_2p!I112,FIND(":",Protokoll_2p!I112)-1))&gt;VALUE(RIGHT(Protokoll_2p!I112,LEN(Protokoll_2p!I112)-FIND(":",Protokoll_2p!I112))),1,0))</f>
        <v/>
      </c>
      <c r="F106" s="1" t="str">
        <f>IF(Protokoll_2p!J112="","",IF(VALUE(LEFT(Protokoll_2p!J112,FIND(":",Protokoll_2p!J112)-1))&gt;VALUE(RIGHT(Protokoll_2p!J112,LEN(Protokoll_2p!J112)-FIND(":",Protokoll_2p!J112))),1,0))</f>
        <v/>
      </c>
      <c r="G106" s="1" t="str">
        <f t="shared" si="2"/>
        <v/>
      </c>
      <c r="I106" s="1" t="str">
        <f>IF(Protokoll_2p!F112="","",IF(VALUE(LEFT(Protokoll_2p!F112,FIND(":",Protokoll_2p!F112)-1))&gt;VALUE(RIGHT(Protokoll_2p!F112,LEN(Protokoll_2p!F112)-FIND(":",Protokoll_2p!F112))),0,1))</f>
        <v/>
      </c>
      <c r="J106" s="1" t="str">
        <f>IF(Protokoll_2p!G112="","",IF(VALUE(LEFT(Protokoll_2p!G112,FIND(":",Protokoll_2p!G112)-1))&gt;VALUE(RIGHT(Protokoll_2p!G112,LEN(Protokoll_2p!G112)-FIND(":",Protokoll_2p!G112))),0,1))</f>
        <v/>
      </c>
      <c r="K106" s="1" t="str">
        <f>IF(Protokoll_2p!H112="","",IF(VALUE(LEFT(Protokoll_2p!H112,FIND(":",Protokoll_2p!H112)-1))&gt;VALUE(RIGHT(Protokoll_2p!H112,LEN(Protokoll_2p!H112)-FIND(":",Protokoll_2p!H112))),0,1))</f>
        <v/>
      </c>
      <c r="L106" s="1" t="str">
        <f>IF(Protokoll_2p!I112="","",IF(VALUE(LEFT(Protokoll_2p!I112,FIND(":",Protokoll_2p!I112)-1))&gt;VALUE(RIGHT(Protokoll_2p!I112,LEN(Protokoll_2p!I112)-FIND(":",Protokoll_2p!I112))),0,1))</f>
        <v/>
      </c>
      <c r="M106" s="1" t="str">
        <f>IF(Protokoll_2p!J112="","",IF(VALUE(LEFT(Protokoll_2p!J112,FIND(":",Protokoll_2p!J112)-1))&gt;VALUE(RIGHT(Protokoll_2p!J112,LEN(Protokoll_2p!J112)-FIND(":",Protokoll_2p!J112))),0,1))</f>
        <v/>
      </c>
      <c r="N106" s="1" t="str">
        <f t="shared" si="3"/>
        <v/>
      </c>
    </row>
    <row r="107" spans="2:14">
      <c r="B107" s="1">
        <f>IF(Protokoll_2p!F113="","",IF(VALUE(LEFT(Protokoll_2p!F113,FIND(":",Protokoll_2p!F113)-1))&gt;VALUE(RIGHT(Protokoll_2p!F113,LEN(Protokoll_2p!F113)-FIND(":",Protokoll_2p!F113))),1,0))</f>
        <v>1</v>
      </c>
      <c r="C107" s="1">
        <f>IF(Protokoll_2p!G113="","",IF(VALUE(LEFT(Protokoll_2p!G113,FIND(":",Protokoll_2p!G113)-1))&gt;VALUE(RIGHT(Protokoll_2p!G113,LEN(Protokoll_2p!G113)-FIND(":",Protokoll_2p!G113))),1,0))</f>
        <v>0</v>
      </c>
      <c r="D107" s="1">
        <f>IF(Protokoll_2p!H113="","",IF(VALUE(LEFT(Protokoll_2p!H113,FIND(":",Protokoll_2p!H113)-1))&gt;VALUE(RIGHT(Protokoll_2p!H113,LEN(Protokoll_2p!H113)-FIND(":",Protokoll_2p!H113))),1,0))</f>
        <v>1</v>
      </c>
      <c r="E107" s="1">
        <f>IF(Protokoll_2p!I113="","",IF(VALUE(LEFT(Protokoll_2p!I113,FIND(":",Protokoll_2p!I113)-1))&gt;VALUE(RIGHT(Protokoll_2p!I113,LEN(Protokoll_2p!I113)-FIND(":",Protokoll_2p!I113))),1,0))</f>
        <v>1</v>
      </c>
      <c r="F107" s="1" t="str">
        <f>IF(Protokoll_2p!J113="","",IF(VALUE(LEFT(Protokoll_2p!J113,FIND(":",Protokoll_2p!J113)-1))&gt;VALUE(RIGHT(Protokoll_2p!J113,LEN(Protokoll_2p!J113)-FIND(":",Protokoll_2p!J113))),1,0))</f>
        <v/>
      </c>
      <c r="G107" s="1">
        <f t="shared" si="2"/>
        <v>3</v>
      </c>
      <c r="I107" s="1">
        <f>IF(Protokoll_2p!F113="","",IF(VALUE(LEFT(Protokoll_2p!F113,FIND(":",Protokoll_2p!F113)-1))&gt;VALUE(RIGHT(Protokoll_2p!F113,LEN(Protokoll_2p!F113)-FIND(":",Protokoll_2p!F113))),0,1))</f>
        <v>0</v>
      </c>
      <c r="J107" s="1">
        <f>IF(Protokoll_2p!G113="","",IF(VALUE(LEFT(Protokoll_2p!G113,FIND(":",Protokoll_2p!G113)-1))&gt;VALUE(RIGHT(Protokoll_2p!G113,LEN(Protokoll_2p!G113)-FIND(":",Protokoll_2p!G113))),0,1))</f>
        <v>1</v>
      </c>
      <c r="K107" s="1">
        <f>IF(Protokoll_2p!H113="","",IF(VALUE(LEFT(Protokoll_2p!H113,FIND(":",Protokoll_2p!H113)-1))&gt;VALUE(RIGHT(Protokoll_2p!H113,LEN(Protokoll_2p!H113)-FIND(":",Protokoll_2p!H113))),0,1))</f>
        <v>0</v>
      </c>
      <c r="L107" s="1">
        <f>IF(Protokoll_2p!I113="","",IF(VALUE(LEFT(Protokoll_2p!I113,FIND(":",Protokoll_2p!I113)-1))&gt;VALUE(RIGHT(Protokoll_2p!I113,LEN(Protokoll_2p!I113)-FIND(":",Protokoll_2p!I113))),0,1))</f>
        <v>0</v>
      </c>
      <c r="M107" s="1" t="str">
        <f>IF(Protokoll_2p!J113="","",IF(VALUE(LEFT(Protokoll_2p!J113,FIND(":",Protokoll_2p!J113)-1))&gt;VALUE(RIGHT(Protokoll_2p!J113,LEN(Protokoll_2p!J113)-FIND(":",Protokoll_2p!J113))),0,1))</f>
        <v/>
      </c>
      <c r="N107" s="1">
        <f t="shared" si="3"/>
        <v>1</v>
      </c>
    </row>
    <row r="108" spans="2:14">
      <c r="B108" s="1" t="str">
        <f>IF(Protokoll_2p!F114="","",IF(VALUE(LEFT(Protokoll_2p!F114,FIND(":",Protokoll_2p!F114)-1))&gt;VALUE(RIGHT(Protokoll_2p!F114,LEN(Protokoll_2p!F114)-FIND(":",Protokoll_2p!F114))),1,0))</f>
        <v/>
      </c>
      <c r="C108" s="1" t="str">
        <f>IF(Protokoll_2p!G114="","",IF(VALUE(LEFT(Protokoll_2p!G114,FIND(":",Protokoll_2p!G114)-1))&gt;VALUE(RIGHT(Protokoll_2p!G114,LEN(Protokoll_2p!G114)-FIND(":",Protokoll_2p!G114))),1,0))</f>
        <v/>
      </c>
      <c r="D108" s="1" t="str">
        <f>IF(Protokoll_2p!H114="","",IF(VALUE(LEFT(Protokoll_2p!H114,FIND(":",Protokoll_2p!H114)-1))&gt;VALUE(RIGHT(Protokoll_2p!H114,LEN(Protokoll_2p!H114)-FIND(":",Protokoll_2p!H114))),1,0))</f>
        <v/>
      </c>
      <c r="E108" s="1" t="str">
        <f>IF(Protokoll_2p!I114="","",IF(VALUE(LEFT(Protokoll_2p!I114,FIND(":",Protokoll_2p!I114)-1))&gt;VALUE(RIGHT(Protokoll_2p!I114,LEN(Protokoll_2p!I114)-FIND(":",Protokoll_2p!I114))),1,0))</f>
        <v/>
      </c>
      <c r="F108" s="1" t="str">
        <f>IF(Protokoll_2p!J114="","",IF(VALUE(LEFT(Protokoll_2p!J114,FIND(":",Protokoll_2p!J114)-1))&gt;VALUE(RIGHT(Protokoll_2p!J114,LEN(Protokoll_2p!J114)-FIND(":",Protokoll_2p!J114))),1,0))</f>
        <v/>
      </c>
      <c r="G108" s="1" t="str">
        <f t="shared" si="2"/>
        <v/>
      </c>
      <c r="I108" s="1" t="str">
        <f>IF(Protokoll_2p!F114="","",IF(VALUE(LEFT(Protokoll_2p!F114,FIND(":",Protokoll_2p!F114)-1))&gt;VALUE(RIGHT(Protokoll_2p!F114,LEN(Protokoll_2p!F114)-FIND(":",Protokoll_2p!F114))),0,1))</f>
        <v/>
      </c>
      <c r="J108" s="1" t="str">
        <f>IF(Protokoll_2p!G114="","",IF(VALUE(LEFT(Protokoll_2p!G114,FIND(":",Protokoll_2p!G114)-1))&gt;VALUE(RIGHT(Protokoll_2p!G114,LEN(Protokoll_2p!G114)-FIND(":",Protokoll_2p!G114))),0,1))</f>
        <v/>
      </c>
      <c r="K108" s="1" t="str">
        <f>IF(Protokoll_2p!H114="","",IF(VALUE(LEFT(Protokoll_2p!H114,FIND(":",Protokoll_2p!H114)-1))&gt;VALUE(RIGHT(Protokoll_2p!H114,LEN(Protokoll_2p!H114)-FIND(":",Protokoll_2p!H114))),0,1))</f>
        <v/>
      </c>
      <c r="L108" s="1" t="str">
        <f>IF(Protokoll_2p!I114="","",IF(VALUE(LEFT(Protokoll_2p!I114,FIND(":",Protokoll_2p!I114)-1))&gt;VALUE(RIGHT(Protokoll_2p!I114,LEN(Protokoll_2p!I114)-FIND(":",Protokoll_2p!I114))),0,1))</f>
        <v/>
      </c>
      <c r="M108" s="1" t="str">
        <f>IF(Protokoll_2p!J114="","",IF(VALUE(LEFT(Protokoll_2p!J114,FIND(":",Protokoll_2p!J114)-1))&gt;VALUE(RIGHT(Protokoll_2p!J114,LEN(Protokoll_2p!J114)-FIND(":",Protokoll_2p!J114))),0,1))</f>
        <v/>
      </c>
      <c r="N108" s="1" t="str">
        <f t="shared" si="3"/>
        <v/>
      </c>
    </row>
    <row r="109" spans="2:14">
      <c r="B109" s="1" t="str">
        <f>IF(Protokoll_2p!F115="","",IF(VALUE(LEFT(Protokoll_2p!F115,FIND(":",Protokoll_2p!F115)-1))&gt;VALUE(RIGHT(Protokoll_2p!F115,LEN(Protokoll_2p!F115)-FIND(":",Protokoll_2p!F115))),1,0))</f>
        <v/>
      </c>
      <c r="C109" s="1" t="str">
        <f>IF(Protokoll_2p!G115="","",IF(VALUE(LEFT(Protokoll_2p!G115,FIND(":",Protokoll_2p!G115)-1))&gt;VALUE(RIGHT(Protokoll_2p!G115,LEN(Protokoll_2p!G115)-FIND(":",Protokoll_2p!G115))),1,0))</f>
        <v/>
      </c>
      <c r="D109" s="1" t="str">
        <f>IF(Protokoll_2p!H115="","",IF(VALUE(LEFT(Protokoll_2p!H115,FIND(":",Protokoll_2p!H115)-1))&gt;VALUE(RIGHT(Protokoll_2p!H115,LEN(Protokoll_2p!H115)-FIND(":",Protokoll_2p!H115))),1,0))</f>
        <v/>
      </c>
      <c r="E109" s="1" t="str">
        <f>IF(Protokoll_2p!I115="","",IF(VALUE(LEFT(Protokoll_2p!I115,FIND(":",Protokoll_2p!I115)-1))&gt;VALUE(RIGHT(Protokoll_2p!I115,LEN(Protokoll_2p!I115)-FIND(":",Protokoll_2p!I115))),1,0))</f>
        <v/>
      </c>
      <c r="F109" s="1" t="str">
        <f>IF(Protokoll_2p!J115="","",IF(VALUE(LEFT(Protokoll_2p!J115,FIND(":",Protokoll_2p!J115)-1))&gt;VALUE(RIGHT(Protokoll_2p!J115,LEN(Protokoll_2p!J115)-FIND(":",Protokoll_2p!J115))),1,0))</f>
        <v/>
      </c>
      <c r="G109" s="1" t="str">
        <f t="shared" si="2"/>
        <v/>
      </c>
      <c r="I109" s="1" t="str">
        <f>IF(Protokoll_2p!F115="","",IF(VALUE(LEFT(Protokoll_2p!F115,FIND(":",Protokoll_2p!F115)-1))&gt;VALUE(RIGHT(Protokoll_2p!F115,LEN(Protokoll_2p!F115)-FIND(":",Protokoll_2p!F115))),0,1))</f>
        <v/>
      </c>
      <c r="J109" s="1" t="str">
        <f>IF(Protokoll_2p!G115="","",IF(VALUE(LEFT(Protokoll_2p!G115,FIND(":",Protokoll_2p!G115)-1))&gt;VALUE(RIGHT(Protokoll_2p!G115,LEN(Protokoll_2p!G115)-FIND(":",Protokoll_2p!G115))),0,1))</f>
        <v/>
      </c>
      <c r="K109" s="1" t="str">
        <f>IF(Protokoll_2p!H115="","",IF(VALUE(LEFT(Protokoll_2p!H115,FIND(":",Protokoll_2p!H115)-1))&gt;VALUE(RIGHT(Protokoll_2p!H115,LEN(Protokoll_2p!H115)-FIND(":",Protokoll_2p!H115))),0,1))</f>
        <v/>
      </c>
      <c r="L109" s="1" t="str">
        <f>IF(Protokoll_2p!I115="","",IF(VALUE(LEFT(Protokoll_2p!I115,FIND(":",Protokoll_2p!I115)-1))&gt;VALUE(RIGHT(Protokoll_2p!I115,LEN(Protokoll_2p!I115)-FIND(":",Protokoll_2p!I115))),0,1))</f>
        <v/>
      </c>
      <c r="M109" s="1" t="str">
        <f>IF(Protokoll_2p!J115="","",IF(VALUE(LEFT(Protokoll_2p!J115,FIND(":",Protokoll_2p!J115)-1))&gt;VALUE(RIGHT(Protokoll_2p!J115,LEN(Protokoll_2p!J115)-FIND(":",Protokoll_2p!J115))),0,1))</f>
        <v/>
      </c>
      <c r="N109" s="1" t="str">
        <f t="shared" si="3"/>
        <v/>
      </c>
    </row>
    <row r="110" spans="2:14">
      <c r="B110" s="1" t="str">
        <f>IF(Protokoll_2p!F116="","",IF(VALUE(LEFT(Protokoll_2p!F116,FIND(":",Protokoll_2p!F116)-1))&gt;VALUE(RIGHT(Protokoll_2p!F116,LEN(Protokoll_2p!F116)-FIND(":",Protokoll_2p!F116))),1,0))</f>
        <v/>
      </c>
      <c r="C110" s="1" t="str">
        <f>IF(Protokoll_2p!G116="","",IF(VALUE(LEFT(Protokoll_2p!G116,FIND(":",Protokoll_2p!G116)-1))&gt;VALUE(RIGHT(Protokoll_2p!G116,LEN(Protokoll_2p!G116)-FIND(":",Protokoll_2p!G116))),1,0))</f>
        <v/>
      </c>
      <c r="D110" s="1" t="str">
        <f>IF(Protokoll_2p!H116="","",IF(VALUE(LEFT(Protokoll_2p!H116,FIND(":",Protokoll_2p!H116)-1))&gt;VALUE(RIGHT(Protokoll_2p!H116,LEN(Protokoll_2p!H116)-FIND(":",Protokoll_2p!H116))),1,0))</f>
        <v/>
      </c>
      <c r="E110" s="1" t="str">
        <f>IF(Protokoll_2p!I116="","",IF(VALUE(LEFT(Protokoll_2p!I116,FIND(":",Protokoll_2p!I116)-1))&gt;VALUE(RIGHT(Protokoll_2p!I116,LEN(Protokoll_2p!I116)-FIND(":",Protokoll_2p!I116))),1,0))</f>
        <v/>
      </c>
      <c r="F110" s="1" t="str">
        <f>IF(Protokoll_2p!J116="","",IF(VALUE(LEFT(Protokoll_2p!J116,FIND(":",Protokoll_2p!J116)-1))&gt;VALUE(RIGHT(Protokoll_2p!J116,LEN(Protokoll_2p!J116)-FIND(":",Protokoll_2p!J116))),1,0))</f>
        <v/>
      </c>
      <c r="G110" s="1" t="str">
        <f t="shared" si="2"/>
        <v/>
      </c>
      <c r="I110" s="1" t="str">
        <f>IF(Protokoll_2p!F116="","",IF(VALUE(LEFT(Protokoll_2p!F116,FIND(":",Protokoll_2p!F116)-1))&gt;VALUE(RIGHT(Protokoll_2p!F116,LEN(Protokoll_2p!F116)-FIND(":",Protokoll_2p!F116))),0,1))</f>
        <v/>
      </c>
      <c r="J110" s="1" t="str">
        <f>IF(Protokoll_2p!G116="","",IF(VALUE(LEFT(Protokoll_2p!G116,FIND(":",Protokoll_2p!G116)-1))&gt;VALUE(RIGHT(Protokoll_2p!G116,LEN(Protokoll_2p!G116)-FIND(":",Protokoll_2p!G116))),0,1))</f>
        <v/>
      </c>
      <c r="K110" s="1" t="str">
        <f>IF(Protokoll_2p!H116="","",IF(VALUE(LEFT(Protokoll_2p!H116,FIND(":",Protokoll_2p!H116)-1))&gt;VALUE(RIGHT(Protokoll_2p!H116,LEN(Protokoll_2p!H116)-FIND(":",Protokoll_2p!H116))),0,1))</f>
        <v/>
      </c>
      <c r="L110" s="1" t="str">
        <f>IF(Protokoll_2p!I116="","",IF(VALUE(LEFT(Protokoll_2p!I116,FIND(":",Protokoll_2p!I116)-1))&gt;VALUE(RIGHT(Protokoll_2p!I116,LEN(Protokoll_2p!I116)-FIND(":",Protokoll_2p!I116))),0,1))</f>
        <v/>
      </c>
      <c r="M110" s="1" t="str">
        <f>IF(Protokoll_2p!J116="","",IF(VALUE(LEFT(Protokoll_2p!J116,FIND(":",Protokoll_2p!J116)-1))&gt;VALUE(RIGHT(Protokoll_2p!J116,LEN(Protokoll_2p!J116)-FIND(":",Protokoll_2p!J116))),0,1))</f>
        <v/>
      </c>
      <c r="N110" s="1" t="str">
        <f t="shared" si="3"/>
        <v/>
      </c>
    </row>
    <row r="111" spans="2:14">
      <c r="B111" s="1" t="e">
        <f>IF(Protokoll_2p!F117="","",IF(VALUE(LEFT(Protokoll_2p!F117,FIND(":",Protokoll_2p!F117)-1))&gt;VALUE(RIGHT(Protokoll_2p!F117,LEN(Protokoll_2p!F117)-FIND(":",Protokoll_2p!F117))),1,0))</f>
        <v>#VALUE!</v>
      </c>
      <c r="C111" s="1" t="e">
        <f>IF(Protokoll_2p!G117="","",IF(VALUE(LEFT(Protokoll_2p!G117,FIND(":",Protokoll_2p!G117)-1))&gt;VALUE(RIGHT(Protokoll_2p!G117,LEN(Protokoll_2p!G117)-FIND(":",Protokoll_2p!G117))),1,0))</f>
        <v>#VALUE!</v>
      </c>
      <c r="D111" s="1" t="e">
        <f>IF(Protokoll_2p!H117="","",IF(VALUE(LEFT(Protokoll_2p!H117,FIND(":",Protokoll_2p!H117)-1))&gt;VALUE(RIGHT(Protokoll_2p!H117,LEN(Protokoll_2p!H117)-FIND(":",Protokoll_2p!H117))),1,0))</f>
        <v>#VALUE!</v>
      </c>
      <c r="E111" s="1" t="e">
        <f>IF(Protokoll_2p!I117="","",IF(VALUE(LEFT(Protokoll_2p!I117,FIND(":",Protokoll_2p!I117)-1))&gt;VALUE(RIGHT(Protokoll_2p!I117,LEN(Protokoll_2p!I117)-FIND(":",Protokoll_2p!I117))),1,0))</f>
        <v>#VALUE!</v>
      </c>
      <c r="F111" s="1" t="e">
        <f>IF(Protokoll_2p!J117="","",IF(VALUE(LEFT(Protokoll_2p!J117,FIND(":",Protokoll_2p!J117)-1))&gt;VALUE(RIGHT(Protokoll_2p!J117,LEN(Protokoll_2p!J117)-FIND(":",Protokoll_2p!J117))),1,0))</f>
        <v>#VALUE!</v>
      </c>
      <c r="G111" s="1" t="e">
        <f t="shared" si="2"/>
        <v>#VALUE!</v>
      </c>
      <c r="I111" s="1" t="e">
        <f>IF(Protokoll_2p!F117="","",IF(VALUE(LEFT(Protokoll_2p!F117,FIND(":",Protokoll_2p!F117)-1))&gt;VALUE(RIGHT(Protokoll_2p!F117,LEN(Protokoll_2p!F117)-FIND(":",Protokoll_2p!F117))),0,1))</f>
        <v>#VALUE!</v>
      </c>
      <c r="J111" s="1" t="e">
        <f>IF(Protokoll_2p!G117="","",IF(VALUE(LEFT(Protokoll_2p!G117,FIND(":",Protokoll_2p!G117)-1))&gt;VALUE(RIGHT(Protokoll_2p!G117,LEN(Protokoll_2p!G117)-FIND(":",Protokoll_2p!G117))),0,1))</f>
        <v>#VALUE!</v>
      </c>
      <c r="K111" s="1" t="e">
        <f>IF(Protokoll_2p!H117="","",IF(VALUE(LEFT(Protokoll_2p!H117,FIND(":",Protokoll_2p!H117)-1))&gt;VALUE(RIGHT(Protokoll_2p!H117,LEN(Protokoll_2p!H117)-FIND(":",Protokoll_2p!H117))),0,1))</f>
        <v>#VALUE!</v>
      </c>
      <c r="L111" s="1" t="e">
        <f>IF(Protokoll_2p!I117="","",IF(VALUE(LEFT(Protokoll_2p!I117,FIND(":",Protokoll_2p!I117)-1))&gt;VALUE(RIGHT(Protokoll_2p!I117,LEN(Protokoll_2p!I117)-FIND(":",Protokoll_2p!I117))),0,1))</f>
        <v>#VALUE!</v>
      </c>
      <c r="M111" s="1" t="e">
        <f>IF(Protokoll_2p!J117="","",IF(VALUE(LEFT(Protokoll_2p!J117,FIND(":",Protokoll_2p!J117)-1))&gt;VALUE(RIGHT(Protokoll_2p!J117,LEN(Protokoll_2p!J117)-FIND(":",Protokoll_2p!J117))),0,1))</f>
        <v>#VALUE!</v>
      </c>
      <c r="N111" s="1" t="e">
        <f t="shared" si="3"/>
        <v>#VALUE!</v>
      </c>
    </row>
    <row r="112" spans="2:14">
      <c r="B112" s="1">
        <f>IF(Protokoll_2p!F118="","",IF(VALUE(LEFT(Protokoll_2p!F118,FIND(":",Protokoll_2p!F118)-1))&gt;VALUE(RIGHT(Protokoll_2p!F118,LEN(Protokoll_2p!F118)-FIND(":",Protokoll_2p!F118))),1,0))</f>
        <v>1</v>
      </c>
      <c r="C112" s="1">
        <f>IF(Protokoll_2p!G118="","",IF(VALUE(LEFT(Protokoll_2p!G118,FIND(":",Protokoll_2p!G118)-1))&gt;VALUE(RIGHT(Protokoll_2p!G118,LEN(Protokoll_2p!G118)-FIND(":",Protokoll_2p!G118))),1,0))</f>
        <v>1</v>
      </c>
      <c r="D112" s="1">
        <f>IF(Protokoll_2p!H118="","",IF(VALUE(LEFT(Protokoll_2p!H118,FIND(":",Protokoll_2p!H118)-1))&gt;VALUE(RIGHT(Protokoll_2p!H118,LEN(Protokoll_2p!H118)-FIND(":",Protokoll_2p!H118))),1,0))</f>
        <v>1</v>
      </c>
      <c r="E112" s="1" t="str">
        <f>IF(Protokoll_2p!I118="","",IF(VALUE(LEFT(Protokoll_2p!I118,FIND(":",Protokoll_2p!I118)-1))&gt;VALUE(RIGHT(Protokoll_2p!I118,LEN(Protokoll_2p!I118)-FIND(":",Protokoll_2p!I118))),1,0))</f>
        <v/>
      </c>
      <c r="F112" s="1" t="str">
        <f>IF(Protokoll_2p!J118="","",IF(VALUE(LEFT(Protokoll_2p!J118,FIND(":",Protokoll_2p!J118)-1))&gt;VALUE(RIGHT(Protokoll_2p!J118,LEN(Protokoll_2p!J118)-FIND(":",Protokoll_2p!J118))),1,0))</f>
        <v/>
      </c>
      <c r="G112" s="1">
        <f t="shared" si="2"/>
        <v>3</v>
      </c>
      <c r="I112" s="1">
        <f>IF(Protokoll_2p!F118="","",IF(VALUE(LEFT(Protokoll_2p!F118,FIND(":",Protokoll_2p!F118)-1))&gt;VALUE(RIGHT(Protokoll_2p!F118,LEN(Protokoll_2p!F118)-FIND(":",Protokoll_2p!F118))),0,1))</f>
        <v>0</v>
      </c>
      <c r="J112" s="1">
        <f>IF(Protokoll_2p!G118="","",IF(VALUE(LEFT(Protokoll_2p!G118,FIND(":",Protokoll_2p!G118)-1))&gt;VALUE(RIGHT(Protokoll_2p!G118,LEN(Protokoll_2p!G118)-FIND(":",Protokoll_2p!G118))),0,1))</f>
        <v>0</v>
      </c>
      <c r="K112" s="1">
        <f>IF(Protokoll_2p!H118="","",IF(VALUE(LEFT(Protokoll_2p!H118,FIND(":",Protokoll_2p!H118)-1))&gt;VALUE(RIGHT(Protokoll_2p!H118,LEN(Protokoll_2p!H118)-FIND(":",Protokoll_2p!H118))),0,1))</f>
        <v>0</v>
      </c>
      <c r="L112" s="1" t="str">
        <f>IF(Protokoll_2p!I118="","",IF(VALUE(LEFT(Protokoll_2p!I118,FIND(":",Protokoll_2p!I118)-1))&gt;VALUE(RIGHT(Protokoll_2p!I118,LEN(Protokoll_2p!I118)-FIND(":",Protokoll_2p!I118))),0,1))</f>
        <v/>
      </c>
      <c r="M112" s="1" t="str">
        <f>IF(Protokoll_2p!J118="","",IF(VALUE(LEFT(Protokoll_2p!J118,FIND(":",Protokoll_2p!J118)-1))&gt;VALUE(RIGHT(Protokoll_2p!J118,LEN(Protokoll_2p!J118)-FIND(":",Protokoll_2p!J118))),0,1))</f>
        <v/>
      </c>
      <c r="N112" s="1">
        <f t="shared" si="3"/>
        <v>0</v>
      </c>
    </row>
    <row r="113" spans="2:14">
      <c r="B113" s="1">
        <f>IF(Protokoll_2p!F119="","",IF(VALUE(LEFT(Protokoll_2p!F119,FIND(":",Protokoll_2p!F119)-1))&gt;VALUE(RIGHT(Protokoll_2p!F119,LEN(Protokoll_2p!F119)-FIND(":",Protokoll_2p!F119))),1,0))</f>
        <v>1</v>
      </c>
      <c r="C113" s="1">
        <f>IF(Protokoll_2p!G119="","",IF(VALUE(LEFT(Protokoll_2p!G119,FIND(":",Protokoll_2p!G119)-1))&gt;VALUE(RIGHT(Protokoll_2p!G119,LEN(Protokoll_2p!G119)-FIND(":",Protokoll_2p!G119))),1,0))</f>
        <v>1</v>
      </c>
      <c r="D113" s="1">
        <f>IF(Protokoll_2p!H119="","",IF(VALUE(LEFT(Protokoll_2p!H119,FIND(":",Protokoll_2p!H119)-1))&gt;VALUE(RIGHT(Protokoll_2p!H119,LEN(Protokoll_2p!H119)-FIND(":",Protokoll_2p!H119))),1,0))</f>
        <v>0</v>
      </c>
      <c r="E113" s="1">
        <f>IF(Protokoll_2p!I119="","",IF(VALUE(LEFT(Protokoll_2p!I119,FIND(":",Protokoll_2p!I119)-1))&gt;VALUE(RIGHT(Protokoll_2p!I119,LEN(Protokoll_2p!I119)-FIND(":",Protokoll_2p!I119))),1,0))</f>
        <v>1</v>
      </c>
      <c r="F113" s="1" t="str">
        <f>IF(Protokoll_2p!J119="","",IF(VALUE(LEFT(Protokoll_2p!J119,FIND(":",Protokoll_2p!J119)-1))&gt;VALUE(RIGHT(Protokoll_2p!J119,LEN(Protokoll_2p!J119)-FIND(":",Protokoll_2p!J119))),1,0))</f>
        <v/>
      </c>
      <c r="G113" s="1">
        <f t="shared" si="2"/>
        <v>3</v>
      </c>
      <c r="I113" s="1">
        <f>IF(Protokoll_2p!F119="","",IF(VALUE(LEFT(Protokoll_2p!F119,FIND(":",Protokoll_2p!F119)-1))&gt;VALUE(RIGHT(Protokoll_2p!F119,LEN(Protokoll_2p!F119)-FIND(":",Protokoll_2p!F119))),0,1))</f>
        <v>0</v>
      </c>
      <c r="J113" s="1">
        <f>IF(Protokoll_2p!G119="","",IF(VALUE(LEFT(Protokoll_2p!G119,FIND(":",Protokoll_2p!G119)-1))&gt;VALUE(RIGHT(Protokoll_2p!G119,LEN(Protokoll_2p!G119)-FIND(":",Protokoll_2p!G119))),0,1))</f>
        <v>0</v>
      </c>
      <c r="K113" s="1">
        <f>IF(Protokoll_2p!H119="","",IF(VALUE(LEFT(Protokoll_2p!H119,FIND(":",Protokoll_2p!H119)-1))&gt;VALUE(RIGHT(Protokoll_2p!H119,LEN(Protokoll_2p!H119)-FIND(":",Protokoll_2p!H119))),0,1))</f>
        <v>1</v>
      </c>
      <c r="L113" s="1">
        <f>IF(Protokoll_2p!I119="","",IF(VALUE(LEFT(Protokoll_2p!I119,FIND(":",Protokoll_2p!I119)-1))&gt;VALUE(RIGHT(Protokoll_2p!I119,LEN(Protokoll_2p!I119)-FIND(":",Protokoll_2p!I119))),0,1))</f>
        <v>0</v>
      </c>
      <c r="M113" s="1" t="str">
        <f>IF(Protokoll_2p!J119="","",IF(VALUE(LEFT(Protokoll_2p!J119,FIND(":",Protokoll_2p!J119)-1))&gt;VALUE(RIGHT(Protokoll_2p!J119,LEN(Protokoll_2p!J119)-FIND(":",Protokoll_2p!J119))),0,1))</f>
        <v/>
      </c>
      <c r="N113" s="1">
        <f t="shared" si="3"/>
        <v>1</v>
      </c>
    </row>
    <row r="114" spans="2:14">
      <c r="B114" s="1">
        <f>IF(Protokoll_2p!F120="","",IF(VALUE(LEFT(Protokoll_2p!F120,FIND(":",Protokoll_2p!F120)-1))&gt;VALUE(RIGHT(Protokoll_2p!F120,LEN(Protokoll_2p!F120)-FIND(":",Protokoll_2p!F120))),1,0))</f>
        <v>0</v>
      </c>
      <c r="C114" s="1">
        <f>IF(Protokoll_2p!G120="","",IF(VALUE(LEFT(Protokoll_2p!G120,FIND(":",Protokoll_2p!G120)-1))&gt;VALUE(RIGHT(Protokoll_2p!G120,LEN(Protokoll_2p!G120)-FIND(":",Protokoll_2p!G120))),1,0))</f>
        <v>1</v>
      </c>
      <c r="D114" s="1">
        <f>IF(Protokoll_2p!H120="","",IF(VALUE(LEFT(Protokoll_2p!H120,FIND(":",Protokoll_2p!H120)-1))&gt;VALUE(RIGHT(Protokoll_2p!H120,LEN(Protokoll_2p!H120)-FIND(":",Protokoll_2p!H120))),1,0))</f>
        <v>0</v>
      </c>
      <c r="E114" s="1">
        <f>IF(Protokoll_2p!I120="","",IF(VALUE(LEFT(Protokoll_2p!I120,FIND(":",Protokoll_2p!I120)-1))&gt;VALUE(RIGHT(Protokoll_2p!I120,LEN(Protokoll_2p!I120)-FIND(":",Protokoll_2p!I120))),1,0))</f>
        <v>1</v>
      </c>
      <c r="F114" s="1">
        <f>IF(Protokoll_2p!J120="","",IF(VALUE(LEFT(Protokoll_2p!J120,FIND(":",Protokoll_2p!J120)-1))&gt;VALUE(RIGHT(Protokoll_2p!J120,LEN(Protokoll_2p!J120)-FIND(":",Protokoll_2p!J120))),1,0))</f>
        <v>0</v>
      </c>
      <c r="G114" s="1">
        <f t="shared" si="2"/>
        <v>2</v>
      </c>
      <c r="I114" s="1">
        <f>IF(Protokoll_2p!F120="","",IF(VALUE(LEFT(Protokoll_2p!F120,FIND(":",Protokoll_2p!F120)-1))&gt;VALUE(RIGHT(Protokoll_2p!F120,LEN(Protokoll_2p!F120)-FIND(":",Protokoll_2p!F120))),0,1))</f>
        <v>1</v>
      </c>
      <c r="J114" s="1">
        <f>IF(Protokoll_2p!G120="","",IF(VALUE(LEFT(Protokoll_2p!G120,FIND(":",Protokoll_2p!G120)-1))&gt;VALUE(RIGHT(Protokoll_2p!G120,LEN(Protokoll_2p!G120)-FIND(":",Protokoll_2p!G120))),0,1))</f>
        <v>0</v>
      </c>
      <c r="K114" s="1">
        <f>IF(Protokoll_2p!H120="","",IF(VALUE(LEFT(Protokoll_2p!H120,FIND(":",Protokoll_2p!H120)-1))&gt;VALUE(RIGHT(Protokoll_2p!H120,LEN(Protokoll_2p!H120)-FIND(":",Protokoll_2p!H120))),0,1))</f>
        <v>1</v>
      </c>
      <c r="L114" s="1">
        <f>IF(Protokoll_2p!I120="","",IF(VALUE(LEFT(Protokoll_2p!I120,FIND(":",Protokoll_2p!I120)-1))&gt;VALUE(RIGHT(Protokoll_2p!I120,LEN(Protokoll_2p!I120)-FIND(":",Protokoll_2p!I120))),0,1))</f>
        <v>0</v>
      </c>
      <c r="M114" s="1">
        <f>IF(Protokoll_2p!J120="","",IF(VALUE(LEFT(Protokoll_2p!J120,FIND(":",Protokoll_2p!J120)-1))&gt;VALUE(RIGHT(Protokoll_2p!J120,LEN(Protokoll_2p!J120)-FIND(":",Protokoll_2p!J120))),0,1))</f>
        <v>1</v>
      </c>
      <c r="N114" s="1">
        <f t="shared" si="3"/>
        <v>3</v>
      </c>
    </row>
    <row r="115" spans="2:14">
      <c r="B115" s="1">
        <f>IF(Protokoll_2p!F121="","",IF(VALUE(LEFT(Protokoll_2p!F121,FIND(":",Protokoll_2p!F121)-1))&gt;VALUE(RIGHT(Protokoll_2p!F121,LEN(Protokoll_2p!F121)-FIND(":",Protokoll_2p!F121))),1,0))</f>
        <v>0</v>
      </c>
      <c r="C115" s="1">
        <f>IF(Protokoll_2p!G121="","",IF(VALUE(LEFT(Protokoll_2p!G121,FIND(":",Protokoll_2p!G121)-1))&gt;VALUE(RIGHT(Protokoll_2p!G121,LEN(Protokoll_2p!G121)-FIND(":",Protokoll_2p!G121))),1,0))</f>
        <v>0</v>
      </c>
      <c r="D115" s="1">
        <f>IF(Protokoll_2p!H121="","",IF(VALUE(LEFT(Protokoll_2p!H121,FIND(":",Protokoll_2p!H121)-1))&gt;VALUE(RIGHT(Protokoll_2p!H121,LEN(Protokoll_2p!H121)-FIND(":",Protokoll_2p!H121))),1,0))</f>
        <v>0</v>
      </c>
      <c r="E115" s="1" t="str">
        <f>IF(Protokoll_2p!I121="","",IF(VALUE(LEFT(Protokoll_2p!I121,FIND(":",Protokoll_2p!I121)-1))&gt;VALUE(RIGHT(Protokoll_2p!I121,LEN(Protokoll_2p!I121)-FIND(":",Protokoll_2p!I121))),1,0))</f>
        <v/>
      </c>
      <c r="F115" s="1" t="str">
        <f>IF(Protokoll_2p!J121="","",IF(VALUE(LEFT(Protokoll_2p!J121,FIND(":",Protokoll_2p!J121)-1))&gt;VALUE(RIGHT(Protokoll_2p!J121,LEN(Protokoll_2p!J121)-FIND(":",Protokoll_2p!J121))),1,0))</f>
        <v/>
      </c>
      <c r="G115" s="1">
        <f t="shared" si="2"/>
        <v>0</v>
      </c>
      <c r="I115" s="1">
        <f>IF(Protokoll_2p!F121="","",IF(VALUE(LEFT(Protokoll_2p!F121,FIND(":",Protokoll_2p!F121)-1))&gt;VALUE(RIGHT(Protokoll_2p!F121,LEN(Protokoll_2p!F121)-FIND(":",Protokoll_2p!F121))),0,1))</f>
        <v>1</v>
      </c>
      <c r="J115" s="1">
        <f>IF(Protokoll_2p!G121="","",IF(VALUE(LEFT(Protokoll_2p!G121,FIND(":",Protokoll_2p!G121)-1))&gt;VALUE(RIGHT(Protokoll_2p!G121,LEN(Protokoll_2p!G121)-FIND(":",Protokoll_2p!G121))),0,1))</f>
        <v>1</v>
      </c>
      <c r="K115" s="1">
        <f>IF(Protokoll_2p!H121="","",IF(VALUE(LEFT(Protokoll_2p!H121,FIND(":",Protokoll_2p!H121)-1))&gt;VALUE(RIGHT(Protokoll_2p!H121,LEN(Protokoll_2p!H121)-FIND(":",Protokoll_2p!H121))),0,1))</f>
        <v>1</v>
      </c>
      <c r="L115" s="1" t="str">
        <f>IF(Protokoll_2p!I121="","",IF(VALUE(LEFT(Protokoll_2p!I121,FIND(":",Protokoll_2p!I121)-1))&gt;VALUE(RIGHT(Protokoll_2p!I121,LEN(Protokoll_2p!I121)-FIND(":",Protokoll_2p!I121))),0,1))</f>
        <v/>
      </c>
      <c r="M115" s="1" t="str">
        <f>IF(Protokoll_2p!J121="","",IF(VALUE(LEFT(Protokoll_2p!J121,FIND(":",Protokoll_2p!J121)-1))&gt;VALUE(RIGHT(Protokoll_2p!J121,LEN(Protokoll_2p!J121)-FIND(":",Protokoll_2p!J121))),0,1))</f>
        <v/>
      </c>
      <c r="N115" s="1">
        <f t="shared" si="3"/>
        <v>3</v>
      </c>
    </row>
    <row r="116" spans="2:14">
      <c r="B116" s="1" t="str">
        <f>IF(Protokoll_2p!F122="","",IF(VALUE(LEFT(Protokoll_2p!F122,FIND(":",Protokoll_2p!F122)-1))&gt;VALUE(RIGHT(Protokoll_2p!F122,LEN(Protokoll_2p!F122)-FIND(":",Protokoll_2p!F122))),1,0))</f>
        <v/>
      </c>
      <c r="C116" s="1" t="str">
        <f>IF(Protokoll_2p!G122="","",IF(VALUE(LEFT(Protokoll_2p!G122,FIND(":",Protokoll_2p!G122)-1))&gt;VALUE(RIGHT(Protokoll_2p!G122,LEN(Protokoll_2p!G122)-FIND(":",Protokoll_2p!G122))),1,0))</f>
        <v/>
      </c>
      <c r="D116" s="1" t="str">
        <f>IF(Protokoll_2p!H122="","",IF(VALUE(LEFT(Protokoll_2p!H122,FIND(":",Protokoll_2p!H122)-1))&gt;VALUE(RIGHT(Protokoll_2p!H122,LEN(Protokoll_2p!H122)-FIND(":",Protokoll_2p!H122))),1,0))</f>
        <v/>
      </c>
      <c r="E116" s="1" t="str">
        <f>IF(Protokoll_2p!I122="","",IF(VALUE(LEFT(Protokoll_2p!I122,FIND(":",Protokoll_2p!I122)-1))&gt;VALUE(RIGHT(Protokoll_2p!I122,LEN(Protokoll_2p!I122)-FIND(":",Protokoll_2p!I122))),1,0))</f>
        <v/>
      </c>
      <c r="F116" s="1" t="str">
        <f>IF(Protokoll_2p!J122="","",IF(VALUE(LEFT(Protokoll_2p!J122,FIND(":",Protokoll_2p!J122)-1))&gt;VALUE(RIGHT(Protokoll_2p!J122,LEN(Protokoll_2p!J122)-FIND(":",Protokoll_2p!J122))),1,0))</f>
        <v/>
      </c>
      <c r="G116" s="1" t="str">
        <f t="shared" si="2"/>
        <v/>
      </c>
      <c r="I116" s="1" t="str">
        <f>IF(Protokoll_2p!F122="","",IF(VALUE(LEFT(Protokoll_2p!F122,FIND(":",Protokoll_2p!F122)-1))&gt;VALUE(RIGHT(Protokoll_2p!F122,LEN(Protokoll_2p!F122)-FIND(":",Protokoll_2p!F122))),0,1))</f>
        <v/>
      </c>
      <c r="J116" s="1" t="str">
        <f>IF(Protokoll_2p!G122="","",IF(VALUE(LEFT(Protokoll_2p!G122,FIND(":",Protokoll_2p!G122)-1))&gt;VALUE(RIGHT(Protokoll_2p!G122,LEN(Protokoll_2p!G122)-FIND(":",Protokoll_2p!G122))),0,1))</f>
        <v/>
      </c>
      <c r="K116" s="1" t="str">
        <f>IF(Protokoll_2p!H122="","",IF(VALUE(LEFT(Protokoll_2p!H122,FIND(":",Protokoll_2p!H122)-1))&gt;VALUE(RIGHT(Protokoll_2p!H122,LEN(Protokoll_2p!H122)-FIND(":",Protokoll_2p!H122))),0,1))</f>
        <v/>
      </c>
      <c r="L116" s="1" t="str">
        <f>IF(Protokoll_2p!I122="","",IF(VALUE(LEFT(Protokoll_2p!I122,FIND(":",Protokoll_2p!I122)-1))&gt;VALUE(RIGHT(Protokoll_2p!I122,LEN(Protokoll_2p!I122)-FIND(":",Protokoll_2p!I122))),0,1))</f>
        <v/>
      </c>
      <c r="M116" s="1" t="str">
        <f>IF(Protokoll_2p!J122="","",IF(VALUE(LEFT(Protokoll_2p!J122,FIND(":",Protokoll_2p!J122)-1))&gt;VALUE(RIGHT(Protokoll_2p!J122,LEN(Protokoll_2p!J122)-FIND(":",Protokoll_2p!J122))),0,1))</f>
        <v/>
      </c>
      <c r="N116" s="1" t="str">
        <f t="shared" si="3"/>
        <v/>
      </c>
    </row>
    <row r="117" spans="2:14">
      <c r="B117" s="1">
        <f>IF(Protokoll_2p!F123="","",IF(VALUE(LEFT(Protokoll_2p!F123,FIND(":",Protokoll_2p!F123)-1))&gt;VALUE(RIGHT(Protokoll_2p!F123,LEN(Protokoll_2p!F123)-FIND(":",Protokoll_2p!F123))),1,0))</f>
        <v>1</v>
      </c>
      <c r="C117" s="1">
        <f>IF(Protokoll_2p!G123="","",IF(VALUE(LEFT(Protokoll_2p!G123,FIND(":",Protokoll_2p!G123)-1))&gt;VALUE(RIGHT(Protokoll_2p!G123,LEN(Protokoll_2p!G123)-FIND(":",Protokoll_2p!G123))),1,0))</f>
        <v>1</v>
      </c>
      <c r="D117" s="1">
        <f>IF(Protokoll_2p!H123="","",IF(VALUE(LEFT(Protokoll_2p!H123,FIND(":",Protokoll_2p!H123)-1))&gt;VALUE(RIGHT(Protokoll_2p!H123,LEN(Protokoll_2p!H123)-FIND(":",Protokoll_2p!H123))),1,0))</f>
        <v>1</v>
      </c>
      <c r="E117" s="1" t="str">
        <f>IF(Protokoll_2p!I123="","",IF(VALUE(LEFT(Protokoll_2p!I123,FIND(":",Protokoll_2p!I123)-1))&gt;VALUE(RIGHT(Protokoll_2p!I123,LEN(Protokoll_2p!I123)-FIND(":",Protokoll_2p!I123))),1,0))</f>
        <v/>
      </c>
      <c r="F117" s="1" t="str">
        <f>IF(Protokoll_2p!J123="","",IF(VALUE(LEFT(Protokoll_2p!J123,FIND(":",Protokoll_2p!J123)-1))&gt;VALUE(RIGHT(Protokoll_2p!J123,LEN(Protokoll_2p!J123)-FIND(":",Protokoll_2p!J123))),1,0))</f>
        <v/>
      </c>
      <c r="G117" s="1">
        <f t="shared" si="2"/>
        <v>3</v>
      </c>
      <c r="I117" s="1">
        <f>IF(Protokoll_2p!F123="","",IF(VALUE(LEFT(Protokoll_2p!F123,FIND(":",Protokoll_2p!F123)-1))&gt;VALUE(RIGHT(Protokoll_2p!F123,LEN(Protokoll_2p!F123)-FIND(":",Protokoll_2p!F123))),0,1))</f>
        <v>0</v>
      </c>
      <c r="J117" s="1">
        <f>IF(Protokoll_2p!G123="","",IF(VALUE(LEFT(Protokoll_2p!G123,FIND(":",Protokoll_2p!G123)-1))&gt;VALUE(RIGHT(Protokoll_2p!G123,LEN(Protokoll_2p!G123)-FIND(":",Protokoll_2p!G123))),0,1))</f>
        <v>0</v>
      </c>
      <c r="K117" s="1">
        <f>IF(Protokoll_2p!H123="","",IF(VALUE(LEFT(Protokoll_2p!H123,FIND(":",Protokoll_2p!H123)-1))&gt;VALUE(RIGHT(Protokoll_2p!H123,LEN(Protokoll_2p!H123)-FIND(":",Protokoll_2p!H123))),0,1))</f>
        <v>0</v>
      </c>
      <c r="L117" s="1" t="str">
        <f>IF(Protokoll_2p!I123="","",IF(VALUE(LEFT(Protokoll_2p!I123,FIND(":",Protokoll_2p!I123)-1))&gt;VALUE(RIGHT(Protokoll_2p!I123,LEN(Protokoll_2p!I123)-FIND(":",Protokoll_2p!I123))),0,1))</f>
        <v/>
      </c>
      <c r="M117" s="1" t="str">
        <f>IF(Protokoll_2p!J123="","",IF(VALUE(LEFT(Protokoll_2p!J123,FIND(":",Protokoll_2p!J123)-1))&gt;VALUE(RIGHT(Protokoll_2p!J123,LEN(Protokoll_2p!J123)-FIND(":",Protokoll_2p!J123))),0,1))</f>
        <v/>
      </c>
      <c r="N117" s="1">
        <f t="shared" si="3"/>
        <v>0</v>
      </c>
    </row>
    <row r="118" spans="2:14">
      <c r="B118" s="1">
        <f>IF(Protokoll_2p!F124="","",IF(VALUE(LEFT(Protokoll_2p!F124,FIND(":",Protokoll_2p!F124)-1))&gt;VALUE(RIGHT(Protokoll_2p!F124,LEN(Protokoll_2p!F124)-FIND(":",Protokoll_2p!F124))),1,0))</f>
        <v>0</v>
      </c>
      <c r="C118" s="1">
        <f>IF(Protokoll_2p!G124="","",IF(VALUE(LEFT(Protokoll_2p!G124,FIND(":",Protokoll_2p!G124)-1))&gt;VALUE(RIGHT(Protokoll_2p!G124,LEN(Protokoll_2p!G124)-FIND(":",Protokoll_2p!G124))),1,0))</f>
        <v>0</v>
      </c>
      <c r="D118" s="1">
        <f>IF(Protokoll_2p!H124="","",IF(VALUE(LEFT(Protokoll_2p!H124,FIND(":",Protokoll_2p!H124)-1))&gt;VALUE(RIGHT(Protokoll_2p!H124,LEN(Protokoll_2p!H124)-FIND(":",Protokoll_2p!H124))),1,0))</f>
        <v>0</v>
      </c>
      <c r="E118" s="1" t="str">
        <f>IF(Protokoll_2p!I124="","",IF(VALUE(LEFT(Protokoll_2p!I124,FIND(":",Protokoll_2p!I124)-1))&gt;VALUE(RIGHT(Protokoll_2p!I124,LEN(Protokoll_2p!I124)-FIND(":",Protokoll_2p!I124))),1,0))</f>
        <v/>
      </c>
      <c r="F118" s="1" t="str">
        <f>IF(Protokoll_2p!J124="","",IF(VALUE(LEFT(Protokoll_2p!J124,FIND(":",Protokoll_2p!J124)-1))&gt;VALUE(RIGHT(Protokoll_2p!J124,LEN(Protokoll_2p!J124)-FIND(":",Protokoll_2p!J124))),1,0))</f>
        <v/>
      </c>
      <c r="G118" s="1">
        <f t="shared" si="2"/>
        <v>0</v>
      </c>
      <c r="I118" s="1">
        <f>IF(Protokoll_2p!F124="","",IF(VALUE(LEFT(Protokoll_2p!F124,FIND(":",Protokoll_2p!F124)-1))&gt;VALUE(RIGHT(Protokoll_2p!F124,LEN(Protokoll_2p!F124)-FIND(":",Protokoll_2p!F124))),0,1))</f>
        <v>1</v>
      </c>
      <c r="J118" s="1">
        <f>IF(Protokoll_2p!G124="","",IF(VALUE(LEFT(Protokoll_2p!G124,FIND(":",Protokoll_2p!G124)-1))&gt;VALUE(RIGHT(Protokoll_2p!G124,LEN(Protokoll_2p!G124)-FIND(":",Protokoll_2p!G124))),0,1))</f>
        <v>1</v>
      </c>
      <c r="K118" s="1">
        <f>IF(Protokoll_2p!H124="","",IF(VALUE(LEFT(Protokoll_2p!H124,FIND(":",Protokoll_2p!H124)-1))&gt;VALUE(RIGHT(Protokoll_2p!H124,LEN(Protokoll_2p!H124)-FIND(":",Protokoll_2p!H124))),0,1))</f>
        <v>1</v>
      </c>
      <c r="L118" s="1" t="str">
        <f>IF(Protokoll_2p!I124="","",IF(VALUE(LEFT(Protokoll_2p!I124,FIND(":",Protokoll_2p!I124)-1))&gt;VALUE(RIGHT(Protokoll_2p!I124,LEN(Protokoll_2p!I124)-FIND(":",Protokoll_2p!I124))),0,1))</f>
        <v/>
      </c>
      <c r="M118" s="1" t="str">
        <f>IF(Protokoll_2p!J124="","",IF(VALUE(LEFT(Protokoll_2p!J124,FIND(":",Protokoll_2p!J124)-1))&gt;VALUE(RIGHT(Protokoll_2p!J124,LEN(Protokoll_2p!J124)-FIND(":",Protokoll_2p!J124))),0,1))</f>
        <v/>
      </c>
      <c r="N118" s="1">
        <f t="shared" si="3"/>
        <v>3</v>
      </c>
    </row>
    <row r="119" spans="2:14">
      <c r="B119" s="1">
        <f>IF(Protokoll_2p!F125="","",IF(VALUE(LEFT(Protokoll_2p!F125,FIND(":",Protokoll_2p!F125)-1))&gt;VALUE(RIGHT(Protokoll_2p!F125,LEN(Protokoll_2p!F125)-FIND(":",Protokoll_2p!F125))),1,0))</f>
        <v>1</v>
      </c>
      <c r="C119" s="1">
        <f>IF(Protokoll_2p!G125="","",IF(VALUE(LEFT(Protokoll_2p!G125,FIND(":",Protokoll_2p!G125)-1))&gt;VALUE(RIGHT(Protokoll_2p!G125,LEN(Protokoll_2p!G125)-FIND(":",Protokoll_2p!G125))),1,0))</f>
        <v>1</v>
      </c>
      <c r="D119" s="1">
        <f>IF(Protokoll_2p!H125="","",IF(VALUE(LEFT(Protokoll_2p!H125,FIND(":",Protokoll_2p!H125)-1))&gt;VALUE(RIGHT(Protokoll_2p!H125,LEN(Protokoll_2p!H125)-FIND(":",Protokoll_2p!H125))),1,0))</f>
        <v>0</v>
      </c>
      <c r="E119" s="1">
        <f>IF(Protokoll_2p!I125="","",IF(VALUE(LEFT(Protokoll_2p!I125,FIND(":",Protokoll_2p!I125)-1))&gt;VALUE(RIGHT(Protokoll_2p!I125,LEN(Protokoll_2p!I125)-FIND(":",Protokoll_2p!I125))),1,0))</f>
        <v>1</v>
      </c>
      <c r="F119" s="1" t="str">
        <f>IF(Protokoll_2p!J125="","",IF(VALUE(LEFT(Protokoll_2p!J125,FIND(":",Protokoll_2p!J125)-1))&gt;VALUE(RIGHT(Protokoll_2p!J125,LEN(Protokoll_2p!J125)-FIND(":",Protokoll_2p!J125))),1,0))</f>
        <v/>
      </c>
      <c r="G119" s="1">
        <f t="shared" si="2"/>
        <v>3</v>
      </c>
      <c r="I119" s="1">
        <f>IF(Protokoll_2p!F125="","",IF(VALUE(LEFT(Protokoll_2p!F125,FIND(":",Protokoll_2p!F125)-1))&gt;VALUE(RIGHT(Protokoll_2p!F125,LEN(Protokoll_2p!F125)-FIND(":",Protokoll_2p!F125))),0,1))</f>
        <v>0</v>
      </c>
      <c r="J119" s="1">
        <f>IF(Protokoll_2p!G125="","",IF(VALUE(LEFT(Protokoll_2p!G125,FIND(":",Protokoll_2p!G125)-1))&gt;VALUE(RIGHT(Protokoll_2p!G125,LEN(Protokoll_2p!G125)-FIND(":",Protokoll_2p!G125))),0,1))</f>
        <v>0</v>
      </c>
      <c r="K119" s="1">
        <f>IF(Protokoll_2p!H125="","",IF(VALUE(LEFT(Protokoll_2p!H125,FIND(":",Protokoll_2p!H125)-1))&gt;VALUE(RIGHT(Protokoll_2p!H125,LEN(Protokoll_2p!H125)-FIND(":",Protokoll_2p!H125))),0,1))</f>
        <v>1</v>
      </c>
      <c r="L119" s="1">
        <f>IF(Protokoll_2p!I125="","",IF(VALUE(LEFT(Protokoll_2p!I125,FIND(":",Protokoll_2p!I125)-1))&gt;VALUE(RIGHT(Protokoll_2p!I125,LEN(Protokoll_2p!I125)-FIND(":",Protokoll_2p!I125))),0,1))</f>
        <v>0</v>
      </c>
      <c r="M119" s="1" t="str">
        <f>IF(Protokoll_2p!J125="","",IF(VALUE(LEFT(Protokoll_2p!J125,FIND(":",Protokoll_2p!J125)-1))&gt;VALUE(RIGHT(Protokoll_2p!J125,LEN(Protokoll_2p!J125)-FIND(":",Protokoll_2p!J125))),0,1))</f>
        <v/>
      </c>
      <c r="N119" s="1">
        <f t="shared" si="3"/>
        <v>1</v>
      </c>
    </row>
    <row r="120" spans="2:14">
      <c r="B120" s="1" t="str">
        <f>IF(Protokoll_2p!F126="","",IF(VALUE(LEFT(Protokoll_2p!F126,FIND(":",Protokoll_2p!F126)-1))&gt;VALUE(RIGHT(Protokoll_2p!F126,LEN(Protokoll_2p!F126)-FIND(":",Protokoll_2p!F126))),1,0))</f>
        <v/>
      </c>
      <c r="C120" s="1" t="str">
        <f>IF(Protokoll_2p!G126="","",IF(VALUE(LEFT(Protokoll_2p!G126,FIND(":",Protokoll_2p!G126)-1))&gt;VALUE(RIGHT(Protokoll_2p!G126,LEN(Protokoll_2p!G126)-FIND(":",Protokoll_2p!G126))),1,0))</f>
        <v/>
      </c>
      <c r="D120" s="1" t="str">
        <f>IF(Protokoll_2p!H126="","",IF(VALUE(LEFT(Protokoll_2p!H126,FIND(":",Protokoll_2p!H126)-1))&gt;VALUE(RIGHT(Protokoll_2p!H126,LEN(Protokoll_2p!H126)-FIND(":",Protokoll_2p!H126))),1,0))</f>
        <v/>
      </c>
      <c r="E120" s="1" t="str">
        <f>IF(Protokoll_2p!I126="","",IF(VALUE(LEFT(Protokoll_2p!I126,FIND(":",Protokoll_2p!I126)-1))&gt;VALUE(RIGHT(Protokoll_2p!I126,LEN(Protokoll_2p!I126)-FIND(":",Protokoll_2p!I126))),1,0))</f>
        <v/>
      </c>
      <c r="F120" s="1" t="str">
        <f>IF(Protokoll_2p!J126="","",IF(VALUE(LEFT(Protokoll_2p!J126,FIND(":",Protokoll_2p!J126)-1))&gt;VALUE(RIGHT(Protokoll_2p!J126,LEN(Protokoll_2p!J126)-FIND(":",Protokoll_2p!J126))),1,0))</f>
        <v/>
      </c>
      <c r="G120" s="1" t="str">
        <f t="shared" si="2"/>
        <v/>
      </c>
      <c r="I120" s="1" t="str">
        <f>IF(Protokoll_2p!F126="","",IF(VALUE(LEFT(Protokoll_2p!F126,FIND(":",Protokoll_2p!F126)-1))&gt;VALUE(RIGHT(Protokoll_2p!F126,LEN(Protokoll_2p!F126)-FIND(":",Protokoll_2p!F126))),0,1))</f>
        <v/>
      </c>
      <c r="J120" s="1" t="str">
        <f>IF(Protokoll_2p!G126="","",IF(VALUE(LEFT(Protokoll_2p!G126,FIND(":",Protokoll_2p!G126)-1))&gt;VALUE(RIGHT(Protokoll_2p!G126,LEN(Protokoll_2p!G126)-FIND(":",Protokoll_2p!G126))),0,1))</f>
        <v/>
      </c>
      <c r="K120" s="1" t="str">
        <f>IF(Protokoll_2p!H126="","",IF(VALUE(LEFT(Protokoll_2p!H126,FIND(":",Protokoll_2p!H126)-1))&gt;VALUE(RIGHT(Protokoll_2p!H126,LEN(Protokoll_2p!H126)-FIND(":",Protokoll_2p!H126))),0,1))</f>
        <v/>
      </c>
      <c r="L120" s="1" t="str">
        <f>IF(Protokoll_2p!I126="","",IF(VALUE(LEFT(Protokoll_2p!I126,FIND(":",Protokoll_2p!I126)-1))&gt;VALUE(RIGHT(Protokoll_2p!I126,LEN(Protokoll_2p!I126)-FIND(":",Protokoll_2p!I126))),0,1))</f>
        <v/>
      </c>
      <c r="M120" s="1" t="str">
        <f>IF(Protokoll_2p!J126="","",IF(VALUE(LEFT(Protokoll_2p!J126,FIND(":",Protokoll_2p!J126)-1))&gt;VALUE(RIGHT(Protokoll_2p!J126,LEN(Protokoll_2p!J126)-FIND(":",Protokoll_2p!J126))),0,1))</f>
        <v/>
      </c>
      <c r="N120" s="1" t="str">
        <f t="shared" si="3"/>
        <v/>
      </c>
    </row>
    <row r="121" spans="2:14">
      <c r="B121" s="1" t="e">
        <f>IF(Protokoll_2p!#REF!="","",IF(VALUE(LEFT(Protokoll_2p!#REF!,FIND(":",Protokoll_2p!#REF!)-1))&gt;VALUE(RIGHT(Protokoll_2p!#REF!,LEN(Protokoll_2p!#REF!)-FIND(":",Protokoll_2p!#REF!))),1,0))</f>
        <v>#REF!</v>
      </c>
      <c r="C121" s="1" t="e">
        <f>IF(Protokoll_2p!#REF!="","",IF(VALUE(LEFT(Protokoll_2p!#REF!,FIND(":",Protokoll_2p!#REF!)-1))&gt;VALUE(RIGHT(Protokoll_2p!#REF!,LEN(Protokoll_2p!#REF!)-FIND(":",Protokoll_2p!#REF!))),1,0))</f>
        <v>#REF!</v>
      </c>
      <c r="D121" s="1" t="e">
        <f>IF(Protokoll_2p!#REF!="","",IF(VALUE(LEFT(Protokoll_2p!#REF!,FIND(":",Protokoll_2p!#REF!)-1))&gt;VALUE(RIGHT(Protokoll_2p!#REF!,LEN(Protokoll_2p!#REF!)-FIND(":",Protokoll_2p!#REF!))),1,0))</f>
        <v>#REF!</v>
      </c>
      <c r="E121" s="1" t="e">
        <f>IF(Protokoll_2p!#REF!="","",IF(VALUE(LEFT(Protokoll_2p!#REF!,FIND(":",Protokoll_2p!#REF!)-1))&gt;VALUE(RIGHT(Protokoll_2p!#REF!,LEN(Protokoll_2p!#REF!)-FIND(":",Protokoll_2p!#REF!))),1,0))</f>
        <v>#REF!</v>
      </c>
      <c r="F121" s="1" t="e">
        <f>IF(Protokoll_2p!#REF!="","",IF(VALUE(LEFT(Protokoll_2p!#REF!,FIND(":",Protokoll_2p!#REF!)-1))&gt;VALUE(RIGHT(Protokoll_2p!#REF!,LEN(Protokoll_2p!#REF!)-FIND(":",Protokoll_2p!#REF!))),1,0))</f>
        <v>#REF!</v>
      </c>
      <c r="G121" s="1" t="e">
        <f t="shared" si="2"/>
        <v>#REF!</v>
      </c>
      <c r="I121" s="1" t="e">
        <f>IF(Protokoll_2p!#REF!="","",IF(VALUE(LEFT(Protokoll_2p!#REF!,FIND(":",Protokoll_2p!#REF!)-1))&gt;VALUE(RIGHT(Protokoll_2p!#REF!,LEN(Protokoll_2p!#REF!)-FIND(":",Protokoll_2p!#REF!))),0,1))</f>
        <v>#REF!</v>
      </c>
      <c r="J121" s="1" t="e">
        <f>IF(Protokoll_2p!#REF!="","",IF(VALUE(LEFT(Protokoll_2p!#REF!,FIND(":",Protokoll_2p!#REF!)-1))&gt;VALUE(RIGHT(Protokoll_2p!#REF!,LEN(Protokoll_2p!#REF!)-FIND(":",Protokoll_2p!#REF!))),0,1))</f>
        <v>#REF!</v>
      </c>
      <c r="K121" s="1" t="e">
        <f>IF(Protokoll_2p!#REF!="","",IF(VALUE(LEFT(Protokoll_2p!#REF!,FIND(":",Protokoll_2p!#REF!)-1))&gt;VALUE(RIGHT(Protokoll_2p!#REF!,LEN(Protokoll_2p!#REF!)-FIND(":",Protokoll_2p!#REF!))),0,1))</f>
        <v>#REF!</v>
      </c>
      <c r="L121" s="1" t="e">
        <f>IF(Protokoll_2p!#REF!="","",IF(VALUE(LEFT(Protokoll_2p!#REF!,FIND(":",Protokoll_2p!#REF!)-1))&gt;VALUE(RIGHT(Protokoll_2p!#REF!,LEN(Protokoll_2p!#REF!)-FIND(":",Protokoll_2p!#REF!))),0,1))</f>
        <v>#REF!</v>
      </c>
      <c r="M121" s="1" t="e">
        <f>IF(Protokoll_2p!#REF!="","",IF(VALUE(LEFT(Protokoll_2p!#REF!,FIND(":",Protokoll_2p!#REF!)-1))&gt;VALUE(RIGHT(Protokoll_2p!#REF!,LEN(Protokoll_2p!#REF!)-FIND(":",Protokoll_2p!#REF!))),0,1))</f>
        <v>#REF!</v>
      </c>
      <c r="N121" s="1" t="e">
        <f t="shared" si="3"/>
        <v>#REF!</v>
      </c>
    </row>
    <row r="122" spans="2:14">
      <c r="B122" s="1" t="e">
        <f>IF(Protokoll_2p!#REF!="","",IF(VALUE(LEFT(Protokoll_2p!#REF!,FIND(":",Protokoll_2p!#REF!)-1))&gt;VALUE(RIGHT(Protokoll_2p!#REF!,LEN(Protokoll_2p!#REF!)-FIND(":",Protokoll_2p!#REF!))),1,0))</f>
        <v>#REF!</v>
      </c>
      <c r="C122" s="1" t="e">
        <f>IF(Protokoll_2p!#REF!="","",IF(VALUE(LEFT(Protokoll_2p!#REF!,FIND(":",Protokoll_2p!#REF!)-1))&gt;VALUE(RIGHT(Protokoll_2p!#REF!,LEN(Protokoll_2p!#REF!)-FIND(":",Protokoll_2p!#REF!))),1,0))</f>
        <v>#REF!</v>
      </c>
      <c r="D122" s="1" t="e">
        <f>IF(Protokoll_2p!#REF!="","",IF(VALUE(LEFT(Protokoll_2p!#REF!,FIND(":",Protokoll_2p!#REF!)-1))&gt;VALUE(RIGHT(Protokoll_2p!#REF!,LEN(Protokoll_2p!#REF!)-FIND(":",Protokoll_2p!#REF!))),1,0))</f>
        <v>#REF!</v>
      </c>
      <c r="E122" s="1" t="e">
        <f>IF(Protokoll_2p!#REF!="","",IF(VALUE(LEFT(Protokoll_2p!#REF!,FIND(":",Protokoll_2p!#REF!)-1))&gt;VALUE(RIGHT(Protokoll_2p!#REF!,LEN(Protokoll_2p!#REF!)-FIND(":",Protokoll_2p!#REF!))),1,0))</f>
        <v>#REF!</v>
      </c>
      <c r="F122" s="1" t="e">
        <f>IF(Protokoll_2p!#REF!="","",IF(VALUE(LEFT(Protokoll_2p!#REF!,FIND(":",Protokoll_2p!#REF!)-1))&gt;VALUE(RIGHT(Protokoll_2p!#REF!,LEN(Protokoll_2p!#REF!)-FIND(":",Protokoll_2p!#REF!))),1,0))</f>
        <v>#REF!</v>
      </c>
      <c r="G122" s="1" t="e">
        <f t="shared" si="2"/>
        <v>#REF!</v>
      </c>
      <c r="I122" s="1" t="e">
        <f>IF(Protokoll_2p!#REF!="","",IF(VALUE(LEFT(Protokoll_2p!#REF!,FIND(":",Protokoll_2p!#REF!)-1))&gt;VALUE(RIGHT(Protokoll_2p!#REF!,LEN(Protokoll_2p!#REF!)-FIND(":",Protokoll_2p!#REF!))),0,1))</f>
        <v>#REF!</v>
      </c>
      <c r="J122" s="1" t="e">
        <f>IF(Protokoll_2p!#REF!="","",IF(VALUE(LEFT(Protokoll_2p!#REF!,FIND(":",Protokoll_2p!#REF!)-1))&gt;VALUE(RIGHT(Protokoll_2p!#REF!,LEN(Protokoll_2p!#REF!)-FIND(":",Protokoll_2p!#REF!))),0,1))</f>
        <v>#REF!</v>
      </c>
      <c r="K122" s="1" t="e">
        <f>IF(Protokoll_2p!#REF!="","",IF(VALUE(LEFT(Protokoll_2p!#REF!,FIND(":",Protokoll_2p!#REF!)-1))&gt;VALUE(RIGHT(Protokoll_2p!#REF!,LEN(Protokoll_2p!#REF!)-FIND(":",Protokoll_2p!#REF!))),0,1))</f>
        <v>#REF!</v>
      </c>
      <c r="L122" s="1" t="e">
        <f>IF(Protokoll_2p!#REF!="","",IF(VALUE(LEFT(Protokoll_2p!#REF!,FIND(":",Protokoll_2p!#REF!)-1))&gt;VALUE(RIGHT(Protokoll_2p!#REF!,LEN(Protokoll_2p!#REF!)-FIND(":",Protokoll_2p!#REF!))),0,1))</f>
        <v>#REF!</v>
      </c>
      <c r="M122" s="1" t="e">
        <f>IF(Protokoll_2p!#REF!="","",IF(VALUE(LEFT(Protokoll_2p!#REF!,FIND(":",Protokoll_2p!#REF!)-1))&gt;VALUE(RIGHT(Protokoll_2p!#REF!,LEN(Protokoll_2p!#REF!)-FIND(":",Protokoll_2p!#REF!))),0,1))</f>
        <v>#REF!</v>
      </c>
      <c r="N122" s="1" t="e">
        <f t="shared" si="3"/>
        <v>#REF!</v>
      </c>
    </row>
    <row r="123" spans="2:14">
      <c r="B123" s="1" t="e">
        <f>IF(Protokoll_2p!#REF!="","",IF(VALUE(LEFT(Protokoll_2p!#REF!,FIND(":",Protokoll_2p!#REF!)-1))&gt;VALUE(RIGHT(Protokoll_2p!#REF!,LEN(Protokoll_2p!#REF!)-FIND(":",Protokoll_2p!#REF!))),1,0))</f>
        <v>#REF!</v>
      </c>
      <c r="C123" s="1" t="e">
        <f>IF(Protokoll_2p!#REF!="","",IF(VALUE(LEFT(Protokoll_2p!#REF!,FIND(":",Protokoll_2p!#REF!)-1))&gt;VALUE(RIGHT(Protokoll_2p!#REF!,LEN(Protokoll_2p!#REF!)-FIND(":",Protokoll_2p!#REF!))),1,0))</f>
        <v>#REF!</v>
      </c>
      <c r="D123" s="1" t="e">
        <f>IF(Protokoll_2p!#REF!="","",IF(VALUE(LEFT(Protokoll_2p!#REF!,FIND(":",Protokoll_2p!#REF!)-1))&gt;VALUE(RIGHT(Protokoll_2p!#REF!,LEN(Protokoll_2p!#REF!)-FIND(":",Protokoll_2p!#REF!))),1,0))</f>
        <v>#REF!</v>
      </c>
      <c r="E123" s="1" t="e">
        <f>IF(Protokoll_2p!#REF!="","",IF(VALUE(LEFT(Protokoll_2p!#REF!,FIND(":",Protokoll_2p!#REF!)-1))&gt;VALUE(RIGHT(Protokoll_2p!#REF!,LEN(Protokoll_2p!#REF!)-FIND(":",Protokoll_2p!#REF!))),1,0))</f>
        <v>#REF!</v>
      </c>
      <c r="F123" s="1" t="e">
        <f>IF(Protokoll_2p!#REF!="","",IF(VALUE(LEFT(Protokoll_2p!#REF!,FIND(":",Protokoll_2p!#REF!)-1))&gt;VALUE(RIGHT(Protokoll_2p!#REF!,LEN(Protokoll_2p!#REF!)-FIND(":",Protokoll_2p!#REF!))),1,0))</f>
        <v>#REF!</v>
      </c>
      <c r="G123" s="1" t="e">
        <f t="shared" si="2"/>
        <v>#REF!</v>
      </c>
      <c r="I123" s="1" t="e">
        <f>IF(Protokoll_2p!#REF!="","",IF(VALUE(LEFT(Protokoll_2p!#REF!,FIND(":",Protokoll_2p!#REF!)-1))&gt;VALUE(RIGHT(Protokoll_2p!#REF!,LEN(Protokoll_2p!#REF!)-FIND(":",Protokoll_2p!#REF!))),0,1))</f>
        <v>#REF!</v>
      </c>
      <c r="J123" s="1" t="e">
        <f>IF(Protokoll_2p!#REF!="","",IF(VALUE(LEFT(Protokoll_2p!#REF!,FIND(":",Protokoll_2p!#REF!)-1))&gt;VALUE(RIGHT(Protokoll_2p!#REF!,LEN(Protokoll_2p!#REF!)-FIND(":",Protokoll_2p!#REF!))),0,1))</f>
        <v>#REF!</v>
      </c>
      <c r="K123" s="1" t="e">
        <f>IF(Protokoll_2p!#REF!="","",IF(VALUE(LEFT(Protokoll_2p!#REF!,FIND(":",Protokoll_2p!#REF!)-1))&gt;VALUE(RIGHT(Protokoll_2p!#REF!,LEN(Protokoll_2p!#REF!)-FIND(":",Protokoll_2p!#REF!))),0,1))</f>
        <v>#REF!</v>
      </c>
      <c r="L123" s="1" t="e">
        <f>IF(Protokoll_2p!#REF!="","",IF(VALUE(LEFT(Protokoll_2p!#REF!,FIND(":",Protokoll_2p!#REF!)-1))&gt;VALUE(RIGHT(Protokoll_2p!#REF!,LEN(Protokoll_2p!#REF!)-FIND(":",Protokoll_2p!#REF!))),0,1))</f>
        <v>#REF!</v>
      </c>
      <c r="M123" s="1" t="e">
        <f>IF(Protokoll_2p!#REF!="","",IF(VALUE(LEFT(Protokoll_2p!#REF!,FIND(":",Protokoll_2p!#REF!)-1))&gt;VALUE(RIGHT(Protokoll_2p!#REF!,LEN(Protokoll_2p!#REF!)-FIND(":",Protokoll_2p!#REF!))),0,1))</f>
        <v>#REF!</v>
      </c>
      <c r="N123" s="1" t="e">
        <f t="shared" si="3"/>
        <v>#REF!</v>
      </c>
    </row>
    <row r="124" spans="2:14">
      <c r="B124" s="1" t="e">
        <f>IF(Protokoll_2p!#REF!="","",IF(VALUE(LEFT(Protokoll_2p!#REF!,FIND(":",Protokoll_2p!#REF!)-1))&gt;VALUE(RIGHT(Protokoll_2p!#REF!,LEN(Protokoll_2p!#REF!)-FIND(":",Protokoll_2p!#REF!))),1,0))</f>
        <v>#REF!</v>
      </c>
      <c r="C124" s="1" t="e">
        <f>IF(Protokoll_2p!#REF!="","",IF(VALUE(LEFT(Protokoll_2p!#REF!,FIND(":",Protokoll_2p!#REF!)-1))&gt;VALUE(RIGHT(Protokoll_2p!#REF!,LEN(Protokoll_2p!#REF!)-FIND(":",Protokoll_2p!#REF!))),1,0))</f>
        <v>#REF!</v>
      </c>
      <c r="D124" s="1" t="e">
        <f>IF(Protokoll_2p!#REF!="","",IF(VALUE(LEFT(Protokoll_2p!#REF!,FIND(":",Protokoll_2p!#REF!)-1))&gt;VALUE(RIGHT(Protokoll_2p!#REF!,LEN(Protokoll_2p!#REF!)-FIND(":",Protokoll_2p!#REF!))),1,0))</f>
        <v>#REF!</v>
      </c>
      <c r="E124" s="1" t="e">
        <f>IF(Protokoll_2p!#REF!="","",IF(VALUE(LEFT(Protokoll_2p!#REF!,FIND(":",Protokoll_2p!#REF!)-1))&gt;VALUE(RIGHT(Protokoll_2p!#REF!,LEN(Protokoll_2p!#REF!)-FIND(":",Protokoll_2p!#REF!))),1,0))</f>
        <v>#REF!</v>
      </c>
      <c r="F124" s="1" t="e">
        <f>IF(Protokoll_2p!#REF!="","",IF(VALUE(LEFT(Protokoll_2p!#REF!,FIND(":",Protokoll_2p!#REF!)-1))&gt;VALUE(RIGHT(Protokoll_2p!#REF!,LEN(Protokoll_2p!#REF!)-FIND(":",Protokoll_2p!#REF!))),1,0))</f>
        <v>#REF!</v>
      </c>
      <c r="G124" s="1" t="e">
        <f t="shared" si="2"/>
        <v>#REF!</v>
      </c>
      <c r="I124" s="1" t="e">
        <f>IF(Protokoll_2p!#REF!="","",IF(VALUE(LEFT(Protokoll_2p!#REF!,FIND(":",Protokoll_2p!#REF!)-1))&gt;VALUE(RIGHT(Protokoll_2p!#REF!,LEN(Protokoll_2p!#REF!)-FIND(":",Protokoll_2p!#REF!))),0,1))</f>
        <v>#REF!</v>
      </c>
      <c r="J124" s="1" t="e">
        <f>IF(Protokoll_2p!#REF!="","",IF(VALUE(LEFT(Protokoll_2p!#REF!,FIND(":",Protokoll_2p!#REF!)-1))&gt;VALUE(RIGHT(Protokoll_2p!#REF!,LEN(Protokoll_2p!#REF!)-FIND(":",Protokoll_2p!#REF!))),0,1))</f>
        <v>#REF!</v>
      </c>
      <c r="K124" s="1" t="e">
        <f>IF(Protokoll_2p!#REF!="","",IF(VALUE(LEFT(Protokoll_2p!#REF!,FIND(":",Protokoll_2p!#REF!)-1))&gt;VALUE(RIGHT(Protokoll_2p!#REF!,LEN(Protokoll_2p!#REF!)-FIND(":",Protokoll_2p!#REF!))),0,1))</f>
        <v>#REF!</v>
      </c>
      <c r="L124" s="1" t="e">
        <f>IF(Protokoll_2p!#REF!="","",IF(VALUE(LEFT(Protokoll_2p!#REF!,FIND(":",Protokoll_2p!#REF!)-1))&gt;VALUE(RIGHT(Protokoll_2p!#REF!,LEN(Protokoll_2p!#REF!)-FIND(":",Protokoll_2p!#REF!))),0,1))</f>
        <v>#REF!</v>
      </c>
      <c r="M124" s="1" t="e">
        <f>IF(Protokoll_2p!#REF!="","",IF(VALUE(LEFT(Protokoll_2p!#REF!,FIND(":",Protokoll_2p!#REF!)-1))&gt;VALUE(RIGHT(Protokoll_2p!#REF!,LEN(Protokoll_2p!#REF!)-FIND(":",Protokoll_2p!#REF!))),0,1))</f>
        <v>#REF!</v>
      </c>
      <c r="N124" s="1" t="e">
        <f t="shared" si="3"/>
        <v>#REF!</v>
      </c>
    </row>
    <row r="125" spans="2:14">
      <c r="B125" s="1" t="e">
        <f>IF(Protokoll_2p!#REF!="","",IF(VALUE(LEFT(Protokoll_2p!#REF!,FIND(":",Protokoll_2p!#REF!)-1))&gt;VALUE(RIGHT(Protokoll_2p!#REF!,LEN(Protokoll_2p!#REF!)-FIND(":",Protokoll_2p!#REF!))),1,0))</f>
        <v>#REF!</v>
      </c>
      <c r="C125" s="1" t="e">
        <f>IF(Protokoll_2p!#REF!="","",IF(VALUE(LEFT(Protokoll_2p!#REF!,FIND(":",Protokoll_2p!#REF!)-1))&gt;VALUE(RIGHT(Protokoll_2p!#REF!,LEN(Protokoll_2p!#REF!)-FIND(":",Protokoll_2p!#REF!))),1,0))</f>
        <v>#REF!</v>
      </c>
      <c r="D125" s="1" t="e">
        <f>IF(Protokoll_2p!#REF!="","",IF(VALUE(LEFT(Protokoll_2p!#REF!,FIND(":",Protokoll_2p!#REF!)-1))&gt;VALUE(RIGHT(Protokoll_2p!#REF!,LEN(Protokoll_2p!#REF!)-FIND(":",Protokoll_2p!#REF!))),1,0))</f>
        <v>#REF!</v>
      </c>
      <c r="E125" s="1" t="e">
        <f>IF(Protokoll_2p!#REF!="","",IF(VALUE(LEFT(Protokoll_2p!#REF!,FIND(":",Protokoll_2p!#REF!)-1))&gt;VALUE(RIGHT(Protokoll_2p!#REF!,LEN(Protokoll_2p!#REF!)-FIND(":",Protokoll_2p!#REF!))),1,0))</f>
        <v>#REF!</v>
      </c>
      <c r="F125" s="1" t="e">
        <f>IF(Protokoll_2p!#REF!="","",IF(VALUE(LEFT(Protokoll_2p!#REF!,FIND(":",Protokoll_2p!#REF!)-1))&gt;VALUE(RIGHT(Protokoll_2p!#REF!,LEN(Protokoll_2p!#REF!)-FIND(":",Protokoll_2p!#REF!))),1,0))</f>
        <v>#REF!</v>
      </c>
      <c r="G125" s="1" t="e">
        <f t="shared" si="2"/>
        <v>#REF!</v>
      </c>
      <c r="I125" s="1" t="e">
        <f>IF(Protokoll_2p!#REF!="","",IF(VALUE(LEFT(Protokoll_2p!#REF!,FIND(":",Protokoll_2p!#REF!)-1))&gt;VALUE(RIGHT(Protokoll_2p!#REF!,LEN(Protokoll_2p!#REF!)-FIND(":",Protokoll_2p!#REF!))),0,1))</f>
        <v>#REF!</v>
      </c>
      <c r="J125" s="1" t="e">
        <f>IF(Protokoll_2p!#REF!="","",IF(VALUE(LEFT(Protokoll_2p!#REF!,FIND(":",Protokoll_2p!#REF!)-1))&gt;VALUE(RIGHT(Protokoll_2p!#REF!,LEN(Protokoll_2p!#REF!)-FIND(":",Protokoll_2p!#REF!))),0,1))</f>
        <v>#REF!</v>
      </c>
      <c r="K125" s="1" t="e">
        <f>IF(Protokoll_2p!#REF!="","",IF(VALUE(LEFT(Protokoll_2p!#REF!,FIND(":",Protokoll_2p!#REF!)-1))&gt;VALUE(RIGHT(Protokoll_2p!#REF!,LEN(Protokoll_2p!#REF!)-FIND(":",Protokoll_2p!#REF!))),0,1))</f>
        <v>#REF!</v>
      </c>
      <c r="L125" s="1" t="e">
        <f>IF(Protokoll_2p!#REF!="","",IF(VALUE(LEFT(Protokoll_2p!#REF!,FIND(":",Protokoll_2p!#REF!)-1))&gt;VALUE(RIGHT(Protokoll_2p!#REF!,LEN(Protokoll_2p!#REF!)-FIND(":",Protokoll_2p!#REF!))),0,1))</f>
        <v>#REF!</v>
      </c>
      <c r="M125" s="1" t="e">
        <f>IF(Protokoll_2p!#REF!="","",IF(VALUE(LEFT(Protokoll_2p!#REF!,FIND(":",Protokoll_2p!#REF!)-1))&gt;VALUE(RIGHT(Protokoll_2p!#REF!,LEN(Protokoll_2p!#REF!)-FIND(":",Protokoll_2p!#REF!))),0,1))</f>
        <v>#REF!</v>
      </c>
      <c r="N125" s="1" t="e">
        <f t="shared" si="3"/>
        <v>#REF!</v>
      </c>
    </row>
    <row r="126" spans="2:14">
      <c r="B126" s="1" t="e">
        <f>IF(Protokoll_2p!#REF!="","",IF(VALUE(LEFT(Protokoll_2p!#REF!,FIND(":",Protokoll_2p!#REF!)-1))&gt;VALUE(RIGHT(Protokoll_2p!#REF!,LEN(Protokoll_2p!#REF!)-FIND(":",Protokoll_2p!#REF!))),1,0))</f>
        <v>#REF!</v>
      </c>
      <c r="C126" s="1" t="e">
        <f>IF(Protokoll_2p!#REF!="","",IF(VALUE(LEFT(Protokoll_2p!#REF!,FIND(":",Protokoll_2p!#REF!)-1))&gt;VALUE(RIGHT(Protokoll_2p!#REF!,LEN(Protokoll_2p!#REF!)-FIND(":",Protokoll_2p!#REF!))),1,0))</f>
        <v>#REF!</v>
      </c>
      <c r="D126" s="1" t="e">
        <f>IF(Protokoll_2p!#REF!="","",IF(VALUE(LEFT(Protokoll_2p!#REF!,FIND(":",Protokoll_2p!#REF!)-1))&gt;VALUE(RIGHT(Protokoll_2p!#REF!,LEN(Protokoll_2p!#REF!)-FIND(":",Protokoll_2p!#REF!))),1,0))</f>
        <v>#REF!</v>
      </c>
      <c r="E126" s="1" t="e">
        <f>IF(Protokoll_2p!#REF!="","",IF(VALUE(LEFT(Protokoll_2p!#REF!,FIND(":",Protokoll_2p!#REF!)-1))&gt;VALUE(RIGHT(Protokoll_2p!#REF!,LEN(Protokoll_2p!#REF!)-FIND(":",Protokoll_2p!#REF!))),1,0))</f>
        <v>#REF!</v>
      </c>
      <c r="F126" s="1" t="e">
        <f>IF(Protokoll_2p!#REF!="","",IF(VALUE(LEFT(Protokoll_2p!#REF!,FIND(":",Protokoll_2p!#REF!)-1))&gt;VALUE(RIGHT(Protokoll_2p!#REF!,LEN(Protokoll_2p!#REF!)-FIND(":",Protokoll_2p!#REF!))),1,0))</f>
        <v>#REF!</v>
      </c>
      <c r="G126" s="1" t="e">
        <f t="shared" si="2"/>
        <v>#REF!</v>
      </c>
      <c r="I126" s="1" t="e">
        <f>IF(Protokoll_2p!#REF!="","",IF(VALUE(LEFT(Protokoll_2p!#REF!,FIND(":",Protokoll_2p!#REF!)-1))&gt;VALUE(RIGHT(Protokoll_2p!#REF!,LEN(Protokoll_2p!#REF!)-FIND(":",Protokoll_2p!#REF!))),0,1))</f>
        <v>#REF!</v>
      </c>
      <c r="J126" s="1" t="e">
        <f>IF(Protokoll_2p!#REF!="","",IF(VALUE(LEFT(Protokoll_2p!#REF!,FIND(":",Protokoll_2p!#REF!)-1))&gt;VALUE(RIGHT(Protokoll_2p!#REF!,LEN(Protokoll_2p!#REF!)-FIND(":",Protokoll_2p!#REF!))),0,1))</f>
        <v>#REF!</v>
      </c>
      <c r="K126" s="1" t="e">
        <f>IF(Protokoll_2p!#REF!="","",IF(VALUE(LEFT(Protokoll_2p!#REF!,FIND(":",Protokoll_2p!#REF!)-1))&gt;VALUE(RIGHT(Protokoll_2p!#REF!,LEN(Protokoll_2p!#REF!)-FIND(":",Protokoll_2p!#REF!))),0,1))</f>
        <v>#REF!</v>
      </c>
      <c r="L126" s="1" t="e">
        <f>IF(Protokoll_2p!#REF!="","",IF(VALUE(LEFT(Protokoll_2p!#REF!,FIND(":",Protokoll_2p!#REF!)-1))&gt;VALUE(RIGHT(Protokoll_2p!#REF!,LEN(Protokoll_2p!#REF!)-FIND(":",Protokoll_2p!#REF!))),0,1))</f>
        <v>#REF!</v>
      </c>
      <c r="M126" s="1" t="e">
        <f>IF(Protokoll_2p!#REF!="","",IF(VALUE(LEFT(Protokoll_2p!#REF!,FIND(":",Protokoll_2p!#REF!)-1))&gt;VALUE(RIGHT(Protokoll_2p!#REF!,LEN(Protokoll_2p!#REF!)-FIND(":",Protokoll_2p!#REF!))),0,1))</f>
        <v>#REF!</v>
      </c>
      <c r="N126" s="1" t="e">
        <f t="shared" si="3"/>
        <v>#REF!</v>
      </c>
    </row>
    <row r="127" spans="2:14">
      <c r="B127" s="1" t="e">
        <f>IF(Protokoll_2p!#REF!="","",IF(VALUE(LEFT(Protokoll_2p!#REF!,FIND(":",Protokoll_2p!#REF!)-1))&gt;VALUE(RIGHT(Protokoll_2p!#REF!,LEN(Protokoll_2p!#REF!)-FIND(":",Protokoll_2p!#REF!))),1,0))</f>
        <v>#REF!</v>
      </c>
      <c r="C127" s="1" t="e">
        <f>IF(Protokoll_2p!#REF!="","",IF(VALUE(LEFT(Protokoll_2p!#REF!,FIND(":",Protokoll_2p!#REF!)-1))&gt;VALUE(RIGHT(Protokoll_2p!#REF!,LEN(Protokoll_2p!#REF!)-FIND(":",Protokoll_2p!#REF!))),1,0))</f>
        <v>#REF!</v>
      </c>
      <c r="D127" s="1" t="e">
        <f>IF(Protokoll_2p!#REF!="","",IF(VALUE(LEFT(Protokoll_2p!#REF!,FIND(":",Protokoll_2p!#REF!)-1))&gt;VALUE(RIGHT(Protokoll_2p!#REF!,LEN(Protokoll_2p!#REF!)-FIND(":",Protokoll_2p!#REF!))),1,0))</f>
        <v>#REF!</v>
      </c>
      <c r="E127" s="1" t="e">
        <f>IF(Protokoll_2p!#REF!="","",IF(VALUE(LEFT(Protokoll_2p!#REF!,FIND(":",Protokoll_2p!#REF!)-1))&gt;VALUE(RIGHT(Protokoll_2p!#REF!,LEN(Protokoll_2p!#REF!)-FIND(":",Protokoll_2p!#REF!))),1,0))</f>
        <v>#REF!</v>
      </c>
      <c r="F127" s="1" t="e">
        <f>IF(Protokoll_2p!#REF!="","",IF(VALUE(LEFT(Protokoll_2p!#REF!,FIND(":",Protokoll_2p!#REF!)-1))&gt;VALUE(RIGHT(Protokoll_2p!#REF!,LEN(Protokoll_2p!#REF!)-FIND(":",Protokoll_2p!#REF!))),1,0))</f>
        <v>#REF!</v>
      </c>
      <c r="G127" s="1" t="e">
        <f t="shared" si="2"/>
        <v>#REF!</v>
      </c>
      <c r="I127" s="1" t="e">
        <f>IF(Protokoll_2p!#REF!="","",IF(VALUE(LEFT(Protokoll_2p!#REF!,FIND(":",Protokoll_2p!#REF!)-1))&gt;VALUE(RIGHT(Protokoll_2p!#REF!,LEN(Protokoll_2p!#REF!)-FIND(":",Protokoll_2p!#REF!))),0,1))</f>
        <v>#REF!</v>
      </c>
      <c r="J127" s="1" t="e">
        <f>IF(Protokoll_2p!#REF!="","",IF(VALUE(LEFT(Protokoll_2p!#REF!,FIND(":",Protokoll_2p!#REF!)-1))&gt;VALUE(RIGHT(Protokoll_2p!#REF!,LEN(Protokoll_2p!#REF!)-FIND(":",Protokoll_2p!#REF!))),0,1))</f>
        <v>#REF!</v>
      </c>
      <c r="K127" s="1" t="e">
        <f>IF(Protokoll_2p!#REF!="","",IF(VALUE(LEFT(Protokoll_2p!#REF!,FIND(":",Protokoll_2p!#REF!)-1))&gt;VALUE(RIGHT(Protokoll_2p!#REF!,LEN(Protokoll_2p!#REF!)-FIND(":",Protokoll_2p!#REF!))),0,1))</f>
        <v>#REF!</v>
      </c>
      <c r="L127" s="1" t="e">
        <f>IF(Protokoll_2p!#REF!="","",IF(VALUE(LEFT(Protokoll_2p!#REF!,FIND(":",Protokoll_2p!#REF!)-1))&gt;VALUE(RIGHT(Protokoll_2p!#REF!,LEN(Protokoll_2p!#REF!)-FIND(":",Protokoll_2p!#REF!))),0,1))</f>
        <v>#REF!</v>
      </c>
      <c r="M127" s="1" t="e">
        <f>IF(Protokoll_2p!#REF!="","",IF(VALUE(LEFT(Protokoll_2p!#REF!,FIND(":",Protokoll_2p!#REF!)-1))&gt;VALUE(RIGHT(Protokoll_2p!#REF!,LEN(Protokoll_2p!#REF!)-FIND(":",Protokoll_2p!#REF!))),0,1))</f>
        <v>#REF!</v>
      </c>
      <c r="N127" s="1" t="e">
        <f t="shared" si="3"/>
        <v>#REF!</v>
      </c>
    </row>
    <row r="128" spans="2:14">
      <c r="B128" s="1" t="e">
        <f>IF(Protokoll_2p!#REF!="","",IF(VALUE(LEFT(Protokoll_2p!#REF!,FIND(":",Protokoll_2p!#REF!)-1))&gt;VALUE(RIGHT(Protokoll_2p!#REF!,LEN(Protokoll_2p!#REF!)-FIND(":",Protokoll_2p!#REF!))),1,0))</f>
        <v>#REF!</v>
      </c>
      <c r="C128" s="1" t="e">
        <f>IF(Protokoll_2p!#REF!="","",IF(VALUE(LEFT(Protokoll_2p!#REF!,FIND(":",Protokoll_2p!#REF!)-1))&gt;VALUE(RIGHT(Protokoll_2p!#REF!,LEN(Protokoll_2p!#REF!)-FIND(":",Protokoll_2p!#REF!))),1,0))</f>
        <v>#REF!</v>
      </c>
      <c r="D128" s="1" t="e">
        <f>IF(Protokoll_2p!#REF!="","",IF(VALUE(LEFT(Protokoll_2p!#REF!,FIND(":",Protokoll_2p!#REF!)-1))&gt;VALUE(RIGHT(Protokoll_2p!#REF!,LEN(Protokoll_2p!#REF!)-FIND(":",Protokoll_2p!#REF!))),1,0))</f>
        <v>#REF!</v>
      </c>
      <c r="E128" s="1" t="e">
        <f>IF(Protokoll_2p!#REF!="","",IF(VALUE(LEFT(Protokoll_2p!#REF!,FIND(":",Protokoll_2p!#REF!)-1))&gt;VALUE(RIGHT(Protokoll_2p!#REF!,LEN(Protokoll_2p!#REF!)-FIND(":",Protokoll_2p!#REF!))),1,0))</f>
        <v>#REF!</v>
      </c>
      <c r="F128" s="1" t="e">
        <f>IF(Protokoll_2p!#REF!="","",IF(VALUE(LEFT(Protokoll_2p!#REF!,FIND(":",Protokoll_2p!#REF!)-1))&gt;VALUE(RIGHT(Protokoll_2p!#REF!,LEN(Protokoll_2p!#REF!)-FIND(":",Protokoll_2p!#REF!))),1,0))</f>
        <v>#REF!</v>
      </c>
      <c r="G128" s="1" t="e">
        <f t="shared" si="2"/>
        <v>#REF!</v>
      </c>
      <c r="I128" s="1" t="e">
        <f>IF(Protokoll_2p!#REF!="","",IF(VALUE(LEFT(Protokoll_2p!#REF!,FIND(":",Protokoll_2p!#REF!)-1))&gt;VALUE(RIGHT(Protokoll_2p!#REF!,LEN(Protokoll_2p!#REF!)-FIND(":",Protokoll_2p!#REF!))),0,1))</f>
        <v>#REF!</v>
      </c>
      <c r="J128" s="1" t="e">
        <f>IF(Protokoll_2p!#REF!="","",IF(VALUE(LEFT(Protokoll_2p!#REF!,FIND(":",Protokoll_2p!#REF!)-1))&gt;VALUE(RIGHT(Protokoll_2p!#REF!,LEN(Protokoll_2p!#REF!)-FIND(":",Protokoll_2p!#REF!))),0,1))</f>
        <v>#REF!</v>
      </c>
      <c r="K128" s="1" t="e">
        <f>IF(Protokoll_2p!#REF!="","",IF(VALUE(LEFT(Protokoll_2p!#REF!,FIND(":",Protokoll_2p!#REF!)-1))&gt;VALUE(RIGHT(Protokoll_2p!#REF!,LEN(Protokoll_2p!#REF!)-FIND(":",Protokoll_2p!#REF!))),0,1))</f>
        <v>#REF!</v>
      </c>
      <c r="L128" s="1" t="e">
        <f>IF(Protokoll_2p!#REF!="","",IF(VALUE(LEFT(Protokoll_2p!#REF!,FIND(":",Protokoll_2p!#REF!)-1))&gt;VALUE(RIGHT(Protokoll_2p!#REF!,LEN(Protokoll_2p!#REF!)-FIND(":",Protokoll_2p!#REF!))),0,1))</f>
        <v>#REF!</v>
      </c>
      <c r="M128" s="1" t="e">
        <f>IF(Protokoll_2p!#REF!="","",IF(VALUE(LEFT(Protokoll_2p!#REF!,FIND(":",Protokoll_2p!#REF!)-1))&gt;VALUE(RIGHT(Protokoll_2p!#REF!,LEN(Protokoll_2p!#REF!)-FIND(":",Protokoll_2p!#REF!))),0,1))</f>
        <v>#REF!</v>
      </c>
      <c r="N128" s="1" t="e">
        <f t="shared" si="3"/>
        <v>#REF!</v>
      </c>
    </row>
    <row r="129" spans="2:14">
      <c r="B129" s="1" t="e">
        <f>IF(Protokoll_2p!#REF!="","",IF(VALUE(LEFT(Protokoll_2p!#REF!,FIND(":",Protokoll_2p!#REF!)-1))&gt;VALUE(RIGHT(Protokoll_2p!#REF!,LEN(Protokoll_2p!#REF!)-FIND(":",Protokoll_2p!#REF!))),1,0))</f>
        <v>#REF!</v>
      </c>
      <c r="C129" s="1" t="e">
        <f>IF(Protokoll_2p!#REF!="","",IF(VALUE(LEFT(Protokoll_2p!#REF!,FIND(":",Protokoll_2p!#REF!)-1))&gt;VALUE(RIGHT(Protokoll_2p!#REF!,LEN(Protokoll_2p!#REF!)-FIND(":",Protokoll_2p!#REF!))),1,0))</f>
        <v>#REF!</v>
      </c>
      <c r="D129" s="1" t="e">
        <f>IF(Protokoll_2p!#REF!="","",IF(VALUE(LEFT(Protokoll_2p!#REF!,FIND(":",Protokoll_2p!#REF!)-1))&gt;VALUE(RIGHT(Protokoll_2p!#REF!,LEN(Protokoll_2p!#REF!)-FIND(":",Protokoll_2p!#REF!))),1,0))</f>
        <v>#REF!</v>
      </c>
      <c r="E129" s="1" t="e">
        <f>IF(Protokoll_2p!#REF!="","",IF(VALUE(LEFT(Protokoll_2p!#REF!,FIND(":",Protokoll_2p!#REF!)-1))&gt;VALUE(RIGHT(Protokoll_2p!#REF!,LEN(Protokoll_2p!#REF!)-FIND(":",Protokoll_2p!#REF!))),1,0))</f>
        <v>#REF!</v>
      </c>
      <c r="F129" s="1" t="e">
        <f>IF(Protokoll_2p!#REF!="","",IF(VALUE(LEFT(Protokoll_2p!#REF!,FIND(":",Protokoll_2p!#REF!)-1))&gt;VALUE(RIGHT(Protokoll_2p!#REF!,LEN(Protokoll_2p!#REF!)-FIND(":",Protokoll_2p!#REF!))),1,0))</f>
        <v>#REF!</v>
      </c>
      <c r="G129" s="1" t="e">
        <f t="shared" si="2"/>
        <v>#REF!</v>
      </c>
      <c r="I129" s="1" t="e">
        <f>IF(Protokoll_2p!#REF!="","",IF(VALUE(LEFT(Protokoll_2p!#REF!,FIND(":",Protokoll_2p!#REF!)-1))&gt;VALUE(RIGHT(Protokoll_2p!#REF!,LEN(Protokoll_2p!#REF!)-FIND(":",Protokoll_2p!#REF!))),0,1))</f>
        <v>#REF!</v>
      </c>
      <c r="J129" s="1" t="e">
        <f>IF(Protokoll_2p!#REF!="","",IF(VALUE(LEFT(Protokoll_2p!#REF!,FIND(":",Protokoll_2p!#REF!)-1))&gt;VALUE(RIGHT(Protokoll_2p!#REF!,LEN(Protokoll_2p!#REF!)-FIND(":",Protokoll_2p!#REF!))),0,1))</f>
        <v>#REF!</v>
      </c>
      <c r="K129" s="1" t="e">
        <f>IF(Protokoll_2p!#REF!="","",IF(VALUE(LEFT(Protokoll_2p!#REF!,FIND(":",Protokoll_2p!#REF!)-1))&gt;VALUE(RIGHT(Protokoll_2p!#REF!,LEN(Protokoll_2p!#REF!)-FIND(":",Protokoll_2p!#REF!))),0,1))</f>
        <v>#REF!</v>
      </c>
      <c r="L129" s="1" t="e">
        <f>IF(Protokoll_2p!#REF!="","",IF(VALUE(LEFT(Protokoll_2p!#REF!,FIND(":",Protokoll_2p!#REF!)-1))&gt;VALUE(RIGHT(Protokoll_2p!#REF!,LEN(Protokoll_2p!#REF!)-FIND(":",Protokoll_2p!#REF!))),0,1))</f>
        <v>#REF!</v>
      </c>
      <c r="M129" s="1" t="e">
        <f>IF(Protokoll_2p!#REF!="","",IF(VALUE(LEFT(Protokoll_2p!#REF!,FIND(":",Protokoll_2p!#REF!)-1))&gt;VALUE(RIGHT(Protokoll_2p!#REF!,LEN(Protokoll_2p!#REF!)-FIND(":",Protokoll_2p!#REF!))),0,1))</f>
        <v>#REF!</v>
      </c>
      <c r="N129" s="1" t="e">
        <f t="shared" si="3"/>
        <v>#REF!</v>
      </c>
    </row>
    <row r="130" spans="2:14">
      <c r="B130" s="1" t="e">
        <f>IF(Protokoll_2p!#REF!="","",IF(VALUE(LEFT(Protokoll_2p!#REF!,FIND(":",Protokoll_2p!#REF!)-1))&gt;VALUE(RIGHT(Protokoll_2p!#REF!,LEN(Protokoll_2p!#REF!)-FIND(":",Protokoll_2p!#REF!))),1,0))</f>
        <v>#REF!</v>
      </c>
      <c r="C130" s="1" t="e">
        <f>IF(Protokoll_2p!#REF!="","",IF(VALUE(LEFT(Protokoll_2p!#REF!,FIND(":",Protokoll_2p!#REF!)-1))&gt;VALUE(RIGHT(Protokoll_2p!#REF!,LEN(Protokoll_2p!#REF!)-FIND(":",Protokoll_2p!#REF!))),1,0))</f>
        <v>#REF!</v>
      </c>
      <c r="D130" s="1" t="e">
        <f>IF(Protokoll_2p!#REF!="","",IF(VALUE(LEFT(Protokoll_2p!#REF!,FIND(":",Protokoll_2p!#REF!)-1))&gt;VALUE(RIGHT(Protokoll_2p!#REF!,LEN(Protokoll_2p!#REF!)-FIND(":",Protokoll_2p!#REF!))),1,0))</f>
        <v>#REF!</v>
      </c>
      <c r="E130" s="1" t="e">
        <f>IF(Protokoll_2p!#REF!="","",IF(VALUE(LEFT(Protokoll_2p!#REF!,FIND(":",Protokoll_2p!#REF!)-1))&gt;VALUE(RIGHT(Protokoll_2p!#REF!,LEN(Protokoll_2p!#REF!)-FIND(":",Protokoll_2p!#REF!))),1,0))</f>
        <v>#REF!</v>
      </c>
      <c r="F130" s="1" t="e">
        <f>IF(Protokoll_2p!#REF!="","",IF(VALUE(LEFT(Protokoll_2p!#REF!,FIND(":",Protokoll_2p!#REF!)-1))&gt;VALUE(RIGHT(Protokoll_2p!#REF!,LEN(Protokoll_2p!#REF!)-FIND(":",Protokoll_2p!#REF!))),1,0))</f>
        <v>#REF!</v>
      </c>
      <c r="G130" s="1" t="e">
        <f t="shared" si="2"/>
        <v>#REF!</v>
      </c>
      <c r="I130" s="1" t="e">
        <f>IF(Protokoll_2p!#REF!="","",IF(VALUE(LEFT(Protokoll_2p!#REF!,FIND(":",Protokoll_2p!#REF!)-1))&gt;VALUE(RIGHT(Protokoll_2p!#REF!,LEN(Protokoll_2p!#REF!)-FIND(":",Protokoll_2p!#REF!))),0,1))</f>
        <v>#REF!</v>
      </c>
      <c r="J130" s="1" t="e">
        <f>IF(Protokoll_2p!#REF!="","",IF(VALUE(LEFT(Protokoll_2p!#REF!,FIND(":",Protokoll_2p!#REF!)-1))&gt;VALUE(RIGHT(Protokoll_2p!#REF!,LEN(Protokoll_2p!#REF!)-FIND(":",Protokoll_2p!#REF!))),0,1))</f>
        <v>#REF!</v>
      </c>
      <c r="K130" s="1" t="e">
        <f>IF(Protokoll_2p!#REF!="","",IF(VALUE(LEFT(Protokoll_2p!#REF!,FIND(":",Protokoll_2p!#REF!)-1))&gt;VALUE(RIGHT(Protokoll_2p!#REF!,LEN(Protokoll_2p!#REF!)-FIND(":",Protokoll_2p!#REF!))),0,1))</f>
        <v>#REF!</v>
      </c>
      <c r="L130" s="1" t="e">
        <f>IF(Protokoll_2p!#REF!="","",IF(VALUE(LEFT(Protokoll_2p!#REF!,FIND(":",Protokoll_2p!#REF!)-1))&gt;VALUE(RIGHT(Protokoll_2p!#REF!,LEN(Protokoll_2p!#REF!)-FIND(":",Protokoll_2p!#REF!))),0,1))</f>
        <v>#REF!</v>
      </c>
      <c r="M130" s="1" t="e">
        <f>IF(Protokoll_2p!#REF!="","",IF(VALUE(LEFT(Protokoll_2p!#REF!,FIND(":",Protokoll_2p!#REF!)-1))&gt;VALUE(RIGHT(Protokoll_2p!#REF!,LEN(Protokoll_2p!#REF!)-FIND(":",Protokoll_2p!#REF!))),0,1))</f>
        <v>#REF!</v>
      </c>
      <c r="N130" s="1" t="e">
        <f t="shared" si="3"/>
        <v>#REF!</v>
      </c>
    </row>
    <row r="131" spans="2:14">
      <c r="B131" s="1" t="e">
        <f>IF(Protokoll_2p!#REF!="","",IF(VALUE(LEFT(Protokoll_2p!#REF!,FIND(":",Protokoll_2p!#REF!)-1))&gt;VALUE(RIGHT(Protokoll_2p!#REF!,LEN(Protokoll_2p!#REF!)-FIND(":",Protokoll_2p!#REF!))),1,0))</f>
        <v>#REF!</v>
      </c>
      <c r="C131" s="1" t="e">
        <f>IF(Protokoll_2p!#REF!="","",IF(VALUE(LEFT(Protokoll_2p!#REF!,FIND(":",Protokoll_2p!#REF!)-1))&gt;VALUE(RIGHT(Protokoll_2p!#REF!,LEN(Protokoll_2p!#REF!)-FIND(":",Protokoll_2p!#REF!))),1,0))</f>
        <v>#REF!</v>
      </c>
      <c r="D131" s="1" t="e">
        <f>IF(Protokoll_2p!#REF!="","",IF(VALUE(LEFT(Protokoll_2p!#REF!,FIND(":",Protokoll_2p!#REF!)-1))&gt;VALUE(RIGHT(Protokoll_2p!#REF!,LEN(Protokoll_2p!#REF!)-FIND(":",Protokoll_2p!#REF!))),1,0))</f>
        <v>#REF!</v>
      </c>
      <c r="E131" s="1" t="e">
        <f>IF(Protokoll_2p!#REF!="","",IF(VALUE(LEFT(Protokoll_2p!#REF!,FIND(":",Protokoll_2p!#REF!)-1))&gt;VALUE(RIGHT(Protokoll_2p!#REF!,LEN(Protokoll_2p!#REF!)-FIND(":",Protokoll_2p!#REF!))),1,0))</f>
        <v>#REF!</v>
      </c>
      <c r="F131" s="1" t="e">
        <f>IF(Protokoll_2p!#REF!="","",IF(VALUE(LEFT(Protokoll_2p!#REF!,FIND(":",Protokoll_2p!#REF!)-1))&gt;VALUE(RIGHT(Protokoll_2p!#REF!,LEN(Protokoll_2p!#REF!)-FIND(":",Protokoll_2p!#REF!))),1,0))</f>
        <v>#REF!</v>
      </c>
      <c r="G131" s="1" t="e">
        <f t="shared" ref="G131:G194" si="4">IF(B131="","",SUM(B131:F131))</f>
        <v>#REF!</v>
      </c>
      <c r="I131" s="1" t="e">
        <f>IF(Protokoll_2p!#REF!="","",IF(VALUE(LEFT(Protokoll_2p!#REF!,FIND(":",Protokoll_2p!#REF!)-1))&gt;VALUE(RIGHT(Protokoll_2p!#REF!,LEN(Protokoll_2p!#REF!)-FIND(":",Protokoll_2p!#REF!))),0,1))</f>
        <v>#REF!</v>
      </c>
      <c r="J131" s="1" t="e">
        <f>IF(Protokoll_2p!#REF!="","",IF(VALUE(LEFT(Protokoll_2p!#REF!,FIND(":",Protokoll_2p!#REF!)-1))&gt;VALUE(RIGHT(Protokoll_2p!#REF!,LEN(Protokoll_2p!#REF!)-FIND(":",Protokoll_2p!#REF!))),0,1))</f>
        <v>#REF!</v>
      </c>
      <c r="K131" s="1" t="e">
        <f>IF(Protokoll_2p!#REF!="","",IF(VALUE(LEFT(Protokoll_2p!#REF!,FIND(":",Protokoll_2p!#REF!)-1))&gt;VALUE(RIGHT(Protokoll_2p!#REF!,LEN(Protokoll_2p!#REF!)-FIND(":",Protokoll_2p!#REF!))),0,1))</f>
        <v>#REF!</v>
      </c>
      <c r="L131" s="1" t="e">
        <f>IF(Protokoll_2p!#REF!="","",IF(VALUE(LEFT(Protokoll_2p!#REF!,FIND(":",Protokoll_2p!#REF!)-1))&gt;VALUE(RIGHT(Protokoll_2p!#REF!,LEN(Protokoll_2p!#REF!)-FIND(":",Protokoll_2p!#REF!))),0,1))</f>
        <v>#REF!</v>
      </c>
      <c r="M131" s="1" t="e">
        <f>IF(Protokoll_2p!#REF!="","",IF(VALUE(LEFT(Protokoll_2p!#REF!,FIND(":",Protokoll_2p!#REF!)-1))&gt;VALUE(RIGHT(Protokoll_2p!#REF!,LEN(Protokoll_2p!#REF!)-FIND(":",Protokoll_2p!#REF!))),0,1))</f>
        <v>#REF!</v>
      </c>
      <c r="N131" s="1" t="e">
        <f t="shared" ref="N131:N194" si="5">IF(I131="","",SUM(I131:M131))</f>
        <v>#REF!</v>
      </c>
    </row>
    <row r="132" spans="2:14">
      <c r="B132" s="1" t="e">
        <f>IF(Protokoll_2p!#REF!="","",IF(VALUE(LEFT(Protokoll_2p!#REF!,FIND(":",Protokoll_2p!#REF!)-1))&gt;VALUE(RIGHT(Protokoll_2p!#REF!,LEN(Protokoll_2p!#REF!)-FIND(":",Protokoll_2p!#REF!))),1,0))</f>
        <v>#REF!</v>
      </c>
      <c r="C132" s="1" t="e">
        <f>IF(Protokoll_2p!#REF!="","",IF(VALUE(LEFT(Protokoll_2p!#REF!,FIND(":",Protokoll_2p!#REF!)-1))&gt;VALUE(RIGHT(Protokoll_2p!#REF!,LEN(Protokoll_2p!#REF!)-FIND(":",Protokoll_2p!#REF!))),1,0))</f>
        <v>#REF!</v>
      </c>
      <c r="D132" s="1" t="e">
        <f>IF(Protokoll_2p!#REF!="","",IF(VALUE(LEFT(Protokoll_2p!#REF!,FIND(":",Protokoll_2p!#REF!)-1))&gt;VALUE(RIGHT(Protokoll_2p!#REF!,LEN(Protokoll_2p!#REF!)-FIND(":",Protokoll_2p!#REF!))),1,0))</f>
        <v>#REF!</v>
      </c>
      <c r="E132" s="1" t="e">
        <f>IF(Protokoll_2p!#REF!="","",IF(VALUE(LEFT(Protokoll_2p!#REF!,FIND(":",Protokoll_2p!#REF!)-1))&gt;VALUE(RIGHT(Protokoll_2p!#REF!,LEN(Protokoll_2p!#REF!)-FIND(":",Protokoll_2p!#REF!))),1,0))</f>
        <v>#REF!</v>
      </c>
      <c r="F132" s="1" t="e">
        <f>IF(Protokoll_2p!#REF!="","",IF(VALUE(LEFT(Protokoll_2p!#REF!,FIND(":",Protokoll_2p!#REF!)-1))&gt;VALUE(RIGHT(Protokoll_2p!#REF!,LEN(Protokoll_2p!#REF!)-FIND(":",Protokoll_2p!#REF!))),1,0))</f>
        <v>#REF!</v>
      </c>
      <c r="G132" s="1" t="e">
        <f t="shared" si="4"/>
        <v>#REF!</v>
      </c>
      <c r="I132" s="1" t="e">
        <f>IF(Protokoll_2p!#REF!="","",IF(VALUE(LEFT(Protokoll_2p!#REF!,FIND(":",Protokoll_2p!#REF!)-1))&gt;VALUE(RIGHT(Protokoll_2p!#REF!,LEN(Protokoll_2p!#REF!)-FIND(":",Protokoll_2p!#REF!))),0,1))</f>
        <v>#REF!</v>
      </c>
      <c r="J132" s="1" t="e">
        <f>IF(Protokoll_2p!#REF!="","",IF(VALUE(LEFT(Protokoll_2p!#REF!,FIND(":",Protokoll_2p!#REF!)-1))&gt;VALUE(RIGHT(Protokoll_2p!#REF!,LEN(Protokoll_2p!#REF!)-FIND(":",Protokoll_2p!#REF!))),0,1))</f>
        <v>#REF!</v>
      </c>
      <c r="K132" s="1" t="e">
        <f>IF(Protokoll_2p!#REF!="","",IF(VALUE(LEFT(Protokoll_2p!#REF!,FIND(":",Protokoll_2p!#REF!)-1))&gt;VALUE(RIGHT(Protokoll_2p!#REF!,LEN(Protokoll_2p!#REF!)-FIND(":",Protokoll_2p!#REF!))),0,1))</f>
        <v>#REF!</v>
      </c>
      <c r="L132" s="1" t="e">
        <f>IF(Protokoll_2p!#REF!="","",IF(VALUE(LEFT(Protokoll_2p!#REF!,FIND(":",Protokoll_2p!#REF!)-1))&gt;VALUE(RIGHT(Protokoll_2p!#REF!,LEN(Protokoll_2p!#REF!)-FIND(":",Protokoll_2p!#REF!))),0,1))</f>
        <v>#REF!</v>
      </c>
      <c r="M132" s="1" t="e">
        <f>IF(Protokoll_2p!#REF!="","",IF(VALUE(LEFT(Protokoll_2p!#REF!,FIND(":",Protokoll_2p!#REF!)-1))&gt;VALUE(RIGHT(Protokoll_2p!#REF!,LEN(Protokoll_2p!#REF!)-FIND(":",Protokoll_2p!#REF!))),0,1))</f>
        <v>#REF!</v>
      </c>
      <c r="N132" s="1" t="e">
        <f t="shared" si="5"/>
        <v>#REF!</v>
      </c>
    </row>
    <row r="133" spans="2:14">
      <c r="B133" s="1" t="e">
        <f>IF(Protokoll_2p!#REF!="","",IF(VALUE(LEFT(Protokoll_2p!#REF!,FIND(":",Protokoll_2p!#REF!)-1))&gt;VALUE(RIGHT(Protokoll_2p!#REF!,LEN(Protokoll_2p!#REF!)-FIND(":",Protokoll_2p!#REF!))),1,0))</f>
        <v>#REF!</v>
      </c>
      <c r="C133" s="1" t="e">
        <f>IF(Protokoll_2p!#REF!="","",IF(VALUE(LEFT(Protokoll_2p!#REF!,FIND(":",Protokoll_2p!#REF!)-1))&gt;VALUE(RIGHT(Protokoll_2p!#REF!,LEN(Protokoll_2p!#REF!)-FIND(":",Protokoll_2p!#REF!))),1,0))</f>
        <v>#REF!</v>
      </c>
      <c r="D133" s="1" t="e">
        <f>IF(Protokoll_2p!#REF!="","",IF(VALUE(LEFT(Protokoll_2p!#REF!,FIND(":",Protokoll_2p!#REF!)-1))&gt;VALUE(RIGHT(Protokoll_2p!#REF!,LEN(Protokoll_2p!#REF!)-FIND(":",Protokoll_2p!#REF!))),1,0))</f>
        <v>#REF!</v>
      </c>
      <c r="E133" s="1" t="e">
        <f>IF(Protokoll_2p!#REF!="","",IF(VALUE(LEFT(Protokoll_2p!#REF!,FIND(":",Protokoll_2p!#REF!)-1))&gt;VALUE(RIGHT(Protokoll_2p!#REF!,LEN(Protokoll_2p!#REF!)-FIND(":",Protokoll_2p!#REF!))),1,0))</f>
        <v>#REF!</v>
      </c>
      <c r="F133" s="1" t="e">
        <f>IF(Protokoll_2p!#REF!="","",IF(VALUE(LEFT(Protokoll_2p!#REF!,FIND(":",Protokoll_2p!#REF!)-1))&gt;VALUE(RIGHT(Protokoll_2p!#REF!,LEN(Protokoll_2p!#REF!)-FIND(":",Protokoll_2p!#REF!))),1,0))</f>
        <v>#REF!</v>
      </c>
      <c r="G133" s="1" t="e">
        <f t="shared" si="4"/>
        <v>#REF!</v>
      </c>
      <c r="I133" s="1" t="e">
        <f>IF(Protokoll_2p!#REF!="","",IF(VALUE(LEFT(Protokoll_2p!#REF!,FIND(":",Protokoll_2p!#REF!)-1))&gt;VALUE(RIGHT(Protokoll_2p!#REF!,LEN(Protokoll_2p!#REF!)-FIND(":",Protokoll_2p!#REF!))),0,1))</f>
        <v>#REF!</v>
      </c>
      <c r="J133" s="1" t="e">
        <f>IF(Protokoll_2p!#REF!="","",IF(VALUE(LEFT(Protokoll_2p!#REF!,FIND(":",Protokoll_2p!#REF!)-1))&gt;VALUE(RIGHT(Protokoll_2p!#REF!,LEN(Protokoll_2p!#REF!)-FIND(":",Protokoll_2p!#REF!))),0,1))</f>
        <v>#REF!</v>
      </c>
      <c r="K133" s="1" t="e">
        <f>IF(Protokoll_2p!#REF!="","",IF(VALUE(LEFT(Protokoll_2p!#REF!,FIND(":",Protokoll_2p!#REF!)-1))&gt;VALUE(RIGHT(Protokoll_2p!#REF!,LEN(Protokoll_2p!#REF!)-FIND(":",Protokoll_2p!#REF!))),0,1))</f>
        <v>#REF!</v>
      </c>
      <c r="L133" s="1" t="e">
        <f>IF(Protokoll_2p!#REF!="","",IF(VALUE(LEFT(Protokoll_2p!#REF!,FIND(":",Protokoll_2p!#REF!)-1))&gt;VALUE(RIGHT(Protokoll_2p!#REF!,LEN(Protokoll_2p!#REF!)-FIND(":",Protokoll_2p!#REF!))),0,1))</f>
        <v>#REF!</v>
      </c>
      <c r="M133" s="1" t="e">
        <f>IF(Protokoll_2p!#REF!="","",IF(VALUE(LEFT(Protokoll_2p!#REF!,FIND(":",Protokoll_2p!#REF!)-1))&gt;VALUE(RIGHT(Protokoll_2p!#REF!,LEN(Protokoll_2p!#REF!)-FIND(":",Protokoll_2p!#REF!))),0,1))</f>
        <v>#REF!</v>
      </c>
      <c r="N133" s="1" t="e">
        <f t="shared" si="5"/>
        <v>#REF!</v>
      </c>
    </row>
    <row r="134" spans="2:14">
      <c r="B134" s="1" t="e">
        <f>IF(Protokoll_2p!#REF!="","",IF(VALUE(LEFT(Protokoll_2p!#REF!,FIND(":",Protokoll_2p!#REF!)-1))&gt;VALUE(RIGHT(Protokoll_2p!#REF!,LEN(Protokoll_2p!#REF!)-FIND(":",Protokoll_2p!#REF!))),1,0))</f>
        <v>#REF!</v>
      </c>
      <c r="C134" s="1" t="e">
        <f>IF(Protokoll_2p!#REF!="","",IF(VALUE(LEFT(Protokoll_2p!#REF!,FIND(":",Protokoll_2p!#REF!)-1))&gt;VALUE(RIGHT(Protokoll_2p!#REF!,LEN(Protokoll_2p!#REF!)-FIND(":",Protokoll_2p!#REF!))),1,0))</f>
        <v>#REF!</v>
      </c>
      <c r="D134" s="1" t="e">
        <f>IF(Protokoll_2p!#REF!="","",IF(VALUE(LEFT(Protokoll_2p!#REF!,FIND(":",Protokoll_2p!#REF!)-1))&gt;VALUE(RIGHT(Protokoll_2p!#REF!,LEN(Protokoll_2p!#REF!)-FIND(":",Protokoll_2p!#REF!))),1,0))</f>
        <v>#REF!</v>
      </c>
      <c r="E134" s="1" t="e">
        <f>IF(Protokoll_2p!#REF!="","",IF(VALUE(LEFT(Protokoll_2p!#REF!,FIND(":",Protokoll_2p!#REF!)-1))&gt;VALUE(RIGHT(Protokoll_2p!#REF!,LEN(Protokoll_2p!#REF!)-FIND(":",Protokoll_2p!#REF!))),1,0))</f>
        <v>#REF!</v>
      </c>
      <c r="F134" s="1" t="e">
        <f>IF(Protokoll_2p!#REF!="","",IF(VALUE(LEFT(Protokoll_2p!#REF!,FIND(":",Protokoll_2p!#REF!)-1))&gt;VALUE(RIGHT(Protokoll_2p!#REF!,LEN(Protokoll_2p!#REF!)-FIND(":",Protokoll_2p!#REF!))),1,0))</f>
        <v>#REF!</v>
      </c>
      <c r="G134" s="1" t="e">
        <f t="shared" si="4"/>
        <v>#REF!</v>
      </c>
      <c r="I134" s="1" t="e">
        <f>IF(Protokoll_2p!#REF!="","",IF(VALUE(LEFT(Protokoll_2p!#REF!,FIND(":",Protokoll_2p!#REF!)-1))&gt;VALUE(RIGHT(Protokoll_2p!#REF!,LEN(Protokoll_2p!#REF!)-FIND(":",Protokoll_2p!#REF!))),0,1))</f>
        <v>#REF!</v>
      </c>
      <c r="J134" s="1" t="e">
        <f>IF(Protokoll_2p!#REF!="","",IF(VALUE(LEFT(Protokoll_2p!#REF!,FIND(":",Protokoll_2p!#REF!)-1))&gt;VALUE(RIGHT(Protokoll_2p!#REF!,LEN(Protokoll_2p!#REF!)-FIND(":",Protokoll_2p!#REF!))),0,1))</f>
        <v>#REF!</v>
      </c>
      <c r="K134" s="1" t="e">
        <f>IF(Protokoll_2p!#REF!="","",IF(VALUE(LEFT(Protokoll_2p!#REF!,FIND(":",Protokoll_2p!#REF!)-1))&gt;VALUE(RIGHT(Protokoll_2p!#REF!,LEN(Protokoll_2p!#REF!)-FIND(":",Protokoll_2p!#REF!))),0,1))</f>
        <v>#REF!</v>
      </c>
      <c r="L134" s="1" t="e">
        <f>IF(Protokoll_2p!#REF!="","",IF(VALUE(LEFT(Protokoll_2p!#REF!,FIND(":",Protokoll_2p!#REF!)-1))&gt;VALUE(RIGHT(Protokoll_2p!#REF!,LEN(Protokoll_2p!#REF!)-FIND(":",Protokoll_2p!#REF!))),0,1))</f>
        <v>#REF!</v>
      </c>
      <c r="M134" s="1" t="e">
        <f>IF(Protokoll_2p!#REF!="","",IF(VALUE(LEFT(Protokoll_2p!#REF!,FIND(":",Protokoll_2p!#REF!)-1))&gt;VALUE(RIGHT(Protokoll_2p!#REF!,LEN(Protokoll_2p!#REF!)-FIND(":",Protokoll_2p!#REF!))),0,1))</f>
        <v>#REF!</v>
      </c>
      <c r="N134" s="1" t="e">
        <f t="shared" si="5"/>
        <v>#REF!</v>
      </c>
    </row>
    <row r="135" spans="2:14">
      <c r="B135" s="1" t="e">
        <f>IF(Protokoll_2p!#REF!="","",IF(VALUE(LEFT(Protokoll_2p!#REF!,FIND(":",Protokoll_2p!#REF!)-1))&gt;VALUE(RIGHT(Protokoll_2p!#REF!,LEN(Protokoll_2p!#REF!)-FIND(":",Protokoll_2p!#REF!))),1,0))</f>
        <v>#REF!</v>
      </c>
      <c r="C135" s="1" t="e">
        <f>IF(Protokoll_2p!#REF!="","",IF(VALUE(LEFT(Protokoll_2p!#REF!,FIND(":",Protokoll_2p!#REF!)-1))&gt;VALUE(RIGHT(Protokoll_2p!#REF!,LEN(Protokoll_2p!#REF!)-FIND(":",Protokoll_2p!#REF!))),1,0))</f>
        <v>#REF!</v>
      </c>
      <c r="D135" s="1" t="e">
        <f>IF(Protokoll_2p!#REF!="","",IF(VALUE(LEFT(Protokoll_2p!#REF!,FIND(":",Protokoll_2p!#REF!)-1))&gt;VALUE(RIGHT(Protokoll_2p!#REF!,LEN(Protokoll_2p!#REF!)-FIND(":",Protokoll_2p!#REF!))),1,0))</f>
        <v>#REF!</v>
      </c>
      <c r="E135" s="1" t="e">
        <f>IF(Protokoll_2p!#REF!="","",IF(VALUE(LEFT(Protokoll_2p!#REF!,FIND(":",Protokoll_2p!#REF!)-1))&gt;VALUE(RIGHT(Protokoll_2p!#REF!,LEN(Protokoll_2p!#REF!)-FIND(":",Protokoll_2p!#REF!))),1,0))</f>
        <v>#REF!</v>
      </c>
      <c r="F135" s="1" t="e">
        <f>IF(Protokoll_2p!#REF!="","",IF(VALUE(LEFT(Protokoll_2p!#REF!,FIND(":",Protokoll_2p!#REF!)-1))&gt;VALUE(RIGHT(Protokoll_2p!#REF!,LEN(Protokoll_2p!#REF!)-FIND(":",Protokoll_2p!#REF!))),1,0))</f>
        <v>#REF!</v>
      </c>
      <c r="G135" s="1" t="e">
        <f t="shared" si="4"/>
        <v>#REF!</v>
      </c>
      <c r="I135" s="1" t="e">
        <f>IF(Protokoll_2p!#REF!="","",IF(VALUE(LEFT(Protokoll_2p!#REF!,FIND(":",Protokoll_2p!#REF!)-1))&gt;VALUE(RIGHT(Protokoll_2p!#REF!,LEN(Protokoll_2p!#REF!)-FIND(":",Protokoll_2p!#REF!))),0,1))</f>
        <v>#REF!</v>
      </c>
      <c r="J135" s="1" t="e">
        <f>IF(Protokoll_2p!#REF!="","",IF(VALUE(LEFT(Protokoll_2p!#REF!,FIND(":",Protokoll_2p!#REF!)-1))&gt;VALUE(RIGHT(Protokoll_2p!#REF!,LEN(Protokoll_2p!#REF!)-FIND(":",Protokoll_2p!#REF!))),0,1))</f>
        <v>#REF!</v>
      </c>
      <c r="K135" s="1" t="e">
        <f>IF(Protokoll_2p!#REF!="","",IF(VALUE(LEFT(Protokoll_2p!#REF!,FIND(":",Protokoll_2p!#REF!)-1))&gt;VALUE(RIGHT(Protokoll_2p!#REF!,LEN(Protokoll_2p!#REF!)-FIND(":",Protokoll_2p!#REF!))),0,1))</f>
        <v>#REF!</v>
      </c>
      <c r="L135" s="1" t="e">
        <f>IF(Protokoll_2p!#REF!="","",IF(VALUE(LEFT(Protokoll_2p!#REF!,FIND(":",Protokoll_2p!#REF!)-1))&gt;VALUE(RIGHT(Protokoll_2p!#REF!,LEN(Protokoll_2p!#REF!)-FIND(":",Protokoll_2p!#REF!))),0,1))</f>
        <v>#REF!</v>
      </c>
      <c r="M135" s="1" t="e">
        <f>IF(Protokoll_2p!#REF!="","",IF(VALUE(LEFT(Protokoll_2p!#REF!,FIND(":",Protokoll_2p!#REF!)-1))&gt;VALUE(RIGHT(Protokoll_2p!#REF!,LEN(Protokoll_2p!#REF!)-FIND(":",Protokoll_2p!#REF!))),0,1))</f>
        <v>#REF!</v>
      </c>
      <c r="N135" s="1" t="e">
        <f t="shared" si="5"/>
        <v>#REF!</v>
      </c>
    </row>
    <row r="136" spans="2:14">
      <c r="B136" s="1" t="e">
        <f>IF(Protokoll_2p!#REF!="","",IF(VALUE(LEFT(Protokoll_2p!#REF!,FIND(":",Protokoll_2p!#REF!)-1))&gt;VALUE(RIGHT(Protokoll_2p!#REF!,LEN(Protokoll_2p!#REF!)-FIND(":",Protokoll_2p!#REF!))),1,0))</f>
        <v>#REF!</v>
      </c>
      <c r="C136" s="1" t="e">
        <f>IF(Protokoll_2p!#REF!="","",IF(VALUE(LEFT(Protokoll_2p!#REF!,FIND(":",Protokoll_2p!#REF!)-1))&gt;VALUE(RIGHT(Protokoll_2p!#REF!,LEN(Protokoll_2p!#REF!)-FIND(":",Protokoll_2p!#REF!))),1,0))</f>
        <v>#REF!</v>
      </c>
      <c r="D136" s="1" t="e">
        <f>IF(Protokoll_2p!#REF!="","",IF(VALUE(LEFT(Protokoll_2p!#REF!,FIND(":",Protokoll_2p!#REF!)-1))&gt;VALUE(RIGHT(Protokoll_2p!#REF!,LEN(Protokoll_2p!#REF!)-FIND(":",Protokoll_2p!#REF!))),1,0))</f>
        <v>#REF!</v>
      </c>
      <c r="E136" s="1" t="e">
        <f>IF(Protokoll_2p!#REF!="","",IF(VALUE(LEFT(Protokoll_2p!#REF!,FIND(":",Protokoll_2p!#REF!)-1))&gt;VALUE(RIGHT(Protokoll_2p!#REF!,LEN(Protokoll_2p!#REF!)-FIND(":",Protokoll_2p!#REF!))),1,0))</f>
        <v>#REF!</v>
      </c>
      <c r="F136" s="1" t="e">
        <f>IF(Protokoll_2p!#REF!="","",IF(VALUE(LEFT(Protokoll_2p!#REF!,FIND(":",Protokoll_2p!#REF!)-1))&gt;VALUE(RIGHT(Protokoll_2p!#REF!,LEN(Protokoll_2p!#REF!)-FIND(":",Protokoll_2p!#REF!))),1,0))</f>
        <v>#REF!</v>
      </c>
      <c r="G136" s="1" t="e">
        <f t="shared" si="4"/>
        <v>#REF!</v>
      </c>
      <c r="I136" s="1" t="e">
        <f>IF(Protokoll_2p!#REF!="","",IF(VALUE(LEFT(Protokoll_2p!#REF!,FIND(":",Protokoll_2p!#REF!)-1))&gt;VALUE(RIGHT(Protokoll_2p!#REF!,LEN(Protokoll_2p!#REF!)-FIND(":",Protokoll_2p!#REF!))),0,1))</f>
        <v>#REF!</v>
      </c>
      <c r="J136" s="1" t="e">
        <f>IF(Protokoll_2p!#REF!="","",IF(VALUE(LEFT(Protokoll_2p!#REF!,FIND(":",Protokoll_2p!#REF!)-1))&gt;VALUE(RIGHT(Protokoll_2p!#REF!,LEN(Protokoll_2p!#REF!)-FIND(":",Protokoll_2p!#REF!))),0,1))</f>
        <v>#REF!</v>
      </c>
      <c r="K136" s="1" t="e">
        <f>IF(Protokoll_2p!#REF!="","",IF(VALUE(LEFT(Protokoll_2p!#REF!,FIND(":",Protokoll_2p!#REF!)-1))&gt;VALUE(RIGHT(Protokoll_2p!#REF!,LEN(Protokoll_2p!#REF!)-FIND(":",Protokoll_2p!#REF!))),0,1))</f>
        <v>#REF!</v>
      </c>
      <c r="L136" s="1" t="e">
        <f>IF(Protokoll_2p!#REF!="","",IF(VALUE(LEFT(Protokoll_2p!#REF!,FIND(":",Protokoll_2p!#REF!)-1))&gt;VALUE(RIGHT(Protokoll_2p!#REF!,LEN(Protokoll_2p!#REF!)-FIND(":",Protokoll_2p!#REF!))),0,1))</f>
        <v>#REF!</v>
      </c>
      <c r="M136" s="1" t="e">
        <f>IF(Protokoll_2p!#REF!="","",IF(VALUE(LEFT(Protokoll_2p!#REF!,FIND(":",Protokoll_2p!#REF!)-1))&gt;VALUE(RIGHT(Protokoll_2p!#REF!,LEN(Protokoll_2p!#REF!)-FIND(":",Protokoll_2p!#REF!))),0,1))</f>
        <v>#REF!</v>
      </c>
      <c r="N136" s="1" t="e">
        <f t="shared" si="5"/>
        <v>#REF!</v>
      </c>
    </row>
    <row r="137" spans="2:14">
      <c r="B137" s="1" t="e">
        <f>IF(Protokoll_2p!#REF!="","",IF(VALUE(LEFT(Protokoll_2p!#REF!,FIND(":",Protokoll_2p!#REF!)-1))&gt;VALUE(RIGHT(Protokoll_2p!#REF!,LEN(Protokoll_2p!#REF!)-FIND(":",Protokoll_2p!#REF!))),1,0))</f>
        <v>#REF!</v>
      </c>
      <c r="C137" s="1" t="e">
        <f>IF(Protokoll_2p!#REF!="","",IF(VALUE(LEFT(Protokoll_2p!#REF!,FIND(":",Protokoll_2p!#REF!)-1))&gt;VALUE(RIGHT(Protokoll_2p!#REF!,LEN(Protokoll_2p!#REF!)-FIND(":",Protokoll_2p!#REF!))),1,0))</f>
        <v>#REF!</v>
      </c>
      <c r="D137" s="1" t="e">
        <f>IF(Protokoll_2p!#REF!="","",IF(VALUE(LEFT(Protokoll_2p!#REF!,FIND(":",Protokoll_2p!#REF!)-1))&gt;VALUE(RIGHT(Protokoll_2p!#REF!,LEN(Protokoll_2p!#REF!)-FIND(":",Protokoll_2p!#REF!))),1,0))</f>
        <v>#REF!</v>
      </c>
      <c r="E137" s="1" t="e">
        <f>IF(Protokoll_2p!#REF!="","",IF(VALUE(LEFT(Protokoll_2p!#REF!,FIND(":",Protokoll_2p!#REF!)-1))&gt;VALUE(RIGHT(Protokoll_2p!#REF!,LEN(Protokoll_2p!#REF!)-FIND(":",Protokoll_2p!#REF!))),1,0))</f>
        <v>#REF!</v>
      </c>
      <c r="F137" s="1" t="e">
        <f>IF(Protokoll_2p!#REF!="","",IF(VALUE(LEFT(Protokoll_2p!#REF!,FIND(":",Protokoll_2p!#REF!)-1))&gt;VALUE(RIGHT(Protokoll_2p!#REF!,LEN(Protokoll_2p!#REF!)-FIND(":",Protokoll_2p!#REF!))),1,0))</f>
        <v>#REF!</v>
      </c>
      <c r="G137" s="1" t="e">
        <f t="shared" si="4"/>
        <v>#REF!</v>
      </c>
      <c r="I137" s="1" t="e">
        <f>IF(Protokoll_2p!#REF!="","",IF(VALUE(LEFT(Protokoll_2p!#REF!,FIND(":",Protokoll_2p!#REF!)-1))&gt;VALUE(RIGHT(Protokoll_2p!#REF!,LEN(Protokoll_2p!#REF!)-FIND(":",Protokoll_2p!#REF!))),0,1))</f>
        <v>#REF!</v>
      </c>
      <c r="J137" s="1" t="e">
        <f>IF(Protokoll_2p!#REF!="","",IF(VALUE(LEFT(Protokoll_2p!#REF!,FIND(":",Protokoll_2p!#REF!)-1))&gt;VALUE(RIGHT(Protokoll_2p!#REF!,LEN(Protokoll_2p!#REF!)-FIND(":",Protokoll_2p!#REF!))),0,1))</f>
        <v>#REF!</v>
      </c>
      <c r="K137" s="1" t="e">
        <f>IF(Protokoll_2p!#REF!="","",IF(VALUE(LEFT(Protokoll_2p!#REF!,FIND(":",Protokoll_2p!#REF!)-1))&gt;VALUE(RIGHT(Protokoll_2p!#REF!,LEN(Protokoll_2p!#REF!)-FIND(":",Protokoll_2p!#REF!))),0,1))</f>
        <v>#REF!</v>
      </c>
      <c r="L137" s="1" t="e">
        <f>IF(Protokoll_2p!#REF!="","",IF(VALUE(LEFT(Protokoll_2p!#REF!,FIND(":",Protokoll_2p!#REF!)-1))&gt;VALUE(RIGHT(Protokoll_2p!#REF!,LEN(Protokoll_2p!#REF!)-FIND(":",Protokoll_2p!#REF!))),0,1))</f>
        <v>#REF!</v>
      </c>
      <c r="M137" s="1" t="e">
        <f>IF(Protokoll_2p!#REF!="","",IF(VALUE(LEFT(Protokoll_2p!#REF!,FIND(":",Protokoll_2p!#REF!)-1))&gt;VALUE(RIGHT(Protokoll_2p!#REF!,LEN(Protokoll_2p!#REF!)-FIND(":",Protokoll_2p!#REF!))),0,1))</f>
        <v>#REF!</v>
      </c>
      <c r="N137" s="1" t="e">
        <f t="shared" si="5"/>
        <v>#REF!</v>
      </c>
    </row>
    <row r="138" spans="2:14">
      <c r="B138" s="1" t="e">
        <f>IF(Protokoll_2p!#REF!="","",IF(VALUE(LEFT(Protokoll_2p!#REF!,FIND(":",Protokoll_2p!#REF!)-1))&gt;VALUE(RIGHT(Protokoll_2p!#REF!,LEN(Protokoll_2p!#REF!)-FIND(":",Protokoll_2p!#REF!))),1,0))</f>
        <v>#REF!</v>
      </c>
      <c r="C138" s="1" t="e">
        <f>IF(Protokoll_2p!#REF!="","",IF(VALUE(LEFT(Protokoll_2p!#REF!,FIND(":",Protokoll_2p!#REF!)-1))&gt;VALUE(RIGHT(Protokoll_2p!#REF!,LEN(Protokoll_2p!#REF!)-FIND(":",Protokoll_2p!#REF!))),1,0))</f>
        <v>#REF!</v>
      </c>
      <c r="D138" s="1" t="e">
        <f>IF(Protokoll_2p!#REF!="","",IF(VALUE(LEFT(Protokoll_2p!#REF!,FIND(":",Protokoll_2p!#REF!)-1))&gt;VALUE(RIGHT(Protokoll_2p!#REF!,LEN(Protokoll_2p!#REF!)-FIND(":",Protokoll_2p!#REF!))),1,0))</f>
        <v>#REF!</v>
      </c>
      <c r="E138" s="1" t="e">
        <f>IF(Protokoll_2p!#REF!="","",IF(VALUE(LEFT(Protokoll_2p!#REF!,FIND(":",Protokoll_2p!#REF!)-1))&gt;VALUE(RIGHT(Protokoll_2p!#REF!,LEN(Protokoll_2p!#REF!)-FIND(":",Protokoll_2p!#REF!))),1,0))</f>
        <v>#REF!</v>
      </c>
      <c r="F138" s="1" t="e">
        <f>IF(Protokoll_2p!#REF!="","",IF(VALUE(LEFT(Protokoll_2p!#REF!,FIND(":",Protokoll_2p!#REF!)-1))&gt;VALUE(RIGHT(Protokoll_2p!#REF!,LEN(Protokoll_2p!#REF!)-FIND(":",Protokoll_2p!#REF!))),1,0))</f>
        <v>#REF!</v>
      </c>
      <c r="G138" s="1" t="e">
        <f t="shared" si="4"/>
        <v>#REF!</v>
      </c>
      <c r="I138" s="1" t="e">
        <f>IF(Protokoll_2p!#REF!="","",IF(VALUE(LEFT(Protokoll_2p!#REF!,FIND(":",Protokoll_2p!#REF!)-1))&gt;VALUE(RIGHT(Protokoll_2p!#REF!,LEN(Protokoll_2p!#REF!)-FIND(":",Protokoll_2p!#REF!))),0,1))</f>
        <v>#REF!</v>
      </c>
      <c r="J138" s="1" t="e">
        <f>IF(Protokoll_2p!#REF!="","",IF(VALUE(LEFT(Protokoll_2p!#REF!,FIND(":",Protokoll_2p!#REF!)-1))&gt;VALUE(RIGHT(Protokoll_2p!#REF!,LEN(Protokoll_2p!#REF!)-FIND(":",Protokoll_2p!#REF!))),0,1))</f>
        <v>#REF!</v>
      </c>
      <c r="K138" s="1" t="e">
        <f>IF(Protokoll_2p!#REF!="","",IF(VALUE(LEFT(Protokoll_2p!#REF!,FIND(":",Protokoll_2p!#REF!)-1))&gt;VALUE(RIGHT(Protokoll_2p!#REF!,LEN(Protokoll_2p!#REF!)-FIND(":",Protokoll_2p!#REF!))),0,1))</f>
        <v>#REF!</v>
      </c>
      <c r="L138" s="1" t="e">
        <f>IF(Protokoll_2p!#REF!="","",IF(VALUE(LEFT(Protokoll_2p!#REF!,FIND(":",Protokoll_2p!#REF!)-1))&gt;VALUE(RIGHT(Protokoll_2p!#REF!,LEN(Protokoll_2p!#REF!)-FIND(":",Protokoll_2p!#REF!))),0,1))</f>
        <v>#REF!</v>
      </c>
      <c r="M138" s="1" t="e">
        <f>IF(Protokoll_2p!#REF!="","",IF(VALUE(LEFT(Protokoll_2p!#REF!,FIND(":",Protokoll_2p!#REF!)-1))&gt;VALUE(RIGHT(Protokoll_2p!#REF!,LEN(Protokoll_2p!#REF!)-FIND(":",Protokoll_2p!#REF!))),0,1))</f>
        <v>#REF!</v>
      </c>
      <c r="N138" s="1" t="e">
        <f t="shared" si="5"/>
        <v>#REF!</v>
      </c>
    </row>
    <row r="139" spans="2:14">
      <c r="B139" s="1" t="e">
        <f>IF(Protokoll_2p!#REF!="","",IF(VALUE(LEFT(Protokoll_2p!#REF!,FIND(":",Protokoll_2p!#REF!)-1))&gt;VALUE(RIGHT(Protokoll_2p!#REF!,LEN(Protokoll_2p!#REF!)-FIND(":",Protokoll_2p!#REF!))),1,0))</f>
        <v>#REF!</v>
      </c>
      <c r="C139" s="1" t="e">
        <f>IF(Protokoll_2p!#REF!="","",IF(VALUE(LEFT(Protokoll_2p!#REF!,FIND(":",Protokoll_2p!#REF!)-1))&gt;VALUE(RIGHT(Protokoll_2p!#REF!,LEN(Protokoll_2p!#REF!)-FIND(":",Protokoll_2p!#REF!))),1,0))</f>
        <v>#REF!</v>
      </c>
      <c r="D139" s="1" t="e">
        <f>IF(Protokoll_2p!#REF!="","",IF(VALUE(LEFT(Protokoll_2p!#REF!,FIND(":",Protokoll_2p!#REF!)-1))&gt;VALUE(RIGHT(Protokoll_2p!#REF!,LEN(Protokoll_2p!#REF!)-FIND(":",Protokoll_2p!#REF!))),1,0))</f>
        <v>#REF!</v>
      </c>
      <c r="E139" s="1" t="e">
        <f>IF(Protokoll_2p!#REF!="","",IF(VALUE(LEFT(Protokoll_2p!#REF!,FIND(":",Protokoll_2p!#REF!)-1))&gt;VALUE(RIGHT(Protokoll_2p!#REF!,LEN(Protokoll_2p!#REF!)-FIND(":",Protokoll_2p!#REF!))),1,0))</f>
        <v>#REF!</v>
      </c>
      <c r="F139" s="1" t="e">
        <f>IF(Protokoll_2p!#REF!="","",IF(VALUE(LEFT(Protokoll_2p!#REF!,FIND(":",Protokoll_2p!#REF!)-1))&gt;VALUE(RIGHT(Protokoll_2p!#REF!,LEN(Protokoll_2p!#REF!)-FIND(":",Protokoll_2p!#REF!))),1,0))</f>
        <v>#REF!</v>
      </c>
      <c r="G139" s="1" t="e">
        <f t="shared" si="4"/>
        <v>#REF!</v>
      </c>
      <c r="I139" s="1" t="e">
        <f>IF(Protokoll_2p!#REF!="","",IF(VALUE(LEFT(Protokoll_2p!#REF!,FIND(":",Protokoll_2p!#REF!)-1))&gt;VALUE(RIGHT(Protokoll_2p!#REF!,LEN(Protokoll_2p!#REF!)-FIND(":",Protokoll_2p!#REF!))),0,1))</f>
        <v>#REF!</v>
      </c>
      <c r="J139" s="1" t="e">
        <f>IF(Protokoll_2p!#REF!="","",IF(VALUE(LEFT(Protokoll_2p!#REF!,FIND(":",Protokoll_2p!#REF!)-1))&gt;VALUE(RIGHT(Protokoll_2p!#REF!,LEN(Protokoll_2p!#REF!)-FIND(":",Protokoll_2p!#REF!))),0,1))</f>
        <v>#REF!</v>
      </c>
      <c r="K139" s="1" t="e">
        <f>IF(Protokoll_2p!#REF!="","",IF(VALUE(LEFT(Protokoll_2p!#REF!,FIND(":",Protokoll_2p!#REF!)-1))&gt;VALUE(RIGHT(Protokoll_2p!#REF!,LEN(Protokoll_2p!#REF!)-FIND(":",Protokoll_2p!#REF!))),0,1))</f>
        <v>#REF!</v>
      </c>
      <c r="L139" s="1" t="e">
        <f>IF(Protokoll_2p!#REF!="","",IF(VALUE(LEFT(Protokoll_2p!#REF!,FIND(":",Protokoll_2p!#REF!)-1))&gt;VALUE(RIGHT(Protokoll_2p!#REF!,LEN(Protokoll_2p!#REF!)-FIND(":",Protokoll_2p!#REF!))),0,1))</f>
        <v>#REF!</v>
      </c>
      <c r="M139" s="1" t="e">
        <f>IF(Protokoll_2p!#REF!="","",IF(VALUE(LEFT(Protokoll_2p!#REF!,FIND(":",Protokoll_2p!#REF!)-1))&gt;VALUE(RIGHT(Protokoll_2p!#REF!,LEN(Protokoll_2p!#REF!)-FIND(":",Protokoll_2p!#REF!))),0,1))</f>
        <v>#REF!</v>
      </c>
      <c r="N139" s="1" t="e">
        <f t="shared" si="5"/>
        <v>#REF!</v>
      </c>
    </row>
    <row r="140" spans="2:14">
      <c r="B140" s="1" t="e">
        <f>IF(Protokoll_2p!#REF!="","",IF(VALUE(LEFT(Protokoll_2p!#REF!,FIND(":",Protokoll_2p!#REF!)-1))&gt;VALUE(RIGHT(Protokoll_2p!#REF!,LEN(Protokoll_2p!#REF!)-FIND(":",Protokoll_2p!#REF!))),1,0))</f>
        <v>#REF!</v>
      </c>
      <c r="C140" s="1" t="e">
        <f>IF(Protokoll_2p!#REF!="","",IF(VALUE(LEFT(Protokoll_2p!#REF!,FIND(":",Protokoll_2p!#REF!)-1))&gt;VALUE(RIGHT(Protokoll_2p!#REF!,LEN(Protokoll_2p!#REF!)-FIND(":",Protokoll_2p!#REF!))),1,0))</f>
        <v>#REF!</v>
      </c>
      <c r="D140" s="1" t="e">
        <f>IF(Protokoll_2p!#REF!="","",IF(VALUE(LEFT(Protokoll_2p!#REF!,FIND(":",Protokoll_2p!#REF!)-1))&gt;VALUE(RIGHT(Protokoll_2p!#REF!,LEN(Protokoll_2p!#REF!)-FIND(":",Protokoll_2p!#REF!))),1,0))</f>
        <v>#REF!</v>
      </c>
      <c r="E140" s="1" t="e">
        <f>IF(Protokoll_2p!#REF!="","",IF(VALUE(LEFT(Protokoll_2p!#REF!,FIND(":",Protokoll_2p!#REF!)-1))&gt;VALUE(RIGHT(Protokoll_2p!#REF!,LEN(Protokoll_2p!#REF!)-FIND(":",Protokoll_2p!#REF!))),1,0))</f>
        <v>#REF!</v>
      </c>
      <c r="F140" s="1" t="e">
        <f>IF(Protokoll_2p!#REF!="","",IF(VALUE(LEFT(Protokoll_2p!#REF!,FIND(":",Protokoll_2p!#REF!)-1))&gt;VALUE(RIGHT(Protokoll_2p!#REF!,LEN(Protokoll_2p!#REF!)-FIND(":",Protokoll_2p!#REF!))),1,0))</f>
        <v>#REF!</v>
      </c>
      <c r="G140" s="1" t="e">
        <f t="shared" si="4"/>
        <v>#REF!</v>
      </c>
      <c r="I140" s="1" t="e">
        <f>IF(Protokoll_2p!#REF!="","",IF(VALUE(LEFT(Protokoll_2p!#REF!,FIND(":",Protokoll_2p!#REF!)-1))&gt;VALUE(RIGHT(Protokoll_2p!#REF!,LEN(Protokoll_2p!#REF!)-FIND(":",Protokoll_2p!#REF!))),0,1))</f>
        <v>#REF!</v>
      </c>
      <c r="J140" s="1" t="e">
        <f>IF(Protokoll_2p!#REF!="","",IF(VALUE(LEFT(Protokoll_2p!#REF!,FIND(":",Protokoll_2p!#REF!)-1))&gt;VALUE(RIGHT(Protokoll_2p!#REF!,LEN(Protokoll_2p!#REF!)-FIND(":",Protokoll_2p!#REF!))),0,1))</f>
        <v>#REF!</v>
      </c>
      <c r="K140" s="1" t="e">
        <f>IF(Protokoll_2p!#REF!="","",IF(VALUE(LEFT(Protokoll_2p!#REF!,FIND(":",Protokoll_2p!#REF!)-1))&gt;VALUE(RIGHT(Protokoll_2p!#REF!,LEN(Protokoll_2p!#REF!)-FIND(":",Protokoll_2p!#REF!))),0,1))</f>
        <v>#REF!</v>
      </c>
      <c r="L140" s="1" t="e">
        <f>IF(Protokoll_2p!#REF!="","",IF(VALUE(LEFT(Protokoll_2p!#REF!,FIND(":",Protokoll_2p!#REF!)-1))&gt;VALUE(RIGHT(Protokoll_2p!#REF!,LEN(Protokoll_2p!#REF!)-FIND(":",Protokoll_2p!#REF!))),0,1))</f>
        <v>#REF!</v>
      </c>
      <c r="M140" s="1" t="e">
        <f>IF(Protokoll_2p!#REF!="","",IF(VALUE(LEFT(Protokoll_2p!#REF!,FIND(":",Protokoll_2p!#REF!)-1))&gt;VALUE(RIGHT(Protokoll_2p!#REF!,LEN(Protokoll_2p!#REF!)-FIND(":",Protokoll_2p!#REF!))),0,1))</f>
        <v>#REF!</v>
      </c>
      <c r="N140" s="1" t="e">
        <f t="shared" si="5"/>
        <v>#REF!</v>
      </c>
    </row>
    <row r="141" spans="2:14">
      <c r="B141" s="1" t="e">
        <f>IF(Protokoll_2p!#REF!="","",IF(VALUE(LEFT(Protokoll_2p!#REF!,FIND(":",Protokoll_2p!#REF!)-1))&gt;VALUE(RIGHT(Protokoll_2p!#REF!,LEN(Protokoll_2p!#REF!)-FIND(":",Protokoll_2p!#REF!))),1,0))</f>
        <v>#REF!</v>
      </c>
      <c r="C141" s="1" t="e">
        <f>IF(Protokoll_2p!#REF!="","",IF(VALUE(LEFT(Protokoll_2p!#REF!,FIND(":",Protokoll_2p!#REF!)-1))&gt;VALUE(RIGHT(Protokoll_2p!#REF!,LEN(Protokoll_2p!#REF!)-FIND(":",Protokoll_2p!#REF!))),1,0))</f>
        <v>#REF!</v>
      </c>
      <c r="D141" s="1" t="e">
        <f>IF(Protokoll_2p!#REF!="","",IF(VALUE(LEFT(Protokoll_2p!#REF!,FIND(":",Protokoll_2p!#REF!)-1))&gt;VALUE(RIGHT(Protokoll_2p!#REF!,LEN(Protokoll_2p!#REF!)-FIND(":",Protokoll_2p!#REF!))),1,0))</f>
        <v>#REF!</v>
      </c>
      <c r="E141" s="1" t="e">
        <f>IF(Protokoll_2p!#REF!="","",IF(VALUE(LEFT(Protokoll_2p!#REF!,FIND(":",Protokoll_2p!#REF!)-1))&gt;VALUE(RIGHT(Protokoll_2p!#REF!,LEN(Protokoll_2p!#REF!)-FIND(":",Protokoll_2p!#REF!))),1,0))</f>
        <v>#REF!</v>
      </c>
      <c r="F141" s="1" t="e">
        <f>IF(Protokoll_2p!#REF!="","",IF(VALUE(LEFT(Protokoll_2p!#REF!,FIND(":",Protokoll_2p!#REF!)-1))&gt;VALUE(RIGHT(Protokoll_2p!#REF!,LEN(Protokoll_2p!#REF!)-FIND(":",Protokoll_2p!#REF!))),1,0))</f>
        <v>#REF!</v>
      </c>
      <c r="G141" s="1" t="e">
        <f t="shared" si="4"/>
        <v>#REF!</v>
      </c>
      <c r="I141" s="1" t="e">
        <f>IF(Protokoll_2p!#REF!="","",IF(VALUE(LEFT(Protokoll_2p!#REF!,FIND(":",Protokoll_2p!#REF!)-1))&gt;VALUE(RIGHT(Protokoll_2p!#REF!,LEN(Protokoll_2p!#REF!)-FIND(":",Protokoll_2p!#REF!))),0,1))</f>
        <v>#REF!</v>
      </c>
      <c r="J141" s="1" t="e">
        <f>IF(Protokoll_2p!#REF!="","",IF(VALUE(LEFT(Protokoll_2p!#REF!,FIND(":",Protokoll_2p!#REF!)-1))&gt;VALUE(RIGHT(Protokoll_2p!#REF!,LEN(Protokoll_2p!#REF!)-FIND(":",Protokoll_2p!#REF!))),0,1))</f>
        <v>#REF!</v>
      </c>
      <c r="K141" s="1" t="e">
        <f>IF(Protokoll_2p!#REF!="","",IF(VALUE(LEFT(Protokoll_2p!#REF!,FIND(":",Protokoll_2p!#REF!)-1))&gt;VALUE(RIGHT(Protokoll_2p!#REF!,LEN(Protokoll_2p!#REF!)-FIND(":",Protokoll_2p!#REF!))),0,1))</f>
        <v>#REF!</v>
      </c>
      <c r="L141" s="1" t="e">
        <f>IF(Protokoll_2p!#REF!="","",IF(VALUE(LEFT(Protokoll_2p!#REF!,FIND(":",Protokoll_2p!#REF!)-1))&gt;VALUE(RIGHT(Protokoll_2p!#REF!,LEN(Protokoll_2p!#REF!)-FIND(":",Protokoll_2p!#REF!))),0,1))</f>
        <v>#REF!</v>
      </c>
      <c r="M141" s="1" t="e">
        <f>IF(Protokoll_2p!#REF!="","",IF(VALUE(LEFT(Protokoll_2p!#REF!,FIND(":",Protokoll_2p!#REF!)-1))&gt;VALUE(RIGHT(Protokoll_2p!#REF!,LEN(Protokoll_2p!#REF!)-FIND(":",Protokoll_2p!#REF!))),0,1))</f>
        <v>#REF!</v>
      </c>
      <c r="N141" s="1" t="e">
        <f t="shared" si="5"/>
        <v>#REF!</v>
      </c>
    </row>
    <row r="142" spans="2:14">
      <c r="B142" s="1" t="e">
        <f>IF(Protokoll_2p!#REF!="","",IF(VALUE(LEFT(Protokoll_2p!#REF!,FIND(":",Protokoll_2p!#REF!)-1))&gt;VALUE(RIGHT(Protokoll_2p!#REF!,LEN(Protokoll_2p!#REF!)-FIND(":",Protokoll_2p!#REF!))),1,0))</f>
        <v>#REF!</v>
      </c>
      <c r="C142" s="1" t="e">
        <f>IF(Protokoll_2p!#REF!="","",IF(VALUE(LEFT(Protokoll_2p!#REF!,FIND(":",Protokoll_2p!#REF!)-1))&gt;VALUE(RIGHT(Protokoll_2p!#REF!,LEN(Protokoll_2p!#REF!)-FIND(":",Protokoll_2p!#REF!))),1,0))</f>
        <v>#REF!</v>
      </c>
      <c r="D142" s="1" t="e">
        <f>IF(Protokoll_2p!#REF!="","",IF(VALUE(LEFT(Protokoll_2p!#REF!,FIND(":",Protokoll_2p!#REF!)-1))&gt;VALUE(RIGHT(Protokoll_2p!#REF!,LEN(Protokoll_2p!#REF!)-FIND(":",Protokoll_2p!#REF!))),1,0))</f>
        <v>#REF!</v>
      </c>
      <c r="E142" s="1" t="e">
        <f>IF(Protokoll_2p!#REF!="","",IF(VALUE(LEFT(Protokoll_2p!#REF!,FIND(":",Protokoll_2p!#REF!)-1))&gt;VALUE(RIGHT(Protokoll_2p!#REF!,LEN(Protokoll_2p!#REF!)-FIND(":",Protokoll_2p!#REF!))),1,0))</f>
        <v>#REF!</v>
      </c>
      <c r="F142" s="1" t="e">
        <f>IF(Protokoll_2p!#REF!="","",IF(VALUE(LEFT(Protokoll_2p!#REF!,FIND(":",Protokoll_2p!#REF!)-1))&gt;VALUE(RIGHT(Protokoll_2p!#REF!,LEN(Protokoll_2p!#REF!)-FIND(":",Protokoll_2p!#REF!))),1,0))</f>
        <v>#REF!</v>
      </c>
      <c r="G142" s="1" t="e">
        <f t="shared" si="4"/>
        <v>#REF!</v>
      </c>
      <c r="I142" s="1" t="e">
        <f>IF(Protokoll_2p!#REF!="","",IF(VALUE(LEFT(Protokoll_2p!#REF!,FIND(":",Protokoll_2p!#REF!)-1))&gt;VALUE(RIGHT(Protokoll_2p!#REF!,LEN(Protokoll_2p!#REF!)-FIND(":",Protokoll_2p!#REF!))),0,1))</f>
        <v>#REF!</v>
      </c>
      <c r="J142" s="1" t="e">
        <f>IF(Protokoll_2p!#REF!="","",IF(VALUE(LEFT(Protokoll_2p!#REF!,FIND(":",Protokoll_2p!#REF!)-1))&gt;VALUE(RIGHT(Protokoll_2p!#REF!,LEN(Protokoll_2p!#REF!)-FIND(":",Protokoll_2p!#REF!))),0,1))</f>
        <v>#REF!</v>
      </c>
      <c r="K142" s="1" t="e">
        <f>IF(Protokoll_2p!#REF!="","",IF(VALUE(LEFT(Protokoll_2p!#REF!,FIND(":",Protokoll_2p!#REF!)-1))&gt;VALUE(RIGHT(Protokoll_2p!#REF!,LEN(Protokoll_2p!#REF!)-FIND(":",Protokoll_2p!#REF!))),0,1))</f>
        <v>#REF!</v>
      </c>
      <c r="L142" s="1" t="e">
        <f>IF(Protokoll_2p!#REF!="","",IF(VALUE(LEFT(Protokoll_2p!#REF!,FIND(":",Protokoll_2p!#REF!)-1))&gt;VALUE(RIGHT(Protokoll_2p!#REF!,LEN(Protokoll_2p!#REF!)-FIND(":",Protokoll_2p!#REF!))),0,1))</f>
        <v>#REF!</v>
      </c>
      <c r="M142" s="1" t="e">
        <f>IF(Protokoll_2p!#REF!="","",IF(VALUE(LEFT(Protokoll_2p!#REF!,FIND(":",Protokoll_2p!#REF!)-1))&gt;VALUE(RIGHT(Protokoll_2p!#REF!,LEN(Protokoll_2p!#REF!)-FIND(":",Protokoll_2p!#REF!))),0,1))</f>
        <v>#REF!</v>
      </c>
      <c r="N142" s="1" t="e">
        <f t="shared" si="5"/>
        <v>#REF!</v>
      </c>
    </row>
    <row r="143" spans="2:14">
      <c r="B143" s="1" t="e">
        <f>IF(Protokoll_2p!#REF!="","",IF(VALUE(LEFT(Protokoll_2p!#REF!,FIND(":",Protokoll_2p!#REF!)-1))&gt;VALUE(RIGHT(Protokoll_2p!#REF!,LEN(Protokoll_2p!#REF!)-FIND(":",Protokoll_2p!#REF!))),1,0))</f>
        <v>#REF!</v>
      </c>
      <c r="C143" s="1" t="e">
        <f>IF(Protokoll_2p!#REF!="","",IF(VALUE(LEFT(Protokoll_2p!#REF!,FIND(":",Protokoll_2p!#REF!)-1))&gt;VALUE(RIGHT(Protokoll_2p!#REF!,LEN(Protokoll_2p!#REF!)-FIND(":",Protokoll_2p!#REF!))),1,0))</f>
        <v>#REF!</v>
      </c>
      <c r="D143" s="1" t="e">
        <f>IF(Protokoll_2p!#REF!="","",IF(VALUE(LEFT(Protokoll_2p!#REF!,FIND(":",Protokoll_2p!#REF!)-1))&gt;VALUE(RIGHT(Protokoll_2p!#REF!,LEN(Protokoll_2p!#REF!)-FIND(":",Protokoll_2p!#REF!))),1,0))</f>
        <v>#REF!</v>
      </c>
      <c r="E143" s="1" t="e">
        <f>IF(Protokoll_2p!#REF!="","",IF(VALUE(LEFT(Protokoll_2p!#REF!,FIND(":",Protokoll_2p!#REF!)-1))&gt;VALUE(RIGHT(Protokoll_2p!#REF!,LEN(Protokoll_2p!#REF!)-FIND(":",Protokoll_2p!#REF!))),1,0))</f>
        <v>#REF!</v>
      </c>
      <c r="F143" s="1" t="e">
        <f>IF(Protokoll_2p!#REF!="","",IF(VALUE(LEFT(Protokoll_2p!#REF!,FIND(":",Protokoll_2p!#REF!)-1))&gt;VALUE(RIGHT(Protokoll_2p!#REF!,LEN(Protokoll_2p!#REF!)-FIND(":",Protokoll_2p!#REF!))),1,0))</f>
        <v>#REF!</v>
      </c>
      <c r="G143" s="1" t="e">
        <f t="shared" si="4"/>
        <v>#REF!</v>
      </c>
      <c r="I143" s="1" t="e">
        <f>IF(Protokoll_2p!#REF!="","",IF(VALUE(LEFT(Protokoll_2p!#REF!,FIND(":",Protokoll_2p!#REF!)-1))&gt;VALUE(RIGHT(Protokoll_2p!#REF!,LEN(Protokoll_2p!#REF!)-FIND(":",Protokoll_2p!#REF!))),0,1))</f>
        <v>#REF!</v>
      </c>
      <c r="J143" s="1" t="e">
        <f>IF(Protokoll_2p!#REF!="","",IF(VALUE(LEFT(Protokoll_2p!#REF!,FIND(":",Protokoll_2p!#REF!)-1))&gt;VALUE(RIGHT(Protokoll_2p!#REF!,LEN(Protokoll_2p!#REF!)-FIND(":",Protokoll_2p!#REF!))),0,1))</f>
        <v>#REF!</v>
      </c>
      <c r="K143" s="1" t="e">
        <f>IF(Protokoll_2p!#REF!="","",IF(VALUE(LEFT(Protokoll_2p!#REF!,FIND(":",Protokoll_2p!#REF!)-1))&gt;VALUE(RIGHT(Protokoll_2p!#REF!,LEN(Protokoll_2p!#REF!)-FIND(":",Protokoll_2p!#REF!))),0,1))</f>
        <v>#REF!</v>
      </c>
      <c r="L143" s="1" t="e">
        <f>IF(Protokoll_2p!#REF!="","",IF(VALUE(LEFT(Protokoll_2p!#REF!,FIND(":",Protokoll_2p!#REF!)-1))&gt;VALUE(RIGHT(Protokoll_2p!#REF!,LEN(Protokoll_2p!#REF!)-FIND(":",Protokoll_2p!#REF!))),0,1))</f>
        <v>#REF!</v>
      </c>
      <c r="M143" s="1" t="e">
        <f>IF(Protokoll_2p!#REF!="","",IF(VALUE(LEFT(Protokoll_2p!#REF!,FIND(":",Protokoll_2p!#REF!)-1))&gt;VALUE(RIGHT(Protokoll_2p!#REF!,LEN(Protokoll_2p!#REF!)-FIND(":",Protokoll_2p!#REF!))),0,1))</f>
        <v>#REF!</v>
      </c>
      <c r="N143" s="1" t="e">
        <f t="shared" si="5"/>
        <v>#REF!</v>
      </c>
    </row>
    <row r="144" spans="2:14">
      <c r="B144" s="1" t="e">
        <f>IF(Protokoll_2p!#REF!="","",IF(VALUE(LEFT(Protokoll_2p!#REF!,FIND(":",Protokoll_2p!#REF!)-1))&gt;VALUE(RIGHT(Protokoll_2p!#REF!,LEN(Protokoll_2p!#REF!)-FIND(":",Protokoll_2p!#REF!))),1,0))</f>
        <v>#REF!</v>
      </c>
      <c r="C144" s="1" t="e">
        <f>IF(Protokoll_2p!#REF!="","",IF(VALUE(LEFT(Protokoll_2p!#REF!,FIND(":",Protokoll_2p!#REF!)-1))&gt;VALUE(RIGHT(Protokoll_2p!#REF!,LEN(Protokoll_2p!#REF!)-FIND(":",Protokoll_2p!#REF!))),1,0))</f>
        <v>#REF!</v>
      </c>
      <c r="D144" s="1" t="e">
        <f>IF(Protokoll_2p!#REF!="","",IF(VALUE(LEFT(Protokoll_2p!#REF!,FIND(":",Protokoll_2p!#REF!)-1))&gt;VALUE(RIGHT(Protokoll_2p!#REF!,LEN(Protokoll_2p!#REF!)-FIND(":",Protokoll_2p!#REF!))),1,0))</f>
        <v>#REF!</v>
      </c>
      <c r="E144" s="1" t="e">
        <f>IF(Protokoll_2p!#REF!="","",IF(VALUE(LEFT(Protokoll_2p!#REF!,FIND(":",Protokoll_2p!#REF!)-1))&gt;VALUE(RIGHT(Protokoll_2p!#REF!,LEN(Protokoll_2p!#REF!)-FIND(":",Protokoll_2p!#REF!))),1,0))</f>
        <v>#REF!</v>
      </c>
      <c r="F144" s="1" t="e">
        <f>IF(Protokoll_2p!#REF!="","",IF(VALUE(LEFT(Protokoll_2p!#REF!,FIND(":",Protokoll_2p!#REF!)-1))&gt;VALUE(RIGHT(Protokoll_2p!#REF!,LEN(Protokoll_2p!#REF!)-FIND(":",Protokoll_2p!#REF!))),1,0))</f>
        <v>#REF!</v>
      </c>
      <c r="G144" s="1" t="e">
        <f t="shared" si="4"/>
        <v>#REF!</v>
      </c>
      <c r="I144" s="1" t="e">
        <f>IF(Protokoll_2p!#REF!="","",IF(VALUE(LEFT(Protokoll_2p!#REF!,FIND(":",Protokoll_2p!#REF!)-1))&gt;VALUE(RIGHT(Protokoll_2p!#REF!,LEN(Protokoll_2p!#REF!)-FIND(":",Protokoll_2p!#REF!))),0,1))</f>
        <v>#REF!</v>
      </c>
      <c r="J144" s="1" t="e">
        <f>IF(Protokoll_2p!#REF!="","",IF(VALUE(LEFT(Protokoll_2p!#REF!,FIND(":",Protokoll_2p!#REF!)-1))&gt;VALUE(RIGHT(Protokoll_2p!#REF!,LEN(Protokoll_2p!#REF!)-FIND(":",Protokoll_2p!#REF!))),0,1))</f>
        <v>#REF!</v>
      </c>
      <c r="K144" s="1" t="e">
        <f>IF(Protokoll_2p!#REF!="","",IF(VALUE(LEFT(Protokoll_2p!#REF!,FIND(":",Protokoll_2p!#REF!)-1))&gt;VALUE(RIGHT(Protokoll_2p!#REF!,LEN(Protokoll_2p!#REF!)-FIND(":",Protokoll_2p!#REF!))),0,1))</f>
        <v>#REF!</v>
      </c>
      <c r="L144" s="1" t="e">
        <f>IF(Protokoll_2p!#REF!="","",IF(VALUE(LEFT(Protokoll_2p!#REF!,FIND(":",Protokoll_2p!#REF!)-1))&gt;VALUE(RIGHT(Protokoll_2p!#REF!,LEN(Protokoll_2p!#REF!)-FIND(":",Protokoll_2p!#REF!))),0,1))</f>
        <v>#REF!</v>
      </c>
      <c r="M144" s="1" t="e">
        <f>IF(Protokoll_2p!#REF!="","",IF(VALUE(LEFT(Protokoll_2p!#REF!,FIND(":",Protokoll_2p!#REF!)-1))&gt;VALUE(RIGHT(Protokoll_2p!#REF!,LEN(Protokoll_2p!#REF!)-FIND(":",Protokoll_2p!#REF!))),0,1))</f>
        <v>#REF!</v>
      </c>
      <c r="N144" s="1" t="e">
        <f t="shared" si="5"/>
        <v>#REF!</v>
      </c>
    </row>
    <row r="145" spans="2:14">
      <c r="B145" s="1" t="e">
        <f>IF(Protokoll_2p!#REF!="","",IF(VALUE(LEFT(Protokoll_2p!#REF!,FIND(":",Protokoll_2p!#REF!)-1))&gt;VALUE(RIGHT(Protokoll_2p!#REF!,LEN(Protokoll_2p!#REF!)-FIND(":",Protokoll_2p!#REF!))),1,0))</f>
        <v>#REF!</v>
      </c>
      <c r="C145" s="1" t="e">
        <f>IF(Protokoll_2p!#REF!="","",IF(VALUE(LEFT(Protokoll_2p!#REF!,FIND(":",Protokoll_2p!#REF!)-1))&gt;VALUE(RIGHT(Protokoll_2p!#REF!,LEN(Protokoll_2p!#REF!)-FIND(":",Protokoll_2p!#REF!))),1,0))</f>
        <v>#REF!</v>
      </c>
      <c r="D145" s="1" t="e">
        <f>IF(Protokoll_2p!#REF!="","",IF(VALUE(LEFT(Protokoll_2p!#REF!,FIND(":",Protokoll_2p!#REF!)-1))&gt;VALUE(RIGHT(Protokoll_2p!#REF!,LEN(Protokoll_2p!#REF!)-FIND(":",Protokoll_2p!#REF!))),1,0))</f>
        <v>#REF!</v>
      </c>
      <c r="E145" s="1" t="e">
        <f>IF(Protokoll_2p!#REF!="","",IF(VALUE(LEFT(Protokoll_2p!#REF!,FIND(":",Protokoll_2p!#REF!)-1))&gt;VALUE(RIGHT(Protokoll_2p!#REF!,LEN(Protokoll_2p!#REF!)-FIND(":",Protokoll_2p!#REF!))),1,0))</f>
        <v>#REF!</v>
      </c>
      <c r="F145" s="1" t="e">
        <f>IF(Protokoll_2p!#REF!="","",IF(VALUE(LEFT(Protokoll_2p!#REF!,FIND(":",Protokoll_2p!#REF!)-1))&gt;VALUE(RIGHT(Protokoll_2p!#REF!,LEN(Protokoll_2p!#REF!)-FIND(":",Protokoll_2p!#REF!))),1,0))</f>
        <v>#REF!</v>
      </c>
      <c r="G145" s="1" t="e">
        <f t="shared" si="4"/>
        <v>#REF!</v>
      </c>
      <c r="I145" s="1" t="e">
        <f>IF(Protokoll_2p!#REF!="","",IF(VALUE(LEFT(Protokoll_2p!#REF!,FIND(":",Protokoll_2p!#REF!)-1))&gt;VALUE(RIGHT(Protokoll_2p!#REF!,LEN(Protokoll_2p!#REF!)-FIND(":",Protokoll_2p!#REF!))),0,1))</f>
        <v>#REF!</v>
      </c>
      <c r="J145" s="1" t="e">
        <f>IF(Protokoll_2p!#REF!="","",IF(VALUE(LEFT(Protokoll_2p!#REF!,FIND(":",Protokoll_2p!#REF!)-1))&gt;VALUE(RIGHT(Protokoll_2p!#REF!,LEN(Protokoll_2p!#REF!)-FIND(":",Protokoll_2p!#REF!))),0,1))</f>
        <v>#REF!</v>
      </c>
      <c r="K145" s="1" t="e">
        <f>IF(Protokoll_2p!#REF!="","",IF(VALUE(LEFT(Protokoll_2p!#REF!,FIND(":",Protokoll_2p!#REF!)-1))&gt;VALUE(RIGHT(Protokoll_2p!#REF!,LEN(Protokoll_2p!#REF!)-FIND(":",Protokoll_2p!#REF!))),0,1))</f>
        <v>#REF!</v>
      </c>
      <c r="L145" s="1" t="e">
        <f>IF(Protokoll_2p!#REF!="","",IF(VALUE(LEFT(Protokoll_2p!#REF!,FIND(":",Protokoll_2p!#REF!)-1))&gt;VALUE(RIGHT(Protokoll_2p!#REF!,LEN(Protokoll_2p!#REF!)-FIND(":",Protokoll_2p!#REF!))),0,1))</f>
        <v>#REF!</v>
      </c>
      <c r="M145" s="1" t="e">
        <f>IF(Protokoll_2p!#REF!="","",IF(VALUE(LEFT(Protokoll_2p!#REF!,FIND(":",Protokoll_2p!#REF!)-1))&gt;VALUE(RIGHT(Protokoll_2p!#REF!,LEN(Protokoll_2p!#REF!)-FIND(":",Protokoll_2p!#REF!))),0,1))</f>
        <v>#REF!</v>
      </c>
      <c r="N145" s="1" t="e">
        <f t="shared" si="5"/>
        <v>#REF!</v>
      </c>
    </row>
    <row r="146" spans="2:14">
      <c r="B146" s="1" t="e">
        <f>IF(Protokoll_2p!#REF!="","",IF(VALUE(LEFT(Protokoll_2p!#REF!,FIND(":",Protokoll_2p!#REF!)-1))&gt;VALUE(RIGHT(Protokoll_2p!#REF!,LEN(Protokoll_2p!#REF!)-FIND(":",Protokoll_2p!#REF!))),1,0))</f>
        <v>#REF!</v>
      </c>
      <c r="C146" s="1" t="e">
        <f>IF(Protokoll_2p!#REF!="","",IF(VALUE(LEFT(Protokoll_2p!#REF!,FIND(":",Protokoll_2p!#REF!)-1))&gt;VALUE(RIGHT(Protokoll_2p!#REF!,LEN(Protokoll_2p!#REF!)-FIND(":",Protokoll_2p!#REF!))),1,0))</f>
        <v>#REF!</v>
      </c>
      <c r="D146" s="1" t="e">
        <f>IF(Protokoll_2p!#REF!="","",IF(VALUE(LEFT(Protokoll_2p!#REF!,FIND(":",Protokoll_2p!#REF!)-1))&gt;VALUE(RIGHT(Protokoll_2p!#REF!,LEN(Protokoll_2p!#REF!)-FIND(":",Protokoll_2p!#REF!))),1,0))</f>
        <v>#REF!</v>
      </c>
      <c r="E146" s="1" t="e">
        <f>IF(Protokoll_2p!#REF!="","",IF(VALUE(LEFT(Protokoll_2p!#REF!,FIND(":",Protokoll_2p!#REF!)-1))&gt;VALUE(RIGHT(Protokoll_2p!#REF!,LEN(Protokoll_2p!#REF!)-FIND(":",Protokoll_2p!#REF!))),1,0))</f>
        <v>#REF!</v>
      </c>
      <c r="F146" s="1" t="e">
        <f>IF(Protokoll_2p!#REF!="","",IF(VALUE(LEFT(Protokoll_2p!#REF!,FIND(":",Protokoll_2p!#REF!)-1))&gt;VALUE(RIGHT(Protokoll_2p!#REF!,LEN(Protokoll_2p!#REF!)-FIND(":",Protokoll_2p!#REF!))),1,0))</f>
        <v>#REF!</v>
      </c>
      <c r="G146" s="1" t="e">
        <f t="shared" si="4"/>
        <v>#REF!</v>
      </c>
      <c r="I146" s="1" t="e">
        <f>IF(Protokoll_2p!#REF!="","",IF(VALUE(LEFT(Protokoll_2p!#REF!,FIND(":",Protokoll_2p!#REF!)-1))&gt;VALUE(RIGHT(Protokoll_2p!#REF!,LEN(Protokoll_2p!#REF!)-FIND(":",Protokoll_2p!#REF!))),0,1))</f>
        <v>#REF!</v>
      </c>
      <c r="J146" s="1" t="e">
        <f>IF(Protokoll_2p!#REF!="","",IF(VALUE(LEFT(Protokoll_2p!#REF!,FIND(":",Protokoll_2p!#REF!)-1))&gt;VALUE(RIGHT(Protokoll_2p!#REF!,LEN(Protokoll_2p!#REF!)-FIND(":",Protokoll_2p!#REF!))),0,1))</f>
        <v>#REF!</v>
      </c>
      <c r="K146" s="1" t="e">
        <f>IF(Protokoll_2p!#REF!="","",IF(VALUE(LEFT(Protokoll_2p!#REF!,FIND(":",Protokoll_2p!#REF!)-1))&gt;VALUE(RIGHT(Protokoll_2p!#REF!,LEN(Protokoll_2p!#REF!)-FIND(":",Protokoll_2p!#REF!))),0,1))</f>
        <v>#REF!</v>
      </c>
      <c r="L146" s="1" t="e">
        <f>IF(Protokoll_2p!#REF!="","",IF(VALUE(LEFT(Protokoll_2p!#REF!,FIND(":",Protokoll_2p!#REF!)-1))&gt;VALUE(RIGHT(Protokoll_2p!#REF!,LEN(Protokoll_2p!#REF!)-FIND(":",Protokoll_2p!#REF!))),0,1))</f>
        <v>#REF!</v>
      </c>
      <c r="M146" s="1" t="e">
        <f>IF(Protokoll_2p!#REF!="","",IF(VALUE(LEFT(Protokoll_2p!#REF!,FIND(":",Protokoll_2p!#REF!)-1))&gt;VALUE(RIGHT(Protokoll_2p!#REF!,LEN(Protokoll_2p!#REF!)-FIND(":",Protokoll_2p!#REF!))),0,1))</f>
        <v>#REF!</v>
      </c>
      <c r="N146" s="1" t="e">
        <f t="shared" si="5"/>
        <v>#REF!</v>
      </c>
    </row>
    <row r="147" spans="2:14">
      <c r="B147" s="1" t="e">
        <f>IF(Protokoll_2p!#REF!="","",IF(VALUE(LEFT(Protokoll_2p!#REF!,FIND(":",Protokoll_2p!#REF!)-1))&gt;VALUE(RIGHT(Protokoll_2p!#REF!,LEN(Protokoll_2p!#REF!)-FIND(":",Protokoll_2p!#REF!))),1,0))</f>
        <v>#REF!</v>
      </c>
      <c r="C147" s="1" t="e">
        <f>IF(Protokoll_2p!#REF!="","",IF(VALUE(LEFT(Protokoll_2p!#REF!,FIND(":",Protokoll_2p!#REF!)-1))&gt;VALUE(RIGHT(Protokoll_2p!#REF!,LEN(Protokoll_2p!#REF!)-FIND(":",Protokoll_2p!#REF!))),1,0))</f>
        <v>#REF!</v>
      </c>
      <c r="D147" s="1" t="e">
        <f>IF(Protokoll_2p!#REF!="","",IF(VALUE(LEFT(Protokoll_2p!#REF!,FIND(":",Protokoll_2p!#REF!)-1))&gt;VALUE(RIGHT(Protokoll_2p!#REF!,LEN(Protokoll_2p!#REF!)-FIND(":",Protokoll_2p!#REF!))),1,0))</f>
        <v>#REF!</v>
      </c>
      <c r="E147" s="1" t="e">
        <f>IF(Protokoll_2p!#REF!="","",IF(VALUE(LEFT(Protokoll_2p!#REF!,FIND(":",Protokoll_2p!#REF!)-1))&gt;VALUE(RIGHT(Protokoll_2p!#REF!,LEN(Protokoll_2p!#REF!)-FIND(":",Protokoll_2p!#REF!))),1,0))</f>
        <v>#REF!</v>
      </c>
      <c r="F147" s="1" t="e">
        <f>IF(Protokoll_2p!#REF!="","",IF(VALUE(LEFT(Protokoll_2p!#REF!,FIND(":",Protokoll_2p!#REF!)-1))&gt;VALUE(RIGHT(Protokoll_2p!#REF!,LEN(Protokoll_2p!#REF!)-FIND(":",Protokoll_2p!#REF!))),1,0))</f>
        <v>#REF!</v>
      </c>
      <c r="G147" s="1" t="e">
        <f t="shared" si="4"/>
        <v>#REF!</v>
      </c>
      <c r="I147" s="1" t="e">
        <f>IF(Protokoll_2p!#REF!="","",IF(VALUE(LEFT(Protokoll_2p!#REF!,FIND(":",Protokoll_2p!#REF!)-1))&gt;VALUE(RIGHT(Protokoll_2p!#REF!,LEN(Protokoll_2p!#REF!)-FIND(":",Protokoll_2p!#REF!))),0,1))</f>
        <v>#REF!</v>
      </c>
      <c r="J147" s="1" t="e">
        <f>IF(Protokoll_2p!#REF!="","",IF(VALUE(LEFT(Protokoll_2p!#REF!,FIND(":",Protokoll_2p!#REF!)-1))&gt;VALUE(RIGHT(Protokoll_2p!#REF!,LEN(Protokoll_2p!#REF!)-FIND(":",Protokoll_2p!#REF!))),0,1))</f>
        <v>#REF!</v>
      </c>
      <c r="K147" s="1" t="e">
        <f>IF(Protokoll_2p!#REF!="","",IF(VALUE(LEFT(Protokoll_2p!#REF!,FIND(":",Protokoll_2p!#REF!)-1))&gt;VALUE(RIGHT(Protokoll_2p!#REF!,LEN(Protokoll_2p!#REF!)-FIND(":",Protokoll_2p!#REF!))),0,1))</f>
        <v>#REF!</v>
      </c>
      <c r="L147" s="1" t="e">
        <f>IF(Protokoll_2p!#REF!="","",IF(VALUE(LEFT(Protokoll_2p!#REF!,FIND(":",Protokoll_2p!#REF!)-1))&gt;VALUE(RIGHT(Protokoll_2p!#REF!,LEN(Protokoll_2p!#REF!)-FIND(":",Protokoll_2p!#REF!))),0,1))</f>
        <v>#REF!</v>
      </c>
      <c r="M147" s="1" t="e">
        <f>IF(Protokoll_2p!#REF!="","",IF(VALUE(LEFT(Protokoll_2p!#REF!,FIND(":",Protokoll_2p!#REF!)-1))&gt;VALUE(RIGHT(Protokoll_2p!#REF!,LEN(Protokoll_2p!#REF!)-FIND(":",Protokoll_2p!#REF!))),0,1))</f>
        <v>#REF!</v>
      </c>
      <c r="N147" s="1" t="e">
        <f t="shared" si="5"/>
        <v>#REF!</v>
      </c>
    </row>
    <row r="148" spans="2:14">
      <c r="B148" s="1" t="e">
        <f>IF(Protokoll_2p!#REF!="","",IF(VALUE(LEFT(Protokoll_2p!#REF!,FIND(":",Protokoll_2p!#REF!)-1))&gt;VALUE(RIGHT(Protokoll_2p!#REF!,LEN(Protokoll_2p!#REF!)-FIND(":",Protokoll_2p!#REF!))),1,0))</f>
        <v>#REF!</v>
      </c>
      <c r="C148" s="1" t="e">
        <f>IF(Protokoll_2p!#REF!="","",IF(VALUE(LEFT(Protokoll_2p!#REF!,FIND(":",Protokoll_2p!#REF!)-1))&gt;VALUE(RIGHT(Protokoll_2p!#REF!,LEN(Protokoll_2p!#REF!)-FIND(":",Protokoll_2p!#REF!))),1,0))</f>
        <v>#REF!</v>
      </c>
      <c r="D148" s="1" t="e">
        <f>IF(Protokoll_2p!#REF!="","",IF(VALUE(LEFT(Protokoll_2p!#REF!,FIND(":",Protokoll_2p!#REF!)-1))&gt;VALUE(RIGHT(Protokoll_2p!#REF!,LEN(Protokoll_2p!#REF!)-FIND(":",Protokoll_2p!#REF!))),1,0))</f>
        <v>#REF!</v>
      </c>
      <c r="E148" s="1" t="e">
        <f>IF(Protokoll_2p!#REF!="","",IF(VALUE(LEFT(Protokoll_2p!#REF!,FIND(":",Protokoll_2p!#REF!)-1))&gt;VALUE(RIGHT(Protokoll_2p!#REF!,LEN(Protokoll_2p!#REF!)-FIND(":",Protokoll_2p!#REF!))),1,0))</f>
        <v>#REF!</v>
      </c>
      <c r="F148" s="1" t="e">
        <f>IF(Protokoll_2p!#REF!="","",IF(VALUE(LEFT(Protokoll_2p!#REF!,FIND(":",Protokoll_2p!#REF!)-1))&gt;VALUE(RIGHT(Protokoll_2p!#REF!,LEN(Protokoll_2p!#REF!)-FIND(":",Protokoll_2p!#REF!))),1,0))</f>
        <v>#REF!</v>
      </c>
      <c r="G148" s="1" t="e">
        <f t="shared" si="4"/>
        <v>#REF!</v>
      </c>
      <c r="I148" s="1" t="e">
        <f>IF(Protokoll_2p!#REF!="","",IF(VALUE(LEFT(Protokoll_2p!#REF!,FIND(":",Protokoll_2p!#REF!)-1))&gt;VALUE(RIGHT(Protokoll_2p!#REF!,LEN(Protokoll_2p!#REF!)-FIND(":",Protokoll_2p!#REF!))),0,1))</f>
        <v>#REF!</v>
      </c>
      <c r="J148" s="1" t="e">
        <f>IF(Protokoll_2p!#REF!="","",IF(VALUE(LEFT(Protokoll_2p!#REF!,FIND(":",Protokoll_2p!#REF!)-1))&gt;VALUE(RIGHT(Protokoll_2p!#REF!,LEN(Protokoll_2p!#REF!)-FIND(":",Protokoll_2p!#REF!))),0,1))</f>
        <v>#REF!</v>
      </c>
      <c r="K148" s="1" t="e">
        <f>IF(Protokoll_2p!#REF!="","",IF(VALUE(LEFT(Protokoll_2p!#REF!,FIND(":",Protokoll_2p!#REF!)-1))&gt;VALUE(RIGHT(Protokoll_2p!#REF!,LEN(Protokoll_2p!#REF!)-FIND(":",Protokoll_2p!#REF!))),0,1))</f>
        <v>#REF!</v>
      </c>
      <c r="L148" s="1" t="e">
        <f>IF(Protokoll_2p!#REF!="","",IF(VALUE(LEFT(Protokoll_2p!#REF!,FIND(":",Protokoll_2p!#REF!)-1))&gt;VALUE(RIGHT(Protokoll_2p!#REF!,LEN(Protokoll_2p!#REF!)-FIND(":",Protokoll_2p!#REF!))),0,1))</f>
        <v>#REF!</v>
      </c>
      <c r="M148" s="1" t="e">
        <f>IF(Protokoll_2p!#REF!="","",IF(VALUE(LEFT(Protokoll_2p!#REF!,FIND(":",Protokoll_2p!#REF!)-1))&gt;VALUE(RIGHT(Protokoll_2p!#REF!,LEN(Protokoll_2p!#REF!)-FIND(":",Protokoll_2p!#REF!))),0,1))</f>
        <v>#REF!</v>
      </c>
      <c r="N148" s="1" t="e">
        <f t="shared" si="5"/>
        <v>#REF!</v>
      </c>
    </row>
    <row r="149" spans="2:14">
      <c r="B149" s="1" t="e">
        <f>IF(Protokoll_2p!#REF!="","",IF(VALUE(LEFT(Protokoll_2p!#REF!,FIND(":",Protokoll_2p!#REF!)-1))&gt;VALUE(RIGHT(Protokoll_2p!#REF!,LEN(Protokoll_2p!#REF!)-FIND(":",Protokoll_2p!#REF!))),1,0))</f>
        <v>#REF!</v>
      </c>
      <c r="C149" s="1" t="e">
        <f>IF(Protokoll_2p!#REF!="","",IF(VALUE(LEFT(Protokoll_2p!#REF!,FIND(":",Protokoll_2p!#REF!)-1))&gt;VALUE(RIGHT(Protokoll_2p!#REF!,LEN(Protokoll_2p!#REF!)-FIND(":",Protokoll_2p!#REF!))),1,0))</f>
        <v>#REF!</v>
      </c>
      <c r="D149" s="1" t="e">
        <f>IF(Protokoll_2p!#REF!="","",IF(VALUE(LEFT(Protokoll_2p!#REF!,FIND(":",Protokoll_2p!#REF!)-1))&gt;VALUE(RIGHT(Protokoll_2p!#REF!,LEN(Protokoll_2p!#REF!)-FIND(":",Protokoll_2p!#REF!))),1,0))</f>
        <v>#REF!</v>
      </c>
      <c r="E149" s="1" t="e">
        <f>IF(Protokoll_2p!#REF!="","",IF(VALUE(LEFT(Protokoll_2p!#REF!,FIND(":",Protokoll_2p!#REF!)-1))&gt;VALUE(RIGHT(Protokoll_2p!#REF!,LEN(Protokoll_2p!#REF!)-FIND(":",Protokoll_2p!#REF!))),1,0))</f>
        <v>#REF!</v>
      </c>
      <c r="F149" s="1" t="e">
        <f>IF(Protokoll_2p!#REF!="","",IF(VALUE(LEFT(Protokoll_2p!#REF!,FIND(":",Protokoll_2p!#REF!)-1))&gt;VALUE(RIGHT(Protokoll_2p!#REF!,LEN(Protokoll_2p!#REF!)-FIND(":",Protokoll_2p!#REF!))),1,0))</f>
        <v>#REF!</v>
      </c>
      <c r="G149" s="1" t="e">
        <f t="shared" si="4"/>
        <v>#REF!</v>
      </c>
      <c r="I149" s="1" t="e">
        <f>IF(Protokoll_2p!#REF!="","",IF(VALUE(LEFT(Protokoll_2p!#REF!,FIND(":",Protokoll_2p!#REF!)-1))&gt;VALUE(RIGHT(Protokoll_2p!#REF!,LEN(Protokoll_2p!#REF!)-FIND(":",Protokoll_2p!#REF!))),0,1))</f>
        <v>#REF!</v>
      </c>
      <c r="J149" s="1" t="e">
        <f>IF(Protokoll_2p!#REF!="","",IF(VALUE(LEFT(Protokoll_2p!#REF!,FIND(":",Protokoll_2p!#REF!)-1))&gt;VALUE(RIGHT(Protokoll_2p!#REF!,LEN(Protokoll_2p!#REF!)-FIND(":",Protokoll_2p!#REF!))),0,1))</f>
        <v>#REF!</v>
      </c>
      <c r="K149" s="1" t="e">
        <f>IF(Protokoll_2p!#REF!="","",IF(VALUE(LEFT(Protokoll_2p!#REF!,FIND(":",Protokoll_2p!#REF!)-1))&gt;VALUE(RIGHT(Protokoll_2p!#REF!,LEN(Protokoll_2p!#REF!)-FIND(":",Protokoll_2p!#REF!))),0,1))</f>
        <v>#REF!</v>
      </c>
      <c r="L149" s="1" t="e">
        <f>IF(Protokoll_2p!#REF!="","",IF(VALUE(LEFT(Protokoll_2p!#REF!,FIND(":",Protokoll_2p!#REF!)-1))&gt;VALUE(RIGHT(Protokoll_2p!#REF!,LEN(Protokoll_2p!#REF!)-FIND(":",Protokoll_2p!#REF!))),0,1))</f>
        <v>#REF!</v>
      </c>
      <c r="M149" s="1" t="e">
        <f>IF(Protokoll_2p!#REF!="","",IF(VALUE(LEFT(Protokoll_2p!#REF!,FIND(":",Protokoll_2p!#REF!)-1))&gt;VALUE(RIGHT(Protokoll_2p!#REF!,LEN(Protokoll_2p!#REF!)-FIND(":",Protokoll_2p!#REF!))),0,1))</f>
        <v>#REF!</v>
      </c>
      <c r="N149" s="1" t="e">
        <f t="shared" si="5"/>
        <v>#REF!</v>
      </c>
    </row>
    <row r="150" spans="2:14">
      <c r="B150" s="1" t="e">
        <f>IF(Protokoll_2p!#REF!="","",IF(VALUE(LEFT(Protokoll_2p!#REF!,FIND(":",Protokoll_2p!#REF!)-1))&gt;VALUE(RIGHT(Protokoll_2p!#REF!,LEN(Protokoll_2p!#REF!)-FIND(":",Protokoll_2p!#REF!))),1,0))</f>
        <v>#REF!</v>
      </c>
      <c r="C150" s="1" t="e">
        <f>IF(Protokoll_2p!#REF!="","",IF(VALUE(LEFT(Protokoll_2p!#REF!,FIND(":",Protokoll_2p!#REF!)-1))&gt;VALUE(RIGHT(Protokoll_2p!#REF!,LEN(Protokoll_2p!#REF!)-FIND(":",Protokoll_2p!#REF!))),1,0))</f>
        <v>#REF!</v>
      </c>
      <c r="D150" s="1" t="e">
        <f>IF(Protokoll_2p!#REF!="","",IF(VALUE(LEFT(Protokoll_2p!#REF!,FIND(":",Protokoll_2p!#REF!)-1))&gt;VALUE(RIGHT(Protokoll_2p!#REF!,LEN(Protokoll_2p!#REF!)-FIND(":",Protokoll_2p!#REF!))),1,0))</f>
        <v>#REF!</v>
      </c>
      <c r="E150" s="1" t="e">
        <f>IF(Protokoll_2p!#REF!="","",IF(VALUE(LEFT(Protokoll_2p!#REF!,FIND(":",Protokoll_2p!#REF!)-1))&gt;VALUE(RIGHT(Protokoll_2p!#REF!,LEN(Protokoll_2p!#REF!)-FIND(":",Protokoll_2p!#REF!))),1,0))</f>
        <v>#REF!</v>
      </c>
      <c r="F150" s="1" t="e">
        <f>IF(Protokoll_2p!#REF!="","",IF(VALUE(LEFT(Protokoll_2p!#REF!,FIND(":",Protokoll_2p!#REF!)-1))&gt;VALUE(RIGHT(Protokoll_2p!#REF!,LEN(Protokoll_2p!#REF!)-FIND(":",Protokoll_2p!#REF!))),1,0))</f>
        <v>#REF!</v>
      </c>
      <c r="G150" s="1" t="e">
        <f t="shared" si="4"/>
        <v>#REF!</v>
      </c>
      <c r="I150" s="1" t="e">
        <f>IF(Protokoll_2p!#REF!="","",IF(VALUE(LEFT(Protokoll_2p!#REF!,FIND(":",Protokoll_2p!#REF!)-1))&gt;VALUE(RIGHT(Protokoll_2p!#REF!,LEN(Protokoll_2p!#REF!)-FIND(":",Protokoll_2p!#REF!))),0,1))</f>
        <v>#REF!</v>
      </c>
      <c r="J150" s="1" t="e">
        <f>IF(Protokoll_2p!#REF!="","",IF(VALUE(LEFT(Protokoll_2p!#REF!,FIND(":",Protokoll_2p!#REF!)-1))&gt;VALUE(RIGHT(Protokoll_2p!#REF!,LEN(Protokoll_2p!#REF!)-FIND(":",Protokoll_2p!#REF!))),0,1))</f>
        <v>#REF!</v>
      </c>
      <c r="K150" s="1" t="e">
        <f>IF(Protokoll_2p!#REF!="","",IF(VALUE(LEFT(Protokoll_2p!#REF!,FIND(":",Protokoll_2p!#REF!)-1))&gt;VALUE(RIGHT(Protokoll_2p!#REF!,LEN(Protokoll_2p!#REF!)-FIND(":",Protokoll_2p!#REF!))),0,1))</f>
        <v>#REF!</v>
      </c>
      <c r="L150" s="1" t="e">
        <f>IF(Protokoll_2p!#REF!="","",IF(VALUE(LEFT(Protokoll_2p!#REF!,FIND(":",Protokoll_2p!#REF!)-1))&gt;VALUE(RIGHT(Protokoll_2p!#REF!,LEN(Protokoll_2p!#REF!)-FIND(":",Protokoll_2p!#REF!))),0,1))</f>
        <v>#REF!</v>
      </c>
      <c r="M150" s="1" t="e">
        <f>IF(Protokoll_2p!#REF!="","",IF(VALUE(LEFT(Protokoll_2p!#REF!,FIND(":",Protokoll_2p!#REF!)-1))&gt;VALUE(RIGHT(Protokoll_2p!#REF!,LEN(Protokoll_2p!#REF!)-FIND(":",Protokoll_2p!#REF!))),0,1))</f>
        <v>#REF!</v>
      </c>
      <c r="N150" s="1" t="e">
        <f t="shared" si="5"/>
        <v>#REF!</v>
      </c>
    </row>
    <row r="151" spans="2:14">
      <c r="B151" s="1" t="e">
        <f>IF(Protokoll_2p!#REF!="","",IF(VALUE(LEFT(Protokoll_2p!#REF!,FIND(":",Protokoll_2p!#REF!)-1))&gt;VALUE(RIGHT(Protokoll_2p!#REF!,LEN(Protokoll_2p!#REF!)-FIND(":",Protokoll_2p!#REF!))),1,0))</f>
        <v>#REF!</v>
      </c>
      <c r="C151" s="1" t="e">
        <f>IF(Protokoll_2p!#REF!="","",IF(VALUE(LEFT(Protokoll_2p!#REF!,FIND(":",Protokoll_2p!#REF!)-1))&gt;VALUE(RIGHT(Protokoll_2p!#REF!,LEN(Protokoll_2p!#REF!)-FIND(":",Protokoll_2p!#REF!))),1,0))</f>
        <v>#REF!</v>
      </c>
      <c r="D151" s="1" t="e">
        <f>IF(Protokoll_2p!#REF!="","",IF(VALUE(LEFT(Protokoll_2p!#REF!,FIND(":",Protokoll_2p!#REF!)-1))&gt;VALUE(RIGHT(Protokoll_2p!#REF!,LEN(Protokoll_2p!#REF!)-FIND(":",Protokoll_2p!#REF!))),1,0))</f>
        <v>#REF!</v>
      </c>
      <c r="E151" s="1" t="e">
        <f>IF(Protokoll_2p!#REF!="","",IF(VALUE(LEFT(Protokoll_2p!#REF!,FIND(":",Protokoll_2p!#REF!)-1))&gt;VALUE(RIGHT(Protokoll_2p!#REF!,LEN(Protokoll_2p!#REF!)-FIND(":",Protokoll_2p!#REF!))),1,0))</f>
        <v>#REF!</v>
      </c>
      <c r="F151" s="1" t="e">
        <f>IF(Protokoll_2p!#REF!="","",IF(VALUE(LEFT(Protokoll_2p!#REF!,FIND(":",Protokoll_2p!#REF!)-1))&gt;VALUE(RIGHT(Protokoll_2p!#REF!,LEN(Protokoll_2p!#REF!)-FIND(":",Protokoll_2p!#REF!))),1,0))</f>
        <v>#REF!</v>
      </c>
      <c r="G151" s="1" t="e">
        <f t="shared" si="4"/>
        <v>#REF!</v>
      </c>
      <c r="I151" s="1" t="e">
        <f>IF(Protokoll_2p!#REF!="","",IF(VALUE(LEFT(Protokoll_2p!#REF!,FIND(":",Protokoll_2p!#REF!)-1))&gt;VALUE(RIGHT(Protokoll_2p!#REF!,LEN(Protokoll_2p!#REF!)-FIND(":",Protokoll_2p!#REF!))),0,1))</f>
        <v>#REF!</v>
      </c>
      <c r="J151" s="1" t="e">
        <f>IF(Protokoll_2p!#REF!="","",IF(VALUE(LEFT(Protokoll_2p!#REF!,FIND(":",Protokoll_2p!#REF!)-1))&gt;VALUE(RIGHT(Protokoll_2p!#REF!,LEN(Protokoll_2p!#REF!)-FIND(":",Protokoll_2p!#REF!))),0,1))</f>
        <v>#REF!</v>
      </c>
      <c r="K151" s="1" t="e">
        <f>IF(Protokoll_2p!#REF!="","",IF(VALUE(LEFT(Protokoll_2p!#REF!,FIND(":",Protokoll_2p!#REF!)-1))&gt;VALUE(RIGHT(Protokoll_2p!#REF!,LEN(Protokoll_2p!#REF!)-FIND(":",Protokoll_2p!#REF!))),0,1))</f>
        <v>#REF!</v>
      </c>
      <c r="L151" s="1" t="e">
        <f>IF(Protokoll_2p!#REF!="","",IF(VALUE(LEFT(Protokoll_2p!#REF!,FIND(":",Protokoll_2p!#REF!)-1))&gt;VALUE(RIGHT(Protokoll_2p!#REF!,LEN(Protokoll_2p!#REF!)-FIND(":",Protokoll_2p!#REF!))),0,1))</f>
        <v>#REF!</v>
      </c>
      <c r="M151" s="1" t="e">
        <f>IF(Protokoll_2p!#REF!="","",IF(VALUE(LEFT(Protokoll_2p!#REF!,FIND(":",Protokoll_2p!#REF!)-1))&gt;VALUE(RIGHT(Protokoll_2p!#REF!,LEN(Protokoll_2p!#REF!)-FIND(":",Protokoll_2p!#REF!))),0,1))</f>
        <v>#REF!</v>
      </c>
      <c r="N151" s="1" t="e">
        <f t="shared" si="5"/>
        <v>#REF!</v>
      </c>
    </row>
    <row r="152" spans="2:14">
      <c r="B152" s="1" t="e">
        <f>IF(Protokoll_2p!#REF!="","",IF(VALUE(LEFT(Protokoll_2p!#REF!,FIND(":",Protokoll_2p!#REF!)-1))&gt;VALUE(RIGHT(Protokoll_2p!#REF!,LEN(Protokoll_2p!#REF!)-FIND(":",Protokoll_2p!#REF!))),1,0))</f>
        <v>#REF!</v>
      </c>
      <c r="C152" s="1" t="e">
        <f>IF(Protokoll_2p!#REF!="","",IF(VALUE(LEFT(Protokoll_2p!#REF!,FIND(":",Protokoll_2p!#REF!)-1))&gt;VALUE(RIGHT(Protokoll_2p!#REF!,LEN(Protokoll_2p!#REF!)-FIND(":",Protokoll_2p!#REF!))),1,0))</f>
        <v>#REF!</v>
      </c>
      <c r="D152" s="1" t="e">
        <f>IF(Protokoll_2p!#REF!="","",IF(VALUE(LEFT(Protokoll_2p!#REF!,FIND(":",Protokoll_2p!#REF!)-1))&gt;VALUE(RIGHT(Protokoll_2p!#REF!,LEN(Protokoll_2p!#REF!)-FIND(":",Protokoll_2p!#REF!))),1,0))</f>
        <v>#REF!</v>
      </c>
      <c r="E152" s="1" t="e">
        <f>IF(Protokoll_2p!#REF!="","",IF(VALUE(LEFT(Protokoll_2p!#REF!,FIND(":",Protokoll_2p!#REF!)-1))&gt;VALUE(RIGHT(Protokoll_2p!#REF!,LEN(Protokoll_2p!#REF!)-FIND(":",Protokoll_2p!#REF!))),1,0))</f>
        <v>#REF!</v>
      </c>
      <c r="F152" s="1" t="e">
        <f>IF(Protokoll_2p!#REF!="","",IF(VALUE(LEFT(Protokoll_2p!#REF!,FIND(":",Protokoll_2p!#REF!)-1))&gt;VALUE(RIGHT(Protokoll_2p!#REF!,LEN(Protokoll_2p!#REF!)-FIND(":",Protokoll_2p!#REF!))),1,0))</f>
        <v>#REF!</v>
      </c>
      <c r="G152" s="1" t="e">
        <f t="shared" si="4"/>
        <v>#REF!</v>
      </c>
      <c r="I152" s="1" t="e">
        <f>IF(Protokoll_2p!#REF!="","",IF(VALUE(LEFT(Protokoll_2p!#REF!,FIND(":",Protokoll_2p!#REF!)-1))&gt;VALUE(RIGHT(Protokoll_2p!#REF!,LEN(Protokoll_2p!#REF!)-FIND(":",Protokoll_2p!#REF!))),0,1))</f>
        <v>#REF!</v>
      </c>
      <c r="J152" s="1" t="e">
        <f>IF(Protokoll_2p!#REF!="","",IF(VALUE(LEFT(Protokoll_2p!#REF!,FIND(":",Protokoll_2p!#REF!)-1))&gt;VALUE(RIGHT(Protokoll_2p!#REF!,LEN(Protokoll_2p!#REF!)-FIND(":",Protokoll_2p!#REF!))),0,1))</f>
        <v>#REF!</v>
      </c>
      <c r="K152" s="1" t="e">
        <f>IF(Protokoll_2p!#REF!="","",IF(VALUE(LEFT(Protokoll_2p!#REF!,FIND(":",Protokoll_2p!#REF!)-1))&gt;VALUE(RIGHT(Protokoll_2p!#REF!,LEN(Protokoll_2p!#REF!)-FIND(":",Protokoll_2p!#REF!))),0,1))</f>
        <v>#REF!</v>
      </c>
      <c r="L152" s="1" t="e">
        <f>IF(Protokoll_2p!#REF!="","",IF(VALUE(LEFT(Protokoll_2p!#REF!,FIND(":",Protokoll_2p!#REF!)-1))&gt;VALUE(RIGHT(Protokoll_2p!#REF!,LEN(Protokoll_2p!#REF!)-FIND(":",Protokoll_2p!#REF!))),0,1))</f>
        <v>#REF!</v>
      </c>
      <c r="M152" s="1" t="e">
        <f>IF(Protokoll_2p!#REF!="","",IF(VALUE(LEFT(Protokoll_2p!#REF!,FIND(":",Protokoll_2p!#REF!)-1))&gt;VALUE(RIGHT(Protokoll_2p!#REF!,LEN(Protokoll_2p!#REF!)-FIND(":",Protokoll_2p!#REF!))),0,1))</f>
        <v>#REF!</v>
      </c>
      <c r="N152" s="1" t="e">
        <f t="shared" si="5"/>
        <v>#REF!</v>
      </c>
    </row>
    <row r="153" spans="2:14">
      <c r="B153" s="1" t="e">
        <f>IF(Protokoll_2p!#REF!="","",IF(VALUE(LEFT(Protokoll_2p!#REF!,FIND(":",Protokoll_2p!#REF!)-1))&gt;VALUE(RIGHT(Protokoll_2p!#REF!,LEN(Protokoll_2p!#REF!)-FIND(":",Protokoll_2p!#REF!))),1,0))</f>
        <v>#REF!</v>
      </c>
      <c r="C153" s="1" t="e">
        <f>IF(Protokoll_2p!#REF!="","",IF(VALUE(LEFT(Protokoll_2p!#REF!,FIND(":",Protokoll_2p!#REF!)-1))&gt;VALUE(RIGHT(Protokoll_2p!#REF!,LEN(Protokoll_2p!#REF!)-FIND(":",Protokoll_2p!#REF!))),1,0))</f>
        <v>#REF!</v>
      </c>
      <c r="D153" s="1" t="e">
        <f>IF(Protokoll_2p!#REF!="","",IF(VALUE(LEFT(Protokoll_2p!#REF!,FIND(":",Protokoll_2p!#REF!)-1))&gt;VALUE(RIGHT(Protokoll_2p!#REF!,LEN(Protokoll_2p!#REF!)-FIND(":",Protokoll_2p!#REF!))),1,0))</f>
        <v>#REF!</v>
      </c>
      <c r="E153" s="1" t="e">
        <f>IF(Protokoll_2p!#REF!="","",IF(VALUE(LEFT(Protokoll_2p!#REF!,FIND(":",Protokoll_2p!#REF!)-1))&gt;VALUE(RIGHT(Protokoll_2p!#REF!,LEN(Protokoll_2p!#REF!)-FIND(":",Protokoll_2p!#REF!))),1,0))</f>
        <v>#REF!</v>
      </c>
      <c r="F153" s="1" t="e">
        <f>IF(Protokoll_2p!#REF!="","",IF(VALUE(LEFT(Protokoll_2p!#REF!,FIND(":",Protokoll_2p!#REF!)-1))&gt;VALUE(RIGHT(Protokoll_2p!#REF!,LEN(Protokoll_2p!#REF!)-FIND(":",Protokoll_2p!#REF!))),1,0))</f>
        <v>#REF!</v>
      </c>
      <c r="G153" s="1" t="e">
        <f t="shared" si="4"/>
        <v>#REF!</v>
      </c>
      <c r="I153" s="1" t="e">
        <f>IF(Protokoll_2p!#REF!="","",IF(VALUE(LEFT(Protokoll_2p!#REF!,FIND(":",Protokoll_2p!#REF!)-1))&gt;VALUE(RIGHT(Protokoll_2p!#REF!,LEN(Protokoll_2p!#REF!)-FIND(":",Protokoll_2p!#REF!))),0,1))</f>
        <v>#REF!</v>
      </c>
      <c r="J153" s="1" t="e">
        <f>IF(Protokoll_2p!#REF!="","",IF(VALUE(LEFT(Protokoll_2p!#REF!,FIND(":",Protokoll_2p!#REF!)-1))&gt;VALUE(RIGHT(Protokoll_2p!#REF!,LEN(Protokoll_2p!#REF!)-FIND(":",Protokoll_2p!#REF!))),0,1))</f>
        <v>#REF!</v>
      </c>
      <c r="K153" s="1" t="e">
        <f>IF(Protokoll_2p!#REF!="","",IF(VALUE(LEFT(Protokoll_2p!#REF!,FIND(":",Protokoll_2p!#REF!)-1))&gt;VALUE(RIGHT(Protokoll_2p!#REF!,LEN(Protokoll_2p!#REF!)-FIND(":",Protokoll_2p!#REF!))),0,1))</f>
        <v>#REF!</v>
      </c>
      <c r="L153" s="1" t="e">
        <f>IF(Protokoll_2p!#REF!="","",IF(VALUE(LEFT(Protokoll_2p!#REF!,FIND(":",Protokoll_2p!#REF!)-1))&gt;VALUE(RIGHT(Protokoll_2p!#REF!,LEN(Protokoll_2p!#REF!)-FIND(":",Protokoll_2p!#REF!))),0,1))</f>
        <v>#REF!</v>
      </c>
      <c r="M153" s="1" t="e">
        <f>IF(Protokoll_2p!#REF!="","",IF(VALUE(LEFT(Protokoll_2p!#REF!,FIND(":",Protokoll_2p!#REF!)-1))&gt;VALUE(RIGHT(Protokoll_2p!#REF!,LEN(Protokoll_2p!#REF!)-FIND(":",Protokoll_2p!#REF!))),0,1))</f>
        <v>#REF!</v>
      </c>
      <c r="N153" s="1" t="e">
        <f t="shared" si="5"/>
        <v>#REF!</v>
      </c>
    </row>
    <row r="154" spans="2:14">
      <c r="B154" s="1" t="e">
        <f>IF(Protokoll_2p!#REF!="","",IF(VALUE(LEFT(Protokoll_2p!#REF!,FIND(":",Protokoll_2p!#REF!)-1))&gt;VALUE(RIGHT(Protokoll_2p!#REF!,LEN(Protokoll_2p!#REF!)-FIND(":",Protokoll_2p!#REF!))),1,0))</f>
        <v>#REF!</v>
      </c>
      <c r="C154" s="1" t="e">
        <f>IF(Protokoll_2p!#REF!="","",IF(VALUE(LEFT(Protokoll_2p!#REF!,FIND(":",Protokoll_2p!#REF!)-1))&gt;VALUE(RIGHT(Protokoll_2p!#REF!,LEN(Protokoll_2p!#REF!)-FIND(":",Protokoll_2p!#REF!))),1,0))</f>
        <v>#REF!</v>
      </c>
      <c r="D154" s="1" t="e">
        <f>IF(Protokoll_2p!#REF!="","",IF(VALUE(LEFT(Protokoll_2p!#REF!,FIND(":",Protokoll_2p!#REF!)-1))&gt;VALUE(RIGHT(Protokoll_2p!#REF!,LEN(Protokoll_2p!#REF!)-FIND(":",Protokoll_2p!#REF!))),1,0))</f>
        <v>#REF!</v>
      </c>
      <c r="E154" s="1" t="e">
        <f>IF(Protokoll_2p!#REF!="","",IF(VALUE(LEFT(Protokoll_2p!#REF!,FIND(":",Protokoll_2p!#REF!)-1))&gt;VALUE(RIGHT(Protokoll_2p!#REF!,LEN(Protokoll_2p!#REF!)-FIND(":",Protokoll_2p!#REF!))),1,0))</f>
        <v>#REF!</v>
      </c>
      <c r="F154" s="1" t="e">
        <f>IF(Protokoll_2p!#REF!="","",IF(VALUE(LEFT(Protokoll_2p!#REF!,FIND(":",Protokoll_2p!#REF!)-1))&gt;VALUE(RIGHT(Protokoll_2p!#REF!,LEN(Protokoll_2p!#REF!)-FIND(":",Protokoll_2p!#REF!))),1,0))</f>
        <v>#REF!</v>
      </c>
      <c r="G154" s="1" t="e">
        <f t="shared" si="4"/>
        <v>#REF!</v>
      </c>
      <c r="I154" s="1" t="e">
        <f>IF(Protokoll_2p!#REF!="","",IF(VALUE(LEFT(Protokoll_2p!#REF!,FIND(":",Protokoll_2p!#REF!)-1))&gt;VALUE(RIGHT(Protokoll_2p!#REF!,LEN(Protokoll_2p!#REF!)-FIND(":",Protokoll_2p!#REF!))),0,1))</f>
        <v>#REF!</v>
      </c>
      <c r="J154" s="1" t="e">
        <f>IF(Protokoll_2p!#REF!="","",IF(VALUE(LEFT(Protokoll_2p!#REF!,FIND(":",Protokoll_2p!#REF!)-1))&gt;VALUE(RIGHT(Protokoll_2p!#REF!,LEN(Protokoll_2p!#REF!)-FIND(":",Protokoll_2p!#REF!))),0,1))</f>
        <v>#REF!</v>
      </c>
      <c r="K154" s="1" t="e">
        <f>IF(Protokoll_2p!#REF!="","",IF(VALUE(LEFT(Protokoll_2p!#REF!,FIND(":",Protokoll_2p!#REF!)-1))&gt;VALUE(RIGHT(Protokoll_2p!#REF!,LEN(Protokoll_2p!#REF!)-FIND(":",Protokoll_2p!#REF!))),0,1))</f>
        <v>#REF!</v>
      </c>
      <c r="L154" s="1" t="e">
        <f>IF(Protokoll_2p!#REF!="","",IF(VALUE(LEFT(Protokoll_2p!#REF!,FIND(":",Protokoll_2p!#REF!)-1))&gt;VALUE(RIGHT(Protokoll_2p!#REF!,LEN(Protokoll_2p!#REF!)-FIND(":",Protokoll_2p!#REF!))),0,1))</f>
        <v>#REF!</v>
      </c>
      <c r="M154" s="1" t="e">
        <f>IF(Protokoll_2p!#REF!="","",IF(VALUE(LEFT(Protokoll_2p!#REF!,FIND(":",Protokoll_2p!#REF!)-1))&gt;VALUE(RIGHT(Protokoll_2p!#REF!,LEN(Protokoll_2p!#REF!)-FIND(":",Protokoll_2p!#REF!))),0,1))</f>
        <v>#REF!</v>
      </c>
      <c r="N154" s="1" t="e">
        <f t="shared" si="5"/>
        <v>#REF!</v>
      </c>
    </row>
    <row r="155" spans="2:14">
      <c r="B155" s="1" t="e">
        <f>IF(Protokoll_2p!#REF!="","",IF(VALUE(LEFT(Protokoll_2p!#REF!,FIND(":",Protokoll_2p!#REF!)-1))&gt;VALUE(RIGHT(Protokoll_2p!#REF!,LEN(Protokoll_2p!#REF!)-FIND(":",Protokoll_2p!#REF!))),1,0))</f>
        <v>#REF!</v>
      </c>
      <c r="C155" s="1" t="e">
        <f>IF(Protokoll_2p!#REF!="","",IF(VALUE(LEFT(Protokoll_2p!#REF!,FIND(":",Protokoll_2p!#REF!)-1))&gt;VALUE(RIGHT(Protokoll_2p!#REF!,LEN(Protokoll_2p!#REF!)-FIND(":",Protokoll_2p!#REF!))),1,0))</f>
        <v>#REF!</v>
      </c>
      <c r="D155" s="1" t="e">
        <f>IF(Protokoll_2p!#REF!="","",IF(VALUE(LEFT(Protokoll_2p!#REF!,FIND(":",Protokoll_2p!#REF!)-1))&gt;VALUE(RIGHT(Protokoll_2p!#REF!,LEN(Protokoll_2p!#REF!)-FIND(":",Protokoll_2p!#REF!))),1,0))</f>
        <v>#REF!</v>
      </c>
      <c r="E155" s="1" t="e">
        <f>IF(Protokoll_2p!#REF!="","",IF(VALUE(LEFT(Protokoll_2p!#REF!,FIND(":",Protokoll_2p!#REF!)-1))&gt;VALUE(RIGHT(Protokoll_2p!#REF!,LEN(Protokoll_2p!#REF!)-FIND(":",Protokoll_2p!#REF!))),1,0))</f>
        <v>#REF!</v>
      </c>
      <c r="F155" s="1" t="e">
        <f>IF(Protokoll_2p!#REF!="","",IF(VALUE(LEFT(Protokoll_2p!#REF!,FIND(":",Protokoll_2p!#REF!)-1))&gt;VALUE(RIGHT(Protokoll_2p!#REF!,LEN(Protokoll_2p!#REF!)-FIND(":",Protokoll_2p!#REF!))),1,0))</f>
        <v>#REF!</v>
      </c>
      <c r="G155" s="1" t="e">
        <f t="shared" si="4"/>
        <v>#REF!</v>
      </c>
      <c r="I155" s="1" t="e">
        <f>IF(Protokoll_2p!#REF!="","",IF(VALUE(LEFT(Protokoll_2p!#REF!,FIND(":",Protokoll_2p!#REF!)-1))&gt;VALUE(RIGHT(Protokoll_2p!#REF!,LEN(Protokoll_2p!#REF!)-FIND(":",Protokoll_2p!#REF!))),0,1))</f>
        <v>#REF!</v>
      </c>
      <c r="J155" s="1" t="e">
        <f>IF(Protokoll_2p!#REF!="","",IF(VALUE(LEFT(Protokoll_2p!#REF!,FIND(":",Protokoll_2p!#REF!)-1))&gt;VALUE(RIGHT(Protokoll_2p!#REF!,LEN(Protokoll_2p!#REF!)-FIND(":",Protokoll_2p!#REF!))),0,1))</f>
        <v>#REF!</v>
      </c>
      <c r="K155" s="1" t="e">
        <f>IF(Protokoll_2p!#REF!="","",IF(VALUE(LEFT(Protokoll_2p!#REF!,FIND(":",Protokoll_2p!#REF!)-1))&gt;VALUE(RIGHT(Protokoll_2p!#REF!,LEN(Protokoll_2p!#REF!)-FIND(":",Protokoll_2p!#REF!))),0,1))</f>
        <v>#REF!</v>
      </c>
      <c r="L155" s="1" t="e">
        <f>IF(Protokoll_2p!#REF!="","",IF(VALUE(LEFT(Protokoll_2p!#REF!,FIND(":",Protokoll_2p!#REF!)-1))&gt;VALUE(RIGHT(Protokoll_2p!#REF!,LEN(Protokoll_2p!#REF!)-FIND(":",Protokoll_2p!#REF!))),0,1))</f>
        <v>#REF!</v>
      </c>
      <c r="M155" s="1" t="e">
        <f>IF(Protokoll_2p!#REF!="","",IF(VALUE(LEFT(Protokoll_2p!#REF!,FIND(":",Protokoll_2p!#REF!)-1))&gt;VALUE(RIGHT(Protokoll_2p!#REF!,LEN(Protokoll_2p!#REF!)-FIND(":",Protokoll_2p!#REF!))),0,1))</f>
        <v>#REF!</v>
      </c>
      <c r="N155" s="1" t="e">
        <f t="shared" si="5"/>
        <v>#REF!</v>
      </c>
    </row>
    <row r="156" spans="2:14">
      <c r="B156" s="1" t="e">
        <f>IF(Protokoll_2p!#REF!="","",IF(VALUE(LEFT(Protokoll_2p!#REF!,FIND(":",Protokoll_2p!#REF!)-1))&gt;VALUE(RIGHT(Protokoll_2p!#REF!,LEN(Protokoll_2p!#REF!)-FIND(":",Protokoll_2p!#REF!))),1,0))</f>
        <v>#REF!</v>
      </c>
      <c r="C156" s="1" t="e">
        <f>IF(Protokoll_2p!#REF!="","",IF(VALUE(LEFT(Protokoll_2p!#REF!,FIND(":",Protokoll_2p!#REF!)-1))&gt;VALUE(RIGHT(Protokoll_2p!#REF!,LEN(Protokoll_2p!#REF!)-FIND(":",Protokoll_2p!#REF!))),1,0))</f>
        <v>#REF!</v>
      </c>
      <c r="D156" s="1" t="e">
        <f>IF(Protokoll_2p!#REF!="","",IF(VALUE(LEFT(Protokoll_2p!#REF!,FIND(":",Protokoll_2p!#REF!)-1))&gt;VALUE(RIGHT(Protokoll_2p!#REF!,LEN(Protokoll_2p!#REF!)-FIND(":",Protokoll_2p!#REF!))),1,0))</f>
        <v>#REF!</v>
      </c>
      <c r="E156" s="1" t="e">
        <f>IF(Protokoll_2p!#REF!="","",IF(VALUE(LEFT(Protokoll_2p!#REF!,FIND(":",Protokoll_2p!#REF!)-1))&gt;VALUE(RIGHT(Protokoll_2p!#REF!,LEN(Protokoll_2p!#REF!)-FIND(":",Protokoll_2p!#REF!))),1,0))</f>
        <v>#REF!</v>
      </c>
      <c r="F156" s="1" t="e">
        <f>IF(Protokoll_2p!#REF!="","",IF(VALUE(LEFT(Protokoll_2p!#REF!,FIND(":",Protokoll_2p!#REF!)-1))&gt;VALUE(RIGHT(Protokoll_2p!#REF!,LEN(Protokoll_2p!#REF!)-FIND(":",Protokoll_2p!#REF!))),1,0))</f>
        <v>#REF!</v>
      </c>
      <c r="G156" s="1" t="e">
        <f t="shared" si="4"/>
        <v>#REF!</v>
      </c>
      <c r="I156" s="1" t="e">
        <f>IF(Protokoll_2p!#REF!="","",IF(VALUE(LEFT(Protokoll_2p!#REF!,FIND(":",Protokoll_2p!#REF!)-1))&gt;VALUE(RIGHT(Protokoll_2p!#REF!,LEN(Protokoll_2p!#REF!)-FIND(":",Protokoll_2p!#REF!))),0,1))</f>
        <v>#REF!</v>
      </c>
      <c r="J156" s="1" t="e">
        <f>IF(Protokoll_2p!#REF!="","",IF(VALUE(LEFT(Protokoll_2p!#REF!,FIND(":",Protokoll_2p!#REF!)-1))&gt;VALUE(RIGHT(Protokoll_2p!#REF!,LEN(Protokoll_2p!#REF!)-FIND(":",Protokoll_2p!#REF!))),0,1))</f>
        <v>#REF!</v>
      </c>
      <c r="K156" s="1" t="e">
        <f>IF(Protokoll_2p!#REF!="","",IF(VALUE(LEFT(Protokoll_2p!#REF!,FIND(":",Protokoll_2p!#REF!)-1))&gt;VALUE(RIGHT(Protokoll_2p!#REF!,LEN(Protokoll_2p!#REF!)-FIND(":",Protokoll_2p!#REF!))),0,1))</f>
        <v>#REF!</v>
      </c>
      <c r="L156" s="1" t="e">
        <f>IF(Protokoll_2p!#REF!="","",IF(VALUE(LEFT(Protokoll_2p!#REF!,FIND(":",Protokoll_2p!#REF!)-1))&gt;VALUE(RIGHT(Protokoll_2p!#REF!,LEN(Protokoll_2p!#REF!)-FIND(":",Protokoll_2p!#REF!))),0,1))</f>
        <v>#REF!</v>
      </c>
      <c r="M156" s="1" t="e">
        <f>IF(Protokoll_2p!#REF!="","",IF(VALUE(LEFT(Protokoll_2p!#REF!,FIND(":",Protokoll_2p!#REF!)-1))&gt;VALUE(RIGHT(Protokoll_2p!#REF!,LEN(Protokoll_2p!#REF!)-FIND(":",Protokoll_2p!#REF!))),0,1))</f>
        <v>#REF!</v>
      </c>
      <c r="N156" s="1" t="e">
        <f t="shared" si="5"/>
        <v>#REF!</v>
      </c>
    </row>
    <row r="157" spans="2:14">
      <c r="B157" s="1" t="e">
        <f>IF(Protokoll_2p!#REF!="","",IF(VALUE(LEFT(Protokoll_2p!#REF!,FIND(":",Protokoll_2p!#REF!)-1))&gt;VALUE(RIGHT(Protokoll_2p!#REF!,LEN(Protokoll_2p!#REF!)-FIND(":",Protokoll_2p!#REF!))),1,0))</f>
        <v>#REF!</v>
      </c>
      <c r="C157" s="1" t="e">
        <f>IF(Protokoll_2p!#REF!="","",IF(VALUE(LEFT(Protokoll_2p!#REF!,FIND(":",Protokoll_2p!#REF!)-1))&gt;VALUE(RIGHT(Protokoll_2p!#REF!,LEN(Protokoll_2p!#REF!)-FIND(":",Protokoll_2p!#REF!))),1,0))</f>
        <v>#REF!</v>
      </c>
      <c r="D157" s="1" t="e">
        <f>IF(Protokoll_2p!#REF!="","",IF(VALUE(LEFT(Protokoll_2p!#REF!,FIND(":",Protokoll_2p!#REF!)-1))&gt;VALUE(RIGHT(Protokoll_2p!#REF!,LEN(Protokoll_2p!#REF!)-FIND(":",Protokoll_2p!#REF!))),1,0))</f>
        <v>#REF!</v>
      </c>
      <c r="E157" s="1" t="e">
        <f>IF(Protokoll_2p!#REF!="","",IF(VALUE(LEFT(Protokoll_2p!#REF!,FIND(":",Protokoll_2p!#REF!)-1))&gt;VALUE(RIGHT(Protokoll_2p!#REF!,LEN(Protokoll_2p!#REF!)-FIND(":",Protokoll_2p!#REF!))),1,0))</f>
        <v>#REF!</v>
      </c>
      <c r="F157" s="1" t="e">
        <f>IF(Protokoll_2p!#REF!="","",IF(VALUE(LEFT(Protokoll_2p!#REF!,FIND(":",Protokoll_2p!#REF!)-1))&gt;VALUE(RIGHT(Protokoll_2p!#REF!,LEN(Protokoll_2p!#REF!)-FIND(":",Protokoll_2p!#REF!))),1,0))</f>
        <v>#REF!</v>
      </c>
      <c r="G157" s="1" t="e">
        <f t="shared" si="4"/>
        <v>#REF!</v>
      </c>
      <c r="I157" s="1" t="e">
        <f>IF(Protokoll_2p!#REF!="","",IF(VALUE(LEFT(Protokoll_2p!#REF!,FIND(":",Protokoll_2p!#REF!)-1))&gt;VALUE(RIGHT(Protokoll_2p!#REF!,LEN(Protokoll_2p!#REF!)-FIND(":",Protokoll_2p!#REF!))),0,1))</f>
        <v>#REF!</v>
      </c>
      <c r="J157" s="1" t="e">
        <f>IF(Protokoll_2p!#REF!="","",IF(VALUE(LEFT(Protokoll_2p!#REF!,FIND(":",Protokoll_2p!#REF!)-1))&gt;VALUE(RIGHT(Protokoll_2p!#REF!,LEN(Protokoll_2p!#REF!)-FIND(":",Protokoll_2p!#REF!))),0,1))</f>
        <v>#REF!</v>
      </c>
      <c r="K157" s="1" t="e">
        <f>IF(Protokoll_2p!#REF!="","",IF(VALUE(LEFT(Protokoll_2p!#REF!,FIND(":",Protokoll_2p!#REF!)-1))&gt;VALUE(RIGHT(Protokoll_2p!#REF!,LEN(Protokoll_2p!#REF!)-FIND(":",Protokoll_2p!#REF!))),0,1))</f>
        <v>#REF!</v>
      </c>
      <c r="L157" s="1" t="e">
        <f>IF(Protokoll_2p!#REF!="","",IF(VALUE(LEFT(Protokoll_2p!#REF!,FIND(":",Protokoll_2p!#REF!)-1))&gt;VALUE(RIGHT(Protokoll_2p!#REF!,LEN(Protokoll_2p!#REF!)-FIND(":",Protokoll_2p!#REF!))),0,1))</f>
        <v>#REF!</v>
      </c>
      <c r="M157" s="1" t="e">
        <f>IF(Protokoll_2p!#REF!="","",IF(VALUE(LEFT(Protokoll_2p!#REF!,FIND(":",Protokoll_2p!#REF!)-1))&gt;VALUE(RIGHT(Protokoll_2p!#REF!,LEN(Protokoll_2p!#REF!)-FIND(":",Protokoll_2p!#REF!))),0,1))</f>
        <v>#REF!</v>
      </c>
      <c r="N157" s="1" t="e">
        <f t="shared" si="5"/>
        <v>#REF!</v>
      </c>
    </row>
    <row r="158" spans="2:14">
      <c r="B158" s="1" t="e">
        <f>IF(Protokoll_2p!#REF!="","",IF(VALUE(LEFT(Protokoll_2p!#REF!,FIND(":",Protokoll_2p!#REF!)-1))&gt;VALUE(RIGHT(Protokoll_2p!#REF!,LEN(Protokoll_2p!#REF!)-FIND(":",Protokoll_2p!#REF!))),1,0))</f>
        <v>#REF!</v>
      </c>
      <c r="C158" s="1" t="e">
        <f>IF(Protokoll_2p!#REF!="","",IF(VALUE(LEFT(Protokoll_2p!#REF!,FIND(":",Protokoll_2p!#REF!)-1))&gt;VALUE(RIGHT(Protokoll_2p!#REF!,LEN(Protokoll_2p!#REF!)-FIND(":",Protokoll_2p!#REF!))),1,0))</f>
        <v>#REF!</v>
      </c>
      <c r="D158" s="1" t="e">
        <f>IF(Protokoll_2p!#REF!="","",IF(VALUE(LEFT(Protokoll_2p!#REF!,FIND(":",Protokoll_2p!#REF!)-1))&gt;VALUE(RIGHT(Protokoll_2p!#REF!,LEN(Protokoll_2p!#REF!)-FIND(":",Protokoll_2p!#REF!))),1,0))</f>
        <v>#REF!</v>
      </c>
      <c r="E158" s="1" t="e">
        <f>IF(Protokoll_2p!#REF!="","",IF(VALUE(LEFT(Protokoll_2p!#REF!,FIND(":",Protokoll_2p!#REF!)-1))&gt;VALUE(RIGHT(Protokoll_2p!#REF!,LEN(Protokoll_2p!#REF!)-FIND(":",Protokoll_2p!#REF!))),1,0))</f>
        <v>#REF!</v>
      </c>
      <c r="F158" s="1" t="e">
        <f>IF(Protokoll_2p!#REF!="","",IF(VALUE(LEFT(Protokoll_2p!#REF!,FIND(":",Protokoll_2p!#REF!)-1))&gt;VALUE(RIGHT(Protokoll_2p!#REF!,LEN(Protokoll_2p!#REF!)-FIND(":",Protokoll_2p!#REF!))),1,0))</f>
        <v>#REF!</v>
      </c>
      <c r="G158" s="1" t="e">
        <f t="shared" si="4"/>
        <v>#REF!</v>
      </c>
      <c r="I158" s="1" t="e">
        <f>IF(Protokoll_2p!#REF!="","",IF(VALUE(LEFT(Protokoll_2p!#REF!,FIND(":",Protokoll_2p!#REF!)-1))&gt;VALUE(RIGHT(Protokoll_2p!#REF!,LEN(Protokoll_2p!#REF!)-FIND(":",Protokoll_2p!#REF!))),0,1))</f>
        <v>#REF!</v>
      </c>
      <c r="J158" s="1" t="e">
        <f>IF(Protokoll_2p!#REF!="","",IF(VALUE(LEFT(Protokoll_2p!#REF!,FIND(":",Protokoll_2p!#REF!)-1))&gt;VALUE(RIGHT(Protokoll_2p!#REF!,LEN(Protokoll_2p!#REF!)-FIND(":",Protokoll_2p!#REF!))),0,1))</f>
        <v>#REF!</v>
      </c>
      <c r="K158" s="1" t="e">
        <f>IF(Protokoll_2p!#REF!="","",IF(VALUE(LEFT(Protokoll_2p!#REF!,FIND(":",Protokoll_2p!#REF!)-1))&gt;VALUE(RIGHT(Protokoll_2p!#REF!,LEN(Protokoll_2p!#REF!)-FIND(":",Protokoll_2p!#REF!))),0,1))</f>
        <v>#REF!</v>
      </c>
      <c r="L158" s="1" t="e">
        <f>IF(Protokoll_2p!#REF!="","",IF(VALUE(LEFT(Protokoll_2p!#REF!,FIND(":",Protokoll_2p!#REF!)-1))&gt;VALUE(RIGHT(Protokoll_2p!#REF!,LEN(Protokoll_2p!#REF!)-FIND(":",Protokoll_2p!#REF!))),0,1))</f>
        <v>#REF!</v>
      </c>
      <c r="M158" s="1" t="e">
        <f>IF(Protokoll_2p!#REF!="","",IF(VALUE(LEFT(Protokoll_2p!#REF!,FIND(":",Protokoll_2p!#REF!)-1))&gt;VALUE(RIGHT(Protokoll_2p!#REF!,LEN(Protokoll_2p!#REF!)-FIND(":",Protokoll_2p!#REF!))),0,1))</f>
        <v>#REF!</v>
      </c>
      <c r="N158" s="1" t="e">
        <f t="shared" si="5"/>
        <v>#REF!</v>
      </c>
    </row>
    <row r="159" spans="2:14">
      <c r="B159" s="1" t="e">
        <f>IF(Protokoll_2p!#REF!="","",IF(VALUE(LEFT(Protokoll_2p!#REF!,FIND(":",Protokoll_2p!#REF!)-1))&gt;VALUE(RIGHT(Protokoll_2p!#REF!,LEN(Protokoll_2p!#REF!)-FIND(":",Protokoll_2p!#REF!))),1,0))</f>
        <v>#REF!</v>
      </c>
      <c r="C159" s="1" t="e">
        <f>IF(Protokoll_2p!#REF!="","",IF(VALUE(LEFT(Protokoll_2p!#REF!,FIND(":",Protokoll_2p!#REF!)-1))&gt;VALUE(RIGHT(Protokoll_2p!#REF!,LEN(Protokoll_2p!#REF!)-FIND(":",Protokoll_2p!#REF!))),1,0))</f>
        <v>#REF!</v>
      </c>
      <c r="D159" s="1" t="e">
        <f>IF(Protokoll_2p!#REF!="","",IF(VALUE(LEFT(Protokoll_2p!#REF!,FIND(":",Protokoll_2p!#REF!)-1))&gt;VALUE(RIGHT(Protokoll_2p!#REF!,LEN(Protokoll_2p!#REF!)-FIND(":",Protokoll_2p!#REF!))),1,0))</f>
        <v>#REF!</v>
      </c>
      <c r="E159" s="1" t="e">
        <f>IF(Protokoll_2p!#REF!="","",IF(VALUE(LEFT(Protokoll_2p!#REF!,FIND(":",Protokoll_2p!#REF!)-1))&gt;VALUE(RIGHT(Protokoll_2p!#REF!,LEN(Protokoll_2p!#REF!)-FIND(":",Protokoll_2p!#REF!))),1,0))</f>
        <v>#REF!</v>
      </c>
      <c r="F159" s="1" t="e">
        <f>IF(Protokoll_2p!#REF!="","",IF(VALUE(LEFT(Protokoll_2p!#REF!,FIND(":",Protokoll_2p!#REF!)-1))&gt;VALUE(RIGHT(Protokoll_2p!#REF!,LEN(Protokoll_2p!#REF!)-FIND(":",Protokoll_2p!#REF!))),1,0))</f>
        <v>#REF!</v>
      </c>
      <c r="G159" s="1" t="e">
        <f t="shared" si="4"/>
        <v>#REF!</v>
      </c>
      <c r="I159" s="1" t="e">
        <f>IF(Protokoll_2p!#REF!="","",IF(VALUE(LEFT(Protokoll_2p!#REF!,FIND(":",Protokoll_2p!#REF!)-1))&gt;VALUE(RIGHT(Protokoll_2p!#REF!,LEN(Protokoll_2p!#REF!)-FIND(":",Protokoll_2p!#REF!))),0,1))</f>
        <v>#REF!</v>
      </c>
      <c r="J159" s="1" t="e">
        <f>IF(Protokoll_2p!#REF!="","",IF(VALUE(LEFT(Protokoll_2p!#REF!,FIND(":",Protokoll_2p!#REF!)-1))&gt;VALUE(RIGHT(Protokoll_2p!#REF!,LEN(Protokoll_2p!#REF!)-FIND(":",Protokoll_2p!#REF!))),0,1))</f>
        <v>#REF!</v>
      </c>
      <c r="K159" s="1" t="e">
        <f>IF(Protokoll_2p!#REF!="","",IF(VALUE(LEFT(Protokoll_2p!#REF!,FIND(":",Protokoll_2p!#REF!)-1))&gt;VALUE(RIGHT(Protokoll_2p!#REF!,LEN(Protokoll_2p!#REF!)-FIND(":",Protokoll_2p!#REF!))),0,1))</f>
        <v>#REF!</v>
      </c>
      <c r="L159" s="1" t="e">
        <f>IF(Protokoll_2p!#REF!="","",IF(VALUE(LEFT(Protokoll_2p!#REF!,FIND(":",Protokoll_2p!#REF!)-1))&gt;VALUE(RIGHT(Protokoll_2p!#REF!,LEN(Protokoll_2p!#REF!)-FIND(":",Protokoll_2p!#REF!))),0,1))</f>
        <v>#REF!</v>
      </c>
      <c r="M159" s="1" t="e">
        <f>IF(Protokoll_2p!#REF!="","",IF(VALUE(LEFT(Protokoll_2p!#REF!,FIND(":",Protokoll_2p!#REF!)-1))&gt;VALUE(RIGHT(Protokoll_2p!#REF!,LEN(Protokoll_2p!#REF!)-FIND(":",Protokoll_2p!#REF!))),0,1))</f>
        <v>#REF!</v>
      </c>
      <c r="N159" s="1" t="e">
        <f t="shared" si="5"/>
        <v>#REF!</v>
      </c>
    </row>
    <row r="160" spans="2:14">
      <c r="B160" s="1" t="e">
        <f>IF(Protokoll_2p!#REF!="","",IF(VALUE(LEFT(Protokoll_2p!#REF!,FIND(":",Protokoll_2p!#REF!)-1))&gt;VALUE(RIGHT(Protokoll_2p!#REF!,LEN(Protokoll_2p!#REF!)-FIND(":",Protokoll_2p!#REF!))),1,0))</f>
        <v>#REF!</v>
      </c>
      <c r="C160" s="1" t="e">
        <f>IF(Protokoll_2p!#REF!="","",IF(VALUE(LEFT(Protokoll_2p!#REF!,FIND(":",Protokoll_2p!#REF!)-1))&gt;VALUE(RIGHT(Protokoll_2p!#REF!,LEN(Protokoll_2p!#REF!)-FIND(":",Protokoll_2p!#REF!))),1,0))</f>
        <v>#REF!</v>
      </c>
      <c r="D160" s="1" t="e">
        <f>IF(Protokoll_2p!#REF!="","",IF(VALUE(LEFT(Protokoll_2p!#REF!,FIND(":",Protokoll_2p!#REF!)-1))&gt;VALUE(RIGHT(Protokoll_2p!#REF!,LEN(Protokoll_2p!#REF!)-FIND(":",Protokoll_2p!#REF!))),1,0))</f>
        <v>#REF!</v>
      </c>
      <c r="E160" s="1" t="e">
        <f>IF(Protokoll_2p!#REF!="","",IF(VALUE(LEFT(Protokoll_2p!#REF!,FIND(":",Protokoll_2p!#REF!)-1))&gt;VALUE(RIGHT(Protokoll_2p!#REF!,LEN(Protokoll_2p!#REF!)-FIND(":",Protokoll_2p!#REF!))),1,0))</f>
        <v>#REF!</v>
      </c>
      <c r="F160" s="1" t="e">
        <f>IF(Protokoll_2p!#REF!="","",IF(VALUE(LEFT(Protokoll_2p!#REF!,FIND(":",Protokoll_2p!#REF!)-1))&gt;VALUE(RIGHT(Protokoll_2p!#REF!,LEN(Protokoll_2p!#REF!)-FIND(":",Protokoll_2p!#REF!))),1,0))</f>
        <v>#REF!</v>
      </c>
      <c r="G160" s="1" t="e">
        <f t="shared" si="4"/>
        <v>#REF!</v>
      </c>
      <c r="I160" s="1" t="e">
        <f>IF(Protokoll_2p!#REF!="","",IF(VALUE(LEFT(Protokoll_2p!#REF!,FIND(":",Protokoll_2p!#REF!)-1))&gt;VALUE(RIGHT(Protokoll_2p!#REF!,LEN(Protokoll_2p!#REF!)-FIND(":",Protokoll_2p!#REF!))),0,1))</f>
        <v>#REF!</v>
      </c>
      <c r="J160" s="1" t="e">
        <f>IF(Protokoll_2p!#REF!="","",IF(VALUE(LEFT(Protokoll_2p!#REF!,FIND(":",Protokoll_2p!#REF!)-1))&gt;VALUE(RIGHT(Protokoll_2p!#REF!,LEN(Protokoll_2p!#REF!)-FIND(":",Protokoll_2p!#REF!))),0,1))</f>
        <v>#REF!</v>
      </c>
      <c r="K160" s="1" t="e">
        <f>IF(Protokoll_2p!#REF!="","",IF(VALUE(LEFT(Protokoll_2p!#REF!,FIND(":",Protokoll_2p!#REF!)-1))&gt;VALUE(RIGHT(Protokoll_2p!#REF!,LEN(Protokoll_2p!#REF!)-FIND(":",Protokoll_2p!#REF!))),0,1))</f>
        <v>#REF!</v>
      </c>
      <c r="L160" s="1" t="e">
        <f>IF(Protokoll_2p!#REF!="","",IF(VALUE(LEFT(Protokoll_2p!#REF!,FIND(":",Protokoll_2p!#REF!)-1))&gt;VALUE(RIGHT(Protokoll_2p!#REF!,LEN(Protokoll_2p!#REF!)-FIND(":",Protokoll_2p!#REF!))),0,1))</f>
        <v>#REF!</v>
      </c>
      <c r="M160" s="1" t="e">
        <f>IF(Protokoll_2p!#REF!="","",IF(VALUE(LEFT(Protokoll_2p!#REF!,FIND(":",Protokoll_2p!#REF!)-1))&gt;VALUE(RIGHT(Protokoll_2p!#REF!,LEN(Protokoll_2p!#REF!)-FIND(":",Protokoll_2p!#REF!))),0,1))</f>
        <v>#REF!</v>
      </c>
      <c r="N160" s="1" t="e">
        <f t="shared" si="5"/>
        <v>#REF!</v>
      </c>
    </row>
    <row r="161" spans="2:14">
      <c r="B161" s="1" t="str">
        <f>IF(Protokoll_2p!F127="","",IF(VALUE(LEFT(Protokoll_2p!F127,FIND(":",Protokoll_2p!F127)-1))&gt;VALUE(RIGHT(Protokoll_2p!F127,LEN(Protokoll_2p!F127)-FIND(":",Protokoll_2p!F127))),1,0))</f>
        <v/>
      </c>
      <c r="C161" s="1" t="str">
        <f>IF(Protokoll_2p!G127="","",IF(VALUE(LEFT(Protokoll_2p!G127,FIND(":",Protokoll_2p!G127)-1))&gt;VALUE(RIGHT(Protokoll_2p!G127,LEN(Protokoll_2p!G127)-FIND(":",Protokoll_2p!G127))),1,0))</f>
        <v/>
      </c>
      <c r="D161" s="1" t="str">
        <f>IF(Protokoll_2p!H127="","",IF(VALUE(LEFT(Protokoll_2p!H127,FIND(":",Protokoll_2p!H127)-1))&gt;VALUE(RIGHT(Protokoll_2p!H127,LEN(Protokoll_2p!H127)-FIND(":",Protokoll_2p!H127))),1,0))</f>
        <v/>
      </c>
      <c r="E161" s="1" t="str">
        <f>IF(Protokoll_2p!I127="","",IF(VALUE(LEFT(Protokoll_2p!I127,FIND(":",Protokoll_2p!I127)-1))&gt;VALUE(RIGHT(Protokoll_2p!I127,LEN(Protokoll_2p!I127)-FIND(":",Protokoll_2p!I127))),1,0))</f>
        <v/>
      </c>
      <c r="F161" s="1" t="str">
        <f>IF(Protokoll_2p!J127="","",IF(VALUE(LEFT(Protokoll_2p!J127,FIND(":",Protokoll_2p!J127)-1))&gt;VALUE(RIGHT(Protokoll_2p!J127,LEN(Protokoll_2p!J127)-FIND(":",Protokoll_2p!J127))),1,0))</f>
        <v/>
      </c>
      <c r="G161" s="1" t="str">
        <f t="shared" si="4"/>
        <v/>
      </c>
      <c r="I161" s="1" t="str">
        <f>IF(Protokoll_2p!F127="","",IF(VALUE(LEFT(Protokoll_2p!F127,FIND(":",Protokoll_2p!F127)-1))&gt;VALUE(RIGHT(Protokoll_2p!F127,LEN(Protokoll_2p!F127)-FIND(":",Protokoll_2p!F127))),0,1))</f>
        <v/>
      </c>
      <c r="J161" s="1" t="str">
        <f>IF(Protokoll_2p!G127="","",IF(VALUE(LEFT(Protokoll_2p!G127,FIND(":",Protokoll_2p!G127)-1))&gt;VALUE(RIGHT(Protokoll_2p!G127,LEN(Protokoll_2p!G127)-FIND(":",Protokoll_2p!G127))),0,1))</f>
        <v/>
      </c>
      <c r="K161" s="1" t="str">
        <f>IF(Protokoll_2p!H127="","",IF(VALUE(LEFT(Protokoll_2p!H127,FIND(":",Protokoll_2p!H127)-1))&gt;VALUE(RIGHT(Protokoll_2p!H127,LEN(Protokoll_2p!H127)-FIND(":",Protokoll_2p!H127))),0,1))</f>
        <v/>
      </c>
      <c r="L161" s="1" t="str">
        <f>IF(Protokoll_2p!I127="","",IF(VALUE(LEFT(Protokoll_2p!I127,FIND(":",Protokoll_2p!I127)-1))&gt;VALUE(RIGHT(Protokoll_2p!I127,LEN(Protokoll_2p!I127)-FIND(":",Protokoll_2p!I127))),0,1))</f>
        <v/>
      </c>
      <c r="M161" s="1" t="str">
        <f>IF(Protokoll_2p!J127="","",IF(VALUE(LEFT(Protokoll_2p!J127,FIND(":",Protokoll_2p!J127)-1))&gt;VALUE(RIGHT(Protokoll_2p!J127,LEN(Protokoll_2p!J127)-FIND(":",Protokoll_2p!J127))),0,1))</f>
        <v/>
      </c>
      <c r="N161" s="1" t="str">
        <f t="shared" si="5"/>
        <v/>
      </c>
    </row>
    <row r="162" spans="2:14">
      <c r="B162" s="1" t="str">
        <f>IF(Protokoll_2p!F128="","",IF(VALUE(LEFT(Protokoll_2p!F128,FIND(":",Protokoll_2p!F128)-1))&gt;VALUE(RIGHT(Protokoll_2p!F128,LEN(Protokoll_2p!F128)-FIND(":",Protokoll_2p!F128))),1,0))</f>
        <v/>
      </c>
      <c r="C162" s="1" t="str">
        <f>IF(Protokoll_2p!G128="","",IF(VALUE(LEFT(Protokoll_2p!G128,FIND(":",Protokoll_2p!G128)-1))&gt;VALUE(RIGHT(Protokoll_2p!G128,LEN(Protokoll_2p!G128)-FIND(":",Protokoll_2p!G128))),1,0))</f>
        <v/>
      </c>
      <c r="D162" s="1" t="str">
        <f>IF(Protokoll_2p!H128="","",IF(VALUE(LEFT(Protokoll_2p!H128,FIND(":",Protokoll_2p!H128)-1))&gt;VALUE(RIGHT(Protokoll_2p!H128,LEN(Protokoll_2p!H128)-FIND(":",Protokoll_2p!H128))),1,0))</f>
        <v/>
      </c>
      <c r="E162" s="1" t="str">
        <f>IF(Protokoll_2p!I128="","",IF(VALUE(LEFT(Protokoll_2p!I128,FIND(":",Protokoll_2p!I128)-1))&gt;VALUE(RIGHT(Protokoll_2p!I128,LEN(Protokoll_2p!I128)-FIND(":",Protokoll_2p!I128))),1,0))</f>
        <v/>
      </c>
      <c r="F162" s="1" t="str">
        <f>IF(Protokoll_2p!J128="","",IF(VALUE(LEFT(Protokoll_2p!J128,FIND(":",Protokoll_2p!J128)-1))&gt;VALUE(RIGHT(Protokoll_2p!J128,LEN(Protokoll_2p!J128)-FIND(":",Protokoll_2p!J128))),1,0))</f>
        <v/>
      </c>
      <c r="G162" s="1" t="str">
        <f t="shared" si="4"/>
        <v/>
      </c>
      <c r="I162" s="1" t="str">
        <f>IF(Protokoll_2p!F128="","",IF(VALUE(LEFT(Protokoll_2p!F128,FIND(":",Protokoll_2p!F128)-1))&gt;VALUE(RIGHT(Protokoll_2p!F128,LEN(Protokoll_2p!F128)-FIND(":",Protokoll_2p!F128))),0,1))</f>
        <v/>
      </c>
      <c r="J162" s="1" t="str">
        <f>IF(Protokoll_2p!G128="","",IF(VALUE(LEFT(Protokoll_2p!G128,FIND(":",Protokoll_2p!G128)-1))&gt;VALUE(RIGHT(Protokoll_2p!G128,LEN(Protokoll_2p!G128)-FIND(":",Protokoll_2p!G128))),0,1))</f>
        <v/>
      </c>
      <c r="K162" s="1" t="str">
        <f>IF(Protokoll_2p!H128="","",IF(VALUE(LEFT(Protokoll_2p!H128,FIND(":",Protokoll_2p!H128)-1))&gt;VALUE(RIGHT(Protokoll_2p!H128,LEN(Protokoll_2p!H128)-FIND(":",Protokoll_2p!H128))),0,1))</f>
        <v/>
      </c>
      <c r="L162" s="1" t="str">
        <f>IF(Protokoll_2p!I128="","",IF(VALUE(LEFT(Protokoll_2p!I128,FIND(":",Protokoll_2p!I128)-1))&gt;VALUE(RIGHT(Protokoll_2p!I128,LEN(Protokoll_2p!I128)-FIND(":",Protokoll_2p!I128))),0,1))</f>
        <v/>
      </c>
      <c r="M162" s="1" t="str">
        <f>IF(Protokoll_2p!J128="","",IF(VALUE(LEFT(Protokoll_2p!J128,FIND(":",Protokoll_2p!J128)-1))&gt;VALUE(RIGHT(Protokoll_2p!J128,LEN(Protokoll_2p!J128)-FIND(":",Protokoll_2p!J128))),0,1))</f>
        <v/>
      </c>
      <c r="N162" s="1" t="str">
        <f t="shared" si="5"/>
        <v/>
      </c>
    </row>
    <row r="163" spans="2:14">
      <c r="B163" s="1" t="str">
        <f>IF(Protokoll_2p!F129="","",IF(VALUE(LEFT(Protokoll_2p!F129,FIND(":",Protokoll_2p!F129)-1))&gt;VALUE(RIGHT(Protokoll_2p!F129,LEN(Protokoll_2p!F129)-FIND(":",Protokoll_2p!F129))),1,0))</f>
        <v/>
      </c>
      <c r="C163" s="1" t="str">
        <f>IF(Protokoll_2p!G129="","",IF(VALUE(LEFT(Protokoll_2p!G129,FIND(":",Protokoll_2p!G129)-1))&gt;VALUE(RIGHT(Protokoll_2p!G129,LEN(Protokoll_2p!G129)-FIND(":",Protokoll_2p!G129))),1,0))</f>
        <v/>
      </c>
      <c r="D163" s="1" t="str">
        <f>IF(Protokoll_2p!H129="","",IF(VALUE(LEFT(Protokoll_2p!H129,FIND(":",Protokoll_2p!H129)-1))&gt;VALUE(RIGHT(Protokoll_2p!H129,LEN(Protokoll_2p!H129)-FIND(":",Protokoll_2p!H129))),1,0))</f>
        <v/>
      </c>
      <c r="E163" s="1" t="str">
        <f>IF(Protokoll_2p!I129="","",IF(VALUE(LEFT(Protokoll_2p!I129,FIND(":",Protokoll_2p!I129)-1))&gt;VALUE(RIGHT(Protokoll_2p!I129,LEN(Protokoll_2p!I129)-FIND(":",Protokoll_2p!I129))),1,0))</f>
        <v/>
      </c>
      <c r="F163" s="1" t="str">
        <f>IF(Protokoll_2p!J129="","",IF(VALUE(LEFT(Protokoll_2p!J129,FIND(":",Protokoll_2p!J129)-1))&gt;VALUE(RIGHT(Protokoll_2p!J129,LEN(Protokoll_2p!J129)-FIND(":",Protokoll_2p!J129))),1,0))</f>
        <v/>
      </c>
      <c r="G163" s="1" t="str">
        <f t="shared" si="4"/>
        <v/>
      </c>
      <c r="I163" s="1" t="str">
        <f>IF(Protokoll_2p!F129="","",IF(VALUE(LEFT(Protokoll_2p!F129,FIND(":",Protokoll_2p!F129)-1))&gt;VALUE(RIGHT(Protokoll_2p!F129,LEN(Protokoll_2p!F129)-FIND(":",Protokoll_2p!F129))),0,1))</f>
        <v/>
      </c>
      <c r="J163" s="1" t="str">
        <f>IF(Protokoll_2p!G129="","",IF(VALUE(LEFT(Protokoll_2p!G129,FIND(":",Protokoll_2p!G129)-1))&gt;VALUE(RIGHT(Protokoll_2p!G129,LEN(Protokoll_2p!G129)-FIND(":",Protokoll_2p!G129))),0,1))</f>
        <v/>
      </c>
      <c r="K163" s="1" t="str">
        <f>IF(Protokoll_2p!H129="","",IF(VALUE(LEFT(Protokoll_2p!H129,FIND(":",Protokoll_2p!H129)-1))&gt;VALUE(RIGHT(Protokoll_2p!H129,LEN(Protokoll_2p!H129)-FIND(":",Protokoll_2p!H129))),0,1))</f>
        <v/>
      </c>
      <c r="L163" s="1" t="str">
        <f>IF(Protokoll_2p!I129="","",IF(VALUE(LEFT(Protokoll_2p!I129,FIND(":",Protokoll_2p!I129)-1))&gt;VALUE(RIGHT(Protokoll_2p!I129,LEN(Protokoll_2p!I129)-FIND(":",Protokoll_2p!I129))),0,1))</f>
        <v/>
      </c>
      <c r="M163" s="1" t="str">
        <f>IF(Protokoll_2p!J129="","",IF(VALUE(LEFT(Protokoll_2p!J129,FIND(":",Protokoll_2p!J129)-1))&gt;VALUE(RIGHT(Protokoll_2p!J129,LEN(Protokoll_2p!J129)-FIND(":",Protokoll_2p!J129))),0,1))</f>
        <v/>
      </c>
      <c r="N163" s="1" t="str">
        <f t="shared" si="5"/>
        <v/>
      </c>
    </row>
    <row r="164" spans="2:14">
      <c r="B164" s="1" t="str">
        <f>IF(Protokoll_2p!F130="","",IF(VALUE(LEFT(Protokoll_2p!F130,FIND(":",Protokoll_2p!F130)-1))&gt;VALUE(RIGHT(Protokoll_2p!F130,LEN(Protokoll_2p!F130)-FIND(":",Protokoll_2p!F130))),1,0))</f>
        <v/>
      </c>
      <c r="C164" s="1" t="str">
        <f>IF(Protokoll_2p!G130="","",IF(VALUE(LEFT(Protokoll_2p!G130,FIND(":",Protokoll_2p!G130)-1))&gt;VALUE(RIGHT(Protokoll_2p!G130,LEN(Protokoll_2p!G130)-FIND(":",Protokoll_2p!G130))),1,0))</f>
        <v/>
      </c>
      <c r="D164" s="1" t="str">
        <f>IF(Protokoll_2p!H130="","",IF(VALUE(LEFT(Protokoll_2p!H130,FIND(":",Protokoll_2p!H130)-1))&gt;VALUE(RIGHT(Protokoll_2p!H130,LEN(Protokoll_2p!H130)-FIND(":",Protokoll_2p!H130))),1,0))</f>
        <v/>
      </c>
      <c r="E164" s="1" t="str">
        <f>IF(Protokoll_2p!I130="","",IF(VALUE(LEFT(Protokoll_2p!I130,FIND(":",Protokoll_2p!I130)-1))&gt;VALUE(RIGHT(Protokoll_2p!I130,LEN(Protokoll_2p!I130)-FIND(":",Protokoll_2p!I130))),1,0))</f>
        <v/>
      </c>
      <c r="F164" s="1" t="str">
        <f>IF(Protokoll_2p!J130="","",IF(VALUE(LEFT(Protokoll_2p!J130,FIND(":",Protokoll_2p!J130)-1))&gt;VALUE(RIGHT(Protokoll_2p!J130,LEN(Protokoll_2p!J130)-FIND(":",Protokoll_2p!J130))),1,0))</f>
        <v/>
      </c>
      <c r="G164" s="1" t="str">
        <f t="shared" si="4"/>
        <v/>
      </c>
      <c r="I164" s="1" t="str">
        <f>IF(Protokoll_2p!F130="","",IF(VALUE(LEFT(Protokoll_2p!F130,FIND(":",Protokoll_2p!F130)-1))&gt;VALUE(RIGHT(Protokoll_2p!F130,LEN(Protokoll_2p!F130)-FIND(":",Protokoll_2p!F130))),0,1))</f>
        <v/>
      </c>
      <c r="J164" s="1" t="str">
        <f>IF(Protokoll_2p!G130="","",IF(VALUE(LEFT(Protokoll_2p!G130,FIND(":",Protokoll_2p!G130)-1))&gt;VALUE(RIGHT(Protokoll_2p!G130,LEN(Protokoll_2p!G130)-FIND(":",Protokoll_2p!G130))),0,1))</f>
        <v/>
      </c>
      <c r="K164" s="1" t="str">
        <f>IF(Protokoll_2p!H130="","",IF(VALUE(LEFT(Protokoll_2p!H130,FIND(":",Protokoll_2p!H130)-1))&gt;VALUE(RIGHT(Protokoll_2p!H130,LEN(Protokoll_2p!H130)-FIND(":",Protokoll_2p!H130))),0,1))</f>
        <v/>
      </c>
      <c r="L164" s="1" t="str">
        <f>IF(Protokoll_2p!I130="","",IF(VALUE(LEFT(Protokoll_2p!I130,FIND(":",Protokoll_2p!I130)-1))&gt;VALUE(RIGHT(Protokoll_2p!I130,LEN(Protokoll_2p!I130)-FIND(":",Protokoll_2p!I130))),0,1))</f>
        <v/>
      </c>
      <c r="M164" s="1" t="str">
        <f>IF(Protokoll_2p!J130="","",IF(VALUE(LEFT(Protokoll_2p!J130,FIND(":",Protokoll_2p!J130)-1))&gt;VALUE(RIGHT(Protokoll_2p!J130,LEN(Protokoll_2p!J130)-FIND(":",Protokoll_2p!J130))),0,1))</f>
        <v/>
      </c>
      <c r="N164" s="1" t="str">
        <f t="shared" si="5"/>
        <v/>
      </c>
    </row>
    <row r="165" spans="2:14">
      <c r="B165" s="1" t="str">
        <f>IF(Protokoll_2p!F131="","",IF(VALUE(LEFT(Protokoll_2p!F131,FIND(":",Protokoll_2p!F131)-1))&gt;VALUE(RIGHT(Protokoll_2p!F131,LEN(Protokoll_2p!F131)-FIND(":",Protokoll_2p!F131))),1,0))</f>
        <v/>
      </c>
      <c r="C165" s="1" t="str">
        <f>IF(Protokoll_2p!G131="","",IF(VALUE(LEFT(Protokoll_2p!G131,FIND(":",Protokoll_2p!G131)-1))&gt;VALUE(RIGHT(Protokoll_2p!G131,LEN(Protokoll_2p!G131)-FIND(":",Protokoll_2p!G131))),1,0))</f>
        <v/>
      </c>
      <c r="D165" s="1" t="str">
        <f>IF(Protokoll_2p!H131="","",IF(VALUE(LEFT(Protokoll_2p!H131,FIND(":",Protokoll_2p!H131)-1))&gt;VALUE(RIGHT(Protokoll_2p!H131,LEN(Protokoll_2p!H131)-FIND(":",Protokoll_2p!H131))),1,0))</f>
        <v/>
      </c>
      <c r="E165" s="1" t="str">
        <f>IF(Protokoll_2p!I131="","",IF(VALUE(LEFT(Protokoll_2p!I131,FIND(":",Protokoll_2p!I131)-1))&gt;VALUE(RIGHT(Protokoll_2p!I131,LEN(Protokoll_2p!I131)-FIND(":",Protokoll_2p!I131))),1,0))</f>
        <v/>
      </c>
      <c r="F165" s="1" t="str">
        <f>IF(Protokoll_2p!J131="","",IF(VALUE(LEFT(Protokoll_2p!J131,FIND(":",Protokoll_2p!J131)-1))&gt;VALUE(RIGHT(Protokoll_2p!J131,LEN(Protokoll_2p!J131)-FIND(":",Protokoll_2p!J131))),1,0))</f>
        <v/>
      </c>
      <c r="G165" s="1" t="str">
        <f t="shared" si="4"/>
        <v/>
      </c>
      <c r="I165" s="1" t="str">
        <f>IF(Protokoll_2p!F131="","",IF(VALUE(LEFT(Protokoll_2p!F131,FIND(":",Protokoll_2p!F131)-1))&gt;VALUE(RIGHT(Protokoll_2p!F131,LEN(Protokoll_2p!F131)-FIND(":",Protokoll_2p!F131))),0,1))</f>
        <v/>
      </c>
      <c r="J165" s="1" t="str">
        <f>IF(Protokoll_2p!G131="","",IF(VALUE(LEFT(Protokoll_2p!G131,FIND(":",Protokoll_2p!G131)-1))&gt;VALUE(RIGHT(Protokoll_2p!G131,LEN(Protokoll_2p!G131)-FIND(":",Protokoll_2p!G131))),0,1))</f>
        <v/>
      </c>
      <c r="K165" s="1" t="str">
        <f>IF(Protokoll_2p!H131="","",IF(VALUE(LEFT(Protokoll_2p!H131,FIND(":",Protokoll_2p!H131)-1))&gt;VALUE(RIGHT(Protokoll_2p!H131,LEN(Protokoll_2p!H131)-FIND(":",Protokoll_2p!H131))),0,1))</f>
        <v/>
      </c>
      <c r="L165" s="1" t="str">
        <f>IF(Protokoll_2p!I131="","",IF(VALUE(LEFT(Protokoll_2p!I131,FIND(":",Protokoll_2p!I131)-1))&gt;VALUE(RIGHT(Protokoll_2p!I131,LEN(Protokoll_2p!I131)-FIND(":",Protokoll_2p!I131))),0,1))</f>
        <v/>
      </c>
      <c r="M165" s="1" t="str">
        <f>IF(Protokoll_2p!J131="","",IF(VALUE(LEFT(Protokoll_2p!J131,FIND(":",Protokoll_2p!J131)-1))&gt;VALUE(RIGHT(Protokoll_2p!J131,LEN(Protokoll_2p!J131)-FIND(":",Protokoll_2p!J131))),0,1))</f>
        <v/>
      </c>
      <c r="N165" s="1" t="str">
        <f t="shared" si="5"/>
        <v/>
      </c>
    </row>
    <row r="166" spans="2:14">
      <c r="B166" s="1" t="str">
        <f>IF(Protokoll_2p!F132="","",IF(VALUE(LEFT(Protokoll_2p!F132,FIND(":",Protokoll_2p!F132)-1))&gt;VALUE(RIGHT(Protokoll_2p!F132,LEN(Protokoll_2p!F132)-FIND(":",Protokoll_2p!F132))),1,0))</f>
        <v/>
      </c>
      <c r="C166" s="1" t="str">
        <f>IF(Protokoll_2p!G132="","",IF(VALUE(LEFT(Protokoll_2p!G132,FIND(":",Protokoll_2p!G132)-1))&gt;VALUE(RIGHT(Protokoll_2p!G132,LEN(Protokoll_2p!G132)-FIND(":",Protokoll_2p!G132))),1,0))</f>
        <v/>
      </c>
      <c r="D166" s="1" t="str">
        <f>IF(Protokoll_2p!H132="","",IF(VALUE(LEFT(Protokoll_2p!H132,FIND(":",Protokoll_2p!H132)-1))&gt;VALUE(RIGHT(Protokoll_2p!H132,LEN(Protokoll_2p!H132)-FIND(":",Protokoll_2p!H132))),1,0))</f>
        <v/>
      </c>
      <c r="E166" s="1" t="str">
        <f>IF(Protokoll_2p!I132="","",IF(VALUE(LEFT(Protokoll_2p!I132,FIND(":",Protokoll_2p!I132)-1))&gt;VALUE(RIGHT(Protokoll_2p!I132,LEN(Protokoll_2p!I132)-FIND(":",Protokoll_2p!I132))),1,0))</f>
        <v/>
      </c>
      <c r="F166" s="1" t="str">
        <f>IF(Protokoll_2p!J132="","",IF(VALUE(LEFT(Protokoll_2p!J132,FIND(":",Protokoll_2p!J132)-1))&gt;VALUE(RIGHT(Protokoll_2p!J132,LEN(Protokoll_2p!J132)-FIND(":",Protokoll_2p!J132))),1,0))</f>
        <v/>
      </c>
      <c r="G166" s="1" t="str">
        <f t="shared" si="4"/>
        <v/>
      </c>
      <c r="I166" s="1" t="str">
        <f>IF(Protokoll_2p!F132="","",IF(VALUE(LEFT(Protokoll_2p!F132,FIND(":",Protokoll_2p!F132)-1))&gt;VALUE(RIGHT(Protokoll_2p!F132,LEN(Protokoll_2p!F132)-FIND(":",Protokoll_2p!F132))),0,1))</f>
        <v/>
      </c>
      <c r="J166" s="1" t="str">
        <f>IF(Protokoll_2p!G132="","",IF(VALUE(LEFT(Protokoll_2p!G132,FIND(":",Protokoll_2p!G132)-1))&gt;VALUE(RIGHT(Protokoll_2p!G132,LEN(Protokoll_2p!G132)-FIND(":",Protokoll_2p!G132))),0,1))</f>
        <v/>
      </c>
      <c r="K166" s="1" t="str">
        <f>IF(Protokoll_2p!H132="","",IF(VALUE(LEFT(Protokoll_2p!H132,FIND(":",Protokoll_2p!H132)-1))&gt;VALUE(RIGHT(Protokoll_2p!H132,LEN(Protokoll_2p!H132)-FIND(":",Protokoll_2p!H132))),0,1))</f>
        <v/>
      </c>
      <c r="L166" s="1" t="str">
        <f>IF(Protokoll_2p!I132="","",IF(VALUE(LEFT(Protokoll_2p!I132,FIND(":",Protokoll_2p!I132)-1))&gt;VALUE(RIGHT(Protokoll_2p!I132,LEN(Protokoll_2p!I132)-FIND(":",Protokoll_2p!I132))),0,1))</f>
        <v/>
      </c>
      <c r="M166" s="1" t="str">
        <f>IF(Protokoll_2p!J132="","",IF(VALUE(LEFT(Protokoll_2p!J132,FIND(":",Protokoll_2p!J132)-1))&gt;VALUE(RIGHT(Protokoll_2p!J132,LEN(Protokoll_2p!J132)-FIND(":",Protokoll_2p!J132))),0,1))</f>
        <v/>
      </c>
      <c r="N166" s="1" t="str">
        <f t="shared" si="5"/>
        <v/>
      </c>
    </row>
    <row r="167" spans="2:14">
      <c r="B167" s="1" t="str">
        <f>IF(Protokoll_2p!F133="","",IF(VALUE(LEFT(Protokoll_2p!F133,FIND(":",Protokoll_2p!F133)-1))&gt;VALUE(RIGHT(Protokoll_2p!F133,LEN(Protokoll_2p!F133)-FIND(":",Protokoll_2p!F133))),1,0))</f>
        <v/>
      </c>
      <c r="C167" s="1" t="str">
        <f>IF(Protokoll_2p!G133="","",IF(VALUE(LEFT(Protokoll_2p!G133,FIND(":",Protokoll_2p!G133)-1))&gt;VALUE(RIGHT(Protokoll_2p!G133,LEN(Protokoll_2p!G133)-FIND(":",Protokoll_2p!G133))),1,0))</f>
        <v/>
      </c>
      <c r="D167" s="1" t="str">
        <f>IF(Protokoll_2p!H133="","",IF(VALUE(LEFT(Protokoll_2p!H133,FIND(":",Protokoll_2p!H133)-1))&gt;VALUE(RIGHT(Protokoll_2p!H133,LEN(Protokoll_2p!H133)-FIND(":",Protokoll_2p!H133))),1,0))</f>
        <v/>
      </c>
      <c r="E167" s="1" t="str">
        <f>IF(Protokoll_2p!I133="","",IF(VALUE(LEFT(Protokoll_2p!I133,FIND(":",Protokoll_2p!I133)-1))&gt;VALUE(RIGHT(Protokoll_2p!I133,LEN(Protokoll_2p!I133)-FIND(":",Protokoll_2p!I133))),1,0))</f>
        <v/>
      </c>
      <c r="F167" s="1" t="str">
        <f>IF(Protokoll_2p!J133="","",IF(VALUE(LEFT(Protokoll_2p!J133,FIND(":",Protokoll_2p!J133)-1))&gt;VALUE(RIGHT(Protokoll_2p!J133,LEN(Protokoll_2p!J133)-FIND(":",Protokoll_2p!J133))),1,0))</f>
        <v/>
      </c>
      <c r="G167" s="1" t="str">
        <f t="shared" si="4"/>
        <v/>
      </c>
      <c r="I167" s="1" t="str">
        <f>IF(Protokoll_2p!F133="","",IF(VALUE(LEFT(Protokoll_2p!F133,FIND(":",Protokoll_2p!F133)-1))&gt;VALUE(RIGHT(Protokoll_2p!F133,LEN(Protokoll_2p!F133)-FIND(":",Protokoll_2p!F133))),0,1))</f>
        <v/>
      </c>
      <c r="J167" s="1" t="str">
        <f>IF(Protokoll_2p!G133="","",IF(VALUE(LEFT(Protokoll_2p!G133,FIND(":",Protokoll_2p!G133)-1))&gt;VALUE(RIGHT(Protokoll_2p!G133,LEN(Protokoll_2p!G133)-FIND(":",Protokoll_2p!G133))),0,1))</f>
        <v/>
      </c>
      <c r="K167" s="1" t="str">
        <f>IF(Protokoll_2p!H133="","",IF(VALUE(LEFT(Protokoll_2p!H133,FIND(":",Protokoll_2p!H133)-1))&gt;VALUE(RIGHT(Protokoll_2p!H133,LEN(Protokoll_2p!H133)-FIND(":",Protokoll_2p!H133))),0,1))</f>
        <v/>
      </c>
      <c r="L167" s="1" t="str">
        <f>IF(Protokoll_2p!I133="","",IF(VALUE(LEFT(Protokoll_2p!I133,FIND(":",Protokoll_2p!I133)-1))&gt;VALUE(RIGHT(Protokoll_2p!I133,LEN(Protokoll_2p!I133)-FIND(":",Protokoll_2p!I133))),0,1))</f>
        <v/>
      </c>
      <c r="M167" s="1" t="str">
        <f>IF(Protokoll_2p!J133="","",IF(VALUE(LEFT(Protokoll_2p!J133,FIND(":",Protokoll_2p!J133)-1))&gt;VALUE(RIGHT(Protokoll_2p!J133,LEN(Protokoll_2p!J133)-FIND(":",Protokoll_2p!J133))),0,1))</f>
        <v/>
      </c>
      <c r="N167" s="1" t="str">
        <f t="shared" si="5"/>
        <v/>
      </c>
    </row>
    <row r="168" spans="2:14">
      <c r="B168" s="1" t="str">
        <f>IF(Protokoll_2p!F134="","",IF(VALUE(LEFT(Protokoll_2p!F134,FIND(":",Protokoll_2p!F134)-1))&gt;VALUE(RIGHT(Protokoll_2p!F134,LEN(Protokoll_2p!F134)-FIND(":",Protokoll_2p!F134))),1,0))</f>
        <v/>
      </c>
      <c r="C168" s="1" t="str">
        <f>IF(Protokoll_2p!G134="","",IF(VALUE(LEFT(Protokoll_2p!G134,FIND(":",Protokoll_2p!G134)-1))&gt;VALUE(RIGHT(Protokoll_2p!G134,LEN(Protokoll_2p!G134)-FIND(":",Protokoll_2p!G134))),1,0))</f>
        <v/>
      </c>
      <c r="D168" s="1" t="str">
        <f>IF(Protokoll_2p!H134="","",IF(VALUE(LEFT(Protokoll_2p!H134,FIND(":",Protokoll_2p!H134)-1))&gt;VALUE(RIGHT(Protokoll_2p!H134,LEN(Protokoll_2p!H134)-FIND(":",Protokoll_2p!H134))),1,0))</f>
        <v/>
      </c>
      <c r="E168" s="1" t="str">
        <f>IF(Protokoll_2p!I134="","",IF(VALUE(LEFT(Protokoll_2p!I134,FIND(":",Protokoll_2p!I134)-1))&gt;VALUE(RIGHT(Protokoll_2p!I134,LEN(Protokoll_2p!I134)-FIND(":",Protokoll_2p!I134))),1,0))</f>
        <v/>
      </c>
      <c r="F168" s="1" t="str">
        <f>IF(Protokoll_2p!J134="","",IF(VALUE(LEFT(Protokoll_2p!J134,FIND(":",Protokoll_2p!J134)-1))&gt;VALUE(RIGHT(Protokoll_2p!J134,LEN(Protokoll_2p!J134)-FIND(":",Protokoll_2p!J134))),1,0))</f>
        <v/>
      </c>
      <c r="G168" s="1" t="str">
        <f t="shared" si="4"/>
        <v/>
      </c>
      <c r="I168" s="1" t="str">
        <f>IF(Protokoll_2p!F134="","",IF(VALUE(LEFT(Protokoll_2p!F134,FIND(":",Protokoll_2p!F134)-1))&gt;VALUE(RIGHT(Protokoll_2p!F134,LEN(Protokoll_2p!F134)-FIND(":",Protokoll_2p!F134))),0,1))</f>
        <v/>
      </c>
      <c r="J168" s="1" t="str">
        <f>IF(Protokoll_2p!G134="","",IF(VALUE(LEFT(Protokoll_2p!G134,FIND(":",Protokoll_2p!G134)-1))&gt;VALUE(RIGHT(Protokoll_2p!G134,LEN(Protokoll_2p!G134)-FIND(":",Protokoll_2p!G134))),0,1))</f>
        <v/>
      </c>
      <c r="K168" s="1" t="str">
        <f>IF(Protokoll_2p!H134="","",IF(VALUE(LEFT(Protokoll_2p!H134,FIND(":",Protokoll_2p!H134)-1))&gt;VALUE(RIGHT(Protokoll_2p!H134,LEN(Protokoll_2p!H134)-FIND(":",Protokoll_2p!H134))),0,1))</f>
        <v/>
      </c>
      <c r="L168" s="1" t="str">
        <f>IF(Protokoll_2p!I134="","",IF(VALUE(LEFT(Protokoll_2p!I134,FIND(":",Protokoll_2p!I134)-1))&gt;VALUE(RIGHT(Protokoll_2p!I134,LEN(Protokoll_2p!I134)-FIND(":",Protokoll_2p!I134))),0,1))</f>
        <v/>
      </c>
      <c r="M168" s="1" t="str">
        <f>IF(Protokoll_2p!J134="","",IF(VALUE(LEFT(Protokoll_2p!J134,FIND(":",Protokoll_2p!J134)-1))&gt;VALUE(RIGHT(Protokoll_2p!J134,LEN(Protokoll_2p!J134)-FIND(":",Protokoll_2p!J134))),0,1))</f>
        <v/>
      </c>
      <c r="N168" s="1" t="str">
        <f t="shared" si="5"/>
        <v/>
      </c>
    </row>
    <row r="169" spans="2:14">
      <c r="B169" s="1" t="str">
        <f>IF(Protokoll_2p!F135="","",IF(VALUE(LEFT(Protokoll_2p!F135,FIND(":",Protokoll_2p!F135)-1))&gt;VALUE(RIGHT(Protokoll_2p!F135,LEN(Protokoll_2p!F135)-FIND(":",Protokoll_2p!F135))),1,0))</f>
        <v/>
      </c>
      <c r="C169" s="1" t="str">
        <f>IF(Protokoll_2p!G135="","",IF(VALUE(LEFT(Protokoll_2p!G135,FIND(":",Protokoll_2p!G135)-1))&gt;VALUE(RIGHT(Protokoll_2p!G135,LEN(Protokoll_2p!G135)-FIND(":",Protokoll_2p!G135))),1,0))</f>
        <v/>
      </c>
      <c r="D169" s="1" t="str">
        <f>IF(Protokoll_2p!H135="","",IF(VALUE(LEFT(Protokoll_2p!H135,FIND(":",Protokoll_2p!H135)-1))&gt;VALUE(RIGHT(Protokoll_2p!H135,LEN(Protokoll_2p!H135)-FIND(":",Protokoll_2p!H135))),1,0))</f>
        <v/>
      </c>
      <c r="E169" s="1" t="str">
        <f>IF(Protokoll_2p!I135="","",IF(VALUE(LEFT(Protokoll_2p!I135,FIND(":",Protokoll_2p!I135)-1))&gt;VALUE(RIGHT(Protokoll_2p!I135,LEN(Protokoll_2p!I135)-FIND(":",Protokoll_2p!I135))),1,0))</f>
        <v/>
      </c>
      <c r="F169" s="1" t="str">
        <f>IF(Protokoll_2p!J135="","",IF(VALUE(LEFT(Protokoll_2p!J135,FIND(":",Protokoll_2p!J135)-1))&gt;VALUE(RIGHT(Protokoll_2p!J135,LEN(Protokoll_2p!J135)-FIND(":",Protokoll_2p!J135))),1,0))</f>
        <v/>
      </c>
      <c r="G169" s="1" t="str">
        <f t="shared" si="4"/>
        <v/>
      </c>
      <c r="I169" s="1" t="str">
        <f>IF(Protokoll_2p!F135="","",IF(VALUE(LEFT(Protokoll_2p!F135,FIND(":",Protokoll_2p!F135)-1))&gt;VALUE(RIGHT(Protokoll_2p!F135,LEN(Protokoll_2p!F135)-FIND(":",Protokoll_2p!F135))),0,1))</f>
        <v/>
      </c>
      <c r="J169" s="1" t="str">
        <f>IF(Protokoll_2p!G135="","",IF(VALUE(LEFT(Protokoll_2p!G135,FIND(":",Protokoll_2p!G135)-1))&gt;VALUE(RIGHT(Protokoll_2p!G135,LEN(Protokoll_2p!G135)-FIND(":",Protokoll_2p!G135))),0,1))</f>
        <v/>
      </c>
      <c r="K169" s="1" t="str">
        <f>IF(Protokoll_2p!H135="","",IF(VALUE(LEFT(Protokoll_2p!H135,FIND(":",Protokoll_2p!H135)-1))&gt;VALUE(RIGHT(Protokoll_2p!H135,LEN(Protokoll_2p!H135)-FIND(":",Protokoll_2p!H135))),0,1))</f>
        <v/>
      </c>
      <c r="L169" s="1" t="str">
        <f>IF(Protokoll_2p!I135="","",IF(VALUE(LEFT(Protokoll_2p!I135,FIND(":",Protokoll_2p!I135)-1))&gt;VALUE(RIGHT(Protokoll_2p!I135,LEN(Protokoll_2p!I135)-FIND(":",Protokoll_2p!I135))),0,1))</f>
        <v/>
      </c>
      <c r="M169" s="1" t="str">
        <f>IF(Protokoll_2p!J135="","",IF(VALUE(LEFT(Protokoll_2p!J135,FIND(":",Protokoll_2p!J135)-1))&gt;VALUE(RIGHT(Protokoll_2p!J135,LEN(Protokoll_2p!J135)-FIND(":",Protokoll_2p!J135))),0,1))</f>
        <v/>
      </c>
      <c r="N169" s="1" t="str">
        <f t="shared" si="5"/>
        <v/>
      </c>
    </row>
    <row r="170" spans="2:14">
      <c r="B170" s="1" t="str">
        <f>IF(Protokoll_2p!F136="","",IF(VALUE(LEFT(Protokoll_2p!F136,FIND(":",Protokoll_2p!F136)-1))&gt;VALUE(RIGHT(Protokoll_2p!F136,LEN(Protokoll_2p!F136)-FIND(":",Protokoll_2p!F136))),1,0))</f>
        <v/>
      </c>
      <c r="C170" s="1" t="str">
        <f>IF(Protokoll_2p!G136="","",IF(VALUE(LEFT(Protokoll_2p!G136,FIND(":",Protokoll_2p!G136)-1))&gt;VALUE(RIGHT(Protokoll_2p!G136,LEN(Protokoll_2p!G136)-FIND(":",Protokoll_2p!G136))),1,0))</f>
        <v/>
      </c>
      <c r="D170" s="1" t="str">
        <f>IF(Protokoll_2p!H136="","",IF(VALUE(LEFT(Protokoll_2p!H136,FIND(":",Protokoll_2p!H136)-1))&gt;VALUE(RIGHT(Protokoll_2p!H136,LEN(Protokoll_2p!H136)-FIND(":",Protokoll_2p!H136))),1,0))</f>
        <v/>
      </c>
      <c r="E170" s="1" t="str">
        <f>IF(Protokoll_2p!I136="","",IF(VALUE(LEFT(Protokoll_2p!I136,FIND(":",Protokoll_2p!I136)-1))&gt;VALUE(RIGHT(Protokoll_2p!I136,LEN(Protokoll_2p!I136)-FIND(":",Protokoll_2p!I136))),1,0))</f>
        <v/>
      </c>
      <c r="F170" s="1" t="str">
        <f>IF(Protokoll_2p!J136="","",IF(VALUE(LEFT(Protokoll_2p!J136,FIND(":",Protokoll_2p!J136)-1))&gt;VALUE(RIGHT(Protokoll_2p!J136,LEN(Protokoll_2p!J136)-FIND(":",Protokoll_2p!J136))),1,0))</f>
        <v/>
      </c>
      <c r="G170" s="1" t="str">
        <f t="shared" si="4"/>
        <v/>
      </c>
      <c r="I170" s="1" t="str">
        <f>IF(Protokoll_2p!F136="","",IF(VALUE(LEFT(Protokoll_2p!F136,FIND(":",Protokoll_2p!F136)-1))&gt;VALUE(RIGHT(Protokoll_2p!F136,LEN(Protokoll_2p!F136)-FIND(":",Protokoll_2p!F136))),0,1))</f>
        <v/>
      </c>
      <c r="J170" s="1" t="str">
        <f>IF(Protokoll_2p!G136="","",IF(VALUE(LEFT(Protokoll_2p!G136,FIND(":",Protokoll_2p!G136)-1))&gt;VALUE(RIGHT(Protokoll_2p!G136,LEN(Protokoll_2p!G136)-FIND(":",Protokoll_2p!G136))),0,1))</f>
        <v/>
      </c>
      <c r="K170" s="1" t="str">
        <f>IF(Protokoll_2p!H136="","",IF(VALUE(LEFT(Protokoll_2p!H136,FIND(":",Protokoll_2p!H136)-1))&gt;VALUE(RIGHT(Protokoll_2p!H136,LEN(Protokoll_2p!H136)-FIND(":",Protokoll_2p!H136))),0,1))</f>
        <v/>
      </c>
      <c r="L170" s="1" t="str">
        <f>IF(Protokoll_2p!I136="","",IF(VALUE(LEFT(Protokoll_2p!I136,FIND(":",Protokoll_2p!I136)-1))&gt;VALUE(RIGHT(Protokoll_2p!I136,LEN(Protokoll_2p!I136)-FIND(":",Protokoll_2p!I136))),0,1))</f>
        <v/>
      </c>
      <c r="M170" s="1" t="str">
        <f>IF(Protokoll_2p!J136="","",IF(VALUE(LEFT(Protokoll_2p!J136,FIND(":",Protokoll_2p!J136)-1))&gt;VALUE(RIGHT(Protokoll_2p!J136,LEN(Protokoll_2p!J136)-FIND(":",Protokoll_2p!J136))),0,1))</f>
        <v/>
      </c>
      <c r="N170" s="1" t="str">
        <f t="shared" si="5"/>
        <v/>
      </c>
    </row>
    <row r="171" spans="2:14">
      <c r="B171" s="1" t="str">
        <f>IF(Protokoll_2p!F137="","",IF(VALUE(LEFT(Protokoll_2p!F137,FIND(":",Protokoll_2p!F137)-1))&gt;VALUE(RIGHT(Protokoll_2p!F137,LEN(Protokoll_2p!F137)-FIND(":",Protokoll_2p!F137))),1,0))</f>
        <v/>
      </c>
      <c r="C171" s="1" t="str">
        <f>IF(Protokoll_2p!G137="","",IF(VALUE(LEFT(Protokoll_2p!G137,FIND(":",Protokoll_2p!G137)-1))&gt;VALUE(RIGHT(Protokoll_2p!G137,LEN(Protokoll_2p!G137)-FIND(":",Protokoll_2p!G137))),1,0))</f>
        <v/>
      </c>
      <c r="D171" s="1" t="str">
        <f>IF(Protokoll_2p!H137="","",IF(VALUE(LEFT(Protokoll_2p!H137,FIND(":",Protokoll_2p!H137)-1))&gt;VALUE(RIGHT(Protokoll_2p!H137,LEN(Protokoll_2p!H137)-FIND(":",Protokoll_2p!H137))),1,0))</f>
        <v/>
      </c>
      <c r="E171" s="1" t="str">
        <f>IF(Protokoll_2p!I137="","",IF(VALUE(LEFT(Protokoll_2p!I137,FIND(":",Protokoll_2p!I137)-1))&gt;VALUE(RIGHT(Protokoll_2p!I137,LEN(Protokoll_2p!I137)-FIND(":",Protokoll_2p!I137))),1,0))</f>
        <v/>
      </c>
      <c r="F171" s="1" t="str">
        <f>IF(Protokoll_2p!J137="","",IF(VALUE(LEFT(Protokoll_2p!J137,FIND(":",Protokoll_2p!J137)-1))&gt;VALUE(RIGHT(Protokoll_2p!J137,LEN(Protokoll_2p!J137)-FIND(":",Protokoll_2p!J137))),1,0))</f>
        <v/>
      </c>
      <c r="G171" s="1" t="str">
        <f t="shared" si="4"/>
        <v/>
      </c>
      <c r="I171" s="1" t="str">
        <f>IF(Protokoll_2p!F137="","",IF(VALUE(LEFT(Protokoll_2p!F137,FIND(":",Protokoll_2p!F137)-1))&gt;VALUE(RIGHT(Protokoll_2p!F137,LEN(Protokoll_2p!F137)-FIND(":",Protokoll_2p!F137))),0,1))</f>
        <v/>
      </c>
      <c r="J171" s="1" t="str">
        <f>IF(Protokoll_2p!G137="","",IF(VALUE(LEFT(Protokoll_2p!G137,FIND(":",Protokoll_2p!G137)-1))&gt;VALUE(RIGHT(Protokoll_2p!G137,LEN(Protokoll_2p!G137)-FIND(":",Protokoll_2p!G137))),0,1))</f>
        <v/>
      </c>
      <c r="K171" s="1" t="str">
        <f>IF(Protokoll_2p!H137="","",IF(VALUE(LEFT(Protokoll_2p!H137,FIND(":",Protokoll_2p!H137)-1))&gt;VALUE(RIGHT(Protokoll_2p!H137,LEN(Protokoll_2p!H137)-FIND(":",Protokoll_2p!H137))),0,1))</f>
        <v/>
      </c>
      <c r="L171" s="1" t="str">
        <f>IF(Protokoll_2p!I137="","",IF(VALUE(LEFT(Protokoll_2p!I137,FIND(":",Protokoll_2p!I137)-1))&gt;VALUE(RIGHT(Protokoll_2p!I137,LEN(Protokoll_2p!I137)-FIND(":",Protokoll_2p!I137))),0,1))</f>
        <v/>
      </c>
      <c r="M171" s="1" t="str">
        <f>IF(Protokoll_2p!J137="","",IF(VALUE(LEFT(Protokoll_2p!J137,FIND(":",Protokoll_2p!J137)-1))&gt;VALUE(RIGHT(Protokoll_2p!J137,LEN(Protokoll_2p!J137)-FIND(":",Protokoll_2p!J137))),0,1))</f>
        <v/>
      </c>
      <c r="N171" s="1" t="str">
        <f t="shared" si="5"/>
        <v/>
      </c>
    </row>
    <row r="172" spans="2:14">
      <c r="B172" s="1" t="str">
        <f>IF(Protokoll_2p!F138="","",IF(VALUE(LEFT(Protokoll_2p!F138,FIND(":",Protokoll_2p!F138)-1))&gt;VALUE(RIGHT(Protokoll_2p!F138,LEN(Protokoll_2p!F138)-FIND(":",Protokoll_2p!F138))),1,0))</f>
        <v/>
      </c>
      <c r="C172" s="1" t="str">
        <f>IF(Protokoll_2p!G138="","",IF(VALUE(LEFT(Protokoll_2p!G138,FIND(":",Protokoll_2p!G138)-1))&gt;VALUE(RIGHT(Protokoll_2p!G138,LEN(Protokoll_2p!G138)-FIND(":",Protokoll_2p!G138))),1,0))</f>
        <v/>
      </c>
      <c r="D172" s="1" t="str">
        <f>IF(Protokoll_2p!H138="","",IF(VALUE(LEFT(Protokoll_2p!H138,FIND(":",Protokoll_2p!H138)-1))&gt;VALUE(RIGHT(Protokoll_2p!H138,LEN(Protokoll_2p!H138)-FIND(":",Protokoll_2p!H138))),1,0))</f>
        <v/>
      </c>
      <c r="E172" s="1" t="str">
        <f>IF(Protokoll_2p!I138="","",IF(VALUE(LEFT(Protokoll_2p!I138,FIND(":",Protokoll_2p!I138)-1))&gt;VALUE(RIGHT(Protokoll_2p!I138,LEN(Protokoll_2p!I138)-FIND(":",Protokoll_2p!I138))),1,0))</f>
        <v/>
      </c>
      <c r="F172" s="1" t="str">
        <f>IF(Protokoll_2p!J138="","",IF(VALUE(LEFT(Protokoll_2p!J138,FIND(":",Protokoll_2p!J138)-1))&gt;VALUE(RIGHT(Protokoll_2p!J138,LEN(Protokoll_2p!J138)-FIND(":",Protokoll_2p!J138))),1,0))</f>
        <v/>
      </c>
      <c r="G172" s="1" t="str">
        <f t="shared" si="4"/>
        <v/>
      </c>
      <c r="I172" s="1" t="str">
        <f>IF(Protokoll_2p!F138="","",IF(VALUE(LEFT(Protokoll_2p!F138,FIND(":",Protokoll_2p!F138)-1))&gt;VALUE(RIGHT(Protokoll_2p!F138,LEN(Protokoll_2p!F138)-FIND(":",Protokoll_2p!F138))),0,1))</f>
        <v/>
      </c>
      <c r="J172" s="1" t="str">
        <f>IF(Protokoll_2p!G138="","",IF(VALUE(LEFT(Protokoll_2p!G138,FIND(":",Protokoll_2p!G138)-1))&gt;VALUE(RIGHT(Protokoll_2p!G138,LEN(Protokoll_2p!G138)-FIND(":",Protokoll_2p!G138))),0,1))</f>
        <v/>
      </c>
      <c r="K172" s="1" t="str">
        <f>IF(Protokoll_2p!H138="","",IF(VALUE(LEFT(Protokoll_2p!H138,FIND(":",Protokoll_2p!H138)-1))&gt;VALUE(RIGHT(Protokoll_2p!H138,LEN(Protokoll_2p!H138)-FIND(":",Protokoll_2p!H138))),0,1))</f>
        <v/>
      </c>
      <c r="L172" s="1" t="str">
        <f>IF(Protokoll_2p!I138="","",IF(VALUE(LEFT(Protokoll_2p!I138,FIND(":",Protokoll_2p!I138)-1))&gt;VALUE(RIGHT(Protokoll_2p!I138,LEN(Protokoll_2p!I138)-FIND(":",Protokoll_2p!I138))),0,1))</f>
        <v/>
      </c>
      <c r="M172" s="1" t="str">
        <f>IF(Protokoll_2p!J138="","",IF(VALUE(LEFT(Protokoll_2p!J138,FIND(":",Protokoll_2p!J138)-1))&gt;VALUE(RIGHT(Protokoll_2p!J138,LEN(Protokoll_2p!J138)-FIND(":",Protokoll_2p!J138))),0,1))</f>
        <v/>
      </c>
      <c r="N172" s="1" t="str">
        <f t="shared" si="5"/>
        <v/>
      </c>
    </row>
    <row r="173" spans="2:14">
      <c r="B173" s="1" t="str">
        <f>IF(Protokoll_2p!F139="","",IF(VALUE(LEFT(Protokoll_2p!F139,FIND(":",Protokoll_2p!F139)-1))&gt;VALUE(RIGHT(Protokoll_2p!F139,LEN(Protokoll_2p!F139)-FIND(":",Protokoll_2p!F139))),1,0))</f>
        <v/>
      </c>
      <c r="C173" s="1" t="str">
        <f>IF(Protokoll_2p!G139="","",IF(VALUE(LEFT(Protokoll_2p!G139,FIND(":",Protokoll_2p!G139)-1))&gt;VALUE(RIGHT(Protokoll_2p!G139,LEN(Protokoll_2p!G139)-FIND(":",Protokoll_2p!G139))),1,0))</f>
        <v/>
      </c>
      <c r="D173" s="1" t="str">
        <f>IF(Protokoll_2p!H139="","",IF(VALUE(LEFT(Protokoll_2p!H139,FIND(":",Protokoll_2p!H139)-1))&gt;VALUE(RIGHT(Protokoll_2p!H139,LEN(Protokoll_2p!H139)-FIND(":",Protokoll_2p!H139))),1,0))</f>
        <v/>
      </c>
      <c r="E173" s="1" t="str">
        <f>IF(Protokoll_2p!I139="","",IF(VALUE(LEFT(Protokoll_2p!I139,FIND(":",Protokoll_2p!I139)-1))&gt;VALUE(RIGHT(Protokoll_2p!I139,LEN(Protokoll_2p!I139)-FIND(":",Protokoll_2p!I139))),1,0))</f>
        <v/>
      </c>
      <c r="F173" s="1" t="str">
        <f>IF(Protokoll_2p!J139="","",IF(VALUE(LEFT(Protokoll_2p!J139,FIND(":",Protokoll_2p!J139)-1))&gt;VALUE(RIGHT(Protokoll_2p!J139,LEN(Protokoll_2p!J139)-FIND(":",Protokoll_2p!J139))),1,0))</f>
        <v/>
      </c>
      <c r="G173" s="1" t="str">
        <f t="shared" si="4"/>
        <v/>
      </c>
      <c r="I173" s="1" t="str">
        <f>IF(Protokoll_2p!F139="","",IF(VALUE(LEFT(Protokoll_2p!F139,FIND(":",Protokoll_2p!F139)-1))&gt;VALUE(RIGHT(Protokoll_2p!F139,LEN(Protokoll_2p!F139)-FIND(":",Protokoll_2p!F139))),0,1))</f>
        <v/>
      </c>
      <c r="J173" s="1" t="str">
        <f>IF(Protokoll_2p!G139="","",IF(VALUE(LEFT(Protokoll_2p!G139,FIND(":",Protokoll_2p!G139)-1))&gt;VALUE(RIGHT(Protokoll_2p!G139,LEN(Protokoll_2p!G139)-FIND(":",Protokoll_2p!G139))),0,1))</f>
        <v/>
      </c>
      <c r="K173" s="1" t="str">
        <f>IF(Protokoll_2p!H139="","",IF(VALUE(LEFT(Protokoll_2p!H139,FIND(":",Protokoll_2p!H139)-1))&gt;VALUE(RIGHT(Protokoll_2p!H139,LEN(Protokoll_2p!H139)-FIND(":",Protokoll_2p!H139))),0,1))</f>
        <v/>
      </c>
      <c r="L173" s="1" t="str">
        <f>IF(Protokoll_2p!I139="","",IF(VALUE(LEFT(Protokoll_2p!I139,FIND(":",Protokoll_2p!I139)-1))&gt;VALUE(RIGHT(Protokoll_2p!I139,LEN(Protokoll_2p!I139)-FIND(":",Protokoll_2p!I139))),0,1))</f>
        <v/>
      </c>
      <c r="M173" s="1" t="str">
        <f>IF(Protokoll_2p!J139="","",IF(VALUE(LEFT(Protokoll_2p!J139,FIND(":",Protokoll_2p!J139)-1))&gt;VALUE(RIGHT(Protokoll_2p!J139,LEN(Protokoll_2p!J139)-FIND(":",Protokoll_2p!J139))),0,1))</f>
        <v/>
      </c>
      <c r="N173" s="1" t="str">
        <f t="shared" si="5"/>
        <v/>
      </c>
    </row>
    <row r="174" spans="2:14">
      <c r="B174" s="1" t="str">
        <f>IF(Protokoll_2p!F140="","",IF(VALUE(LEFT(Protokoll_2p!F140,FIND(":",Protokoll_2p!F140)-1))&gt;VALUE(RIGHT(Protokoll_2p!F140,LEN(Protokoll_2p!F140)-FIND(":",Protokoll_2p!F140))),1,0))</f>
        <v/>
      </c>
      <c r="C174" s="1" t="str">
        <f>IF(Protokoll_2p!G140="","",IF(VALUE(LEFT(Protokoll_2p!G140,FIND(":",Protokoll_2p!G140)-1))&gt;VALUE(RIGHT(Protokoll_2p!G140,LEN(Protokoll_2p!G140)-FIND(":",Protokoll_2p!G140))),1,0))</f>
        <v/>
      </c>
      <c r="D174" s="1" t="str">
        <f>IF(Protokoll_2p!H140="","",IF(VALUE(LEFT(Protokoll_2p!H140,FIND(":",Protokoll_2p!H140)-1))&gt;VALUE(RIGHT(Protokoll_2p!H140,LEN(Protokoll_2p!H140)-FIND(":",Protokoll_2p!H140))),1,0))</f>
        <v/>
      </c>
      <c r="E174" s="1" t="str">
        <f>IF(Protokoll_2p!I140="","",IF(VALUE(LEFT(Protokoll_2p!I140,FIND(":",Protokoll_2p!I140)-1))&gt;VALUE(RIGHT(Protokoll_2p!I140,LEN(Protokoll_2p!I140)-FIND(":",Protokoll_2p!I140))),1,0))</f>
        <v/>
      </c>
      <c r="F174" s="1" t="str">
        <f>IF(Protokoll_2p!J140="","",IF(VALUE(LEFT(Protokoll_2p!J140,FIND(":",Protokoll_2p!J140)-1))&gt;VALUE(RIGHT(Protokoll_2p!J140,LEN(Protokoll_2p!J140)-FIND(":",Protokoll_2p!J140))),1,0))</f>
        <v/>
      </c>
      <c r="G174" s="1" t="str">
        <f t="shared" si="4"/>
        <v/>
      </c>
      <c r="I174" s="1" t="str">
        <f>IF(Protokoll_2p!F140="","",IF(VALUE(LEFT(Protokoll_2p!F140,FIND(":",Protokoll_2p!F140)-1))&gt;VALUE(RIGHT(Protokoll_2p!F140,LEN(Protokoll_2p!F140)-FIND(":",Protokoll_2p!F140))),0,1))</f>
        <v/>
      </c>
      <c r="J174" s="1" t="str">
        <f>IF(Protokoll_2p!G140="","",IF(VALUE(LEFT(Protokoll_2p!G140,FIND(":",Protokoll_2p!G140)-1))&gt;VALUE(RIGHT(Protokoll_2p!G140,LEN(Protokoll_2p!G140)-FIND(":",Protokoll_2p!G140))),0,1))</f>
        <v/>
      </c>
      <c r="K174" s="1" t="str">
        <f>IF(Protokoll_2p!H140="","",IF(VALUE(LEFT(Protokoll_2p!H140,FIND(":",Protokoll_2p!H140)-1))&gt;VALUE(RIGHT(Protokoll_2p!H140,LEN(Protokoll_2p!H140)-FIND(":",Protokoll_2p!H140))),0,1))</f>
        <v/>
      </c>
      <c r="L174" s="1" t="str">
        <f>IF(Protokoll_2p!I140="","",IF(VALUE(LEFT(Protokoll_2p!I140,FIND(":",Protokoll_2p!I140)-1))&gt;VALUE(RIGHT(Protokoll_2p!I140,LEN(Protokoll_2p!I140)-FIND(":",Protokoll_2p!I140))),0,1))</f>
        <v/>
      </c>
      <c r="M174" s="1" t="str">
        <f>IF(Protokoll_2p!J140="","",IF(VALUE(LEFT(Protokoll_2p!J140,FIND(":",Protokoll_2p!J140)-1))&gt;VALUE(RIGHT(Protokoll_2p!J140,LEN(Protokoll_2p!J140)-FIND(":",Protokoll_2p!J140))),0,1))</f>
        <v/>
      </c>
      <c r="N174" s="1" t="str">
        <f t="shared" si="5"/>
        <v/>
      </c>
    </row>
    <row r="175" spans="2:14">
      <c r="B175" s="1" t="str">
        <f>IF(Protokoll_2p!F141="","",IF(VALUE(LEFT(Protokoll_2p!F141,FIND(":",Protokoll_2p!F141)-1))&gt;VALUE(RIGHT(Protokoll_2p!F141,LEN(Protokoll_2p!F141)-FIND(":",Protokoll_2p!F141))),1,0))</f>
        <v/>
      </c>
      <c r="C175" s="1" t="str">
        <f>IF(Protokoll_2p!G141="","",IF(VALUE(LEFT(Protokoll_2p!G141,FIND(":",Protokoll_2p!G141)-1))&gt;VALUE(RIGHT(Protokoll_2p!G141,LEN(Protokoll_2p!G141)-FIND(":",Protokoll_2p!G141))),1,0))</f>
        <v/>
      </c>
      <c r="D175" s="1" t="str">
        <f>IF(Protokoll_2p!H141="","",IF(VALUE(LEFT(Protokoll_2p!H141,FIND(":",Protokoll_2p!H141)-1))&gt;VALUE(RIGHT(Protokoll_2p!H141,LEN(Protokoll_2p!H141)-FIND(":",Protokoll_2p!H141))),1,0))</f>
        <v/>
      </c>
      <c r="E175" s="1" t="str">
        <f>IF(Protokoll_2p!I141="","",IF(VALUE(LEFT(Protokoll_2p!I141,FIND(":",Protokoll_2p!I141)-1))&gt;VALUE(RIGHT(Protokoll_2p!I141,LEN(Protokoll_2p!I141)-FIND(":",Protokoll_2p!I141))),1,0))</f>
        <v/>
      </c>
      <c r="F175" s="1" t="str">
        <f>IF(Protokoll_2p!J141="","",IF(VALUE(LEFT(Protokoll_2p!J141,FIND(":",Protokoll_2p!J141)-1))&gt;VALUE(RIGHT(Protokoll_2p!J141,LEN(Protokoll_2p!J141)-FIND(":",Protokoll_2p!J141))),1,0))</f>
        <v/>
      </c>
      <c r="G175" s="1" t="str">
        <f t="shared" si="4"/>
        <v/>
      </c>
      <c r="I175" s="1" t="str">
        <f>IF(Protokoll_2p!F141="","",IF(VALUE(LEFT(Protokoll_2p!F141,FIND(":",Protokoll_2p!F141)-1))&gt;VALUE(RIGHT(Protokoll_2p!F141,LEN(Protokoll_2p!F141)-FIND(":",Protokoll_2p!F141))),0,1))</f>
        <v/>
      </c>
      <c r="J175" s="1" t="str">
        <f>IF(Protokoll_2p!G141="","",IF(VALUE(LEFT(Protokoll_2p!G141,FIND(":",Protokoll_2p!G141)-1))&gt;VALUE(RIGHT(Protokoll_2p!G141,LEN(Protokoll_2p!G141)-FIND(":",Protokoll_2p!G141))),0,1))</f>
        <v/>
      </c>
      <c r="K175" s="1" t="str">
        <f>IF(Protokoll_2p!H141="","",IF(VALUE(LEFT(Protokoll_2p!H141,FIND(":",Protokoll_2p!H141)-1))&gt;VALUE(RIGHT(Protokoll_2p!H141,LEN(Protokoll_2p!H141)-FIND(":",Protokoll_2p!H141))),0,1))</f>
        <v/>
      </c>
      <c r="L175" s="1" t="str">
        <f>IF(Protokoll_2p!I141="","",IF(VALUE(LEFT(Protokoll_2p!I141,FIND(":",Protokoll_2p!I141)-1))&gt;VALUE(RIGHT(Protokoll_2p!I141,LEN(Protokoll_2p!I141)-FIND(":",Protokoll_2p!I141))),0,1))</f>
        <v/>
      </c>
      <c r="M175" s="1" t="str">
        <f>IF(Protokoll_2p!J141="","",IF(VALUE(LEFT(Protokoll_2p!J141,FIND(":",Protokoll_2p!J141)-1))&gt;VALUE(RIGHT(Protokoll_2p!J141,LEN(Protokoll_2p!J141)-FIND(":",Protokoll_2p!J141))),0,1))</f>
        <v/>
      </c>
      <c r="N175" s="1" t="str">
        <f t="shared" si="5"/>
        <v/>
      </c>
    </row>
    <row r="176" spans="2:14">
      <c r="B176" s="1" t="str">
        <f>IF(Protokoll_2p!F142="","",IF(VALUE(LEFT(Protokoll_2p!F142,FIND(":",Protokoll_2p!F142)-1))&gt;VALUE(RIGHT(Protokoll_2p!F142,LEN(Protokoll_2p!F142)-FIND(":",Protokoll_2p!F142))),1,0))</f>
        <v/>
      </c>
      <c r="C176" s="1" t="str">
        <f>IF(Protokoll_2p!G142="","",IF(VALUE(LEFT(Protokoll_2p!G142,FIND(":",Protokoll_2p!G142)-1))&gt;VALUE(RIGHT(Protokoll_2p!G142,LEN(Protokoll_2p!G142)-FIND(":",Protokoll_2p!G142))),1,0))</f>
        <v/>
      </c>
      <c r="D176" s="1" t="str">
        <f>IF(Protokoll_2p!H142="","",IF(VALUE(LEFT(Protokoll_2p!H142,FIND(":",Protokoll_2p!H142)-1))&gt;VALUE(RIGHT(Protokoll_2p!H142,LEN(Protokoll_2p!H142)-FIND(":",Protokoll_2p!H142))),1,0))</f>
        <v/>
      </c>
      <c r="E176" s="1" t="str">
        <f>IF(Protokoll_2p!I142="","",IF(VALUE(LEFT(Protokoll_2p!I142,FIND(":",Protokoll_2p!I142)-1))&gt;VALUE(RIGHT(Protokoll_2p!I142,LEN(Protokoll_2p!I142)-FIND(":",Protokoll_2p!I142))),1,0))</f>
        <v/>
      </c>
      <c r="F176" s="1" t="str">
        <f>IF(Protokoll_2p!J142="","",IF(VALUE(LEFT(Protokoll_2p!J142,FIND(":",Protokoll_2p!J142)-1))&gt;VALUE(RIGHT(Protokoll_2p!J142,LEN(Protokoll_2p!J142)-FIND(":",Protokoll_2p!J142))),1,0))</f>
        <v/>
      </c>
      <c r="G176" s="1" t="str">
        <f t="shared" si="4"/>
        <v/>
      </c>
      <c r="I176" s="1" t="str">
        <f>IF(Protokoll_2p!F142="","",IF(VALUE(LEFT(Protokoll_2p!F142,FIND(":",Protokoll_2p!F142)-1))&gt;VALUE(RIGHT(Protokoll_2p!F142,LEN(Protokoll_2p!F142)-FIND(":",Protokoll_2p!F142))),0,1))</f>
        <v/>
      </c>
      <c r="J176" s="1" t="str">
        <f>IF(Protokoll_2p!G142="","",IF(VALUE(LEFT(Protokoll_2p!G142,FIND(":",Protokoll_2p!G142)-1))&gt;VALUE(RIGHT(Protokoll_2p!G142,LEN(Protokoll_2p!G142)-FIND(":",Protokoll_2p!G142))),0,1))</f>
        <v/>
      </c>
      <c r="K176" s="1" t="str">
        <f>IF(Protokoll_2p!H142="","",IF(VALUE(LEFT(Protokoll_2p!H142,FIND(":",Protokoll_2p!H142)-1))&gt;VALUE(RIGHT(Protokoll_2p!H142,LEN(Protokoll_2p!H142)-FIND(":",Protokoll_2p!H142))),0,1))</f>
        <v/>
      </c>
      <c r="L176" s="1" t="str">
        <f>IF(Protokoll_2p!I142="","",IF(VALUE(LEFT(Protokoll_2p!I142,FIND(":",Protokoll_2p!I142)-1))&gt;VALUE(RIGHT(Protokoll_2p!I142,LEN(Protokoll_2p!I142)-FIND(":",Protokoll_2p!I142))),0,1))</f>
        <v/>
      </c>
      <c r="M176" s="1" t="str">
        <f>IF(Protokoll_2p!J142="","",IF(VALUE(LEFT(Protokoll_2p!J142,FIND(":",Protokoll_2p!J142)-1))&gt;VALUE(RIGHT(Protokoll_2p!J142,LEN(Protokoll_2p!J142)-FIND(":",Protokoll_2p!J142))),0,1))</f>
        <v/>
      </c>
      <c r="N176" s="1" t="str">
        <f t="shared" si="5"/>
        <v/>
      </c>
    </row>
    <row r="177" spans="2:14">
      <c r="B177" s="1" t="str">
        <f>IF(Protokoll_2p!F143="","",IF(VALUE(LEFT(Protokoll_2p!F143,FIND(":",Protokoll_2p!F143)-1))&gt;VALUE(RIGHT(Protokoll_2p!F143,LEN(Protokoll_2p!F143)-FIND(":",Protokoll_2p!F143))),1,0))</f>
        <v/>
      </c>
      <c r="C177" s="1" t="str">
        <f>IF(Protokoll_2p!G143="","",IF(VALUE(LEFT(Protokoll_2p!G143,FIND(":",Protokoll_2p!G143)-1))&gt;VALUE(RIGHT(Protokoll_2p!G143,LEN(Protokoll_2p!G143)-FIND(":",Protokoll_2p!G143))),1,0))</f>
        <v/>
      </c>
      <c r="D177" s="1" t="str">
        <f>IF(Protokoll_2p!H143="","",IF(VALUE(LEFT(Protokoll_2p!H143,FIND(":",Protokoll_2p!H143)-1))&gt;VALUE(RIGHT(Protokoll_2p!H143,LEN(Protokoll_2p!H143)-FIND(":",Protokoll_2p!H143))),1,0))</f>
        <v/>
      </c>
      <c r="E177" s="1" t="str">
        <f>IF(Protokoll_2p!I143="","",IF(VALUE(LEFT(Protokoll_2p!I143,FIND(":",Protokoll_2p!I143)-1))&gt;VALUE(RIGHT(Protokoll_2p!I143,LEN(Protokoll_2p!I143)-FIND(":",Protokoll_2p!I143))),1,0))</f>
        <v/>
      </c>
      <c r="F177" s="1" t="str">
        <f>IF(Protokoll_2p!J143="","",IF(VALUE(LEFT(Protokoll_2p!J143,FIND(":",Protokoll_2p!J143)-1))&gt;VALUE(RIGHT(Protokoll_2p!J143,LEN(Protokoll_2p!J143)-FIND(":",Protokoll_2p!J143))),1,0))</f>
        <v/>
      </c>
      <c r="G177" s="1" t="str">
        <f t="shared" si="4"/>
        <v/>
      </c>
      <c r="I177" s="1" t="str">
        <f>IF(Protokoll_2p!F143="","",IF(VALUE(LEFT(Protokoll_2p!F143,FIND(":",Protokoll_2p!F143)-1))&gt;VALUE(RIGHT(Protokoll_2p!F143,LEN(Protokoll_2p!F143)-FIND(":",Protokoll_2p!F143))),0,1))</f>
        <v/>
      </c>
      <c r="J177" s="1" t="str">
        <f>IF(Protokoll_2p!G143="","",IF(VALUE(LEFT(Protokoll_2p!G143,FIND(":",Protokoll_2p!G143)-1))&gt;VALUE(RIGHT(Protokoll_2p!G143,LEN(Protokoll_2p!G143)-FIND(":",Protokoll_2p!G143))),0,1))</f>
        <v/>
      </c>
      <c r="K177" s="1" t="str">
        <f>IF(Protokoll_2p!H143="","",IF(VALUE(LEFT(Protokoll_2p!H143,FIND(":",Protokoll_2p!H143)-1))&gt;VALUE(RIGHT(Protokoll_2p!H143,LEN(Protokoll_2p!H143)-FIND(":",Protokoll_2p!H143))),0,1))</f>
        <v/>
      </c>
      <c r="L177" s="1" t="str">
        <f>IF(Protokoll_2p!I143="","",IF(VALUE(LEFT(Protokoll_2p!I143,FIND(":",Protokoll_2p!I143)-1))&gt;VALUE(RIGHT(Protokoll_2p!I143,LEN(Protokoll_2p!I143)-FIND(":",Protokoll_2p!I143))),0,1))</f>
        <v/>
      </c>
      <c r="M177" s="1" t="str">
        <f>IF(Protokoll_2p!J143="","",IF(VALUE(LEFT(Protokoll_2p!J143,FIND(":",Protokoll_2p!J143)-1))&gt;VALUE(RIGHT(Protokoll_2p!J143,LEN(Protokoll_2p!J143)-FIND(":",Protokoll_2p!J143))),0,1))</f>
        <v/>
      </c>
      <c r="N177" s="1" t="str">
        <f t="shared" si="5"/>
        <v/>
      </c>
    </row>
    <row r="178" spans="2:14">
      <c r="B178" s="1" t="str">
        <f>IF(Protokoll_2p!F144="","",IF(VALUE(LEFT(Protokoll_2p!F144,FIND(":",Protokoll_2p!F144)-1))&gt;VALUE(RIGHT(Protokoll_2p!F144,LEN(Protokoll_2p!F144)-FIND(":",Protokoll_2p!F144))),1,0))</f>
        <v/>
      </c>
      <c r="C178" s="1" t="str">
        <f>IF(Protokoll_2p!G144="","",IF(VALUE(LEFT(Protokoll_2p!G144,FIND(":",Protokoll_2p!G144)-1))&gt;VALUE(RIGHT(Protokoll_2p!G144,LEN(Protokoll_2p!G144)-FIND(":",Protokoll_2p!G144))),1,0))</f>
        <v/>
      </c>
      <c r="D178" s="1" t="str">
        <f>IF(Protokoll_2p!H144="","",IF(VALUE(LEFT(Protokoll_2p!H144,FIND(":",Protokoll_2p!H144)-1))&gt;VALUE(RIGHT(Protokoll_2p!H144,LEN(Protokoll_2p!H144)-FIND(":",Protokoll_2p!H144))),1,0))</f>
        <v/>
      </c>
      <c r="E178" s="1" t="str">
        <f>IF(Protokoll_2p!I144="","",IF(VALUE(LEFT(Protokoll_2p!I144,FIND(":",Protokoll_2p!I144)-1))&gt;VALUE(RIGHT(Protokoll_2p!I144,LEN(Protokoll_2p!I144)-FIND(":",Protokoll_2p!I144))),1,0))</f>
        <v/>
      </c>
      <c r="F178" s="1" t="str">
        <f>IF(Protokoll_2p!J144="","",IF(VALUE(LEFT(Protokoll_2p!J144,FIND(":",Protokoll_2p!J144)-1))&gt;VALUE(RIGHT(Protokoll_2p!J144,LEN(Protokoll_2p!J144)-FIND(":",Protokoll_2p!J144))),1,0))</f>
        <v/>
      </c>
      <c r="G178" s="1" t="str">
        <f t="shared" si="4"/>
        <v/>
      </c>
      <c r="I178" s="1" t="str">
        <f>IF(Protokoll_2p!F144="","",IF(VALUE(LEFT(Protokoll_2p!F144,FIND(":",Protokoll_2p!F144)-1))&gt;VALUE(RIGHT(Protokoll_2p!F144,LEN(Protokoll_2p!F144)-FIND(":",Protokoll_2p!F144))),0,1))</f>
        <v/>
      </c>
      <c r="J178" s="1" t="str">
        <f>IF(Protokoll_2p!G144="","",IF(VALUE(LEFT(Protokoll_2p!G144,FIND(":",Protokoll_2p!G144)-1))&gt;VALUE(RIGHT(Protokoll_2p!G144,LEN(Protokoll_2p!G144)-FIND(":",Protokoll_2p!G144))),0,1))</f>
        <v/>
      </c>
      <c r="K178" s="1" t="str">
        <f>IF(Protokoll_2p!H144="","",IF(VALUE(LEFT(Protokoll_2p!H144,FIND(":",Protokoll_2p!H144)-1))&gt;VALUE(RIGHT(Protokoll_2p!H144,LEN(Protokoll_2p!H144)-FIND(":",Protokoll_2p!H144))),0,1))</f>
        <v/>
      </c>
      <c r="L178" s="1" t="str">
        <f>IF(Protokoll_2p!I144="","",IF(VALUE(LEFT(Protokoll_2p!I144,FIND(":",Protokoll_2p!I144)-1))&gt;VALUE(RIGHT(Protokoll_2p!I144,LEN(Protokoll_2p!I144)-FIND(":",Protokoll_2p!I144))),0,1))</f>
        <v/>
      </c>
      <c r="M178" s="1" t="str">
        <f>IF(Protokoll_2p!J144="","",IF(VALUE(LEFT(Protokoll_2p!J144,FIND(":",Protokoll_2p!J144)-1))&gt;VALUE(RIGHT(Protokoll_2p!J144,LEN(Protokoll_2p!J144)-FIND(":",Protokoll_2p!J144))),0,1))</f>
        <v/>
      </c>
      <c r="N178" s="1" t="str">
        <f t="shared" si="5"/>
        <v/>
      </c>
    </row>
    <row r="179" spans="2:14">
      <c r="B179" s="1" t="str">
        <f>IF(Protokoll_2p!F145="","",IF(VALUE(LEFT(Protokoll_2p!F145,FIND(":",Protokoll_2p!F145)-1))&gt;VALUE(RIGHT(Protokoll_2p!F145,LEN(Protokoll_2p!F145)-FIND(":",Protokoll_2p!F145))),1,0))</f>
        <v/>
      </c>
      <c r="C179" s="1" t="str">
        <f>IF(Protokoll_2p!G145="","",IF(VALUE(LEFT(Protokoll_2p!G145,FIND(":",Protokoll_2p!G145)-1))&gt;VALUE(RIGHT(Protokoll_2p!G145,LEN(Protokoll_2p!G145)-FIND(":",Protokoll_2p!G145))),1,0))</f>
        <v/>
      </c>
      <c r="D179" s="1" t="str">
        <f>IF(Protokoll_2p!H145="","",IF(VALUE(LEFT(Protokoll_2p!H145,FIND(":",Protokoll_2p!H145)-1))&gt;VALUE(RIGHT(Protokoll_2p!H145,LEN(Protokoll_2p!H145)-FIND(":",Protokoll_2p!H145))),1,0))</f>
        <v/>
      </c>
      <c r="E179" s="1" t="str">
        <f>IF(Protokoll_2p!I145="","",IF(VALUE(LEFT(Protokoll_2p!I145,FIND(":",Protokoll_2p!I145)-1))&gt;VALUE(RIGHT(Protokoll_2p!I145,LEN(Protokoll_2p!I145)-FIND(":",Protokoll_2p!I145))),1,0))</f>
        <v/>
      </c>
      <c r="F179" s="1" t="str">
        <f>IF(Protokoll_2p!J145="","",IF(VALUE(LEFT(Protokoll_2p!J145,FIND(":",Protokoll_2p!J145)-1))&gt;VALUE(RIGHT(Protokoll_2p!J145,LEN(Protokoll_2p!J145)-FIND(":",Protokoll_2p!J145))),1,0))</f>
        <v/>
      </c>
      <c r="G179" s="1" t="str">
        <f t="shared" si="4"/>
        <v/>
      </c>
      <c r="I179" s="1" t="str">
        <f>IF(Protokoll_2p!F145="","",IF(VALUE(LEFT(Protokoll_2p!F145,FIND(":",Protokoll_2p!F145)-1))&gt;VALUE(RIGHT(Protokoll_2p!F145,LEN(Protokoll_2p!F145)-FIND(":",Protokoll_2p!F145))),0,1))</f>
        <v/>
      </c>
      <c r="J179" s="1" t="str">
        <f>IF(Protokoll_2p!G145="","",IF(VALUE(LEFT(Protokoll_2p!G145,FIND(":",Protokoll_2p!G145)-1))&gt;VALUE(RIGHT(Protokoll_2p!G145,LEN(Protokoll_2p!G145)-FIND(":",Protokoll_2p!G145))),0,1))</f>
        <v/>
      </c>
      <c r="K179" s="1" t="str">
        <f>IF(Protokoll_2p!H145="","",IF(VALUE(LEFT(Protokoll_2p!H145,FIND(":",Protokoll_2p!H145)-1))&gt;VALUE(RIGHT(Protokoll_2p!H145,LEN(Protokoll_2p!H145)-FIND(":",Protokoll_2p!H145))),0,1))</f>
        <v/>
      </c>
      <c r="L179" s="1" t="str">
        <f>IF(Protokoll_2p!I145="","",IF(VALUE(LEFT(Protokoll_2p!I145,FIND(":",Protokoll_2p!I145)-1))&gt;VALUE(RIGHT(Protokoll_2p!I145,LEN(Protokoll_2p!I145)-FIND(":",Protokoll_2p!I145))),0,1))</f>
        <v/>
      </c>
      <c r="M179" s="1" t="str">
        <f>IF(Protokoll_2p!J145="","",IF(VALUE(LEFT(Protokoll_2p!J145,FIND(":",Protokoll_2p!J145)-1))&gt;VALUE(RIGHT(Protokoll_2p!J145,LEN(Protokoll_2p!J145)-FIND(":",Protokoll_2p!J145))),0,1))</f>
        <v/>
      </c>
      <c r="N179" s="1" t="str">
        <f t="shared" si="5"/>
        <v/>
      </c>
    </row>
    <row r="180" spans="2:14">
      <c r="B180" s="1" t="str">
        <f>IF(Protokoll_2p!F146="","",IF(VALUE(LEFT(Protokoll_2p!F146,FIND(":",Protokoll_2p!F146)-1))&gt;VALUE(RIGHT(Protokoll_2p!F146,LEN(Protokoll_2p!F146)-FIND(":",Protokoll_2p!F146))),1,0))</f>
        <v/>
      </c>
      <c r="C180" s="1" t="str">
        <f>IF(Protokoll_2p!G146="","",IF(VALUE(LEFT(Protokoll_2p!G146,FIND(":",Protokoll_2p!G146)-1))&gt;VALUE(RIGHT(Protokoll_2p!G146,LEN(Protokoll_2p!G146)-FIND(":",Protokoll_2p!G146))),1,0))</f>
        <v/>
      </c>
      <c r="D180" s="1" t="str">
        <f>IF(Protokoll_2p!H146="","",IF(VALUE(LEFT(Protokoll_2p!H146,FIND(":",Protokoll_2p!H146)-1))&gt;VALUE(RIGHT(Protokoll_2p!H146,LEN(Protokoll_2p!H146)-FIND(":",Protokoll_2p!H146))),1,0))</f>
        <v/>
      </c>
      <c r="E180" s="1" t="str">
        <f>IF(Protokoll_2p!I146="","",IF(VALUE(LEFT(Protokoll_2p!I146,FIND(":",Protokoll_2p!I146)-1))&gt;VALUE(RIGHT(Protokoll_2p!I146,LEN(Protokoll_2p!I146)-FIND(":",Protokoll_2p!I146))),1,0))</f>
        <v/>
      </c>
      <c r="F180" s="1" t="str">
        <f>IF(Protokoll_2p!J146="","",IF(VALUE(LEFT(Protokoll_2p!J146,FIND(":",Protokoll_2p!J146)-1))&gt;VALUE(RIGHT(Protokoll_2p!J146,LEN(Protokoll_2p!J146)-FIND(":",Protokoll_2p!J146))),1,0))</f>
        <v/>
      </c>
      <c r="G180" s="1" t="str">
        <f t="shared" si="4"/>
        <v/>
      </c>
      <c r="I180" s="1" t="str">
        <f>IF(Protokoll_2p!F146="","",IF(VALUE(LEFT(Protokoll_2p!F146,FIND(":",Protokoll_2p!F146)-1))&gt;VALUE(RIGHT(Protokoll_2p!F146,LEN(Protokoll_2p!F146)-FIND(":",Protokoll_2p!F146))),0,1))</f>
        <v/>
      </c>
      <c r="J180" s="1" t="str">
        <f>IF(Protokoll_2p!G146="","",IF(VALUE(LEFT(Protokoll_2p!G146,FIND(":",Protokoll_2p!G146)-1))&gt;VALUE(RIGHT(Protokoll_2p!G146,LEN(Protokoll_2p!G146)-FIND(":",Protokoll_2p!G146))),0,1))</f>
        <v/>
      </c>
      <c r="K180" s="1" t="str">
        <f>IF(Protokoll_2p!H146="","",IF(VALUE(LEFT(Protokoll_2p!H146,FIND(":",Protokoll_2p!H146)-1))&gt;VALUE(RIGHT(Protokoll_2p!H146,LEN(Protokoll_2p!H146)-FIND(":",Protokoll_2p!H146))),0,1))</f>
        <v/>
      </c>
      <c r="L180" s="1" t="str">
        <f>IF(Protokoll_2p!I146="","",IF(VALUE(LEFT(Protokoll_2p!I146,FIND(":",Protokoll_2p!I146)-1))&gt;VALUE(RIGHT(Protokoll_2p!I146,LEN(Protokoll_2p!I146)-FIND(":",Protokoll_2p!I146))),0,1))</f>
        <v/>
      </c>
      <c r="M180" s="1" t="str">
        <f>IF(Protokoll_2p!J146="","",IF(VALUE(LEFT(Protokoll_2p!J146,FIND(":",Protokoll_2p!J146)-1))&gt;VALUE(RIGHT(Protokoll_2p!J146,LEN(Protokoll_2p!J146)-FIND(":",Protokoll_2p!J146))),0,1))</f>
        <v/>
      </c>
      <c r="N180" s="1" t="str">
        <f t="shared" si="5"/>
        <v/>
      </c>
    </row>
    <row r="181" spans="2:14">
      <c r="B181" s="1" t="str">
        <f>IF(Protokoll_2p!F147="","",IF(VALUE(LEFT(Protokoll_2p!F147,FIND(":",Protokoll_2p!F147)-1))&gt;VALUE(RIGHT(Protokoll_2p!F147,LEN(Protokoll_2p!F147)-FIND(":",Protokoll_2p!F147))),1,0))</f>
        <v/>
      </c>
      <c r="C181" s="1" t="str">
        <f>IF(Protokoll_2p!G147="","",IF(VALUE(LEFT(Protokoll_2p!G147,FIND(":",Protokoll_2p!G147)-1))&gt;VALUE(RIGHT(Protokoll_2p!G147,LEN(Protokoll_2p!G147)-FIND(":",Protokoll_2p!G147))),1,0))</f>
        <v/>
      </c>
      <c r="D181" s="1" t="str">
        <f>IF(Protokoll_2p!H147="","",IF(VALUE(LEFT(Protokoll_2p!H147,FIND(":",Protokoll_2p!H147)-1))&gt;VALUE(RIGHT(Protokoll_2p!H147,LEN(Protokoll_2p!H147)-FIND(":",Protokoll_2p!H147))),1,0))</f>
        <v/>
      </c>
      <c r="E181" s="1" t="str">
        <f>IF(Protokoll_2p!I147="","",IF(VALUE(LEFT(Protokoll_2p!I147,FIND(":",Protokoll_2p!I147)-1))&gt;VALUE(RIGHT(Protokoll_2p!I147,LEN(Protokoll_2p!I147)-FIND(":",Protokoll_2p!I147))),1,0))</f>
        <v/>
      </c>
      <c r="F181" s="1" t="str">
        <f>IF(Protokoll_2p!J147="","",IF(VALUE(LEFT(Protokoll_2p!J147,FIND(":",Protokoll_2p!J147)-1))&gt;VALUE(RIGHT(Protokoll_2p!J147,LEN(Protokoll_2p!J147)-FIND(":",Protokoll_2p!J147))),1,0))</f>
        <v/>
      </c>
      <c r="G181" s="1" t="str">
        <f t="shared" si="4"/>
        <v/>
      </c>
      <c r="I181" s="1" t="str">
        <f>IF(Protokoll_2p!F147="","",IF(VALUE(LEFT(Protokoll_2p!F147,FIND(":",Protokoll_2p!F147)-1))&gt;VALUE(RIGHT(Protokoll_2p!F147,LEN(Protokoll_2p!F147)-FIND(":",Protokoll_2p!F147))),0,1))</f>
        <v/>
      </c>
      <c r="J181" s="1" t="str">
        <f>IF(Protokoll_2p!G147="","",IF(VALUE(LEFT(Protokoll_2p!G147,FIND(":",Protokoll_2p!G147)-1))&gt;VALUE(RIGHT(Protokoll_2p!G147,LEN(Protokoll_2p!G147)-FIND(":",Protokoll_2p!G147))),0,1))</f>
        <v/>
      </c>
      <c r="K181" s="1" t="str">
        <f>IF(Protokoll_2p!H147="","",IF(VALUE(LEFT(Protokoll_2p!H147,FIND(":",Protokoll_2p!H147)-1))&gt;VALUE(RIGHT(Protokoll_2p!H147,LEN(Protokoll_2p!H147)-FIND(":",Protokoll_2p!H147))),0,1))</f>
        <v/>
      </c>
      <c r="L181" s="1" t="str">
        <f>IF(Protokoll_2p!I147="","",IF(VALUE(LEFT(Protokoll_2p!I147,FIND(":",Protokoll_2p!I147)-1))&gt;VALUE(RIGHT(Protokoll_2p!I147,LEN(Protokoll_2p!I147)-FIND(":",Protokoll_2p!I147))),0,1))</f>
        <v/>
      </c>
      <c r="M181" s="1" t="str">
        <f>IF(Protokoll_2p!J147="","",IF(VALUE(LEFT(Protokoll_2p!J147,FIND(":",Protokoll_2p!J147)-1))&gt;VALUE(RIGHT(Protokoll_2p!J147,LEN(Protokoll_2p!J147)-FIND(":",Protokoll_2p!J147))),0,1))</f>
        <v/>
      </c>
      <c r="N181" s="1" t="str">
        <f t="shared" si="5"/>
        <v/>
      </c>
    </row>
    <row r="182" spans="2:14">
      <c r="B182" s="1" t="str">
        <f>IF(Protokoll_2p!F148="","",IF(VALUE(LEFT(Protokoll_2p!F148,FIND(":",Protokoll_2p!F148)-1))&gt;VALUE(RIGHT(Protokoll_2p!F148,LEN(Protokoll_2p!F148)-FIND(":",Protokoll_2p!F148))),1,0))</f>
        <v/>
      </c>
      <c r="C182" s="1" t="str">
        <f>IF(Protokoll_2p!G148="","",IF(VALUE(LEFT(Protokoll_2p!G148,FIND(":",Protokoll_2p!G148)-1))&gt;VALUE(RIGHT(Protokoll_2p!G148,LEN(Protokoll_2p!G148)-FIND(":",Protokoll_2p!G148))),1,0))</f>
        <v/>
      </c>
      <c r="D182" s="1" t="str">
        <f>IF(Protokoll_2p!H148="","",IF(VALUE(LEFT(Protokoll_2p!H148,FIND(":",Protokoll_2p!H148)-1))&gt;VALUE(RIGHT(Protokoll_2p!H148,LEN(Protokoll_2p!H148)-FIND(":",Protokoll_2p!H148))),1,0))</f>
        <v/>
      </c>
      <c r="E182" s="1" t="str">
        <f>IF(Protokoll_2p!I148="","",IF(VALUE(LEFT(Protokoll_2p!I148,FIND(":",Protokoll_2p!I148)-1))&gt;VALUE(RIGHT(Protokoll_2p!I148,LEN(Protokoll_2p!I148)-FIND(":",Protokoll_2p!I148))),1,0))</f>
        <v/>
      </c>
      <c r="F182" s="1" t="str">
        <f>IF(Protokoll_2p!J148="","",IF(VALUE(LEFT(Protokoll_2p!J148,FIND(":",Protokoll_2p!J148)-1))&gt;VALUE(RIGHT(Protokoll_2p!J148,LEN(Protokoll_2p!J148)-FIND(":",Protokoll_2p!J148))),1,0))</f>
        <v/>
      </c>
      <c r="G182" s="1" t="str">
        <f t="shared" si="4"/>
        <v/>
      </c>
      <c r="I182" s="1" t="str">
        <f>IF(Protokoll_2p!F148="","",IF(VALUE(LEFT(Protokoll_2p!F148,FIND(":",Protokoll_2p!F148)-1))&gt;VALUE(RIGHT(Protokoll_2p!F148,LEN(Protokoll_2p!F148)-FIND(":",Protokoll_2p!F148))),0,1))</f>
        <v/>
      </c>
      <c r="J182" s="1" t="str">
        <f>IF(Protokoll_2p!G148="","",IF(VALUE(LEFT(Protokoll_2p!G148,FIND(":",Protokoll_2p!G148)-1))&gt;VALUE(RIGHT(Protokoll_2p!G148,LEN(Protokoll_2p!G148)-FIND(":",Protokoll_2p!G148))),0,1))</f>
        <v/>
      </c>
      <c r="K182" s="1" t="str">
        <f>IF(Protokoll_2p!H148="","",IF(VALUE(LEFT(Protokoll_2p!H148,FIND(":",Protokoll_2p!H148)-1))&gt;VALUE(RIGHT(Protokoll_2p!H148,LEN(Protokoll_2p!H148)-FIND(":",Protokoll_2p!H148))),0,1))</f>
        <v/>
      </c>
      <c r="L182" s="1" t="str">
        <f>IF(Protokoll_2p!I148="","",IF(VALUE(LEFT(Protokoll_2p!I148,FIND(":",Protokoll_2p!I148)-1))&gt;VALUE(RIGHT(Protokoll_2p!I148,LEN(Protokoll_2p!I148)-FIND(":",Protokoll_2p!I148))),0,1))</f>
        <v/>
      </c>
      <c r="M182" s="1" t="str">
        <f>IF(Protokoll_2p!J148="","",IF(VALUE(LEFT(Protokoll_2p!J148,FIND(":",Protokoll_2p!J148)-1))&gt;VALUE(RIGHT(Protokoll_2p!J148,LEN(Protokoll_2p!J148)-FIND(":",Protokoll_2p!J148))),0,1))</f>
        <v/>
      </c>
      <c r="N182" s="1" t="str">
        <f t="shared" si="5"/>
        <v/>
      </c>
    </row>
    <row r="183" spans="2:14">
      <c r="B183" s="1" t="str">
        <f>IF(Protokoll_2p!F149="","",IF(VALUE(LEFT(Protokoll_2p!F149,FIND(":",Protokoll_2p!F149)-1))&gt;VALUE(RIGHT(Protokoll_2p!F149,LEN(Protokoll_2p!F149)-FIND(":",Protokoll_2p!F149))),1,0))</f>
        <v/>
      </c>
      <c r="C183" s="1" t="str">
        <f>IF(Protokoll_2p!G149="","",IF(VALUE(LEFT(Protokoll_2p!G149,FIND(":",Protokoll_2p!G149)-1))&gt;VALUE(RIGHT(Protokoll_2p!G149,LEN(Protokoll_2p!G149)-FIND(":",Protokoll_2p!G149))),1,0))</f>
        <v/>
      </c>
      <c r="D183" s="1" t="str">
        <f>IF(Protokoll_2p!H149="","",IF(VALUE(LEFT(Protokoll_2p!H149,FIND(":",Protokoll_2p!H149)-1))&gt;VALUE(RIGHT(Protokoll_2p!H149,LEN(Protokoll_2p!H149)-FIND(":",Protokoll_2p!H149))),1,0))</f>
        <v/>
      </c>
      <c r="E183" s="1" t="str">
        <f>IF(Protokoll_2p!I149="","",IF(VALUE(LEFT(Protokoll_2p!I149,FIND(":",Protokoll_2p!I149)-1))&gt;VALUE(RIGHT(Protokoll_2p!I149,LEN(Protokoll_2p!I149)-FIND(":",Protokoll_2p!I149))),1,0))</f>
        <v/>
      </c>
      <c r="F183" s="1" t="str">
        <f>IF(Protokoll_2p!J149="","",IF(VALUE(LEFT(Protokoll_2p!J149,FIND(":",Protokoll_2p!J149)-1))&gt;VALUE(RIGHT(Protokoll_2p!J149,LEN(Protokoll_2p!J149)-FIND(":",Protokoll_2p!J149))),1,0))</f>
        <v/>
      </c>
      <c r="G183" s="1" t="str">
        <f t="shared" si="4"/>
        <v/>
      </c>
      <c r="I183" s="1" t="str">
        <f>IF(Protokoll_2p!F149="","",IF(VALUE(LEFT(Protokoll_2p!F149,FIND(":",Protokoll_2p!F149)-1))&gt;VALUE(RIGHT(Protokoll_2p!F149,LEN(Protokoll_2p!F149)-FIND(":",Protokoll_2p!F149))),0,1))</f>
        <v/>
      </c>
      <c r="J183" s="1" t="str">
        <f>IF(Protokoll_2p!G149="","",IF(VALUE(LEFT(Protokoll_2p!G149,FIND(":",Protokoll_2p!G149)-1))&gt;VALUE(RIGHT(Protokoll_2p!G149,LEN(Protokoll_2p!G149)-FIND(":",Protokoll_2p!G149))),0,1))</f>
        <v/>
      </c>
      <c r="K183" s="1" t="str">
        <f>IF(Protokoll_2p!H149="","",IF(VALUE(LEFT(Protokoll_2p!H149,FIND(":",Protokoll_2p!H149)-1))&gt;VALUE(RIGHT(Protokoll_2p!H149,LEN(Protokoll_2p!H149)-FIND(":",Protokoll_2p!H149))),0,1))</f>
        <v/>
      </c>
      <c r="L183" s="1" t="str">
        <f>IF(Protokoll_2p!I149="","",IF(VALUE(LEFT(Protokoll_2p!I149,FIND(":",Protokoll_2p!I149)-1))&gt;VALUE(RIGHT(Protokoll_2p!I149,LEN(Protokoll_2p!I149)-FIND(":",Protokoll_2p!I149))),0,1))</f>
        <v/>
      </c>
      <c r="M183" s="1" t="str">
        <f>IF(Protokoll_2p!J149="","",IF(VALUE(LEFT(Protokoll_2p!J149,FIND(":",Protokoll_2p!J149)-1))&gt;VALUE(RIGHT(Protokoll_2p!J149,LEN(Protokoll_2p!J149)-FIND(":",Protokoll_2p!J149))),0,1))</f>
        <v/>
      </c>
      <c r="N183" s="1" t="str">
        <f t="shared" si="5"/>
        <v/>
      </c>
    </row>
    <row r="184" spans="2:14">
      <c r="B184" s="1" t="str">
        <f>IF(Protokoll_2p!F150="","",IF(VALUE(LEFT(Protokoll_2p!F150,FIND(":",Protokoll_2p!F150)-1))&gt;VALUE(RIGHT(Protokoll_2p!F150,LEN(Protokoll_2p!F150)-FIND(":",Protokoll_2p!F150))),1,0))</f>
        <v/>
      </c>
      <c r="C184" s="1" t="str">
        <f>IF(Protokoll_2p!G150="","",IF(VALUE(LEFT(Protokoll_2p!G150,FIND(":",Protokoll_2p!G150)-1))&gt;VALUE(RIGHT(Protokoll_2p!G150,LEN(Protokoll_2p!G150)-FIND(":",Protokoll_2p!G150))),1,0))</f>
        <v/>
      </c>
      <c r="D184" s="1" t="str">
        <f>IF(Protokoll_2p!H150="","",IF(VALUE(LEFT(Protokoll_2p!H150,FIND(":",Protokoll_2p!H150)-1))&gt;VALUE(RIGHT(Protokoll_2p!H150,LEN(Protokoll_2p!H150)-FIND(":",Protokoll_2p!H150))),1,0))</f>
        <v/>
      </c>
      <c r="E184" s="1" t="str">
        <f>IF(Protokoll_2p!I150="","",IF(VALUE(LEFT(Protokoll_2p!I150,FIND(":",Protokoll_2p!I150)-1))&gt;VALUE(RIGHT(Protokoll_2p!I150,LEN(Protokoll_2p!I150)-FIND(":",Protokoll_2p!I150))),1,0))</f>
        <v/>
      </c>
      <c r="F184" s="1" t="str">
        <f>IF(Protokoll_2p!J150="","",IF(VALUE(LEFT(Protokoll_2p!J150,FIND(":",Protokoll_2p!J150)-1))&gt;VALUE(RIGHT(Protokoll_2p!J150,LEN(Protokoll_2p!J150)-FIND(":",Protokoll_2p!J150))),1,0))</f>
        <v/>
      </c>
      <c r="G184" s="1" t="str">
        <f t="shared" si="4"/>
        <v/>
      </c>
      <c r="I184" s="1" t="str">
        <f>IF(Protokoll_2p!F150="","",IF(VALUE(LEFT(Protokoll_2p!F150,FIND(":",Protokoll_2p!F150)-1))&gt;VALUE(RIGHT(Protokoll_2p!F150,LEN(Protokoll_2p!F150)-FIND(":",Protokoll_2p!F150))),0,1))</f>
        <v/>
      </c>
      <c r="J184" s="1" t="str">
        <f>IF(Protokoll_2p!G150="","",IF(VALUE(LEFT(Protokoll_2p!G150,FIND(":",Protokoll_2p!G150)-1))&gt;VALUE(RIGHT(Protokoll_2p!G150,LEN(Protokoll_2p!G150)-FIND(":",Protokoll_2p!G150))),0,1))</f>
        <v/>
      </c>
      <c r="K184" s="1" t="str">
        <f>IF(Protokoll_2p!H150="","",IF(VALUE(LEFT(Protokoll_2p!H150,FIND(":",Protokoll_2p!H150)-1))&gt;VALUE(RIGHT(Protokoll_2p!H150,LEN(Protokoll_2p!H150)-FIND(":",Protokoll_2p!H150))),0,1))</f>
        <v/>
      </c>
      <c r="L184" s="1" t="str">
        <f>IF(Protokoll_2p!I150="","",IF(VALUE(LEFT(Protokoll_2p!I150,FIND(":",Protokoll_2p!I150)-1))&gt;VALUE(RIGHT(Protokoll_2p!I150,LEN(Protokoll_2p!I150)-FIND(":",Protokoll_2p!I150))),0,1))</f>
        <v/>
      </c>
      <c r="M184" s="1" t="str">
        <f>IF(Protokoll_2p!J150="","",IF(VALUE(LEFT(Protokoll_2p!J150,FIND(":",Protokoll_2p!J150)-1))&gt;VALUE(RIGHT(Protokoll_2p!J150,LEN(Protokoll_2p!J150)-FIND(":",Protokoll_2p!J150))),0,1))</f>
        <v/>
      </c>
      <c r="N184" s="1" t="str">
        <f t="shared" si="5"/>
        <v/>
      </c>
    </row>
    <row r="185" spans="2:14">
      <c r="B185" s="1" t="str">
        <f>IF(Protokoll_2p!F151="","",IF(VALUE(LEFT(Protokoll_2p!F151,FIND(":",Protokoll_2p!F151)-1))&gt;VALUE(RIGHT(Protokoll_2p!F151,LEN(Protokoll_2p!F151)-FIND(":",Protokoll_2p!F151))),1,0))</f>
        <v/>
      </c>
      <c r="C185" s="1" t="str">
        <f>IF(Protokoll_2p!G151="","",IF(VALUE(LEFT(Protokoll_2p!G151,FIND(":",Protokoll_2p!G151)-1))&gt;VALUE(RIGHT(Protokoll_2p!G151,LEN(Protokoll_2p!G151)-FIND(":",Protokoll_2p!G151))),1,0))</f>
        <v/>
      </c>
      <c r="D185" s="1" t="str">
        <f>IF(Protokoll_2p!H151="","",IF(VALUE(LEFT(Protokoll_2p!H151,FIND(":",Protokoll_2p!H151)-1))&gt;VALUE(RIGHT(Protokoll_2p!H151,LEN(Protokoll_2p!H151)-FIND(":",Protokoll_2p!H151))),1,0))</f>
        <v/>
      </c>
      <c r="E185" s="1" t="str">
        <f>IF(Protokoll_2p!I151="","",IF(VALUE(LEFT(Protokoll_2p!I151,FIND(":",Protokoll_2p!I151)-1))&gt;VALUE(RIGHT(Protokoll_2p!I151,LEN(Protokoll_2p!I151)-FIND(":",Protokoll_2p!I151))),1,0))</f>
        <v/>
      </c>
      <c r="F185" s="1" t="str">
        <f>IF(Protokoll_2p!J151="","",IF(VALUE(LEFT(Protokoll_2p!J151,FIND(":",Protokoll_2p!J151)-1))&gt;VALUE(RIGHT(Protokoll_2p!J151,LEN(Protokoll_2p!J151)-FIND(":",Protokoll_2p!J151))),1,0))</f>
        <v/>
      </c>
      <c r="G185" s="1" t="str">
        <f t="shared" si="4"/>
        <v/>
      </c>
      <c r="I185" s="1" t="str">
        <f>IF(Protokoll_2p!F151="","",IF(VALUE(LEFT(Protokoll_2p!F151,FIND(":",Protokoll_2p!F151)-1))&gt;VALUE(RIGHT(Protokoll_2p!F151,LEN(Protokoll_2p!F151)-FIND(":",Protokoll_2p!F151))),0,1))</f>
        <v/>
      </c>
      <c r="J185" s="1" t="str">
        <f>IF(Protokoll_2p!G151="","",IF(VALUE(LEFT(Protokoll_2p!G151,FIND(":",Protokoll_2p!G151)-1))&gt;VALUE(RIGHT(Protokoll_2p!G151,LEN(Protokoll_2p!G151)-FIND(":",Protokoll_2p!G151))),0,1))</f>
        <v/>
      </c>
      <c r="K185" s="1" t="str">
        <f>IF(Protokoll_2p!H151="","",IF(VALUE(LEFT(Protokoll_2p!H151,FIND(":",Protokoll_2p!H151)-1))&gt;VALUE(RIGHT(Protokoll_2p!H151,LEN(Protokoll_2p!H151)-FIND(":",Protokoll_2p!H151))),0,1))</f>
        <v/>
      </c>
      <c r="L185" s="1" t="str">
        <f>IF(Protokoll_2p!I151="","",IF(VALUE(LEFT(Protokoll_2p!I151,FIND(":",Protokoll_2p!I151)-1))&gt;VALUE(RIGHT(Protokoll_2p!I151,LEN(Protokoll_2p!I151)-FIND(":",Protokoll_2p!I151))),0,1))</f>
        <v/>
      </c>
      <c r="M185" s="1" t="str">
        <f>IF(Protokoll_2p!J151="","",IF(VALUE(LEFT(Protokoll_2p!J151,FIND(":",Protokoll_2p!J151)-1))&gt;VALUE(RIGHT(Protokoll_2p!J151,LEN(Protokoll_2p!J151)-FIND(":",Protokoll_2p!J151))),0,1))</f>
        <v/>
      </c>
      <c r="N185" s="1" t="str">
        <f t="shared" si="5"/>
        <v/>
      </c>
    </row>
    <row r="186" spans="2:14">
      <c r="B186" s="1" t="str">
        <f>IF(Protokoll_2p!F152="","",IF(VALUE(LEFT(Protokoll_2p!F152,FIND(":",Protokoll_2p!F152)-1))&gt;VALUE(RIGHT(Protokoll_2p!F152,LEN(Protokoll_2p!F152)-FIND(":",Protokoll_2p!F152))),1,0))</f>
        <v/>
      </c>
      <c r="C186" s="1" t="str">
        <f>IF(Protokoll_2p!G152="","",IF(VALUE(LEFT(Protokoll_2p!G152,FIND(":",Protokoll_2p!G152)-1))&gt;VALUE(RIGHT(Protokoll_2p!G152,LEN(Protokoll_2p!G152)-FIND(":",Protokoll_2p!G152))),1,0))</f>
        <v/>
      </c>
      <c r="D186" s="1" t="str">
        <f>IF(Protokoll_2p!H152="","",IF(VALUE(LEFT(Protokoll_2p!H152,FIND(":",Protokoll_2p!H152)-1))&gt;VALUE(RIGHT(Protokoll_2p!H152,LEN(Protokoll_2p!H152)-FIND(":",Protokoll_2p!H152))),1,0))</f>
        <v/>
      </c>
      <c r="E186" s="1" t="str">
        <f>IF(Protokoll_2p!I152="","",IF(VALUE(LEFT(Protokoll_2p!I152,FIND(":",Protokoll_2p!I152)-1))&gt;VALUE(RIGHT(Protokoll_2p!I152,LEN(Protokoll_2p!I152)-FIND(":",Protokoll_2p!I152))),1,0))</f>
        <v/>
      </c>
      <c r="F186" s="1" t="str">
        <f>IF(Protokoll_2p!J152="","",IF(VALUE(LEFT(Protokoll_2p!J152,FIND(":",Protokoll_2p!J152)-1))&gt;VALUE(RIGHT(Protokoll_2p!J152,LEN(Protokoll_2p!J152)-FIND(":",Protokoll_2p!J152))),1,0))</f>
        <v/>
      </c>
      <c r="G186" s="1" t="str">
        <f t="shared" si="4"/>
        <v/>
      </c>
      <c r="I186" s="1" t="str">
        <f>IF(Protokoll_2p!F152="","",IF(VALUE(LEFT(Protokoll_2p!F152,FIND(":",Protokoll_2p!F152)-1))&gt;VALUE(RIGHT(Protokoll_2p!F152,LEN(Protokoll_2p!F152)-FIND(":",Protokoll_2p!F152))),0,1))</f>
        <v/>
      </c>
      <c r="J186" s="1" t="str">
        <f>IF(Protokoll_2p!G152="","",IF(VALUE(LEFT(Protokoll_2p!G152,FIND(":",Protokoll_2p!G152)-1))&gt;VALUE(RIGHT(Protokoll_2p!G152,LEN(Protokoll_2p!G152)-FIND(":",Protokoll_2p!G152))),0,1))</f>
        <v/>
      </c>
      <c r="K186" s="1" t="str">
        <f>IF(Protokoll_2p!H152="","",IF(VALUE(LEFT(Protokoll_2p!H152,FIND(":",Protokoll_2p!H152)-1))&gt;VALUE(RIGHT(Protokoll_2p!H152,LEN(Protokoll_2p!H152)-FIND(":",Protokoll_2p!H152))),0,1))</f>
        <v/>
      </c>
      <c r="L186" s="1" t="str">
        <f>IF(Protokoll_2p!I152="","",IF(VALUE(LEFT(Protokoll_2p!I152,FIND(":",Protokoll_2p!I152)-1))&gt;VALUE(RIGHT(Protokoll_2p!I152,LEN(Protokoll_2p!I152)-FIND(":",Protokoll_2p!I152))),0,1))</f>
        <v/>
      </c>
      <c r="M186" s="1" t="str">
        <f>IF(Protokoll_2p!J152="","",IF(VALUE(LEFT(Protokoll_2p!J152,FIND(":",Protokoll_2p!J152)-1))&gt;VALUE(RIGHT(Protokoll_2p!J152,LEN(Protokoll_2p!J152)-FIND(":",Protokoll_2p!J152))),0,1))</f>
        <v/>
      </c>
      <c r="N186" s="1" t="str">
        <f t="shared" si="5"/>
        <v/>
      </c>
    </row>
    <row r="187" spans="2:14">
      <c r="B187" s="1" t="str">
        <f>IF(Protokoll_2p!F153="","",IF(VALUE(LEFT(Protokoll_2p!F153,FIND(":",Protokoll_2p!F153)-1))&gt;VALUE(RIGHT(Protokoll_2p!F153,LEN(Protokoll_2p!F153)-FIND(":",Protokoll_2p!F153))),1,0))</f>
        <v/>
      </c>
      <c r="C187" s="1" t="str">
        <f>IF(Protokoll_2p!G153="","",IF(VALUE(LEFT(Protokoll_2p!G153,FIND(":",Protokoll_2p!G153)-1))&gt;VALUE(RIGHT(Protokoll_2p!G153,LEN(Protokoll_2p!G153)-FIND(":",Protokoll_2p!G153))),1,0))</f>
        <v/>
      </c>
      <c r="D187" s="1" t="str">
        <f>IF(Protokoll_2p!H153="","",IF(VALUE(LEFT(Protokoll_2p!H153,FIND(":",Protokoll_2p!H153)-1))&gt;VALUE(RIGHT(Protokoll_2p!H153,LEN(Protokoll_2p!H153)-FIND(":",Protokoll_2p!H153))),1,0))</f>
        <v/>
      </c>
      <c r="E187" s="1" t="str">
        <f>IF(Protokoll_2p!I153="","",IF(VALUE(LEFT(Protokoll_2p!I153,FIND(":",Protokoll_2p!I153)-1))&gt;VALUE(RIGHT(Protokoll_2p!I153,LEN(Protokoll_2p!I153)-FIND(":",Protokoll_2p!I153))),1,0))</f>
        <v/>
      </c>
      <c r="F187" s="1" t="str">
        <f>IF(Protokoll_2p!J153="","",IF(VALUE(LEFT(Protokoll_2p!J153,FIND(":",Protokoll_2p!J153)-1))&gt;VALUE(RIGHT(Protokoll_2p!J153,LEN(Protokoll_2p!J153)-FIND(":",Protokoll_2p!J153))),1,0))</f>
        <v/>
      </c>
      <c r="G187" s="1" t="str">
        <f t="shared" si="4"/>
        <v/>
      </c>
      <c r="I187" s="1" t="str">
        <f>IF(Protokoll_2p!F153="","",IF(VALUE(LEFT(Protokoll_2p!F153,FIND(":",Protokoll_2p!F153)-1))&gt;VALUE(RIGHT(Protokoll_2p!F153,LEN(Protokoll_2p!F153)-FIND(":",Protokoll_2p!F153))),0,1))</f>
        <v/>
      </c>
      <c r="J187" s="1" t="str">
        <f>IF(Protokoll_2p!G153="","",IF(VALUE(LEFT(Protokoll_2p!G153,FIND(":",Protokoll_2p!G153)-1))&gt;VALUE(RIGHT(Protokoll_2p!G153,LEN(Protokoll_2p!G153)-FIND(":",Protokoll_2p!G153))),0,1))</f>
        <v/>
      </c>
      <c r="K187" s="1" t="str">
        <f>IF(Protokoll_2p!H153="","",IF(VALUE(LEFT(Protokoll_2p!H153,FIND(":",Protokoll_2p!H153)-1))&gt;VALUE(RIGHT(Protokoll_2p!H153,LEN(Protokoll_2p!H153)-FIND(":",Protokoll_2p!H153))),0,1))</f>
        <v/>
      </c>
      <c r="L187" s="1" t="str">
        <f>IF(Protokoll_2p!I153="","",IF(VALUE(LEFT(Protokoll_2p!I153,FIND(":",Protokoll_2p!I153)-1))&gt;VALUE(RIGHT(Protokoll_2p!I153,LEN(Protokoll_2p!I153)-FIND(":",Protokoll_2p!I153))),0,1))</f>
        <v/>
      </c>
      <c r="M187" s="1" t="str">
        <f>IF(Protokoll_2p!J153="","",IF(VALUE(LEFT(Protokoll_2p!J153,FIND(":",Protokoll_2p!J153)-1))&gt;VALUE(RIGHT(Protokoll_2p!J153,LEN(Protokoll_2p!J153)-FIND(":",Protokoll_2p!J153))),0,1))</f>
        <v/>
      </c>
      <c r="N187" s="1" t="str">
        <f t="shared" si="5"/>
        <v/>
      </c>
    </row>
    <row r="188" spans="2:14">
      <c r="B188" s="1" t="str">
        <f>IF(Protokoll_2p!F154="","",IF(VALUE(LEFT(Protokoll_2p!F154,FIND(":",Protokoll_2p!F154)-1))&gt;VALUE(RIGHT(Protokoll_2p!F154,LEN(Protokoll_2p!F154)-FIND(":",Protokoll_2p!F154))),1,0))</f>
        <v/>
      </c>
      <c r="C188" s="1" t="str">
        <f>IF(Protokoll_2p!G154="","",IF(VALUE(LEFT(Protokoll_2p!G154,FIND(":",Protokoll_2p!G154)-1))&gt;VALUE(RIGHT(Protokoll_2p!G154,LEN(Protokoll_2p!G154)-FIND(":",Protokoll_2p!G154))),1,0))</f>
        <v/>
      </c>
      <c r="D188" s="1" t="str">
        <f>IF(Protokoll_2p!H154="","",IF(VALUE(LEFT(Protokoll_2p!H154,FIND(":",Protokoll_2p!H154)-1))&gt;VALUE(RIGHT(Protokoll_2p!H154,LEN(Protokoll_2p!H154)-FIND(":",Protokoll_2p!H154))),1,0))</f>
        <v/>
      </c>
      <c r="E188" s="1" t="str">
        <f>IF(Protokoll_2p!I154="","",IF(VALUE(LEFT(Protokoll_2p!I154,FIND(":",Protokoll_2p!I154)-1))&gt;VALUE(RIGHT(Protokoll_2p!I154,LEN(Protokoll_2p!I154)-FIND(":",Protokoll_2p!I154))),1,0))</f>
        <v/>
      </c>
      <c r="F188" s="1" t="str">
        <f>IF(Protokoll_2p!J154="","",IF(VALUE(LEFT(Protokoll_2p!J154,FIND(":",Protokoll_2p!J154)-1))&gt;VALUE(RIGHT(Protokoll_2p!J154,LEN(Protokoll_2p!J154)-FIND(":",Protokoll_2p!J154))),1,0))</f>
        <v/>
      </c>
      <c r="G188" s="1" t="str">
        <f t="shared" si="4"/>
        <v/>
      </c>
      <c r="I188" s="1" t="str">
        <f>IF(Protokoll_2p!F154="","",IF(VALUE(LEFT(Protokoll_2p!F154,FIND(":",Protokoll_2p!F154)-1))&gt;VALUE(RIGHT(Protokoll_2p!F154,LEN(Protokoll_2p!F154)-FIND(":",Protokoll_2p!F154))),0,1))</f>
        <v/>
      </c>
      <c r="J188" s="1" t="str">
        <f>IF(Protokoll_2p!G154="","",IF(VALUE(LEFT(Protokoll_2p!G154,FIND(":",Protokoll_2p!G154)-1))&gt;VALUE(RIGHT(Protokoll_2p!G154,LEN(Protokoll_2p!G154)-FIND(":",Protokoll_2p!G154))),0,1))</f>
        <v/>
      </c>
      <c r="K188" s="1" t="str">
        <f>IF(Protokoll_2p!H154="","",IF(VALUE(LEFT(Protokoll_2p!H154,FIND(":",Protokoll_2p!H154)-1))&gt;VALUE(RIGHT(Protokoll_2p!H154,LEN(Protokoll_2p!H154)-FIND(":",Protokoll_2p!H154))),0,1))</f>
        <v/>
      </c>
      <c r="L188" s="1" t="str">
        <f>IF(Protokoll_2p!I154="","",IF(VALUE(LEFT(Protokoll_2p!I154,FIND(":",Protokoll_2p!I154)-1))&gt;VALUE(RIGHT(Protokoll_2p!I154,LEN(Protokoll_2p!I154)-FIND(":",Protokoll_2p!I154))),0,1))</f>
        <v/>
      </c>
      <c r="M188" s="1" t="str">
        <f>IF(Protokoll_2p!J154="","",IF(VALUE(LEFT(Protokoll_2p!J154,FIND(":",Protokoll_2p!J154)-1))&gt;VALUE(RIGHT(Protokoll_2p!J154,LEN(Protokoll_2p!J154)-FIND(":",Protokoll_2p!J154))),0,1))</f>
        <v/>
      </c>
      <c r="N188" s="1" t="str">
        <f t="shared" si="5"/>
        <v/>
      </c>
    </row>
    <row r="189" spans="2:14">
      <c r="B189" s="1" t="str">
        <f>IF(Protokoll_2p!F155="","",IF(VALUE(LEFT(Protokoll_2p!F155,FIND(":",Protokoll_2p!F155)-1))&gt;VALUE(RIGHT(Protokoll_2p!F155,LEN(Protokoll_2p!F155)-FIND(":",Protokoll_2p!F155))),1,0))</f>
        <v/>
      </c>
      <c r="C189" s="1" t="str">
        <f>IF(Protokoll_2p!G155="","",IF(VALUE(LEFT(Protokoll_2p!G155,FIND(":",Protokoll_2p!G155)-1))&gt;VALUE(RIGHT(Protokoll_2p!G155,LEN(Protokoll_2p!G155)-FIND(":",Protokoll_2p!G155))),1,0))</f>
        <v/>
      </c>
      <c r="D189" s="1" t="str">
        <f>IF(Protokoll_2p!H155="","",IF(VALUE(LEFT(Protokoll_2p!H155,FIND(":",Protokoll_2p!H155)-1))&gt;VALUE(RIGHT(Protokoll_2p!H155,LEN(Protokoll_2p!H155)-FIND(":",Protokoll_2p!H155))),1,0))</f>
        <v/>
      </c>
      <c r="E189" s="1" t="str">
        <f>IF(Protokoll_2p!I155="","",IF(VALUE(LEFT(Protokoll_2p!I155,FIND(":",Protokoll_2p!I155)-1))&gt;VALUE(RIGHT(Protokoll_2p!I155,LEN(Protokoll_2p!I155)-FIND(":",Protokoll_2p!I155))),1,0))</f>
        <v/>
      </c>
      <c r="F189" s="1" t="str">
        <f>IF(Protokoll_2p!J155="","",IF(VALUE(LEFT(Protokoll_2p!J155,FIND(":",Protokoll_2p!J155)-1))&gt;VALUE(RIGHT(Protokoll_2p!J155,LEN(Protokoll_2p!J155)-FIND(":",Protokoll_2p!J155))),1,0))</f>
        <v/>
      </c>
      <c r="G189" s="1" t="str">
        <f t="shared" si="4"/>
        <v/>
      </c>
      <c r="I189" s="1" t="str">
        <f>IF(Protokoll_2p!F155="","",IF(VALUE(LEFT(Protokoll_2p!F155,FIND(":",Protokoll_2p!F155)-1))&gt;VALUE(RIGHT(Protokoll_2p!F155,LEN(Protokoll_2p!F155)-FIND(":",Protokoll_2p!F155))),0,1))</f>
        <v/>
      </c>
      <c r="J189" s="1" t="str">
        <f>IF(Protokoll_2p!G155="","",IF(VALUE(LEFT(Protokoll_2p!G155,FIND(":",Protokoll_2p!G155)-1))&gt;VALUE(RIGHT(Protokoll_2p!G155,LEN(Protokoll_2p!G155)-FIND(":",Protokoll_2p!G155))),0,1))</f>
        <v/>
      </c>
      <c r="K189" s="1" t="str">
        <f>IF(Protokoll_2p!H155="","",IF(VALUE(LEFT(Protokoll_2p!H155,FIND(":",Protokoll_2p!H155)-1))&gt;VALUE(RIGHT(Protokoll_2p!H155,LEN(Protokoll_2p!H155)-FIND(":",Protokoll_2p!H155))),0,1))</f>
        <v/>
      </c>
      <c r="L189" s="1" t="str">
        <f>IF(Protokoll_2p!I155="","",IF(VALUE(LEFT(Protokoll_2p!I155,FIND(":",Protokoll_2p!I155)-1))&gt;VALUE(RIGHT(Protokoll_2p!I155,LEN(Protokoll_2p!I155)-FIND(":",Protokoll_2p!I155))),0,1))</f>
        <v/>
      </c>
      <c r="M189" s="1" t="str">
        <f>IF(Protokoll_2p!J155="","",IF(VALUE(LEFT(Protokoll_2p!J155,FIND(":",Protokoll_2p!J155)-1))&gt;VALUE(RIGHT(Protokoll_2p!J155,LEN(Protokoll_2p!J155)-FIND(":",Protokoll_2p!J155))),0,1))</f>
        <v/>
      </c>
      <c r="N189" s="1" t="str">
        <f t="shared" si="5"/>
        <v/>
      </c>
    </row>
    <row r="190" spans="2:14">
      <c r="B190" s="1" t="str">
        <f>IF(Protokoll_2p!F156="","",IF(VALUE(LEFT(Protokoll_2p!F156,FIND(":",Protokoll_2p!F156)-1))&gt;VALUE(RIGHT(Protokoll_2p!F156,LEN(Protokoll_2p!F156)-FIND(":",Protokoll_2p!F156))),1,0))</f>
        <v/>
      </c>
      <c r="C190" s="1" t="str">
        <f>IF(Protokoll_2p!G156="","",IF(VALUE(LEFT(Protokoll_2p!G156,FIND(":",Protokoll_2p!G156)-1))&gt;VALUE(RIGHT(Protokoll_2p!G156,LEN(Protokoll_2p!G156)-FIND(":",Protokoll_2p!G156))),1,0))</f>
        <v/>
      </c>
      <c r="D190" s="1" t="str">
        <f>IF(Protokoll_2p!H156="","",IF(VALUE(LEFT(Protokoll_2p!H156,FIND(":",Protokoll_2p!H156)-1))&gt;VALUE(RIGHT(Protokoll_2p!H156,LEN(Protokoll_2p!H156)-FIND(":",Protokoll_2p!H156))),1,0))</f>
        <v/>
      </c>
      <c r="E190" s="1" t="str">
        <f>IF(Protokoll_2p!I156="","",IF(VALUE(LEFT(Protokoll_2p!I156,FIND(":",Protokoll_2p!I156)-1))&gt;VALUE(RIGHT(Protokoll_2p!I156,LEN(Protokoll_2p!I156)-FIND(":",Protokoll_2p!I156))),1,0))</f>
        <v/>
      </c>
      <c r="F190" s="1" t="str">
        <f>IF(Protokoll_2p!J156="","",IF(VALUE(LEFT(Protokoll_2p!J156,FIND(":",Protokoll_2p!J156)-1))&gt;VALUE(RIGHT(Protokoll_2p!J156,LEN(Protokoll_2p!J156)-FIND(":",Protokoll_2p!J156))),1,0))</f>
        <v/>
      </c>
      <c r="G190" s="1" t="str">
        <f t="shared" si="4"/>
        <v/>
      </c>
      <c r="I190" s="1" t="str">
        <f>IF(Protokoll_2p!F156="","",IF(VALUE(LEFT(Protokoll_2p!F156,FIND(":",Protokoll_2p!F156)-1))&gt;VALUE(RIGHT(Protokoll_2p!F156,LEN(Protokoll_2p!F156)-FIND(":",Protokoll_2p!F156))),0,1))</f>
        <v/>
      </c>
      <c r="J190" s="1" t="str">
        <f>IF(Protokoll_2p!G156="","",IF(VALUE(LEFT(Protokoll_2p!G156,FIND(":",Protokoll_2p!G156)-1))&gt;VALUE(RIGHT(Protokoll_2p!G156,LEN(Protokoll_2p!G156)-FIND(":",Protokoll_2p!G156))),0,1))</f>
        <v/>
      </c>
      <c r="K190" s="1" t="str">
        <f>IF(Protokoll_2p!H156="","",IF(VALUE(LEFT(Protokoll_2p!H156,FIND(":",Protokoll_2p!H156)-1))&gt;VALUE(RIGHT(Protokoll_2p!H156,LEN(Protokoll_2p!H156)-FIND(":",Protokoll_2p!H156))),0,1))</f>
        <v/>
      </c>
      <c r="L190" s="1" t="str">
        <f>IF(Protokoll_2p!I156="","",IF(VALUE(LEFT(Protokoll_2p!I156,FIND(":",Protokoll_2p!I156)-1))&gt;VALUE(RIGHT(Protokoll_2p!I156,LEN(Protokoll_2p!I156)-FIND(":",Protokoll_2p!I156))),0,1))</f>
        <v/>
      </c>
      <c r="M190" s="1" t="str">
        <f>IF(Protokoll_2p!J156="","",IF(VALUE(LEFT(Protokoll_2p!J156,FIND(":",Protokoll_2p!J156)-1))&gt;VALUE(RIGHT(Protokoll_2p!J156,LEN(Protokoll_2p!J156)-FIND(":",Protokoll_2p!J156))),0,1))</f>
        <v/>
      </c>
      <c r="N190" s="1" t="str">
        <f t="shared" si="5"/>
        <v/>
      </c>
    </row>
    <row r="191" spans="2:14">
      <c r="B191" s="1" t="str">
        <f>IF(Protokoll_2p!F157="","",IF(VALUE(LEFT(Protokoll_2p!F157,FIND(":",Protokoll_2p!F157)-1))&gt;VALUE(RIGHT(Protokoll_2p!F157,LEN(Protokoll_2p!F157)-FIND(":",Protokoll_2p!F157))),1,0))</f>
        <v/>
      </c>
      <c r="C191" s="1" t="str">
        <f>IF(Protokoll_2p!G157="","",IF(VALUE(LEFT(Protokoll_2p!G157,FIND(":",Protokoll_2p!G157)-1))&gt;VALUE(RIGHT(Protokoll_2p!G157,LEN(Protokoll_2p!G157)-FIND(":",Protokoll_2p!G157))),1,0))</f>
        <v/>
      </c>
      <c r="D191" s="1" t="str">
        <f>IF(Protokoll_2p!H157="","",IF(VALUE(LEFT(Protokoll_2p!H157,FIND(":",Protokoll_2p!H157)-1))&gt;VALUE(RIGHT(Protokoll_2p!H157,LEN(Protokoll_2p!H157)-FIND(":",Protokoll_2p!H157))),1,0))</f>
        <v/>
      </c>
      <c r="E191" s="1" t="str">
        <f>IF(Protokoll_2p!I157="","",IF(VALUE(LEFT(Protokoll_2p!I157,FIND(":",Protokoll_2p!I157)-1))&gt;VALUE(RIGHT(Protokoll_2p!I157,LEN(Protokoll_2p!I157)-FIND(":",Protokoll_2p!I157))),1,0))</f>
        <v/>
      </c>
      <c r="F191" s="1" t="str">
        <f>IF(Protokoll_2p!J157="","",IF(VALUE(LEFT(Protokoll_2p!J157,FIND(":",Protokoll_2p!J157)-1))&gt;VALUE(RIGHT(Protokoll_2p!J157,LEN(Protokoll_2p!J157)-FIND(":",Protokoll_2p!J157))),1,0))</f>
        <v/>
      </c>
      <c r="G191" s="1" t="str">
        <f t="shared" si="4"/>
        <v/>
      </c>
      <c r="I191" s="1" t="str">
        <f>IF(Protokoll_2p!F157="","",IF(VALUE(LEFT(Protokoll_2p!F157,FIND(":",Protokoll_2p!F157)-1))&gt;VALUE(RIGHT(Protokoll_2p!F157,LEN(Protokoll_2p!F157)-FIND(":",Protokoll_2p!F157))),0,1))</f>
        <v/>
      </c>
      <c r="J191" s="1" t="str">
        <f>IF(Protokoll_2p!G157="","",IF(VALUE(LEFT(Protokoll_2p!G157,FIND(":",Protokoll_2p!G157)-1))&gt;VALUE(RIGHT(Protokoll_2p!G157,LEN(Protokoll_2p!G157)-FIND(":",Protokoll_2p!G157))),0,1))</f>
        <v/>
      </c>
      <c r="K191" s="1" t="str">
        <f>IF(Protokoll_2p!H157="","",IF(VALUE(LEFT(Protokoll_2p!H157,FIND(":",Protokoll_2p!H157)-1))&gt;VALUE(RIGHT(Protokoll_2p!H157,LEN(Protokoll_2p!H157)-FIND(":",Protokoll_2p!H157))),0,1))</f>
        <v/>
      </c>
      <c r="L191" s="1" t="str">
        <f>IF(Protokoll_2p!I157="","",IF(VALUE(LEFT(Protokoll_2p!I157,FIND(":",Protokoll_2p!I157)-1))&gt;VALUE(RIGHT(Protokoll_2p!I157,LEN(Protokoll_2p!I157)-FIND(":",Protokoll_2p!I157))),0,1))</f>
        <v/>
      </c>
      <c r="M191" s="1" t="str">
        <f>IF(Protokoll_2p!J157="","",IF(VALUE(LEFT(Protokoll_2p!J157,FIND(":",Protokoll_2p!J157)-1))&gt;VALUE(RIGHT(Protokoll_2p!J157,LEN(Protokoll_2p!J157)-FIND(":",Protokoll_2p!J157))),0,1))</f>
        <v/>
      </c>
      <c r="N191" s="1" t="str">
        <f t="shared" si="5"/>
        <v/>
      </c>
    </row>
    <row r="192" spans="2:14">
      <c r="B192" s="1" t="str">
        <f>IF(Protokoll_2p!F158="","",IF(VALUE(LEFT(Protokoll_2p!F158,FIND(":",Protokoll_2p!F158)-1))&gt;VALUE(RIGHT(Protokoll_2p!F158,LEN(Protokoll_2p!F158)-FIND(":",Protokoll_2p!F158))),1,0))</f>
        <v/>
      </c>
      <c r="C192" s="1" t="str">
        <f>IF(Protokoll_2p!G158="","",IF(VALUE(LEFT(Protokoll_2p!G158,FIND(":",Protokoll_2p!G158)-1))&gt;VALUE(RIGHT(Protokoll_2p!G158,LEN(Protokoll_2p!G158)-FIND(":",Protokoll_2p!G158))),1,0))</f>
        <v/>
      </c>
      <c r="D192" s="1" t="str">
        <f>IF(Protokoll_2p!H158="","",IF(VALUE(LEFT(Protokoll_2p!H158,FIND(":",Protokoll_2p!H158)-1))&gt;VALUE(RIGHT(Protokoll_2p!H158,LEN(Protokoll_2p!H158)-FIND(":",Protokoll_2p!H158))),1,0))</f>
        <v/>
      </c>
      <c r="E192" s="1" t="str">
        <f>IF(Protokoll_2p!I158="","",IF(VALUE(LEFT(Protokoll_2p!I158,FIND(":",Protokoll_2p!I158)-1))&gt;VALUE(RIGHT(Protokoll_2p!I158,LEN(Protokoll_2p!I158)-FIND(":",Protokoll_2p!I158))),1,0))</f>
        <v/>
      </c>
      <c r="F192" s="1" t="str">
        <f>IF(Protokoll_2p!J158="","",IF(VALUE(LEFT(Protokoll_2p!J158,FIND(":",Protokoll_2p!J158)-1))&gt;VALUE(RIGHT(Protokoll_2p!J158,LEN(Protokoll_2p!J158)-FIND(":",Protokoll_2p!J158))),1,0))</f>
        <v/>
      </c>
      <c r="G192" s="1" t="str">
        <f t="shared" si="4"/>
        <v/>
      </c>
      <c r="I192" s="1" t="str">
        <f>IF(Protokoll_2p!F158="","",IF(VALUE(LEFT(Protokoll_2p!F158,FIND(":",Protokoll_2p!F158)-1))&gt;VALUE(RIGHT(Protokoll_2p!F158,LEN(Protokoll_2p!F158)-FIND(":",Protokoll_2p!F158))),0,1))</f>
        <v/>
      </c>
      <c r="J192" s="1" t="str">
        <f>IF(Protokoll_2p!G158="","",IF(VALUE(LEFT(Protokoll_2p!G158,FIND(":",Protokoll_2p!G158)-1))&gt;VALUE(RIGHT(Protokoll_2p!G158,LEN(Protokoll_2p!G158)-FIND(":",Protokoll_2p!G158))),0,1))</f>
        <v/>
      </c>
      <c r="K192" s="1" t="str">
        <f>IF(Protokoll_2p!H158="","",IF(VALUE(LEFT(Protokoll_2p!H158,FIND(":",Protokoll_2p!H158)-1))&gt;VALUE(RIGHT(Protokoll_2p!H158,LEN(Protokoll_2p!H158)-FIND(":",Protokoll_2p!H158))),0,1))</f>
        <v/>
      </c>
      <c r="L192" s="1" t="str">
        <f>IF(Protokoll_2p!I158="","",IF(VALUE(LEFT(Protokoll_2p!I158,FIND(":",Protokoll_2p!I158)-1))&gt;VALUE(RIGHT(Protokoll_2p!I158,LEN(Protokoll_2p!I158)-FIND(":",Protokoll_2p!I158))),0,1))</f>
        <v/>
      </c>
      <c r="M192" s="1" t="str">
        <f>IF(Protokoll_2p!J158="","",IF(VALUE(LEFT(Protokoll_2p!J158,FIND(":",Protokoll_2p!J158)-1))&gt;VALUE(RIGHT(Protokoll_2p!J158,LEN(Protokoll_2p!J158)-FIND(":",Protokoll_2p!J158))),0,1))</f>
        <v/>
      </c>
      <c r="N192" s="1" t="str">
        <f t="shared" si="5"/>
        <v/>
      </c>
    </row>
    <row r="193" spans="2:14">
      <c r="B193" s="1" t="str">
        <f>IF(Protokoll_2p!F159="","",IF(VALUE(LEFT(Protokoll_2p!F159,FIND(":",Protokoll_2p!F159)-1))&gt;VALUE(RIGHT(Protokoll_2p!F159,LEN(Protokoll_2p!F159)-FIND(":",Protokoll_2p!F159))),1,0))</f>
        <v/>
      </c>
      <c r="C193" s="1" t="str">
        <f>IF(Protokoll_2p!G159="","",IF(VALUE(LEFT(Protokoll_2p!G159,FIND(":",Protokoll_2p!G159)-1))&gt;VALUE(RIGHT(Protokoll_2p!G159,LEN(Protokoll_2p!G159)-FIND(":",Protokoll_2p!G159))),1,0))</f>
        <v/>
      </c>
      <c r="D193" s="1" t="str">
        <f>IF(Protokoll_2p!H159="","",IF(VALUE(LEFT(Protokoll_2p!H159,FIND(":",Protokoll_2p!H159)-1))&gt;VALUE(RIGHT(Protokoll_2p!H159,LEN(Protokoll_2p!H159)-FIND(":",Protokoll_2p!H159))),1,0))</f>
        <v/>
      </c>
      <c r="E193" s="1" t="str">
        <f>IF(Protokoll_2p!I159="","",IF(VALUE(LEFT(Protokoll_2p!I159,FIND(":",Protokoll_2p!I159)-1))&gt;VALUE(RIGHT(Protokoll_2p!I159,LEN(Protokoll_2p!I159)-FIND(":",Protokoll_2p!I159))),1,0))</f>
        <v/>
      </c>
      <c r="F193" s="1" t="str">
        <f>IF(Protokoll_2p!J159="","",IF(VALUE(LEFT(Protokoll_2p!J159,FIND(":",Protokoll_2p!J159)-1))&gt;VALUE(RIGHT(Protokoll_2p!J159,LEN(Protokoll_2p!J159)-FIND(":",Protokoll_2p!J159))),1,0))</f>
        <v/>
      </c>
      <c r="G193" s="1" t="str">
        <f t="shared" si="4"/>
        <v/>
      </c>
      <c r="I193" s="1" t="str">
        <f>IF(Protokoll_2p!F159="","",IF(VALUE(LEFT(Protokoll_2p!F159,FIND(":",Protokoll_2p!F159)-1))&gt;VALUE(RIGHT(Protokoll_2p!F159,LEN(Protokoll_2p!F159)-FIND(":",Protokoll_2p!F159))),0,1))</f>
        <v/>
      </c>
      <c r="J193" s="1" t="str">
        <f>IF(Protokoll_2p!G159="","",IF(VALUE(LEFT(Protokoll_2p!G159,FIND(":",Protokoll_2p!G159)-1))&gt;VALUE(RIGHT(Protokoll_2p!G159,LEN(Protokoll_2p!G159)-FIND(":",Protokoll_2p!G159))),0,1))</f>
        <v/>
      </c>
      <c r="K193" s="1" t="str">
        <f>IF(Protokoll_2p!H159="","",IF(VALUE(LEFT(Protokoll_2p!H159,FIND(":",Protokoll_2p!H159)-1))&gt;VALUE(RIGHT(Protokoll_2p!H159,LEN(Protokoll_2p!H159)-FIND(":",Protokoll_2p!H159))),0,1))</f>
        <v/>
      </c>
      <c r="L193" s="1" t="str">
        <f>IF(Protokoll_2p!I159="","",IF(VALUE(LEFT(Protokoll_2p!I159,FIND(":",Protokoll_2p!I159)-1))&gt;VALUE(RIGHT(Protokoll_2p!I159,LEN(Protokoll_2p!I159)-FIND(":",Protokoll_2p!I159))),0,1))</f>
        <v/>
      </c>
      <c r="M193" s="1" t="str">
        <f>IF(Protokoll_2p!J159="","",IF(VALUE(LEFT(Protokoll_2p!J159,FIND(":",Protokoll_2p!J159)-1))&gt;VALUE(RIGHT(Protokoll_2p!J159,LEN(Protokoll_2p!J159)-FIND(":",Protokoll_2p!J159))),0,1))</f>
        <v/>
      </c>
      <c r="N193" s="1" t="str">
        <f t="shared" si="5"/>
        <v/>
      </c>
    </row>
    <row r="194" spans="2:14">
      <c r="B194" s="1" t="str">
        <f>IF(Protokoll_2p!F160="","",IF(VALUE(LEFT(Protokoll_2p!F160,FIND(":",Protokoll_2p!F160)-1))&gt;VALUE(RIGHT(Protokoll_2p!F160,LEN(Protokoll_2p!F160)-FIND(":",Protokoll_2p!F160))),1,0))</f>
        <v/>
      </c>
      <c r="C194" s="1" t="str">
        <f>IF(Protokoll_2p!G160="","",IF(VALUE(LEFT(Protokoll_2p!G160,FIND(":",Protokoll_2p!G160)-1))&gt;VALUE(RIGHT(Protokoll_2p!G160,LEN(Protokoll_2p!G160)-FIND(":",Protokoll_2p!G160))),1,0))</f>
        <v/>
      </c>
      <c r="D194" s="1" t="str">
        <f>IF(Protokoll_2p!H160="","",IF(VALUE(LEFT(Protokoll_2p!H160,FIND(":",Protokoll_2p!H160)-1))&gt;VALUE(RIGHT(Protokoll_2p!H160,LEN(Protokoll_2p!H160)-FIND(":",Protokoll_2p!H160))),1,0))</f>
        <v/>
      </c>
      <c r="E194" s="1" t="str">
        <f>IF(Protokoll_2p!I160="","",IF(VALUE(LEFT(Protokoll_2p!I160,FIND(":",Protokoll_2p!I160)-1))&gt;VALUE(RIGHT(Protokoll_2p!I160,LEN(Protokoll_2p!I160)-FIND(":",Protokoll_2p!I160))),1,0))</f>
        <v/>
      </c>
      <c r="F194" s="1" t="str">
        <f>IF(Protokoll_2p!J160="","",IF(VALUE(LEFT(Protokoll_2p!J160,FIND(":",Protokoll_2p!J160)-1))&gt;VALUE(RIGHT(Protokoll_2p!J160,LEN(Protokoll_2p!J160)-FIND(":",Protokoll_2p!J160))),1,0))</f>
        <v/>
      </c>
      <c r="G194" s="1" t="str">
        <f t="shared" si="4"/>
        <v/>
      </c>
      <c r="I194" s="1" t="str">
        <f>IF(Protokoll_2p!F160="","",IF(VALUE(LEFT(Protokoll_2p!F160,FIND(":",Protokoll_2p!F160)-1))&gt;VALUE(RIGHT(Protokoll_2p!F160,LEN(Protokoll_2p!F160)-FIND(":",Protokoll_2p!F160))),0,1))</f>
        <v/>
      </c>
      <c r="J194" s="1" t="str">
        <f>IF(Protokoll_2p!G160="","",IF(VALUE(LEFT(Protokoll_2p!G160,FIND(":",Protokoll_2p!G160)-1))&gt;VALUE(RIGHT(Protokoll_2p!G160,LEN(Protokoll_2p!G160)-FIND(":",Protokoll_2p!G160))),0,1))</f>
        <v/>
      </c>
      <c r="K194" s="1" t="str">
        <f>IF(Protokoll_2p!H160="","",IF(VALUE(LEFT(Protokoll_2p!H160,FIND(":",Protokoll_2p!H160)-1))&gt;VALUE(RIGHT(Protokoll_2p!H160,LEN(Protokoll_2p!H160)-FIND(":",Protokoll_2p!H160))),0,1))</f>
        <v/>
      </c>
      <c r="L194" s="1" t="str">
        <f>IF(Protokoll_2p!I160="","",IF(VALUE(LEFT(Protokoll_2p!I160,FIND(":",Protokoll_2p!I160)-1))&gt;VALUE(RIGHT(Protokoll_2p!I160,LEN(Protokoll_2p!I160)-FIND(":",Protokoll_2p!I160))),0,1))</f>
        <v/>
      </c>
      <c r="M194" s="1" t="str">
        <f>IF(Protokoll_2p!J160="","",IF(VALUE(LEFT(Protokoll_2p!J160,FIND(":",Protokoll_2p!J160)-1))&gt;VALUE(RIGHT(Protokoll_2p!J160,LEN(Protokoll_2p!J160)-FIND(":",Protokoll_2p!J160))),0,1))</f>
        <v/>
      </c>
      <c r="N194" s="1" t="str">
        <f t="shared" si="5"/>
        <v/>
      </c>
    </row>
    <row r="195" spans="2:14">
      <c r="B195" s="1" t="str">
        <f>IF(Protokoll_2p!F161="","",IF(VALUE(LEFT(Protokoll_2p!F161,FIND(":",Protokoll_2p!F161)-1))&gt;VALUE(RIGHT(Protokoll_2p!F161,LEN(Protokoll_2p!F161)-FIND(":",Protokoll_2p!F161))),1,0))</f>
        <v/>
      </c>
      <c r="C195" s="1" t="str">
        <f>IF(Protokoll_2p!G161="","",IF(VALUE(LEFT(Protokoll_2p!G161,FIND(":",Protokoll_2p!G161)-1))&gt;VALUE(RIGHT(Protokoll_2p!G161,LEN(Protokoll_2p!G161)-FIND(":",Protokoll_2p!G161))),1,0))</f>
        <v/>
      </c>
      <c r="D195" s="1" t="str">
        <f>IF(Protokoll_2p!H161="","",IF(VALUE(LEFT(Protokoll_2p!H161,FIND(":",Protokoll_2p!H161)-1))&gt;VALUE(RIGHT(Protokoll_2p!H161,LEN(Protokoll_2p!H161)-FIND(":",Protokoll_2p!H161))),1,0))</f>
        <v/>
      </c>
      <c r="E195" s="1" t="str">
        <f>IF(Protokoll_2p!I161="","",IF(VALUE(LEFT(Protokoll_2p!I161,FIND(":",Protokoll_2p!I161)-1))&gt;VALUE(RIGHT(Protokoll_2p!I161,LEN(Protokoll_2p!I161)-FIND(":",Protokoll_2p!I161))),1,0))</f>
        <v/>
      </c>
      <c r="F195" s="1" t="str">
        <f>IF(Protokoll_2p!J161="","",IF(VALUE(LEFT(Protokoll_2p!J161,FIND(":",Protokoll_2p!J161)-1))&gt;VALUE(RIGHT(Protokoll_2p!J161,LEN(Protokoll_2p!J161)-FIND(":",Protokoll_2p!J161))),1,0))</f>
        <v/>
      </c>
      <c r="G195" s="1" t="str">
        <f t="shared" ref="G195:G258" si="6">IF(B195="","",SUM(B195:F195))</f>
        <v/>
      </c>
      <c r="I195" s="1" t="str">
        <f>IF(Protokoll_2p!F161="","",IF(VALUE(LEFT(Protokoll_2p!F161,FIND(":",Protokoll_2p!F161)-1))&gt;VALUE(RIGHT(Protokoll_2p!F161,LEN(Protokoll_2p!F161)-FIND(":",Protokoll_2p!F161))),0,1))</f>
        <v/>
      </c>
      <c r="J195" s="1" t="str">
        <f>IF(Protokoll_2p!G161="","",IF(VALUE(LEFT(Protokoll_2p!G161,FIND(":",Protokoll_2p!G161)-1))&gt;VALUE(RIGHT(Protokoll_2p!G161,LEN(Protokoll_2p!G161)-FIND(":",Protokoll_2p!G161))),0,1))</f>
        <v/>
      </c>
      <c r="K195" s="1" t="str">
        <f>IF(Protokoll_2p!H161="","",IF(VALUE(LEFT(Protokoll_2p!H161,FIND(":",Protokoll_2p!H161)-1))&gt;VALUE(RIGHT(Protokoll_2p!H161,LEN(Protokoll_2p!H161)-FIND(":",Protokoll_2p!H161))),0,1))</f>
        <v/>
      </c>
      <c r="L195" s="1" t="str">
        <f>IF(Protokoll_2p!I161="","",IF(VALUE(LEFT(Protokoll_2p!I161,FIND(":",Protokoll_2p!I161)-1))&gt;VALUE(RIGHT(Protokoll_2p!I161,LEN(Protokoll_2p!I161)-FIND(":",Protokoll_2p!I161))),0,1))</f>
        <v/>
      </c>
      <c r="M195" s="1" t="str">
        <f>IF(Protokoll_2p!J161="","",IF(VALUE(LEFT(Protokoll_2p!J161,FIND(":",Protokoll_2p!J161)-1))&gt;VALUE(RIGHT(Protokoll_2p!J161,LEN(Protokoll_2p!J161)-FIND(":",Protokoll_2p!J161))),0,1))</f>
        <v/>
      </c>
      <c r="N195" s="1" t="str">
        <f t="shared" ref="N195:N258" si="7">IF(I195="","",SUM(I195:M195))</f>
        <v/>
      </c>
    </row>
    <row r="196" spans="2:14">
      <c r="B196" s="1" t="str">
        <f>IF(Protokoll_2p!F162="","",IF(VALUE(LEFT(Protokoll_2p!F162,FIND(":",Protokoll_2p!F162)-1))&gt;VALUE(RIGHT(Protokoll_2p!F162,LEN(Protokoll_2p!F162)-FIND(":",Protokoll_2p!F162))),1,0))</f>
        <v/>
      </c>
      <c r="C196" s="1" t="str">
        <f>IF(Protokoll_2p!G162="","",IF(VALUE(LEFT(Protokoll_2p!G162,FIND(":",Protokoll_2p!G162)-1))&gt;VALUE(RIGHT(Protokoll_2p!G162,LEN(Protokoll_2p!G162)-FIND(":",Protokoll_2p!G162))),1,0))</f>
        <v/>
      </c>
      <c r="D196" s="1" t="str">
        <f>IF(Protokoll_2p!H162="","",IF(VALUE(LEFT(Protokoll_2p!H162,FIND(":",Protokoll_2p!H162)-1))&gt;VALUE(RIGHT(Protokoll_2p!H162,LEN(Protokoll_2p!H162)-FIND(":",Protokoll_2p!H162))),1,0))</f>
        <v/>
      </c>
      <c r="E196" s="1" t="str">
        <f>IF(Protokoll_2p!I162="","",IF(VALUE(LEFT(Protokoll_2p!I162,FIND(":",Protokoll_2p!I162)-1))&gt;VALUE(RIGHT(Protokoll_2p!I162,LEN(Protokoll_2p!I162)-FIND(":",Protokoll_2p!I162))),1,0))</f>
        <v/>
      </c>
      <c r="F196" s="1" t="str">
        <f>IF(Protokoll_2p!J162="","",IF(VALUE(LEFT(Protokoll_2p!J162,FIND(":",Protokoll_2p!J162)-1))&gt;VALUE(RIGHT(Protokoll_2p!J162,LEN(Protokoll_2p!J162)-FIND(":",Protokoll_2p!J162))),1,0))</f>
        <v/>
      </c>
      <c r="G196" s="1" t="str">
        <f t="shared" si="6"/>
        <v/>
      </c>
      <c r="I196" s="1" t="str">
        <f>IF(Protokoll_2p!F162="","",IF(VALUE(LEFT(Protokoll_2p!F162,FIND(":",Protokoll_2p!F162)-1))&gt;VALUE(RIGHT(Protokoll_2p!F162,LEN(Protokoll_2p!F162)-FIND(":",Protokoll_2p!F162))),0,1))</f>
        <v/>
      </c>
      <c r="J196" s="1" t="str">
        <f>IF(Protokoll_2p!G162="","",IF(VALUE(LEFT(Protokoll_2p!G162,FIND(":",Protokoll_2p!G162)-1))&gt;VALUE(RIGHT(Protokoll_2p!G162,LEN(Protokoll_2p!G162)-FIND(":",Protokoll_2p!G162))),0,1))</f>
        <v/>
      </c>
      <c r="K196" s="1" t="str">
        <f>IF(Protokoll_2p!H162="","",IF(VALUE(LEFT(Protokoll_2p!H162,FIND(":",Protokoll_2p!H162)-1))&gt;VALUE(RIGHT(Protokoll_2p!H162,LEN(Protokoll_2p!H162)-FIND(":",Protokoll_2p!H162))),0,1))</f>
        <v/>
      </c>
      <c r="L196" s="1" t="str">
        <f>IF(Protokoll_2p!I162="","",IF(VALUE(LEFT(Protokoll_2p!I162,FIND(":",Protokoll_2p!I162)-1))&gt;VALUE(RIGHT(Protokoll_2p!I162,LEN(Protokoll_2p!I162)-FIND(":",Protokoll_2p!I162))),0,1))</f>
        <v/>
      </c>
      <c r="M196" s="1" t="str">
        <f>IF(Protokoll_2p!J162="","",IF(VALUE(LEFT(Protokoll_2p!J162,FIND(":",Protokoll_2p!J162)-1))&gt;VALUE(RIGHT(Protokoll_2p!J162,LEN(Protokoll_2p!J162)-FIND(":",Protokoll_2p!J162))),0,1))</f>
        <v/>
      </c>
      <c r="N196" s="1" t="str">
        <f t="shared" si="7"/>
        <v/>
      </c>
    </row>
    <row r="197" spans="2:14">
      <c r="B197" s="1" t="str">
        <f>IF(Protokoll_2p!F163="","",IF(VALUE(LEFT(Protokoll_2p!F163,FIND(":",Protokoll_2p!F163)-1))&gt;VALUE(RIGHT(Protokoll_2p!F163,LEN(Protokoll_2p!F163)-FIND(":",Protokoll_2p!F163))),1,0))</f>
        <v/>
      </c>
      <c r="C197" s="1" t="str">
        <f>IF(Protokoll_2p!G163="","",IF(VALUE(LEFT(Protokoll_2p!G163,FIND(":",Protokoll_2p!G163)-1))&gt;VALUE(RIGHT(Protokoll_2p!G163,LEN(Protokoll_2p!G163)-FIND(":",Protokoll_2p!G163))),1,0))</f>
        <v/>
      </c>
      <c r="D197" s="1" t="str">
        <f>IF(Protokoll_2p!H163="","",IF(VALUE(LEFT(Protokoll_2p!H163,FIND(":",Protokoll_2p!H163)-1))&gt;VALUE(RIGHT(Protokoll_2p!H163,LEN(Protokoll_2p!H163)-FIND(":",Protokoll_2p!H163))),1,0))</f>
        <v/>
      </c>
      <c r="E197" s="1" t="str">
        <f>IF(Protokoll_2p!I163="","",IF(VALUE(LEFT(Protokoll_2p!I163,FIND(":",Protokoll_2p!I163)-1))&gt;VALUE(RIGHT(Protokoll_2p!I163,LEN(Protokoll_2p!I163)-FIND(":",Protokoll_2p!I163))),1,0))</f>
        <v/>
      </c>
      <c r="F197" s="1" t="str">
        <f>IF(Protokoll_2p!J163="","",IF(VALUE(LEFT(Protokoll_2p!J163,FIND(":",Protokoll_2p!J163)-1))&gt;VALUE(RIGHT(Protokoll_2p!J163,LEN(Protokoll_2p!J163)-FIND(":",Protokoll_2p!J163))),1,0))</f>
        <v/>
      </c>
      <c r="G197" s="1" t="str">
        <f t="shared" si="6"/>
        <v/>
      </c>
      <c r="I197" s="1" t="str">
        <f>IF(Protokoll_2p!F163="","",IF(VALUE(LEFT(Protokoll_2p!F163,FIND(":",Protokoll_2p!F163)-1))&gt;VALUE(RIGHT(Protokoll_2p!F163,LEN(Protokoll_2p!F163)-FIND(":",Protokoll_2p!F163))),0,1))</f>
        <v/>
      </c>
      <c r="J197" s="1" t="str">
        <f>IF(Protokoll_2p!G163="","",IF(VALUE(LEFT(Protokoll_2p!G163,FIND(":",Protokoll_2p!G163)-1))&gt;VALUE(RIGHT(Protokoll_2p!G163,LEN(Protokoll_2p!G163)-FIND(":",Protokoll_2p!G163))),0,1))</f>
        <v/>
      </c>
      <c r="K197" s="1" t="str">
        <f>IF(Protokoll_2p!H163="","",IF(VALUE(LEFT(Protokoll_2p!H163,FIND(":",Protokoll_2p!H163)-1))&gt;VALUE(RIGHT(Protokoll_2p!H163,LEN(Protokoll_2p!H163)-FIND(":",Protokoll_2p!H163))),0,1))</f>
        <v/>
      </c>
      <c r="L197" s="1" t="str">
        <f>IF(Protokoll_2p!I163="","",IF(VALUE(LEFT(Protokoll_2p!I163,FIND(":",Protokoll_2p!I163)-1))&gt;VALUE(RIGHT(Protokoll_2p!I163,LEN(Protokoll_2p!I163)-FIND(":",Protokoll_2p!I163))),0,1))</f>
        <v/>
      </c>
      <c r="M197" s="1" t="str">
        <f>IF(Protokoll_2p!J163="","",IF(VALUE(LEFT(Protokoll_2p!J163,FIND(":",Protokoll_2p!J163)-1))&gt;VALUE(RIGHT(Protokoll_2p!J163,LEN(Protokoll_2p!J163)-FIND(":",Protokoll_2p!J163))),0,1))</f>
        <v/>
      </c>
      <c r="N197" s="1" t="str">
        <f t="shared" si="7"/>
        <v/>
      </c>
    </row>
    <row r="198" spans="2:14">
      <c r="B198" s="1" t="str">
        <f>IF(Protokoll_2p!F164="","",IF(VALUE(LEFT(Protokoll_2p!F164,FIND(":",Protokoll_2p!F164)-1))&gt;VALUE(RIGHT(Protokoll_2p!F164,LEN(Protokoll_2p!F164)-FIND(":",Protokoll_2p!F164))),1,0))</f>
        <v/>
      </c>
      <c r="C198" s="1" t="str">
        <f>IF(Protokoll_2p!G164="","",IF(VALUE(LEFT(Protokoll_2p!G164,FIND(":",Protokoll_2p!G164)-1))&gt;VALUE(RIGHT(Protokoll_2p!G164,LEN(Protokoll_2p!G164)-FIND(":",Protokoll_2p!G164))),1,0))</f>
        <v/>
      </c>
      <c r="D198" s="1" t="str">
        <f>IF(Protokoll_2p!H164="","",IF(VALUE(LEFT(Protokoll_2p!H164,FIND(":",Protokoll_2p!H164)-1))&gt;VALUE(RIGHT(Protokoll_2p!H164,LEN(Protokoll_2p!H164)-FIND(":",Protokoll_2p!H164))),1,0))</f>
        <v/>
      </c>
      <c r="E198" s="1" t="str">
        <f>IF(Protokoll_2p!I164="","",IF(VALUE(LEFT(Protokoll_2p!I164,FIND(":",Protokoll_2p!I164)-1))&gt;VALUE(RIGHT(Protokoll_2p!I164,LEN(Protokoll_2p!I164)-FIND(":",Protokoll_2p!I164))),1,0))</f>
        <v/>
      </c>
      <c r="F198" s="1" t="str">
        <f>IF(Protokoll_2p!J164="","",IF(VALUE(LEFT(Protokoll_2p!J164,FIND(":",Protokoll_2p!J164)-1))&gt;VALUE(RIGHT(Protokoll_2p!J164,LEN(Protokoll_2p!J164)-FIND(":",Protokoll_2p!J164))),1,0))</f>
        <v/>
      </c>
      <c r="G198" s="1" t="str">
        <f t="shared" si="6"/>
        <v/>
      </c>
      <c r="I198" s="1" t="str">
        <f>IF(Protokoll_2p!F164="","",IF(VALUE(LEFT(Protokoll_2p!F164,FIND(":",Protokoll_2p!F164)-1))&gt;VALUE(RIGHT(Protokoll_2p!F164,LEN(Protokoll_2p!F164)-FIND(":",Protokoll_2p!F164))),0,1))</f>
        <v/>
      </c>
      <c r="J198" s="1" t="str">
        <f>IF(Protokoll_2p!G164="","",IF(VALUE(LEFT(Protokoll_2p!G164,FIND(":",Protokoll_2p!G164)-1))&gt;VALUE(RIGHT(Protokoll_2p!G164,LEN(Protokoll_2p!G164)-FIND(":",Protokoll_2p!G164))),0,1))</f>
        <v/>
      </c>
      <c r="K198" s="1" t="str">
        <f>IF(Protokoll_2p!H164="","",IF(VALUE(LEFT(Protokoll_2p!H164,FIND(":",Protokoll_2p!H164)-1))&gt;VALUE(RIGHT(Protokoll_2p!H164,LEN(Protokoll_2p!H164)-FIND(":",Protokoll_2p!H164))),0,1))</f>
        <v/>
      </c>
      <c r="L198" s="1" t="str">
        <f>IF(Protokoll_2p!I164="","",IF(VALUE(LEFT(Protokoll_2p!I164,FIND(":",Protokoll_2p!I164)-1))&gt;VALUE(RIGHT(Protokoll_2p!I164,LEN(Protokoll_2p!I164)-FIND(":",Protokoll_2p!I164))),0,1))</f>
        <v/>
      </c>
      <c r="M198" s="1" t="str">
        <f>IF(Protokoll_2p!J164="","",IF(VALUE(LEFT(Protokoll_2p!J164,FIND(":",Protokoll_2p!J164)-1))&gt;VALUE(RIGHT(Protokoll_2p!J164,LEN(Protokoll_2p!J164)-FIND(":",Protokoll_2p!J164))),0,1))</f>
        <v/>
      </c>
      <c r="N198" s="1" t="str">
        <f t="shared" si="7"/>
        <v/>
      </c>
    </row>
    <row r="199" spans="2:14">
      <c r="B199" s="1" t="str">
        <f>IF(Protokoll_2p!F165="","",IF(VALUE(LEFT(Protokoll_2p!F165,FIND(":",Protokoll_2p!F165)-1))&gt;VALUE(RIGHT(Protokoll_2p!F165,LEN(Protokoll_2p!F165)-FIND(":",Protokoll_2p!F165))),1,0))</f>
        <v/>
      </c>
      <c r="C199" s="1" t="str">
        <f>IF(Protokoll_2p!G165="","",IF(VALUE(LEFT(Protokoll_2p!G165,FIND(":",Protokoll_2p!G165)-1))&gt;VALUE(RIGHT(Protokoll_2p!G165,LEN(Protokoll_2p!G165)-FIND(":",Protokoll_2p!G165))),1,0))</f>
        <v/>
      </c>
      <c r="D199" s="1" t="str">
        <f>IF(Protokoll_2p!H165="","",IF(VALUE(LEFT(Protokoll_2p!H165,FIND(":",Protokoll_2p!H165)-1))&gt;VALUE(RIGHT(Protokoll_2p!H165,LEN(Protokoll_2p!H165)-FIND(":",Protokoll_2p!H165))),1,0))</f>
        <v/>
      </c>
      <c r="E199" s="1" t="str">
        <f>IF(Protokoll_2p!I165="","",IF(VALUE(LEFT(Protokoll_2p!I165,FIND(":",Protokoll_2p!I165)-1))&gt;VALUE(RIGHT(Protokoll_2p!I165,LEN(Protokoll_2p!I165)-FIND(":",Protokoll_2p!I165))),1,0))</f>
        <v/>
      </c>
      <c r="F199" s="1" t="str">
        <f>IF(Protokoll_2p!J165="","",IF(VALUE(LEFT(Protokoll_2p!J165,FIND(":",Protokoll_2p!J165)-1))&gt;VALUE(RIGHT(Protokoll_2p!J165,LEN(Protokoll_2p!J165)-FIND(":",Protokoll_2p!J165))),1,0))</f>
        <v/>
      </c>
      <c r="G199" s="1" t="str">
        <f t="shared" si="6"/>
        <v/>
      </c>
      <c r="I199" s="1" t="str">
        <f>IF(Protokoll_2p!F165="","",IF(VALUE(LEFT(Protokoll_2p!F165,FIND(":",Protokoll_2p!F165)-1))&gt;VALUE(RIGHT(Protokoll_2p!F165,LEN(Protokoll_2p!F165)-FIND(":",Protokoll_2p!F165))),0,1))</f>
        <v/>
      </c>
      <c r="J199" s="1" t="str">
        <f>IF(Protokoll_2p!G165="","",IF(VALUE(LEFT(Protokoll_2p!G165,FIND(":",Protokoll_2p!G165)-1))&gt;VALUE(RIGHT(Protokoll_2p!G165,LEN(Protokoll_2p!G165)-FIND(":",Protokoll_2p!G165))),0,1))</f>
        <v/>
      </c>
      <c r="K199" s="1" t="str">
        <f>IF(Protokoll_2p!H165="","",IF(VALUE(LEFT(Protokoll_2p!H165,FIND(":",Protokoll_2p!H165)-1))&gt;VALUE(RIGHT(Protokoll_2p!H165,LEN(Protokoll_2p!H165)-FIND(":",Protokoll_2p!H165))),0,1))</f>
        <v/>
      </c>
      <c r="L199" s="1" t="str">
        <f>IF(Protokoll_2p!I165="","",IF(VALUE(LEFT(Protokoll_2p!I165,FIND(":",Protokoll_2p!I165)-1))&gt;VALUE(RIGHT(Protokoll_2p!I165,LEN(Protokoll_2p!I165)-FIND(":",Protokoll_2p!I165))),0,1))</f>
        <v/>
      </c>
      <c r="M199" s="1" t="str">
        <f>IF(Protokoll_2p!J165="","",IF(VALUE(LEFT(Protokoll_2p!J165,FIND(":",Protokoll_2p!J165)-1))&gt;VALUE(RIGHT(Protokoll_2p!J165,LEN(Protokoll_2p!J165)-FIND(":",Protokoll_2p!J165))),0,1))</f>
        <v/>
      </c>
      <c r="N199" s="1" t="str">
        <f t="shared" si="7"/>
        <v/>
      </c>
    </row>
    <row r="200" spans="2:14">
      <c r="B200" s="1" t="str">
        <f>IF(Protokoll_2p!F166="","",IF(VALUE(LEFT(Protokoll_2p!F166,FIND(":",Protokoll_2p!F166)-1))&gt;VALUE(RIGHT(Protokoll_2p!F166,LEN(Protokoll_2p!F166)-FIND(":",Protokoll_2p!F166))),1,0))</f>
        <v/>
      </c>
      <c r="C200" s="1" t="str">
        <f>IF(Protokoll_2p!G166="","",IF(VALUE(LEFT(Protokoll_2p!G166,FIND(":",Protokoll_2p!G166)-1))&gt;VALUE(RIGHT(Protokoll_2p!G166,LEN(Protokoll_2p!G166)-FIND(":",Protokoll_2p!G166))),1,0))</f>
        <v/>
      </c>
      <c r="D200" s="1" t="str">
        <f>IF(Protokoll_2p!H166="","",IF(VALUE(LEFT(Protokoll_2p!H166,FIND(":",Protokoll_2p!H166)-1))&gt;VALUE(RIGHT(Protokoll_2p!H166,LEN(Protokoll_2p!H166)-FIND(":",Protokoll_2p!H166))),1,0))</f>
        <v/>
      </c>
      <c r="E200" s="1" t="str">
        <f>IF(Protokoll_2p!I166="","",IF(VALUE(LEFT(Protokoll_2p!I166,FIND(":",Protokoll_2p!I166)-1))&gt;VALUE(RIGHT(Protokoll_2p!I166,LEN(Protokoll_2p!I166)-FIND(":",Protokoll_2p!I166))),1,0))</f>
        <v/>
      </c>
      <c r="F200" s="1" t="str">
        <f>IF(Protokoll_2p!J166="","",IF(VALUE(LEFT(Protokoll_2p!J166,FIND(":",Protokoll_2p!J166)-1))&gt;VALUE(RIGHT(Protokoll_2p!J166,LEN(Protokoll_2p!J166)-FIND(":",Protokoll_2p!J166))),1,0))</f>
        <v/>
      </c>
      <c r="G200" s="1" t="str">
        <f t="shared" si="6"/>
        <v/>
      </c>
      <c r="I200" s="1" t="str">
        <f>IF(Protokoll_2p!F166="","",IF(VALUE(LEFT(Protokoll_2p!F166,FIND(":",Protokoll_2p!F166)-1))&gt;VALUE(RIGHT(Protokoll_2p!F166,LEN(Protokoll_2p!F166)-FIND(":",Protokoll_2p!F166))),0,1))</f>
        <v/>
      </c>
      <c r="J200" s="1" t="str">
        <f>IF(Protokoll_2p!G166="","",IF(VALUE(LEFT(Protokoll_2p!G166,FIND(":",Protokoll_2p!G166)-1))&gt;VALUE(RIGHT(Protokoll_2p!G166,LEN(Protokoll_2p!G166)-FIND(":",Protokoll_2p!G166))),0,1))</f>
        <v/>
      </c>
      <c r="K200" s="1" t="str">
        <f>IF(Protokoll_2p!H166="","",IF(VALUE(LEFT(Protokoll_2p!H166,FIND(":",Protokoll_2p!H166)-1))&gt;VALUE(RIGHT(Protokoll_2p!H166,LEN(Protokoll_2p!H166)-FIND(":",Protokoll_2p!H166))),0,1))</f>
        <v/>
      </c>
      <c r="L200" s="1" t="str">
        <f>IF(Protokoll_2p!I166="","",IF(VALUE(LEFT(Protokoll_2p!I166,FIND(":",Protokoll_2p!I166)-1))&gt;VALUE(RIGHT(Protokoll_2p!I166,LEN(Protokoll_2p!I166)-FIND(":",Protokoll_2p!I166))),0,1))</f>
        <v/>
      </c>
      <c r="M200" s="1" t="str">
        <f>IF(Protokoll_2p!J166="","",IF(VALUE(LEFT(Protokoll_2p!J166,FIND(":",Protokoll_2p!J166)-1))&gt;VALUE(RIGHT(Protokoll_2p!J166,LEN(Protokoll_2p!J166)-FIND(":",Protokoll_2p!J166))),0,1))</f>
        <v/>
      </c>
      <c r="N200" s="1" t="str">
        <f t="shared" si="7"/>
        <v/>
      </c>
    </row>
    <row r="201" spans="2:14">
      <c r="B201" s="1" t="str">
        <f>IF(Protokoll_2p!F167="","",IF(VALUE(LEFT(Protokoll_2p!F167,FIND(":",Protokoll_2p!F167)-1))&gt;VALUE(RIGHT(Protokoll_2p!F167,LEN(Protokoll_2p!F167)-FIND(":",Protokoll_2p!F167))),1,0))</f>
        <v/>
      </c>
      <c r="C201" s="1" t="str">
        <f>IF(Protokoll_2p!G167="","",IF(VALUE(LEFT(Protokoll_2p!G167,FIND(":",Protokoll_2p!G167)-1))&gt;VALUE(RIGHT(Protokoll_2p!G167,LEN(Protokoll_2p!G167)-FIND(":",Protokoll_2p!G167))),1,0))</f>
        <v/>
      </c>
      <c r="D201" s="1" t="str">
        <f>IF(Protokoll_2p!H167="","",IF(VALUE(LEFT(Protokoll_2p!H167,FIND(":",Protokoll_2p!H167)-1))&gt;VALUE(RIGHT(Protokoll_2p!H167,LEN(Protokoll_2p!H167)-FIND(":",Protokoll_2p!H167))),1,0))</f>
        <v/>
      </c>
      <c r="E201" s="1" t="str">
        <f>IF(Protokoll_2p!I167="","",IF(VALUE(LEFT(Protokoll_2p!I167,FIND(":",Protokoll_2p!I167)-1))&gt;VALUE(RIGHT(Protokoll_2p!I167,LEN(Protokoll_2p!I167)-FIND(":",Protokoll_2p!I167))),1,0))</f>
        <v/>
      </c>
      <c r="F201" s="1" t="str">
        <f>IF(Protokoll_2p!J167="","",IF(VALUE(LEFT(Protokoll_2p!J167,FIND(":",Protokoll_2p!J167)-1))&gt;VALUE(RIGHT(Protokoll_2p!J167,LEN(Protokoll_2p!J167)-FIND(":",Protokoll_2p!J167))),1,0))</f>
        <v/>
      </c>
      <c r="G201" s="1" t="str">
        <f t="shared" si="6"/>
        <v/>
      </c>
      <c r="I201" s="1" t="str">
        <f>IF(Protokoll_2p!F167="","",IF(VALUE(LEFT(Protokoll_2p!F167,FIND(":",Protokoll_2p!F167)-1))&gt;VALUE(RIGHT(Protokoll_2p!F167,LEN(Protokoll_2p!F167)-FIND(":",Protokoll_2p!F167))),0,1))</f>
        <v/>
      </c>
      <c r="J201" s="1" t="str">
        <f>IF(Protokoll_2p!G167="","",IF(VALUE(LEFT(Protokoll_2p!G167,FIND(":",Protokoll_2p!G167)-1))&gt;VALUE(RIGHT(Protokoll_2p!G167,LEN(Protokoll_2p!G167)-FIND(":",Protokoll_2p!G167))),0,1))</f>
        <v/>
      </c>
      <c r="K201" s="1" t="str">
        <f>IF(Protokoll_2p!H167="","",IF(VALUE(LEFT(Protokoll_2p!H167,FIND(":",Protokoll_2p!H167)-1))&gt;VALUE(RIGHT(Protokoll_2p!H167,LEN(Protokoll_2p!H167)-FIND(":",Protokoll_2p!H167))),0,1))</f>
        <v/>
      </c>
      <c r="L201" s="1" t="str">
        <f>IF(Protokoll_2p!I167="","",IF(VALUE(LEFT(Protokoll_2p!I167,FIND(":",Protokoll_2p!I167)-1))&gt;VALUE(RIGHT(Protokoll_2p!I167,LEN(Protokoll_2p!I167)-FIND(":",Protokoll_2p!I167))),0,1))</f>
        <v/>
      </c>
      <c r="M201" s="1" t="str">
        <f>IF(Protokoll_2p!J167="","",IF(VALUE(LEFT(Protokoll_2p!J167,FIND(":",Protokoll_2p!J167)-1))&gt;VALUE(RIGHT(Protokoll_2p!J167,LEN(Protokoll_2p!J167)-FIND(":",Protokoll_2p!J167))),0,1))</f>
        <v/>
      </c>
      <c r="N201" s="1" t="str">
        <f t="shared" si="7"/>
        <v/>
      </c>
    </row>
    <row r="202" spans="2:14">
      <c r="B202" s="1" t="str">
        <f>IF(Protokoll_2p!F168="","",IF(VALUE(LEFT(Protokoll_2p!F168,FIND(":",Protokoll_2p!F168)-1))&gt;VALUE(RIGHT(Protokoll_2p!F168,LEN(Protokoll_2p!F168)-FIND(":",Protokoll_2p!F168))),1,0))</f>
        <v/>
      </c>
      <c r="C202" s="1" t="str">
        <f>IF(Protokoll_2p!G168="","",IF(VALUE(LEFT(Protokoll_2p!G168,FIND(":",Protokoll_2p!G168)-1))&gt;VALUE(RIGHT(Protokoll_2p!G168,LEN(Protokoll_2p!G168)-FIND(":",Protokoll_2p!G168))),1,0))</f>
        <v/>
      </c>
      <c r="D202" s="1" t="str">
        <f>IF(Protokoll_2p!H168="","",IF(VALUE(LEFT(Protokoll_2p!H168,FIND(":",Protokoll_2p!H168)-1))&gt;VALUE(RIGHT(Protokoll_2p!H168,LEN(Protokoll_2p!H168)-FIND(":",Protokoll_2p!H168))),1,0))</f>
        <v/>
      </c>
      <c r="E202" s="1" t="str">
        <f>IF(Protokoll_2p!I168="","",IF(VALUE(LEFT(Protokoll_2p!I168,FIND(":",Protokoll_2p!I168)-1))&gt;VALUE(RIGHT(Protokoll_2p!I168,LEN(Protokoll_2p!I168)-FIND(":",Protokoll_2p!I168))),1,0))</f>
        <v/>
      </c>
      <c r="F202" s="1" t="str">
        <f>IF(Protokoll_2p!J168="","",IF(VALUE(LEFT(Protokoll_2p!J168,FIND(":",Protokoll_2p!J168)-1))&gt;VALUE(RIGHT(Protokoll_2p!J168,LEN(Protokoll_2p!J168)-FIND(":",Protokoll_2p!J168))),1,0))</f>
        <v/>
      </c>
      <c r="G202" s="1" t="str">
        <f t="shared" si="6"/>
        <v/>
      </c>
      <c r="I202" s="1" t="str">
        <f>IF(Protokoll_2p!F168="","",IF(VALUE(LEFT(Protokoll_2p!F168,FIND(":",Protokoll_2p!F168)-1))&gt;VALUE(RIGHT(Protokoll_2p!F168,LEN(Protokoll_2p!F168)-FIND(":",Protokoll_2p!F168))),0,1))</f>
        <v/>
      </c>
      <c r="J202" s="1" t="str">
        <f>IF(Protokoll_2p!G168="","",IF(VALUE(LEFT(Protokoll_2p!G168,FIND(":",Protokoll_2p!G168)-1))&gt;VALUE(RIGHT(Protokoll_2p!G168,LEN(Protokoll_2p!G168)-FIND(":",Protokoll_2p!G168))),0,1))</f>
        <v/>
      </c>
      <c r="K202" s="1" t="str">
        <f>IF(Protokoll_2p!H168="","",IF(VALUE(LEFT(Protokoll_2p!H168,FIND(":",Protokoll_2p!H168)-1))&gt;VALUE(RIGHT(Protokoll_2p!H168,LEN(Protokoll_2p!H168)-FIND(":",Protokoll_2p!H168))),0,1))</f>
        <v/>
      </c>
      <c r="L202" s="1" t="str">
        <f>IF(Protokoll_2p!I168="","",IF(VALUE(LEFT(Protokoll_2p!I168,FIND(":",Protokoll_2p!I168)-1))&gt;VALUE(RIGHT(Protokoll_2p!I168,LEN(Protokoll_2p!I168)-FIND(":",Protokoll_2p!I168))),0,1))</f>
        <v/>
      </c>
      <c r="M202" s="1" t="str">
        <f>IF(Protokoll_2p!J168="","",IF(VALUE(LEFT(Protokoll_2p!J168,FIND(":",Protokoll_2p!J168)-1))&gt;VALUE(RIGHT(Protokoll_2p!J168,LEN(Protokoll_2p!J168)-FIND(":",Protokoll_2p!J168))),0,1))</f>
        <v/>
      </c>
      <c r="N202" s="1" t="str">
        <f t="shared" si="7"/>
        <v/>
      </c>
    </row>
    <row r="203" spans="2:14">
      <c r="B203" s="1" t="str">
        <f>IF(Protokoll_2p!F169="","",IF(VALUE(LEFT(Protokoll_2p!F169,FIND(":",Protokoll_2p!F169)-1))&gt;VALUE(RIGHT(Protokoll_2p!F169,LEN(Protokoll_2p!F169)-FIND(":",Protokoll_2p!F169))),1,0))</f>
        <v/>
      </c>
      <c r="C203" s="1" t="str">
        <f>IF(Protokoll_2p!G169="","",IF(VALUE(LEFT(Protokoll_2p!G169,FIND(":",Protokoll_2p!G169)-1))&gt;VALUE(RIGHT(Protokoll_2p!G169,LEN(Protokoll_2p!G169)-FIND(":",Protokoll_2p!G169))),1,0))</f>
        <v/>
      </c>
      <c r="D203" s="1" t="str">
        <f>IF(Protokoll_2p!H169="","",IF(VALUE(LEFT(Protokoll_2p!H169,FIND(":",Protokoll_2p!H169)-1))&gt;VALUE(RIGHT(Protokoll_2p!H169,LEN(Protokoll_2p!H169)-FIND(":",Protokoll_2p!H169))),1,0))</f>
        <v/>
      </c>
      <c r="E203" s="1" t="str">
        <f>IF(Protokoll_2p!I169="","",IF(VALUE(LEFT(Protokoll_2p!I169,FIND(":",Protokoll_2p!I169)-1))&gt;VALUE(RIGHT(Protokoll_2p!I169,LEN(Protokoll_2p!I169)-FIND(":",Protokoll_2p!I169))),1,0))</f>
        <v/>
      </c>
      <c r="F203" s="1" t="str">
        <f>IF(Protokoll_2p!J169="","",IF(VALUE(LEFT(Protokoll_2p!J169,FIND(":",Protokoll_2p!J169)-1))&gt;VALUE(RIGHT(Protokoll_2p!J169,LEN(Protokoll_2p!J169)-FIND(":",Protokoll_2p!J169))),1,0))</f>
        <v/>
      </c>
      <c r="G203" s="1" t="str">
        <f t="shared" si="6"/>
        <v/>
      </c>
      <c r="I203" s="1" t="str">
        <f>IF(Protokoll_2p!F169="","",IF(VALUE(LEFT(Protokoll_2p!F169,FIND(":",Protokoll_2p!F169)-1))&gt;VALUE(RIGHT(Protokoll_2p!F169,LEN(Protokoll_2p!F169)-FIND(":",Protokoll_2p!F169))),0,1))</f>
        <v/>
      </c>
      <c r="J203" s="1" t="str">
        <f>IF(Protokoll_2p!G169="","",IF(VALUE(LEFT(Protokoll_2p!G169,FIND(":",Protokoll_2p!G169)-1))&gt;VALUE(RIGHT(Protokoll_2p!G169,LEN(Protokoll_2p!G169)-FIND(":",Protokoll_2p!G169))),0,1))</f>
        <v/>
      </c>
      <c r="K203" s="1" t="str">
        <f>IF(Protokoll_2p!H169="","",IF(VALUE(LEFT(Protokoll_2p!H169,FIND(":",Protokoll_2p!H169)-1))&gt;VALUE(RIGHT(Protokoll_2p!H169,LEN(Protokoll_2p!H169)-FIND(":",Protokoll_2p!H169))),0,1))</f>
        <v/>
      </c>
      <c r="L203" s="1" t="str">
        <f>IF(Protokoll_2p!I169="","",IF(VALUE(LEFT(Protokoll_2p!I169,FIND(":",Protokoll_2p!I169)-1))&gt;VALUE(RIGHT(Protokoll_2p!I169,LEN(Protokoll_2p!I169)-FIND(":",Protokoll_2p!I169))),0,1))</f>
        <v/>
      </c>
      <c r="M203" s="1" t="str">
        <f>IF(Protokoll_2p!J169="","",IF(VALUE(LEFT(Protokoll_2p!J169,FIND(":",Protokoll_2p!J169)-1))&gt;VALUE(RIGHT(Protokoll_2p!J169,LEN(Protokoll_2p!J169)-FIND(":",Protokoll_2p!J169))),0,1))</f>
        <v/>
      </c>
      <c r="N203" s="1" t="str">
        <f t="shared" si="7"/>
        <v/>
      </c>
    </row>
    <row r="204" spans="2:14">
      <c r="B204" s="1" t="str">
        <f>IF(Protokoll_2p!F170="","",IF(VALUE(LEFT(Protokoll_2p!F170,FIND(":",Protokoll_2p!F170)-1))&gt;VALUE(RIGHT(Protokoll_2p!F170,LEN(Protokoll_2p!F170)-FIND(":",Protokoll_2p!F170))),1,0))</f>
        <v/>
      </c>
      <c r="C204" s="1" t="str">
        <f>IF(Protokoll_2p!G170="","",IF(VALUE(LEFT(Protokoll_2p!G170,FIND(":",Protokoll_2p!G170)-1))&gt;VALUE(RIGHT(Protokoll_2p!G170,LEN(Protokoll_2p!G170)-FIND(":",Protokoll_2p!G170))),1,0))</f>
        <v/>
      </c>
      <c r="D204" s="1" t="str">
        <f>IF(Protokoll_2p!H170="","",IF(VALUE(LEFT(Protokoll_2p!H170,FIND(":",Protokoll_2p!H170)-1))&gt;VALUE(RIGHT(Protokoll_2p!H170,LEN(Protokoll_2p!H170)-FIND(":",Protokoll_2p!H170))),1,0))</f>
        <v/>
      </c>
      <c r="E204" s="1" t="str">
        <f>IF(Protokoll_2p!I170="","",IF(VALUE(LEFT(Protokoll_2p!I170,FIND(":",Protokoll_2p!I170)-1))&gt;VALUE(RIGHT(Protokoll_2p!I170,LEN(Protokoll_2p!I170)-FIND(":",Protokoll_2p!I170))),1,0))</f>
        <v/>
      </c>
      <c r="F204" s="1" t="str">
        <f>IF(Protokoll_2p!J170="","",IF(VALUE(LEFT(Protokoll_2p!J170,FIND(":",Protokoll_2p!J170)-1))&gt;VALUE(RIGHT(Protokoll_2p!J170,LEN(Protokoll_2p!J170)-FIND(":",Protokoll_2p!J170))),1,0))</f>
        <v/>
      </c>
      <c r="G204" s="1" t="str">
        <f t="shared" si="6"/>
        <v/>
      </c>
      <c r="I204" s="1" t="str">
        <f>IF(Protokoll_2p!F170="","",IF(VALUE(LEFT(Protokoll_2p!F170,FIND(":",Protokoll_2p!F170)-1))&gt;VALUE(RIGHT(Protokoll_2p!F170,LEN(Protokoll_2p!F170)-FIND(":",Protokoll_2p!F170))),0,1))</f>
        <v/>
      </c>
      <c r="J204" s="1" t="str">
        <f>IF(Protokoll_2p!G170="","",IF(VALUE(LEFT(Protokoll_2p!G170,FIND(":",Protokoll_2p!G170)-1))&gt;VALUE(RIGHT(Protokoll_2p!G170,LEN(Protokoll_2p!G170)-FIND(":",Protokoll_2p!G170))),0,1))</f>
        <v/>
      </c>
      <c r="K204" s="1" t="str">
        <f>IF(Protokoll_2p!H170="","",IF(VALUE(LEFT(Protokoll_2p!H170,FIND(":",Protokoll_2p!H170)-1))&gt;VALUE(RIGHT(Protokoll_2p!H170,LEN(Protokoll_2p!H170)-FIND(":",Protokoll_2p!H170))),0,1))</f>
        <v/>
      </c>
      <c r="L204" s="1" t="str">
        <f>IF(Protokoll_2p!I170="","",IF(VALUE(LEFT(Protokoll_2p!I170,FIND(":",Protokoll_2p!I170)-1))&gt;VALUE(RIGHT(Protokoll_2p!I170,LEN(Protokoll_2p!I170)-FIND(":",Protokoll_2p!I170))),0,1))</f>
        <v/>
      </c>
      <c r="M204" s="1" t="str">
        <f>IF(Protokoll_2p!J170="","",IF(VALUE(LEFT(Protokoll_2p!J170,FIND(":",Protokoll_2p!J170)-1))&gt;VALUE(RIGHT(Protokoll_2p!J170,LEN(Protokoll_2p!J170)-FIND(":",Protokoll_2p!J170))),0,1))</f>
        <v/>
      </c>
      <c r="N204" s="1" t="str">
        <f t="shared" si="7"/>
        <v/>
      </c>
    </row>
    <row r="205" spans="2:14">
      <c r="B205" s="1" t="str">
        <f>IF(Protokoll_2p!F171="","",IF(VALUE(LEFT(Protokoll_2p!F171,FIND(":",Protokoll_2p!F171)-1))&gt;VALUE(RIGHT(Protokoll_2p!F171,LEN(Protokoll_2p!F171)-FIND(":",Protokoll_2p!F171))),1,0))</f>
        <v/>
      </c>
      <c r="C205" s="1" t="str">
        <f>IF(Protokoll_2p!G171="","",IF(VALUE(LEFT(Protokoll_2p!G171,FIND(":",Protokoll_2p!G171)-1))&gt;VALUE(RIGHT(Protokoll_2p!G171,LEN(Protokoll_2p!G171)-FIND(":",Protokoll_2p!G171))),1,0))</f>
        <v/>
      </c>
      <c r="D205" s="1" t="str">
        <f>IF(Protokoll_2p!H171="","",IF(VALUE(LEFT(Protokoll_2p!H171,FIND(":",Protokoll_2p!H171)-1))&gt;VALUE(RIGHT(Protokoll_2p!H171,LEN(Protokoll_2p!H171)-FIND(":",Protokoll_2p!H171))),1,0))</f>
        <v/>
      </c>
      <c r="E205" s="1" t="str">
        <f>IF(Protokoll_2p!I171="","",IF(VALUE(LEFT(Protokoll_2p!I171,FIND(":",Protokoll_2p!I171)-1))&gt;VALUE(RIGHT(Protokoll_2p!I171,LEN(Protokoll_2p!I171)-FIND(":",Protokoll_2p!I171))),1,0))</f>
        <v/>
      </c>
      <c r="F205" s="1" t="str">
        <f>IF(Protokoll_2p!J171="","",IF(VALUE(LEFT(Protokoll_2p!J171,FIND(":",Protokoll_2p!J171)-1))&gt;VALUE(RIGHT(Protokoll_2p!J171,LEN(Protokoll_2p!J171)-FIND(":",Protokoll_2p!J171))),1,0))</f>
        <v/>
      </c>
      <c r="G205" s="1" t="str">
        <f t="shared" si="6"/>
        <v/>
      </c>
      <c r="I205" s="1" t="str">
        <f>IF(Protokoll_2p!F171="","",IF(VALUE(LEFT(Protokoll_2p!F171,FIND(":",Protokoll_2p!F171)-1))&gt;VALUE(RIGHT(Protokoll_2p!F171,LEN(Protokoll_2p!F171)-FIND(":",Protokoll_2p!F171))),0,1))</f>
        <v/>
      </c>
      <c r="J205" s="1" t="str">
        <f>IF(Protokoll_2p!G171="","",IF(VALUE(LEFT(Protokoll_2p!G171,FIND(":",Protokoll_2p!G171)-1))&gt;VALUE(RIGHT(Protokoll_2p!G171,LEN(Protokoll_2p!G171)-FIND(":",Protokoll_2p!G171))),0,1))</f>
        <v/>
      </c>
      <c r="K205" s="1" t="str">
        <f>IF(Protokoll_2p!H171="","",IF(VALUE(LEFT(Protokoll_2p!H171,FIND(":",Protokoll_2p!H171)-1))&gt;VALUE(RIGHT(Protokoll_2p!H171,LEN(Protokoll_2p!H171)-FIND(":",Protokoll_2p!H171))),0,1))</f>
        <v/>
      </c>
      <c r="L205" s="1" t="str">
        <f>IF(Protokoll_2p!I171="","",IF(VALUE(LEFT(Protokoll_2p!I171,FIND(":",Protokoll_2p!I171)-1))&gt;VALUE(RIGHT(Protokoll_2p!I171,LEN(Protokoll_2p!I171)-FIND(":",Protokoll_2p!I171))),0,1))</f>
        <v/>
      </c>
      <c r="M205" s="1" t="str">
        <f>IF(Protokoll_2p!J171="","",IF(VALUE(LEFT(Protokoll_2p!J171,FIND(":",Protokoll_2p!J171)-1))&gt;VALUE(RIGHT(Protokoll_2p!J171,LEN(Protokoll_2p!J171)-FIND(":",Protokoll_2p!J171))),0,1))</f>
        <v/>
      </c>
      <c r="N205" s="1" t="str">
        <f t="shared" si="7"/>
        <v/>
      </c>
    </row>
    <row r="206" spans="2:14">
      <c r="B206" s="1" t="str">
        <f>IF(Protokoll_2p!F172="","",IF(VALUE(LEFT(Protokoll_2p!F172,FIND(":",Protokoll_2p!F172)-1))&gt;VALUE(RIGHT(Protokoll_2p!F172,LEN(Protokoll_2p!F172)-FIND(":",Protokoll_2p!F172))),1,0))</f>
        <v/>
      </c>
      <c r="C206" s="1" t="str">
        <f>IF(Protokoll_2p!G172="","",IF(VALUE(LEFT(Protokoll_2p!G172,FIND(":",Protokoll_2p!G172)-1))&gt;VALUE(RIGHT(Protokoll_2p!G172,LEN(Protokoll_2p!G172)-FIND(":",Protokoll_2p!G172))),1,0))</f>
        <v/>
      </c>
      <c r="D206" s="1" t="str">
        <f>IF(Protokoll_2p!H172="","",IF(VALUE(LEFT(Protokoll_2p!H172,FIND(":",Protokoll_2p!H172)-1))&gt;VALUE(RIGHT(Protokoll_2p!H172,LEN(Protokoll_2p!H172)-FIND(":",Protokoll_2p!H172))),1,0))</f>
        <v/>
      </c>
      <c r="E206" s="1" t="str">
        <f>IF(Protokoll_2p!I172="","",IF(VALUE(LEFT(Protokoll_2p!I172,FIND(":",Protokoll_2p!I172)-1))&gt;VALUE(RIGHT(Protokoll_2p!I172,LEN(Protokoll_2p!I172)-FIND(":",Protokoll_2p!I172))),1,0))</f>
        <v/>
      </c>
      <c r="F206" s="1" t="str">
        <f>IF(Protokoll_2p!J172="","",IF(VALUE(LEFT(Protokoll_2p!J172,FIND(":",Protokoll_2p!J172)-1))&gt;VALUE(RIGHT(Protokoll_2p!J172,LEN(Protokoll_2p!J172)-FIND(":",Protokoll_2p!J172))),1,0))</f>
        <v/>
      </c>
      <c r="G206" s="1" t="str">
        <f t="shared" si="6"/>
        <v/>
      </c>
      <c r="I206" s="1" t="str">
        <f>IF(Protokoll_2p!F172="","",IF(VALUE(LEFT(Protokoll_2p!F172,FIND(":",Protokoll_2p!F172)-1))&gt;VALUE(RIGHT(Protokoll_2p!F172,LEN(Protokoll_2p!F172)-FIND(":",Protokoll_2p!F172))),0,1))</f>
        <v/>
      </c>
      <c r="J206" s="1" t="str">
        <f>IF(Protokoll_2p!G172="","",IF(VALUE(LEFT(Protokoll_2p!G172,FIND(":",Protokoll_2p!G172)-1))&gt;VALUE(RIGHT(Protokoll_2p!G172,LEN(Protokoll_2p!G172)-FIND(":",Protokoll_2p!G172))),0,1))</f>
        <v/>
      </c>
      <c r="K206" s="1" t="str">
        <f>IF(Protokoll_2p!H172="","",IF(VALUE(LEFT(Protokoll_2p!H172,FIND(":",Protokoll_2p!H172)-1))&gt;VALUE(RIGHT(Protokoll_2p!H172,LEN(Protokoll_2p!H172)-FIND(":",Protokoll_2p!H172))),0,1))</f>
        <v/>
      </c>
      <c r="L206" s="1" t="str">
        <f>IF(Protokoll_2p!I172="","",IF(VALUE(LEFT(Protokoll_2p!I172,FIND(":",Protokoll_2p!I172)-1))&gt;VALUE(RIGHT(Protokoll_2p!I172,LEN(Protokoll_2p!I172)-FIND(":",Protokoll_2p!I172))),0,1))</f>
        <v/>
      </c>
      <c r="M206" s="1" t="str">
        <f>IF(Protokoll_2p!J172="","",IF(VALUE(LEFT(Protokoll_2p!J172,FIND(":",Protokoll_2p!J172)-1))&gt;VALUE(RIGHT(Protokoll_2p!J172,LEN(Protokoll_2p!J172)-FIND(":",Protokoll_2p!J172))),0,1))</f>
        <v/>
      </c>
      <c r="N206" s="1" t="str">
        <f t="shared" si="7"/>
        <v/>
      </c>
    </row>
    <row r="207" spans="2:14">
      <c r="B207" s="1" t="str">
        <f>IF(Protokoll_2p!F173="","",IF(VALUE(LEFT(Protokoll_2p!F173,FIND(":",Protokoll_2p!F173)-1))&gt;VALUE(RIGHT(Protokoll_2p!F173,LEN(Protokoll_2p!F173)-FIND(":",Protokoll_2p!F173))),1,0))</f>
        <v/>
      </c>
      <c r="C207" s="1" t="str">
        <f>IF(Protokoll_2p!G173="","",IF(VALUE(LEFT(Protokoll_2p!G173,FIND(":",Protokoll_2p!G173)-1))&gt;VALUE(RIGHT(Protokoll_2p!G173,LEN(Protokoll_2p!G173)-FIND(":",Protokoll_2p!G173))),1,0))</f>
        <v/>
      </c>
      <c r="D207" s="1" t="str">
        <f>IF(Protokoll_2p!H173="","",IF(VALUE(LEFT(Protokoll_2p!H173,FIND(":",Protokoll_2p!H173)-1))&gt;VALUE(RIGHT(Protokoll_2p!H173,LEN(Protokoll_2p!H173)-FIND(":",Protokoll_2p!H173))),1,0))</f>
        <v/>
      </c>
      <c r="E207" s="1" t="str">
        <f>IF(Protokoll_2p!I173="","",IF(VALUE(LEFT(Protokoll_2p!I173,FIND(":",Protokoll_2p!I173)-1))&gt;VALUE(RIGHT(Protokoll_2p!I173,LEN(Protokoll_2p!I173)-FIND(":",Protokoll_2p!I173))),1,0))</f>
        <v/>
      </c>
      <c r="F207" s="1" t="str">
        <f>IF(Protokoll_2p!J173="","",IF(VALUE(LEFT(Protokoll_2p!J173,FIND(":",Protokoll_2p!J173)-1))&gt;VALUE(RIGHT(Protokoll_2p!J173,LEN(Protokoll_2p!J173)-FIND(":",Protokoll_2p!J173))),1,0))</f>
        <v/>
      </c>
      <c r="G207" s="1" t="str">
        <f t="shared" si="6"/>
        <v/>
      </c>
      <c r="I207" s="1" t="str">
        <f>IF(Protokoll_2p!F173="","",IF(VALUE(LEFT(Protokoll_2p!F173,FIND(":",Protokoll_2p!F173)-1))&gt;VALUE(RIGHT(Protokoll_2p!F173,LEN(Protokoll_2p!F173)-FIND(":",Protokoll_2p!F173))),0,1))</f>
        <v/>
      </c>
      <c r="J207" s="1" t="str">
        <f>IF(Protokoll_2p!G173="","",IF(VALUE(LEFT(Protokoll_2p!G173,FIND(":",Protokoll_2p!G173)-1))&gt;VALUE(RIGHT(Protokoll_2p!G173,LEN(Protokoll_2p!G173)-FIND(":",Protokoll_2p!G173))),0,1))</f>
        <v/>
      </c>
      <c r="K207" s="1" t="str">
        <f>IF(Protokoll_2p!H173="","",IF(VALUE(LEFT(Protokoll_2p!H173,FIND(":",Protokoll_2p!H173)-1))&gt;VALUE(RIGHT(Protokoll_2p!H173,LEN(Protokoll_2p!H173)-FIND(":",Protokoll_2p!H173))),0,1))</f>
        <v/>
      </c>
      <c r="L207" s="1" t="str">
        <f>IF(Protokoll_2p!I173="","",IF(VALUE(LEFT(Protokoll_2p!I173,FIND(":",Protokoll_2p!I173)-1))&gt;VALUE(RIGHT(Protokoll_2p!I173,LEN(Protokoll_2p!I173)-FIND(":",Protokoll_2p!I173))),0,1))</f>
        <v/>
      </c>
      <c r="M207" s="1" t="str">
        <f>IF(Protokoll_2p!J173="","",IF(VALUE(LEFT(Protokoll_2p!J173,FIND(":",Protokoll_2p!J173)-1))&gt;VALUE(RIGHT(Protokoll_2p!J173,LEN(Protokoll_2p!J173)-FIND(":",Protokoll_2p!J173))),0,1))</f>
        <v/>
      </c>
      <c r="N207" s="1" t="str">
        <f t="shared" si="7"/>
        <v/>
      </c>
    </row>
    <row r="208" spans="2:14">
      <c r="B208" s="1" t="str">
        <f>IF(Protokoll_2p!F174="","",IF(VALUE(LEFT(Protokoll_2p!F174,FIND(":",Protokoll_2p!F174)-1))&gt;VALUE(RIGHT(Protokoll_2p!F174,LEN(Protokoll_2p!F174)-FIND(":",Protokoll_2p!F174))),1,0))</f>
        <v/>
      </c>
      <c r="C208" s="1" t="str">
        <f>IF(Protokoll_2p!G174="","",IF(VALUE(LEFT(Protokoll_2p!G174,FIND(":",Protokoll_2p!G174)-1))&gt;VALUE(RIGHT(Protokoll_2p!G174,LEN(Protokoll_2p!G174)-FIND(":",Protokoll_2p!G174))),1,0))</f>
        <v/>
      </c>
      <c r="D208" s="1" t="str">
        <f>IF(Protokoll_2p!H174="","",IF(VALUE(LEFT(Protokoll_2p!H174,FIND(":",Protokoll_2p!H174)-1))&gt;VALUE(RIGHT(Protokoll_2p!H174,LEN(Protokoll_2p!H174)-FIND(":",Protokoll_2p!H174))),1,0))</f>
        <v/>
      </c>
      <c r="E208" s="1" t="str">
        <f>IF(Protokoll_2p!I174="","",IF(VALUE(LEFT(Protokoll_2p!I174,FIND(":",Protokoll_2p!I174)-1))&gt;VALUE(RIGHT(Protokoll_2p!I174,LEN(Protokoll_2p!I174)-FIND(":",Protokoll_2p!I174))),1,0))</f>
        <v/>
      </c>
      <c r="F208" s="1" t="str">
        <f>IF(Protokoll_2p!J174="","",IF(VALUE(LEFT(Protokoll_2p!J174,FIND(":",Protokoll_2p!J174)-1))&gt;VALUE(RIGHT(Protokoll_2p!J174,LEN(Protokoll_2p!J174)-FIND(":",Protokoll_2p!J174))),1,0))</f>
        <v/>
      </c>
      <c r="G208" s="1" t="str">
        <f t="shared" si="6"/>
        <v/>
      </c>
      <c r="I208" s="1" t="str">
        <f>IF(Protokoll_2p!F174="","",IF(VALUE(LEFT(Protokoll_2p!F174,FIND(":",Protokoll_2p!F174)-1))&gt;VALUE(RIGHT(Protokoll_2p!F174,LEN(Protokoll_2p!F174)-FIND(":",Protokoll_2p!F174))),0,1))</f>
        <v/>
      </c>
      <c r="J208" s="1" t="str">
        <f>IF(Protokoll_2p!G174="","",IF(VALUE(LEFT(Protokoll_2p!G174,FIND(":",Protokoll_2p!G174)-1))&gt;VALUE(RIGHT(Protokoll_2p!G174,LEN(Protokoll_2p!G174)-FIND(":",Protokoll_2p!G174))),0,1))</f>
        <v/>
      </c>
      <c r="K208" s="1" t="str">
        <f>IF(Protokoll_2p!H174="","",IF(VALUE(LEFT(Protokoll_2p!H174,FIND(":",Protokoll_2p!H174)-1))&gt;VALUE(RIGHT(Protokoll_2p!H174,LEN(Protokoll_2p!H174)-FIND(":",Protokoll_2p!H174))),0,1))</f>
        <v/>
      </c>
      <c r="L208" s="1" t="str">
        <f>IF(Protokoll_2p!I174="","",IF(VALUE(LEFT(Protokoll_2p!I174,FIND(":",Protokoll_2p!I174)-1))&gt;VALUE(RIGHT(Protokoll_2p!I174,LEN(Protokoll_2p!I174)-FIND(":",Protokoll_2p!I174))),0,1))</f>
        <v/>
      </c>
      <c r="M208" s="1" t="str">
        <f>IF(Protokoll_2p!J174="","",IF(VALUE(LEFT(Protokoll_2p!J174,FIND(":",Protokoll_2p!J174)-1))&gt;VALUE(RIGHT(Protokoll_2p!J174,LEN(Protokoll_2p!J174)-FIND(":",Protokoll_2p!J174))),0,1))</f>
        <v/>
      </c>
      <c r="N208" s="1" t="str">
        <f t="shared" si="7"/>
        <v/>
      </c>
    </row>
    <row r="209" spans="2:14">
      <c r="B209" s="1" t="str">
        <f>IF(Protokoll_2p!F175="","",IF(VALUE(LEFT(Protokoll_2p!F175,FIND(":",Protokoll_2p!F175)-1))&gt;VALUE(RIGHT(Protokoll_2p!F175,LEN(Protokoll_2p!F175)-FIND(":",Protokoll_2p!F175))),1,0))</f>
        <v/>
      </c>
      <c r="C209" s="1" t="str">
        <f>IF(Protokoll_2p!G175="","",IF(VALUE(LEFT(Protokoll_2p!G175,FIND(":",Protokoll_2p!G175)-1))&gt;VALUE(RIGHT(Protokoll_2p!G175,LEN(Protokoll_2p!G175)-FIND(":",Protokoll_2p!G175))),1,0))</f>
        <v/>
      </c>
      <c r="D209" s="1" t="str">
        <f>IF(Protokoll_2p!H175="","",IF(VALUE(LEFT(Protokoll_2p!H175,FIND(":",Protokoll_2p!H175)-1))&gt;VALUE(RIGHT(Protokoll_2p!H175,LEN(Protokoll_2p!H175)-FIND(":",Protokoll_2p!H175))),1,0))</f>
        <v/>
      </c>
      <c r="E209" s="1" t="str">
        <f>IF(Protokoll_2p!I175="","",IF(VALUE(LEFT(Protokoll_2p!I175,FIND(":",Protokoll_2p!I175)-1))&gt;VALUE(RIGHT(Protokoll_2p!I175,LEN(Protokoll_2p!I175)-FIND(":",Protokoll_2p!I175))),1,0))</f>
        <v/>
      </c>
      <c r="F209" s="1" t="str">
        <f>IF(Protokoll_2p!J175="","",IF(VALUE(LEFT(Protokoll_2p!J175,FIND(":",Protokoll_2p!J175)-1))&gt;VALUE(RIGHT(Protokoll_2p!J175,LEN(Protokoll_2p!J175)-FIND(":",Protokoll_2p!J175))),1,0))</f>
        <v/>
      </c>
      <c r="G209" s="1" t="str">
        <f t="shared" si="6"/>
        <v/>
      </c>
      <c r="I209" s="1" t="str">
        <f>IF(Protokoll_2p!F175="","",IF(VALUE(LEFT(Protokoll_2p!F175,FIND(":",Protokoll_2p!F175)-1))&gt;VALUE(RIGHT(Protokoll_2p!F175,LEN(Protokoll_2p!F175)-FIND(":",Protokoll_2p!F175))),0,1))</f>
        <v/>
      </c>
      <c r="J209" s="1" t="str">
        <f>IF(Protokoll_2p!G175="","",IF(VALUE(LEFT(Protokoll_2p!G175,FIND(":",Protokoll_2p!G175)-1))&gt;VALUE(RIGHT(Protokoll_2p!G175,LEN(Protokoll_2p!G175)-FIND(":",Protokoll_2p!G175))),0,1))</f>
        <v/>
      </c>
      <c r="K209" s="1" t="str">
        <f>IF(Protokoll_2p!H175="","",IF(VALUE(LEFT(Protokoll_2p!H175,FIND(":",Protokoll_2p!H175)-1))&gt;VALUE(RIGHT(Protokoll_2p!H175,LEN(Protokoll_2p!H175)-FIND(":",Protokoll_2p!H175))),0,1))</f>
        <v/>
      </c>
      <c r="L209" s="1" t="str">
        <f>IF(Protokoll_2p!I175="","",IF(VALUE(LEFT(Protokoll_2p!I175,FIND(":",Protokoll_2p!I175)-1))&gt;VALUE(RIGHT(Protokoll_2p!I175,LEN(Protokoll_2p!I175)-FIND(":",Protokoll_2p!I175))),0,1))</f>
        <v/>
      </c>
      <c r="M209" s="1" t="str">
        <f>IF(Protokoll_2p!J175="","",IF(VALUE(LEFT(Protokoll_2p!J175,FIND(":",Protokoll_2p!J175)-1))&gt;VALUE(RIGHT(Protokoll_2p!J175,LEN(Protokoll_2p!J175)-FIND(":",Protokoll_2p!J175))),0,1))</f>
        <v/>
      </c>
      <c r="N209" s="1" t="str">
        <f t="shared" si="7"/>
        <v/>
      </c>
    </row>
    <row r="210" spans="2:14">
      <c r="B210" s="1" t="str">
        <f>IF(Protokoll_2p!F176="","",IF(VALUE(LEFT(Protokoll_2p!F176,FIND(":",Protokoll_2p!F176)-1))&gt;VALUE(RIGHT(Protokoll_2p!F176,LEN(Protokoll_2p!F176)-FIND(":",Protokoll_2p!F176))),1,0))</f>
        <v/>
      </c>
      <c r="C210" s="1" t="str">
        <f>IF(Protokoll_2p!G176="","",IF(VALUE(LEFT(Protokoll_2p!G176,FIND(":",Protokoll_2p!G176)-1))&gt;VALUE(RIGHT(Protokoll_2p!G176,LEN(Protokoll_2p!G176)-FIND(":",Protokoll_2p!G176))),1,0))</f>
        <v/>
      </c>
      <c r="D210" s="1" t="str">
        <f>IF(Protokoll_2p!H176="","",IF(VALUE(LEFT(Protokoll_2p!H176,FIND(":",Protokoll_2p!H176)-1))&gt;VALUE(RIGHT(Protokoll_2p!H176,LEN(Protokoll_2p!H176)-FIND(":",Protokoll_2p!H176))),1,0))</f>
        <v/>
      </c>
      <c r="E210" s="1" t="str">
        <f>IF(Protokoll_2p!I176="","",IF(VALUE(LEFT(Protokoll_2p!I176,FIND(":",Protokoll_2p!I176)-1))&gt;VALUE(RIGHT(Protokoll_2p!I176,LEN(Protokoll_2p!I176)-FIND(":",Protokoll_2p!I176))),1,0))</f>
        <v/>
      </c>
      <c r="F210" s="1" t="str">
        <f>IF(Protokoll_2p!J176="","",IF(VALUE(LEFT(Protokoll_2p!J176,FIND(":",Protokoll_2p!J176)-1))&gt;VALUE(RIGHT(Protokoll_2p!J176,LEN(Protokoll_2p!J176)-FIND(":",Protokoll_2p!J176))),1,0))</f>
        <v/>
      </c>
      <c r="G210" s="1" t="str">
        <f t="shared" si="6"/>
        <v/>
      </c>
      <c r="I210" s="1" t="str">
        <f>IF(Protokoll_2p!F176="","",IF(VALUE(LEFT(Protokoll_2p!F176,FIND(":",Protokoll_2p!F176)-1))&gt;VALUE(RIGHT(Protokoll_2p!F176,LEN(Protokoll_2p!F176)-FIND(":",Protokoll_2p!F176))),0,1))</f>
        <v/>
      </c>
      <c r="J210" s="1" t="str">
        <f>IF(Protokoll_2p!G176="","",IF(VALUE(LEFT(Protokoll_2p!G176,FIND(":",Protokoll_2p!G176)-1))&gt;VALUE(RIGHT(Protokoll_2p!G176,LEN(Protokoll_2p!G176)-FIND(":",Protokoll_2p!G176))),0,1))</f>
        <v/>
      </c>
      <c r="K210" s="1" t="str">
        <f>IF(Protokoll_2p!H176="","",IF(VALUE(LEFT(Protokoll_2p!H176,FIND(":",Protokoll_2p!H176)-1))&gt;VALUE(RIGHT(Protokoll_2p!H176,LEN(Protokoll_2p!H176)-FIND(":",Protokoll_2p!H176))),0,1))</f>
        <v/>
      </c>
      <c r="L210" s="1" t="str">
        <f>IF(Protokoll_2p!I176="","",IF(VALUE(LEFT(Protokoll_2p!I176,FIND(":",Protokoll_2p!I176)-1))&gt;VALUE(RIGHT(Protokoll_2p!I176,LEN(Protokoll_2p!I176)-FIND(":",Protokoll_2p!I176))),0,1))</f>
        <v/>
      </c>
      <c r="M210" s="1" t="str">
        <f>IF(Protokoll_2p!J176="","",IF(VALUE(LEFT(Protokoll_2p!J176,FIND(":",Protokoll_2p!J176)-1))&gt;VALUE(RIGHT(Protokoll_2p!J176,LEN(Protokoll_2p!J176)-FIND(":",Protokoll_2p!J176))),0,1))</f>
        <v/>
      </c>
      <c r="N210" s="1" t="str">
        <f t="shared" si="7"/>
        <v/>
      </c>
    </row>
    <row r="211" spans="2:14">
      <c r="B211" s="1" t="str">
        <f>IF(Protokoll_2p!F177="","",IF(VALUE(LEFT(Protokoll_2p!F177,FIND(":",Protokoll_2p!F177)-1))&gt;VALUE(RIGHT(Protokoll_2p!F177,LEN(Protokoll_2p!F177)-FIND(":",Protokoll_2p!F177))),1,0))</f>
        <v/>
      </c>
      <c r="C211" s="1" t="str">
        <f>IF(Protokoll_2p!G177="","",IF(VALUE(LEFT(Protokoll_2p!G177,FIND(":",Protokoll_2p!G177)-1))&gt;VALUE(RIGHT(Protokoll_2p!G177,LEN(Protokoll_2p!G177)-FIND(":",Protokoll_2p!G177))),1,0))</f>
        <v/>
      </c>
      <c r="D211" s="1" t="str">
        <f>IF(Protokoll_2p!H177="","",IF(VALUE(LEFT(Protokoll_2p!H177,FIND(":",Protokoll_2p!H177)-1))&gt;VALUE(RIGHT(Protokoll_2p!H177,LEN(Protokoll_2p!H177)-FIND(":",Protokoll_2p!H177))),1,0))</f>
        <v/>
      </c>
      <c r="E211" s="1" t="str">
        <f>IF(Protokoll_2p!I177="","",IF(VALUE(LEFT(Protokoll_2p!I177,FIND(":",Protokoll_2p!I177)-1))&gt;VALUE(RIGHT(Protokoll_2p!I177,LEN(Protokoll_2p!I177)-FIND(":",Protokoll_2p!I177))),1,0))</f>
        <v/>
      </c>
      <c r="F211" s="1" t="str">
        <f>IF(Protokoll_2p!J177="","",IF(VALUE(LEFT(Protokoll_2p!J177,FIND(":",Protokoll_2p!J177)-1))&gt;VALUE(RIGHT(Protokoll_2p!J177,LEN(Protokoll_2p!J177)-FIND(":",Protokoll_2p!J177))),1,0))</f>
        <v/>
      </c>
      <c r="G211" s="1" t="str">
        <f t="shared" si="6"/>
        <v/>
      </c>
      <c r="I211" s="1" t="str">
        <f>IF(Protokoll_2p!F177="","",IF(VALUE(LEFT(Protokoll_2p!F177,FIND(":",Protokoll_2p!F177)-1))&gt;VALUE(RIGHT(Protokoll_2p!F177,LEN(Protokoll_2p!F177)-FIND(":",Protokoll_2p!F177))),0,1))</f>
        <v/>
      </c>
      <c r="J211" s="1" t="str">
        <f>IF(Protokoll_2p!G177="","",IF(VALUE(LEFT(Protokoll_2p!G177,FIND(":",Protokoll_2p!G177)-1))&gt;VALUE(RIGHT(Protokoll_2p!G177,LEN(Protokoll_2p!G177)-FIND(":",Protokoll_2p!G177))),0,1))</f>
        <v/>
      </c>
      <c r="K211" s="1" t="str">
        <f>IF(Protokoll_2p!H177="","",IF(VALUE(LEFT(Protokoll_2p!H177,FIND(":",Protokoll_2p!H177)-1))&gt;VALUE(RIGHT(Protokoll_2p!H177,LEN(Protokoll_2p!H177)-FIND(":",Protokoll_2p!H177))),0,1))</f>
        <v/>
      </c>
      <c r="L211" s="1" t="str">
        <f>IF(Protokoll_2p!I177="","",IF(VALUE(LEFT(Protokoll_2p!I177,FIND(":",Protokoll_2p!I177)-1))&gt;VALUE(RIGHT(Protokoll_2p!I177,LEN(Protokoll_2p!I177)-FIND(":",Protokoll_2p!I177))),0,1))</f>
        <v/>
      </c>
      <c r="M211" s="1" t="str">
        <f>IF(Protokoll_2p!J177="","",IF(VALUE(LEFT(Protokoll_2p!J177,FIND(":",Protokoll_2p!J177)-1))&gt;VALUE(RIGHT(Protokoll_2p!J177,LEN(Protokoll_2p!J177)-FIND(":",Protokoll_2p!J177))),0,1))</f>
        <v/>
      </c>
      <c r="N211" s="1" t="str">
        <f t="shared" si="7"/>
        <v/>
      </c>
    </row>
    <row r="212" spans="2:14">
      <c r="B212" s="1" t="str">
        <f>IF(Protokoll_2p!F178="","",IF(VALUE(LEFT(Protokoll_2p!F178,FIND(":",Protokoll_2p!F178)-1))&gt;VALUE(RIGHT(Protokoll_2p!F178,LEN(Protokoll_2p!F178)-FIND(":",Protokoll_2p!F178))),1,0))</f>
        <v/>
      </c>
      <c r="C212" s="1" t="str">
        <f>IF(Protokoll_2p!G178="","",IF(VALUE(LEFT(Protokoll_2p!G178,FIND(":",Protokoll_2p!G178)-1))&gt;VALUE(RIGHT(Protokoll_2p!G178,LEN(Protokoll_2p!G178)-FIND(":",Protokoll_2p!G178))),1,0))</f>
        <v/>
      </c>
      <c r="D212" s="1" t="str">
        <f>IF(Protokoll_2p!H178="","",IF(VALUE(LEFT(Protokoll_2p!H178,FIND(":",Protokoll_2p!H178)-1))&gt;VALUE(RIGHT(Protokoll_2p!H178,LEN(Protokoll_2p!H178)-FIND(":",Protokoll_2p!H178))),1,0))</f>
        <v/>
      </c>
      <c r="E212" s="1" t="str">
        <f>IF(Protokoll_2p!I178="","",IF(VALUE(LEFT(Protokoll_2p!I178,FIND(":",Protokoll_2p!I178)-1))&gt;VALUE(RIGHT(Protokoll_2p!I178,LEN(Protokoll_2p!I178)-FIND(":",Protokoll_2p!I178))),1,0))</f>
        <v/>
      </c>
      <c r="F212" s="1" t="str">
        <f>IF(Protokoll_2p!J178="","",IF(VALUE(LEFT(Protokoll_2p!J178,FIND(":",Protokoll_2p!J178)-1))&gt;VALUE(RIGHT(Protokoll_2p!J178,LEN(Protokoll_2p!J178)-FIND(":",Protokoll_2p!J178))),1,0))</f>
        <v/>
      </c>
      <c r="G212" s="1" t="str">
        <f t="shared" si="6"/>
        <v/>
      </c>
      <c r="I212" s="1" t="str">
        <f>IF(Protokoll_2p!F178="","",IF(VALUE(LEFT(Protokoll_2p!F178,FIND(":",Protokoll_2p!F178)-1))&gt;VALUE(RIGHT(Protokoll_2p!F178,LEN(Protokoll_2p!F178)-FIND(":",Protokoll_2p!F178))),0,1))</f>
        <v/>
      </c>
      <c r="J212" s="1" t="str">
        <f>IF(Protokoll_2p!G178="","",IF(VALUE(LEFT(Protokoll_2p!G178,FIND(":",Protokoll_2p!G178)-1))&gt;VALUE(RIGHT(Protokoll_2p!G178,LEN(Protokoll_2p!G178)-FIND(":",Protokoll_2p!G178))),0,1))</f>
        <v/>
      </c>
      <c r="K212" s="1" t="str">
        <f>IF(Protokoll_2p!H178="","",IF(VALUE(LEFT(Protokoll_2p!H178,FIND(":",Protokoll_2p!H178)-1))&gt;VALUE(RIGHT(Protokoll_2p!H178,LEN(Protokoll_2p!H178)-FIND(":",Protokoll_2p!H178))),0,1))</f>
        <v/>
      </c>
      <c r="L212" s="1" t="str">
        <f>IF(Protokoll_2p!I178="","",IF(VALUE(LEFT(Protokoll_2p!I178,FIND(":",Protokoll_2p!I178)-1))&gt;VALUE(RIGHT(Protokoll_2p!I178,LEN(Protokoll_2p!I178)-FIND(":",Protokoll_2p!I178))),0,1))</f>
        <v/>
      </c>
      <c r="M212" s="1" t="str">
        <f>IF(Protokoll_2p!J178="","",IF(VALUE(LEFT(Protokoll_2p!J178,FIND(":",Protokoll_2p!J178)-1))&gt;VALUE(RIGHT(Protokoll_2p!J178,LEN(Protokoll_2p!J178)-FIND(":",Protokoll_2p!J178))),0,1))</f>
        <v/>
      </c>
      <c r="N212" s="1" t="str">
        <f t="shared" si="7"/>
        <v/>
      </c>
    </row>
    <row r="213" spans="2:14">
      <c r="B213" s="1" t="str">
        <f>IF(Protokoll_2p!F179="","",IF(VALUE(LEFT(Protokoll_2p!F179,FIND(":",Protokoll_2p!F179)-1))&gt;VALUE(RIGHT(Protokoll_2p!F179,LEN(Protokoll_2p!F179)-FIND(":",Protokoll_2p!F179))),1,0))</f>
        <v/>
      </c>
      <c r="C213" s="1" t="str">
        <f>IF(Protokoll_2p!G179="","",IF(VALUE(LEFT(Protokoll_2p!G179,FIND(":",Protokoll_2p!G179)-1))&gt;VALUE(RIGHT(Protokoll_2p!G179,LEN(Protokoll_2p!G179)-FIND(":",Protokoll_2p!G179))),1,0))</f>
        <v/>
      </c>
      <c r="D213" s="1" t="str">
        <f>IF(Protokoll_2p!H179="","",IF(VALUE(LEFT(Protokoll_2p!H179,FIND(":",Protokoll_2p!H179)-1))&gt;VALUE(RIGHT(Protokoll_2p!H179,LEN(Protokoll_2p!H179)-FIND(":",Protokoll_2p!H179))),1,0))</f>
        <v/>
      </c>
      <c r="E213" s="1" t="str">
        <f>IF(Protokoll_2p!I179="","",IF(VALUE(LEFT(Protokoll_2p!I179,FIND(":",Protokoll_2p!I179)-1))&gt;VALUE(RIGHT(Protokoll_2p!I179,LEN(Protokoll_2p!I179)-FIND(":",Protokoll_2p!I179))),1,0))</f>
        <v/>
      </c>
      <c r="F213" s="1" t="str">
        <f>IF(Protokoll_2p!J179="","",IF(VALUE(LEFT(Protokoll_2p!J179,FIND(":",Protokoll_2p!J179)-1))&gt;VALUE(RIGHT(Protokoll_2p!J179,LEN(Protokoll_2p!J179)-FIND(":",Protokoll_2p!J179))),1,0))</f>
        <v/>
      </c>
      <c r="G213" s="1" t="str">
        <f t="shared" si="6"/>
        <v/>
      </c>
      <c r="I213" s="1" t="str">
        <f>IF(Protokoll_2p!F179="","",IF(VALUE(LEFT(Protokoll_2p!F179,FIND(":",Protokoll_2p!F179)-1))&gt;VALUE(RIGHT(Protokoll_2p!F179,LEN(Protokoll_2p!F179)-FIND(":",Protokoll_2p!F179))),0,1))</f>
        <v/>
      </c>
      <c r="J213" s="1" t="str">
        <f>IF(Protokoll_2p!G179="","",IF(VALUE(LEFT(Protokoll_2p!G179,FIND(":",Protokoll_2p!G179)-1))&gt;VALUE(RIGHT(Protokoll_2p!G179,LEN(Protokoll_2p!G179)-FIND(":",Protokoll_2p!G179))),0,1))</f>
        <v/>
      </c>
      <c r="K213" s="1" t="str">
        <f>IF(Protokoll_2p!H179="","",IF(VALUE(LEFT(Protokoll_2p!H179,FIND(":",Protokoll_2p!H179)-1))&gt;VALUE(RIGHT(Protokoll_2p!H179,LEN(Protokoll_2p!H179)-FIND(":",Protokoll_2p!H179))),0,1))</f>
        <v/>
      </c>
      <c r="L213" s="1" t="str">
        <f>IF(Protokoll_2p!I179="","",IF(VALUE(LEFT(Protokoll_2p!I179,FIND(":",Protokoll_2p!I179)-1))&gt;VALUE(RIGHT(Protokoll_2p!I179,LEN(Protokoll_2p!I179)-FIND(":",Protokoll_2p!I179))),0,1))</f>
        <v/>
      </c>
      <c r="M213" s="1" t="str">
        <f>IF(Protokoll_2p!J179="","",IF(VALUE(LEFT(Protokoll_2p!J179,FIND(":",Protokoll_2p!J179)-1))&gt;VALUE(RIGHT(Protokoll_2p!J179,LEN(Protokoll_2p!J179)-FIND(":",Protokoll_2p!J179))),0,1))</f>
        <v/>
      </c>
      <c r="N213" s="1" t="str">
        <f t="shared" si="7"/>
        <v/>
      </c>
    </row>
    <row r="214" spans="2:14">
      <c r="B214" s="1" t="str">
        <f>IF(Protokoll_2p!F180="","",IF(VALUE(LEFT(Protokoll_2p!F180,FIND(":",Protokoll_2p!F180)-1))&gt;VALUE(RIGHT(Protokoll_2p!F180,LEN(Protokoll_2p!F180)-FIND(":",Protokoll_2p!F180))),1,0))</f>
        <v/>
      </c>
      <c r="C214" s="1" t="str">
        <f>IF(Protokoll_2p!G180="","",IF(VALUE(LEFT(Protokoll_2p!G180,FIND(":",Protokoll_2p!G180)-1))&gt;VALUE(RIGHT(Protokoll_2p!G180,LEN(Protokoll_2p!G180)-FIND(":",Protokoll_2p!G180))),1,0))</f>
        <v/>
      </c>
      <c r="D214" s="1" t="str">
        <f>IF(Protokoll_2p!H180="","",IF(VALUE(LEFT(Protokoll_2p!H180,FIND(":",Protokoll_2p!H180)-1))&gt;VALUE(RIGHT(Protokoll_2p!H180,LEN(Protokoll_2p!H180)-FIND(":",Protokoll_2p!H180))),1,0))</f>
        <v/>
      </c>
      <c r="E214" s="1" t="str">
        <f>IF(Protokoll_2p!I180="","",IF(VALUE(LEFT(Protokoll_2p!I180,FIND(":",Protokoll_2p!I180)-1))&gt;VALUE(RIGHT(Protokoll_2p!I180,LEN(Protokoll_2p!I180)-FIND(":",Protokoll_2p!I180))),1,0))</f>
        <v/>
      </c>
      <c r="F214" s="1" t="str">
        <f>IF(Protokoll_2p!J180="","",IF(VALUE(LEFT(Protokoll_2p!J180,FIND(":",Protokoll_2p!J180)-1))&gt;VALUE(RIGHT(Protokoll_2p!J180,LEN(Protokoll_2p!J180)-FIND(":",Protokoll_2p!J180))),1,0))</f>
        <v/>
      </c>
      <c r="G214" s="1" t="str">
        <f t="shared" si="6"/>
        <v/>
      </c>
      <c r="I214" s="1" t="str">
        <f>IF(Protokoll_2p!F180="","",IF(VALUE(LEFT(Protokoll_2p!F180,FIND(":",Protokoll_2p!F180)-1))&gt;VALUE(RIGHT(Protokoll_2p!F180,LEN(Protokoll_2p!F180)-FIND(":",Protokoll_2p!F180))),0,1))</f>
        <v/>
      </c>
      <c r="J214" s="1" t="str">
        <f>IF(Protokoll_2p!G180="","",IF(VALUE(LEFT(Protokoll_2p!G180,FIND(":",Protokoll_2p!G180)-1))&gt;VALUE(RIGHT(Protokoll_2p!G180,LEN(Protokoll_2p!G180)-FIND(":",Protokoll_2p!G180))),0,1))</f>
        <v/>
      </c>
      <c r="K214" s="1" t="str">
        <f>IF(Protokoll_2p!H180="","",IF(VALUE(LEFT(Protokoll_2p!H180,FIND(":",Protokoll_2p!H180)-1))&gt;VALUE(RIGHT(Protokoll_2p!H180,LEN(Protokoll_2p!H180)-FIND(":",Protokoll_2p!H180))),0,1))</f>
        <v/>
      </c>
      <c r="L214" s="1" t="str">
        <f>IF(Protokoll_2p!I180="","",IF(VALUE(LEFT(Protokoll_2p!I180,FIND(":",Protokoll_2p!I180)-1))&gt;VALUE(RIGHT(Protokoll_2p!I180,LEN(Protokoll_2p!I180)-FIND(":",Protokoll_2p!I180))),0,1))</f>
        <v/>
      </c>
      <c r="M214" s="1" t="str">
        <f>IF(Protokoll_2p!J180="","",IF(VALUE(LEFT(Protokoll_2p!J180,FIND(":",Protokoll_2p!J180)-1))&gt;VALUE(RIGHT(Protokoll_2p!J180,LEN(Protokoll_2p!J180)-FIND(":",Protokoll_2p!J180))),0,1))</f>
        <v/>
      </c>
      <c r="N214" s="1" t="str">
        <f t="shared" si="7"/>
        <v/>
      </c>
    </row>
    <row r="215" spans="2:14">
      <c r="B215" s="1" t="str">
        <f>IF(Protokoll_2p!F181="","",IF(VALUE(LEFT(Protokoll_2p!F181,FIND(":",Protokoll_2p!F181)-1))&gt;VALUE(RIGHT(Protokoll_2p!F181,LEN(Protokoll_2p!F181)-FIND(":",Protokoll_2p!F181))),1,0))</f>
        <v/>
      </c>
      <c r="C215" s="1" t="str">
        <f>IF(Protokoll_2p!G181="","",IF(VALUE(LEFT(Protokoll_2p!G181,FIND(":",Protokoll_2p!G181)-1))&gt;VALUE(RIGHT(Protokoll_2p!G181,LEN(Protokoll_2p!G181)-FIND(":",Protokoll_2p!G181))),1,0))</f>
        <v/>
      </c>
      <c r="D215" s="1" t="str">
        <f>IF(Protokoll_2p!H181="","",IF(VALUE(LEFT(Protokoll_2p!H181,FIND(":",Protokoll_2p!H181)-1))&gt;VALUE(RIGHT(Protokoll_2p!H181,LEN(Protokoll_2p!H181)-FIND(":",Protokoll_2p!H181))),1,0))</f>
        <v/>
      </c>
      <c r="E215" s="1" t="str">
        <f>IF(Protokoll_2p!I181="","",IF(VALUE(LEFT(Protokoll_2p!I181,FIND(":",Protokoll_2p!I181)-1))&gt;VALUE(RIGHT(Protokoll_2p!I181,LEN(Protokoll_2p!I181)-FIND(":",Protokoll_2p!I181))),1,0))</f>
        <v/>
      </c>
      <c r="F215" s="1" t="str">
        <f>IF(Protokoll_2p!J181="","",IF(VALUE(LEFT(Protokoll_2p!J181,FIND(":",Protokoll_2p!J181)-1))&gt;VALUE(RIGHT(Protokoll_2p!J181,LEN(Protokoll_2p!J181)-FIND(":",Protokoll_2p!J181))),1,0))</f>
        <v/>
      </c>
      <c r="G215" s="1" t="str">
        <f t="shared" si="6"/>
        <v/>
      </c>
      <c r="I215" s="1" t="str">
        <f>IF(Protokoll_2p!F181="","",IF(VALUE(LEFT(Protokoll_2p!F181,FIND(":",Protokoll_2p!F181)-1))&gt;VALUE(RIGHT(Protokoll_2p!F181,LEN(Protokoll_2p!F181)-FIND(":",Protokoll_2p!F181))),0,1))</f>
        <v/>
      </c>
      <c r="J215" s="1" t="str">
        <f>IF(Protokoll_2p!G181="","",IF(VALUE(LEFT(Protokoll_2p!G181,FIND(":",Protokoll_2p!G181)-1))&gt;VALUE(RIGHT(Protokoll_2p!G181,LEN(Protokoll_2p!G181)-FIND(":",Protokoll_2p!G181))),0,1))</f>
        <v/>
      </c>
      <c r="K215" s="1" t="str">
        <f>IF(Protokoll_2p!H181="","",IF(VALUE(LEFT(Protokoll_2p!H181,FIND(":",Protokoll_2p!H181)-1))&gt;VALUE(RIGHT(Protokoll_2p!H181,LEN(Protokoll_2p!H181)-FIND(":",Protokoll_2p!H181))),0,1))</f>
        <v/>
      </c>
      <c r="L215" s="1" t="str">
        <f>IF(Protokoll_2p!I181="","",IF(VALUE(LEFT(Protokoll_2p!I181,FIND(":",Protokoll_2p!I181)-1))&gt;VALUE(RIGHT(Protokoll_2p!I181,LEN(Protokoll_2p!I181)-FIND(":",Protokoll_2p!I181))),0,1))</f>
        <v/>
      </c>
      <c r="M215" s="1" t="str">
        <f>IF(Protokoll_2p!J181="","",IF(VALUE(LEFT(Protokoll_2p!J181,FIND(":",Protokoll_2p!J181)-1))&gt;VALUE(RIGHT(Protokoll_2p!J181,LEN(Protokoll_2p!J181)-FIND(":",Protokoll_2p!J181))),0,1))</f>
        <v/>
      </c>
      <c r="N215" s="1" t="str">
        <f t="shared" si="7"/>
        <v/>
      </c>
    </row>
    <row r="216" spans="2:14">
      <c r="B216" s="1" t="str">
        <f>IF(Protokoll_2p!F182="","",IF(VALUE(LEFT(Protokoll_2p!F182,FIND(":",Protokoll_2p!F182)-1))&gt;VALUE(RIGHT(Protokoll_2p!F182,LEN(Protokoll_2p!F182)-FIND(":",Protokoll_2p!F182))),1,0))</f>
        <v/>
      </c>
      <c r="C216" s="1" t="str">
        <f>IF(Protokoll_2p!G182="","",IF(VALUE(LEFT(Protokoll_2p!G182,FIND(":",Protokoll_2p!G182)-1))&gt;VALUE(RIGHT(Protokoll_2p!G182,LEN(Protokoll_2p!G182)-FIND(":",Protokoll_2p!G182))),1,0))</f>
        <v/>
      </c>
      <c r="D216" s="1" t="str">
        <f>IF(Protokoll_2p!H182="","",IF(VALUE(LEFT(Protokoll_2p!H182,FIND(":",Protokoll_2p!H182)-1))&gt;VALUE(RIGHT(Protokoll_2p!H182,LEN(Protokoll_2p!H182)-FIND(":",Protokoll_2p!H182))),1,0))</f>
        <v/>
      </c>
      <c r="E216" s="1" t="str">
        <f>IF(Protokoll_2p!I182="","",IF(VALUE(LEFT(Protokoll_2p!I182,FIND(":",Protokoll_2p!I182)-1))&gt;VALUE(RIGHT(Protokoll_2p!I182,LEN(Protokoll_2p!I182)-FIND(":",Protokoll_2p!I182))),1,0))</f>
        <v/>
      </c>
      <c r="F216" s="1" t="str">
        <f>IF(Protokoll_2p!J182="","",IF(VALUE(LEFT(Protokoll_2p!J182,FIND(":",Protokoll_2p!J182)-1))&gt;VALUE(RIGHT(Protokoll_2p!J182,LEN(Protokoll_2p!J182)-FIND(":",Protokoll_2p!J182))),1,0))</f>
        <v/>
      </c>
      <c r="G216" s="1" t="str">
        <f t="shared" si="6"/>
        <v/>
      </c>
      <c r="I216" s="1" t="str">
        <f>IF(Protokoll_2p!F182="","",IF(VALUE(LEFT(Protokoll_2p!F182,FIND(":",Protokoll_2p!F182)-1))&gt;VALUE(RIGHT(Protokoll_2p!F182,LEN(Protokoll_2p!F182)-FIND(":",Protokoll_2p!F182))),0,1))</f>
        <v/>
      </c>
      <c r="J216" s="1" t="str">
        <f>IF(Protokoll_2p!G182="","",IF(VALUE(LEFT(Protokoll_2p!G182,FIND(":",Protokoll_2p!G182)-1))&gt;VALUE(RIGHT(Protokoll_2p!G182,LEN(Protokoll_2p!G182)-FIND(":",Protokoll_2p!G182))),0,1))</f>
        <v/>
      </c>
      <c r="K216" s="1" t="str">
        <f>IF(Protokoll_2p!H182="","",IF(VALUE(LEFT(Protokoll_2p!H182,FIND(":",Protokoll_2p!H182)-1))&gt;VALUE(RIGHT(Protokoll_2p!H182,LEN(Protokoll_2p!H182)-FIND(":",Protokoll_2p!H182))),0,1))</f>
        <v/>
      </c>
      <c r="L216" s="1" t="str">
        <f>IF(Protokoll_2p!I182="","",IF(VALUE(LEFT(Protokoll_2p!I182,FIND(":",Protokoll_2p!I182)-1))&gt;VALUE(RIGHT(Protokoll_2p!I182,LEN(Protokoll_2p!I182)-FIND(":",Protokoll_2p!I182))),0,1))</f>
        <v/>
      </c>
      <c r="M216" s="1" t="str">
        <f>IF(Protokoll_2p!J182="","",IF(VALUE(LEFT(Protokoll_2p!J182,FIND(":",Protokoll_2p!J182)-1))&gt;VALUE(RIGHT(Protokoll_2p!J182,LEN(Protokoll_2p!J182)-FIND(":",Protokoll_2p!J182))),0,1))</f>
        <v/>
      </c>
      <c r="N216" s="1" t="str">
        <f t="shared" si="7"/>
        <v/>
      </c>
    </row>
    <row r="217" spans="2:14">
      <c r="B217" s="1" t="str">
        <f>IF(Protokoll_2p!F183="","",IF(VALUE(LEFT(Protokoll_2p!F183,FIND(":",Protokoll_2p!F183)-1))&gt;VALUE(RIGHT(Protokoll_2p!F183,LEN(Protokoll_2p!F183)-FIND(":",Protokoll_2p!F183))),1,0))</f>
        <v/>
      </c>
      <c r="C217" s="1" t="str">
        <f>IF(Protokoll_2p!G183="","",IF(VALUE(LEFT(Protokoll_2p!G183,FIND(":",Protokoll_2p!G183)-1))&gt;VALUE(RIGHT(Protokoll_2p!G183,LEN(Protokoll_2p!G183)-FIND(":",Protokoll_2p!G183))),1,0))</f>
        <v/>
      </c>
      <c r="D217" s="1" t="str">
        <f>IF(Protokoll_2p!H183="","",IF(VALUE(LEFT(Protokoll_2p!H183,FIND(":",Protokoll_2p!H183)-1))&gt;VALUE(RIGHT(Protokoll_2p!H183,LEN(Protokoll_2p!H183)-FIND(":",Protokoll_2p!H183))),1,0))</f>
        <v/>
      </c>
      <c r="E217" s="1" t="str">
        <f>IF(Protokoll_2p!I183="","",IF(VALUE(LEFT(Protokoll_2p!I183,FIND(":",Protokoll_2p!I183)-1))&gt;VALUE(RIGHT(Protokoll_2p!I183,LEN(Protokoll_2p!I183)-FIND(":",Protokoll_2p!I183))),1,0))</f>
        <v/>
      </c>
      <c r="F217" s="1" t="str">
        <f>IF(Protokoll_2p!J183="","",IF(VALUE(LEFT(Protokoll_2p!J183,FIND(":",Protokoll_2p!J183)-1))&gt;VALUE(RIGHT(Protokoll_2p!J183,LEN(Protokoll_2p!J183)-FIND(":",Protokoll_2p!J183))),1,0))</f>
        <v/>
      </c>
      <c r="G217" s="1" t="str">
        <f t="shared" si="6"/>
        <v/>
      </c>
      <c r="I217" s="1" t="str">
        <f>IF(Protokoll_2p!F183="","",IF(VALUE(LEFT(Protokoll_2p!F183,FIND(":",Protokoll_2p!F183)-1))&gt;VALUE(RIGHT(Protokoll_2p!F183,LEN(Protokoll_2p!F183)-FIND(":",Protokoll_2p!F183))),0,1))</f>
        <v/>
      </c>
      <c r="J217" s="1" t="str">
        <f>IF(Protokoll_2p!G183="","",IF(VALUE(LEFT(Protokoll_2p!G183,FIND(":",Protokoll_2p!G183)-1))&gt;VALUE(RIGHT(Protokoll_2p!G183,LEN(Protokoll_2p!G183)-FIND(":",Protokoll_2p!G183))),0,1))</f>
        <v/>
      </c>
      <c r="K217" s="1" t="str">
        <f>IF(Protokoll_2p!H183="","",IF(VALUE(LEFT(Protokoll_2p!H183,FIND(":",Protokoll_2p!H183)-1))&gt;VALUE(RIGHT(Protokoll_2p!H183,LEN(Protokoll_2p!H183)-FIND(":",Protokoll_2p!H183))),0,1))</f>
        <v/>
      </c>
      <c r="L217" s="1" t="str">
        <f>IF(Protokoll_2p!I183="","",IF(VALUE(LEFT(Protokoll_2p!I183,FIND(":",Protokoll_2p!I183)-1))&gt;VALUE(RIGHT(Protokoll_2p!I183,LEN(Protokoll_2p!I183)-FIND(":",Protokoll_2p!I183))),0,1))</f>
        <v/>
      </c>
      <c r="M217" s="1" t="str">
        <f>IF(Protokoll_2p!J183="","",IF(VALUE(LEFT(Protokoll_2p!J183,FIND(":",Protokoll_2p!J183)-1))&gt;VALUE(RIGHT(Protokoll_2p!J183,LEN(Protokoll_2p!J183)-FIND(":",Protokoll_2p!J183))),0,1))</f>
        <v/>
      </c>
      <c r="N217" s="1" t="str">
        <f t="shared" si="7"/>
        <v/>
      </c>
    </row>
    <row r="218" spans="2:14">
      <c r="B218" s="1" t="str">
        <f>IF(Protokoll_2p!F184="","",IF(VALUE(LEFT(Protokoll_2p!F184,FIND(":",Protokoll_2p!F184)-1))&gt;VALUE(RIGHT(Protokoll_2p!F184,LEN(Protokoll_2p!F184)-FIND(":",Protokoll_2p!F184))),1,0))</f>
        <v/>
      </c>
      <c r="C218" s="1" t="str">
        <f>IF(Protokoll_2p!G184="","",IF(VALUE(LEFT(Protokoll_2p!G184,FIND(":",Protokoll_2p!G184)-1))&gt;VALUE(RIGHT(Protokoll_2p!G184,LEN(Protokoll_2p!G184)-FIND(":",Protokoll_2p!G184))),1,0))</f>
        <v/>
      </c>
      <c r="D218" s="1" t="str">
        <f>IF(Protokoll_2p!H184="","",IF(VALUE(LEFT(Protokoll_2p!H184,FIND(":",Protokoll_2p!H184)-1))&gt;VALUE(RIGHT(Protokoll_2p!H184,LEN(Protokoll_2p!H184)-FIND(":",Protokoll_2p!H184))),1,0))</f>
        <v/>
      </c>
      <c r="E218" s="1" t="str">
        <f>IF(Protokoll_2p!I184="","",IF(VALUE(LEFT(Protokoll_2p!I184,FIND(":",Protokoll_2p!I184)-1))&gt;VALUE(RIGHT(Protokoll_2p!I184,LEN(Protokoll_2p!I184)-FIND(":",Protokoll_2p!I184))),1,0))</f>
        <v/>
      </c>
      <c r="F218" s="1" t="str">
        <f>IF(Protokoll_2p!J184="","",IF(VALUE(LEFT(Protokoll_2p!J184,FIND(":",Protokoll_2p!J184)-1))&gt;VALUE(RIGHT(Protokoll_2p!J184,LEN(Protokoll_2p!J184)-FIND(":",Protokoll_2p!J184))),1,0))</f>
        <v/>
      </c>
      <c r="G218" s="1" t="str">
        <f t="shared" si="6"/>
        <v/>
      </c>
      <c r="I218" s="1" t="str">
        <f>IF(Protokoll_2p!F184="","",IF(VALUE(LEFT(Protokoll_2p!F184,FIND(":",Protokoll_2p!F184)-1))&gt;VALUE(RIGHT(Protokoll_2p!F184,LEN(Protokoll_2p!F184)-FIND(":",Protokoll_2p!F184))),0,1))</f>
        <v/>
      </c>
      <c r="J218" s="1" t="str">
        <f>IF(Protokoll_2p!G184="","",IF(VALUE(LEFT(Protokoll_2p!G184,FIND(":",Protokoll_2p!G184)-1))&gt;VALUE(RIGHT(Protokoll_2p!G184,LEN(Protokoll_2p!G184)-FIND(":",Protokoll_2p!G184))),0,1))</f>
        <v/>
      </c>
      <c r="K218" s="1" t="str">
        <f>IF(Protokoll_2p!H184="","",IF(VALUE(LEFT(Protokoll_2p!H184,FIND(":",Protokoll_2p!H184)-1))&gt;VALUE(RIGHT(Protokoll_2p!H184,LEN(Protokoll_2p!H184)-FIND(":",Protokoll_2p!H184))),0,1))</f>
        <v/>
      </c>
      <c r="L218" s="1" t="str">
        <f>IF(Protokoll_2p!I184="","",IF(VALUE(LEFT(Protokoll_2p!I184,FIND(":",Protokoll_2p!I184)-1))&gt;VALUE(RIGHT(Protokoll_2p!I184,LEN(Protokoll_2p!I184)-FIND(":",Protokoll_2p!I184))),0,1))</f>
        <v/>
      </c>
      <c r="M218" s="1" t="str">
        <f>IF(Protokoll_2p!J184="","",IF(VALUE(LEFT(Protokoll_2p!J184,FIND(":",Protokoll_2p!J184)-1))&gt;VALUE(RIGHT(Protokoll_2p!J184,LEN(Protokoll_2p!J184)-FIND(":",Protokoll_2p!J184))),0,1))</f>
        <v/>
      </c>
      <c r="N218" s="1" t="str">
        <f t="shared" si="7"/>
        <v/>
      </c>
    </row>
    <row r="219" spans="2:14">
      <c r="B219" s="1" t="str">
        <f>IF(Protokoll_2p!F185="","",IF(VALUE(LEFT(Protokoll_2p!F185,FIND(":",Protokoll_2p!F185)-1))&gt;VALUE(RIGHT(Protokoll_2p!F185,LEN(Protokoll_2p!F185)-FIND(":",Protokoll_2p!F185))),1,0))</f>
        <v/>
      </c>
      <c r="C219" s="1" t="str">
        <f>IF(Protokoll_2p!G185="","",IF(VALUE(LEFT(Protokoll_2p!G185,FIND(":",Protokoll_2p!G185)-1))&gt;VALUE(RIGHT(Protokoll_2p!G185,LEN(Protokoll_2p!G185)-FIND(":",Protokoll_2p!G185))),1,0))</f>
        <v/>
      </c>
      <c r="D219" s="1" t="str">
        <f>IF(Protokoll_2p!H185="","",IF(VALUE(LEFT(Protokoll_2p!H185,FIND(":",Protokoll_2p!H185)-1))&gt;VALUE(RIGHT(Protokoll_2p!H185,LEN(Protokoll_2p!H185)-FIND(":",Protokoll_2p!H185))),1,0))</f>
        <v/>
      </c>
      <c r="E219" s="1" t="str">
        <f>IF(Protokoll_2p!I185="","",IF(VALUE(LEFT(Protokoll_2p!I185,FIND(":",Protokoll_2p!I185)-1))&gt;VALUE(RIGHT(Protokoll_2p!I185,LEN(Protokoll_2p!I185)-FIND(":",Protokoll_2p!I185))),1,0))</f>
        <v/>
      </c>
      <c r="F219" s="1" t="str">
        <f>IF(Protokoll_2p!J185="","",IF(VALUE(LEFT(Protokoll_2p!J185,FIND(":",Protokoll_2p!J185)-1))&gt;VALUE(RIGHT(Protokoll_2p!J185,LEN(Protokoll_2p!J185)-FIND(":",Protokoll_2p!J185))),1,0))</f>
        <v/>
      </c>
      <c r="G219" s="1" t="str">
        <f t="shared" si="6"/>
        <v/>
      </c>
      <c r="I219" s="1" t="str">
        <f>IF(Protokoll_2p!F185="","",IF(VALUE(LEFT(Protokoll_2p!F185,FIND(":",Protokoll_2p!F185)-1))&gt;VALUE(RIGHT(Protokoll_2p!F185,LEN(Protokoll_2p!F185)-FIND(":",Protokoll_2p!F185))),0,1))</f>
        <v/>
      </c>
      <c r="J219" s="1" t="str">
        <f>IF(Protokoll_2p!G185="","",IF(VALUE(LEFT(Protokoll_2p!G185,FIND(":",Protokoll_2p!G185)-1))&gt;VALUE(RIGHT(Protokoll_2p!G185,LEN(Protokoll_2p!G185)-FIND(":",Protokoll_2p!G185))),0,1))</f>
        <v/>
      </c>
      <c r="K219" s="1" t="str">
        <f>IF(Protokoll_2p!H185="","",IF(VALUE(LEFT(Protokoll_2p!H185,FIND(":",Protokoll_2p!H185)-1))&gt;VALUE(RIGHT(Protokoll_2p!H185,LEN(Protokoll_2p!H185)-FIND(":",Protokoll_2p!H185))),0,1))</f>
        <v/>
      </c>
      <c r="L219" s="1" t="str">
        <f>IF(Protokoll_2p!I185="","",IF(VALUE(LEFT(Protokoll_2p!I185,FIND(":",Protokoll_2p!I185)-1))&gt;VALUE(RIGHT(Protokoll_2p!I185,LEN(Protokoll_2p!I185)-FIND(":",Protokoll_2p!I185))),0,1))</f>
        <v/>
      </c>
      <c r="M219" s="1" t="str">
        <f>IF(Protokoll_2p!J185="","",IF(VALUE(LEFT(Protokoll_2p!J185,FIND(":",Protokoll_2p!J185)-1))&gt;VALUE(RIGHT(Protokoll_2p!J185,LEN(Protokoll_2p!J185)-FIND(":",Protokoll_2p!J185))),0,1))</f>
        <v/>
      </c>
      <c r="N219" s="1" t="str">
        <f t="shared" si="7"/>
        <v/>
      </c>
    </row>
    <row r="220" spans="2:14">
      <c r="B220" s="1" t="str">
        <f>IF(Protokoll_2p!F186="","",IF(VALUE(LEFT(Protokoll_2p!F186,FIND(":",Protokoll_2p!F186)-1))&gt;VALUE(RIGHT(Protokoll_2p!F186,LEN(Protokoll_2p!F186)-FIND(":",Protokoll_2p!F186))),1,0))</f>
        <v/>
      </c>
      <c r="C220" s="1" t="str">
        <f>IF(Protokoll_2p!G186="","",IF(VALUE(LEFT(Protokoll_2p!G186,FIND(":",Protokoll_2p!G186)-1))&gt;VALUE(RIGHT(Protokoll_2p!G186,LEN(Protokoll_2p!G186)-FIND(":",Protokoll_2p!G186))),1,0))</f>
        <v/>
      </c>
      <c r="D220" s="1" t="str">
        <f>IF(Protokoll_2p!H186="","",IF(VALUE(LEFT(Protokoll_2p!H186,FIND(":",Protokoll_2p!H186)-1))&gt;VALUE(RIGHT(Protokoll_2p!H186,LEN(Protokoll_2p!H186)-FIND(":",Protokoll_2p!H186))),1,0))</f>
        <v/>
      </c>
      <c r="E220" s="1" t="str">
        <f>IF(Protokoll_2p!I186="","",IF(VALUE(LEFT(Protokoll_2p!I186,FIND(":",Protokoll_2p!I186)-1))&gt;VALUE(RIGHT(Protokoll_2p!I186,LEN(Protokoll_2p!I186)-FIND(":",Protokoll_2p!I186))),1,0))</f>
        <v/>
      </c>
      <c r="F220" s="1" t="str">
        <f>IF(Protokoll_2p!J186="","",IF(VALUE(LEFT(Protokoll_2p!J186,FIND(":",Protokoll_2p!J186)-1))&gt;VALUE(RIGHT(Protokoll_2p!J186,LEN(Protokoll_2p!J186)-FIND(":",Protokoll_2p!J186))),1,0))</f>
        <v/>
      </c>
      <c r="G220" s="1" t="str">
        <f t="shared" si="6"/>
        <v/>
      </c>
      <c r="I220" s="1" t="str">
        <f>IF(Protokoll_2p!F186="","",IF(VALUE(LEFT(Protokoll_2p!F186,FIND(":",Protokoll_2p!F186)-1))&gt;VALUE(RIGHT(Protokoll_2p!F186,LEN(Protokoll_2p!F186)-FIND(":",Protokoll_2p!F186))),0,1))</f>
        <v/>
      </c>
      <c r="J220" s="1" t="str">
        <f>IF(Protokoll_2p!G186="","",IF(VALUE(LEFT(Protokoll_2p!G186,FIND(":",Protokoll_2p!G186)-1))&gt;VALUE(RIGHT(Protokoll_2p!G186,LEN(Protokoll_2p!G186)-FIND(":",Protokoll_2p!G186))),0,1))</f>
        <v/>
      </c>
      <c r="K220" s="1" t="str">
        <f>IF(Protokoll_2p!H186="","",IF(VALUE(LEFT(Protokoll_2p!H186,FIND(":",Protokoll_2p!H186)-1))&gt;VALUE(RIGHT(Protokoll_2p!H186,LEN(Protokoll_2p!H186)-FIND(":",Protokoll_2p!H186))),0,1))</f>
        <v/>
      </c>
      <c r="L220" s="1" t="str">
        <f>IF(Protokoll_2p!I186="","",IF(VALUE(LEFT(Protokoll_2p!I186,FIND(":",Protokoll_2p!I186)-1))&gt;VALUE(RIGHT(Protokoll_2p!I186,LEN(Protokoll_2p!I186)-FIND(":",Protokoll_2p!I186))),0,1))</f>
        <v/>
      </c>
      <c r="M220" s="1" t="str">
        <f>IF(Protokoll_2p!J186="","",IF(VALUE(LEFT(Protokoll_2p!J186,FIND(":",Protokoll_2p!J186)-1))&gt;VALUE(RIGHT(Protokoll_2p!J186,LEN(Protokoll_2p!J186)-FIND(":",Protokoll_2p!J186))),0,1))</f>
        <v/>
      </c>
      <c r="N220" s="1" t="str">
        <f t="shared" si="7"/>
        <v/>
      </c>
    </row>
    <row r="221" spans="2:14">
      <c r="B221" s="1" t="str">
        <f>IF(Protokoll_2p!F187="","",IF(VALUE(LEFT(Protokoll_2p!F187,FIND(":",Protokoll_2p!F187)-1))&gt;VALUE(RIGHT(Protokoll_2p!F187,LEN(Protokoll_2p!F187)-FIND(":",Protokoll_2p!F187))),1,0))</f>
        <v/>
      </c>
      <c r="C221" s="1" t="str">
        <f>IF(Protokoll_2p!G187="","",IF(VALUE(LEFT(Protokoll_2p!G187,FIND(":",Protokoll_2p!G187)-1))&gt;VALUE(RIGHT(Protokoll_2p!G187,LEN(Protokoll_2p!G187)-FIND(":",Protokoll_2p!G187))),1,0))</f>
        <v/>
      </c>
      <c r="D221" s="1" t="str">
        <f>IF(Protokoll_2p!H187="","",IF(VALUE(LEFT(Protokoll_2p!H187,FIND(":",Protokoll_2p!H187)-1))&gt;VALUE(RIGHT(Protokoll_2p!H187,LEN(Protokoll_2p!H187)-FIND(":",Protokoll_2p!H187))),1,0))</f>
        <v/>
      </c>
      <c r="E221" s="1" t="str">
        <f>IF(Protokoll_2p!I187="","",IF(VALUE(LEFT(Protokoll_2p!I187,FIND(":",Protokoll_2p!I187)-1))&gt;VALUE(RIGHT(Protokoll_2p!I187,LEN(Protokoll_2p!I187)-FIND(":",Protokoll_2p!I187))),1,0))</f>
        <v/>
      </c>
      <c r="F221" s="1" t="str">
        <f>IF(Protokoll_2p!J187="","",IF(VALUE(LEFT(Protokoll_2p!J187,FIND(":",Protokoll_2p!J187)-1))&gt;VALUE(RIGHT(Protokoll_2p!J187,LEN(Protokoll_2p!J187)-FIND(":",Protokoll_2p!J187))),1,0))</f>
        <v/>
      </c>
      <c r="G221" s="1" t="str">
        <f t="shared" si="6"/>
        <v/>
      </c>
      <c r="I221" s="1" t="str">
        <f>IF(Protokoll_2p!F187="","",IF(VALUE(LEFT(Protokoll_2p!F187,FIND(":",Protokoll_2p!F187)-1))&gt;VALUE(RIGHT(Protokoll_2p!F187,LEN(Protokoll_2p!F187)-FIND(":",Protokoll_2p!F187))),0,1))</f>
        <v/>
      </c>
      <c r="J221" s="1" t="str">
        <f>IF(Protokoll_2p!G187="","",IF(VALUE(LEFT(Protokoll_2p!G187,FIND(":",Protokoll_2p!G187)-1))&gt;VALUE(RIGHT(Protokoll_2p!G187,LEN(Protokoll_2p!G187)-FIND(":",Protokoll_2p!G187))),0,1))</f>
        <v/>
      </c>
      <c r="K221" s="1" t="str">
        <f>IF(Protokoll_2p!H187="","",IF(VALUE(LEFT(Protokoll_2p!H187,FIND(":",Protokoll_2p!H187)-1))&gt;VALUE(RIGHT(Protokoll_2p!H187,LEN(Protokoll_2p!H187)-FIND(":",Protokoll_2p!H187))),0,1))</f>
        <v/>
      </c>
      <c r="L221" s="1" t="str">
        <f>IF(Protokoll_2p!I187="","",IF(VALUE(LEFT(Protokoll_2p!I187,FIND(":",Protokoll_2p!I187)-1))&gt;VALUE(RIGHT(Protokoll_2p!I187,LEN(Protokoll_2p!I187)-FIND(":",Protokoll_2p!I187))),0,1))</f>
        <v/>
      </c>
      <c r="M221" s="1" t="str">
        <f>IF(Protokoll_2p!J187="","",IF(VALUE(LEFT(Protokoll_2p!J187,FIND(":",Protokoll_2p!J187)-1))&gt;VALUE(RIGHT(Protokoll_2p!J187,LEN(Protokoll_2p!J187)-FIND(":",Protokoll_2p!J187))),0,1))</f>
        <v/>
      </c>
      <c r="N221" s="1" t="str">
        <f t="shared" si="7"/>
        <v/>
      </c>
    </row>
    <row r="222" spans="2:14">
      <c r="B222" s="1" t="str">
        <f>IF(Protokoll_2p!F188="","",IF(VALUE(LEFT(Protokoll_2p!F188,FIND(":",Protokoll_2p!F188)-1))&gt;VALUE(RIGHT(Protokoll_2p!F188,LEN(Protokoll_2p!F188)-FIND(":",Protokoll_2p!F188))),1,0))</f>
        <v/>
      </c>
      <c r="C222" s="1" t="str">
        <f>IF(Protokoll_2p!G188="","",IF(VALUE(LEFT(Protokoll_2p!G188,FIND(":",Protokoll_2p!G188)-1))&gt;VALUE(RIGHT(Protokoll_2p!G188,LEN(Protokoll_2p!G188)-FIND(":",Protokoll_2p!G188))),1,0))</f>
        <v/>
      </c>
      <c r="D222" s="1" t="str">
        <f>IF(Protokoll_2p!H188="","",IF(VALUE(LEFT(Protokoll_2p!H188,FIND(":",Protokoll_2p!H188)-1))&gt;VALUE(RIGHT(Protokoll_2p!H188,LEN(Protokoll_2p!H188)-FIND(":",Protokoll_2p!H188))),1,0))</f>
        <v/>
      </c>
      <c r="E222" s="1" t="str">
        <f>IF(Protokoll_2p!I188="","",IF(VALUE(LEFT(Protokoll_2p!I188,FIND(":",Protokoll_2p!I188)-1))&gt;VALUE(RIGHT(Protokoll_2p!I188,LEN(Protokoll_2p!I188)-FIND(":",Protokoll_2p!I188))),1,0))</f>
        <v/>
      </c>
      <c r="F222" s="1" t="str">
        <f>IF(Protokoll_2p!J188="","",IF(VALUE(LEFT(Protokoll_2p!J188,FIND(":",Protokoll_2p!J188)-1))&gt;VALUE(RIGHT(Protokoll_2p!J188,LEN(Protokoll_2p!J188)-FIND(":",Protokoll_2p!J188))),1,0))</f>
        <v/>
      </c>
      <c r="G222" s="1" t="str">
        <f t="shared" si="6"/>
        <v/>
      </c>
      <c r="I222" s="1" t="str">
        <f>IF(Protokoll_2p!F188="","",IF(VALUE(LEFT(Protokoll_2p!F188,FIND(":",Protokoll_2p!F188)-1))&gt;VALUE(RIGHT(Protokoll_2p!F188,LEN(Protokoll_2p!F188)-FIND(":",Protokoll_2p!F188))),0,1))</f>
        <v/>
      </c>
      <c r="J222" s="1" t="str">
        <f>IF(Protokoll_2p!G188="","",IF(VALUE(LEFT(Protokoll_2p!G188,FIND(":",Protokoll_2p!G188)-1))&gt;VALUE(RIGHT(Protokoll_2p!G188,LEN(Protokoll_2p!G188)-FIND(":",Protokoll_2p!G188))),0,1))</f>
        <v/>
      </c>
      <c r="K222" s="1" t="str">
        <f>IF(Protokoll_2p!H188="","",IF(VALUE(LEFT(Protokoll_2p!H188,FIND(":",Protokoll_2p!H188)-1))&gt;VALUE(RIGHT(Protokoll_2p!H188,LEN(Protokoll_2p!H188)-FIND(":",Protokoll_2p!H188))),0,1))</f>
        <v/>
      </c>
      <c r="L222" s="1" t="str">
        <f>IF(Protokoll_2p!I188="","",IF(VALUE(LEFT(Protokoll_2p!I188,FIND(":",Protokoll_2p!I188)-1))&gt;VALUE(RIGHT(Protokoll_2p!I188,LEN(Protokoll_2p!I188)-FIND(":",Protokoll_2p!I188))),0,1))</f>
        <v/>
      </c>
      <c r="M222" s="1" t="str">
        <f>IF(Protokoll_2p!J188="","",IF(VALUE(LEFT(Protokoll_2p!J188,FIND(":",Protokoll_2p!J188)-1))&gt;VALUE(RIGHT(Protokoll_2p!J188,LEN(Protokoll_2p!J188)-FIND(":",Protokoll_2p!J188))),0,1))</f>
        <v/>
      </c>
      <c r="N222" s="1" t="str">
        <f t="shared" si="7"/>
        <v/>
      </c>
    </row>
    <row r="223" spans="2:14">
      <c r="B223" s="1" t="str">
        <f>IF(Protokoll_2p!F189="","",IF(VALUE(LEFT(Protokoll_2p!F189,FIND(":",Protokoll_2p!F189)-1))&gt;VALUE(RIGHT(Protokoll_2p!F189,LEN(Protokoll_2p!F189)-FIND(":",Protokoll_2p!F189))),1,0))</f>
        <v/>
      </c>
      <c r="C223" s="1" t="str">
        <f>IF(Protokoll_2p!G189="","",IF(VALUE(LEFT(Protokoll_2p!G189,FIND(":",Protokoll_2p!G189)-1))&gt;VALUE(RIGHT(Protokoll_2p!G189,LEN(Protokoll_2p!G189)-FIND(":",Protokoll_2p!G189))),1,0))</f>
        <v/>
      </c>
      <c r="D223" s="1" t="str">
        <f>IF(Protokoll_2p!H189="","",IF(VALUE(LEFT(Protokoll_2p!H189,FIND(":",Protokoll_2p!H189)-1))&gt;VALUE(RIGHT(Protokoll_2p!H189,LEN(Protokoll_2p!H189)-FIND(":",Protokoll_2p!H189))),1,0))</f>
        <v/>
      </c>
      <c r="E223" s="1" t="str">
        <f>IF(Protokoll_2p!I189="","",IF(VALUE(LEFT(Protokoll_2p!I189,FIND(":",Protokoll_2p!I189)-1))&gt;VALUE(RIGHT(Protokoll_2p!I189,LEN(Protokoll_2p!I189)-FIND(":",Protokoll_2p!I189))),1,0))</f>
        <v/>
      </c>
      <c r="F223" s="1" t="str">
        <f>IF(Protokoll_2p!J189="","",IF(VALUE(LEFT(Protokoll_2p!J189,FIND(":",Protokoll_2p!J189)-1))&gt;VALUE(RIGHT(Protokoll_2p!J189,LEN(Protokoll_2p!J189)-FIND(":",Protokoll_2p!J189))),1,0))</f>
        <v/>
      </c>
      <c r="G223" s="1" t="str">
        <f t="shared" si="6"/>
        <v/>
      </c>
      <c r="I223" s="1" t="str">
        <f>IF(Protokoll_2p!F189="","",IF(VALUE(LEFT(Protokoll_2p!F189,FIND(":",Protokoll_2p!F189)-1))&gt;VALUE(RIGHT(Protokoll_2p!F189,LEN(Protokoll_2p!F189)-FIND(":",Protokoll_2p!F189))),0,1))</f>
        <v/>
      </c>
      <c r="J223" s="1" t="str">
        <f>IF(Protokoll_2p!G189="","",IF(VALUE(LEFT(Protokoll_2p!G189,FIND(":",Protokoll_2p!G189)-1))&gt;VALUE(RIGHT(Protokoll_2p!G189,LEN(Protokoll_2p!G189)-FIND(":",Protokoll_2p!G189))),0,1))</f>
        <v/>
      </c>
      <c r="K223" s="1" t="str">
        <f>IF(Protokoll_2p!H189="","",IF(VALUE(LEFT(Protokoll_2p!H189,FIND(":",Protokoll_2p!H189)-1))&gt;VALUE(RIGHT(Protokoll_2p!H189,LEN(Protokoll_2p!H189)-FIND(":",Protokoll_2p!H189))),0,1))</f>
        <v/>
      </c>
      <c r="L223" s="1" t="str">
        <f>IF(Protokoll_2p!I189="","",IF(VALUE(LEFT(Protokoll_2p!I189,FIND(":",Protokoll_2p!I189)-1))&gt;VALUE(RIGHT(Protokoll_2p!I189,LEN(Protokoll_2p!I189)-FIND(":",Protokoll_2p!I189))),0,1))</f>
        <v/>
      </c>
      <c r="M223" s="1" t="str">
        <f>IF(Protokoll_2p!J189="","",IF(VALUE(LEFT(Protokoll_2p!J189,FIND(":",Protokoll_2p!J189)-1))&gt;VALUE(RIGHT(Protokoll_2p!J189,LEN(Protokoll_2p!J189)-FIND(":",Protokoll_2p!J189))),0,1))</f>
        <v/>
      </c>
      <c r="N223" s="1" t="str">
        <f t="shared" si="7"/>
        <v/>
      </c>
    </row>
    <row r="224" spans="2:14">
      <c r="B224" s="1" t="str">
        <f>IF(Protokoll_2p!F190="","",IF(VALUE(LEFT(Protokoll_2p!F190,FIND(":",Protokoll_2p!F190)-1))&gt;VALUE(RIGHT(Protokoll_2p!F190,LEN(Protokoll_2p!F190)-FIND(":",Protokoll_2p!F190))),1,0))</f>
        <v/>
      </c>
      <c r="C224" s="1" t="str">
        <f>IF(Protokoll_2p!G190="","",IF(VALUE(LEFT(Protokoll_2p!G190,FIND(":",Protokoll_2p!G190)-1))&gt;VALUE(RIGHT(Protokoll_2p!G190,LEN(Protokoll_2p!G190)-FIND(":",Protokoll_2p!G190))),1,0))</f>
        <v/>
      </c>
      <c r="D224" s="1" t="str">
        <f>IF(Protokoll_2p!H190="","",IF(VALUE(LEFT(Protokoll_2p!H190,FIND(":",Protokoll_2p!H190)-1))&gt;VALUE(RIGHT(Protokoll_2p!H190,LEN(Protokoll_2p!H190)-FIND(":",Protokoll_2p!H190))),1,0))</f>
        <v/>
      </c>
      <c r="E224" s="1" t="str">
        <f>IF(Protokoll_2p!I190="","",IF(VALUE(LEFT(Protokoll_2p!I190,FIND(":",Protokoll_2p!I190)-1))&gt;VALUE(RIGHT(Protokoll_2p!I190,LEN(Protokoll_2p!I190)-FIND(":",Protokoll_2p!I190))),1,0))</f>
        <v/>
      </c>
      <c r="F224" s="1" t="str">
        <f>IF(Protokoll_2p!J190="","",IF(VALUE(LEFT(Protokoll_2p!J190,FIND(":",Protokoll_2p!J190)-1))&gt;VALUE(RIGHT(Protokoll_2p!J190,LEN(Protokoll_2p!J190)-FIND(":",Protokoll_2p!J190))),1,0))</f>
        <v/>
      </c>
      <c r="G224" s="1" t="str">
        <f t="shared" si="6"/>
        <v/>
      </c>
      <c r="I224" s="1" t="str">
        <f>IF(Protokoll_2p!F190="","",IF(VALUE(LEFT(Protokoll_2p!F190,FIND(":",Protokoll_2p!F190)-1))&gt;VALUE(RIGHT(Protokoll_2p!F190,LEN(Protokoll_2p!F190)-FIND(":",Protokoll_2p!F190))),0,1))</f>
        <v/>
      </c>
      <c r="J224" s="1" t="str">
        <f>IF(Protokoll_2p!G190="","",IF(VALUE(LEFT(Protokoll_2p!G190,FIND(":",Protokoll_2p!G190)-1))&gt;VALUE(RIGHT(Protokoll_2p!G190,LEN(Protokoll_2p!G190)-FIND(":",Protokoll_2p!G190))),0,1))</f>
        <v/>
      </c>
      <c r="K224" s="1" t="str">
        <f>IF(Protokoll_2p!H190="","",IF(VALUE(LEFT(Protokoll_2p!H190,FIND(":",Protokoll_2p!H190)-1))&gt;VALUE(RIGHT(Protokoll_2p!H190,LEN(Protokoll_2p!H190)-FIND(":",Protokoll_2p!H190))),0,1))</f>
        <v/>
      </c>
      <c r="L224" s="1" t="str">
        <f>IF(Protokoll_2p!I190="","",IF(VALUE(LEFT(Protokoll_2p!I190,FIND(":",Protokoll_2p!I190)-1))&gt;VALUE(RIGHT(Protokoll_2p!I190,LEN(Protokoll_2p!I190)-FIND(":",Protokoll_2p!I190))),0,1))</f>
        <v/>
      </c>
      <c r="M224" s="1" t="str">
        <f>IF(Protokoll_2p!J190="","",IF(VALUE(LEFT(Protokoll_2p!J190,FIND(":",Protokoll_2p!J190)-1))&gt;VALUE(RIGHT(Protokoll_2p!J190,LEN(Protokoll_2p!J190)-FIND(":",Protokoll_2p!J190))),0,1))</f>
        <v/>
      </c>
      <c r="N224" s="1" t="str">
        <f t="shared" si="7"/>
        <v/>
      </c>
    </row>
    <row r="225" spans="2:14">
      <c r="B225" s="1" t="str">
        <f>IF(Protokoll_2p!F191="","",IF(VALUE(LEFT(Protokoll_2p!F191,FIND(":",Protokoll_2p!F191)-1))&gt;VALUE(RIGHT(Protokoll_2p!F191,LEN(Protokoll_2p!F191)-FIND(":",Protokoll_2p!F191))),1,0))</f>
        <v/>
      </c>
      <c r="C225" s="1" t="str">
        <f>IF(Protokoll_2p!G191="","",IF(VALUE(LEFT(Protokoll_2p!G191,FIND(":",Protokoll_2p!G191)-1))&gt;VALUE(RIGHT(Protokoll_2p!G191,LEN(Protokoll_2p!G191)-FIND(":",Protokoll_2p!G191))),1,0))</f>
        <v/>
      </c>
      <c r="D225" s="1" t="str">
        <f>IF(Protokoll_2p!H191="","",IF(VALUE(LEFT(Protokoll_2p!H191,FIND(":",Protokoll_2p!H191)-1))&gt;VALUE(RIGHT(Protokoll_2p!H191,LEN(Protokoll_2p!H191)-FIND(":",Protokoll_2p!H191))),1,0))</f>
        <v/>
      </c>
      <c r="E225" s="1" t="str">
        <f>IF(Protokoll_2p!I191="","",IF(VALUE(LEFT(Protokoll_2p!I191,FIND(":",Protokoll_2p!I191)-1))&gt;VALUE(RIGHT(Protokoll_2p!I191,LEN(Protokoll_2p!I191)-FIND(":",Protokoll_2p!I191))),1,0))</f>
        <v/>
      </c>
      <c r="F225" s="1" t="str">
        <f>IF(Protokoll_2p!J191="","",IF(VALUE(LEFT(Protokoll_2p!J191,FIND(":",Protokoll_2p!J191)-1))&gt;VALUE(RIGHT(Protokoll_2p!J191,LEN(Protokoll_2p!J191)-FIND(":",Protokoll_2p!J191))),1,0))</f>
        <v/>
      </c>
      <c r="G225" s="1" t="str">
        <f t="shared" si="6"/>
        <v/>
      </c>
      <c r="I225" s="1" t="str">
        <f>IF(Protokoll_2p!F191="","",IF(VALUE(LEFT(Protokoll_2p!F191,FIND(":",Protokoll_2p!F191)-1))&gt;VALUE(RIGHT(Protokoll_2p!F191,LEN(Protokoll_2p!F191)-FIND(":",Protokoll_2p!F191))),0,1))</f>
        <v/>
      </c>
      <c r="J225" s="1" t="str">
        <f>IF(Protokoll_2p!G191="","",IF(VALUE(LEFT(Protokoll_2p!G191,FIND(":",Protokoll_2p!G191)-1))&gt;VALUE(RIGHT(Protokoll_2p!G191,LEN(Protokoll_2p!G191)-FIND(":",Protokoll_2p!G191))),0,1))</f>
        <v/>
      </c>
      <c r="K225" s="1" t="str">
        <f>IF(Protokoll_2p!H191="","",IF(VALUE(LEFT(Protokoll_2p!H191,FIND(":",Protokoll_2p!H191)-1))&gt;VALUE(RIGHT(Protokoll_2p!H191,LEN(Protokoll_2p!H191)-FIND(":",Protokoll_2p!H191))),0,1))</f>
        <v/>
      </c>
      <c r="L225" s="1" t="str">
        <f>IF(Protokoll_2p!I191="","",IF(VALUE(LEFT(Protokoll_2p!I191,FIND(":",Protokoll_2p!I191)-1))&gt;VALUE(RIGHT(Protokoll_2p!I191,LEN(Protokoll_2p!I191)-FIND(":",Protokoll_2p!I191))),0,1))</f>
        <v/>
      </c>
      <c r="M225" s="1" t="str">
        <f>IF(Protokoll_2p!J191="","",IF(VALUE(LEFT(Protokoll_2p!J191,FIND(":",Protokoll_2p!J191)-1))&gt;VALUE(RIGHT(Protokoll_2p!J191,LEN(Protokoll_2p!J191)-FIND(":",Protokoll_2p!J191))),0,1))</f>
        <v/>
      </c>
      <c r="N225" s="1" t="str">
        <f t="shared" si="7"/>
        <v/>
      </c>
    </row>
    <row r="226" spans="2:14">
      <c r="B226" s="1" t="str">
        <f>IF(Protokoll_2p!F192="","",IF(VALUE(LEFT(Protokoll_2p!F192,FIND(":",Protokoll_2p!F192)-1))&gt;VALUE(RIGHT(Protokoll_2p!F192,LEN(Protokoll_2p!F192)-FIND(":",Protokoll_2p!F192))),1,0))</f>
        <v/>
      </c>
      <c r="C226" s="1" t="str">
        <f>IF(Protokoll_2p!G192="","",IF(VALUE(LEFT(Protokoll_2p!G192,FIND(":",Protokoll_2p!G192)-1))&gt;VALUE(RIGHT(Protokoll_2p!G192,LEN(Protokoll_2p!G192)-FIND(":",Protokoll_2p!G192))),1,0))</f>
        <v/>
      </c>
      <c r="D226" s="1" t="str">
        <f>IF(Protokoll_2p!H192="","",IF(VALUE(LEFT(Protokoll_2p!H192,FIND(":",Protokoll_2p!H192)-1))&gt;VALUE(RIGHT(Protokoll_2p!H192,LEN(Protokoll_2p!H192)-FIND(":",Protokoll_2p!H192))),1,0))</f>
        <v/>
      </c>
      <c r="E226" s="1" t="str">
        <f>IF(Protokoll_2p!I192="","",IF(VALUE(LEFT(Protokoll_2p!I192,FIND(":",Protokoll_2p!I192)-1))&gt;VALUE(RIGHT(Protokoll_2p!I192,LEN(Protokoll_2p!I192)-FIND(":",Protokoll_2p!I192))),1,0))</f>
        <v/>
      </c>
      <c r="F226" s="1" t="str">
        <f>IF(Protokoll_2p!J192="","",IF(VALUE(LEFT(Protokoll_2p!J192,FIND(":",Protokoll_2p!J192)-1))&gt;VALUE(RIGHT(Protokoll_2p!J192,LEN(Protokoll_2p!J192)-FIND(":",Protokoll_2p!J192))),1,0))</f>
        <v/>
      </c>
      <c r="G226" s="1" t="str">
        <f t="shared" si="6"/>
        <v/>
      </c>
      <c r="I226" s="1" t="str">
        <f>IF(Protokoll_2p!F192="","",IF(VALUE(LEFT(Protokoll_2p!F192,FIND(":",Protokoll_2p!F192)-1))&gt;VALUE(RIGHT(Protokoll_2p!F192,LEN(Protokoll_2p!F192)-FIND(":",Protokoll_2p!F192))),0,1))</f>
        <v/>
      </c>
      <c r="J226" s="1" t="str">
        <f>IF(Protokoll_2p!G192="","",IF(VALUE(LEFT(Protokoll_2p!G192,FIND(":",Protokoll_2p!G192)-1))&gt;VALUE(RIGHT(Protokoll_2p!G192,LEN(Protokoll_2p!G192)-FIND(":",Protokoll_2p!G192))),0,1))</f>
        <v/>
      </c>
      <c r="K226" s="1" t="str">
        <f>IF(Protokoll_2p!H192="","",IF(VALUE(LEFT(Protokoll_2p!H192,FIND(":",Protokoll_2p!H192)-1))&gt;VALUE(RIGHT(Protokoll_2p!H192,LEN(Protokoll_2p!H192)-FIND(":",Protokoll_2p!H192))),0,1))</f>
        <v/>
      </c>
      <c r="L226" s="1" t="str">
        <f>IF(Protokoll_2p!I192="","",IF(VALUE(LEFT(Protokoll_2p!I192,FIND(":",Protokoll_2p!I192)-1))&gt;VALUE(RIGHT(Protokoll_2p!I192,LEN(Protokoll_2p!I192)-FIND(":",Protokoll_2p!I192))),0,1))</f>
        <v/>
      </c>
      <c r="M226" s="1" t="str">
        <f>IF(Protokoll_2p!J192="","",IF(VALUE(LEFT(Protokoll_2p!J192,FIND(":",Protokoll_2p!J192)-1))&gt;VALUE(RIGHT(Protokoll_2p!J192,LEN(Protokoll_2p!J192)-FIND(":",Protokoll_2p!J192))),0,1))</f>
        <v/>
      </c>
      <c r="N226" s="1" t="str">
        <f t="shared" si="7"/>
        <v/>
      </c>
    </row>
    <row r="227" spans="2:14">
      <c r="B227" s="1" t="str">
        <f>IF(Protokoll_2p!F193="","",IF(VALUE(LEFT(Protokoll_2p!F193,FIND(":",Protokoll_2p!F193)-1))&gt;VALUE(RIGHT(Protokoll_2p!F193,LEN(Protokoll_2p!F193)-FIND(":",Protokoll_2p!F193))),1,0))</f>
        <v/>
      </c>
      <c r="C227" s="1" t="str">
        <f>IF(Protokoll_2p!G193="","",IF(VALUE(LEFT(Protokoll_2p!G193,FIND(":",Protokoll_2p!G193)-1))&gt;VALUE(RIGHT(Protokoll_2p!G193,LEN(Protokoll_2p!G193)-FIND(":",Protokoll_2p!G193))),1,0))</f>
        <v/>
      </c>
      <c r="D227" s="1" t="str">
        <f>IF(Protokoll_2p!H193="","",IF(VALUE(LEFT(Protokoll_2p!H193,FIND(":",Protokoll_2p!H193)-1))&gt;VALUE(RIGHT(Protokoll_2p!H193,LEN(Protokoll_2p!H193)-FIND(":",Protokoll_2p!H193))),1,0))</f>
        <v/>
      </c>
      <c r="E227" s="1" t="str">
        <f>IF(Protokoll_2p!I193="","",IF(VALUE(LEFT(Protokoll_2p!I193,FIND(":",Protokoll_2p!I193)-1))&gt;VALUE(RIGHT(Protokoll_2p!I193,LEN(Protokoll_2p!I193)-FIND(":",Protokoll_2p!I193))),1,0))</f>
        <v/>
      </c>
      <c r="F227" s="1" t="str">
        <f>IF(Protokoll_2p!J193="","",IF(VALUE(LEFT(Protokoll_2p!J193,FIND(":",Protokoll_2p!J193)-1))&gt;VALUE(RIGHT(Protokoll_2p!J193,LEN(Protokoll_2p!J193)-FIND(":",Protokoll_2p!J193))),1,0))</f>
        <v/>
      </c>
      <c r="G227" s="1" t="str">
        <f t="shared" si="6"/>
        <v/>
      </c>
      <c r="I227" s="1" t="str">
        <f>IF(Protokoll_2p!F193="","",IF(VALUE(LEFT(Protokoll_2p!F193,FIND(":",Protokoll_2p!F193)-1))&gt;VALUE(RIGHT(Protokoll_2p!F193,LEN(Protokoll_2p!F193)-FIND(":",Protokoll_2p!F193))),0,1))</f>
        <v/>
      </c>
      <c r="J227" s="1" t="str">
        <f>IF(Protokoll_2p!G193="","",IF(VALUE(LEFT(Protokoll_2p!G193,FIND(":",Protokoll_2p!G193)-1))&gt;VALUE(RIGHT(Protokoll_2p!G193,LEN(Protokoll_2p!G193)-FIND(":",Protokoll_2p!G193))),0,1))</f>
        <v/>
      </c>
      <c r="K227" s="1" t="str">
        <f>IF(Protokoll_2p!H193="","",IF(VALUE(LEFT(Protokoll_2p!H193,FIND(":",Protokoll_2p!H193)-1))&gt;VALUE(RIGHT(Protokoll_2p!H193,LEN(Protokoll_2p!H193)-FIND(":",Protokoll_2p!H193))),0,1))</f>
        <v/>
      </c>
      <c r="L227" s="1" t="str">
        <f>IF(Protokoll_2p!I193="","",IF(VALUE(LEFT(Protokoll_2p!I193,FIND(":",Protokoll_2p!I193)-1))&gt;VALUE(RIGHT(Protokoll_2p!I193,LEN(Protokoll_2p!I193)-FIND(":",Protokoll_2p!I193))),0,1))</f>
        <v/>
      </c>
      <c r="M227" s="1" t="str">
        <f>IF(Protokoll_2p!J193="","",IF(VALUE(LEFT(Protokoll_2p!J193,FIND(":",Protokoll_2p!J193)-1))&gt;VALUE(RIGHT(Protokoll_2p!J193,LEN(Protokoll_2p!J193)-FIND(":",Protokoll_2p!J193))),0,1))</f>
        <v/>
      </c>
      <c r="N227" s="1" t="str">
        <f t="shared" si="7"/>
        <v/>
      </c>
    </row>
    <row r="228" spans="2:14">
      <c r="B228" s="1" t="str">
        <f>IF(Protokoll_2p!F194="","",IF(VALUE(LEFT(Protokoll_2p!F194,FIND(":",Protokoll_2p!F194)-1))&gt;VALUE(RIGHT(Protokoll_2p!F194,LEN(Protokoll_2p!F194)-FIND(":",Protokoll_2p!F194))),1,0))</f>
        <v/>
      </c>
      <c r="C228" s="1" t="str">
        <f>IF(Protokoll_2p!G194="","",IF(VALUE(LEFT(Protokoll_2p!G194,FIND(":",Protokoll_2p!G194)-1))&gt;VALUE(RIGHT(Protokoll_2p!G194,LEN(Protokoll_2p!G194)-FIND(":",Protokoll_2p!G194))),1,0))</f>
        <v/>
      </c>
      <c r="D228" s="1" t="str">
        <f>IF(Protokoll_2p!H194="","",IF(VALUE(LEFT(Protokoll_2p!H194,FIND(":",Protokoll_2p!H194)-1))&gt;VALUE(RIGHT(Protokoll_2p!H194,LEN(Protokoll_2p!H194)-FIND(":",Protokoll_2p!H194))),1,0))</f>
        <v/>
      </c>
      <c r="E228" s="1" t="str">
        <f>IF(Protokoll_2p!I194="","",IF(VALUE(LEFT(Protokoll_2p!I194,FIND(":",Protokoll_2p!I194)-1))&gt;VALUE(RIGHT(Protokoll_2p!I194,LEN(Protokoll_2p!I194)-FIND(":",Protokoll_2p!I194))),1,0))</f>
        <v/>
      </c>
      <c r="F228" s="1" t="str">
        <f>IF(Protokoll_2p!J194="","",IF(VALUE(LEFT(Protokoll_2p!J194,FIND(":",Protokoll_2p!J194)-1))&gt;VALUE(RIGHT(Protokoll_2p!J194,LEN(Protokoll_2p!J194)-FIND(":",Protokoll_2p!J194))),1,0))</f>
        <v/>
      </c>
      <c r="G228" s="1" t="str">
        <f t="shared" si="6"/>
        <v/>
      </c>
      <c r="I228" s="1" t="str">
        <f>IF(Protokoll_2p!F194="","",IF(VALUE(LEFT(Protokoll_2p!F194,FIND(":",Protokoll_2p!F194)-1))&gt;VALUE(RIGHT(Protokoll_2p!F194,LEN(Protokoll_2p!F194)-FIND(":",Protokoll_2p!F194))),0,1))</f>
        <v/>
      </c>
      <c r="J228" s="1" t="str">
        <f>IF(Protokoll_2p!G194="","",IF(VALUE(LEFT(Protokoll_2p!G194,FIND(":",Protokoll_2p!G194)-1))&gt;VALUE(RIGHT(Protokoll_2p!G194,LEN(Protokoll_2p!G194)-FIND(":",Protokoll_2p!G194))),0,1))</f>
        <v/>
      </c>
      <c r="K228" s="1" t="str">
        <f>IF(Protokoll_2p!H194="","",IF(VALUE(LEFT(Protokoll_2p!H194,FIND(":",Protokoll_2p!H194)-1))&gt;VALUE(RIGHT(Protokoll_2p!H194,LEN(Protokoll_2p!H194)-FIND(":",Protokoll_2p!H194))),0,1))</f>
        <v/>
      </c>
      <c r="L228" s="1" t="str">
        <f>IF(Protokoll_2p!I194="","",IF(VALUE(LEFT(Protokoll_2p!I194,FIND(":",Protokoll_2p!I194)-1))&gt;VALUE(RIGHT(Protokoll_2p!I194,LEN(Protokoll_2p!I194)-FIND(":",Protokoll_2p!I194))),0,1))</f>
        <v/>
      </c>
      <c r="M228" s="1" t="str">
        <f>IF(Protokoll_2p!J194="","",IF(VALUE(LEFT(Protokoll_2p!J194,FIND(":",Protokoll_2p!J194)-1))&gt;VALUE(RIGHT(Protokoll_2p!J194,LEN(Protokoll_2p!J194)-FIND(":",Protokoll_2p!J194))),0,1))</f>
        <v/>
      </c>
      <c r="N228" s="1" t="str">
        <f t="shared" si="7"/>
        <v/>
      </c>
    </row>
    <row r="229" spans="2:14">
      <c r="B229" s="1" t="str">
        <f>IF(Protokoll_2p!F195="","",IF(VALUE(LEFT(Protokoll_2p!F195,FIND(":",Protokoll_2p!F195)-1))&gt;VALUE(RIGHT(Protokoll_2p!F195,LEN(Protokoll_2p!F195)-FIND(":",Protokoll_2p!F195))),1,0))</f>
        <v/>
      </c>
      <c r="C229" s="1" t="str">
        <f>IF(Protokoll_2p!G195="","",IF(VALUE(LEFT(Protokoll_2p!G195,FIND(":",Protokoll_2p!G195)-1))&gt;VALUE(RIGHT(Protokoll_2p!G195,LEN(Protokoll_2p!G195)-FIND(":",Protokoll_2p!G195))),1,0))</f>
        <v/>
      </c>
      <c r="D229" s="1" t="str">
        <f>IF(Protokoll_2p!H195="","",IF(VALUE(LEFT(Protokoll_2p!H195,FIND(":",Protokoll_2p!H195)-1))&gt;VALUE(RIGHT(Protokoll_2p!H195,LEN(Protokoll_2p!H195)-FIND(":",Protokoll_2p!H195))),1,0))</f>
        <v/>
      </c>
      <c r="E229" s="1" t="str">
        <f>IF(Protokoll_2p!I195="","",IF(VALUE(LEFT(Protokoll_2p!I195,FIND(":",Protokoll_2p!I195)-1))&gt;VALUE(RIGHT(Protokoll_2p!I195,LEN(Protokoll_2p!I195)-FIND(":",Protokoll_2p!I195))),1,0))</f>
        <v/>
      </c>
      <c r="F229" s="1" t="str">
        <f>IF(Protokoll_2p!J195="","",IF(VALUE(LEFT(Protokoll_2p!J195,FIND(":",Protokoll_2p!J195)-1))&gt;VALUE(RIGHT(Protokoll_2p!J195,LEN(Protokoll_2p!J195)-FIND(":",Protokoll_2p!J195))),1,0))</f>
        <v/>
      </c>
      <c r="G229" s="1" t="str">
        <f t="shared" si="6"/>
        <v/>
      </c>
      <c r="I229" s="1" t="str">
        <f>IF(Protokoll_2p!F195="","",IF(VALUE(LEFT(Protokoll_2p!F195,FIND(":",Protokoll_2p!F195)-1))&gt;VALUE(RIGHT(Protokoll_2p!F195,LEN(Protokoll_2p!F195)-FIND(":",Protokoll_2p!F195))),0,1))</f>
        <v/>
      </c>
      <c r="J229" s="1" t="str">
        <f>IF(Protokoll_2p!G195="","",IF(VALUE(LEFT(Protokoll_2p!G195,FIND(":",Protokoll_2p!G195)-1))&gt;VALUE(RIGHT(Protokoll_2p!G195,LEN(Protokoll_2p!G195)-FIND(":",Protokoll_2p!G195))),0,1))</f>
        <v/>
      </c>
      <c r="K229" s="1" t="str">
        <f>IF(Protokoll_2p!H195="","",IF(VALUE(LEFT(Protokoll_2p!H195,FIND(":",Protokoll_2p!H195)-1))&gt;VALUE(RIGHT(Protokoll_2p!H195,LEN(Protokoll_2p!H195)-FIND(":",Protokoll_2p!H195))),0,1))</f>
        <v/>
      </c>
      <c r="L229" s="1" t="str">
        <f>IF(Protokoll_2p!I195="","",IF(VALUE(LEFT(Protokoll_2p!I195,FIND(":",Protokoll_2p!I195)-1))&gt;VALUE(RIGHT(Protokoll_2p!I195,LEN(Protokoll_2p!I195)-FIND(":",Protokoll_2p!I195))),0,1))</f>
        <v/>
      </c>
      <c r="M229" s="1" t="str">
        <f>IF(Protokoll_2p!J195="","",IF(VALUE(LEFT(Protokoll_2p!J195,FIND(":",Protokoll_2p!J195)-1))&gt;VALUE(RIGHT(Protokoll_2p!J195,LEN(Protokoll_2p!J195)-FIND(":",Protokoll_2p!J195))),0,1))</f>
        <v/>
      </c>
      <c r="N229" s="1" t="str">
        <f t="shared" si="7"/>
        <v/>
      </c>
    </row>
    <row r="230" spans="2:14">
      <c r="B230" s="1" t="str">
        <f>IF(Protokoll_2p!F196="","",IF(VALUE(LEFT(Protokoll_2p!F196,FIND(":",Protokoll_2p!F196)-1))&gt;VALUE(RIGHT(Protokoll_2p!F196,LEN(Protokoll_2p!F196)-FIND(":",Protokoll_2p!F196))),1,0))</f>
        <v/>
      </c>
      <c r="C230" s="1" t="str">
        <f>IF(Protokoll_2p!G196="","",IF(VALUE(LEFT(Protokoll_2p!G196,FIND(":",Protokoll_2p!G196)-1))&gt;VALUE(RIGHT(Protokoll_2p!G196,LEN(Protokoll_2p!G196)-FIND(":",Protokoll_2p!G196))),1,0))</f>
        <v/>
      </c>
      <c r="D230" s="1" t="str">
        <f>IF(Protokoll_2p!H196="","",IF(VALUE(LEFT(Protokoll_2p!H196,FIND(":",Protokoll_2p!H196)-1))&gt;VALUE(RIGHT(Protokoll_2p!H196,LEN(Protokoll_2p!H196)-FIND(":",Protokoll_2p!H196))),1,0))</f>
        <v/>
      </c>
      <c r="E230" s="1" t="str">
        <f>IF(Protokoll_2p!I196="","",IF(VALUE(LEFT(Protokoll_2p!I196,FIND(":",Protokoll_2p!I196)-1))&gt;VALUE(RIGHT(Protokoll_2p!I196,LEN(Protokoll_2p!I196)-FIND(":",Protokoll_2p!I196))),1,0))</f>
        <v/>
      </c>
      <c r="F230" s="1" t="str">
        <f>IF(Protokoll_2p!J196="","",IF(VALUE(LEFT(Protokoll_2p!J196,FIND(":",Protokoll_2p!J196)-1))&gt;VALUE(RIGHT(Protokoll_2p!J196,LEN(Protokoll_2p!J196)-FIND(":",Protokoll_2p!J196))),1,0))</f>
        <v/>
      </c>
      <c r="G230" s="1" t="str">
        <f t="shared" si="6"/>
        <v/>
      </c>
      <c r="I230" s="1" t="str">
        <f>IF(Protokoll_2p!F196="","",IF(VALUE(LEFT(Protokoll_2p!F196,FIND(":",Protokoll_2p!F196)-1))&gt;VALUE(RIGHT(Protokoll_2p!F196,LEN(Protokoll_2p!F196)-FIND(":",Protokoll_2p!F196))),0,1))</f>
        <v/>
      </c>
      <c r="J230" s="1" t="str">
        <f>IF(Protokoll_2p!G196="","",IF(VALUE(LEFT(Protokoll_2p!G196,FIND(":",Protokoll_2p!G196)-1))&gt;VALUE(RIGHT(Protokoll_2p!G196,LEN(Protokoll_2p!G196)-FIND(":",Protokoll_2p!G196))),0,1))</f>
        <v/>
      </c>
      <c r="K230" s="1" t="str">
        <f>IF(Protokoll_2p!H196="","",IF(VALUE(LEFT(Protokoll_2p!H196,FIND(":",Protokoll_2p!H196)-1))&gt;VALUE(RIGHT(Protokoll_2p!H196,LEN(Protokoll_2p!H196)-FIND(":",Protokoll_2p!H196))),0,1))</f>
        <v/>
      </c>
      <c r="L230" s="1" t="str">
        <f>IF(Protokoll_2p!I196="","",IF(VALUE(LEFT(Protokoll_2p!I196,FIND(":",Protokoll_2p!I196)-1))&gt;VALUE(RIGHT(Protokoll_2p!I196,LEN(Protokoll_2p!I196)-FIND(":",Protokoll_2p!I196))),0,1))</f>
        <v/>
      </c>
      <c r="M230" s="1" t="str">
        <f>IF(Protokoll_2p!J196="","",IF(VALUE(LEFT(Protokoll_2p!J196,FIND(":",Protokoll_2p!J196)-1))&gt;VALUE(RIGHT(Protokoll_2p!J196,LEN(Protokoll_2p!J196)-FIND(":",Protokoll_2p!J196))),0,1))</f>
        <v/>
      </c>
      <c r="N230" s="1" t="str">
        <f t="shared" si="7"/>
        <v/>
      </c>
    </row>
    <row r="231" spans="2:14">
      <c r="B231" s="1" t="str">
        <f>IF(Protokoll_2p!F197="","",IF(VALUE(LEFT(Protokoll_2p!F197,FIND(":",Protokoll_2p!F197)-1))&gt;VALUE(RIGHT(Protokoll_2p!F197,LEN(Protokoll_2p!F197)-FIND(":",Protokoll_2p!F197))),1,0))</f>
        <v/>
      </c>
      <c r="C231" s="1" t="str">
        <f>IF(Protokoll_2p!G197="","",IF(VALUE(LEFT(Protokoll_2p!G197,FIND(":",Protokoll_2p!G197)-1))&gt;VALUE(RIGHT(Protokoll_2p!G197,LEN(Protokoll_2p!G197)-FIND(":",Protokoll_2p!G197))),1,0))</f>
        <v/>
      </c>
      <c r="D231" s="1" t="str">
        <f>IF(Protokoll_2p!H197="","",IF(VALUE(LEFT(Protokoll_2p!H197,FIND(":",Protokoll_2p!H197)-1))&gt;VALUE(RIGHT(Protokoll_2p!H197,LEN(Protokoll_2p!H197)-FIND(":",Protokoll_2p!H197))),1,0))</f>
        <v/>
      </c>
      <c r="E231" s="1" t="str">
        <f>IF(Protokoll_2p!I197="","",IF(VALUE(LEFT(Protokoll_2p!I197,FIND(":",Protokoll_2p!I197)-1))&gt;VALUE(RIGHT(Protokoll_2p!I197,LEN(Protokoll_2p!I197)-FIND(":",Protokoll_2p!I197))),1,0))</f>
        <v/>
      </c>
      <c r="F231" s="1" t="str">
        <f>IF(Protokoll_2p!J197="","",IF(VALUE(LEFT(Protokoll_2p!J197,FIND(":",Protokoll_2p!J197)-1))&gt;VALUE(RIGHT(Protokoll_2p!J197,LEN(Protokoll_2p!J197)-FIND(":",Protokoll_2p!J197))),1,0))</f>
        <v/>
      </c>
      <c r="G231" s="1" t="str">
        <f t="shared" si="6"/>
        <v/>
      </c>
      <c r="I231" s="1" t="str">
        <f>IF(Protokoll_2p!F197="","",IF(VALUE(LEFT(Protokoll_2p!F197,FIND(":",Protokoll_2p!F197)-1))&gt;VALUE(RIGHT(Protokoll_2p!F197,LEN(Protokoll_2p!F197)-FIND(":",Protokoll_2p!F197))),0,1))</f>
        <v/>
      </c>
      <c r="J231" s="1" t="str">
        <f>IF(Protokoll_2p!G197="","",IF(VALUE(LEFT(Protokoll_2p!G197,FIND(":",Protokoll_2p!G197)-1))&gt;VALUE(RIGHT(Protokoll_2p!G197,LEN(Protokoll_2p!G197)-FIND(":",Protokoll_2p!G197))),0,1))</f>
        <v/>
      </c>
      <c r="K231" s="1" t="str">
        <f>IF(Protokoll_2p!H197="","",IF(VALUE(LEFT(Protokoll_2p!H197,FIND(":",Protokoll_2p!H197)-1))&gt;VALUE(RIGHT(Protokoll_2p!H197,LEN(Protokoll_2p!H197)-FIND(":",Protokoll_2p!H197))),0,1))</f>
        <v/>
      </c>
      <c r="L231" s="1" t="str">
        <f>IF(Protokoll_2p!I197="","",IF(VALUE(LEFT(Protokoll_2p!I197,FIND(":",Protokoll_2p!I197)-1))&gt;VALUE(RIGHT(Protokoll_2p!I197,LEN(Protokoll_2p!I197)-FIND(":",Protokoll_2p!I197))),0,1))</f>
        <v/>
      </c>
      <c r="M231" s="1" t="str">
        <f>IF(Protokoll_2p!J197="","",IF(VALUE(LEFT(Protokoll_2p!J197,FIND(":",Protokoll_2p!J197)-1))&gt;VALUE(RIGHT(Protokoll_2p!J197,LEN(Protokoll_2p!J197)-FIND(":",Protokoll_2p!J197))),0,1))</f>
        <v/>
      </c>
      <c r="N231" s="1" t="str">
        <f t="shared" si="7"/>
        <v/>
      </c>
    </row>
    <row r="232" spans="2:14">
      <c r="B232" s="1" t="str">
        <f>IF(Protokoll_2p!F198="","",IF(VALUE(LEFT(Protokoll_2p!F198,FIND(":",Protokoll_2p!F198)-1))&gt;VALUE(RIGHT(Protokoll_2p!F198,LEN(Protokoll_2p!F198)-FIND(":",Protokoll_2p!F198))),1,0))</f>
        <v/>
      </c>
      <c r="C232" s="1" t="str">
        <f>IF(Protokoll_2p!G198="","",IF(VALUE(LEFT(Protokoll_2p!G198,FIND(":",Protokoll_2p!G198)-1))&gt;VALUE(RIGHT(Protokoll_2p!G198,LEN(Protokoll_2p!G198)-FIND(":",Protokoll_2p!G198))),1,0))</f>
        <v/>
      </c>
      <c r="D232" s="1" t="str">
        <f>IF(Protokoll_2p!H198="","",IF(VALUE(LEFT(Protokoll_2p!H198,FIND(":",Protokoll_2p!H198)-1))&gt;VALUE(RIGHT(Protokoll_2p!H198,LEN(Protokoll_2p!H198)-FIND(":",Protokoll_2p!H198))),1,0))</f>
        <v/>
      </c>
      <c r="E232" s="1" t="str">
        <f>IF(Protokoll_2p!I198="","",IF(VALUE(LEFT(Protokoll_2p!I198,FIND(":",Protokoll_2p!I198)-1))&gt;VALUE(RIGHT(Protokoll_2p!I198,LEN(Protokoll_2p!I198)-FIND(":",Protokoll_2p!I198))),1,0))</f>
        <v/>
      </c>
      <c r="F232" s="1" t="str">
        <f>IF(Protokoll_2p!J198="","",IF(VALUE(LEFT(Protokoll_2p!J198,FIND(":",Protokoll_2p!J198)-1))&gt;VALUE(RIGHT(Protokoll_2p!J198,LEN(Protokoll_2p!J198)-FIND(":",Protokoll_2p!J198))),1,0))</f>
        <v/>
      </c>
      <c r="G232" s="1" t="str">
        <f t="shared" si="6"/>
        <v/>
      </c>
      <c r="I232" s="1" t="str">
        <f>IF(Protokoll_2p!F198="","",IF(VALUE(LEFT(Protokoll_2p!F198,FIND(":",Protokoll_2p!F198)-1))&gt;VALUE(RIGHT(Protokoll_2p!F198,LEN(Protokoll_2p!F198)-FIND(":",Protokoll_2p!F198))),0,1))</f>
        <v/>
      </c>
      <c r="J232" s="1" t="str">
        <f>IF(Protokoll_2p!G198="","",IF(VALUE(LEFT(Protokoll_2p!G198,FIND(":",Protokoll_2p!G198)-1))&gt;VALUE(RIGHT(Protokoll_2p!G198,LEN(Protokoll_2p!G198)-FIND(":",Protokoll_2p!G198))),0,1))</f>
        <v/>
      </c>
      <c r="K232" s="1" t="str">
        <f>IF(Protokoll_2p!H198="","",IF(VALUE(LEFT(Protokoll_2p!H198,FIND(":",Protokoll_2p!H198)-1))&gt;VALUE(RIGHT(Protokoll_2p!H198,LEN(Protokoll_2p!H198)-FIND(":",Protokoll_2p!H198))),0,1))</f>
        <v/>
      </c>
      <c r="L232" s="1" t="str">
        <f>IF(Protokoll_2p!I198="","",IF(VALUE(LEFT(Protokoll_2p!I198,FIND(":",Protokoll_2p!I198)-1))&gt;VALUE(RIGHT(Protokoll_2p!I198,LEN(Protokoll_2p!I198)-FIND(":",Protokoll_2p!I198))),0,1))</f>
        <v/>
      </c>
      <c r="M232" s="1" t="str">
        <f>IF(Protokoll_2p!J198="","",IF(VALUE(LEFT(Protokoll_2p!J198,FIND(":",Protokoll_2p!J198)-1))&gt;VALUE(RIGHT(Protokoll_2p!J198,LEN(Protokoll_2p!J198)-FIND(":",Protokoll_2p!J198))),0,1))</f>
        <v/>
      </c>
      <c r="N232" s="1" t="str">
        <f t="shared" si="7"/>
        <v/>
      </c>
    </row>
    <row r="233" spans="2:14">
      <c r="B233" s="1" t="str">
        <f>IF(Protokoll_2p!F199="","",IF(VALUE(LEFT(Protokoll_2p!F199,FIND(":",Protokoll_2p!F199)-1))&gt;VALUE(RIGHT(Protokoll_2p!F199,LEN(Protokoll_2p!F199)-FIND(":",Protokoll_2p!F199))),1,0))</f>
        <v/>
      </c>
      <c r="C233" s="1" t="str">
        <f>IF(Protokoll_2p!G199="","",IF(VALUE(LEFT(Protokoll_2p!G199,FIND(":",Protokoll_2p!G199)-1))&gt;VALUE(RIGHT(Protokoll_2p!G199,LEN(Protokoll_2p!G199)-FIND(":",Protokoll_2p!G199))),1,0))</f>
        <v/>
      </c>
      <c r="D233" s="1" t="str">
        <f>IF(Protokoll_2p!H199="","",IF(VALUE(LEFT(Protokoll_2p!H199,FIND(":",Protokoll_2p!H199)-1))&gt;VALUE(RIGHT(Protokoll_2p!H199,LEN(Protokoll_2p!H199)-FIND(":",Protokoll_2p!H199))),1,0))</f>
        <v/>
      </c>
      <c r="E233" s="1" t="str">
        <f>IF(Protokoll_2p!I199="","",IF(VALUE(LEFT(Protokoll_2p!I199,FIND(":",Protokoll_2p!I199)-1))&gt;VALUE(RIGHT(Protokoll_2p!I199,LEN(Protokoll_2p!I199)-FIND(":",Protokoll_2p!I199))),1,0))</f>
        <v/>
      </c>
      <c r="F233" s="1" t="str">
        <f>IF(Protokoll_2p!J199="","",IF(VALUE(LEFT(Protokoll_2p!J199,FIND(":",Protokoll_2p!J199)-1))&gt;VALUE(RIGHT(Protokoll_2p!J199,LEN(Protokoll_2p!J199)-FIND(":",Protokoll_2p!J199))),1,0))</f>
        <v/>
      </c>
      <c r="G233" s="1" t="str">
        <f t="shared" si="6"/>
        <v/>
      </c>
      <c r="I233" s="1" t="str">
        <f>IF(Protokoll_2p!F199="","",IF(VALUE(LEFT(Protokoll_2p!F199,FIND(":",Protokoll_2p!F199)-1))&gt;VALUE(RIGHT(Protokoll_2p!F199,LEN(Protokoll_2p!F199)-FIND(":",Protokoll_2p!F199))),0,1))</f>
        <v/>
      </c>
      <c r="J233" s="1" t="str">
        <f>IF(Protokoll_2p!G199="","",IF(VALUE(LEFT(Protokoll_2p!G199,FIND(":",Protokoll_2p!G199)-1))&gt;VALUE(RIGHT(Protokoll_2p!G199,LEN(Protokoll_2p!G199)-FIND(":",Protokoll_2p!G199))),0,1))</f>
        <v/>
      </c>
      <c r="K233" s="1" t="str">
        <f>IF(Protokoll_2p!H199="","",IF(VALUE(LEFT(Protokoll_2p!H199,FIND(":",Protokoll_2p!H199)-1))&gt;VALUE(RIGHT(Protokoll_2p!H199,LEN(Protokoll_2p!H199)-FIND(":",Protokoll_2p!H199))),0,1))</f>
        <v/>
      </c>
      <c r="L233" s="1" t="str">
        <f>IF(Protokoll_2p!I199="","",IF(VALUE(LEFT(Protokoll_2p!I199,FIND(":",Protokoll_2p!I199)-1))&gt;VALUE(RIGHT(Protokoll_2p!I199,LEN(Protokoll_2p!I199)-FIND(":",Protokoll_2p!I199))),0,1))</f>
        <v/>
      </c>
      <c r="M233" s="1" t="str">
        <f>IF(Protokoll_2p!J199="","",IF(VALUE(LEFT(Protokoll_2p!J199,FIND(":",Protokoll_2p!J199)-1))&gt;VALUE(RIGHT(Protokoll_2p!J199,LEN(Protokoll_2p!J199)-FIND(":",Protokoll_2p!J199))),0,1))</f>
        <v/>
      </c>
      <c r="N233" s="1" t="str">
        <f t="shared" si="7"/>
        <v/>
      </c>
    </row>
    <row r="234" spans="2:14">
      <c r="B234" s="1" t="str">
        <f>IF(Protokoll_2p!F200="","",IF(VALUE(LEFT(Protokoll_2p!F200,FIND(":",Protokoll_2p!F200)-1))&gt;VALUE(RIGHT(Protokoll_2p!F200,LEN(Protokoll_2p!F200)-FIND(":",Protokoll_2p!F200))),1,0))</f>
        <v/>
      </c>
      <c r="C234" s="1" t="str">
        <f>IF(Protokoll_2p!G200="","",IF(VALUE(LEFT(Protokoll_2p!G200,FIND(":",Protokoll_2p!G200)-1))&gt;VALUE(RIGHT(Protokoll_2p!G200,LEN(Protokoll_2p!G200)-FIND(":",Protokoll_2p!G200))),1,0))</f>
        <v/>
      </c>
      <c r="D234" s="1" t="str">
        <f>IF(Protokoll_2p!H200="","",IF(VALUE(LEFT(Protokoll_2p!H200,FIND(":",Protokoll_2p!H200)-1))&gt;VALUE(RIGHT(Protokoll_2p!H200,LEN(Protokoll_2p!H200)-FIND(":",Protokoll_2p!H200))),1,0))</f>
        <v/>
      </c>
      <c r="E234" s="1" t="str">
        <f>IF(Protokoll_2p!I200="","",IF(VALUE(LEFT(Protokoll_2p!I200,FIND(":",Protokoll_2p!I200)-1))&gt;VALUE(RIGHT(Protokoll_2p!I200,LEN(Protokoll_2p!I200)-FIND(":",Protokoll_2p!I200))),1,0))</f>
        <v/>
      </c>
      <c r="F234" s="1" t="str">
        <f>IF(Protokoll_2p!J200="","",IF(VALUE(LEFT(Protokoll_2p!J200,FIND(":",Protokoll_2p!J200)-1))&gt;VALUE(RIGHT(Protokoll_2p!J200,LEN(Protokoll_2p!J200)-FIND(":",Protokoll_2p!J200))),1,0))</f>
        <v/>
      </c>
      <c r="G234" s="1" t="str">
        <f t="shared" si="6"/>
        <v/>
      </c>
      <c r="I234" s="1" t="str">
        <f>IF(Protokoll_2p!F200="","",IF(VALUE(LEFT(Protokoll_2p!F200,FIND(":",Protokoll_2p!F200)-1))&gt;VALUE(RIGHT(Protokoll_2p!F200,LEN(Protokoll_2p!F200)-FIND(":",Protokoll_2p!F200))),0,1))</f>
        <v/>
      </c>
      <c r="J234" s="1" t="str">
        <f>IF(Protokoll_2p!G200="","",IF(VALUE(LEFT(Protokoll_2p!G200,FIND(":",Protokoll_2p!G200)-1))&gt;VALUE(RIGHT(Protokoll_2p!G200,LEN(Protokoll_2p!G200)-FIND(":",Protokoll_2p!G200))),0,1))</f>
        <v/>
      </c>
      <c r="K234" s="1" t="str">
        <f>IF(Protokoll_2p!H200="","",IF(VALUE(LEFT(Protokoll_2p!H200,FIND(":",Protokoll_2p!H200)-1))&gt;VALUE(RIGHT(Protokoll_2p!H200,LEN(Protokoll_2p!H200)-FIND(":",Protokoll_2p!H200))),0,1))</f>
        <v/>
      </c>
      <c r="L234" s="1" t="str">
        <f>IF(Protokoll_2p!I200="","",IF(VALUE(LEFT(Protokoll_2p!I200,FIND(":",Protokoll_2p!I200)-1))&gt;VALUE(RIGHT(Protokoll_2p!I200,LEN(Protokoll_2p!I200)-FIND(":",Protokoll_2p!I200))),0,1))</f>
        <v/>
      </c>
      <c r="M234" s="1" t="str">
        <f>IF(Protokoll_2p!J200="","",IF(VALUE(LEFT(Protokoll_2p!J200,FIND(":",Protokoll_2p!J200)-1))&gt;VALUE(RIGHT(Protokoll_2p!J200,LEN(Protokoll_2p!J200)-FIND(":",Protokoll_2p!J200))),0,1))</f>
        <v/>
      </c>
      <c r="N234" s="1" t="str">
        <f t="shared" si="7"/>
        <v/>
      </c>
    </row>
    <row r="235" spans="2:14">
      <c r="B235" s="1" t="str">
        <f>IF(Protokoll_2p!F201="","",IF(VALUE(LEFT(Protokoll_2p!F201,FIND(":",Protokoll_2p!F201)-1))&gt;VALUE(RIGHT(Protokoll_2p!F201,LEN(Protokoll_2p!F201)-FIND(":",Protokoll_2p!F201))),1,0))</f>
        <v/>
      </c>
      <c r="C235" s="1" t="str">
        <f>IF(Protokoll_2p!G201="","",IF(VALUE(LEFT(Protokoll_2p!G201,FIND(":",Protokoll_2p!G201)-1))&gt;VALUE(RIGHT(Protokoll_2p!G201,LEN(Protokoll_2p!G201)-FIND(":",Protokoll_2p!G201))),1,0))</f>
        <v/>
      </c>
      <c r="D235" s="1" t="str">
        <f>IF(Protokoll_2p!H201="","",IF(VALUE(LEFT(Protokoll_2p!H201,FIND(":",Protokoll_2p!H201)-1))&gt;VALUE(RIGHT(Protokoll_2p!H201,LEN(Protokoll_2p!H201)-FIND(":",Protokoll_2p!H201))),1,0))</f>
        <v/>
      </c>
      <c r="E235" s="1" t="str">
        <f>IF(Protokoll_2p!I201="","",IF(VALUE(LEFT(Protokoll_2p!I201,FIND(":",Protokoll_2p!I201)-1))&gt;VALUE(RIGHT(Protokoll_2p!I201,LEN(Protokoll_2p!I201)-FIND(":",Protokoll_2p!I201))),1,0))</f>
        <v/>
      </c>
      <c r="F235" s="1" t="str">
        <f>IF(Protokoll_2p!J201="","",IF(VALUE(LEFT(Protokoll_2p!J201,FIND(":",Protokoll_2p!J201)-1))&gt;VALUE(RIGHT(Protokoll_2p!J201,LEN(Protokoll_2p!J201)-FIND(":",Protokoll_2p!J201))),1,0))</f>
        <v/>
      </c>
      <c r="G235" s="1" t="str">
        <f t="shared" si="6"/>
        <v/>
      </c>
      <c r="I235" s="1" t="str">
        <f>IF(Protokoll_2p!F201="","",IF(VALUE(LEFT(Protokoll_2p!F201,FIND(":",Protokoll_2p!F201)-1))&gt;VALUE(RIGHT(Protokoll_2p!F201,LEN(Protokoll_2p!F201)-FIND(":",Protokoll_2p!F201))),0,1))</f>
        <v/>
      </c>
      <c r="J235" s="1" t="str">
        <f>IF(Protokoll_2p!G201="","",IF(VALUE(LEFT(Protokoll_2p!G201,FIND(":",Protokoll_2p!G201)-1))&gt;VALUE(RIGHT(Protokoll_2p!G201,LEN(Protokoll_2p!G201)-FIND(":",Protokoll_2p!G201))),0,1))</f>
        <v/>
      </c>
      <c r="K235" s="1" t="str">
        <f>IF(Protokoll_2p!H201="","",IF(VALUE(LEFT(Protokoll_2p!H201,FIND(":",Protokoll_2p!H201)-1))&gt;VALUE(RIGHT(Protokoll_2p!H201,LEN(Protokoll_2p!H201)-FIND(":",Protokoll_2p!H201))),0,1))</f>
        <v/>
      </c>
      <c r="L235" s="1" t="str">
        <f>IF(Protokoll_2p!I201="","",IF(VALUE(LEFT(Protokoll_2p!I201,FIND(":",Protokoll_2p!I201)-1))&gt;VALUE(RIGHT(Protokoll_2p!I201,LEN(Protokoll_2p!I201)-FIND(":",Protokoll_2p!I201))),0,1))</f>
        <v/>
      </c>
      <c r="M235" s="1" t="str">
        <f>IF(Protokoll_2p!J201="","",IF(VALUE(LEFT(Protokoll_2p!J201,FIND(":",Protokoll_2p!J201)-1))&gt;VALUE(RIGHT(Protokoll_2p!J201,LEN(Protokoll_2p!J201)-FIND(":",Protokoll_2p!J201))),0,1))</f>
        <v/>
      </c>
      <c r="N235" s="1" t="str">
        <f t="shared" si="7"/>
        <v/>
      </c>
    </row>
    <row r="236" spans="2:14">
      <c r="B236" s="1" t="str">
        <f>IF(Protokoll_2p!F202="","",IF(VALUE(LEFT(Protokoll_2p!F202,FIND(":",Protokoll_2p!F202)-1))&gt;VALUE(RIGHT(Protokoll_2p!F202,LEN(Protokoll_2p!F202)-FIND(":",Protokoll_2p!F202))),1,0))</f>
        <v/>
      </c>
      <c r="C236" s="1" t="str">
        <f>IF(Protokoll_2p!G202="","",IF(VALUE(LEFT(Protokoll_2p!G202,FIND(":",Protokoll_2p!G202)-1))&gt;VALUE(RIGHT(Protokoll_2p!G202,LEN(Protokoll_2p!G202)-FIND(":",Protokoll_2p!G202))),1,0))</f>
        <v/>
      </c>
      <c r="D236" s="1" t="str">
        <f>IF(Protokoll_2p!H202="","",IF(VALUE(LEFT(Protokoll_2p!H202,FIND(":",Protokoll_2p!H202)-1))&gt;VALUE(RIGHT(Protokoll_2p!H202,LEN(Protokoll_2p!H202)-FIND(":",Protokoll_2p!H202))),1,0))</f>
        <v/>
      </c>
      <c r="E236" s="1" t="str">
        <f>IF(Protokoll_2p!I202="","",IF(VALUE(LEFT(Protokoll_2p!I202,FIND(":",Protokoll_2p!I202)-1))&gt;VALUE(RIGHT(Protokoll_2p!I202,LEN(Protokoll_2p!I202)-FIND(":",Protokoll_2p!I202))),1,0))</f>
        <v/>
      </c>
      <c r="F236" s="1" t="str">
        <f>IF(Protokoll_2p!J202="","",IF(VALUE(LEFT(Protokoll_2p!J202,FIND(":",Protokoll_2p!J202)-1))&gt;VALUE(RIGHT(Protokoll_2p!J202,LEN(Protokoll_2p!J202)-FIND(":",Protokoll_2p!J202))),1,0))</f>
        <v/>
      </c>
      <c r="G236" s="1" t="str">
        <f t="shared" si="6"/>
        <v/>
      </c>
      <c r="I236" s="1" t="str">
        <f>IF(Protokoll_2p!F202="","",IF(VALUE(LEFT(Protokoll_2p!F202,FIND(":",Protokoll_2p!F202)-1))&gt;VALUE(RIGHT(Protokoll_2p!F202,LEN(Protokoll_2p!F202)-FIND(":",Protokoll_2p!F202))),0,1))</f>
        <v/>
      </c>
      <c r="J236" s="1" t="str">
        <f>IF(Protokoll_2p!G202="","",IF(VALUE(LEFT(Protokoll_2p!G202,FIND(":",Protokoll_2p!G202)-1))&gt;VALUE(RIGHT(Protokoll_2p!G202,LEN(Protokoll_2p!G202)-FIND(":",Protokoll_2p!G202))),0,1))</f>
        <v/>
      </c>
      <c r="K236" s="1" t="str">
        <f>IF(Protokoll_2p!H202="","",IF(VALUE(LEFT(Protokoll_2p!H202,FIND(":",Protokoll_2p!H202)-1))&gt;VALUE(RIGHT(Protokoll_2p!H202,LEN(Protokoll_2p!H202)-FIND(":",Protokoll_2p!H202))),0,1))</f>
        <v/>
      </c>
      <c r="L236" s="1" t="str">
        <f>IF(Protokoll_2p!I202="","",IF(VALUE(LEFT(Protokoll_2p!I202,FIND(":",Protokoll_2p!I202)-1))&gt;VALUE(RIGHT(Protokoll_2p!I202,LEN(Protokoll_2p!I202)-FIND(":",Protokoll_2p!I202))),0,1))</f>
        <v/>
      </c>
      <c r="M236" s="1" t="str">
        <f>IF(Protokoll_2p!J202="","",IF(VALUE(LEFT(Protokoll_2p!J202,FIND(":",Protokoll_2p!J202)-1))&gt;VALUE(RIGHT(Protokoll_2p!J202,LEN(Protokoll_2p!J202)-FIND(":",Protokoll_2p!J202))),0,1))</f>
        <v/>
      </c>
      <c r="N236" s="1" t="str">
        <f t="shared" si="7"/>
        <v/>
      </c>
    </row>
    <row r="237" spans="2:14">
      <c r="B237" s="1" t="str">
        <f>IF(Protokoll_2p!F203="","",IF(VALUE(LEFT(Protokoll_2p!F203,FIND(":",Protokoll_2p!F203)-1))&gt;VALUE(RIGHT(Protokoll_2p!F203,LEN(Protokoll_2p!F203)-FIND(":",Protokoll_2p!F203))),1,0))</f>
        <v/>
      </c>
      <c r="C237" s="1" t="str">
        <f>IF(Protokoll_2p!G203="","",IF(VALUE(LEFT(Protokoll_2p!G203,FIND(":",Protokoll_2p!G203)-1))&gt;VALUE(RIGHT(Protokoll_2p!G203,LEN(Protokoll_2p!G203)-FIND(":",Protokoll_2p!G203))),1,0))</f>
        <v/>
      </c>
      <c r="D237" s="1" t="str">
        <f>IF(Protokoll_2p!H203="","",IF(VALUE(LEFT(Protokoll_2p!H203,FIND(":",Protokoll_2p!H203)-1))&gt;VALUE(RIGHT(Protokoll_2p!H203,LEN(Protokoll_2p!H203)-FIND(":",Protokoll_2p!H203))),1,0))</f>
        <v/>
      </c>
      <c r="E237" s="1" t="str">
        <f>IF(Protokoll_2p!I203="","",IF(VALUE(LEFT(Protokoll_2p!I203,FIND(":",Protokoll_2p!I203)-1))&gt;VALUE(RIGHT(Protokoll_2p!I203,LEN(Protokoll_2p!I203)-FIND(":",Protokoll_2p!I203))),1,0))</f>
        <v/>
      </c>
      <c r="F237" s="1" t="str">
        <f>IF(Protokoll_2p!J203="","",IF(VALUE(LEFT(Protokoll_2p!J203,FIND(":",Protokoll_2p!J203)-1))&gt;VALUE(RIGHT(Protokoll_2p!J203,LEN(Protokoll_2p!J203)-FIND(":",Protokoll_2p!J203))),1,0))</f>
        <v/>
      </c>
      <c r="G237" s="1" t="str">
        <f t="shared" si="6"/>
        <v/>
      </c>
      <c r="I237" s="1" t="str">
        <f>IF(Protokoll_2p!F203="","",IF(VALUE(LEFT(Protokoll_2p!F203,FIND(":",Protokoll_2p!F203)-1))&gt;VALUE(RIGHT(Protokoll_2p!F203,LEN(Protokoll_2p!F203)-FIND(":",Protokoll_2p!F203))),0,1))</f>
        <v/>
      </c>
      <c r="J237" s="1" t="str">
        <f>IF(Protokoll_2p!G203="","",IF(VALUE(LEFT(Protokoll_2p!G203,FIND(":",Protokoll_2p!G203)-1))&gt;VALUE(RIGHT(Protokoll_2p!G203,LEN(Protokoll_2p!G203)-FIND(":",Protokoll_2p!G203))),0,1))</f>
        <v/>
      </c>
      <c r="K237" s="1" t="str">
        <f>IF(Protokoll_2p!H203="","",IF(VALUE(LEFT(Protokoll_2p!H203,FIND(":",Protokoll_2p!H203)-1))&gt;VALUE(RIGHT(Protokoll_2p!H203,LEN(Protokoll_2p!H203)-FIND(":",Protokoll_2p!H203))),0,1))</f>
        <v/>
      </c>
      <c r="L237" s="1" t="str">
        <f>IF(Protokoll_2p!I203="","",IF(VALUE(LEFT(Protokoll_2p!I203,FIND(":",Protokoll_2p!I203)-1))&gt;VALUE(RIGHT(Protokoll_2p!I203,LEN(Protokoll_2p!I203)-FIND(":",Protokoll_2p!I203))),0,1))</f>
        <v/>
      </c>
      <c r="M237" s="1" t="str">
        <f>IF(Protokoll_2p!J203="","",IF(VALUE(LEFT(Protokoll_2p!J203,FIND(":",Protokoll_2p!J203)-1))&gt;VALUE(RIGHT(Protokoll_2p!J203,LEN(Protokoll_2p!J203)-FIND(":",Protokoll_2p!J203))),0,1))</f>
        <v/>
      </c>
      <c r="N237" s="1" t="str">
        <f t="shared" si="7"/>
        <v/>
      </c>
    </row>
    <row r="238" spans="2:14">
      <c r="B238" s="1" t="str">
        <f>IF(Protokoll_2p!F204="","",IF(VALUE(LEFT(Protokoll_2p!F204,FIND(":",Protokoll_2p!F204)-1))&gt;VALUE(RIGHT(Protokoll_2p!F204,LEN(Protokoll_2p!F204)-FIND(":",Protokoll_2p!F204))),1,0))</f>
        <v/>
      </c>
      <c r="C238" s="1" t="str">
        <f>IF(Protokoll_2p!G204="","",IF(VALUE(LEFT(Protokoll_2p!G204,FIND(":",Protokoll_2p!G204)-1))&gt;VALUE(RIGHT(Protokoll_2p!G204,LEN(Protokoll_2p!G204)-FIND(":",Protokoll_2p!G204))),1,0))</f>
        <v/>
      </c>
      <c r="D238" s="1" t="str">
        <f>IF(Protokoll_2p!H204="","",IF(VALUE(LEFT(Protokoll_2p!H204,FIND(":",Protokoll_2p!H204)-1))&gt;VALUE(RIGHT(Protokoll_2p!H204,LEN(Protokoll_2p!H204)-FIND(":",Protokoll_2p!H204))),1,0))</f>
        <v/>
      </c>
      <c r="E238" s="1" t="str">
        <f>IF(Protokoll_2p!I204="","",IF(VALUE(LEFT(Protokoll_2p!I204,FIND(":",Protokoll_2p!I204)-1))&gt;VALUE(RIGHT(Protokoll_2p!I204,LEN(Protokoll_2p!I204)-FIND(":",Protokoll_2p!I204))),1,0))</f>
        <v/>
      </c>
      <c r="F238" s="1" t="str">
        <f>IF(Protokoll_2p!J204="","",IF(VALUE(LEFT(Protokoll_2p!J204,FIND(":",Protokoll_2p!J204)-1))&gt;VALUE(RIGHT(Protokoll_2p!J204,LEN(Protokoll_2p!J204)-FIND(":",Protokoll_2p!J204))),1,0))</f>
        <v/>
      </c>
      <c r="G238" s="1" t="str">
        <f t="shared" si="6"/>
        <v/>
      </c>
      <c r="I238" s="1" t="str">
        <f>IF(Protokoll_2p!F204="","",IF(VALUE(LEFT(Protokoll_2p!F204,FIND(":",Protokoll_2p!F204)-1))&gt;VALUE(RIGHT(Protokoll_2p!F204,LEN(Protokoll_2p!F204)-FIND(":",Protokoll_2p!F204))),0,1))</f>
        <v/>
      </c>
      <c r="J238" s="1" t="str">
        <f>IF(Protokoll_2p!G204="","",IF(VALUE(LEFT(Protokoll_2p!G204,FIND(":",Protokoll_2p!G204)-1))&gt;VALUE(RIGHT(Protokoll_2p!G204,LEN(Protokoll_2p!G204)-FIND(":",Protokoll_2p!G204))),0,1))</f>
        <v/>
      </c>
      <c r="K238" s="1" t="str">
        <f>IF(Protokoll_2p!H204="","",IF(VALUE(LEFT(Protokoll_2p!H204,FIND(":",Protokoll_2p!H204)-1))&gt;VALUE(RIGHT(Protokoll_2p!H204,LEN(Protokoll_2p!H204)-FIND(":",Protokoll_2p!H204))),0,1))</f>
        <v/>
      </c>
      <c r="L238" s="1" t="str">
        <f>IF(Protokoll_2p!I204="","",IF(VALUE(LEFT(Protokoll_2p!I204,FIND(":",Protokoll_2p!I204)-1))&gt;VALUE(RIGHT(Protokoll_2p!I204,LEN(Protokoll_2p!I204)-FIND(":",Protokoll_2p!I204))),0,1))</f>
        <v/>
      </c>
      <c r="M238" s="1" t="str">
        <f>IF(Protokoll_2p!J204="","",IF(VALUE(LEFT(Protokoll_2p!J204,FIND(":",Protokoll_2p!J204)-1))&gt;VALUE(RIGHT(Protokoll_2p!J204,LEN(Protokoll_2p!J204)-FIND(":",Protokoll_2p!J204))),0,1))</f>
        <v/>
      </c>
      <c r="N238" s="1" t="str">
        <f t="shared" si="7"/>
        <v/>
      </c>
    </row>
    <row r="239" spans="2:14">
      <c r="B239" s="1" t="str">
        <f>IF(Protokoll_2p!F205="","",IF(VALUE(LEFT(Protokoll_2p!F205,FIND(":",Protokoll_2p!F205)-1))&gt;VALUE(RIGHT(Protokoll_2p!F205,LEN(Protokoll_2p!F205)-FIND(":",Protokoll_2p!F205))),1,0))</f>
        <v/>
      </c>
      <c r="C239" s="1" t="str">
        <f>IF(Protokoll_2p!G205="","",IF(VALUE(LEFT(Protokoll_2p!G205,FIND(":",Protokoll_2p!G205)-1))&gt;VALUE(RIGHT(Protokoll_2p!G205,LEN(Protokoll_2p!G205)-FIND(":",Protokoll_2p!G205))),1,0))</f>
        <v/>
      </c>
      <c r="D239" s="1" t="str">
        <f>IF(Protokoll_2p!H205="","",IF(VALUE(LEFT(Protokoll_2p!H205,FIND(":",Protokoll_2p!H205)-1))&gt;VALUE(RIGHT(Protokoll_2p!H205,LEN(Protokoll_2p!H205)-FIND(":",Protokoll_2p!H205))),1,0))</f>
        <v/>
      </c>
      <c r="E239" s="1" t="str">
        <f>IF(Protokoll_2p!I205="","",IF(VALUE(LEFT(Protokoll_2p!I205,FIND(":",Protokoll_2p!I205)-1))&gt;VALUE(RIGHT(Protokoll_2p!I205,LEN(Protokoll_2p!I205)-FIND(":",Protokoll_2p!I205))),1,0))</f>
        <v/>
      </c>
      <c r="F239" s="1" t="str">
        <f>IF(Protokoll_2p!J205="","",IF(VALUE(LEFT(Protokoll_2p!J205,FIND(":",Protokoll_2p!J205)-1))&gt;VALUE(RIGHT(Protokoll_2p!J205,LEN(Protokoll_2p!J205)-FIND(":",Protokoll_2p!J205))),1,0))</f>
        <v/>
      </c>
      <c r="G239" s="1" t="str">
        <f t="shared" si="6"/>
        <v/>
      </c>
      <c r="I239" s="1" t="str">
        <f>IF(Protokoll_2p!F205="","",IF(VALUE(LEFT(Protokoll_2p!F205,FIND(":",Protokoll_2p!F205)-1))&gt;VALUE(RIGHT(Protokoll_2p!F205,LEN(Protokoll_2p!F205)-FIND(":",Protokoll_2p!F205))),0,1))</f>
        <v/>
      </c>
      <c r="J239" s="1" t="str">
        <f>IF(Protokoll_2p!G205="","",IF(VALUE(LEFT(Protokoll_2p!G205,FIND(":",Protokoll_2p!G205)-1))&gt;VALUE(RIGHT(Protokoll_2p!G205,LEN(Protokoll_2p!G205)-FIND(":",Protokoll_2p!G205))),0,1))</f>
        <v/>
      </c>
      <c r="K239" s="1" t="str">
        <f>IF(Protokoll_2p!H205="","",IF(VALUE(LEFT(Protokoll_2p!H205,FIND(":",Protokoll_2p!H205)-1))&gt;VALUE(RIGHT(Protokoll_2p!H205,LEN(Protokoll_2p!H205)-FIND(":",Protokoll_2p!H205))),0,1))</f>
        <v/>
      </c>
      <c r="L239" s="1" t="str">
        <f>IF(Protokoll_2p!I205="","",IF(VALUE(LEFT(Protokoll_2p!I205,FIND(":",Protokoll_2p!I205)-1))&gt;VALUE(RIGHT(Protokoll_2p!I205,LEN(Protokoll_2p!I205)-FIND(":",Protokoll_2p!I205))),0,1))</f>
        <v/>
      </c>
      <c r="M239" s="1" t="str">
        <f>IF(Protokoll_2p!J205="","",IF(VALUE(LEFT(Protokoll_2p!J205,FIND(":",Protokoll_2p!J205)-1))&gt;VALUE(RIGHT(Protokoll_2p!J205,LEN(Protokoll_2p!J205)-FIND(":",Protokoll_2p!J205))),0,1))</f>
        <v/>
      </c>
      <c r="N239" s="1" t="str">
        <f t="shared" si="7"/>
        <v/>
      </c>
    </row>
    <row r="240" spans="2:14">
      <c r="B240" s="1" t="str">
        <f>IF(Protokoll_2p!F206="","",IF(VALUE(LEFT(Protokoll_2p!F206,FIND(":",Protokoll_2p!F206)-1))&gt;VALUE(RIGHT(Protokoll_2p!F206,LEN(Protokoll_2p!F206)-FIND(":",Protokoll_2p!F206))),1,0))</f>
        <v/>
      </c>
      <c r="C240" s="1" t="str">
        <f>IF(Protokoll_2p!G206="","",IF(VALUE(LEFT(Protokoll_2p!G206,FIND(":",Protokoll_2p!G206)-1))&gt;VALUE(RIGHT(Protokoll_2p!G206,LEN(Protokoll_2p!G206)-FIND(":",Protokoll_2p!G206))),1,0))</f>
        <v/>
      </c>
      <c r="D240" s="1" t="str">
        <f>IF(Protokoll_2p!H206="","",IF(VALUE(LEFT(Protokoll_2p!H206,FIND(":",Protokoll_2p!H206)-1))&gt;VALUE(RIGHT(Protokoll_2p!H206,LEN(Protokoll_2p!H206)-FIND(":",Protokoll_2p!H206))),1,0))</f>
        <v/>
      </c>
      <c r="E240" s="1" t="str">
        <f>IF(Protokoll_2p!I206="","",IF(VALUE(LEFT(Protokoll_2p!I206,FIND(":",Protokoll_2p!I206)-1))&gt;VALUE(RIGHT(Protokoll_2p!I206,LEN(Protokoll_2p!I206)-FIND(":",Protokoll_2p!I206))),1,0))</f>
        <v/>
      </c>
      <c r="F240" s="1" t="str">
        <f>IF(Protokoll_2p!J206="","",IF(VALUE(LEFT(Protokoll_2p!J206,FIND(":",Protokoll_2p!J206)-1))&gt;VALUE(RIGHT(Protokoll_2p!J206,LEN(Protokoll_2p!J206)-FIND(":",Protokoll_2p!J206))),1,0))</f>
        <v/>
      </c>
      <c r="G240" s="1" t="str">
        <f t="shared" si="6"/>
        <v/>
      </c>
      <c r="I240" s="1" t="str">
        <f>IF(Protokoll_2p!F206="","",IF(VALUE(LEFT(Protokoll_2p!F206,FIND(":",Protokoll_2p!F206)-1))&gt;VALUE(RIGHT(Protokoll_2p!F206,LEN(Protokoll_2p!F206)-FIND(":",Protokoll_2p!F206))),0,1))</f>
        <v/>
      </c>
      <c r="J240" s="1" t="str">
        <f>IF(Protokoll_2p!G206="","",IF(VALUE(LEFT(Protokoll_2p!G206,FIND(":",Protokoll_2p!G206)-1))&gt;VALUE(RIGHT(Protokoll_2p!G206,LEN(Protokoll_2p!G206)-FIND(":",Protokoll_2p!G206))),0,1))</f>
        <v/>
      </c>
      <c r="K240" s="1" t="str">
        <f>IF(Protokoll_2p!H206="","",IF(VALUE(LEFT(Protokoll_2p!H206,FIND(":",Protokoll_2p!H206)-1))&gt;VALUE(RIGHT(Protokoll_2p!H206,LEN(Protokoll_2p!H206)-FIND(":",Protokoll_2p!H206))),0,1))</f>
        <v/>
      </c>
      <c r="L240" s="1" t="str">
        <f>IF(Protokoll_2p!I206="","",IF(VALUE(LEFT(Protokoll_2p!I206,FIND(":",Protokoll_2p!I206)-1))&gt;VALUE(RIGHT(Protokoll_2p!I206,LEN(Protokoll_2p!I206)-FIND(":",Protokoll_2p!I206))),0,1))</f>
        <v/>
      </c>
      <c r="M240" s="1" t="str">
        <f>IF(Protokoll_2p!J206="","",IF(VALUE(LEFT(Protokoll_2p!J206,FIND(":",Protokoll_2p!J206)-1))&gt;VALUE(RIGHT(Protokoll_2p!J206,LEN(Protokoll_2p!J206)-FIND(":",Protokoll_2p!J206))),0,1))</f>
        <v/>
      </c>
      <c r="N240" s="1" t="str">
        <f t="shared" si="7"/>
        <v/>
      </c>
    </row>
    <row r="241" spans="2:14">
      <c r="B241" s="1" t="str">
        <f>IF(Protokoll_2p!F207="","",IF(VALUE(LEFT(Protokoll_2p!F207,FIND(":",Protokoll_2p!F207)-1))&gt;VALUE(RIGHT(Protokoll_2p!F207,LEN(Protokoll_2p!F207)-FIND(":",Protokoll_2p!F207))),1,0))</f>
        <v/>
      </c>
      <c r="C241" s="1" t="str">
        <f>IF(Protokoll_2p!G207="","",IF(VALUE(LEFT(Protokoll_2p!G207,FIND(":",Protokoll_2p!G207)-1))&gt;VALUE(RIGHT(Protokoll_2p!G207,LEN(Protokoll_2p!G207)-FIND(":",Protokoll_2p!G207))),1,0))</f>
        <v/>
      </c>
      <c r="D241" s="1" t="str">
        <f>IF(Protokoll_2p!H207="","",IF(VALUE(LEFT(Protokoll_2p!H207,FIND(":",Protokoll_2p!H207)-1))&gt;VALUE(RIGHT(Protokoll_2p!H207,LEN(Protokoll_2p!H207)-FIND(":",Protokoll_2p!H207))),1,0))</f>
        <v/>
      </c>
      <c r="E241" s="1" t="str">
        <f>IF(Protokoll_2p!I207="","",IF(VALUE(LEFT(Protokoll_2p!I207,FIND(":",Protokoll_2p!I207)-1))&gt;VALUE(RIGHT(Protokoll_2p!I207,LEN(Protokoll_2p!I207)-FIND(":",Protokoll_2p!I207))),1,0))</f>
        <v/>
      </c>
      <c r="F241" s="1" t="str">
        <f>IF(Protokoll_2p!J207="","",IF(VALUE(LEFT(Protokoll_2p!J207,FIND(":",Protokoll_2p!J207)-1))&gt;VALUE(RIGHT(Protokoll_2p!J207,LEN(Protokoll_2p!J207)-FIND(":",Protokoll_2p!J207))),1,0))</f>
        <v/>
      </c>
      <c r="G241" s="1" t="str">
        <f t="shared" si="6"/>
        <v/>
      </c>
      <c r="I241" s="1" t="str">
        <f>IF(Protokoll_2p!F207="","",IF(VALUE(LEFT(Protokoll_2p!F207,FIND(":",Protokoll_2p!F207)-1))&gt;VALUE(RIGHT(Protokoll_2p!F207,LEN(Protokoll_2p!F207)-FIND(":",Protokoll_2p!F207))),0,1))</f>
        <v/>
      </c>
      <c r="J241" s="1" t="str">
        <f>IF(Protokoll_2p!G207="","",IF(VALUE(LEFT(Protokoll_2p!G207,FIND(":",Protokoll_2p!G207)-1))&gt;VALUE(RIGHT(Protokoll_2p!G207,LEN(Protokoll_2p!G207)-FIND(":",Protokoll_2p!G207))),0,1))</f>
        <v/>
      </c>
      <c r="K241" s="1" t="str">
        <f>IF(Protokoll_2p!H207="","",IF(VALUE(LEFT(Protokoll_2p!H207,FIND(":",Protokoll_2p!H207)-1))&gt;VALUE(RIGHT(Protokoll_2p!H207,LEN(Protokoll_2p!H207)-FIND(":",Protokoll_2p!H207))),0,1))</f>
        <v/>
      </c>
      <c r="L241" s="1" t="str">
        <f>IF(Protokoll_2p!I207="","",IF(VALUE(LEFT(Protokoll_2p!I207,FIND(":",Protokoll_2p!I207)-1))&gt;VALUE(RIGHT(Protokoll_2p!I207,LEN(Protokoll_2p!I207)-FIND(":",Protokoll_2p!I207))),0,1))</f>
        <v/>
      </c>
      <c r="M241" s="1" t="str">
        <f>IF(Protokoll_2p!J207="","",IF(VALUE(LEFT(Protokoll_2p!J207,FIND(":",Protokoll_2p!J207)-1))&gt;VALUE(RIGHT(Protokoll_2p!J207,LEN(Protokoll_2p!J207)-FIND(":",Protokoll_2p!J207))),0,1))</f>
        <v/>
      </c>
      <c r="N241" s="1" t="str">
        <f t="shared" si="7"/>
        <v/>
      </c>
    </row>
    <row r="242" spans="2:14">
      <c r="B242" s="1" t="str">
        <f>IF(Protokoll_2p!F208="","",IF(VALUE(LEFT(Protokoll_2p!F208,FIND(":",Protokoll_2p!F208)-1))&gt;VALUE(RIGHT(Protokoll_2p!F208,LEN(Protokoll_2p!F208)-FIND(":",Protokoll_2p!F208))),1,0))</f>
        <v/>
      </c>
      <c r="C242" s="1" t="str">
        <f>IF(Protokoll_2p!G208="","",IF(VALUE(LEFT(Protokoll_2p!G208,FIND(":",Protokoll_2p!G208)-1))&gt;VALUE(RIGHT(Protokoll_2p!G208,LEN(Protokoll_2p!G208)-FIND(":",Protokoll_2p!G208))),1,0))</f>
        <v/>
      </c>
      <c r="D242" s="1" t="str">
        <f>IF(Protokoll_2p!H208="","",IF(VALUE(LEFT(Protokoll_2p!H208,FIND(":",Protokoll_2p!H208)-1))&gt;VALUE(RIGHT(Protokoll_2p!H208,LEN(Protokoll_2p!H208)-FIND(":",Protokoll_2p!H208))),1,0))</f>
        <v/>
      </c>
      <c r="E242" s="1" t="str">
        <f>IF(Protokoll_2p!I208="","",IF(VALUE(LEFT(Protokoll_2p!I208,FIND(":",Protokoll_2p!I208)-1))&gt;VALUE(RIGHT(Protokoll_2p!I208,LEN(Protokoll_2p!I208)-FIND(":",Protokoll_2p!I208))),1,0))</f>
        <v/>
      </c>
      <c r="F242" s="1" t="str">
        <f>IF(Protokoll_2p!J208="","",IF(VALUE(LEFT(Protokoll_2p!J208,FIND(":",Protokoll_2p!J208)-1))&gt;VALUE(RIGHT(Protokoll_2p!J208,LEN(Protokoll_2p!J208)-FIND(":",Protokoll_2p!J208))),1,0))</f>
        <v/>
      </c>
      <c r="G242" s="1" t="str">
        <f t="shared" si="6"/>
        <v/>
      </c>
      <c r="I242" s="1" t="str">
        <f>IF(Protokoll_2p!F208="","",IF(VALUE(LEFT(Protokoll_2p!F208,FIND(":",Protokoll_2p!F208)-1))&gt;VALUE(RIGHT(Protokoll_2p!F208,LEN(Protokoll_2p!F208)-FIND(":",Protokoll_2p!F208))),0,1))</f>
        <v/>
      </c>
      <c r="J242" s="1" t="str">
        <f>IF(Protokoll_2p!G208="","",IF(VALUE(LEFT(Protokoll_2p!G208,FIND(":",Protokoll_2p!G208)-1))&gt;VALUE(RIGHT(Protokoll_2p!G208,LEN(Protokoll_2p!G208)-FIND(":",Protokoll_2p!G208))),0,1))</f>
        <v/>
      </c>
      <c r="K242" s="1" t="str">
        <f>IF(Protokoll_2p!H208="","",IF(VALUE(LEFT(Protokoll_2p!H208,FIND(":",Protokoll_2p!H208)-1))&gt;VALUE(RIGHT(Protokoll_2p!H208,LEN(Protokoll_2p!H208)-FIND(":",Protokoll_2p!H208))),0,1))</f>
        <v/>
      </c>
      <c r="L242" s="1" t="str">
        <f>IF(Protokoll_2p!I208="","",IF(VALUE(LEFT(Protokoll_2p!I208,FIND(":",Protokoll_2p!I208)-1))&gt;VALUE(RIGHT(Protokoll_2p!I208,LEN(Protokoll_2p!I208)-FIND(":",Protokoll_2p!I208))),0,1))</f>
        <v/>
      </c>
      <c r="M242" s="1" t="str">
        <f>IF(Protokoll_2p!J208="","",IF(VALUE(LEFT(Protokoll_2p!J208,FIND(":",Protokoll_2p!J208)-1))&gt;VALUE(RIGHT(Protokoll_2p!J208,LEN(Protokoll_2p!J208)-FIND(":",Protokoll_2p!J208))),0,1))</f>
        <v/>
      </c>
      <c r="N242" s="1" t="str">
        <f t="shared" si="7"/>
        <v/>
      </c>
    </row>
    <row r="243" spans="2:14">
      <c r="B243" s="1" t="str">
        <f>IF(Protokoll_2p!F209="","",IF(VALUE(LEFT(Protokoll_2p!F209,FIND(":",Protokoll_2p!F209)-1))&gt;VALUE(RIGHT(Protokoll_2p!F209,LEN(Protokoll_2p!F209)-FIND(":",Protokoll_2p!F209))),1,0))</f>
        <v/>
      </c>
      <c r="C243" s="1" t="str">
        <f>IF(Protokoll_2p!G209="","",IF(VALUE(LEFT(Protokoll_2p!G209,FIND(":",Protokoll_2p!G209)-1))&gt;VALUE(RIGHT(Protokoll_2p!G209,LEN(Protokoll_2p!G209)-FIND(":",Protokoll_2p!G209))),1,0))</f>
        <v/>
      </c>
      <c r="D243" s="1" t="str">
        <f>IF(Protokoll_2p!H209="","",IF(VALUE(LEFT(Protokoll_2p!H209,FIND(":",Protokoll_2p!H209)-1))&gt;VALUE(RIGHT(Protokoll_2p!H209,LEN(Protokoll_2p!H209)-FIND(":",Protokoll_2p!H209))),1,0))</f>
        <v/>
      </c>
      <c r="E243" s="1" t="str">
        <f>IF(Protokoll_2p!I209="","",IF(VALUE(LEFT(Protokoll_2p!I209,FIND(":",Protokoll_2p!I209)-1))&gt;VALUE(RIGHT(Protokoll_2p!I209,LEN(Protokoll_2p!I209)-FIND(":",Protokoll_2p!I209))),1,0))</f>
        <v/>
      </c>
      <c r="F243" s="1" t="str">
        <f>IF(Protokoll_2p!J209="","",IF(VALUE(LEFT(Protokoll_2p!J209,FIND(":",Protokoll_2p!J209)-1))&gt;VALUE(RIGHT(Protokoll_2p!J209,LEN(Protokoll_2p!J209)-FIND(":",Protokoll_2p!J209))),1,0))</f>
        <v/>
      </c>
      <c r="G243" s="1" t="str">
        <f t="shared" si="6"/>
        <v/>
      </c>
      <c r="I243" s="1" t="str">
        <f>IF(Protokoll_2p!F209="","",IF(VALUE(LEFT(Protokoll_2p!F209,FIND(":",Protokoll_2p!F209)-1))&gt;VALUE(RIGHT(Protokoll_2p!F209,LEN(Protokoll_2p!F209)-FIND(":",Protokoll_2p!F209))),0,1))</f>
        <v/>
      </c>
      <c r="J243" s="1" t="str">
        <f>IF(Protokoll_2p!G209="","",IF(VALUE(LEFT(Protokoll_2p!G209,FIND(":",Protokoll_2p!G209)-1))&gt;VALUE(RIGHT(Protokoll_2p!G209,LEN(Protokoll_2p!G209)-FIND(":",Protokoll_2p!G209))),0,1))</f>
        <v/>
      </c>
      <c r="K243" s="1" t="str">
        <f>IF(Protokoll_2p!H209="","",IF(VALUE(LEFT(Protokoll_2p!H209,FIND(":",Protokoll_2p!H209)-1))&gt;VALUE(RIGHT(Protokoll_2p!H209,LEN(Protokoll_2p!H209)-FIND(":",Protokoll_2p!H209))),0,1))</f>
        <v/>
      </c>
      <c r="L243" s="1" t="str">
        <f>IF(Protokoll_2p!I209="","",IF(VALUE(LEFT(Protokoll_2p!I209,FIND(":",Protokoll_2p!I209)-1))&gt;VALUE(RIGHT(Protokoll_2p!I209,LEN(Protokoll_2p!I209)-FIND(":",Protokoll_2p!I209))),0,1))</f>
        <v/>
      </c>
      <c r="M243" s="1" t="str">
        <f>IF(Protokoll_2p!J209="","",IF(VALUE(LEFT(Protokoll_2p!J209,FIND(":",Protokoll_2p!J209)-1))&gt;VALUE(RIGHT(Protokoll_2p!J209,LEN(Protokoll_2p!J209)-FIND(":",Protokoll_2p!J209))),0,1))</f>
        <v/>
      </c>
      <c r="N243" s="1" t="str">
        <f t="shared" si="7"/>
        <v/>
      </c>
    </row>
    <row r="244" spans="2:14">
      <c r="B244" s="1" t="str">
        <f>IF(Protokoll_2p!F210="","",IF(VALUE(LEFT(Protokoll_2p!F210,FIND(":",Protokoll_2p!F210)-1))&gt;VALUE(RIGHT(Protokoll_2p!F210,LEN(Protokoll_2p!F210)-FIND(":",Protokoll_2p!F210))),1,0))</f>
        <v/>
      </c>
      <c r="C244" s="1" t="str">
        <f>IF(Protokoll_2p!G210="","",IF(VALUE(LEFT(Protokoll_2p!G210,FIND(":",Protokoll_2p!G210)-1))&gt;VALUE(RIGHT(Protokoll_2p!G210,LEN(Protokoll_2p!G210)-FIND(":",Protokoll_2p!G210))),1,0))</f>
        <v/>
      </c>
      <c r="D244" s="1" t="str">
        <f>IF(Protokoll_2p!H210="","",IF(VALUE(LEFT(Protokoll_2p!H210,FIND(":",Protokoll_2p!H210)-1))&gt;VALUE(RIGHT(Protokoll_2p!H210,LEN(Protokoll_2p!H210)-FIND(":",Protokoll_2p!H210))),1,0))</f>
        <v/>
      </c>
      <c r="E244" s="1" t="str">
        <f>IF(Protokoll_2p!I210="","",IF(VALUE(LEFT(Protokoll_2p!I210,FIND(":",Protokoll_2p!I210)-1))&gt;VALUE(RIGHT(Protokoll_2p!I210,LEN(Protokoll_2p!I210)-FIND(":",Protokoll_2p!I210))),1,0))</f>
        <v/>
      </c>
      <c r="F244" s="1" t="str">
        <f>IF(Protokoll_2p!J210="","",IF(VALUE(LEFT(Protokoll_2p!J210,FIND(":",Protokoll_2p!J210)-1))&gt;VALUE(RIGHT(Protokoll_2p!J210,LEN(Protokoll_2p!J210)-FIND(":",Protokoll_2p!J210))),1,0))</f>
        <v/>
      </c>
      <c r="G244" s="1" t="str">
        <f t="shared" si="6"/>
        <v/>
      </c>
      <c r="I244" s="1" t="str">
        <f>IF(Protokoll_2p!F210="","",IF(VALUE(LEFT(Protokoll_2p!F210,FIND(":",Protokoll_2p!F210)-1))&gt;VALUE(RIGHT(Protokoll_2p!F210,LEN(Protokoll_2p!F210)-FIND(":",Protokoll_2p!F210))),0,1))</f>
        <v/>
      </c>
      <c r="J244" s="1" t="str">
        <f>IF(Protokoll_2p!G210="","",IF(VALUE(LEFT(Protokoll_2p!G210,FIND(":",Protokoll_2p!G210)-1))&gt;VALUE(RIGHT(Protokoll_2p!G210,LEN(Protokoll_2p!G210)-FIND(":",Protokoll_2p!G210))),0,1))</f>
        <v/>
      </c>
      <c r="K244" s="1" t="str">
        <f>IF(Protokoll_2p!H210="","",IF(VALUE(LEFT(Protokoll_2p!H210,FIND(":",Protokoll_2p!H210)-1))&gt;VALUE(RIGHT(Protokoll_2p!H210,LEN(Protokoll_2p!H210)-FIND(":",Protokoll_2p!H210))),0,1))</f>
        <v/>
      </c>
      <c r="L244" s="1" t="str">
        <f>IF(Protokoll_2p!I210="","",IF(VALUE(LEFT(Protokoll_2p!I210,FIND(":",Protokoll_2p!I210)-1))&gt;VALUE(RIGHT(Protokoll_2p!I210,LEN(Protokoll_2p!I210)-FIND(":",Protokoll_2p!I210))),0,1))</f>
        <v/>
      </c>
      <c r="M244" s="1" t="str">
        <f>IF(Protokoll_2p!J210="","",IF(VALUE(LEFT(Protokoll_2p!J210,FIND(":",Protokoll_2p!J210)-1))&gt;VALUE(RIGHT(Protokoll_2p!J210,LEN(Protokoll_2p!J210)-FIND(":",Protokoll_2p!J210))),0,1))</f>
        <v/>
      </c>
      <c r="N244" s="1" t="str">
        <f t="shared" si="7"/>
        <v/>
      </c>
    </row>
    <row r="245" spans="2:14">
      <c r="B245" s="1" t="str">
        <f>IF(Protokoll_2p!F211="","",IF(VALUE(LEFT(Protokoll_2p!F211,FIND(":",Protokoll_2p!F211)-1))&gt;VALUE(RIGHT(Protokoll_2p!F211,LEN(Protokoll_2p!F211)-FIND(":",Protokoll_2p!F211))),1,0))</f>
        <v/>
      </c>
      <c r="C245" s="1" t="str">
        <f>IF(Protokoll_2p!G211="","",IF(VALUE(LEFT(Protokoll_2p!G211,FIND(":",Protokoll_2p!G211)-1))&gt;VALUE(RIGHT(Protokoll_2p!G211,LEN(Protokoll_2p!G211)-FIND(":",Protokoll_2p!G211))),1,0))</f>
        <v/>
      </c>
      <c r="D245" s="1" t="str">
        <f>IF(Protokoll_2p!H211="","",IF(VALUE(LEFT(Protokoll_2p!H211,FIND(":",Protokoll_2p!H211)-1))&gt;VALUE(RIGHT(Protokoll_2p!H211,LEN(Protokoll_2p!H211)-FIND(":",Protokoll_2p!H211))),1,0))</f>
        <v/>
      </c>
      <c r="E245" s="1" t="str">
        <f>IF(Protokoll_2p!I211="","",IF(VALUE(LEFT(Protokoll_2p!I211,FIND(":",Protokoll_2p!I211)-1))&gt;VALUE(RIGHT(Protokoll_2p!I211,LEN(Protokoll_2p!I211)-FIND(":",Protokoll_2p!I211))),1,0))</f>
        <v/>
      </c>
      <c r="F245" s="1" t="str">
        <f>IF(Protokoll_2p!J211="","",IF(VALUE(LEFT(Protokoll_2p!J211,FIND(":",Protokoll_2p!J211)-1))&gt;VALUE(RIGHT(Protokoll_2p!J211,LEN(Protokoll_2p!J211)-FIND(":",Protokoll_2p!J211))),1,0))</f>
        <v/>
      </c>
      <c r="G245" s="1" t="str">
        <f t="shared" si="6"/>
        <v/>
      </c>
      <c r="I245" s="1" t="str">
        <f>IF(Protokoll_2p!F211="","",IF(VALUE(LEFT(Protokoll_2p!F211,FIND(":",Protokoll_2p!F211)-1))&gt;VALUE(RIGHT(Protokoll_2p!F211,LEN(Protokoll_2p!F211)-FIND(":",Protokoll_2p!F211))),0,1))</f>
        <v/>
      </c>
      <c r="J245" s="1" t="str">
        <f>IF(Protokoll_2p!G211="","",IF(VALUE(LEFT(Protokoll_2p!G211,FIND(":",Protokoll_2p!G211)-1))&gt;VALUE(RIGHT(Protokoll_2p!G211,LEN(Protokoll_2p!G211)-FIND(":",Protokoll_2p!G211))),0,1))</f>
        <v/>
      </c>
      <c r="K245" s="1" t="str">
        <f>IF(Protokoll_2p!H211="","",IF(VALUE(LEFT(Protokoll_2p!H211,FIND(":",Protokoll_2p!H211)-1))&gt;VALUE(RIGHT(Protokoll_2p!H211,LEN(Protokoll_2p!H211)-FIND(":",Protokoll_2p!H211))),0,1))</f>
        <v/>
      </c>
      <c r="L245" s="1" t="str">
        <f>IF(Protokoll_2p!I211="","",IF(VALUE(LEFT(Protokoll_2p!I211,FIND(":",Protokoll_2p!I211)-1))&gt;VALUE(RIGHT(Protokoll_2p!I211,LEN(Protokoll_2p!I211)-FIND(":",Protokoll_2p!I211))),0,1))</f>
        <v/>
      </c>
      <c r="M245" s="1" t="str">
        <f>IF(Protokoll_2p!J211="","",IF(VALUE(LEFT(Protokoll_2p!J211,FIND(":",Protokoll_2p!J211)-1))&gt;VALUE(RIGHT(Protokoll_2p!J211,LEN(Protokoll_2p!J211)-FIND(":",Protokoll_2p!J211))),0,1))</f>
        <v/>
      </c>
      <c r="N245" s="1" t="str">
        <f t="shared" si="7"/>
        <v/>
      </c>
    </row>
    <row r="246" spans="2:14">
      <c r="B246" s="1" t="str">
        <f>IF(Protokoll_2p!F212="","",IF(VALUE(LEFT(Protokoll_2p!F212,FIND(":",Protokoll_2p!F212)-1))&gt;VALUE(RIGHT(Protokoll_2p!F212,LEN(Protokoll_2p!F212)-FIND(":",Protokoll_2p!F212))),1,0))</f>
        <v/>
      </c>
      <c r="C246" s="1" t="str">
        <f>IF(Protokoll_2p!G212="","",IF(VALUE(LEFT(Protokoll_2p!G212,FIND(":",Protokoll_2p!G212)-1))&gt;VALUE(RIGHT(Protokoll_2p!G212,LEN(Protokoll_2p!G212)-FIND(":",Protokoll_2p!G212))),1,0))</f>
        <v/>
      </c>
      <c r="D246" s="1" t="str">
        <f>IF(Protokoll_2p!H212="","",IF(VALUE(LEFT(Protokoll_2p!H212,FIND(":",Protokoll_2p!H212)-1))&gt;VALUE(RIGHT(Protokoll_2p!H212,LEN(Protokoll_2p!H212)-FIND(":",Protokoll_2p!H212))),1,0))</f>
        <v/>
      </c>
      <c r="E246" s="1" t="str">
        <f>IF(Protokoll_2p!I212="","",IF(VALUE(LEFT(Protokoll_2p!I212,FIND(":",Protokoll_2p!I212)-1))&gt;VALUE(RIGHT(Protokoll_2p!I212,LEN(Protokoll_2p!I212)-FIND(":",Protokoll_2p!I212))),1,0))</f>
        <v/>
      </c>
      <c r="F246" s="1" t="str">
        <f>IF(Protokoll_2p!J212="","",IF(VALUE(LEFT(Protokoll_2p!J212,FIND(":",Protokoll_2p!J212)-1))&gt;VALUE(RIGHT(Protokoll_2p!J212,LEN(Protokoll_2p!J212)-FIND(":",Protokoll_2p!J212))),1,0))</f>
        <v/>
      </c>
      <c r="G246" s="1" t="str">
        <f t="shared" si="6"/>
        <v/>
      </c>
      <c r="I246" s="1" t="str">
        <f>IF(Protokoll_2p!F212="","",IF(VALUE(LEFT(Protokoll_2p!F212,FIND(":",Protokoll_2p!F212)-1))&gt;VALUE(RIGHT(Protokoll_2p!F212,LEN(Protokoll_2p!F212)-FIND(":",Protokoll_2p!F212))),0,1))</f>
        <v/>
      </c>
      <c r="J246" s="1" t="str">
        <f>IF(Protokoll_2p!G212="","",IF(VALUE(LEFT(Protokoll_2p!G212,FIND(":",Protokoll_2p!G212)-1))&gt;VALUE(RIGHT(Protokoll_2p!G212,LEN(Protokoll_2p!G212)-FIND(":",Protokoll_2p!G212))),0,1))</f>
        <v/>
      </c>
      <c r="K246" s="1" t="str">
        <f>IF(Protokoll_2p!H212="","",IF(VALUE(LEFT(Protokoll_2p!H212,FIND(":",Protokoll_2p!H212)-1))&gt;VALUE(RIGHT(Protokoll_2p!H212,LEN(Protokoll_2p!H212)-FIND(":",Protokoll_2p!H212))),0,1))</f>
        <v/>
      </c>
      <c r="L246" s="1" t="str">
        <f>IF(Protokoll_2p!I212="","",IF(VALUE(LEFT(Protokoll_2p!I212,FIND(":",Protokoll_2p!I212)-1))&gt;VALUE(RIGHT(Protokoll_2p!I212,LEN(Protokoll_2p!I212)-FIND(":",Protokoll_2p!I212))),0,1))</f>
        <v/>
      </c>
      <c r="M246" s="1" t="str">
        <f>IF(Protokoll_2p!J212="","",IF(VALUE(LEFT(Protokoll_2p!J212,FIND(":",Protokoll_2p!J212)-1))&gt;VALUE(RIGHT(Protokoll_2p!J212,LEN(Protokoll_2p!J212)-FIND(":",Protokoll_2p!J212))),0,1))</f>
        <v/>
      </c>
      <c r="N246" s="1" t="str">
        <f t="shared" si="7"/>
        <v/>
      </c>
    </row>
    <row r="247" spans="2:14">
      <c r="B247" s="1" t="str">
        <f>IF(Protokoll_2p!F213="","",IF(VALUE(LEFT(Protokoll_2p!F213,FIND(":",Protokoll_2p!F213)-1))&gt;VALUE(RIGHT(Protokoll_2p!F213,LEN(Protokoll_2p!F213)-FIND(":",Protokoll_2p!F213))),1,0))</f>
        <v/>
      </c>
      <c r="C247" s="1" t="str">
        <f>IF(Protokoll_2p!G213="","",IF(VALUE(LEFT(Protokoll_2p!G213,FIND(":",Protokoll_2p!G213)-1))&gt;VALUE(RIGHT(Protokoll_2p!G213,LEN(Protokoll_2p!G213)-FIND(":",Protokoll_2p!G213))),1,0))</f>
        <v/>
      </c>
      <c r="D247" s="1" t="str">
        <f>IF(Protokoll_2p!H213="","",IF(VALUE(LEFT(Protokoll_2p!H213,FIND(":",Protokoll_2p!H213)-1))&gt;VALUE(RIGHT(Protokoll_2p!H213,LEN(Protokoll_2p!H213)-FIND(":",Protokoll_2p!H213))),1,0))</f>
        <v/>
      </c>
      <c r="E247" s="1" t="str">
        <f>IF(Protokoll_2p!I213="","",IF(VALUE(LEFT(Protokoll_2p!I213,FIND(":",Protokoll_2p!I213)-1))&gt;VALUE(RIGHT(Protokoll_2p!I213,LEN(Protokoll_2p!I213)-FIND(":",Protokoll_2p!I213))),1,0))</f>
        <v/>
      </c>
      <c r="F247" s="1" t="str">
        <f>IF(Protokoll_2p!J213="","",IF(VALUE(LEFT(Protokoll_2p!J213,FIND(":",Protokoll_2p!J213)-1))&gt;VALUE(RIGHT(Protokoll_2p!J213,LEN(Protokoll_2p!J213)-FIND(":",Protokoll_2p!J213))),1,0))</f>
        <v/>
      </c>
      <c r="G247" s="1" t="str">
        <f t="shared" si="6"/>
        <v/>
      </c>
      <c r="I247" s="1" t="str">
        <f>IF(Protokoll_2p!F213="","",IF(VALUE(LEFT(Protokoll_2p!F213,FIND(":",Protokoll_2p!F213)-1))&gt;VALUE(RIGHT(Protokoll_2p!F213,LEN(Protokoll_2p!F213)-FIND(":",Protokoll_2p!F213))),0,1))</f>
        <v/>
      </c>
      <c r="J247" s="1" t="str">
        <f>IF(Protokoll_2p!G213="","",IF(VALUE(LEFT(Protokoll_2p!G213,FIND(":",Protokoll_2p!G213)-1))&gt;VALUE(RIGHT(Protokoll_2p!G213,LEN(Protokoll_2p!G213)-FIND(":",Protokoll_2p!G213))),0,1))</f>
        <v/>
      </c>
      <c r="K247" s="1" t="str">
        <f>IF(Protokoll_2p!H213="","",IF(VALUE(LEFT(Protokoll_2p!H213,FIND(":",Protokoll_2p!H213)-1))&gt;VALUE(RIGHT(Protokoll_2p!H213,LEN(Protokoll_2p!H213)-FIND(":",Protokoll_2p!H213))),0,1))</f>
        <v/>
      </c>
      <c r="L247" s="1" t="str">
        <f>IF(Protokoll_2p!I213="","",IF(VALUE(LEFT(Protokoll_2p!I213,FIND(":",Protokoll_2p!I213)-1))&gt;VALUE(RIGHT(Protokoll_2p!I213,LEN(Protokoll_2p!I213)-FIND(":",Protokoll_2p!I213))),0,1))</f>
        <v/>
      </c>
      <c r="M247" s="1" t="str">
        <f>IF(Protokoll_2p!J213="","",IF(VALUE(LEFT(Protokoll_2p!J213,FIND(":",Protokoll_2p!J213)-1))&gt;VALUE(RIGHT(Protokoll_2p!J213,LEN(Protokoll_2p!J213)-FIND(":",Protokoll_2p!J213))),0,1))</f>
        <v/>
      </c>
      <c r="N247" s="1" t="str">
        <f t="shared" si="7"/>
        <v/>
      </c>
    </row>
    <row r="248" spans="2:14">
      <c r="B248" s="1" t="str">
        <f>IF(Protokoll_2p!F214="","",IF(VALUE(LEFT(Protokoll_2p!F214,FIND(":",Protokoll_2p!F214)-1))&gt;VALUE(RIGHT(Protokoll_2p!F214,LEN(Protokoll_2p!F214)-FIND(":",Protokoll_2p!F214))),1,0))</f>
        <v/>
      </c>
      <c r="C248" s="1" t="str">
        <f>IF(Protokoll_2p!G214="","",IF(VALUE(LEFT(Protokoll_2p!G214,FIND(":",Protokoll_2p!G214)-1))&gt;VALUE(RIGHT(Protokoll_2p!G214,LEN(Protokoll_2p!G214)-FIND(":",Protokoll_2p!G214))),1,0))</f>
        <v/>
      </c>
      <c r="D248" s="1" t="str">
        <f>IF(Protokoll_2p!H214="","",IF(VALUE(LEFT(Protokoll_2p!H214,FIND(":",Protokoll_2p!H214)-1))&gt;VALUE(RIGHT(Protokoll_2p!H214,LEN(Protokoll_2p!H214)-FIND(":",Protokoll_2p!H214))),1,0))</f>
        <v/>
      </c>
      <c r="E248" s="1" t="str">
        <f>IF(Protokoll_2p!I214="","",IF(VALUE(LEFT(Protokoll_2p!I214,FIND(":",Protokoll_2p!I214)-1))&gt;VALUE(RIGHT(Protokoll_2p!I214,LEN(Protokoll_2p!I214)-FIND(":",Protokoll_2p!I214))),1,0))</f>
        <v/>
      </c>
      <c r="F248" s="1" t="str">
        <f>IF(Protokoll_2p!J214="","",IF(VALUE(LEFT(Protokoll_2p!J214,FIND(":",Protokoll_2p!J214)-1))&gt;VALUE(RIGHT(Protokoll_2p!J214,LEN(Protokoll_2p!J214)-FIND(":",Protokoll_2p!J214))),1,0))</f>
        <v/>
      </c>
      <c r="G248" s="1" t="str">
        <f t="shared" si="6"/>
        <v/>
      </c>
      <c r="I248" s="1" t="str">
        <f>IF(Protokoll_2p!F214="","",IF(VALUE(LEFT(Protokoll_2p!F214,FIND(":",Protokoll_2p!F214)-1))&gt;VALUE(RIGHT(Protokoll_2p!F214,LEN(Protokoll_2p!F214)-FIND(":",Protokoll_2p!F214))),0,1))</f>
        <v/>
      </c>
      <c r="J248" s="1" t="str">
        <f>IF(Protokoll_2p!G214="","",IF(VALUE(LEFT(Protokoll_2p!G214,FIND(":",Protokoll_2p!G214)-1))&gt;VALUE(RIGHT(Protokoll_2p!G214,LEN(Protokoll_2p!G214)-FIND(":",Protokoll_2p!G214))),0,1))</f>
        <v/>
      </c>
      <c r="K248" s="1" t="str">
        <f>IF(Protokoll_2p!H214="","",IF(VALUE(LEFT(Protokoll_2p!H214,FIND(":",Protokoll_2p!H214)-1))&gt;VALUE(RIGHT(Protokoll_2p!H214,LEN(Protokoll_2p!H214)-FIND(":",Protokoll_2p!H214))),0,1))</f>
        <v/>
      </c>
      <c r="L248" s="1" t="str">
        <f>IF(Protokoll_2p!I214="","",IF(VALUE(LEFT(Protokoll_2p!I214,FIND(":",Protokoll_2p!I214)-1))&gt;VALUE(RIGHT(Protokoll_2p!I214,LEN(Protokoll_2p!I214)-FIND(":",Protokoll_2p!I214))),0,1))</f>
        <v/>
      </c>
      <c r="M248" s="1" t="str">
        <f>IF(Protokoll_2p!J214="","",IF(VALUE(LEFT(Protokoll_2p!J214,FIND(":",Protokoll_2p!J214)-1))&gt;VALUE(RIGHT(Protokoll_2p!J214,LEN(Protokoll_2p!J214)-FIND(":",Protokoll_2p!J214))),0,1))</f>
        <v/>
      </c>
      <c r="N248" s="1" t="str">
        <f t="shared" si="7"/>
        <v/>
      </c>
    </row>
    <row r="249" spans="2:14">
      <c r="B249" s="1" t="str">
        <f>IF(Protokoll_2p!F215="","",IF(VALUE(LEFT(Protokoll_2p!F215,FIND(":",Protokoll_2p!F215)-1))&gt;VALUE(RIGHT(Protokoll_2p!F215,LEN(Protokoll_2p!F215)-FIND(":",Protokoll_2p!F215))),1,0))</f>
        <v/>
      </c>
      <c r="C249" s="1" t="str">
        <f>IF(Protokoll_2p!G215="","",IF(VALUE(LEFT(Protokoll_2p!G215,FIND(":",Protokoll_2p!G215)-1))&gt;VALUE(RIGHT(Protokoll_2p!G215,LEN(Protokoll_2p!G215)-FIND(":",Protokoll_2p!G215))),1,0))</f>
        <v/>
      </c>
      <c r="D249" s="1" t="str">
        <f>IF(Protokoll_2p!H215="","",IF(VALUE(LEFT(Protokoll_2p!H215,FIND(":",Protokoll_2p!H215)-1))&gt;VALUE(RIGHT(Protokoll_2p!H215,LEN(Protokoll_2p!H215)-FIND(":",Protokoll_2p!H215))),1,0))</f>
        <v/>
      </c>
      <c r="E249" s="1" t="str">
        <f>IF(Protokoll_2p!I215="","",IF(VALUE(LEFT(Protokoll_2p!I215,FIND(":",Protokoll_2p!I215)-1))&gt;VALUE(RIGHT(Protokoll_2p!I215,LEN(Protokoll_2p!I215)-FIND(":",Protokoll_2p!I215))),1,0))</f>
        <v/>
      </c>
      <c r="F249" s="1" t="str">
        <f>IF(Protokoll_2p!J215="","",IF(VALUE(LEFT(Protokoll_2p!J215,FIND(":",Protokoll_2p!J215)-1))&gt;VALUE(RIGHT(Protokoll_2p!J215,LEN(Protokoll_2p!J215)-FIND(":",Protokoll_2p!J215))),1,0))</f>
        <v/>
      </c>
      <c r="G249" s="1" t="str">
        <f t="shared" si="6"/>
        <v/>
      </c>
      <c r="I249" s="1" t="str">
        <f>IF(Protokoll_2p!F215="","",IF(VALUE(LEFT(Protokoll_2p!F215,FIND(":",Protokoll_2p!F215)-1))&gt;VALUE(RIGHT(Protokoll_2p!F215,LEN(Protokoll_2p!F215)-FIND(":",Protokoll_2p!F215))),0,1))</f>
        <v/>
      </c>
      <c r="J249" s="1" t="str">
        <f>IF(Protokoll_2p!G215="","",IF(VALUE(LEFT(Protokoll_2p!G215,FIND(":",Protokoll_2p!G215)-1))&gt;VALUE(RIGHT(Protokoll_2p!G215,LEN(Protokoll_2p!G215)-FIND(":",Protokoll_2p!G215))),0,1))</f>
        <v/>
      </c>
      <c r="K249" s="1" t="str">
        <f>IF(Protokoll_2p!H215="","",IF(VALUE(LEFT(Protokoll_2p!H215,FIND(":",Protokoll_2p!H215)-1))&gt;VALUE(RIGHT(Protokoll_2p!H215,LEN(Protokoll_2p!H215)-FIND(":",Protokoll_2p!H215))),0,1))</f>
        <v/>
      </c>
      <c r="L249" s="1" t="str">
        <f>IF(Protokoll_2p!I215="","",IF(VALUE(LEFT(Protokoll_2p!I215,FIND(":",Protokoll_2p!I215)-1))&gt;VALUE(RIGHT(Protokoll_2p!I215,LEN(Protokoll_2p!I215)-FIND(":",Protokoll_2p!I215))),0,1))</f>
        <v/>
      </c>
      <c r="M249" s="1" t="str">
        <f>IF(Protokoll_2p!J215="","",IF(VALUE(LEFT(Protokoll_2p!J215,FIND(":",Protokoll_2p!J215)-1))&gt;VALUE(RIGHT(Protokoll_2p!J215,LEN(Protokoll_2p!J215)-FIND(":",Protokoll_2p!J215))),0,1))</f>
        <v/>
      </c>
      <c r="N249" s="1" t="str">
        <f t="shared" si="7"/>
        <v/>
      </c>
    </row>
    <row r="250" spans="2:14">
      <c r="B250" s="1" t="str">
        <f>IF(Protokoll_2p!F216="","",IF(VALUE(LEFT(Protokoll_2p!F216,FIND(":",Protokoll_2p!F216)-1))&gt;VALUE(RIGHT(Protokoll_2p!F216,LEN(Protokoll_2p!F216)-FIND(":",Protokoll_2p!F216))),1,0))</f>
        <v/>
      </c>
      <c r="C250" s="1" t="str">
        <f>IF(Protokoll_2p!G216="","",IF(VALUE(LEFT(Protokoll_2p!G216,FIND(":",Protokoll_2p!G216)-1))&gt;VALUE(RIGHT(Protokoll_2p!G216,LEN(Protokoll_2p!G216)-FIND(":",Protokoll_2p!G216))),1,0))</f>
        <v/>
      </c>
      <c r="D250" s="1" t="str">
        <f>IF(Protokoll_2p!H216="","",IF(VALUE(LEFT(Protokoll_2p!H216,FIND(":",Protokoll_2p!H216)-1))&gt;VALUE(RIGHT(Protokoll_2p!H216,LEN(Protokoll_2p!H216)-FIND(":",Protokoll_2p!H216))),1,0))</f>
        <v/>
      </c>
      <c r="E250" s="1" t="str">
        <f>IF(Protokoll_2p!I216="","",IF(VALUE(LEFT(Protokoll_2p!I216,FIND(":",Protokoll_2p!I216)-1))&gt;VALUE(RIGHT(Protokoll_2p!I216,LEN(Protokoll_2p!I216)-FIND(":",Protokoll_2p!I216))),1,0))</f>
        <v/>
      </c>
      <c r="F250" s="1" t="str">
        <f>IF(Protokoll_2p!J216="","",IF(VALUE(LEFT(Protokoll_2p!J216,FIND(":",Protokoll_2p!J216)-1))&gt;VALUE(RIGHT(Protokoll_2p!J216,LEN(Protokoll_2p!J216)-FIND(":",Protokoll_2p!J216))),1,0))</f>
        <v/>
      </c>
      <c r="G250" s="1" t="str">
        <f t="shared" si="6"/>
        <v/>
      </c>
      <c r="I250" s="1" t="str">
        <f>IF(Protokoll_2p!F216="","",IF(VALUE(LEFT(Protokoll_2p!F216,FIND(":",Protokoll_2p!F216)-1))&gt;VALUE(RIGHT(Protokoll_2p!F216,LEN(Protokoll_2p!F216)-FIND(":",Protokoll_2p!F216))),0,1))</f>
        <v/>
      </c>
      <c r="J250" s="1" t="str">
        <f>IF(Protokoll_2p!G216="","",IF(VALUE(LEFT(Protokoll_2p!G216,FIND(":",Protokoll_2p!G216)-1))&gt;VALUE(RIGHT(Protokoll_2p!G216,LEN(Protokoll_2p!G216)-FIND(":",Protokoll_2p!G216))),0,1))</f>
        <v/>
      </c>
      <c r="K250" s="1" t="str">
        <f>IF(Protokoll_2p!H216="","",IF(VALUE(LEFT(Protokoll_2p!H216,FIND(":",Protokoll_2p!H216)-1))&gt;VALUE(RIGHT(Protokoll_2p!H216,LEN(Protokoll_2p!H216)-FIND(":",Protokoll_2p!H216))),0,1))</f>
        <v/>
      </c>
      <c r="L250" s="1" t="str">
        <f>IF(Protokoll_2p!I216="","",IF(VALUE(LEFT(Protokoll_2p!I216,FIND(":",Protokoll_2p!I216)-1))&gt;VALUE(RIGHT(Protokoll_2p!I216,LEN(Protokoll_2p!I216)-FIND(":",Protokoll_2p!I216))),0,1))</f>
        <v/>
      </c>
      <c r="M250" s="1" t="str">
        <f>IF(Protokoll_2p!J216="","",IF(VALUE(LEFT(Protokoll_2p!J216,FIND(":",Protokoll_2p!J216)-1))&gt;VALUE(RIGHT(Protokoll_2p!J216,LEN(Protokoll_2p!J216)-FIND(":",Protokoll_2p!J216))),0,1))</f>
        <v/>
      </c>
      <c r="N250" s="1" t="str">
        <f t="shared" si="7"/>
        <v/>
      </c>
    </row>
    <row r="251" spans="2:14">
      <c r="B251" s="1" t="str">
        <f>IF(Protokoll_2p!F217="","",IF(VALUE(LEFT(Protokoll_2p!F217,FIND(":",Protokoll_2p!F217)-1))&gt;VALUE(RIGHT(Protokoll_2p!F217,LEN(Protokoll_2p!F217)-FIND(":",Protokoll_2p!F217))),1,0))</f>
        <v/>
      </c>
      <c r="C251" s="1" t="str">
        <f>IF(Protokoll_2p!G217="","",IF(VALUE(LEFT(Protokoll_2p!G217,FIND(":",Protokoll_2p!G217)-1))&gt;VALUE(RIGHT(Protokoll_2p!G217,LEN(Protokoll_2p!G217)-FIND(":",Protokoll_2p!G217))),1,0))</f>
        <v/>
      </c>
      <c r="D251" s="1" t="str">
        <f>IF(Protokoll_2p!H217="","",IF(VALUE(LEFT(Protokoll_2p!H217,FIND(":",Protokoll_2p!H217)-1))&gt;VALUE(RIGHT(Protokoll_2p!H217,LEN(Protokoll_2p!H217)-FIND(":",Protokoll_2p!H217))),1,0))</f>
        <v/>
      </c>
      <c r="E251" s="1" t="str">
        <f>IF(Protokoll_2p!I217="","",IF(VALUE(LEFT(Protokoll_2p!I217,FIND(":",Protokoll_2p!I217)-1))&gt;VALUE(RIGHT(Protokoll_2p!I217,LEN(Protokoll_2p!I217)-FIND(":",Protokoll_2p!I217))),1,0))</f>
        <v/>
      </c>
      <c r="F251" s="1" t="str">
        <f>IF(Protokoll_2p!J217="","",IF(VALUE(LEFT(Protokoll_2p!J217,FIND(":",Protokoll_2p!J217)-1))&gt;VALUE(RIGHT(Protokoll_2p!J217,LEN(Protokoll_2p!J217)-FIND(":",Protokoll_2p!J217))),1,0))</f>
        <v/>
      </c>
      <c r="G251" s="1" t="str">
        <f t="shared" si="6"/>
        <v/>
      </c>
      <c r="I251" s="1" t="str">
        <f>IF(Protokoll_2p!F217="","",IF(VALUE(LEFT(Protokoll_2p!F217,FIND(":",Protokoll_2p!F217)-1))&gt;VALUE(RIGHT(Protokoll_2p!F217,LEN(Protokoll_2p!F217)-FIND(":",Protokoll_2p!F217))),0,1))</f>
        <v/>
      </c>
      <c r="J251" s="1" t="str">
        <f>IF(Protokoll_2p!G217="","",IF(VALUE(LEFT(Protokoll_2p!G217,FIND(":",Protokoll_2p!G217)-1))&gt;VALUE(RIGHT(Protokoll_2p!G217,LEN(Protokoll_2p!G217)-FIND(":",Protokoll_2p!G217))),0,1))</f>
        <v/>
      </c>
      <c r="K251" s="1" t="str">
        <f>IF(Protokoll_2p!H217="","",IF(VALUE(LEFT(Protokoll_2p!H217,FIND(":",Protokoll_2p!H217)-1))&gt;VALUE(RIGHT(Protokoll_2p!H217,LEN(Protokoll_2p!H217)-FIND(":",Protokoll_2p!H217))),0,1))</f>
        <v/>
      </c>
      <c r="L251" s="1" t="str">
        <f>IF(Protokoll_2p!I217="","",IF(VALUE(LEFT(Protokoll_2p!I217,FIND(":",Protokoll_2p!I217)-1))&gt;VALUE(RIGHT(Protokoll_2p!I217,LEN(Protokoll_2p!I217)-FIND(":",Protokoll_2p!I217))),0,1))</f>
        <v/>
      </c>
      <c r="M251" s="1" t="str">
        <f>IF(Protokoll_2p!J217="","",IF(VALUE(LEFT(Protokoll_2p!J217,FIND(":",Protokoll_2p!J217)-1))&gt;VALUE(RIGHT(Protokoll_2p!J217,LEN(Protokoll_2p!J217)-FIND(":",Protokoll_2p!J217))),0,1))</f>
        <v/>
      </c>
      <c r="N251" s="1" t="str">
        <f t="shared" si="7"/>
        <v/>
      </c>
    </row>
    <row r="252" spans="2:14">
      <c r="B252" s="1" t="str">
        <f>IF(Protokoll_2p!F218="","",IF(VALUE(LEFT(Protokoll_2p!F218,FIND(":",Protokoll_2p!F218)-1))&gt;VALUE(RIGHT(Protokoll_2p!F218,LEN(Protokoll_2p!F218)-FIND(":",Protokoll_2p!F218))),1,0))</f>
        <v/>
      </c>
      <c r="C252" s="1" t="str">
        <f>IF(Protokoll_2p!G218="","",IF(VALUE(LEFT(Protokoll_2p!G218,FIND(":",Protokoll_2p!G218)-1))&gt;VALUE(RIGHT(Protokoll_2p!G218,LEN(Protokoll_2p!G218)-FIND(":",Protokoll_2p!G218))),1,0))</f>
        <v/>
      </c>
      <c r="D252" s="1" t="str">
        <f>IF(Protokoll_2p!H218="","",IF(VALUE(LEFT(Protokoll_2p!H218,FIND(":",Protokoll_2p!H218)-1))&gt;VALUE(RIGHT(Protokoll_2p!H218,LEN(Protokoll_2p!H218)-FIND(":",Protokoll_2p!H218))),1,0))</f>
        <v/>
      </c>
      <c r="E252" s="1" t="str">
        <f>IF(Protokoll_2p!I218="","",IF(VALUE(LEFT(Protokoll_2p!I218,FIND(":",Protokoll_2p!I218)-1))&gt;VALUE(RIGHT(Protokoll_2p!I218,LEN(Protokoll_2p!I218)-FIND(":",Protokoll_2p!I218))),1,0))</f>
        <v/>
      </c>
      <c r="F252" s="1" t="str">
        <f>IF(Protokoll_2p!J218="","",IF(VALUE(LEFT(Protokoll_2p!J218,FIND(":",Protokoll_2p!J218)-1))&gt;VALUE(RIGHT(Protokoll_2p!J218,LEN(Protokoll_2p!J218)-FIND(":",Protokoll_2p!J218))),1,0))</f>
        <v/>
      </c>
      <c r="G252" s="1" t="str">
        <f t="shared" si="6"/>
        <v/>
      </c>
      <c r="I252" s="1" t="str">
        <f>IF(Protokoll_2p!F218="","",IF(VALUE(LEFT(Protokoll_2p!F218,FIND(":",Protokoll_2p!F218)-1))&gt;VALUE(RIGHT(Protokoll_2p!F218,LEN(Protokoll_2p!F218)-FIND(":",Protokoll_2p!F218))),0,1))</f>
        <v/>
      </c>
      <c r="J252" s="1" t="str">
        <f>IF(Protokoll_2p!G218="","",IF(VALUE(LEFT(Protokoll_2p!G218,FIND(":",Protokoll_2p!G218)-1))&gt;VALUE(RIGHT(Protokoll_2p!G218,LEN(Protokoll_2p!G218)-FIND(":",Protokoll_2p!G218))),0,1))</f>
        <v/>
      </c>
      <c r="K252" s="1" t="str">
        <f>IF(Protokoll_2p!H218="","",IF(VALUE(LEFT(Protokoll_2p!H218,FIND(":",Protokoll_2p!H218)-1))&gt;VALUE(RIGHT(Protokoll_2p!H218,LEN(Protokoll_2p!H218)-FIND(":",Protokoll_2p!H218))),0,1))</f>
        <v/>
      </c>
      <c r="L252" s="1" t="str">
        <f>IF(Protokoll_2p!I218="","",IF(VALUE(LEFT(Protokoll_2p!I218,FIND(":",Protokoll_2p!I218)-1))&gt;VALUE(RIGHT(Protokoll_2p!I218,LEN(Protokoll_2p!I218)-FIND(":",Protokoll_2p!I218))),0,1))</f>
        <v/>
      </c>
      <c r="M252" s="1" t="str">
        <f>IF(Protokoll_2p!J218="","",IF(VALUE(LEFT(Protokoll_2p!J218,FIND(":",Protokoll_2p!J218)-1))&gt;VALUE(RIGHT(Protokoll_2p!J218,LEN(Protokoll_2p!J218)-FIND(":",Protokoll_2p!J218))),0,1))</f>
        <v/>
      </c>
      <c r="N252" s="1" t="str">
        <f t="shared" si="7"/>
        <v/>
      </c>
    </row>
    <row r="253" spans="2:14">
      <c r="B253" s="1" t="str">
        <f>IF(Protokoll_2p!F219="","",IF(VALUE(LEFT(Protokoll_2p!F219,FIND(":",Protokoll_2p!F219)-1))&gt;VALUE(RIGHT(Protokoll_2p!F219,LEN(Protokoll_2p!F219)-FIND(":",Protokoll_2p!F219))),1,0))</f>
        <v/>
      </c>
      <c r="C253" s="1" t="str">
        <f>IF(Protokoll_2p!G219="","",IF(VALUE(LEFT(Protokoll_2p!G219,FIND(":",Protokoll_2p!G219)-1))&gt;VALUE(RIGHT(Protokoll_2p!G219,LEN(Protokoll_2p!G219)-FIND(":",Protokoll_2p!G219))),1,0))</f>
        <v/>
      </c>
      <c r="D253" s="1" t="str">
        <f>IF(Protokoll_2p!H219="","",IF(VALUE(LEFT(Protokoll_2p!H219,FIND(":",Protokoll_2p!H219)-1))&gt;VALUE(RIGHT(Protokoll_2p!H219,LEN(Protokoll_2p!H219)-FIND(":",Protokoll_2p!H219))),1,0))</f>
        <v/>
      </c>
      <c r="E253" s="1" t="str">
        <f>IF(Protokoll_2p!I219="","",IF(VALUE(LEFT(Protokoll_2p!I219,FIND(":",Protokoll_2p!I219)-1))&gt;VALUE(RIGHT(Protokoll_2p!I219,LEN(Protokoll_2p!I219)-FIND(":",Protokoll_2p!I219))),1,0))</f>
        <v/>
      </c>
      <c r="F253" s="1" t="str">
        <f>IF(Protokoll_2p!J219="","",IF(VALUE(LEFT(Protokoll_2p!J219,FIND(":",Protokoll_2p!J219)-1))&gt;VALUE(RIGHT(Protokoll_2p!J219,LEN(Protokoll_2p!J219)-FIND(":",Protokoll_2p!J219))),1,0))</f>
        <v/>
      </c>
      <c r="G253" s="1" t="str">
        <f t="shared" si="6"/>
        <v/>
      </c>
      <c r="I253" s="1" t="str">
        <f>IF(Protokoll_2p!F219="","",IF(VALUE(LEFT(Protokoll_2p!F219,FIND(":",Protokoll_2p!F219)-1))&gt;VALUE(RIGHT(Protokoll_2p!F219,LEN(Protokoll_2p!F219)-FIND(":",Protokoll_2p!F219))),0,1))</f>
        <v/>
      </c>
      <c r="J253" s="1" t="str">
        <f>IF(Protokoll_2p!G219="","",IF(VALUE(LEFT(Protokoll_2p!G219,FIND(":",Protokoll_2p!G219)-1))&gt;VALUE(RIGHT(Protokoll_2p!G219,LEN(Protokoll_2p!G219)-FIND(":",Protokoll_2p!G219))),0,1))</f>
        <v/>
      </c>
      <c r="K253" s="1" t="str">
        <f>IF(Protokoll_2p!H219="","",IF(VALUE(LEFT(Protokoll_2p!H219,FIND(":",Protokoll_2p!H219)-1))&gt;VALUE(RIGHT(Protokoll_2p!H219,LEN(Protokoll_2p!H219)-FIND(":",Protokoll_2p!H219))),0,1))</f>
        <v/>
      </c>
      <c r="L253" s="1" t="str">
        <f>IF(Protokoll_2p!I219="","",IF(VALUE(LEFT(Protokoll_2p!I219,FIND(":",Protokoll_2p!I219)-1))&gt;VALUE(RIGHT(Protokoll_2p!I219,LEN(Protokoll_2p!I219)-FIND(":",Protokoll_2p!I219))),0,1))</f>
        <v/>
      </c>
      <c r="M253" s="1" t="str">
        <f>IF(Protokoll_2p!J219="","",IF(VALUE(LEFT(Protokoll_2p!J219,FIND(":",Protokoll_2p!J219)-1))&gt;VALUE(RIGHT(Protokoll_2p!J219,LEN(Protokoll_2p!J219)-FIND(":",Protokoll_2p!J219))),0,1))</f>
        <v/>
      </c>
      <c r="N253" s="1" t="str">
        <f t="shared" si="7"/>
        <v/>
      </c>
    </row>
    <row r="254" spans="2:14">
      <c r="B254" s="1" t="str">
        <f>IF(Protokoll_2p!F220="","",IF(VALUE(LEFT(Protokoll_2p!F220,FIND(":",Protokoll_2p!F220)-1))&gt;VALUE(RIGHT(Protokoll_2p!F220,LEN(Protokoll_2p!F220)-FIND(":",Protokoll_2p!F220))),1,0))</f>
        <v/>
      </c>
      <c r="C254" s="1" t="str">
        <f>IF(Protokoll_2p!G220="","",IF(VALUE(LEFT(Protokoll_2p!G220,FIND(":",Protokoll_2p!G220)-1))&gt;VALUE(RIGHT(Protokoll_2p!G220,LEN(Protokoll_2p!G220)-FIND(":",Protokoll_2p!G220))),1,0))</f>
        <v/>
      </c>
      <c r="D254" s="1" t="str">
        <f>IF(Protokoll_2p!H220="","",IF(VALUE(LEFT(Protokoll_2p!H220,FIND(":",Protokoll_2p!H220)-1))&gt;VALUE(RIGHT(Protokoll_2p!H220,LEN(Protokoll_2p!H220)-FIND(":",Protokoll_2p!H220))),1,0))</f>
        <v/>
      </c>
      <c r="E254" s="1" t="str">
        <f>IF(Protokoll_2p!I220="","",IF(VALUE(LEFT(Protokoll_2p!I220,FIND(":",Protokoll_2p!I220)-1))&gt;VALUE(RIGHT(Protokoll_2p!I220,LEN(Protokoll_2p!I220)-FIND(":",Protokoll_2p!I220))),1,0))</f>
        <v/>
      </c>
      <c r="F254" s="1" t="str">
        <f>IF(Protokoll_2p!J220="","",IF(VALUE(LEFT(Protokoll_2p!J220,FIND(":",Protokoll_2p!J220)-1))&gt;VALUE(RIGHT(Protokoll_2p!J220,LEN(Protokoll_2p!J220)-FIND(":",Protokoll_2p!J220))),1,0))</f>
        <v/>
      </c>
      <c r="G254" s="1" t="str">
        <f t="shared" si="6"/>
        <v/>
      </c>
      <c r="I254" s="1" t="str">
        <f>IF(Protokoll_2p!F220="","",IF(VALUE(LEFT(Protokoll_2p!F220,FIND(":",Protokoll_2p!F220)-1))&gt;VALUE(RIGHT(Protokoll_2p!F220,LEN(Protokoll_2p!F220)-FIND(":",Protokoll_2p!F220))),0,1))</f>
        <v/>
      </c>
      <c r="J254" s="1" t="str">
        <f>IF(Protokoll_2p!G220="","",IF(VALUE(LEFT(Protokoll_2p!G220,FIND(":",Protokoll_2p!G220)-1))&gt;VALUE(RIGHT(Protokoll_2p!G220,LEN(Protokoll_2p!G220)-FIND(":",Protokoll_2p!G220))),0,1))</f>
        <v/>
      </c>
      <c r="K254" s="1" t="str">
        <f>IF(Protokoll_2p!H220="","",IF(VALUE(LEFT(Protokoll_2p!H220,FIND(":",Protokoll_2p!H220)-1))&gt;VALUE(RIGHT(Protokoll_2p!H220,LEN(Protokoll_2p!H220)-FIND(":",Protokoll_2p!H220))),0,1))</f>
        <v/>
      </c>
      <c r="L254" s="1" t="str">
        <f>IF(Protokoll_2p!I220="","",IF(VALUE(LEFT(Protokoll_2p!I220,FIND(":",Protokoll_2p!I220)-1))&gt;VALUE(RIGHT(Protokoll_2p!I220,LEN(Protokoll_2p!I220)-FIND(":",Protokoll_2p!I220))),0,1))</f>
        <v/>
      </c>
      <c r="M254" s="1" t="str">
        <f>IF(Protokoll_2p!J220="","",IF(VALUE(LEFT(Protokoll_2p!J220,FIND(":",Protokoll_2p!J220)-1))&gt;VALUE(RIGHT(Protokoll_2p!J220,LEN(Protokoll_2p!J220)-FIND(":",Protokoll_2p!J220))),0,1))</f>
        <v/>
      </c>
      <c r="N254" s="1" t="str">
        <f t="shared" si="7"/>
        <v/>
      </c>
    </row>
    <row r="255" spans="2:14">
      <c r="B255" s="1" t="str">
        <f>IF(Protokoll_2p!F221="","",IF(VALUE(LEFT(Protokoll_2p!F221,FIND(":",Protokoll_2p!F221)-1))&gt;VALUE(RIGHT(Protokoll_2p!F221,LEN(Protokoll_2p!F221)-FIND(":",Protokoll_2p!F221))),1,0))</f>
        <v/>
      </c>
      <c r="C255" s="1" t="str">
        <f>IF(Protokoll_2p!G221="","",IF(VALUE(LEFT(Protokoll_2p!G221,FIND(":",Protokoll_2p!G221)-1))&gt;VALUE(RIGHT(Protokoll_2p!G221,LEN(Protokoll_2p!G221)-FIND(":",Protokoll_2p!G221))),1,0))</f>
        <v/>
      </c>
      <c r="D255" s="1" t="str">
        <f>IF(Protokoll_2p!H221="","",IF(VALUE(LEFT(Protokoll_2p!H221,FIND(":",Protokoll_2p!H221)-1))&gt;VALUE(RIGHT(Protokoll_2p!H221,LEN(Protokoll_2p!H221)-FIND(":",Protokoll_2p!H221))),1,0))</f>
        <v/>
      </c>
      <c r="E255" s="1" t="str">
        <f>IF(Protokoll_2p!I221="","",IF(VALUE(LEFT(Protokoll_2p!I221,FIND(":",Protokoll_2p!I221)-1))&gt;VALUE(RIGHT(Protokoll_2p!I221,LEN(Protokoll_2p!I221)-FIND(":",Protokoll_2p!I221))),1,0))</f>
        <v/>
      </c>
      <c r="F255" s="1" t="str">
        <f>IF(Protokoll_2p!J221="","",IF(VALUE(LEFT(Protokoll_2p!J221,FIND(":",Protokoll_2p!J221)-1))&gt;VALUE(RIGHT(Protokoll_2p!J221,LEN(Protokoll_2p!J221)-FIND(":",Protokoll_2p!J221))),1,0))</f>
        <v/>
      </c>
      <c r="G255" s="1" t="str">
        <f t="shared" si="6"/>
        <v/>
      </c>
      <c r="I255" s="1" t="str">
        <f>IF(Protokoll_2p!F221="","",IF(VALUE(LEFT(Protokoll_2p!F221,FIND(":",Protokoll_2p!F221)-1))&gt;VALUE(RIGHT(Protokoll_2p!F221,LEN(Protokoll_2p!F221)-FIND(":",Protokoll_2p!F221))),0,1))</f>
        <v/>
      </c>
      <c r="J255" s="1" t="str">
        <f>IF(Protokoll_2p!G221="","",IF(VALUE(LEFT(Protokoll_2p!G221,FIND(":",Protokoll_2p!G221)-1))&gt;VALUE(RIGHT(Protokoll_2p!G221,LEN(Protokoll_2p!G221)-FIND(":",Protokoll_2p!G221))),0,1))</f>
        <v/>
      </c>
      <c r="K255" s="1" t="str">
        <f>IF(Protokoll_2p!H221="","",IF(VALUE(LEFT(Protokoll_2p!H221,FIND(":",Protokoll_2p!H221)-1))&gt;VALUE(RIGHT(Protokoll_2p!H221,LEN(Protokoll_2p!H221)-FIND(":",Protokoll_2p!H221))),0,1))</f>
        <v/>
      </c>
      <c r="L255" s="1" t="str">
        <f>IF(Protokoll_2p!I221="","",IF(VALUE(LEFT(Protokoll_2p!I221,FIND(":",Protokoll_2p!I221)-1))&gt;VALUE(RIGHT(Protokoll_2p!I221,LEN(Protokoll_2p!I221)-FIND(":",Protokoll_2p!I221))),0,1))</f>
        <v/>
      </c>
      <c r="M255" s="1" t="str">
        <f>IF(Protokoll_2p!J221="","",IF(VALUE(LEFT(Protokoll_2p!J221,FIND(":",Protokoll_2p!J221)-1))&gt;VALUE(RIGHT(Protokoll_2p!J221,LEN(Protokoll_2p!J221)-FIND(":",Protokoll_2p!J221))),0,1))</f>
        <v/>
      </c>
      <c r="N255" s="1" t="str">
        <f t="shared" si="7"/>
        <v/>
      </c>
    </row>
    <row r="256" spans="2:14">
      <c r="B256" s="1" t="str">
        <f>IF(Protokoll_2p!F222="","",IF(VALUE(LEFT(Protokoll_2p!F222,FIND(":",Protokoll_2p!F222)-1))&gt;VALUE(RIGHT(Protokoll_2p!F222,LEN(Protokoll_2p!F222)-FIND(":",Protokoll_2p!F222))),1,0))</f>
        <v/>
      </c>
      <c r="C256" s="1" t="str">
        <f>IF(Protokoll_2p!G222="","",IF(VALUE(LEFT(Protokoll_2p!G222,FIND(":",Protokoll_2p!G222)-1))&gt;VALUE(RIGHT(Protokoll_2p!G222,LEN(Protokoll_2p!G222)-FIND(":",Protokoll_2p!G222))),1,0))</f>
        <v/>
      </c>
      <c r="D256" s="1" t="str">
        <f>IF(Protokoll_2p!H222="","",IF(VALUE(LEFT(Protokoll_2p!H222,FIND(":",Protokoll_2p!H222)-1))&gt;VALUE(RIGHT(Protokoll_2p!H222,LEN(Protokoll_2p!H222)-FIND(":",Protokoll_2p!H222))),1,0))</f>
        <v/>
      </c>
      <c r="E256" s="1" t="str">
        <f>IF(Protokoll_2p!I222="","",IF(VALUE(LEFT(Protokoll_2p!I222,FIND(":",Protokoll_2p!I222)-1))&gt;VALUE(RIGHT(Protokoll_2p!I222,LEN(Protokoll_2p!I222)-FIND(":",Protokoll_2p!I222))),1,0))</f>
        <v/>
      </c>
      <c r="F256" s="1" t="str">
        <f>IF(Protokoll_2p!J222="","",IF(VALUE(LEFT(Protokoll_2p!J222,FIND(":",Protokoll_2p!J222)-1))&gt;VALUE(RIGHT(Protokoll_2p!J222,LEN(Protokoll_2p!J222)-FIND(":",Protokoll_2p!J222))),1,0))</f>
        <v/>
      </c>
      <c r="G256" s="1" t="str">
        <f t="shared" si="6"/>
        <v/>
      </c>
      <c r="I256" s="1" t="str">
        <f>IF(Protokoll_2p!F222="","",IF(VALUE(LEFT(Protokoll_2p!F222,FIND(":",Protokoll_2p!F222)-1))&gt;VALUE(RIGHT(Protokoll_2p!F222,LEN(Protokoll_2p!F222)-FIND(":",Protokoll_2p!F222))),0,1))</f>
        <v/>
      </c>
      <c r="J256" s="1" t="str">
        <f>IF(Protokoll_2p!G222="","",IF(VALUE(LEFT(Protokoll_2p!G222,FIND(":",Protokoll_2p!G222)-1))&gt;VALUE(RIGHT(Protokoll_2p!G222,LEN(Protokoll_2p!G222)-FIND(":",Protokoll_2p!G222))),0,1))</f>
        <v/>
      </c>
      <c r="K256" s="1" t="str">
        <f>IF(Protokoll_2p!H222="","",IF(VALUE(LEFT(Protokoll_2p!H222,FIND(":",Protokoll_2p!H222)-1))&gt;VALUE(RIGHT(Protokoll_2p!H222,LEN(Protokoll_2p!H222)-FIND(":",Protokoll_2p!H222))),0,1))</f>
        <v/>
      </c>
      <c r="L256" s="1" t="str">
        <f>IF(Protokoll_2p!I222="","",IF(VALUE(LEFT(Protokoll_2p!I222,FIND(":",Protokoll_2p!I222)-1))&gt;VALUE(RIGHT(Protokoll_2p!I222,LEN(Protokoll_2p!I222)-FIND(":",Protokoll_2p!I222))),0,1))</f>
        <v/>
      </c>
      <c r="M256" s="1" t="str">
        <f>IF(Protokoll_2p!J222="","",IF(VALUE(LEFT(Protokoll_2p!J222,FIND(":",Protokoll_2p!J222)-1))&gt;VALUE(RIGHT(Protokoll_2p!J222,LEN(Protokoll_2p!J222)-FIND(":",Protokoll_2p!J222))),0,1))</f>
        <v/>
      </c>
      <c r="N256" s="1" t="str">
        <f t="shared" si="7"/>
        <v/>
      </c>
    </row>
    <row r="257" spans="2:14">
      <c r="B257" s="1" t="str">
        <f>IF(Protokoll_2p!F223="","",IF(VALUE(LEFT(Protokoll_2p!F223,FIND(":",Protokoll_2p!F223)-1))&gt;VALUE(RIGHT(Protokoll_2p!F223,LEN(Protokoll_2p!F223)-FIND(":",Protokoll_2p!F223))),1,0))</f>
        <v/>
      </c>
      <c r="C257" s="1" t="str">
        <f>IF(Protokoll_2p!G223="","",IF(VALUE(LEFT(Protokoll_2p!G223,FIND(":",Protokoll_2p!G223)-1))&gt;VALUE(RIGHT(Protokoll_2p!G223,LEN(Protokoll_2p!G223)-FIND(":",Protokoll_2p!G223))),1,0))</f>
        <v/>
      </c>
      <c r="D257" s="1" t="str">
        <f>IF(Protokoll_2p!H223="","",IF(VALUE(LEFT(Protokoll_2p!H223,FIND(":",Protokoll_2p!H223)-1))&gt;VALUE(RIGHT(Protokoll_2p!H223,LEN(Protokoll_2p!H223)-FIND(":",Protokoll_2p!H223))),1,0))</f>
        <v/>
      </c>
      <c r="E257" s="1" t="str">
        <f>IF(Protokoll_2p!I223="","",IF(VALUE(LEFT(Protokoll_2p!I223,FIND(":",Protokoll_2p!I223)-1))&gt;VALUE(RIGHT(Protokoll_2p!I223,LEN(Protokoll_2p!I223)-FIND(":",Protokoll_2p!I223))),1,0))</f>
        <v/>
      </c>
      <c r="F257" s="1" t="str">
        <f>IF(Protokoll_2p!J223="","",IF(VALUE(LEFT(Protokoll_2p!J223,FIND(":",Protokoll_2p!J223)-1))&gt;VALUE(RIGHT(Protokoll_2p!J223,LEN(Protokoll_2p!J223)-FIND(":",Protokoll_2p!J223))),1,0))</f>
        <v/>
      </c>
      <c r="G257" s="1" t="str">
        <f t="shared" si="6"/>
        <v/>
      </c>
      <c r="I257" s="1" t="str">
        <f>IF(Protokoll_2p!F223="","",IF(VALUE(LEFT(Protokoll_2p!F223,FIND(":",Protokoll_2p!F223)-1))&gt;VALUE(RIGHT(Protokoll_2p!F223,LEN(Protokoll_2p!F223)-FIND(":",Protokoll_2p!F223))),0,1))</f>
        <v/>
      </c>
      <c r="J257" s="1" t="str">
        <f>IF(Protokoll_2p!G223="","",IF(VALUE(LEFT(Protokoll_2p!G223,FIND(":",Protokoll_2p!G223)-1))&gt;VALUE(RIGHT(Protokoll_2p!G223,LEN(Protokoll_2p!G223)-FIND(":",Protokoll_2p!G223))),0,1))</f>
        <v/>
      </c>
      <c r="K257" s="1" t="str">
        <f>IF(Protokoll_2p!H223="","",IF(VALUE(LEFT(Protokoll_2p!H223,FIND(":",Protokoll_2p!H223)-1))&gt;VALUE(RIGHT(Protokoll_2p!H223,LEN(Protokoll_2p!H223)-FIND(":",Protokoll_2p!H223))),0,1))</f>
        <v/>
      </c>
      <c r="L257" s="1" t="str">
        <f>IF(Protokoll_2p!I223="","",IF(VALUE(LEFT(Protokoll_2p!I223,FIND(":",Protokoll_2p!I223)-1))&gt;VALUE(RIGHT(Protokoll_2p!I223,LEN(Protokoll_2p!I223)-FIND(":",Protokoll_2p!I223))),0,1))</f>
        <v/>
      </c>
      <c r="M257" s="1" t="str">
        <f>IF(Protokoll_2p!J223="","",IF(VALUE(LEFT(Protokoll_2p!J223,FIND(":",Protokoll_2p!J223)-1))&gt;VALUE(RIGHT(Protokoll_2p!J223,LEN(Protokoll_2p!J223)-FIND(":",Protokoll_2p!J223))),0,1))</f>
        <v/>
      </c>
      <c r="N257" s="1" t="str">
        <f t="shared" si="7"/>
        <v/>
      </c>
    </row>
    <row r="258" spans="2:14">
      <c r="B258" s="1" t="str">
        <f>IF(Protokoll_2p!F224="","",IF(VALUE(LEFT(Protokoll_2p!F224,FIND(":",Protokoll_2p!F224)-1))&gt;VALUE(RIGHT(Protokoll_2p!F224,LEN(Protokoll_2p!F224)-FIND(":",Protokoll_2p!F224))),1,0))</f>
        <v/>
      </c>
      <c r="C258" s="1" t="str">
        <f>IF(Protokoll_2p!G224="","",IF(VALUE(LEFT(Protokoll_2p!G224,FIND(":",Protokoll_2p!G224)-1))&gt;VALUE(RIGHT(Protokoll_2p!G224,LEN(Protokoll_2p!G224)-FIND(":",Protokoll_2p!G224))),1,0))</f>
        <v/>
      </c>
      <c r="D258" s="1" t="str">
        <f>IF(Protokoll_2p!H224="","",IF(VALUE(LEFT(Protokoll_2p!H224,FIND(":",Protokoll_2p!H224)-1))&gt;VALUE(RIGHT(Protokoll_2p!H224,LEN(Protokoll_2p!H224)-FIND(":",Protokoll_2p!H224))),1,0))</f>
        <v/>
      </c>
      <c r="E258" s="1" t="str">
        <f>IF(Protokoll_2p!I224="","",IF(VALUE(LEFT(Protokoll_2p!I224,FIND(":",Protokoll_2p!I224)-1))&gt;VALUE(RIGHT(Protokoll_2p!I224,LEN(Protokoll_2p!I224)-FIND(":",Protokoll_2p!I224))),1,0))</f>
        <v/>
      </c>
      <c r="F258" s="1" t="str">
        <f>IF(Protokoll_2p!J224="","",IF(VALUE(LEFT(Protokoll_2p!J224,FIND(":",Protokoll_2p!J224)-1))&gt;VALUE(RIGHT(Protokoll_2p!J224,LEN(Protokoll_2p!J224)-FIND(":",Protokoll_2p!J224))),1,0))</f>
        <v/>
      </c>
      <c r="G258" s="1" t="str">
        <f t="shared" si="6"/>
        <v/>
      </c>
      <c r="I258" s="1" t="str">
        <f>IF(Protokoll_2p!F224="","",IF(VALUE(LEFT(Protokoll_2p!F224,FIND(":",Protokoll_2p!F224)-1))&gt;VALUE(RIGHT(Protokoll_2p!F224,LEN(Protokoll_2p!F224)-FIND(":",Protokoll_2p!F224))),0,1))</f>
        <v/>
      </c>
      <c r="J258" s="1" t="str">
        <f>IF(Protokoll_2p!G224="","",IF(VALUE(LEFT(Protokoll_2p!G224,FIND(":",Protokoll_2p!G224)-1))&gt;VALUE(RIGHT(Protokoll_2p!G224,LEN(Protokoll_2p!G224)-FIND(":",Protokoll_2p!G224))),0,1))</f>
        <v/>
      </c>
      <c r="K258" s="1" t="str">
        <f>IF(Protokoll_2p!H224="","",IF(VALUE(LEFT(Protokoll_2p!H224,FIND(":",Protokoll_2p!H224)-1))&gt;VALUE(RIGHT(Protokoll_2p!H224,LEN(Protokoll_2p!H224)-FIND(":",Protokoll_2p!H224))),0,1))</f>
        <v/>
      </c>
      <c r="L258" s="1" t="str">
        <f>IF(Protokoll_2p!I224="","",IF(VALUE(LEFT(Protokoll_2p!I224,FIND(":",Protokoll_2p!I224)-1))&gt;VALUE(RIGHT(Protokoll_2p!I224,LEN(Protokoll_2p!I224)-FIND(":",Protokoll_2p!I224))),0,1))</f>
        <v/>
      </c>
      <c r="M258" s="1" t="str">
        <f>IF(Protokoll_2p!J224="","",IF(VALUE(LEFT(Protokoll_2p!J224,FIND(":",Protokoll_2p!J224)-1))&gt;VALUE(RIGHT(Protokoll_2p!J224,LEN(Protokoll_2p!J224)-FIND(":",Protokoll_2p!J224))),0,1))</f>
        <v/>
      </c>
      <c r="N258" s="1" t="str">
        <f t="shared" si="7"/>
        <v/>
      </c>
    </row>
    <row r="259" spans="2:14">
      <c r="B259" s="1" t="str">
        <f>IF(Protokoll_2p!F225="","",IF(VALUE(LEFT(Protokoll_2p!F225,FIND(":",Protokoll_2p!F225)-1))&gt;VALUE(RIGHT(Protokoll_2p!F225,LEN(Protokoll_2p!F225)-FIND(":",Protokoll_2p!F225))),1,0))</f>
        <v/>
      </c>
      <c r="C259" s="1" t="str">
        <f>IF(Protokoll_2p!G225="","",IF(VALUE(LEFT(Protokoll_2p!G225,FIND(":",Protokoll_2p!G225)-1))&gt;VALUE(RIGHT(Protokoll_2p!G225,LEN(Protokoll_2p!G225)-FIND(":",Protokoll_2p!G225))),1,0))</f>
        <v/>
      </c>
      <c r="D259" s="1" t="str">
        <f>IF(Protokoll_2p!H225="","",IF(VALUE(LEFT(Protokoll_2p!H225,FIND(":",Protokoll_2p!H225)-1))&gt;VALUE(RIGHT(Protokoll_2p!H225,LEN(Protokoll_2p!H225)-FIND(":",Protokoll_2p!H225))),1,0))</f>
        <v/>
      </c>
      <c r="E259" s="1" t="str">
        <f>IF(Protokoll_2p!I225="","",IF(VALUE(LEFT(Protokoll_2p!I225,FIND(":",Protokoll_2p!I225)-1))&gt;VALUE(RIGHT(Protokoll_2p!I225,LEN(Protokoll_2p!I225)-FIND(":",Protokoll_2p!I225))),1,0))</f>
        <v/>
      </c>
      <c r="F259" s="1" t="str">
        <f>IF(Protokoll_2p!J225="","",IF(VALUE(LEFT(Protokoll_2p!J225,FIND(":",Protokoll_2p!J225)-1))&gt;VALUE(RIGHT(Protokoll_2p!J225,LEN(Protokoll_2p!J225)-FIND(":",Protokoll_2p!J225))),1,0))</f>
        <v/>
      </c>
      <c r="G259" s="1" t="str">
        <f t="shared" ref="G259:G286" si="8">IF(B259="","",SUM(B259:F259))</f>
        <v/>
      </c>
      <c r="I259" s="1" t="str">
        <f>IF(Protokoll_2p!F225="","",IF(VALUE(LEFT(Protokoll_2p!F225,FIND(":",Protokoll_2p!F225)-1))&gt;VALUE(RIGHT(Protokoll_2p!F225,LEN(Protokoll_2p!F225)-FIND(":",Protokoll_2p!F225))),0,1))</f>
        <v/>
      </c>
      <c r="J259" s="1" t="str">
        <f>IF(Protokoll_2p!G225="","",IF(VALUE(LEFT(Protokoll_2p!G225,FIND(":",Protokoll_2p!G225)-1))&gt;VALUE(RIGHT(Protokoll_2p!G225,LEN(Protokoll_2p!G225)-FIND(":",Protokoll_2p!G225))),0,1))</f>
        <v/>
      </c>
      <c r="K259" s="1" t="str">
        <f>IF(Protokoll_2p!H225="","",IF(VALUE(LEFT(Protokoll_2p!H225,FIND(":",Protokoll_2p!H225)-1))&gt;VALUE(RIGHT(Protokoll_2p!H225,LEN(Protokoll_2p!H225)-FIND(":",Protokoll_2p!H225))),0,1))</f>
        <v/>
      </c>
      <c r="L259" s="1" t="str">
        <f>IF(Protokoll_2p!I225="","",IF(VALUE(LEFT(Protokoll_2p!I225,FIND(":",Protokoll_2p!I225)-1))&gt;VALUE(RIGHT(Protokoll_2p!I225,LEN(Protokoll_2p!I225)-FIND(":",Protokoll_2p!I225))),0,1))</f>
        <v/>
      </c>
      <c r="M259" s="1" t="str">
        <f>IF(Protokoll_2p!J225="","",IF(VALUE(LEFT(Protokoll_2p!J225,FIND(":",Protokoll_2p!J225)-1))&gt;VALUE(RIGHT(Protokoll_2p!J225,LEN(Protokoll_2p!J225)-FIND(":",Protokoll_2p!J225))),0,1))</f>
        <v/>
      </c>
      <c r="N259" s="1" t="str">
        <f t="shared" ref="N259:N286" si="9">IF(I259="","",SUM(I259:M259))</f>
        <v/>
      </c>
    </row>
    <row r="260" spans="2:14">
      <c r="B260" s="1" t="str">
        <f>IF(Protokoll_2p!F226="","",IF(VALUE(LEFT(Protokoll_2p!F226,FIND(":",Protokoll_2p!F226)-1))&gt;VALUE(RIGHT(Protokoll_2p!F226,LEN(Protokoll_2p!F226)-FIND(":",Protokoll_2p!F226))),1,0))</f>
        <v/>
      </c>
      <c r="C260" s="1" t="str">
        <f>IF(Protokoll_2p!G226="","",IF(VALUE(LEFT(Protokoll_2p!G226,FIND(":",Protokoll_2p!G226)-1))&gt;VALUE(RIGHT(Protokoll_2p!G226,LEN(Protokoll_2p!G226)-FIND(":",Protokoll_2p!G226))),1,0))</f>
        <v/>
      </c>
      <c r="D260" s="1" t="str">
        <f>IF(Protokoll_2p!H226="","",IF(VALUE(LEFT(Protokoll_2p!H226,FIND(":",Protokoll_2p!H226)-1))&gt;VALUE(RIGHT(Protokoll_2p!H226,LEN(Protokoll_2p!H226)-FIND(":",Protokoll_2p!H226))),1,0))</f>
        <v/>
      </c>
      <c r="E260" s="1" t="str">
        <f>IF(Protokoll_2p!I226="","",IF(VALUE(LEFT(Protokoll_2p!I226,FIND(":",Protokoll_2p!I226)-1))&gt;VALUE(RIGHT(Protokoll_2p!I226,LEN(Protokoll_2p!I226)-FIND(":",Protokoll_2p!I226))),1,0))</f>
        <v/>
      </c>
      <c r="F260" s="1" t="str">
        <f>IF(Protokoll_2p!J226="","",IF(VALUE(LEFT(Protokoll_2p!J226,FIND(":",Protokoll_2p!J226)-1))&gt;VALUE(RIGHT(Protokoll_2p!J226,LEN(Protokoll_2p!J226)-FIND(":",Protokoll_2p!J226))),1,0))</f>
        <v/>
      </c>
      <c r="G260" s="1" t="str">
        <f t="shared" si="8"/>
        <v/>
      </c>
      <c r="I260" s="1" t="str">
        <f>IF(Protokoll_2p!F226="","",IF(VALUE(LEFT(Protokoll_2p!F226,FIND(":",Protokoll_2p!F226)-1))&gt;VALUE(RIGHT(Protokoll_2p!F226,LEN(Protokoll_2p!F226)-FIND(":",Protokoll_2p!F226))),0,1))</f>
        <v/>
      </c>
      <c r="J260" s="1" t="str">
        <f>IF(Protokoll_2p!G226="","",IF(VALUE(LEFT(Protokoll_2p!G226,FIND(":",Protokoll_2p!G226)-1))&gt;VALUE(RIGHT(Protokoll_2p!G226,LEN(Protokoll_2p!G226)-FIND(":",Protokoll_2p!G226))),0,1))</f>
        <v/>
      </c>
      <c r="K260" s="1" t="str">
        <f>IF(Protokoll_2p!H226="","",IF(VALUE(LEFT(Protokoll_2p!H226,FIND(":",Protokoll_2p!H226)-1))&gt;VALUE(RIGHT(Protokoll_2p!H226,LEN(Protokoll_2p!H226)-FIND(":",Protokoll_2p!H226))),0,1))</f>
        <v/>
      </c>
      <c r="L260" s="1" t="str">
        <f>IF(Protokoll_2p!I226="","",IF(VALUE(LEFT(Protokoll_2p!I226,FIND(":",Protokoll_2p!I226)-1))&gt;VALUE(RIGHT(Protokoll_2p!I226,LEN(Protokoll_2p!I226)-FIND(":",Protokoll_2p!I226))),0,1))</f>
        <v/>
      </c>
      <c r="M260" s="1" t="str">
        <f>IF(Protokoll_2p!J226="","",IF(VALUE(LEFT(Protokoll_2p!J226,FIND(":",Protokoll_2p!J226)-1))&gt;VALUE(RIGHT(Protokoll_2p!J226,LEN(Protokoll_2p!J226)-FIND(":",Protokoll_2p!J226))),0,1))</f>
        <v/>
      </c>
      <c r="N260" s="1" t="str">
        <f t="shared" si="9"/>
        <v/>
      </c>
    </row>
    <row r="261" spans="2:14">
      <c r="B261" s="1" t="str">
        <f>IF(Protokoll_2p!F227="","",IF(VALUE(LEFT(Protokoll_2p!F227,FIND(":",Protokoll_2p!F227)-1))&gt;VALUE(RIGHT(Protokoll_2p!F227,LEN(Protokoll_2p!F227)-FIND(":",Protokoll_2p!F227))),1,0))</f>
        <v/>
      </c>
      <c r="C261" s="1" t="str">
        <f>IF(Protokoll_2p!G227="","",IF(VALUE(LEFT(Protokoll_2p!G227,FIND(":",Protokoll_2p!G227)-1))&gt;VALUE(RIGHT(Protokoll_2p!G227,LEN(Protokoll_2p!G227)-FIND(":",Protokoll_2p!G227))),1,0))</f>
        <v/>
      </c>
      <c r="D261" s="1" t="str">
        <f>IF(Protokoll_2p!H227="","",IF(VALUE(LEFT(Protokoll_2p!H227,FIND(":",Protokoll_2p!H227)-1))&gt;VALUE(RIGHT(Protokoll_2p!H227,LEN(Protokoll_2p!H227)-FIND(":",Protokoll_2p!H227))),1,0))</f>
        <v/>
      </c>
      <c r="E261" s="1" t="str">
        <f>IF(Protokoll_2p!I227="","",IF(VALUE(LEFT(Protokoll_2p!I227,FIND(":",Protokoll_2p!I227)-1))&gt;VALUE(RIGHT(Protokoll_2p!I227,LEN(Protokoll_2p!I227)-FIND(":",Protokoll_2p!I227))),1,0))</f>
        <v/>
      </c>
      <c r="F261" s="1" t="str">
        <f>IF(Protokoll_2p!J227="","",IF(VALUE(LEFT(Protokoll_2p!J227,FIND(":",Protokoll_2p!J227)-1))&gt;VALUE(RIGHT(Protokoll_2p!J227,LEN(Protokoll_2p!J227)-FIND(":",Protokoll_2p!J227))),1,0))</f>
        <v/>
      </c>
      <c r="G261" s="1" t="str">
        <f t="shared" si="8"/>
        <v/>
      </c>
      <c r="I261" s="1" t="str">
        <f>IF(Protokoll_2p!F227="","",IF(VALUE(LEFT(Protokoll_2p!F227,FIND(":",Protokoll_2p!F227)-1))&gt;VALUE(RIGHT(Protokoll_2p!F227,LEN(Protokoll_2p!F227)-FIND(":",Protokoll_2p!F227))),0,1))</f>
        <v/>
      </c>
      <c r="J261" s="1" t="str">
        <f>IF(Protokoll_2p!G227="","",IF(VALUE(LEFT(Protokoll_2p!G227,FIND(":",Protokoll_2p!G227)-1))&gt;VALUE(RIGHT(Protokoll_2p!G227,LEN(Protokoll_2p!G227)-FIND(":",Protokoll_2p!G227))),0,1))</f>
        <v/>
      </c>
      <c r="K261" s="1" t="str">
        <f>IF(Protokoll_2p!H227="","",IF(VALUE(LEFT(Protokoll_2p!H227,FIND(":",Protokoll_2p!H227)-1))&gt;VALUE(RIGHT(Protokoll_2p!H227,LEN(Protokoll_2p!H227)-FIND(":",Protokoll_2p!H227))),0,1))</f>
        <v/>
      </c>
      <c r="L261" s="1" t="str">
        <f>IF(Protokoll_2p!I227="","",IF(VALUE(LEFT(Protokoll_2p!I227,FIND(":",Protokoll_2p!I227)-1))&gt;VALUE(RIGHT(Protokoll_2p!I227,LEN(Protokoll_2p!I227)-FIND(":",Protokoll_2p!I227))),0,1))</f>
        <v/>
      </c>
      <c r="M261" s="1" t="str">
        <f>IF(Protokoll_2p!J227="","",IF(VALUE(LEFT(Protokoll_2p!J227,FIND(":",Protokoll_2p!J227)-1))&gt;VALUE(RIGHT(Protokoll_2p!J227,LEN(Protokoll_2p!J227)-FIND(":",Protokoll_2p!J227))),0,1))</f>
        <v/>
      </c>
      <c r="N261" s="1" t="str">
        <f t="shared" si="9"/>
        <v/>
      </c>
    </row>
    <row r="262" spans="2:14">
      <c r="B262" s="1" t="str">
        <f>IF(Protokoll_2p!F228="","",IF(VALUE(LEFT(Protokoll_2p!F228,FIND(":",Protokoll_2p!F228)-1))&gt;VALUE(RIGHT(Protokoll_2p!F228,LEN(Protokoll_2p!F228)-FIND(":",Protokoll_2p!F228))),1,0))</f>
        <v/>
      </c>
      <c r="C262" s="1" t="str">
        <f>IF(Protokoll_2p!G228="","",IF(VALUE(LEFT(Protokoll_2p!G228,FIND(":",Protokoll_2p!G228)-1))&gt;VALUE(RIGHT(Protokoll_2p!G228,LEN(Protokoll_2p!G228)-FIND(":",Protokoll_2p!G228))),1,0))</f>
        <v/>
      </c>
      <c r="D262" s="1" t="str">
        <f>IF(Protokoll_2p!H228="","",IF(VALUE(LEFT(Protokoll_2p!H228,FIND(":",Protokoll_2p!H228)-1))&gt;VALUE(RIGHT(Protokoll_2p!H228,LEN(Protokoll_2p!H228)-FIND(":",Protokoll_2p!H228))),1,0))</f>
        <v/>
      </c>
      <c r="E262" s="1" t="str">
        <f>IF(Protokoll_2p!I228="","",IF(VALUE(LEFT(Protokoll_2p!I228,FIND(":",Protokoll_2p!I228)-1))&gt;VALUE(RIGHT(Protokoll_2p!I228,LEN(Protokoll_2p!I228)-FIND(":",Protokoll_2p!I228))),1,0))</f>
        <v/>
      </c>
      <c r="F262" s="1" t="str">
        <f>IF(Protokoll_2p!J228="","",IF(VALUE(LEFT(Protokoll_2p!J228,FIND(":",Protokoll_2p!J228)-1))&gt;VALUE(RIGHT(Protokoll_2p!J228,LEN(Protokoll_2p!J228)-FIND(":",Protokoll_2p!J228))),1,0))</f>
        <v/>
      </c>
      <c r="G262" s="1" t="str">
        <f t="shared" si="8"/>
        <v/>
      </c>
      <c r="I262" s="1" t="str">
        <f>IF(Protokoll_2p!F228="","",IF(VALUE(LEFT(Protokoll_2p!F228,FIND(":",Protokoll_2p!F228)-1))&gt;VALUE(RIGHT(Protokoll_2p!F228,LEN(Protokoll_2p!F228)-FIND(":",Protokoll_2p!F228))),0,1))</f>
        <v/>
      </c>
      <c r="J262" s="1" t="str">
        <f>IF(Protokoll_2p!G228="","",IF(VALUE(LEFT(Protokoll_2p!G228,FIND(":",Protokoll_2p!G228)-1))&gt;VALUE(RIGHT(Protokoll_2p!G228,LEN(Protokoll_2p!G228)-FIND(":",Protokoll_2p!G228))),0,1))</f>
        <v/>
      </c>
      <c r="K262" s="1" t="str">
        <f>IF(Protokoll_2p!H228="","",IF(VALUE(LEFT(Protokoll_2p!H228,FIND(":",Protokoll_2p!H228)-1))&gt;VALUE(RIGHT(Protokoll_2p!H228,LEN(Protokoll_2p!H228)-FIND(":",Protokoll_2p!H228))),0,1))</f>
        <v/>
      </c>
      <c r="L262" s="1" t="str">
        <f>IF(Protokoll_2p!I228="","",IF(VALUE(LEFT(Protokoll_2p!I228,FIND(":",Protokoll_2p!I228)-1))&gt;VALUE(RIGHT(Protokoll_2p!I228,LEN(Protokoll_2p!I228)-FIND(":",Protokoll_2p!I228))),0,1))</f>
        <v/>
      </c>
      <c r="M262" s="1" t="str">
        <f>IF(Protokoll_2p!J228="","",IF(VALUE(LEFT(Protokoll_2p!J228,FIND(":",Protokoll_2p!J228)-1))&gt;VALUE(RIGHT(Protokoll_2p!J228,LEN(Protokoll_2p!J228)-FIND(":",Protokoll_2p!J228))),0,1))</f>
        <v/>
      </c>
      <c r="N262" s="1" t="str">
        <f t="shared" si="9"/>
        <v/>
      </c>
    </row>
    <row r="263" spans="2:14">
      <c r="B263" s="1" t="str">
        <f>IF(Protokoll_2p!F229="","",IF(VALUE(LEFT(Protokoll_2p!F229,FIND(":",Protokoll_2p!F229)-1))&gt;VALUE(RIGHT(Protokoll_2p!F229,LEN(Protokoll_2p!F229)-FIND(":",Protokoll_2p!F229))),1,0))</f>
        <v/>
      </c>
      <c r="C263" s="1" t="str">
        <f>IF(Protokoll_2p!G229="","",IF(VALUE(LEFT(Protokoll_2p!G229,FIND(":",Protokoll_2p!G229)-1))&gt;VALUE(RIGHT(Protokoll_2p!G229,LEN(Protokoll_2p!G229)-FIND(":",Protokoll_2p!G229))),1,0))</f>
        <v/>
      </c>
      <c r="D263" s="1" t="str">
        <f>IF(Protokoll_2p!H229="","",IF(VALUE(LEFT(Protokoll_2p!H229,FIND(":",Protokoll_2p!H229)-1))&gt;VALUE(RIGHT(Protokoll_2p!H229,LEN(Protokoll_2p!H229)-FIND(":",Protokoll_2p!H229))),1,0))</f>
        <v/>
      </c>
      <c r="E263" s="1" t="str">
        <f>IF(Protokoll_2p!I229="","",IF(VALUE(LEFT(Protokoll_2p!I229,FIND(":",Protokoll_2p!I229)-1))&gt;VALUE(RIGHT(Protokoll_2p!I229,LEN(Protokoll_2p!I229)-FIND(":",Protokoll_2p!I229))),1,0))</f>
        <v/>
      </c>
      <c r="F263" s="1" t="str">
        <f>IF(Protokoll_2p!J229="","",IF(VALUE(LEFT(Protokoll_2p!J229,FIND(":",Protokoll_2p!J229)-1))&gt;VALUE(RIGHT(Protokoll_2p!J229,LEN(Protokoll_2p!J229)-FIND(":",Protokoll_2p!J229))),1,0))</f>
        <v/>
      </c>
      <c r="G263" s="1" t="str">
        <f t="shared" si="8"/>
        <v/>
      </c>
      <c r="I263" s="1" t="str">
        <f>IF(Protokoll_2p!F229="","",IF(VALUE(LEFT(Protokoll_2p!F229,FIND(":",Protokoll_2p!F229)-1))&gt;VALUE(RIGHT(Protokoll_2p!F229,LEN(Protokoll_2p!F229)-FIND(":",Protokoll_2p!F229))),0,1))</f>
        <v/>
      </c>
      <c r="J263" s="1" t="str">
        <f>IF(Protokoll_2p!G229="","",IF(VALUE(LEFT(Protokoll_2p!G229,FIND(":",Protokoll_2p!G229)-1))&gt;VALUE(RIGHT(Protokoll_2p!G229,LEN(Protokoll_2p!G229)-FIND(":",Protokoll_2p!G229))),0,1))</f>
        <v/>
      </c>
      <c r="K263" s="1" t="str">
        <f>IF(Protokoll_2p!H229="","",IF(VALUE(LEFT(Protokoll_2p!H229,FIND(":",Protokoll_2p!H229)-1))&gt;VALUE(RIGHT(Protokoll_2p!H229,LEN(Protokoll_2p!H229)-FIND(":",Protokoll_2p!H229))),0,1))</f>
        <v/>
      </c>
      <c r="L263" s="1" t="str">
        <f>IF(Protokoll_2p!I229="","",IF(VALUE(LEFT(Protokoll_2p!I229,FIND(":",Protokoll_2p!I229)-1))&gt;VALUE(RIGHT(Protokoll_2p!I229,LEN(Protokoll_2p!I229)-FIND(":",Protokoll_2p!I229))),0,1))</f>
        <v/>
      </c>
      <c r="M263" s="1" t="str">
        <f>IF(Protokoll_2p!J229="","",IF(VALUE(LEFT(Protokoll_2p!J229,FIND(":",Protokoll_2p!J229)-1))&gt;VALUE(RIGHT(Protokoll_2p!J229,LEN(Protokoll_2p!J229)-FIND(":",Protokoll_2p!J229))),0,1))</f>
        <v/>
      </c>
      <c r="N263" s="1" t="str">
        <f t="shared" si="9"/>
        <v/>
      </c>
    </row>
    <row r="264" spans="2:14">
      <c r="B264" s="1" t="str">
        <f>IF(Protokoll_2p!F230="","",IF(VALUE(LEFT(Protokoll_2p!F230,FIND(":",Protokoll_2p!F230)-1))&gt;VALUE(RIGHT(Protokoll_2p!F230,LEN(Protokoll_2p!F230)-FIND(":",Protokoll_2p!F230))),1,0))</f>
        <v/>
      </c>
      <c r="C264" s="1" t="str">
        <f>IF(Protokoll_2p!G230="","",IF(VALUE(LEFT(Protokoll_2p!G230,FIND(":",Protokoll_2p!G230)-1))&gt;VALUE(RIGHT(Protokoll_2p!G230,LEN(Protokoll_2p!G230)-FIND(":",Protokoll_2p!G230))),1,0))</f>
        <v/>
      </c>
      <c r="D264" s="1" t="str">
        <f>IF(Protokoll_2p!H230="","",IF(VALUE(LEFT(Protokoll_2p!H230,FIND(":",Protokoll_2p!H230)-1))&gt;VALUE(RIGHT(Protokoll_2p!H230,LEN(Protokoll_2p!H230)-FIND(":",Protokoll_2p!H230))),1,0))</f>
        <v/>
      </c>
      <c r="E264" s="1" t="str">
        <f>IF(Protokoll_2p!I230="","",IF(VALUE(LEFT(Protokoll_2p!I230,FIND(":",Protokoll_2p!I230)-1))&gt;VALUE(RIGHT(Protokoll_2p!I230,LEN(Protokoll_2p!I230)-FIND(":",Protokoll_2p!I230))),1,0))</f>
        <v/>
      </c>
      <c r="F264" s="1" t="str">
        <f>IF(Protokoll_2p!J230="","",IF(VALUE(LEFT(Protokoll_2p!J230,FIND(":",Protokoll_2p!J230)-1))&gt;VALUE(RIGHT(Protokoll_2p!J230,LEN(Protokoll_2p!J230)-FIND(":",Protokoll_2p!J230))),1,0))</f>
        <v/>
      </c>
      <c r="G264" s="1" t="str">
        <f t="shared" si="8"/>
        <v/>
      </c>
      <c r="I264" s="1" t="str">
        <f>IF(Protokoll_2p!F230="","",IF(VALUE(LEFT(Protokoll_2p!F230,FIND(":",Protokoll_2p!F230)-1))&gt;VALUE(RIGHT(Protokoll_2p!F230,LEN(Protokoll_2p!F230)-FIND(":",Protokoll_2p!F230))),0,1))</f>
        <v/>
      </c>
      <c r="J264" s="1" t="str">
        <f>IF(Protokoll_2p!G230="","",IF(VALUE(LEFT(Protokoll_2p!G230,FIND(":",Protokoll_2p!G230)-1))&gt;VALUE(RIGHT(Protokoll_2p!G230,LEN(Protokoll_2p!G230)-FIND(":",Protokoll_2p!G230))),0,1))</f>
        <v/>
      </c>
      <c r="K264" s="1" t="str">
        <f>IF(Protokoll_2p!H230="","",IF(VALUE(LEFT(Protokoll_2p!H230,FIND(":",Protokoll_2p!H230)-1))&gt;VALUE(RIGHT(Protokoll_2p!H230,LEN(Protokoll_2p!H230)-FIND(":",Protokoll_2p!H230))),0,1))</f>
        <v/>
      </c>
      <c r="L264" s="1" t="str">
        <f>IF(Protokoll_2p!I230="","",IF(VALUE(LEFT(Protokoll_2p!I230,FIND(":",Protokoll_2p!I230)-1))&gt;VALUE(RIGHT(Protokoll_2p!I230,LEN(Protokoll_2p!I230)-FIND(":",Protokoll_2p!I230))),0,1))</f>
        <v/>
      </c>
      <c r="M264" s="1" t="str">
        <f>IF(Protokoll_2p!J230="","",IF(VALUE(LEFT(Protokoll_2p!J230,FIND(":",Protokoll_2p!J230)-1))&gt;VALUE(RIGHT(Protokoll_2p!J230,LEN(Protokoll_2p!J230)-FIND(":",Protokoll_2p!J230))),0,1))</f>
        <v/>
      </c>
      <c r="N264" s="1" t="str">
        <f t="shared" si="9"/>
        <v/>
      </c>
    </row>
    <row r="265" spans="2:14">
      <c r="B265" s="1" t="str">
        <f>IF(Protokoll_2p!F231="","",IF(VALUE(LEFT(Protokoll_2p!F231,FIND(":",Protokoll_2p!F231)-1))&gt;VALUE(RIGHT(Protokoll_2p!F231,LEN(Protokoll_2p!F231)-FIND(":",Protokoll_2p!F231))),1,0))</f>
        <v/>
      </c>
      <c r="C265" s="1" t="str">
        <f>IF(Protokoll_2p!G231="","",IF(VALUE(LEFT(Protokoll_2p!G231,FIND(":",Protokoll_2p!G231)-1))&gt;VALUE(RIGHT(Protokoll_2p!G231,LEN(Protokoll_2p!G231)-FIND(":",Protokoll_2p!G231))),1,0))</f>
        <v/>
      </c>
      <c r="D265" s="1" t="str">
        <f>IF(Protokoll_2p!H231="","",IF(VALUE(LEFT(Protokoll_2p!H231,FIND(":",Protokoll_2p!H231)-1))&gt;VALUE(RIGHT(Protokoll_2p!H231,LEN(Protokoll_2p!H231)-FIND(":",Protokoll_2p!H231))),1,0))</f>
        <v/>
      </c>
      <c r="E265" s="1" t="str">
        <f>IF(Protokoll_2p!I231="","",IF(VALUE(LEFT(Protokoll_2p!I231,FIND(":",Protokoll_2p!I231)-1))&gt;VALUE(RIGHT(Protokoll_2p!I231,LEN(Protokoll_2p!I231)-FIND(":",Protokoll_2p!I231))),1,0))</f>
        <v/>
      </c>
      <c r="F265" s="1" t="str">
        <f>IF(Protokoll_2p!J231="","",IF(VALUE(LEFT(Protokoll_2p!J231,FIND(":",Protokoll_2p!J231)-1))&gt;VALUE(RIGHT(Protokoll_2p!J231,LEN(Protokoll_2p!J231)-FIND(":",Protokoll_2p!J231))),1,0))</f>
        <v/>
      </c>
      <c r="G265" s="1" t="str">
        <f t="shared" si="8"/>
        <v/>
      </c>
      <c r="I265" s="1" t="str">
        <f>IF(Protokoll_2p!F231="","",IF(VALUE(LEFT(Protokoll_2p!F231,FIND(":",Protokoll_2p!F231)-1))&gt;VALUE(RIGHT(Protokoll_2p!F231,LEN(Protokoll_2p!F231)-FIND(":",Protokoll_2p!F231))),0,1))</f>
        <v/>
      </c>
      <c r="J265" s="1" t="str">
        <f>IF(Protokoll_2p!G231="","",IF(VALUE(LEFT(Protokoll_2p!G231,FIND(":",Protokoll_2p!G231)-1))&gt;VALUE(RIGHT(Protokoll_2p!G231,LEN(Protokoll_2p!G231)-FIND(":",Protokoll_2p!G231))),0,1))</f>
        <v/>
      </c>
      <c r="K265" s="1" t="str">
        <f>IF(Protokoll_2p!H231="","",IF(VALUE(LEFT(Protokoll_2p!H231,FIND(":",Protokoll_2p!H231)-1))&gt;VALUE(RIGHT(Protokoll_2p!H231,LEN(Protokoll_2p!H231)-FIND(":",Protokoll_2p!H231))),0,1))</f>
        <v/>
      </c>
      <c r="L265" s="1" t="str">
        <f>IF(Protokoll_2p!I231="","",IF(VALUE(LEFT(Protokoll_2p!I231,FIND(":",Protokoll_2p!I231)-1))&gt;VALUE(RIGHT(Protokoll_2p!I231,LEN(Protokoll_2p!I231)-FIND(":",Protokoll_2p!I231))),0,1))</f>
        <v/>
      </c>
      <c r="M265" s="1" t="str">
        <f>IF(Protokoll_2p!J231="","",IF(VALUE(LEFT(Protokoll_2p!J231,FIND(":",Protokoll_2p!J231)-1))&gt;VALUE(RIGHT(Protokoll_2p!J231,LEN(Protokoll_2p!J231)-FIND(":",Protokoll_2p!J231))),0,1))</f>
        <v/>
      </c>
      <c r="N265" s="1" t="str">
        <f t="shared" si="9"/>
        <v/>
      </c>
    </row>
    <row r="266" spans="2:14">
      <c r="B266" s="1" t="str">
        <f>IF(Protokoll_2p!F232="","",IF(VALUE(LEFT(Protokoll_2p!F232,FIND(":",Protokoll_2p!F232)-1))&gt;VALUE(RIGHT(Protokoll_2p!F232,LEN(Protokoll_2p!F232)-FIND(":",Protokoll_2p!F232))),1,0))</f>
        <v/>
      </c>
      <c r="C266" s="1" t="str">
        <f>IF(Protokoll_2p!G232="","",IF(VALUE(LEFT(Protokoll_2p!G232,FIND(":",Protokoll_2p!G232)-1))&gt;VALUE(RIGHT(Protokoll_2p!G232,LEN(Protokoll_2p!G232)-FIND(":",Protokoll_2p!G232))),1,0))</f>
        <v/>
      </c>
      <c r="D266" s="1" t="str">
        <f>IF(Protokoll_2p!H232="","",IF(VALUE(LEFT(Protokoll_2p!H232,FIND(":",Protokoll_2p!H232)-1))&gt;VALUE(RIGHT(Protokoll_2p!H232,LEN(Protokoll_2p!H232)-FIND(":",Protokoll_2p!H232))),1,0))</f>
        <v/>
      </c>
      <c r="E266" s="1" t="str">
        <f>IF(Protokoll_2p!I232="","",IF(VALUE(LEFT(Protokoll_2p!I232,FIND(":",Protokoll_2p!I232)-1))&gt;VALUE(RIGHT(Protokoll_2p!I232,LEN(Protokoll_2p!I232)-FIND(":",Protokoll_2p!I232))),1,0))</f>
        <v/>
      </c>
      <c r="F266" s="1" t="str">
        <f>IF(Protokoll_2p!J232="","",IF(VALUE(LEFT(Protokoll_2p!J232,FIND(":",Protokoll_2p!J232)-1))&gt;VALUE(RIGHT(Protokoll_2p!J232,LEN(Protokoll_2p!J232)-FIND(":",Protokoll_2p!J232))),1,0))</f>
        <v/>
      </c>
      <c r="G266" s="1" t="str">
        <f t="shared" si="8"/>
        <v/>
      </c>
      <c r="I266" s="1" t="str">
        <f>IF(Protokoll_2p!F232="","",IF(VALUE(LEFT(Protokoll_2p!F232,FIND(":",Protokoll_2p!F232)-1))&gt;VALUE(RIGHT(Protokoll_2p!F232,LEN(Protokoll_2p!F232)-FIND(":",Protokoll_2p!F232))),0,1))</f>
        <v/>
      </c>
      <c r="J266" s="1" t="str">
        <f>IF(Protokoll_2p!G232="","",IF(VALUE(LEFT(Protokoll_2p!G232,FIND(":",Protokoll_2p!G232)-1))&gt;VALUE(RIGHT(Protokoll_2p!G232,LEN(Protokoll_2p!G232)-FIND(":",Protokoll_2p!G232))),0,1))</f>
        <v/>
      </c>
      <c r="K266" s="1" t="str">
        <f>IF(Protokoll_2p!H232="","",IF(VALUE(LEFT(Protokoll_2p!H232,FIND(":",Protokoll_2p!H232)-1))&gt;VALUE(RIGHT(Protokoll_2p!H232,LEN(Protokoll_2p!H232)-FIND(":",Protokoll_2p!H232))),0,1))</f>
        <v/>
      </c>
      <c r="L266" s="1" t="str">
        <f>IF(Protokoll_2p!I232="","",IF(VALUE(LEFT(Protokoll_2p!I232,FIND(":",Protokoll_2p!I232)-1))&gt;VALUE(RIGHT(Protokoll_2p!I232,LEN(Protokoll_2p!I232)-FIND(":",Protokoll_2p!I232))),0,1))</f>
        <v/>
      </c>
      <c r="M266" s="1" t="str">
        <f>IF(Protokoll_2p!J232="","",IF(VALUE(LEFT(Protokoll_2p!J232,FIND(":",Protokoll_2p!J232)-1))&gt;VALUE(RIGHT(Protokoll_2p!J232,LEN(Protokoll_2p!J232)-FIND(":",Protokoll_2p!J232))),0,1))</f>
        <v/>
      </c>
      <c r="N266" s="1" t="str">
        <f t="shared" si="9"/>
        <v/>
      </c>
    </row>
    <row r="267" spans="2:14">
      <c r="B267" s="1" t="str">
        <f>IF(Protokoll_2p!F233="","",IF(VALUE(LEFT(Protokoll_2p!F233,FIND(":",Protokoll_2p!F233)-1))&gt;VALUE(RIGHT(Protokoll_2p!F233,LEN(Protokoll_2p!F233)-FIND(":",Protokoll_2p!F233))),1,0))</f>
        <v/>
      </c>
      <c r="C267" s="1" t="str">
        <f>IF(Protokoll_2p!G233="","",IF(VALUE(LEFT(Protokoll_2p!G233,FIND(":",Protokoll_2p!G233)-1))&gt;VALUE(RIGHT(Protokoll_2p!G233,LEN(Protokoll_2p!G233)-FIND(":",Protokoll_2p!G233))),1,0))</f>
        <v/>
      </c>
      <c r="D267" s="1" t="str">
        <f>IF(Protokoll_2p!H233="","",IF(VALUE(LEFT(Protokoll_2p!H233,FIND(":",Protokoll_2p!H233)-1))&gt;VALUE(RIGHT(Protokoll_2p!H233,LEN(Protokoll_2p!H233)-FIND(":",Protokoll_2p!H233))),1,0))</f>
        <v/>
      </c>
      <c r="E267" s="1" t="str">
        <f>IF(Protokoll_2p!I233="","",IF(VALUE(LEFT(Protokoll_2p!I233,FIND(":",Protokoll_2p!I233)-1))&gt;VALUE(RIGHT(Protokoll_2p!I233,LEN(Protokoll_2p!I233)-FIND(":",Protokoll_2p!I233))),1,0))</f>
        <v/>
      </c>
      <c r="F267" s="1" t="str">
        <f>IF(Protokoll_2p!J233="","",IF(VALUE(LEFT(Protokoll_2p!J233,FIND(":",Protokoll_2p!J233)-1))&gt;VALUE(RIGHT(Protokoll_2p!J233,LEN(Protokoll_2p!J233)-FIND(":",Protokoll_2p!J233))),1,0))</f>
        <v/>
      </c>
      <c r="G267" s="1" t="str">
        <f t="shared" si="8"/>
        <v/>
      </c>
      <c r="I267" s="1" t="str">
        <f>IF(Protokoll_2p!F233="","",IF(VALUE(LEFT(Protokoll_2p!F233,FIND(":",Protokoll_2p!F233)-1))&gt;VALUE(RIGHT(Protokoll_2p!F233,LEN(Protokoll_2p!F233)-FIND(":",Protokoll_2p!F233))),0,1))</f>
        <v/>
      </c>
      <c r="J267" s="1" t="str">
        <f>IF(Protokoll_2p!G233="","",IF(VALUE(LEFT(Protokoll_2p!G233,FIND(":",Protokoll_2p!G233)-1))&gt;VALUE(RIGHT(Protokoll_2p!G233,LEN(Protokoll_2p!G233)-FIND(":",Protokoll_2p!G233))),0,1))</f>
        <v/>
      </c>
      <c r="K267" s="1" t="str">
        <f>IF(Protokoll_2p!H233="","",IF(VALUE(LEFT(Protokoll_2p!H233,FIND(":",Protokoll_2p!H233)-1))&gt;VALUE(RIGHT(Protokoll_2p!H233,LEN(Protokoll_2p!H233)-FIND(":",Protokoll_2p!H233))),0,1))</f>
        <v/>
      </c>
      <c r="L267" s="1" t="str">
        <f>IF(Protokoll_2p!I233="","",IF(VALUE(LEFT(Protokoll_2p!I233,FIND(":",Protokoll_2p!I233)-1))&gt;VALUE(RIGHT(Protokoll_2p!I233,LEN(Protokoll_2p!I233)-FIND(":",Protokoll_2p!I233))),0,1))</f>
        <v/>
      </c>
      <c r="M267" s="1" t="str">
        <f>IF(Protokoll_2p!J233="","",IF(VALUE(LEFT(Protokoll_2p!J233,FIND(":",Protokoll_2p!J233)-1))&gt;VALUE(RIGHT(Protokoll_2p!J233,LEN(Protokoll_2p!J233)-FIND(":",Protokoll_2p!J233))),0,1))</f>
        <v/>
      </c>
      <c r="N267" s="1" t="str">
        <f t="shared" si="9"/>
        <v/>
      </c>
    </row>
    <row r="268" spans="2:14">
      <c r="B268" s="1" t="str">
        <f>IF(Protokoll_2p!F234="","",IF(VALUE(LEFT(Protokoll_2p!F234,FIND(":",Protokoll_2p!F234)-1))&gt;VALUE(RIGHT(Protokoll_2p!F234,LEN(Protokoll_2p!F234)-FIND(":",Protokoll_2p!F234))),1,0))</f>
        <v/>
      </c>
      <c r="C268" s="1" t="str">
        <f>IF(Protokoll_2p!G234="","",IF(VALUE(LEFT(Protokoll_2p!G234,FIND(":",Protokoll_2p!G234)-1))&gt;VALUE(RIGHT(Protokoll_2p!G234,LEN(Protokoll_2p!G234)-FIND(":",Protokoll_2p!G234))),1,0))</f>
        <v/>
      </c>
      <c r="D268" s="1" t="str">
        <f>IF(Protokoll_2p!H234="","",IF(VALUE(LEFT(Protokoll_2p!H234,FIND(":",Protokoll_2p!H234)-1))&gt;VALUE(RIGHT(Protokoll_2p!H234,LEN(Protokoll_2p!H234)-FIND(":",Protokoll_2p!H234))),1,0))</f>
        <v/>
      </c>
      <c r="E268" s="1" t="str">
        <f>IF(Protokoll_2p!I234="","",IF(VALUE(LEFT(Protokoll_2p!I234,FIND(":",Protokoll_2p!I234)-1))&gt;VALUE(RIGHT(Protokoll_2p!I234,LEN(Protokoll_2p!I234)-FIND(":",Protokoll_2p!I234))),1,0))</f>
        <v/>
      </c>
      <c r="F268" s="1" t="str">
        <f>IF(Protokoll_2p!J234="","",IF(VALUE(LEFT(Protokoll_2p!J234,FIND(":",Protokoll_2p!J234)-1))&gt;VALUE(RIGHT(Protokoll_2p!J234,LEN(Protokoll_2p!J234)-FIND(":",Protokoll_2p!J234))),1,0))</f>
        <v/>
      </c>
      <c r="G268" s="1" t="str">
        <f t="shared" si="8"/>
        <v/>
      </c>
      <c r="I268" s="1" t="str">
        <f>IF(Protokoll_2p!F234="","",IF(VALUE(LEFT(Protokoll_2p!F234,FIND(":",Protokoll_2p!F234)-1))&gt;VALUE(RIGHT(Protokoll_2p!F234,LEN(Protokoll_2p!F234)-FIND(":",Protokoll_2p!F234))),0,1))</f>
        <v/>
      </c>
      <c r="J268" s="1" t="str">
        <f>IF(Protokoll_2p!G234="","",IF(VALUE(LEFT(Protokoll_2p!G234,FIND(":",Protokoll_2p!G234)-1))&gt;VALUE(RIGHT(Protokoll_2p!G234,LEN(Protokoll_2p!G234)-FIND(":",Protokoll_2p!G234))),0,1))</f>
        <v/>
      </c>
      <c r="K268" s="1" t="str">
        <f>IF(Protokoll_2p!H234="","",IF(VALUE(LEFT(Protokoll_2p!H234,FIND(":",Protokoll_2p!H234)-1))&gt;VALUE(RIGHT(Protokoll_2p!H234,LEN(Protokoll_2p!H234)-FIND(":",Protokoll_2p!H234))),0,1))</f>
        <v/>
      </c>
      <c r="L268" s="1" t="str">
        <f>IF(Protokoll_2p!I234="","",IF(VALUE(LEFT(Protokoll_2p!I234,FIND(":",Protokoll_2p!I234)-1))&gt;VALUE(RIGHT(Protokoll_2p!I234,LEN(Protokoll_2p!I234)-FIND(":",Protokoll_2p!I234))),0,1))</f>
        <v/>
      </c>
      <c r="M268" s="1" t="str">
        <f>IF(Protokoll_2p!J234="","",IF(VALUE(LEFT(Protokoll_2p!J234,FIND(":",Protokoll_2p!J234)-1))&gt;VALUE(RIGHT(Protokoll_2p!J234,LEN(Protokoll_2p!J234)-FIND(":",Protokoll_2p!J234))),0,1))</f>
        <v/>
      </c>
      <c r="N268" s="1" t="str">
        <f t="shared" si="9"/>
        <v/>
      </c>
    </row>
    <row r="269" spans="2:14">
      <c r="B269" s="1" t="str">
        <f>IF(Protokoll_2p!F235="","",IF(VALUE(LEFT(Protokoll_2p!F235,FIND(":",Protokoll_2p!F235)-1))&gt;VALUE(RIGHT(Protokoll_2p!F235,LEN(Protokoll_2p!F235)-FIND(":",Protokoll_2p!F235))),1,0))</f>
        <v/>
      </c>
      <c r="C269" s="1" t="str">
        <f>IF(Protokoll_2p!G235="","",IF(VALUE(LEFT(Protokoll_2p!G235,FIND(":",Protokoll_2p!G235)-1))&gt;VALUE(RIGHT(Protokoll_2p!G235,LEN(Protokoll_2p!G235)-FIND(":",Protokoll_2p!G235))),1,0))</f>
        <v/>
      </c>
      <c r="D269" s="1" t="str">
        <f>IF(Protokoll_2p!H235="","",IF(VALUE(LEFT(Protokoll_2p!H235,FIND(":",Protokoll_2p!H235)-1))&gt;VALUE(RIGHT(Protokoll_2p!H235,LEN(Protokoll_2p!H235)-FIND(":",Protokoll_2p!H235))),1,0))</f>
        <v/>
      </c>
      <c r="E269" s="1" t="str">
        <f>IF(Protokoll_2p!I235="","",IF(VALUE(LEFT(Protokoll_2p!I235,FIND(":",Protokoll_2p!I235)-1))&gt;VALUE(RIGHT(Protokoll_2p!I235,LEN(Protokoll_2p!I235)-FIND(":",Protokoll_2p!I235))),1,0))</f>
        <v/>
      </c>
      <c r="F269" s="1" t="str">
        <f>IF(Protokoll_2p!J235="","",IF(VALUE(LEFT(Protokoll_2p!J235,FIND(":",Protokoll_2p!J235)-1))&gt;VALUE(RIGHT(Protokoll_2p!J235,LEN(Protokoll_2p!J235)-FIND(":",Protokoll_2p!J235))),1,0))</f>
        <v/>
      </c>
      <c r="G269" s="1" t="str">
        <f t="shared" si="8"/>
        <v/>
      </c>
      <c r="I269" s="1" t="str">
        <f>IF(Protokoll_2p!F235="","",IF(VALUE(LEFT(Protokoll_2p!F235,FIND(":",Protokoll_2p!F235)-1))&gt;VALUE(RIGHT(Protokoll_2p!F235,LEN(Protokoll_2p!F235)-FIND(":",Protokoll_2p!F235))),0,1))</f>
        <v/>
      </c>
      <c r="J269" s="1" t="str">
        <f>IF(Protokoll_2p!G235="","",IF(VALUE(LEFT(Protokoll_2p!G235,FIND(":",Protokoll_2p!G235)-1))&gt;VALUE(RIGHT(Protokoll_2p!G235,LEN(Protokoll_2p!G235)-FIND(":",Protokoll_2p!G235))),0,1))</f>
        <v/>
      </c>
      <c r="K269" s="1" t="str">
        <f>IF(Protokoll_2p!H235="","",IF(VALUE(LEFT(Protokoll_2p!H235,FIND(":",Protokoll_2p!H235)-1))&gt;VALUE(RIGHT(Protokoll_2p!H235,LEN(Protokoll_2p!H235)-FIND(":",Protokoll_2p!H235))),0,1))</f>
        <v/>
      </c>
      <c r="L269" s="1" t="str">
        <f>IF(Protokoll_2p!I235="","",IF(VALUE(LEFT(Protokoll_2p!I235,FIND(":",Protokoll_2p!I235)-1))&gt;VALUE(RIGHT(Protokoll_2p!I235,LEN(Protokoll_2p!I235)-FIND(":",Protokoll_2p!I235))),0,1))</f>
        <v/>
      </c>
      <c r="M269" s="1" t="str">
        <f>IF(Protokoll_2p!J235="","",IF(VALUE(LEFT(Protokoll_2p!J235,FIND(":",Protokoll_2p!J235)-1))&gt;VALUE(RIGHT(Protokoll_2p!J235,LEN(Protokoll_2p!J235)-FIND(":",Protokoll_2p!J235))),0,1))</f>
        <v/>
      </c>
      <c r="N269" s="1" t="str">
        <f t="shared" si="9"/>
        <v/>
      </c>
    </row>
    <row r="270" spans="2:14">
      <c r="B270" s="1" t="str">
        <f>IF(Protokoll_2p!F236="","",IF(VALUE(LEFT(Protokoll_2p!F236,FIND(":",Protokoll_2p!F236)-1))&gt;VALUE(RIGHT(Protokoll_2p!F236,LEN(Protokoll_2p!F236)-FIND(":",Protokoll_2p!F236))),1,0))</f>
        <v/>
      </c>
      <c r="C270" s="1" t="str">
        <f>IF(Protokoll_2p!G236="","",IF(VALUE(LEFT(Protokoll_2p!G236,FIND(":",Protokoll_2p!G236)-1))&gt;VALUE(RIGHT(Protokoll_2p!G236,LEN(Protokoll_2p!G236)-FIND(":",Protokoll_2p!G236))),1,0))</f>
        <v/>
      </c>
      <c r="D270" s="1" t="str">
        <f>IF(Protokoll_2p!H236="","",IF(VALUE(LEFT(Protokoll_2p!H236,FIND(":",Protokoll_2p!H236)-1))&gt;VALUE(RIGHT(Protokoll_2p!H236,LEN(Protokoll_2p!H236)-FIND(":",Protokoll_2p!H236))),1,0))</f>
        <v/>
      </c>
      <c r="E270" s="1" t="str">
        <f>IF(Protokoll_2p!I236="","",IF(VALUE(LEFT(Protokoll_2p!I236,FIND(":",Protokoll_2p!I236)-1))&gt;VALUE(RIGHT(Protokoll_2p!I236,LEN(Protokoll_2p!I236)-FIND(":",Protokoll_2p!I236))),1,0))</f>
        <v/>
      </c>
      <c r="F270" s="1" t="str">
        <f>IF(Protokoll_2p!J236="","",IF(VALUE(LEFT(Protokoll_2p!J236,FIND(":",Protokoll_2p!J236)-1))&gt;VALUE(RIGHT(Protokoll_2p!J236,LEN(Protokoll_2p!J236)-FIND(":",Protokoll_2p!J236))),1,0))</f>
        <v/>
      </c>
      <c r="G270" s="1" t="str">
        <f t="shared" si="8"/>
        <v/>
      </c>
      <c r="I270" s="1" t="str">
        <f>IF(Protokoll_2p!F236="","",IF(VALUE(LEFT(Protokoll_2p!F236,FIND(":",Protokoll_2p!F236)-1))&gt;VALUE(RIGHT(Protokoll_2p!F236,LEN(Protokoll_2p!F236)-FIND(":",Protokoll_2p!F236))),0,1))</f>
        <v/>
      </c>
      <c r="J270" s="1" t="str">
        <f>IF(Protokoll_2p!G236="","",IF(VALUE(LEFT(Protokoll_2p!G236,FIND(":",Protokoll_2p!G236)-1))&gt;VALUE(RIGHT(Protokoll_2p!G236,LEN(Protokoll_2p!G236)-FIND(":",Protokoll_2p!G236))),0,1))</f>
        <v/>
      </c>
      <c r="K270" s="1" t="str">
        <f>IF(Protokoll_2p!H236="","",IF(VALUE(LEFT(Protokoll_2p!H236,FIND(":",Protokoll_2p!H236)-1))&gt;VALUE(RIGHT(Protokoll_2p!H236,LEN(Protokoll_2p!H236)-FIND(":",Protokoll_2p!H236))),0,1))</f>
        <v/>
      </c>
      <c r="L270" s="1" t="str">
        <f>IF(Protokoll_2p!I236="","",IF(VALUE(LEFT(Protokoll_2p!I236,FIND(":",Protokoll_2p!I236)-1))&gt;VALUE(RIGHT(Protokoll_2p!I236,LEN(Protokoll_2p!I236)-FIND(":",Protokoll_2p!I236))),0,1))</f>
        <v/>
      </c>
      <c r="M270" s="1" t="str">
        <f>IF(Protokoll_2p!J236="","",IF(VALUE(LEFT(Protokoll_2p!J236,FIND(":",Protokoll_2p!J236)-1))&gt;VALUE(RIGHT(Protokoll_2p!J236,LEN(Protokoll_2p!J236)-FIND(":",Protokoll_2p!J236))),0,1))</f>
        <v/>
      </c>
      <c r="N270" s="1" t="str">
        <f t="shared" si="9"/>
        <v/>
      </c>
    </row>
    <row r="271" spans="2:14">
      <c r="B271" s="1" t="str">
        <f>IF(Protokoll_2p!F237="","",IF(VALUE(LEFT(Protokoll_2p!F237,FIND(":",Protokoll_2p!F237)-1))&gt;VALUE(RIGHT(Protokoll_2p!F237,LEN(Protokoll_2p!F237)-FIND(":",Protokoll_2p!F237))),1,0))</f>
        <v/>
      </c>
      <c r="C271" s="1" t="str">
        <f>IF(Protokoll_2p!G237="","",IF(VALUE(LEFT(Protokoll_2p!G237,FIND(":",Protokoll_2p!G237)-1))&gt;VALUE(RIGHT(Protokoll_2p!G237,LEN(Protokoll_2p!G237)-FIND(":",Protokoll_2p!G237))),1,0))</f>
        <v/>
      </c>
      <c r="D271" s="1" t="str">
        <f>IF(Protokoll_2p!H237="","",IF(VALUE(LEFT(Protokoll_2p!H237,FIND(":",Protokoll_2p!H237)-1))&gt;VALUE(RIGHT(Protokoll_2p!H237,LEN(Protokoll_2p!H237)-FIND(":",Protokoll_2p!H237))),1,0))</f>
        <v/>
      </c>
      <c r="E271" s="1" t="str">
        <f>IF(Protokoll_2p!I237="","",IF(VALUE(LEFT(Protokoll_2p!I237,FIND(":",Protokoll_2p!I237)-1))&gt;VALUE(RIGHT(Protokoll_2p!I237,LEN(Protokoll_2p!I237)-FIND(":",Protokoll_2p!I237))),1,0))</f>
        <v/>
      </c>
      <c r="F271" s="1" t="str">
        <f>IF(Protokoll_2p!J237="","",IF(VALUE(LEFT(Protokoll_2p!J237,FIND(":",Protokoll_2p!J237)-1))&gt;VALUE(RIGHT(Protokoll_2p!J237,LEN(Protokoll_2p!J237)-FIND(":",Protokoll_2p!J237))),1,0))</f>
        <v/>
      </c>
      <c r="G271" s="1" t="str">
        <f t="shared" si="8"/>
        <v/>
      </c>
      <c r="I271" s="1" t="str">
        <f>IF(Protokoll_2p!F237="","",IF(VALUE(LEFT(Protokoll_2p!F237,FIND(":",Protokoll_2p!F237)-1))&gt;VALUE(RIGHT(Protokoll_2p!F237,LEN(Protokoll_2p!F237)-FIND(":",Protokoll_2p!F237))),0,1))</f>
        <v/>
      </c>
      <c r="J271" s="1" t="str">
        <f>IF(Protokoll_2p!G237="","",IF(VALUE(LEFT(Protokoll_2p!G237,FIND(":",Protokoll_2p!G237)-1))&gt;VALUE(RIGHT(Protokoll_2p!G237,LEN(Protokoll_2p!G237)-FIND(":",Protokoll_2p!G237))),0,1))</f>
        <v/>
      </c>
      <c r="K271" s="1" t="str">
        <f>IF(Protokoll_2p!H237="","",IF(VALUE(LEFT(Protokoll_2p!H237,FIND(":",Protokoll_2p!H237)-1))&gt;VALUE(RIGHT(Protokoll_2p!H237,LEN(Protokoll_2p!H237)-FIND(":",Protokoll_2p!H237))),0,1))</f>
        <v/>
      </c>
      <c r="L271" s="1" t="str">
        <f>IF(Protokoll_2p!I237="","",IF(VALUE(LEFT(Protokoll_2p!I237,FIND(":",Protokoll_2p!I237)-1))&gt;VALUE(RIGHT(Protokoll_2p!I237,LEN(Protokoll_2p!I237)-FIND(":",Protokoll_2p!I237))),0,1))</f>
        <v/>
      </c>
      <c r="M271" s="1" t="str">
        <f>IF(Protokoll_2p!J237="","",IF(VALUE(LEFT(Protokoll_2p!J237,FIND(":",Protokoll_2p!J237)-1))&gt;VALUE(RIGHT(Protokoll_2p!J237,LEN(Protokoll_2p!J237)-FIND(":",Protokoll_2p!J237))),0,1))</f>
        <v/>
      </c>
      <c r="N271" s="1" t="str">
        <f t="shared" si="9"/>
        <v/>
      </c>
    </row>
    <row r="272" spans="2:14">
      <c r="B272" s="1" t="str">
        <f>IF(Protokoll_2p!F238="","",IF(VALUE(LEFT(Protokoll_2p!F238,FIND(":",Protokoll_2p!F238)-1))&gt;VALUE(RIGHT(Protokoll_2p!F238,LEN(Protokoll_2p!F238)-FIND(":",Protokoll_2p!F238))),1,0))</f>
        <v/>
      </c>
      <c r="C272" s="1" t="str">
        <f>IF(Protokoll_2p!G238="","",IF(VALUE(LEFT(Protokoll_2p!G238,FIND(":",Protokoll_2p!G238)-1))&gt;VALUE(RIGHT(Protokoll_2p!G238,LEN(Protokoll_2p!G238)-FIND(":",Protokoll_2p!G238))),1,0))</f>
        <v/>
      </c>
      <c r="D272" s="1" t="str">
        <f>IF(Protokoll_2p!H238="","",IF(VALUE(LEFT(Protokoll_2p!H238,FIND(":",Protokoll_2p!H238)-1))&gt;VALUE(RIGHT(Protokoll_2p!H238,LEN(Protokoll_2p!H238)-FIND(":",Protokoll_2p!H238))),1,0))</f>
        <v/>
      </c>
      <c r="E272" s="1" t="str">
        <f>IF(Protokoll_2p!I238="","",IF(VALUE(LEFT(Protokoll_2p!I238,FIND(":",Protokoll_2p!I238)-1))&gt;VALUE(RIGHT(Protokoll_2p!I238,LEN(Protokoll_2p!I238)-FIND(":",Protokoll_2p!I238))),1,0))</f>
        <v/>
      </c>
      <c r="F272" s="1" t="str">
        <f>IF(Protokoll_2p!J238="","",IF(VALUE(LEFT(Protokoll_2p!J238,FIND(":",Protokoll_2p!J238)-1))&gt;VALUE(RIGHT(Protokoll_2p!J238,LEN(Protokoll_2p!J238)-FIND(":",Protokoll_2p!J238))),1,0))</f>
        <v/>
      </c>
      <c r="G272" s="1" t="str">
        <f t="shared" si="8"/>
        <v/>
      </c>
      <c r="I272" s="1" t="str">
        <f>IF(Protokoll_2p!F238="","",IF(VALUE(LEFT(Protokoll_2p!F238,FIND(":",Protokoll_2p!F238)-1))&gt;VALUE(RIGHT(Protokoll_2p!F238,LEN(Protokoll_2p!F238)-FIND(":",Protokoll_2p!F238))),0,1))</f>
        <v/>
      </c>
      <c r="J272" s="1" t="str">
        <f>IF(Protokoll_2p!G238="","",IF(VALUE(LEFT(Protokoll_2p!G238,FIND(":",Protokoll_2p!G238)-1))&gt;VALUE(RIGHT(Protokoll_2p!G238,LEN(Protokoll_2p!G238)-FIND(":",Protokoll_2p!G238))),0,1))</f>
        <v/>
      </c>
      <c r="K272" s="1" t="str">
        <f>IF(Protokoll_2p!H238="","",IF(VALUE(LEFT(Protokoll_2p!H238,FIND(":",Protokoll_2p!H238)-1))&gt;VALUE(RIGHT(Protokoll_2p!H238,LEN(Protokoll_2p!H238)-FIND(":",Protokoll_2p!H238))),0,1))</f>
        <v/>
      </c>
      <c r="L272" s="1" t="str">
        <f>IF(Protokoll_2p!I238="","",IF(VALUE(LEFT(Protokoll_2p!I238,FIND(":",Protokoll_2p!I238)-1))&gt;VALUE(RIGHT(Protokoll_2p!I238,LEN(Protokoll_2p!I238)-FIND(":",Protokoll_2p!I238))),0,1))</f>
        <v/>
      </c>
      <c r="M272" s="1" t="str">
        <f>IF(Protokoll_2p!J238="","",IF(VALUE(LEFT(Protokoll_2p!J238,FIND(":",Protokoll_2p!J238)-1))&gt;VALUE(RIGHT(Protokoll_2p!J238,LEN(Protokoll_2p!J238)-FIND(":",Protokoll_2p!J238))),0,1))</f>
        <v/>
      </c>
      <c r="N272" s="1" t="str">
        <f t="shared" si="9"/>
        <v/>
      </c>
    </row>
    <row r="273" spans="2:14">
      <c r="B273" s="1" t="str">
        <f>IF(Protokoll_2p!F239="","",IF(VALUE(LEFT(Protokoll_2p!F239,FIND(":",Protokoll_2p!F239)-1))&gt;VALUE(RIGHT(Protokoll_2p!F239,LEN(Protokoll_2p!F239)-FIND(":",Protokoll_2p!F239))),1,0))</f>
        <v/>
      </c>
      <c r="C273" s="1" t="str">
        <f>IF(Protokoll_2p!G239="","",IF(VALUE(LEFT(Protokoll_2p!G239,FIND(":",Protokoll_2p!G239)-1))&gt;VALUE(RIGHT(Protokoll_2p!G239,LEN(Protokoll_2p!G239)-FIND(":",Protokoll_2p!G239))),1,0))</f>
        <v/>
      </c>
      <c r="D273" s="1" t="str">
        <f>IF(Protokoll_2p!H239="","",IF(VALUE(LEFT(Protokoll_2p!H239,FIND(":",Protokoll_2p!H239)-1))&gt;VALUE(RIGHT(Protokoll_2p!H239,LEN(Protokoll_2p!H239)-FIND(":",Protokoll_2p!H239))),1,0))</f>
        <v/>
      </c>
      <c r="E273" s="1" t="str">
        <f>IF(Protokoll_2p!I239="","",IF(VALUE(LEFT(Protokoll_2p!I239,FIND(":",Protokoll_2p!I239)-1))&gt;VALUE(RIGHT(Protokoll_2p!I239,LEN(Protokoll_2p!I239)-FIND(":",Protokoll_2p!I239))),1,0))</f>
        <v/>
      </c>
      <c r="F273" s="1" t="str">
        <f>IF(Protokoll_2p!J239="","",IF(VALUE(LEFT(Protokoll_2p!J239,FIND(":",Protokoll_2p!J239)-1))&gt;VALUE(RIGHT(Protokoll_2p!J239,LEN(Protokoll_2p!J239)-FIND(":",Protokoll_2p!J239))),1,0))</f>
        <v/>
      </c>
      <c r="G273" s="1" t="str">
        <f t="shared" si="8"/>
        <v/>
      </c>
      <c r="I273" s="1" t="str">
        <f>IF(Protokoll_2p!F239="","",IF(VALUE(LEFT(Protokoll_2p!F239,FIND(":",Protokoll_2p!F239)-1))&gt;VALUE(RIGHT(Protokoll_2p!F239,LEN(Protokoll_2p!F239)-FIND(":",Protokoll_2p!F239))),0,1))</f>
        <v/>
      </c>
      <c r="J273" s="1" t="str">
        <f>IF(Protokoll_2p!G239="","",IF(VALUE(LEFT(Protokoll_2p!G239,FIND(":",Protokoll_2p!G239)-1))&gt;VALUE(RIGHT(Protokoll_2p!G239,LEN(Protokoll_2p!G239)-FIND(":",Protokoll_2p!G239))),0,1))</f>
        <v/>
      </c>
      <c r="K273" s="1" t="str">
        <f>IF(Protokoll_2p!H239="","",IF(VALUE(LEFT(Protokoll_2p!H239,FIND(":",Protokoll_2p!H239)-1))&gt;VALUE(RIGHT(Protokoll_2p!H239,LEN(Protokoll_2p!H239)-FIND(":",Protokoll_2p!H239))),0,1))</f>
        <v/>
      </c>
      <c r="L273" s="1" t="str">
        <f>IF(Protokoll_2p!I239="","",IF(VALUE(LEFT(Protokoll_2p!I239,FIND(":",Protokoll_2p!I239)-1))&gt;VALUE(RIGHT(Protokoll_2p!I239,LEN(Protokoll_2p!I239)-FIND(":",Protokoll_2p!I239))),0,1))</f>
        <v/>
      </c>
      <c r="M273" s="1" t="str">
        <f>IF(Protokoll_2p!J239="","",IF(VALUE(LEFT(Protokoll_2p!J239,FIND(":",Protokoll_2p!J239)-1))&gt;VALUE(RIGHT(Protokoll_2p!J239,LEN(Protokoll_2p!J239)-FIND(":",Protokoll_2p!J239))),0,1))</f>
        <v/>
      </c>
      <c r="N273" s="1" t="str">
        <f t="shared" si="9"/>
        <v/>
      </c>
    </row>
    <row r="274" spans="2:14">
      <c r="B274" s="1" t="str">
        <f>IF(Protokoll_2p!F240="","",IF(VALUE(LEFT(Protokoll_2p!F240,FIND(":",Protokoll_2p!F240)-1))&gt;VALUE(RIGHT(Protokoll_2p!F240,LEN(Protokoll_2p!F240)-FIND(":",Protokoll_2p!F240))),1,0))</f>
        <v/>
      </c>
      <c r="C274" s="1" t="str">
        <f>IF(Protokoll_2p!G240="","",IF(VALUE(LEFT(Protokoll_2p!G240,FIND(":",Protokoll_2p!G240)-1))&gt;VALUE(RIGHT(Protokoll_2p!G240,LEN(Protokoll_2p!G240)-FIND(":",Protokoll_2p!G240))),1,0))</f>
        <v/>
      </c>
      <c r="D274" s="1" t="str">
        <f>IF(Protokoll_2p!H240="","",IF(VALUE(LEFT(Protokoll_2p!H240,FIND(":",Protokoll_2p!H240)-1))&gt;VALUE(RIGHT(Protokoll_2p!H240,LEN(Protokoll_2p!H240)-FIND(":",Protokoll_2p!H240))),1,0))</f>
        <v/>
      </c>
      <c r="E274" s="1" t="str">
        <f>IF(Protokoll_2p!I240="","",IF(VALUE(LEFT(Protokoll_2p!I240,FIND(":",Protokoll_2p!I240)-1))&gt;VALUE(RIGHT(Protokoll_2p!I240,LEN(Protokoll_2p!I240)-FIND(":",Protokoll_2p!I240))),1,0))</f>
        <v/>
      </c>
      <c r="F274" s="1" t="str">
        <f>IF(Protokoll_2p!J240="","",IF(VALUE(LEFT(Protokoll_2p!J240,FIND(":",Protokoll_2p!J240)-1))&gt;VALUE(RIGHT(Protokoll_2p!J240,LEN(Protokoll_2p!J240)-FIND(":",Protokoll_2p!J240))),1,0))</f>
        <v/>
      </c>
      <c r="G274" s="1" t="str">
        <f t="shared" si="8"/>
        <v/>
      </c>
      <c r="I274" s="1" t="str">
        <f>IF(Protokoll_2p!F240="","",IF(VALUE(LEFT(Protokoll_2p!F240,FIND(":",Protokoll_2p!F240)-1))&gt;VALUE(RIGHT(Protokoll_2p!F240,LEN(Protokoll_2p!F240)-FIND(":",Protokoll_2p!F240))),0,1))</f>
        <v/>
      </c>
      <c r="J274" s="1" t="str">
        <f>IF(Protokoll_2p!G240="","",IF(VALUE(LEFT(Protokoll_2p!G240,FIND(":",Protokoll_2p!G240)-1))&gt;VALUE(RIGHT(Protokoll_2p!G240,LEN(Protokoll_2p!G240)-FIND(":",Protokoll_2p!G240))),0,1))</f>
        <v/>
      </c>
      <c r="K274" s="1" t="str">
        <f>IF(Protokoll_2p!H240="","",IF(VALUE(LEFT(Protokoll_2p!H240,FIND(":",Protokoll_2p!H240)-1))&gt;VALUE(RIGHT(Protokoll_2p!H240,LEN(Protokoll_2p!H240)-FIND(":",Protokoll_2p!H240))),0,1))</f>
        <v/>
      </c>
      <c r="L274" s="1" t="str">
        <f>IF(Protokoll_2p!I240="","",IF(VALUE(LEFT(Protokoll_2p!I240,FIND(":",Protokoll_2p!I240)-1))&gt;VALUE(RIGHT(Protokoll_2p!I240,LEN(Protokoll_2p!I240)-FIND(":",Protokoll_2p!I240))),0,1))</f>
        <v/>
      </c>
      <c r="M274" s="1" t="str">
        <f>IF(Protokoll_2p!J240="","",IF(VALUE(LEFT(Protokoll_2p!J240,FIND(":",Protokoll_2p!J240)-1))&gt;VALUE(RIGHT(Protokoll_2p!J240,LEN(Protokoll_2p!J240)-FIND(":",Protokoll_2p!J240))),0,1))</f>
        <v/>
      </c>
      <c r="N274" s="1" t="str">
        <f t="shared" si="9"/>
        <v/>
      </c>
    </row>
    <row r="275" spans="2:14">
      <c r="B275" s="1" t="str">
        <f>IF(Protokoll_2p!F241="","",IF(VALUE(LEFT(Protokoll_2p!F241,FIND(":",Protokoll_2p!F241)-1))&gt;VALUE(RIGHT(Protokoll_2p!F241,LEN(Protokoll_2p!F241)-FIND(":",Protokoll_2p!F241))),1,0))</f>
        <v/>
      </c>
      <c r="C275" s="1" t="str">
        <f>IF(Protokoll_2p!G241="","",IF(VALUE(LEFT(Protokoll_2p!G241,FIND(":",Protokoll_2p!G241)-1))&gt;VALUE(RIGHT(Protokoll_2p!G241,LEN(Protokoll_2p!G241)-FIND(":",Protokoll_2p!G241))),1,0))</f>
        <v/>
      </c>
      <c r="D275" s="1" t="str">
        <f>IF(Protokoll_2p!H241="","",IF(VALUE(LEFT(Protokoll_2p!H241,FIND(":",Protokoll_2p!H241)-1))&gt;VALUE(RIGHT(Protokoll_2p!H241,LEN(Protokoll_2p!H241)-FIND(":",Protokoll_2p!H241))),1,0))</f>
        <v/>
      </c>
      <c r="E275" s="1" t="str">
        <f>IF(Protokoll_2p!I241="","",IF(VALUE(LEFT(Protokoll_2p!I241,FIND(":",Protokoll_2p!I241)-1))&gt;VALUE(RIGHT(Protokoll_2p!I241,LEN(Protokoll_2p!I241)-FIND(":",Protokoll_2p!I241))),1,0))</f>
        <v/>
      </c>
      <c r="F275" s="1" t="str">
        <f>IF(Protokoll_2p!J241="","",IF(VALUE(LEFT(Protokoll_2p!J241,FIND(":",Protokoll_2p!J241)-1))&gt;VALUE(RIGHT(Protokoll_2p!J241,LEN(Protokoll_2p!J241)-FIND(":",Protokoll_2p!J241))),1,0))</f>
        <v/>
      </c>
      <c r="G275" s="1" t="str">
        <f t="shared" si="8"/>
        <v/>
      </c>
      <c r="I275" s="1" t="str">
        <f>IF(Protokoll_2p!F241="","",IF(VALUE(LEFT(Protokoll_2p!F241,FIND(":",Protokoll_2p!F241)-1))&gt;VALUE(RIGHT(Protokoll_2p!F241,LEN(Protokoll_2p!F241)-FIND(":",Protokoll_2p!F241))),0,1))</f>
        <v/>
      </c>
      <c r="J275" s="1" t="str">
        <f>IF(Protokoll_2p!G241="","",IF(VALUE(LEFT(Protokoll_2p!G241,FIND(":",Protokoll_2p!G241)-1))&gt;VALUE(RIGHT(Protokoll_2p!G241,LEN(Protokoll_2p!G241)-FIND(":",Protokoll_2p!G241))),0,1))</f>
        <v/>
      </c>
      <c r="K275" s="1" t="str">
        <f>IF(Protokoll_2p!H241="","",IF(VALUE(LEFT(Protokoll_2p!H241,FIND(":",Protokoll_2p!H241)-1))&gt;VALUE(RIGHT(Protokoll_2p!H241,LEN(Protokoll_2p!H241)-FIND(":",Protokoll_2p!H241))),0,1))</f>
        <v/>
      </c>
      <c r="L275" s="1" t="str">
        <f>IF(Protokoll_2p!I241="","",IF(VALUE(LEFT(Protokoll_2p!I241,FIND(":",Protokoll_2p!I241)-1))&gt;VALUE(RIGHT(Protokoll_2p!I241,LEN(Protokoll_2p!I241)-FIND(":",Protokoll_2p!I241))),0,1))</f>
        <v/>
      </c>
      <c r="M275" s="1" t="str">
        <f>IF(Protokoll_2p!J241="","",IF(VALUE(LEFT(Protokoll_2p!J241,FIND(":",Protokoll_2p!J241)-1))&gt;VALUE(RIGHT(Protokoll_2p!J241,LEN(Protokoll_2p!J241)-FIND(":",Protokoll_2p!J241))),0,1))</f>
        <v/>
      </c>
      <c r="N275" s="1" t="str">
        <f t="shared" si="9"/>
        <v/>
      </c>
    </row>
    <row r="276" spans="2:14">
      <c r="B276" s="1" t="str">
        <f>IF(Protokoll_2p!F242="","",IF(VALUE(LEFT(Protokoll_2p!F242,FIND(":",Protokoll_2p!F242)-1))&gt;VALUE(RIGHT(Protokoll_2p!F242,LEN(Protokoll_2p!F242)-FIND(":",Protokoll_2p!F242))),1,0))</f>
        <v/>
      </c>
      <c r="C276" s="1" t="str">
        <f>IF(Protokoll_2p!G242="","",IF(VALUE(LEFT(Protokoll_2p!G242,FIND(":",Protokoll_2p!G242)-1))&gt;VALUE(RIGHT(Protokoll_2p!G242,LEN(Protokoll_2p!G242)-FIND(":",Protokoll_2p!G242))),1,0))</f>
        <v/>
      </c>
      <c r="D276" s="1" t="str">
        <f>IF(Protokoll_2p!H242="","",IF(VALUE(LEFT(Protokoll_2p!H242,FIND(":",Protokoll_2p!H242)-1))&gt;VALUE(RIGHT(Protokoll_2p!H242,LEN(Protokoll_2p!H242)-FIND(":",Protokoll_2p!H242))),1,0))</f>
        <v/>
      </c>
      <c r="E276" s="1" t="str">
        <f>IF(Protokoll_2p!I242="","",IF(VALUE(LEFT(Protokoll_2p!I242,FIND(":",Protokoll_2p!I242)-1))&gt;VALUE(RIGHT(Protokoll_2p!I242,LEN(Protokoll_2p!I242)-FIND(":",Protokoll_2p!I242))),1,0))</f>
        <v/>
      </c>
      <c r="F276" s="1" t="str">
        <f>IF(Protokoll_2p!J242="","",IF(VALUE(LEFT(Protokoll_2p!J242,FIND(":",Protokoll_2p!J242)-1))&gt;VALUE(RIGHT(Protokoll_2p!J242,LEN(Protokoll_2p!J242)-FIND(":",Protokoll_2p!J242))),1,0))</f>
        <v/>
      </c>
      <c r="G276" s="1" t="str">
        <f t="shared" si="8"/>
        <v/>
      </c>
      <c r="I276" s="1" t="str">
        <f>IF(Protokoll_2p!F242="","",IF(VALUE(LEFT(Protokoll_2p!F242,FIND(":",Protokoll_2p!F242)-1))&gt;VALUE(RIGHT(Protokoll_2p!F242,LEN(Protokoll_2p!F242)-FIND(":",Protokoll_2p!F242))),0,1))</f>
        <v/>
      </c>
      <c r="J276" s="1" t="str">
        <f>IF(Protokoll_2p!G242="","",IF(VALUE(LEFT(Protokoll_2p!G242,FIND(":",Protokoll_2p!G242)-1))&gt;VALUE(RIGHT(Protokoll_2p!G242,LEN(Protokoll_2p!G242)-FIND(":",Protokoll_2p!G242))),0,1))</f>
        <v/>
      </c>
      <c r="K276" s="1" t="str">
        <f>IF(Protokoll_2p!H242="","",IF(VALUE(LEFT(Protokoll_2p!H242,FIND(":",Protokoll_2p!H242)-1))&gt;VALUE(RIGHT(Protokoll_2p!H242,LEN(Protokoll_2p!H242)-FIND(":",Protokoll_2p!H242))),0,1))</f>
        <v/>
      </c>
      <c r="L276" s="1" t="str">
        <f>IF(Protokoll_2p!I242="","",IF(VALUE(LEFT(Protokoll_2p!I242,FIND(":",Protokoll_2p!I242)-1))&gt;VALUE(RIGHT(Protokoll_2p!I242,LEN(Protokoll_2p!I242)-FIND(":",Protokoll_2p!I242))),0,1))</f>
        <v/>
      </c>
      <c r="M276" s="1" t="str">
        <f>IF(Protokoll_2p!J242="","",IF(VALUE(LEFT(Protokoll_2p!J242,FIND(":",Protokoll_2p!J242)-1))&gt;VALUE(RIGHT(Protokoll_2p!J242,LEN(Protokoll_2p!J242)-FIND(":",Protokoll_2p!J242))),0,1))</f>
        <v/>
      </c>
      <c r="N276" s="1" t="str">
        <f t="shared" si="9"/>
        <v/>
      </c>
    </row>
    <row r="277" spans="2:14">
      <c r="B277" s="1" t="str">
        <f>IF(Protokoll_2p!F243="","",IF(VALUE(LEFT(Protokoll_2p!F243,FIND(":",Protokoll_2p!F243)-1))&gt;VALUE(RIGHT(Protokoll_2p!F243,LEN(Protokoll_2p!F243)-FIND(":",Protokoll_2p!F243))),1,0))</f>
        <v/>
      </c>
      <c r="C277" s="1" t="str">
        <f>IF(Protokoll_2p!G243="","",IF(VALUE(LEFT(Protokoll_2p!G243,FIND(":",Protokoll_2p!G243)-1))&gt;VALUE(RIGHT(Protokoll_2p!G243,LEN(Protokoll_2p!G243)-FIND(":",Protokoll_2p!G243))),1,0))</f>
        <v/>
      </c>
      <c r="D277" s="1" t="str">
        <f>IF(Protokoll_2p!H243="","",IF(VALUE(LEFT(Protokoll_2p!H243,FIND(":",Protokoll_2p!H243)-1))&gt;VALUE(RIGHT(Protokoll_2p!H243,LEN(Protokoll_2p!H243)-FIND(":",Protokoll_2p!H243))),1,0))</f>
        <v/>
      </c>
      <c r="E277" s="1" t="str">
        <f>IF(Protokoll_2p!I243="","",IF(VALUE(LEFT(Protokoll_2p!I243,FIND(":",Protokoll_2p!I243)-1))&gt;VALUE(RIGHT(Protokoll_2p!I243,LEN(Protokoll_2p!I243)-FIND(":",Protokoll_2p!I243))),1,0))</f>
        <v/>
      </c>
      <c r="F277" s="1" t="str">
        <f>IF(Protokoll_2p!J243="","",IF(VALUE(LEFT(Protokoll_2p!J243,FIND(":",Protokoll_2p!J243)-1))&gt;VALUE(RIGHT(Protokoll_2p!J243,LEN(Protokoll_2p!J243)-FIND(":",Protokoll_2p!J243))),1,0))</f>
        <v/>
      </c>
      <c r="G277" s="1" t="str">
        <f t="shared" si="8"/>
        <v/>
      </c>
      <c r="I277" s="1" t="str">
        <f>IF(Protokoll_2p!F243="","",IF(VALUE(LEFT(Protokoll_2p!F243,FIND(":",Protokoll_2p!F243)-1))&gt;VALUE(RIGHT(Protokoll_2p!F243,LEN(Protokoll_2p!F243)-FIND(":",Protokoll_2p!F243))),0,1))</f>
        <v/>
      </c>
      <c r="J277" s="1" t="str">
        <f>IF(Protokoll_2p!G243="","",IF(VALUE(LEFT(Protokoll_2p!G243,FIND(":",Protokoll_2p!G243)-1))&gt;VALUE(RIGHT(Protokoll_2p!G243,LEN(Protokoll_2p!G243)-FIND(":",Protokoll_2p!G243))),0,1))</f>
        <v/>
      </c>
      <c r="K277" s="1" t="str">
        <f>IF(Protokoll_2p!H243="","",IF(VALUE(LEFT(Protokoll_2p!H243,FIND(":",Protokoll_2p!H243)-1))&gt;VALUE(RIGHT(Protokoll_2p!H243,LEN(Protokoll_2p!H243)-FIND(":",Protokoll_2p!H243))),0,1))</f>
        <v/>
      </c>
      <c r="L277" s="1" t="str">
        <f>IF(Protokoll_2p!I243="","",IF(VALUE(LEFT(Protokoll_2p!I243,FIND(":",Protokoll_2p!I243)-1))&gt;VALUE(RIGHT(Protokoll_2p!I243,LEN(Protokoll_2p!I243)-FIND(":",Protokoll_2p!I243))),0,1))</f>
        <v/>
      </c>
      <c r="M277" s="1" t="str">
        <f>IF(Protokoll_2p!J243="","",IF(VALUE(LEFT(Protokoll_2p!J243,FIND(":",Protokoll_2p!J243)-1))&gt;VALUE(RIGHT(Protokoll_2p!J243,LEN(Protokoll_2p!J243)-FIND(":",Protokoll_2p!J243))),0,1))</f>
        <v/>
      </c>
      <c r="N277" s="1" t="str">
        <f t="shared" si="9"/>
        <v/>
      </c>
    </row>
    <row r="278" spans="2:14">
      <c r="B278" s="1" t="str">
        <f>IF(Protokoll_2p!F244="","",IF(VALUE(LEFT(Protokoll_2p!F244,FIND(":",Protokoll_2p!F244)-1))&gt;VALUE(RIGHT(Protokoll_2p!F244,LEN(Protokoll_2p!F244)-FIND(":",Protokoll_2p!F244))),1,0))</f>
        <v/>
      </c>
      <c r="C278" s="1" t="str">
        <f>IF(Protokoll_2p!G244="","",IF(VALUE(LEFT(Protokoll_2p!G244,FIND(":",Protokoll_2p!G244)-1))&gt;VALUE(RIGHT(Protokoll_2p!G244,LEN(Protokoll_2p!G244)-FIND(":",Protokoll_2p!G244))),1,0))</f>
        <v/>
      </c>
      <c r="D278" s="1" t="str">
        <f>IF(Protokoll_2p!H244="","",IF(VALUE(LEFT(Protokoll_2p!H244,FIND(":",Protokoll_2p!H244)-1))&gt;VALUE(RIGHT(Protokoll_2p!H244,LEN(Protokoll_2p!H244)-FIND(":",Protokoll_2p!H244))),1,0))</f>
        <v/>
      </c>
      <c r="E278" s="1" t="str">
        <f>IF(Protokoll_2p!I244="","",IF(VALUE(LEFT(Protokoll_2p!I244,FIND(":",Protokoll_2p!I244)-1))&gt;VALUE(RIGHT(Protokoll_2p!I244,LEN(Protokoll_2p!I244)-FIND(":",Protokoll_2p!I244))),1,0))</f>
        <v/>
      </c>
      <c r="F278" s="1" t="str">
        <f>IF(Protokoll_2p!J244="","",IF(VALUE(LEFT(Protokoll_2p!J244,FIND(":",Protokoll_2p!J244)-1))&gt;VALUE(RIGHT(Protokoll_2p!J244,LEN(Protokoll_2p!J244)-FIND(":",Protokoll_2p!J244))),1,0))</f>
        <v/>
      </c>
      <c r="G278" s="1" t="str">
        <f t="shared" si="8"/>
        <v/>
      </c>
      <c r="I278" s="1" t="str">
        <f>IF(Protokoll_2p!F244="","",IF(VALUE(LEFT(Protokoll_2p!F244,FIND(":",Protokoll_2p!F244)-1))&gt;VALUE(RIGHT(Protokoll_2p!F244,LEN(Protokoll_2p!F244)-FIND(":",Protokoll_2p!F244))),0,1))</f>
        <v/>
      </c>
      <c r="J278" s="1" t="str">
        <f>IF(Protokoll_2p!G244="","",IF(VALUE(LEFT(Protokoll_2p!G244,FIND(":",Protokoll_2p!G244)-1))&gt;VALUE(RIGHT(Protokoll_2p!G244,LEN(Protokoll_2p!G244)-FIND(":",Protokoll_2p!G244))),0,1))</f>
        <v/>
      </c>
      <c r="K278" s="1" t="str">
        <f>IF(Protokoll_2p!H244="","",IF(VALUE(LEFT(Protokoll_2p!H244,FIND(":",Protokoll_2p!H244)-1))&gt;VALUE(RIGHT(Protokoll_2p!H244,LEN(Protokoll_2p!H244)-FIND(":",Protokoll_2p!H244))),0,1))</f>
        <v/>
      </c>
      <c r="L278" s="1" t="str">
        <f>IF(Protokoll_2p!I244="","",IF(VALUE(LEFT(Protokoll_2p!I244,FIND(":",Protokoll_2p!I244)-1))&gt;VALUE(RIGHT(Protokoll_2p!I244,LEN(Protokoll_2p!I244)-FIND(":",Protokoll_2p!I244))),0,1))</f>
        <v/>
      </c>
      <c r="M278" s="1" t="str">
        <f>IF(Protokoll_2p!J244="","",IF(VALUE(LEFT(Protokoll_2p!J244,FIND(":",Protokoll_2p!J244)-1))&gt;VALUE(RIGHT(Protokoll_2p!J244,LEN(Protokoll_2p!J244)-FIND(":",Protokoll_2p!J244))),0,1))</f>
        <v/>
      </c>
      <c r="N278" s="1" t="str">
        <f t="shared" si="9"/>
        <v/>
      </c>
    </row>
    <row r="279" spans="2:14">
      <c r="B279" s="1" t="str">
        <f>IF(Protokoll_2p!F245="","",IF(VALUE(LEFT(Protokoll_2p!F245,FIND(":",Protokoll_2p!F245)-1))&gt;VALUE(RIGHT(Protokoll_2p!F245,LEN(Protokoll_2p!F245)-FIND(":",Protokoll_2p!F245))),1,0))</f>
        <v/>
      </c>
      <c r="C279" s="1" t="str">
        <f>IF(Protokoll_2p!G245="","",IF(VALUE(LEFT(Protokoll_2p!G245,FIND(":",Protokoll_2p!G245)-1))&gt;VALUE(RIGHT(Protokoll_2p!G245,LEN(Protokoll_2p!G245)-FIND(":",Protokoll_2p!G245))),1,0))</f>
        <v/>
      </c>
      <c r="D279" s="1" t="str">
        <f>IF(Protokoll_2p!H245="","",IF(VALUE(LEFT(Protokoll_2p!H245,FIND(":",Protokoll_2p!H245)-1))&gt;VALUE(RIGHT(Protokoll_2p!H245,LEN(Protokoll_2p!H245)-FIND(":",Protokoll_2p!H245))),1,0))</f>
        <v/>
      </c>
      <c r="E279" s="1" t="str">
        <f>IF(Protokoll_2p!I245="","",IF(VALUE(LEFT(Protokoll_2p!I245,FIND(":",Protokoll_2p!I245)-1))&gt;VALUE(RIGHT(Protokoll_2p!I245,LEN(Protokoll_2p!I245)-FIND(":",Protokoll_2p!I245))),1,0))</f>
        <v/>
      </c>
      <c r="F279" s="1" t="str">
        <f>IF(Protokoll_2p!J245="","",IF(VALUE(LEFT(Protokoll_2p!J245,FIND(":",Protokoll_2p!J245)-1))&gt;VALUE(RIGHT(Protokoll_2p!J245,LEN(Protokoll_2p!J245)-FIND(":",Protokoll_2p!J245))),1,0))</f>
        <v/>
      </c>
      <c r="G279" s="1" t="str">
        <f t="shared" si="8"/>
        <v/>
      </c>
      <c r="I279" s="1" t="str">
        <f>IF(Protokoll_2p!F245="","",IF(VALUE(LEFT(Protokoll_2p!F245,FIND(":",Protokoll_2p!F245)-1))&gt;VALUE(RIGHT(Protokoll_2p!F245,LEN(Protokoll_2p!F245)-FIND(":",Protokoll_2p!F245))),0,1))</f>
        <v/>
      </c>
      <c r="J279" s="1" t="str">
        <f>IF(Protokoll_2p!G245="","",IF(VALUE(LEFT(Protokoll_2p!G245,FIND(":",Protokoll_2p!G245)-1))&gt;VALUE(RIGHT(Protokoll_2p!G245,LEN(Protokoll_2p!G245)-FIND(":",Protokoll_2p!G245))),0,1))</f>
        <v/>
      </c>
      <c r="K279" s="1" t="str">
        <f>IF(Protokoll_2p!H245="","",IF(VALUE(LEFT(Protokoll_2p!H245,FIND(":",Protokoll_2p!H245)-1))&gt;VALUE(RIGHT(Protokoll_2p!H245,LEN(Protokoll_2p!H245)-FIND(":",Protokoll_2p!H245))),0,1))</f>
        <v/>
      </c>
      <c r="L279" s="1" t="str">
        <f>IF(Protokoll_2p!I245="","",IF(VALUE(LEFT(Protokoll_2p!I245,FIND(":",Protokoll_2p!I245)-1))&gt;VALUE(RIGHT(Protokoll_2p!I245,LEN(Protokoll_2p!I245)-FIND(":",Protokoll_2p!I245))),0,1))</f>
        <v/>
      </c>
      <c r="M279" s="1" t="str">
        <f>IF(Protokoll_2p!J245="","",IF(VALUE(LEFT(Protokoll_2p!J245,FIND(":",Protokoll_2p!J245)-1))&gt;VALUE(RIGHT(Protokoll_2p!J245,LEN(Protokoll_2p!J245)-FIND(":",Protokoll_2p!J245))),0,1))</f>
        <v/>
      </c>
      <c r="N279" s="1" t="str">
        <f t="shared" si="9"/>
        <v/>
      </c>
    </row>
    <row r="280" spans="2:14">
      <c r="B280" s="1" t="str">
        <f>IF(Protokoll_2p!F246="","",IF(VALUE(LEFT(Protokoll_2p!F246,FIND(":",Protokoll_2p!F246)-1))&gt;VALUE(RIGHT(Protokoll_2p!F246,LEN(Protokoll_2p!F246)-FIND(":",Protokoll_2p!F246))),1,0))</f>
        <v/>
      </c>
      <c r="C280" s="1" t="str">
        <f>IF(Protokoll_2p!G246="","",IF(VALUE(LEFT(Protokoll_2p!G246,FIND(":",Protokoll_2p!G246)-1))&gt;VALUE(RIGHT(Protokoll_2p!G246,LEN(Protokoll_2p!G246)-FIND(":",Protokoll_2p!G246))),1,0))</f>
        <v/>
      </c>
      <c r="D280" s="1" t="str">
        <f>IF(Protokoll_2p!H246="","",IF(VALUE(LEFT(Protokoll_2p!H246,FIND(":",Protokoll_2p!H246)-1))&gt;VALUE(RIGHT(Protokoll_2p!H246,LEN(Protokoll_2p!H246)-FIND(":",Protokoll_2p!H246))),1,0))</f>
        <v/>
      </c>
      <c r="E280" s="1" t="str">
        <f>IF(Protokoll_2p!I246="","",IF(VALUE(LEFT(Protokoll_2p!I246,FIND(":",Protokoll_2p!I246)-1))&gt;VALUE(RIGHT(Protokoll_2p!I246,LEN(Protokoll_2p!I246)-FIND(":",Protokoll_2p!I246))),1,0))</f>
        <v/>
      </c>
      <c r="F280" s="1" t="str">
        <f>IF(Protokoll_2p!J246="","",IF(VALUE(LEFT(Protokoll_2p!J246,FIND(":",Protokoll_2p!J246)-1))&gt;VALUE(RIGHT(Protokoll_2p!J246,LEN(Protokoll_2p!J246)-FIND(":",Protokoll_2p!J246))),1,0))</f>
        <v/>
      </c>
      <c r="G280" s="1" t="str">
        <f t="shared" si="8"/>
        <v/>
      </c>
      <c r="I280" s="1" t="str">
        <f>IF(Protokoll_2p!F246="","",IF(VALUE(LEFT(Protokoll_2p!F246,FIND(":",Protokoll_2p!F246)-1))&gt;VALUE(RIGHT(Protokoll_2p!F246,LEN(Protokoll_2p!F246)-FIND(":",Protokoll_2p!F246))),0,1))</f>
        <v/>
      </c>
      <c r="J280" s="1" t="str">
        <f>IF(Protokoll_2p!G246="","",IF(VALUE(LEFT(Protokoll_2p!G246,FIND(":",Protokoll_2p!G246)-1))&gt;VALUE(RIGHT(Protokoll_2p!G246,LEN(Protokoll_2p!G246)-FIND(":",Protokoll_2p!G246))),0,1))</f>
        <v/>
      </c>
      <c r="K280" s="1" t="str">
        <f>IF(Protokoll_2p!H246="","",IF(VALUE(LEFT(Protokoll_2p!H246,FIND(":",Protokoll_2p!H246)-1))&gt;VALUE(RIGHT(Protokoll_2p!H246,LEN(Protokoll_2p!H246)-FIND(":",Protokoll_2p!H246))),0,1))</f>
        <v/>
      </c>
      <c r="L280" s="1" t="str">
        <f>IF(Protokoll_2p!I246="","",IF(VALUE(LEFT(Protokoll_2p!I246,FIND(":",Protokoll_2p!I246)-1))&gt;VALUE(RIGHT(Protokoll_2p!I246,LEN(Protokoll_2p!I246)-FIND(":",Protokoll_2p!I246))),0,1))</f>
        <v/>
      </c>
      <c r="M280" s="1" t="str">
        <f>IF(Protokoll_2p!J246="","",IF(VALUE(LEFT(Protokoll_2p!J246,FIND(":",Protokoll_2p!J246)-1))&gt;VALUE(RIGHT(Protokoll_2p!J246,LEN(Protokoll_2p!J246)-FIND(":",Protokoll_2p!J246))),0,1))</f>
        <v/>
      </c>
      <c r="N280" s="1" t="str">
        <f t="shared" si="9"/>
        <v/>
      </c>
    </row>
    <row r="281" spans="2:14">
      <c r="B281" s="1" t="str">
        <f>IF(Protokoll_2p!F247="","",IF(VALUE(LEFT(Protokoll_2p!F247,FIND(":",Protokoll_2p!F247)-1))&gt;VALUE(RIGHT(Protokoll_2p!F247,LEN(Protokoll_2p!F247)-FIND(":",Protokoll_2p!F247))),1,0))</f>
        <v/>
      </c>
      <c r="C281" s="1" t="str">
        <f>IF(Protokoll_2p!G247="","",IF(VALUE(LEFT(Protokoll_2p!G247,FIND(":",Protokoll_2p!G247)-1))&gt;VALUE(RIGHT(Protokoll_2p!G247,LEN(Protokoll_2p!G247)-FIND(":",Protokoll_2p!G247))),1,0))</f>
        <v/>
      </c>
      <c r="D281" s="1" t="str">
        <f>IF(Protokoll_2p!H247="","",IF(VALUE(LEFT(Protokoll_2p!H247,FIND(":",Protokoll_2p!H247)-1))&gt;VALUE(RIGHT(Protokoll_2p!H247,LEN(Protokoll_2p!H247)-FIND(":",Protokoll_2p!H247))),1,0))</f>
        <v/>
      </c>
      <c r="E281" s="1" t="str">
        <f>IF(Protokoll_2p!I247="","",IF(VALUE(LEFT(Protokoll_2p!I247,FIND(":",Protokoll_2p!I247)-1))&gt;VALUE(RIGHT(Protokoll_2p!I247,LEN(Protokoll_2p!I247)-FIND(":",Protokoll_2p!I247))),1,0))</f>
        <v/>
      </c>
      <c r="F281" s="1" t="str">
        <f>IF(Protokoll_2p!J247="","",IF(VALUE(LEFT(Protokoll_2p!J247,FIND(":",Protokoll_2p!J247)-1))&gt;VALUE(RIGHT(Protokoll_2p!J247,LEN(Protokoll_2p!J247)-FIND(":",Protokoll_2p!J247))),1,0))</f>
        <v/>
      </c>
      <c r="G281" s="1" t="str">
        <f t="shared" si="8"/>
        <v/>
      </c>
      <c r="I281" s="1" t="str">
        <f>IF(Protokoll_2p!F247="","",IF(VALUE(LEFT(Protokoll_2p!F247,FIND(":",Protokoll_2p!F247)-1))&gt;VALUE(RIGHT(Protokoll_2p!F247,LEN(Protokoll_2p!F247)-FIND(":",Protokoll_2p!F247))),0,1))</f>
        <v/>
      </c>
      <c r="J281" s="1" t="str">
        <f>IF(Protokoll_2p!G247="","",IF(VALUE(LEFT(Protokoll_2p!G247,FIND(":",Protokoll_2p!G247)-1))&gt;VALUE(RIGHT(Protokoll_2p!G247,LEN(Protokoll_2p!G247)-FIND(":",Protokoll_2p!G247))),0,1))</f>
        <v/>
      </c>
      <c r="K281" s="1" t="str">
        <f>IF(Protokoll_2p!H247="","",IF(VALUE(LEFT(Protokoll_2p!H247,FIND(":",Protokoll_2p!H247)-1))&gt;VALUE(RIGHT(Protokoll_2p!H247,LEN(Protokoll_2p!H247)-FIND(":",Protokoll_2p!H247))),0,1))</f>
        <v/>
      </c>
      <c r="L281" s="1" t="str">
        <f>IF(Protokoll_2p!I247="","",IF(VALUE(LEFT(Protokoll_2p!I247,FIND(":",Protokoll_2p!I247)-1))&gt;VALUE(RIGHT(Protokoll_2p!I247,LEN(Protokoll_2p!I247)-FIND(":",Protokoll_2p!I247))),0,1))</f>
        <v/>
      </c>
      <c r="M281" s="1" t="str">
        <f>IF(Protokoll_2p!J247="","",IF(VALUE(LEFT(Protokoll_2p!J247,FIND(":",Protokoll_2p!J247)-1))&gt;VALUE(RIGHT(Protokoll_2p!J247,LEN(Protokoll_2p!J247)-FIND(":",Protokoll_2p!J247))),0,1))</f>
        <v/>
      </c>
      <c r="N281" s="1" t="str">
        <f t="shared" si="9"/>
        <v/>
      </c>
    </row>
    <row r="282" spans="2:14">
      <c r="B282" s="1" t="str">
        <f>IF(Protokoll_2p!F248="","",IF(VALUE(LEFT(Protokoll_2p!F248,FIND(":",Protokoll_2p!F248)-1))&gt;VALUE(RIGHT(Protokoll_2p!F248,LEN(Protokoll_2p!F248)-FIND(":",Protokoll_2p!F248))),1,0))</f>
        <v/>
      </c>
      <c r="C282" s="1" t="str">
        <f>IF(Protokoll_2p!G248="","",IF(VALUE(LEFT(Protokoll_2p!G248,FIND(":",Protokoll_2p!G248)-1))&gt;VALUE(RIGHT(Protokoll_2p!G248,LEN(Protokoll_2p!G248)-FIND(":",Protokoll_2p!G248))),1,0))</f>
        <v/>
      </c>
      <c r="D282" s="1" t="str">
        <f>IF(Protokoll_2p!H248="","",IF(VALUE(LEFT(Protokoll_2p!H248,FIND(":",Protokoll_2p!H248)-1))&gt;VALUE(RIGHT(Protokoll_2p!H248,LEN(Protokoll_2p!H248)-FIND(":",Protokoll_2p!H248))),1,0))</f>
        <v/>
      </c>
      <c r="E282" s="1" t="str">
        <f>IF(Protokoll_2p!I248="","",IF(VALUE(LEFT(Protokoll_2p!I248,FIND(":",Protokoll_2p!I248)-1))&gt;VALUE(RIGHT(Protokoll_2p!I248,LEN(Protokoll_2p!I248)-FIND(":",Protokoll_2p!I248))),1,0))</f>
        <v/>
      </c>
      <c r="F282" s="1" t="str">
        <f>IF(Protokoll_2p!J248="","",IF(VALUE(LEFT(Protokoll_2p!J248,FIND(":",Protokoll_2p!J248)-1))&gt;VALUE(RIGHT(Protokoll_2p!J248,LEN(Protokoll_2p!J248)-FIND(":",Protokoll_2p!J248))),1,0))</f>
        <v/>
      </c>
      <c r="G282" s="1" t="str">
        <f t="shared" si="8"/>
        <v/>
      </c>
      <c r="I282" s="1" t="str">
        <f>IF(Protokoll_2p!F248="","",IF(VALUE(LEFT(Protokoll_2p!F248,FIND(":",Protokoll_2p!F248)-1))&gt;VALUE(RIGHT(Protokoll_2p!F248,LEN(Protokoll_2p!F248)-FIND(":",Protokoll_2p!F248))),0,1))</f>
        <v/>
      </c>
      <c r="J282" s="1" t="str">
        <f>IF(Protokoll_2p!G248="","",IF(VALUE(LEFT(Protokoll_2p!G248,FIND(":",Protokoll_2p!G248)-1))&gt;VALUE(RIGHT(Protokoll_2p!G248,LEN(Protokoll_2p!G248)-FIND(":",Protokoll_2p!G248))),0,1))</f>
        <v/>
      </c>
      <c r="K282" s="1" t="str">
        <f>IF(Protokoll_2p!H248="","",IF(VALUE(LEFT(Protokoll_2p!H248,FIND(":",Protokoll_2p!H248)-1))&gt;VALUE(RIGHT(Protokoll_2p!H248,LEN(Protokoll_2p!H248)-FIND(":",Protokoll_2p!H248))),0,1))</f>
        <v/>
      </c>
      <c r="L282" s="1" t="str">
        <f>IF(Protokoll_2p!I248="","",IF(VALUE(LEFT(Protokoll_2p!I248,FIND(":",Protokoll_2p!I248)-1))&gt;VALUE(RIGHT(Protokoll_2p!I248,LEN(Protokoll_2p!I248)-FIND(":",Protokoll_2p!I248))),0,1))</f>
        <v/>
      </c>
      <c r="M282" s="1" t="str">
        <f>IF(Protokoll_2p!J248="","",IF(VALUE(LEFT(Protokoll_2p!J248,FIND(":",Protokoll_2p!J248)-1))&gt;VALUE(RIGHT(Protokoll_2p!J248,LEN(Protokoll_2p!J248)-FIND(":",Protokoll_2p!J248))),0,1))</f>
        <v/>
      </c>
      <c r="N282" s="1" t="str">
        <f t="shared" si="9"/>
        <v/>
      </c>
    </row>
    <row r="283" spans="2:14">
      <c r="B283" s="1" t="str">
        <f>IF(Protokoll_2p!F249="","",IF(VALUE(LEFT(Protokoll_2p!F249,FIND(":",Protokoll_2p!F249)-1))&gt;VALUE(RIGHT(Protokoll_2p!F249,LEN(Protokoll_2p!F249)-FIND(":",Protokoll_2p!F249))),1,0))</f>
        <v/>
      </c>
      <c r="C283" s="1" t="str">
        <f>IF(Protokoll_2p!G249="","",IF(VALUE(LEFT(Protokoll_2p!G249,FIND(":",Protokoll_2p!G249)-1))&gt;VALUE(RIGHT(Protokoll_2p!G249,LEN(Protokoll_2p!G249)-FIND(":",Protokoll_2p!G249))),1,0))</f>
        <v/>
      </c>
      <c r="D283" s="1" t="str">
        <f>IF(Protokoll_2p!H249="","",IF(VALUE(LEFT(Protokoll_2p!H249,FIND(":",Protokoll_2p!H249)-1))&gt;VALUE(RIGHT(Protokoll_2p!H249,LEN(Protokoll_2p!H249)-FIND(":",Protokoll_2p!H249))),1,0))</f>
        <v/>
      </c>
      <c r="E283" s="1" t="str">
        <f>IF(Protokoll_2p!I249="","",IF(VALUE(LEFT(Protokoll_2p!I249,FIND(":",Protokoll_2p!I249)-1))&gt;VALUE(RIGHT(Protokoll_2p!I249,LEN(Protokoll_2p!I249)-FIND(":",Protokoll_2p!I249))),1,0))</f>
        <v/>
      </c>
      <c r="F283" s="1" t="str">
        <f>IF(Protokoll_2p!J249="","",IF(VALUE(LEFT(Protokoll_2p!J249,FIND(":",Protokoll_2p!J249)-1))&gt;VALUE(RIGHT(Protokoll_2p!J249,LEN(Protokoll_2p!J249)-FIND(":",Protokoll_2p!J249))),1,0))</f>
        <v/>
      </c>
      <c r="G283" s="1" t="str">
        <f t="shared" si="8"/>
        <v/>
      </c>
      <c r="I283" s="1" t="str">
        <f>IF(Protokoll_2p!F249="","",IF(VALUE(LEFT(Protokoll_2p!F249,FIND(":",Protokoll_2p!F249)-1))&gt;VALUE(RIGHT(Protokoll_2p!F249,LEN(Protokoll_2p!F249)-FIND(":",Protokoll_2p!F249))),0,1))</f>
        <v/>
      </c>
      <c r="J283" s="1" t="str">
        <f>IF(Protokoll_2p!G249="","",IF(VALUE(LEFT(Protokoll_2p!G249,FIND(":",Protokoll_2p!G249)-1))&gt;VALUE(RIGHT(Protokoll_2p!G249,LEN(Protokoll_2p!G249)-FIND(":",Protokoll_2p!G249))),0,1))</f>
        <v/>
      </c>
      <c r="K283" s="1" t="str">
        <f>IF(Protokoll_2p!H249="","",IF(VALUE(LEFT(Protokoll_2p!H249,FIND(":",Protokoll_2p!H249)-1))&gt;VALUE(RIGHT(Protokoll_2p!H249,LEN(Protokoll_2p!H249)-FIND(":",Protokoll_2p!H249))),0,1))</f>
        <v/>
      </c>
      <c r="L283" s="1" t="str">
        <f>IF(Protokoll_2p!I249="","",IF(VALUE(LEFT(Protokoll_2p!I249,FIND(":",Protokoll_2p!I249)-1))&gt;VALUE(RIGHT(Protokoll_2p!I249,LEN(Protokoll_2p!I249)-FIND(":",Protokoll_2p!I249))),0,1))</f>
        <v/>
      </c>
      <c r="M283" s="1" t="str">
        <f>IF(Protokoll_2p!J249="","",IF(VALUE(LEFT(Protokoll_2p!J249,FIND(":",Protokoll_2p!J249)-1))&gt;VALUE(RIGHT(Protokoll_2p!J249,LEN(Protokoll_2p!J249)-FIND(":",Protokoll_2p!J249))),0,1))</f>
        <v/>
      </c>
      <c r="N283" s="1" t="str">
        <f t="shared" si="9"/>
        <v/>
      </c>
    </row>
    <row r="284" spans="2:14">
      <c r="B284" s="1" t="str">
        <f>IF(Protokoll_2p!F250="","",IF(VALUE(LEFT(Protokoll_2p!F250,FIND(":",Protokoll_2p!F250)-1))&gt;VALUE(RIGHT(Protokoll_2p!F250,LEN(Protokoll_2p!F250)-FIND(":",Protokoll_2p!F250))),1,0))</f>
        <v/>
      </c>
      <c r="C284" s="1" t="str">
        <f>IF(Protokoll_2p!G250="","",IF(VALUE(LEFT(Protokoll_2p!G250,FIND(":",Protokoll_2p!G250)-1))&gt;VALUE(RIGHT(Protokoll_2p!G250,LEN(Protokoll_2p!G250)-FIND(":",Protokoll_2p!G250))),1,0))</f>
        <v/>
      </c>
      <c r="D284" s="1" t="str">
        <f>IF(Protokoll_2p!H250="","",IF(VALUE(LEFT(Protokoll_2p!H250,FIND(":",Protokoll_2p!H250)-1))&gt;VALUE(RIGHT(Protokoll_2p!H250,LEN(Protokoll_2p!H250)-FIND(":",Protokoll_2p!H250))),1,0))</f>
        <v/>
      </c>
      <c r="E284" s="1" t="str">
        <f>IF(Protokoll_2p!I250="","",IF(VALUE(LEFT(Protokoll_2p!I250,FIND(":",Protokoll_2p!I250)-1))&gt;VALUE(RIGHT(Protokoll_2p!I250,LEN(Protokoll_2p!I250)-FIND(":",Protokoll_2p!I250))),1,0))</f>
        <v/>
      </c>
      <c r="F284" s="1" t="str">
        <f>IF(Protokoll_2p!J250="","",IF(VALUE(LEFT(Protokoll_2p!J250,FIND(":",Protokoll_2p!J250)-1))&gt;VALUE(RIGHT(Protokoll_2p!J250,LEN(Protokoll_2p!J250)-FIND(":",Protokoll_2p!J250))),1,0))</f>
        <v/>
      </c>
      <c r="G284" s="1" t="str">
        <f t="shared" si="8"/>
        <v/>
      </c>
      <c r="I284" s="1" t="str">
        <f>IF(Protokoll_2p!F250="","",IF(VALUE(LEFT(Protokoll_2p!F250,FIND(":",Protokoll_2p!F250)-1))&gt;VALUE(RIGHT(Protokoll_2p!F250,LEN(Protokoll_2p!F250)-FIND(":",Protokoll_2p!F250))),0,1))</f>
        <v/>
      </c>
      <c r="J284" s="1" t="str">
        <f>IF(Protokoll_2p!G250="","",IF(VALUE(LEFT(Protokoll_2p!G250,FIND(":",Protokoll_2p!G250)-1))&gt;VALUE(RIGHT(Protokoll_2p!G250,LEN(Protokoll_2p!G250)-FIND(":",Protokoll_2p!G250))),0,1))</f>
        <v/>
      </c>
      <c r="K284" s="1" t="str">
        <f>IF(Protokoll_2p!H250="","",IF(VALUE(LEFT(Protokoll_2p!H250,FIND(":",Protokoll_2p!H250)-1))&gt;VALUE(RIGHT(Protokoll_2p!H250,LEN(Protokoll_2p!H250)-FIND(":",Protokoll_2p!H250))),0,1))</f>
        <v/>
      </c>
      <c r="L284" s="1" t="str">
        <f>IF(Protokoll_2p!I250="","",IF(VALUE(LEFT(Protokoll_2p!I250,FIND(":",Protokoll_2p!I250)-1))&gt;VALUE(RIGHT(Protokoll_2p!I250,LEN(Protokoll_2p!I250)-FIND(":",Protokoll_2p!I250))),0,1))</f>
        <v/>
      </c>
      <c r="M284" s="1" t="str">
        <f>IF(Protokoll_2p!J250="","",IF(VALUE(LEFT(Protokoll_2p!J250,FIND(":",Protokoll_2p!J250)-1))&gt;VALUE(RIGHT(Protokoll_2p!J250,LEN(Protokoll_2p!J250)-FIND(":",Protokoll_2p!J250))),0,1))</f>
        <v/>
      </c>
      <c r="N284" s="1" t="str">
        <f t="shared" si="9"/>
        <v/>
      </c>
    </row>
    <row r="285" spans="2:14">
      <c r="B285" s="1" t="str">
        <f>IF(Protokoll_2p!F251="","",IF(VALUE(LEFT(Protokoll_2p!F251,FIND(":",Protokoll_2p!F251)-1))&gt;VALUE(RIGHT(Protokoll_2p!F251,LEN(Protokoll_2p!F251)-FIND(":",Protokoll_2p!F251))),1,0))</f>
        <v/>
      </c>
      <c r="C285" s="1" t="str">
        <f>IF(Protokoll_2p!G251="","",IF(VALUE(LEFT(Protokoll_2p!G251,FIND(":",Protokoll_2p!G251)-1))&gt;VALUE(RIGHT(Protokoll_2p!G251,LEN(Protokoll_2p!G251)-FIND(":",Protokoll_2p!G251))),1,0))</f>
        <v/>
      </c>
      <c r="D285" s="1" t="str">
        <f>IF(Protokoll_2p!H251="","",IF(VALUE(LEFT(Protokoll_2p!H251,FIND(":",Protokoll_2p!H251)-1))&gt;VALUE(RIGHT(Protokoll_2p!H251,LEN(Protokoll_2p!H251)-FIND(":",Protokoll_2p!H251))),1,0))</f>
        <v/>
      </c>
      <c r="E285" s="1" t="str">
        <f>IF(Protokoll_2p!I251="","",IF(VALUE(LEFT(Protokoll_2p!I251,FIND(":",Protokoll_2p!I251)-1))&gt;VALUE(RIGHT(Protokoll_2p!I251,LEN(Protokoll_2p!I251)-FIND(":",Protokoll_2p!I251))),1,0))</f>
        <v/>
      </c>
      <c r="F285" s="1" t="str">
        <f>IF(Protokoll_2p!J251="","",IF(VALUE(LEFT(Protokoll_2p!J251,FIND(":",Protokoll_2p!J251)-1))&gt;VALUE(RIGHT(Protokoll_2p!J251,LEN(Protokoll_2p!J251)-FIND(":",Protokoll_2p!J251))),1,0))</f>
        <v/>
      </c>
      <c r="G285" s="1" t="str">
        <f t="shared" si="8"/>
        <v/>
      </c>
      <c r="I285" s="1" t="str">
        <f>IF(Protokoll_2p!F251="","",IF(VALUE(LEFT(Protokoll_2p!F251,FIND(":",Protokoll_2p!F251)-1))&gt;VALUE(RIGHT(Protokoll_2p!F251,LEN(Protokoll_2p!F251)-FIND(":",Protokoll_2p!F251))),0,1))</f>
        <v/>
      </c>
      <c r="J285" s="1" t="str">
        <f>IF(Protokoll_2p!G251="","",IF(VALUE(LEFT(Protokoll_2p!G251,FIND(":",Protokoll_2p!G251)-1))&gt;VALUE(RIGHT(Protokoll_2p!G251,LEN(Protokoll_2p!G251)-FIND(":",Protokoll_2p!G251))),0,1))</f>
        <v/>
      </c>
      <c r="K285" s="1" t="str">
        <f>IF(Protokoll_2p!H251="","",IF(VALUE(LEFT(Protokoll_2p!H251,FIND(":",Protokoll_2p!H251)-1))&gt;VALUE(RIGHT(Protokoll_2p!H251,LEN(Protokoll_2p!H251)-FIND(":",Protokoll_2p!H251))),0,1))</f>
        <v/>
      </c>
      <c r="L285" s="1" t="str">
        <f>IF(Protokoll_2p!I251="","",IF(VALUE(LEFT(Protokoll_2p!I251,FIND(":",Protokoll_2p!I251)-1))&gt;VALUE(RIGHT(Protokoll_2p!I251,LEN(Protokoll_2p!I251)-FIND(":",Protokoll_2p!I251))),0,1))</f>
        <v/>
      </c>
      <c r="M285" s="1" t="str">
        <f>IF(Protokoll_2p!J251="","",IF(VALUE(LEFT(Protokoll_2p!J251,FIND(":",Protokoll_2p!J251)-1))&gt;VALUE(RIGHT(Protokoll_2p!J251,LEN(Protokoll_2p!J251)-FIND(":",Protokoll_2p!J251))),0,1))</f>
        <v/>
      </c>
      <c r="N285" s="1" t="str">
        <f t="shared" si="9"/>
        <v/>
      </c>
    </row>
    <row r="286" spans="2:14">
      <c r="B286" s="1" t="str">
        <f>IF(Protokoll_2p!F257="","",IF(VALUE(LEFT(Protokoll_2p!F257,FIND(":",Protokoll_2p!F257)-1))&gt;VALUE(RIGHT(Protokoll_2p!F257,LEN(Protokoll_2p!F257)-FIND(":",Protokoll_2p!F257))),1,0))</f>
        <v/>
      </c>
      <c r="C286" s="1" t="str">
        <f>IF(Protokoll_2p!G257="","",IF(VALUE(LEFT(Protokoll_2p!G257,FIND(":",Protokoll_2p!G257)-1))&gt;VALUE(RIGHT(Protokoll_2p!G257,LEN(Protokoll_2p!G257)-FIND(":",Protokoll_2p!G257))),1,0))</f>
        <v/>
      </c>
      <c r="D286" s="1" t="str">
        <f>IF(Protokoll_2p!H257="","",IF(VALUE(LEFT(Protokoll_2p!H257,FIND(":",Protokoll_2p!H257)-1))&gt;VALUE(RIGHT(Protokoll_2p!H257,LEN(Protokoll_2p!H257)-FIND(":",Protokoll_2p!H257))),1,0))</f>
        <v/>
      </c>
      <c r="E286" s="1" t="str">
        <f>IF(Protokoll_2p!I257="","",IF(VALUE(LEFT(Protokoll_2p!I257,FIND(":",Protokoll_2p!I257)-1))&gt;VALUE(RIGHT(Protokoll_2p!I257,LEN(Protokoll_2p!I257)-FIND(":",Protokoll_2p!I257))),1,0))</f>
        <v/>
      </c>
      <c r="F286" s="1" t="str">
        <f>IF(Protokoll_2p!J257="","",IF(VALUE(LEFT(Protokoll_2p!J257,FIND(":",Protokoll_2p!J257)-1))&gt;VALUE(RIGHT(Protokoll_2p!J257,LEN(Protokoll_2p!J257)-FIND(":",Protokoll_2p!J257))),1,0))</f>
        <v/>
      </c>
      <c r="G286" s="1" t="str">
        <f t="shared" si="8"/>
        <v/>
      </c>
      <c r="I286" s="1" t="str">
        <f>IF(Protokoll_2p!F257="","",IF(VALUE(LEFT(Protokoll_2p!F257,FIND(":",Protokoll_2p!F257)-1))&gt;VALUE(RIGHT(Protokoll_2p!F257,LEN(Protokoll_2p!F257)-FIND(":",Protokoll_2p!F257))),0,1))</f>
        <v/>
      </c>
      <c r="J286" s="1" t="str">
        <f>IF(Protokoll_2p!G257="","",IF(VALUE(LEFT(Protokoll_2p!G257,FIND(":",Protokoll_2p!G257)-1))&gt;VALUE(RIGHT(Protokoll_2p!G257,LEN(Protokoll_2p!G257)-FIND(":",Protokoll_2p!G257))),0,1))</f>
        <v/>
      </c>
      <c r="K286" s="1" t="str">
        <f>IF(Protokoll_2p!H257="","",IF(VALUE(LEFT(Protokoll_2p!H257,FIND(":",Protokoll_2p!H257)-1))&gt;VALUE(RIGHT(Protokoll_2p!H257,LEN(Protokoll_2p!H257)-FIND(":",Protokoll_2p!H257))),0,1))</f>
        <v/>
      </c>
      <c r="L286" s="1" t="str">
        <f>IF(Protokoll_2p!I257="","",IF(VALUE(LEFT(Protokoll_2p!I257,FIND(":",Protokoll_2p!I257)-1))&gt;VALUE(RIGHT(Protokoll_2p!I257,LEN(Protokoll_2p!I257)-FIND(":",Protokoll_2p!I257))),0,1))</f>
        <v/>
      </c>
      <c r="M286" s="1" t="str">
        <f>IF(Protokoll_2p!J257="","",IF(VALUE(LEFT(Protokoll_2p!J257,FIND(":",Protokoll_2p!J257)-1))&gt;VALUE(RIGHT(Protokoll_2p!J257,LEN(Protokoll_2p!J257)-FIND(":",Protokoll_2p!J257))),0,1))</f>
        <v/>
      </c>
      <c r="N286" s="1" t="str">
        <f t="shared" si="9"/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ADC6E-A2C2-4034-833E-8CBADEDA3596}">
  <dimension ref="B1:N286"/>
  <sheetViews>
    <sheetView workbookViewId="0">
      <selection activeCell="D23" sqref="D23"/>
    </sheetView>
  </sheetViews>
  <sheetFormatPr defaultColWidth="3.28515625" defaultRowHeight="15"/>
  <cols>
    <col min="2" max="4" width="8.5703125" customWidth="1"/>
    <col min="5" max="6" width="8.5703125" style="52" customWidth="1"/>
    <col min="7" max="7" width="8.42578125" bestFit="1" customWidth="1"/>
    <col min="9" max="14" width="8.42578125" bestFit="1" customWidth="1"/>
    <col min="15" max="15" width="1.5703125" customWidth="1"/>
  </cols>
  <sheetData>
    <row r="1" spans="2:14">
      <c r="B1" s="50"/>
      <c r="G1" t="s">
        <v>143</v>
      </c>
      <c r="N1" t="s">
        <v>144</v>
      </c>
    </row>
    <row r="2" spans="2:14">
      <c r="B2" s="1">
        <f>IF(Protokoll_3p!F8="","",IF(VALUE(LEFT(Protokoll_3p!F8,FIND(":",Protokoll_3p!F8)-1))&gt;VALUE(RIGHT(Protokoll_3p!F8,LEN(Protokoll_3p!F8)-FIND(":",Protokoll_3p!F8))),1,0))</f>
        <v>1</v>
      </c>
      <c r="C2" s="1">
        <f>IF(Protokoll_3p!G8="","",IF(VALUE(LEFT(Protokoll_3p!G8,FIND(":",Protokoll_3p!G8)-1))&gt;VALUE(RIGHT(Protokoll_3p!G8,LEN(Protokoll_3p!G8)-FIND(":",Protokoll_3p!G8))),1,0))</f>
        <v>0</v>
      </c>
      <c r="D2" s="1">
        <f>IF(Protokoll_3p!H8="","",IF(VALUE(LEFT(Protokoll_3p!H8,FIND(":",Protokoll_3p!H8)-1))&gt;VALUE(RIGHT(Protokoll_3p!H8,LEN(Protokoll_3p!H8)-FIND(":",Protokoll_3p!H8))),1,0))</f>
        <v>1</v>
      </c>
      <c r="E2" s="1">
        <f>IF(Protokoll_3p!I8="","",IF(VALUE(LEFT(Protokoll_3p!I8,FIND(":",Protokoll_3p!I8)-1))&gt;VALUE(RIGHT(Protokoll_3p!I8,LEN(Protokoll_3p!I8)-FIND(":",Protokoll_3p!I8))),1,0))</f>
        <v>1</v>
      </c>
      <c r="F2" s="1" t="str">
        <f>IF(Protokoll_3p!J8="","",IF(VALUE(LEFT(Protokoll_3p!J8,FIND(":",Protokoll_3p!J8)-1))&gt;VALUE(RIGHT(Protokoll_3p!J8,LEN(Protokoll_3p!J8)-FIND(":",Protokoll_3p!J8))),1,0))</f>
        <v/>
      </c>
      <c r="G2" s="1">
        <f>IF(B2="","",SUM(B2:F2))</f>
        <v>3</v>
      </c>
      <c r="I2" s="1">
        <f>IF(Protokoll_3p!F8="","",IF(VALUE(LEFT(Protokoll_3p!F8,FIND(":",Protokoll_3p!F8)-1))&gt;VALUE(RIGHT(Protokoll_3p!F8,LEN(Protokoll_3p!F8)-FIND(":",Protokoll_3p!F8))),0,1))</f>
        <v>0</v>
      </c>
      <c r="J2" s="1">
        <f>IF(Protokoll_3p!G8="","",IF(VALUE(LEFT(Protokoll_3p!G8,FIND(":",Protokoll_3p!G8)-1))&gt;VALUE(RIGHT(Protokoll_3p!G8,LEN(Protokoll_3p!G8)-FIND(":",Protokoll_3p!G8))),0,1))</f>
        <v>1</v>
      </c>
      <c r="K2" s="1">
        <f>IF(Protokoll_3p!H8="","",IF(VALUE(LEFT(Protokoll_3p!H8,FIND(":",Protokoll_3p!H8)-1))&gt;VALUE(RIGHT(Protokoll_3p!H8,LEN(Protokoll_3p!H8)-FIND(":",Protokoll_3p!H8))),0,1))</f>
        <v>0</v>
      </c>
      <c r="L2" s="1">
        <f>IF(Protokoll_3p!I8="","",IF(VALUE(LEFT(Protokoll_3p!I8,FIND(":",Protokoll_3p!I8)-1))&gt;VALUE(RIGHT(Protokoll_3p!I8,LEN(Protokoll_3p!I8)-FIND(":",Protokoll_3p!I8))),0,1))</f>
        <v>0</v>
      </c>
      <c r="M2" s="1" t="str">
        <f>IF(Protokoll_3p!J8="","",IF(VALUE(LEFT(Protokoll_3p!J8,FIND(":",Protokoll_3p!J8)-1))&gt;VALUE(RIGHT(Protokoll_3p!J8,LEN(Protokoll_3p!J8)-FIND(":",Protokoll_3p!J8))),0,1))</f>
        <v/>
      </c>
      <c r="N2" s="1">
        <f>IF(I2="","",SUM(I2:M2))</f>
        <v>1</v>
      </c>
    </row>
    <row r="3" spans="2:14">
      <c r="B3" s="1">
        <f>IF(Protokoll_3p!F9="","",IF(VALUE(LEFT(Protokoll_3p!F9,FIND(":",Protokoll_3p!F9)-1))&gt;VALUE(RIGHT(Protokoll_3p!F9,LEN(Protokoll_3p!F9)-FIND(":",Protokoll_3p!F9))),1,0))</f>
        <v>1</v>
      </c>
      <c r="C3" s="1">
        <f>IF(Protokoll_3p!G9="","",IF(VALUE(LEFT(Protokoll_3p!G9,FIND(":",Protokoll_3p!G9)-1))&gt;VALUE(RIGHT(Protokoll_3p!G9,LEN(Protokoll_3p!G9)-FIND(":",Protokoll_3p!G9))),1,0))</f>
        <v>1</v>
      </c>
      <c r="D3" s="1">
        <f>IF(Protokoll_3p!H9="","",IF(VALUE(LEFT(Protokoll_3p!H9,FIND(":",Protokoll_3p!H9)-1))&gt;VALUE(RIGHT(Protokoll_3p!H9,LEN(Protokoll_3p!H9)-FIND(":",Protokoll_3p!H9))),1,0))</f>
        <v>1</v>
      </c>
      <c r="E3" s="1" t="str">
        <f>IF(Protokoll_3p!I9="","",IF(VALUE(LEFT(Protokoll_3p!I9,FIND(":",Protokoll_3p!I9)-1))&gt;VALUE(RIGHT(Protokoll_3p!I9,LEN(Protokoll_3p!I9)-FIND(":",Protokoll_3p!I9))),1,0))</f>
        <v/>
      </c>
      <c r="F3" s="1" t="str">
        <f>IF(Protokoll_3p!J9="","",IF(VALUE(LEFT(Protokoll_3p!J9,FIND(":",Protokoll_3p!J9)-1))&gt;VALUE(RIGHT(Protokoll_3p!J9,LEN(Protokoll_3p!J9)-FIND(":",Protokoll_3p!J9))),1,0))</f>
        <v/>
      </c>
      <c r="G3" s="1">
        <f t="shared" ref="G3:G66" si="0">IF(B3="","",SUM(B3:F3))</f>
        <v>3</v>
      </c>
      <c r="I3" s="1">
        <f>IF(Protokoll_3p!F9="","",IF(VALUE(LEFT(Protokoll_3p!F9,FIND(":",Protokoll_3p!F9)-1))&gt;VALUE(RIGHT(Protokoll_3p!F9,LEN(Protokoll_3p!F9)-FIND(":",Protokoll_3p!F9))),0,1))</f>
        <v>0</v>
      </c>
      <c r="J3" s="1">
        <f>IF(Protokoll_3p!G9="","",IF(VALUE(LEFT(Protokoll_3p!G9,FIND(":",Protokoll_3p!G9)-1))&gt;VALUE(RIGHT(Protokoll_3p!G9,LEN(Protokoll_3p!G9)-FIND(":",Protokoll_3p!G9))),0,1))</f>
        <v>0</v>
      </c>
      <c r="K3" s="1">
        <f>IF(Protokoll_3p!H9="","",IF(VALUE(LEFT(Protokoll_3p!H9,FIND(":",Protokoll_3p!H9)-1))&gt;VALUE(RIGHT(Protokoll_3p!H9,LEN(Protokoll_3p!H9)-FIND(":",Protokoll_3p!H9))),0,1))</f>
        <v>0</v>
      </c>
      <c r="L3" s="1" t="str">
        <f>IF(Protokoll_3p!I9="","",IF(VALUE(LEFT(Protokoll_3p!I9,FIND(":",Protokoll_3p!I9)-1))&gt;VALUE(RIGHT(Protokoll_3p!I9,LEN(Protokoll_3p!I9)-FIND(":",Protokoll_3p!I9))),0,1))</f>
        <v/>
      </c>
      <c r="M3" s="1" t="str">
        <f>IF(Protokoll_3p!J9="","",IF(VALUE(LEFT(Protokoll_3p!J9,FIND(":",Protokoll_3p!J9)-1))&gt;VALUE(RIGHT(Protokoll_3p!J9,LEN(Protokoll_3p!J9)-FIND(":",Protokoll_3p!J9))),0,1))</f>
        <v/>
      </c>
      <c r="N3" s="1">
        <f t="shared" ref="N3:N66" si="1">IF(I3="","",SUM(I3:M3))</f>
        <v>0</v>
      </c>
    </row>
    <row r="4" spans="2:14">
      <c r="B4" s="1">
        <f>IF(Protokoll_3p!F10="","",IF(VALUE(LEFT(Protokoll_3p!F10,FIND(":",Protokoll_3p!F10)-1))&gt;VALUE(RIGHT(Protokoll_3p!F10,LEN(Protokoll_3p!F10)-FIND(":",Protokoll_3p!F10))),1,0))</f>
        <v>1</v>
      </c>
      <c r="C4" s="1">
        <f>IF(Protokoll_3p!G10="","",IF(VALUE(LEFT(Protokoll_3p!G10,FIND(":",Protokoll_3p!G10)-1))&gt;VALUE(RIGHT(Protokoll_3p!G10,LEN(Protokoll_3p!G10)-FIND(":",Protokoll_3p!G10))),1,0))</f>
        <v>0</v>
      </c>
      <c r="D4" s="1">
        <f>IF(Protokoll_3p!H10="","",IF(VALUE(LEFT(Protokoll_3p!H10,FIND(":",Protokoll_3p!H10)-1))&gt;VALUE(RIGHT(Protokoll_3p!H10,LEN(Protokoll_3p!H10)-FIND(":",Protokoll_3p!H10))),1,0))</f>
        <v>1</v>
      </c>
      <c r="E4" s="1">
        <f>IF(Protokoll_3p!I10="","",IF(VALUE(LEFT(Protokoll_3p!I10,FIND(":",Protokoll_3p!I10)-1))&gt;VALUE(RIGHT(Protokoll_3p!I10,LEN(Protokoll_3p!I10)-FIND(":",Protokoll_3p!I10))),1,0))</f>
        <v>1</v>
      </c>
      <c r="F4" s="1" t="str">
        <f>IF(Protokoll_3p!J10="","",IF(VALUE(LEFT(Protokoll_3p!J10,FIND(":",Protokoll_3p!J10)-1))&gt;VALUE(RIGHT(Protokoll_3p!J10,LEN(Protokoll_3p!J10)-FIND(":",Protokoll_3p!J10))),1,0))</f>
        <v/>
      </c>
      <c r="G4" s="1">
        <f t="shared" si="0"/>
        <v>3</v>
      </c>
      <c r="I4" s="1">
        <f>IF(Protokoll_3p!F10="","",IF(VALUE(LEFT(Protokoll_3p!F10,FIND(":",Protokoll_3p!F10)-1))&gt;VALUE(RIGHT(Protokoll_3p!F10,LEN(Protokoll_3p!F10)-FIND(":",Protokoll_3p!F10))),0,1))</f>
        <v>0</v>
      </c>
      <c r="J4" s="1">
        <f>IF(Protokoll_3p!G10="","",IF(VALUE(LEFT(Protokoll_3p!G10,FIND(":",Protokoll_3p!G10)-1))&gt;VALUE(RIGHT(Protokoll_3p!G10,LEN(Protokoll_3p!G10)-FIND(":",Protokoll_3p!G10))),0,1))</f>
        <v>1</v>
      </c>
      <c r="K4" s="1">
        <f>IF(Protokoll_3p!H10="","",IF(VALUE(LEFT(Protokoll_3p!H10,FIND(":",Protokoll_3p!H10)-1))&gt;VALUE(RIGHT(Protokoll_3p!H10,LEN(Protokoll_3p!H10)-FIND(":",Protokoll_3p!H10))),0,1))</f>
        <v>0</v>
      </c>
      <c r="L4" s="1">
        <f>IF(Protokoll_3p!I10="","",IF(VALUE(LEFT(Protokoll_3p!I10,FIND(":",Protokoll_3p!I10)-1))&gt;VALUE(RIGHT(Protokoll_3p!I10,LEN(Protokoll_3p!I10)-FIND(":",Protokoll_3p!I10))),0,1))</f>
        <v>0</v>
      </c>
      <c r="M4" s="1" t="str">
        <f>IF(Protokoll_3p!J10="","",IF(VALUE(LEFT(Protokoll_3p!J10,FIND(":",Protokoll_3p!J10)-1))&gt;VALUE(RIGHT(Protokoll_3p!J10,LEN(Protokoll_3p!J10)-FIND(":",Protokoll_3p!J10))),0,1))</f>
        <v/>
      </c>
      <c r="N4" s="1">
        <f t="shared" si="1"/>
        <v>1</v>
      </c>
    </row>
    <row r="5" spans="2:14">
      <c r="B5" s="1">
        <f>IF(Protokoll_3p!F11="","",IF(VALUE(LEFT(Protokoll_3p!F11,FIND(":",Protokoll_3p!F11)-1))&gt;VALUE(RIGHT(Protokoll_3p!F11,LEN(Protokoll_3p!F11)-FIND(":",Protokoll_3p!F11))),1,0))</f>
        <v>1</v>
      </c>
      <c r="C5" s="1">
        <f>IF(Protokoll_3p!G11="","",IF(VALUE(LEFT(Protokoll_3p!G11,FIND(":",Protokoll_3p!G11)-1))&gt;VALUE(RIGHT(Protokoll_3p!G11,LEN(Protokoll_3p!G11)-FIND(":",Protokoll_3p!G11))),1,0))</f>
        <v>1</v>
      </c>
      <c r="D5" s="1">
        <f>IF(Protokoll_3p!H11="","",IF(VALUE(LEFT(Protokoll_3p!H11,FIND(":",Protokoll_3p!H11)-1))&gt;VALUE(RIGHT(Protokoll_3p!H11,LEN(Protokoll_3p!H11)-FIND(":",Protokoll_3p!H11))),1,0))</f>
        <v>1</v>
      </c>
      <c r="E5" s="1" t="str">
        <f>IF(Protokoll_3p!I11="","",IF(VALUE(LEFT(Protokoll_3p!I11,FIND(":",Protokoll_3p!I11)-1))&gt;VALUE(RIGHT(Protokoll_3p!I11,LEN(Protokoll_3p!I11)-FIND(":",Protokoll_3p!I11))),1,0))</f>
        <v/>
      </c>
      <c r="F5" s="1" t="str">
        <f>IF(Protokoll_3p!J11="","",IF(VALUE(LEFT(Protokoll_3p!J11,FIND(":",Protokoll_3p!J11)-1))&gt;VALUE(RIGHT(Protokoll_3p!J11,LEN(Protokoll_3p!J11)-FIND(":",Protokoll_3p!J11))),1,0))</f>
        <v/>
      </c>
      <c r="G5" s="1">
        <f t="shared" si="0"/>
        <v>3</v>
      </c>
      <c r="I5" s="1">
        <f>IF(Protokoll_3p!F11="","",IF(VALUE(LEFT(Protokoll_3p!F11,FIND(":",Protokoll_3p!F11)-1))&gt;VALUE(RIGHT(Protokoll_3p!F11,LEN(Protokoll_3p!F11)-FIND(":",Protokoll_3p!F11))),0,1))</f>
        <v>0</v>
      </c>
      <c r="J5" s="1">
        <f>IF(Protokoll_3p!G11="","",IF(VALUE(LEFT(Protokoll_3p!G11,FIND(":",Protokoll_3p!G11)-1))&gt;VALUE(RIGHT(Protokoll_3p!G11,LEN(Protokoll_3p!G11)-FIND(":",Protokoll_3p!G11))),0,1))</f>
        <v>0</v>
      </c>
      <c r="K5" s="1">
        <f>IF(Protokoll_3p!H11="","",IF(VALUE(LEFT(Protokoll_3p!H11,FIND(":",Protokoll_3p!H11)-1))&gt;VALUE(RIGHT(Protokoll_3p!H11,LEN(Protokoll_3p!H11)-FIND(":",Protokoll_3p!H11))),0,1))</f>
        <v>0</v>
      </c>
      <c r="L5" s="1" t="str">
        <f>IF(Protokoll_3p!I11="","",IF(VALUE(LEFT(Protokoll_3p!I11,FIND(":",Protokoll_3p!I11)-1))&gt;VALUE(RIGHT(Protokoll_3p!I11,LEN(Protokoll_3p!I11)-FIND(":",Protokoll_3p!I11))),0,1))</f>
        <v/>
      </c>
      <c r="M5" s="1" t="str">
        <f>IF(Protokoll_3p!J11="","",IF(VALUE(LEFT(Protokoll_3p!J11,FIND(":",Protokoll_3p!J11)-1))&gt;VALUE(RIGHT(Protokoll_3p!J11,LEN(Protokoll_3p!J11)-FIND(":",Protokoll_3p!J11))),0,1))</f>
        <v/>
      </c>
      <c r="N5" s="1">
        <f t="shared" si="1"/>
        <v>0</v>
      </c>
    </row>
    <row r="6" spans="2:14">
      <c r="B6" s="1" t="str">
        <f>IF(Protokoll_3p!F12="","",IF(VALUE(LEFT(Protokoll_3p!F12,FIND(":",Protokoll_3p!F12)-1))&gt;VALUE(RIGHT(Protokoll_3p!F12,LEN(Protokoll_3p!F12)-FIND(":",Protokoll_3p!F12))),1,0))</f>
        <v/>
      </c>
      <c r="C6" s="1" t="str">
        <f>IF(Protokoll_3p!G12="","",IF(VALUE(LEFT(Protokoll_3p!G12,FIND(":",Protokoll_3p!G12)-1))&gt;VALUE(RIGHT(Protokoll_3p!G12,LEN(Protokoll_3p!G12)-FIND(":",Protokoll_3p!G12))),1,0))</f>
        <v/>
      </c>
      <c r="D6" s="1" t="str">
        <f>IF(Protokoll_3p!H12="","",IF(VALUE(LEFT(Protokoll_3p!H12,FIND(":",Protokoll_3p!H12)-1))&gt;VALUE(RIGHT(Protokoll_3p!H12,LEN(Protokoll_3p!H12)-FIND(":",Protokoll_3p!H12))),1,0))</f>
        <v/>
      </c>
      <c r="E6" s="1" t="str">
        <f>IF(Protokoll_3p!I12="","",IF(VALUE(LEFT(Protokoll_3p!I12,FIND(":",Protokoll_3p!I12)-1))&gt;VALUE(RIGHT(Protokoll_3p!I12,LEN(Protokoll_3p!I12)-FIND(":",Protokoll_3p!I12))),1,0))</f>
        <v/>
      </c>
      <c r="F6" s="1" t="str">
        <f>IF(Protokoll_3p!J12="","",IF(VALUE(LEFT(Protokoll_3p!J12,FIND(":",Protokoll_3p!J12)-1))&gt;VALUE(RIGHT(Protokoll_3p!J12,LEN(Protokoll_3p!J12)-FIND(":",Protokoll_3p!J12))),1,0))</f>
        <v/>
      </c>
      <c r="G6" s="1" t="str">
        <f t="shared" si="0"/>
        <v/>
      </c>
      <c r="I6" s="1" t="str">
        <f>IF(Protokoll_3p!F12="","",IF(VALUE(LEFT(Protokoll_3p!F12,FIND(":",Protokoll_3p!F12)-1))&gt;VALUE(RIGHT(Protokoll_3p!F12,LEN(Protokoll_3p!F12)-FIND(":",Protokoll_3p!F12))),0,1))</f>
        <v/>
      </c>
      <c r="J6" s="1" t="str">
        <f>IF(Protokoll_3p!G12="","",IF(VALUE(LEFT(Protokoll_3p!G12,FIND(":",Protokoll_3p!G12)-1))&gt;VALUE(RIGHT(Protokoll_3p!G12,LEN(Protokoll_3p!G12)-FIND(":",Protokoll_3p!G12))),0,1))</f>
        <v/>
      </c>
      <c r="K6" s="1" t="str">
        <f>IF(Protokoll_3p!H12="","",IF(VALUE(LEFT(Protokoll_3p!H12,FIND(":",Protokoll_3p!H12)-1))&gt;VALUE(RIGHT(Protokoll_3p!H12,LEN(Protokoll_3p!H12)-FIND(":",Protokoll_3p!H12))),0,1))</f>
        <v/>
      </c>
      <c r="L6" s="1" t="str">
        <f>IF(Protokoll_3p!I12="","",IF(VALUE(LEFT(Protokoll_3p!I12,FIND(":",Protokoll_3p!I12)-1))&gt;VALUE(RIGHT(Protokoll_3p!I12,LEN(Protokoll_3p!I12)-FIND(":",Protokoll_3p!I12))),0,1))</f>
        <v/>
      </c>
      <c r="M6" s="1" t="str">
        <f>IF(Protokoll_3p!J12="","",IF(VALUE(LEFT(Protokoll_3p!J12,FIND(":",Protokoll_3p!J12)-1))&gt;VALUE(RIGHT(Protokoll_3p!J12,LEN(Protokoll_3p!J12)-FIND(":",Protokoll_3p!J12))),0,1))</f>
        <v/>
      </c>
      <c r="N6" s="1" t="str">
        <f t="shared" si="1"/>
        <v/>
      </c>
    </row>
    <row r="7" spans="2:14">
      <c r="B7" s="1" t="str">
        <f>IF(Protokoll_3p!F13="","",IF(VALUE(LEFT(Protokoll_3p!F13,FIND(":",Protokoll_3p!F13)-1))&gt;VALUE(RIGHT(Protokoll_3p!F13,LEN(Protokoll_3p!F13)-FIND(":",Protokoll_3p!F13))),1,0))</f>
        <v/>
      </c>
      <c r="C7" s="1" t="str">
        <f>IF(Protokoll_3p!G13="","",IF(VALUE(LEFT(Protokoll_3p!G13,FIND(":",Protokoll_3p!G13)-1))&gt;VALUE(RIGHT(Protokoll_3p!G13,LEN(Protokoll_3p!G13)-FIND(":",Protokoll_3p!G13))),1,0))</f>
        <v/>
      </c>
      <c r="D7" s="1" t="str">
        <f>IF(Protokoll_3p!H13="","",IF(VALUE(LEFT(Protokoll_3p!H13,FIND(":",Protokoll_3p!H13)-1))&gt;VALUE(RIGHT(Protokoll_3p!H13,LEN(Protokoll_3p!H13)-FIND(":",Protokoll_3p!H13))),1,0))</f>
        <v/>
      </c>
      <c r="E7" s="1" t="str">
        <f>IF(Protokoll_3p!I13="","",IF(VALUE(LEFT(Protokoll_3p!I13,FIND(":",Protokoll_3p!I13)-1))&gt;VALUE(RIGHT(Protokoll_3p!I13,LEN(Protokoll_3p!I13)-FIND(":",Protokoll_3p!I13))),1,0))</f>
        <v/>
      </c>
      <c r="F7" s="1" t="str">
        <f>IF(Protokoll_3p!J13="","",IF(VALUE(LEFT(Protokoll_3p!J13,FIND(":",Protokoll_3p!J13)-1))&gt;VALUE(RIGHT(Protokoll_3p!J13,LEN(Protokoll_3p!J13)-FIND(":",Protokoll_3p!J13))),1,0))</f>
        <v/>
      </c>
      <c r="G7" s="1" t="str">
        <f t="shared" si="0"/>
        <v/>
      </c>
      <c r="I7" s="1" t="str">
        <f>IF(Protokoll_3p!F13="","",IF(VALUE(LEFT(Protokoll_3p!F13,FIND(":",Protokoll_3p!F13)-1))&gt;VALUE(RIGHT(Protokoll_3p!F13,LEN(Protokoll_3p!F13)-FIND(":",Protokoll_3p!F13))),0,1))</f>
        <v/>
      </c>
      <c r="J7" s="1" t="str">
        <f>IF(Protokoll_3p!G13="","",IF(VALUE(LEFT(Protokoll_3p!G13,FIND(":",Protokoll_3p!G13)-1))&gt;VALUE(RIGHT(Protokoll_3p!G13,LEN(Protokoll_3p!G13)-FIND(":",Protokoll_3p!G13))),0,1))</f>
        <v/>
      </c>
      <c r="K7" s="1" t="str">
        <f>IF(Protokoll_3p!H13="","",IF(VALUE(LEFT(Protokoll_3p!H13,FIND(":",Protokoll_3p!H13)-1))&gt;VALUE(RIGHT(Protokoll_3p!H13,LEN(Protokoll_3p!H13)-FIND(":",Protokoll_3p!H13))),0,1))</f>
        <v/>
      </c>
      <c r="L7" s="1" t="str">
        <f>IF(Protokoll_3p!I13="","",IF(VALUE(LEFT(Protokoll_3p!I13,FIND(":",Protokoll_3p!I13)-1))&gt;VALUE(RIGHT(Protokoll_3p!I13,LEN(Protokoll_3p!I13)-FIND(":",Protokoll_3p!I13))),0,1))</f>
        <v/>
      </c>
      <c r="M7" s="1" t="str">
        <f>IF(Protokoll_3p!J13="","",IF(VALUE(LEFT(Protokoll_3p!J13,FIND(":",Protokoll_3p!J13)-1))&gt;VALUE(RIGHT(Protokoll_3p!J13,LEN(Protokoll_3p!J13)-FIND(":",Protokoll_3p!J13))),0,1))</f>
        <v/>
      </c>
      <c r="N7" s="1" t="str">
        <f t="shared" si="1"/>
        <v/>
      </c>
    </row>
    <row r="8" spans="2:14">
      <c r="B8" s="1" t="str">
        <f>IF(Protokoll_3p!F14="","",IF(VALUE(LEFT(Protokoll_3p!F14,FIND(":",Protokoll_3p!F14)-1))&gt;VALUE(RIGHT(Protokoll_3p!F14,LEN(Protokoll_3p!F14)-FIND(":",Protokoll_3p!F14))),1,0))</f>
        <v/>
      </c>
      <c r="C8" s="1" t="str">
        <f>IF(Protokoll_3p!G14="","",IF(VALUE(LEFT(Protokoll_3p!G14,FIND(":",Protokoll_3p!G14)-1))&gt;VALUE(RIGHT(Protokoll_3p!G14,LEN(Protokoll_3p!G14)-FIND(":",Protokoll_3p!G14))),1,0))</f>
        <v/>
      </c>
      <c r="D8" s="1" t="str">
        <f>IF(Protokoll_3p!H14="","",IF(VALUE(LEFT(Protokoll_3p!H14,FIND(":",Protokoll_3p!H14)-1))&gt;VALUE(RIGHT(Protokoll_3p!H14,LEN(Protokoll_3p!H14)-FIND(":",Protokoll_3p!H14))),1,0))</f>
        <v/>
      </c>
      <c r="E8" s="1" t="str">
        <f>IF(Protokoll_3p!I14="","",IF(VALUE(LEFT(Protokoll_3p!I14,FIND(":",Protokoll_3p!I14)-1))&gt;VALUE(RIGHT(Protokoll_3p!I14,LEN(Protokoll_3p!I14)-FIND(":",Protokoll_3p!I14))),1,0))</f>
        <v/>
      </c>
      <c r="F8" s="1" t="str">
        <f>IF(Protokoll_3p!J14="","",IF(VALUE(LEFT(Protokoll_3p!J14,FIND(":",Protokoll_3p!J14)-1))&gt;VALUE(RIGHT(Protokoll_3p!J14,LEN(Protokoll_3p!J14)-FIND(":",Protokoll_3p!J14))),1,0))</f>
        <v/>
      </c>
      <c r="G8" s="1" t="str">
        <f t="shared" si="0"/>
        <v/>
      </c>
      <c r="I8" s="1" t="str">
        <f>IF(Protokoll_3p!F14="","",IF(VALUE(LEFT(Protokoll_3p!F14,FIND(":",Protokoll_3p!F14)-1))&gt;VALUE(RIGHT(Protokoll_3p!F14,LEN(Protokoll_3p!F14)-FIND(":",Protokoll_3p!F14))),0,1))</f>
        <v/>
      </c>
      <c r="J8" s="1" t="str">
        <f>IF(Protokoll_3p!G14="","",IF(VALUE(LEFT(Protokoll_3p!G14,FIND(":",Protokoll_3p!G14)-1))&gt;VALUE(RIGHT(Protokoll_3p!G14,LEN(Protokoll_3p!G14)-FIND(":",Protokoll_3p!G14))),0,1))</f>
        <v/>
      </c>
      <c r="K8" s="1" t="str">
        <f>IF(Protokoll_3p!H14="","",IF(VALUE(LEFT(Protokoll_3p!H14,FIND(":",Protokoll_3p!H14)-1))&gt;VALUE(RIGHT(Protokoll_3p!H14,LEN(Protokoll_3p!H14)-FIND(":",Protokoll_3p!H14))),0,1))</f>
        <v/>
      </c>
      <c r="L8" s="1" t="str">
        <f>IF(Protokoll_3p!I14="","",IF(VALUE(LEFT(Protokoll_3p!I14,FIND(":",Protokoll_3p!I14)-1))&gt;VALUE(RIGHT(Protokoll_3p!I14,LEN(Protokoll_3p!I14)-FIND(":",Protokoll_3p!I14))),0,1))</f>
        <v/>
      </c>
      <c r="M8" s="1" t="str">
        <f>IF(Protokoll_3p!J14="","",IF(VALUE(LEFT(Protokoll_3p!J14,FIND(":",Protokoll_3p!J14)-1))&gt;VALUE(RIGHT(Protokoll_3p!J14,LEN(Protokoll_3p!J14)-FIND(":",Protokoll_3p!J14))),0,1))</f>
        <v/>
      </c>
      <c r="N8" s="1" t="str">
        <f t="shared" si="1"/>
        <v/>
      </c>
    </row>
    <row r="9" spans="2:14">
      <c r="B9" s="1" t="str">
        <f>IF(Protokoll_3p!F15="","",IF(VALUE(LEFT(Protokoll_3p!F15,FIND(":",Protokoll_3p!F15)-1))&gt;VALUE(RIGHT(Protokoll_3p!F15,LEN(Protokoll_3p!F15)-FIND(":",Protokoll_3p!F15))),1,0))</f>
        <v/>
      </c>
      <c r="C9" s="1" t="str">
        <f>IF(Protokoll_3p!G15="","",IF(VALUE(LEFT(Protokoll_3p!G15,FIND(":",Protokoll_3p!G15)-1))&gt;VALUE(RIGHT(Protokoll_3p!G15,LEN(Protokoll_3p!G15)-FIND(":",Protokoll_3p!G15))),1,0))</f>
        <v/>
      </c>
      <c r="D9" s="1" t="str">
        <f>IF(Protokoll_3p!H15="","",IF(VALUE(LEFT(Protokoll_3p!H15,FIND(":",Protokoll_3p!H15)-1))&gt;VALUE(RIGHT(Protokoll_3p!H15,LEN(Protokoll_3p!H15)-FIND(":",Protokoll_3p!H15))),1,0))</f>
        <v/>
      </c>
      <c r="E9" s="1" t="str">
        <f>IF(Protokoll_3p!I15="","",IF(VALUE(LEFT(Protokoll_3p!I15,FIND(":",Protokoll_3p!I15)-1))&gt;VALUE(RIGHT(Protokoll_3p!I15,LEN(Protokoll_3p!I15)-FIND(":",Protokoll_3p!I15))),1,0))</f>
        <v/>
      </c>
      <c r="F9" s="1" t="str">
        <f>IF(Protokoll_3p!J15="","",IF(VALUE(LEFT(Protokoll_3p!J15,FIND(":",Protokoll_3p!J15)-1))&gt;VALUE(RIGHT(Protokoll_3p!J15,LEN(Protokoll_3p!J15)-FIND(":",Protokoll_3p!J15))),1,0))</f>
        <v/>
      </c>
      <c r="G9" s="1" t="str">
        <f t="shared" si="0"/>
        <v/>
      </c>
      <c r="I9" s="1" t="str">
        <f>IF(Protokoll_3p!F15="","",IF(VALUE(LEFT(Protokoll_3p!F15,FIND(":",Protokoll_3p!F15)-1))&gt;VALUE(RIGHT(Protokoll_3p!F15,LEN(Protokoll_3p!F15)-FIND(":",Protokoll_3p!F15))),0,1))</f>
        <v/>
      </c>
      <c r="J9" s="1" t="str">
        <f>IF(Protokoll_3p!G15="","",IF(VALUE(LEFT(Protokoll_3p!G15,FIND(":",Protokoll_3p!G15)-1))&gt;VALUE(RIGHT(Protokoll_3p!G15,LEN(Protokoll_3p!G15)-FIND(":",Protokoll_3p!G15))),0,1))</f>
        <v/>
      </c>
      <c r="K9" s="1" t="str">
        <f>IF(Protokoll_3p!H15="","",IF(VALUE(LEFT(Protokoll_3p!H15,FIND(":",Protokoll_3p!H15)-1))&gt;VALUE(RIGHT(Protokoll_3p!H15,LEN(Protokoll_3p!H15)-FIND(":",Protokoll_3p!H15))),0,1))</f>
        <v/>
      </c>
      <c r="L9" s="1" t="str">
        <f>IF(Protokoll_3p!I15="","",IF(VALUE(LEFT(Protokoll_3p!I15,FIND(":",Protokoll_3p!I15)-1))&gt;VALUE(RIGHT(Protokoll_3p!I15,LEN(Protokoll_3p!I15)-FIND(":",Protokoll_3p!I15))),0,1))</f>
        <v/>
      </c>
      <c r="M9" s="1" t="str">
        <f>IF(Protokoll_3p!J15="","",IF(VALUE(LEFT(Protokoll_3p!J15,FIND(":",Protokoll_3p!J15)-1))&gt;VALUE(RIGHT(Protokoll_3p!J15,LEN(Protokoll_3p!J15)-FIND(":",Protokoll_3p!J15))),0,1))</f>
        <v/>
      </c>
      <c r="N9" s="1" t="str">
        <f t="shared" si="1"/>
        <v/>
      </c>
    </row>
    <row r="10" spans="2:14">
      <c r="B10" s="1" t="str">
        <f>IF(Protokoll_3p!F16="","",IF(VALUE(LEFT(Protokoll_3p!F16,FIND(":",Protokoll_3p!F16)-1))&gt;VALUE(RIGHT(Protokoll_3p!F16,LEN(Protokoll_3p!F16)-FIND(":",Protokoll_3p!F16))),1,0))</f>
        <v/>
      </c>
      <c r="C10" s="1" t="str">
        <f>IF(Protokoll_3p!G16="","",IF(VALUE(LEFT(Protokoll_3p!G16,FIND(":",Protokoll_3p!G16)-1))&gt;VALUE(RIGHT(Protokoll_3p!G16,LEN(Protokoll_3p!G16)-FIND(":",Protokoll_3p!G16))),1,0))</f>
        <v/>
      </c>
      <c r="D10" s="1" t="str">
        <f>IF(Protokoll_3p!H16="","",IF(VALUE(LEFT(Protokoll_3p!H16,FIND(":",Protokoll_3p!H16)-1))&gt;VALUE(RIGHT(Protokoll_3p!H16,LEN(Protokoll_3p!H16)-FIND(":",Protokoll_3p!H16))),1,0))</f>
        <v/>
      </c>
      <c r="E10" s="1" t="str">
        <f>IF(Protokoll_3p!I16="","",IF(VALUE(LEFT(Protokoll_3p!I16,FIND(":",Protokoll_3p!I16)-1))&gt;VALUE(RIGHT(Protokoll_3p!I16,LEN(Protokoll_3p!I16)-FIND(":",Protokoll_3p!I16))),1,0))</f>
        <v/>
      </c>
      <c r="F10" s="1" t="str">
        <f>IF(Protokoll_3p!J16="","",IF(VALUE(LEFT(Protokoll_3p!J16,FIND(":",Protokoll_3p!J16)-1))&gt;VALUE(RIGHT(Protokoll_3p!J16,LEN(Protokoll_3p!J16)-FIND(":",Protokoll_3p!J16))),1,0))</f>
        <v/>
      </c>
      <c r="G10" s="1" t="str">
        <f t="shared" si="0"/>
        <v/>
      </c>
      <c r="I10" s="1" t="str">
        <f>IF(Protokoll_3p!F16="","",IF(VALUE(LEFT(Protokoll_3p!F16,FIND(":",Protokoll_3p!F16)-1))&gt;VALUE(RIGHT(Protokoll_3p!F16,LEN(Protokoll_3p!F16)-FIND(":",Protokoll_3p!F16))),0,1))</f>
        <v/>
      </c>
      <c r="J10" s="1" t="str">
        <f>IF(Protokoll_3p!G16="","",IF(VALUE(LEFT(Protokoll_3p!G16,FIND(":",Protokoll_3p!G16)-1))&gt;VALUE(RIGHT(Protokoll_3p!G16,LEN(Protokoll_3p!G16)-FIND(":",Protokoll_3p!G16))),0,1))</f>
        <v/>
      </c>
      <c r="K10" s="1" t="str">
        <f>IF(Protokoll_3p!H16="","",IF(VALUE(LEFT(Protokoll_3p!H16,FIND(":",Protokoll_3p!H16)-1))&gt;VALUE(RIGHT(Protokoll_3p!H16,LEN(Protokoll_3p!H16)-FIND(":",Protokoll_3p!H16))),0,1))</f>
        <v/>
      </c>
      <c r="L10" s="1" t="str">
        <f>IF(Protokoll_3p!I16="","",IF(VALUE(LEFT(Protokoll_3p!I16,FIND(":",Protokoll_3p!I16)-1))&gt;VALUE(RIGHT(Protokoll_3p!I16,LEN(Protokoll_3p!I16)-FIND(":",Protokoll_3p!I16))),0,1))</f>
        <v/>
      </c>
      <c r="M10" s="1" t="str">
        <f>IF(Protokoll_3p!J16="","",IF(VALUE(LEFT(Protokoll_3p!J16,FIND(":",Protokoll_3p!J16)-1))&gt;VALUE(RIGHT(Protokoll_3p!J16,LEN(Protokoll_3p!J16)-FIND(":",Protokoll_3p!J16))),0,1))</f>
        <v/>
      </c>
      <c r="N10" s="1" t="str">
        <f t="shared" si="1"/>
        <v/>
      </c>
    </row>
    <row r="11" spans="2:14">
      <c r="B11" s="1" t="e">
        <f>IF(Protokoll_3p!F17="","",IF(VALUE(LEFT(Protokoll_3p!F17,FIND(":",Protokoll_3p!F17)-1))&gt;VALUE(RIGHT(Protokoll_3p!F17,LEN(Protokoll_3p!F17)-FIND(":",Protokoll_3p!F17))),1,0))</f>
        <v>#VALUE!</v>
      </c>
      <c r="C11" s="1" t="e">
        <f>IF(Protokoll_3p!G17="","",IF(VALUE(LEFT(Protokoll_3p!G17,FIND(":",Protokoll_3p!G17)-1))&gt;VALUE(RIGHT(Protokoll_3p!G17,LEN(Protokoll_3p!G17)-FIND(":",Protokoll_3p!G17))),1,0))</f>
        <v>#VALUE!</v>
      </c>
      <c r="D11" s="1" t="e">
        <f>IF(Protokoll_3p!H17="","",IF(VALUE(LEFT(Protokoll_3p!H17,FIND(":",Protokoll_3p!H17)-1))&gt;VALUE(RIGHT(Protokoll_3p!H17,LEN(Protokoll_3p!H17)-FIND(":",Protokoll_3p!H17))),1,0))</f>
        <v>#VALUE!</v>
      </c>
      <c r="E11" s="1" t="e">
        <f>IF(Protokoll_3p!I17="","",IF(VALUE(LEFT(Protokoll_3p!I17,FIND(":",Protokoll_3p!I17)-1))&gt;VALUE(RIGHT(Protokoll_3p!I17,LEN(Protokoll_3p!I17)-FIND(":",Protokoll_3p!I17))),1,0))</f>
        <v>#VALUE!</v>
      </c>
      <c r="F11" s="1" t="e">
        <f>IF(Protokoll_3p!J17="","",IF(VALUE(LEFT(Protokoll_3p!J17,FIND(":",Protokoll_3p!J17)-1))&gt;VALUE(RIGHT(Protokoll_3p!J17,LEN(Protokoll_3p!J17)-FIND(":",Protokoll_3p!J17))),1,0))</f>
        <v>#VALUE!</v>
      </c>
      <c r="G11" s="1" t="e">
        <f t="shared" si="0"/>
        <v>#VALUE!</v>
      </c>
      <c r="I11" s="1" t="e">
        <f>IF(Protokoll_3p!F17="","",IF(VALUE(LEFT(Protokoll_3p!F17,FIND(":",Protokoll_3p!F17)-1))&gt;VALUE(RIGHT(Protokoll_3p!F17,LEN(Protokoll_3p!F17)-FIND(":",Protokoll_3p!F17))),0,1))</f>
        <v>#VALUE!</v>
      </c>
      <c r="J11" s="1" t="e">
        <f>IF(Protokoll_3p!G17="","",IF(VALUE(LEFT(Protokoll_3p!G17,FIND(":",Protokoll_3p!G17)-1))&gt;VALUE(RIGHT(Protokoll_3p!G17,LEN(Protokoll_3p!G17)-FIND(":",Protokoll_3p!G17))),0,1))</f>
        <v>#VALUE!</v>
      </c>
      <c r="K11" s="1" t="e">
        <f>IF(Protokoll_3p!H17="","",IF(VALUE(LEFT(Protokoll_3p!H17,FIND(":",Protokoll_3p!H17)-1))&gt;VALUE(RIGHT(Protokoll_3p!H17,LEN(Protokoll_3p!H17)-FIND(":",Protokoll_3p!H17))),0,1))</f>
        <v>#VALUE!</v>
      </c>
      <c r="L11" s="1" t="e">
        <f>IF(Protokoll_3p!I17="","",IF(VALUE(LEFT(Protokoll_3p!I17,FIND(":",Protokoll_3p!I17)-1))&gt;VALUE(RIGHT(Protokoll_3p!I17,LEN(Protokoll_3p!I17)-FIND(":",Protokoll_3p!I17))),0,1))</f>
        <v>#VALUE!</v>
      </c>
      <c r="M11" s="1" t="e">
        <f>IF(Protokoll_3p!J17="","",IF(VALUE(LEFT(Protokoll_3p!J17,FIND(":",Protokoll_3p!J17)-1))&gt;VALUE(RIGHT(Protokoll_3p!J17,LEN(Protokoll_3p!J17)-FIND(":",Protokoll_3p!J17))),0,1))</f>
        <v>#VALUE!</v>
      </c>
      <c r="N11" s="1" t="e">
        <f t="shared" si="1"/>
        <v>#VALUE!</v>
      </c>
    </row>
    <row r="12" spans="2:14">
      <c r="B12" s="1">
        <f>IF(Protokoll_3p!F18="","",IF(VALUE(LEFT(Protokoll_3p!F18,FIND(":",Protokoll_3p!F18)-1))&gt;VALUE(RIGHT(Protokoll_3p!F18,LEN(Protokoll_3p!F18)-FIND(":",Protokoll_3p!F18))),1,0))</f>
        <v>1</v>
      </c>
      <c r="C12" s="1">
        <f>IF(Protokoll_3p!G18="","",IF(VALUE(LEFT(Protokoll_3p!G18,FIND(":",Protokoll_3p!G18)-1))&gt;VALUE(RIGHT(Protokoll_3p!G18,LEN(Protokoll_3p!G18)-FIND(":",Protokoll_3p!G18))),1,0))</f>
        <v>1</v>
      </c>
      <c r="D12" s="1">
        <f>IF(Protokoll_3p!H18="","",IF(VALUE(LEFT(Protokoll_3p!H18,FIND(":",Protokoll_3p!H18)-1))&gt;VALUE(RIGHT(Protokoll_3p!H18,LEN(Protokoll_3p!H18)-FIND(":",Protokoll_3p!H18))),1,0))</f>
        <v>1</v>
      </c>
      <c r="E12" s="1" t="str">
        <f>IF(Protokoll_3p!I18="","",IF(VALUE(LEFT(Protokoll_3p!I18,FIND(":",Protokoll_3p!I18)-1))&gt;VALUE(RIGHT(Protokoll_3p!I18,LEN(Protokoll_3p!I18)-FIND(":",Protokoll_3p!I18))),1,0))</f>
        <v/>
      </c>
      <c r="F12" s="1" t="str">
        <f>IF(Protokoll_3p!J18="","",IF(VALUE(LEFT(Protokoll_3p!J18,FIND(":",Protokoll_3p!J18)-1))&gt;VALUE(RIGHT(Protokoll_3p!J18,LEN(Protokoll_3p!J18)-FIND(":",Protokoll_3p!J18))),1,0))</f>
        <v/>
      </c>
      <c r="G12" s="1">
        <f t="shared" si="0"/>
        <v>3</v>
      </c>
      <c r="I12" s="1">
        <f>IF(Protokoll_3p!F18="","",IF(VALUE(LEFT(Protokoll_3p!F18,FIND(":",Protokoll_3p!F18)-1))&gt;VALUE(RIGHT(Protokoll_3p!F18,LEN(Protokoll_3p!F18)-FIND(":",Protokoll_3p!F18))),0,1))</f>
        <v>0</v>
      </c>
      <c r="J12" s="1">
        <f>IF(Protokoll_3p!G18="","",IF(VALUE(LEFT(Protokoll_3p!G18,FIND(":",Protokoll_3p!G18)-1))&gt;VALUE(RIGHT(Protokoll_3p!G18,LEN(Protokoll_3p!G18)-FIND(":",Protokoll_3p!G18))),0,1))</f>
        <v>0</v>
      </c>
      <c r="K12" s="1">
        <f>IF(Protokoll_3p!H18="","",IF(VALUE(LEFT(Protokoll_3p!H18,FIND(":",Protokoll_3p!H18)-1))&gt;VALUE(RIGHT(Protokoll_3p!H18,LEN(Protokoll_3p!H18)-FIND(":",Protokoll_3p!H18))),0,1))</f>
        <v>0</v>
      </c>
      <c r="L12" s="1" t="str">
        <f>IF(Protokoll_3p!I18="","",IF(VALUE(LEFT(Protokoll_3p!I18,FIND(":",Protokoll_3p!I18)-1))&gt;VALUE(RIGHT(Protokoll_3p!I18,LEN(Protokoll_3p!I18)-FIND(":",Protokoll_3p!I18))),0,1))</f>
        <v/>
      </c>
      <c r="M12" s="1" t="str">
        <f>IF(Protokoll_3p!J18="","",IF(VALUE(LEFT(Protokoll_3p!J18,FIND(":",Protokoll_3p!J18)-1))&gt;VALUE(RIGHT(Protokoll_3p!J18,LEN(Protokoll_3p!J18)-FIND(":",Protokoll_3p!J18))),0,1))</f>
        <v/>
      </c>
      <c r="N12" s="1">
        <f t="shared" si="1"/>
        <v>0</v>
      </c>
    </row>
    <row r="13" spans="2:14">
      <c r="B13" s="1">
        <f>IF(Protokoll_3p!F19="","",IF(VALUE(LEFT(Protokoll_3p!F19,FIND(":",Protokoll_3p!F19)-1))&gt;VALUE(RIGHT(Protokoll_3p!F19,LEN(Protokoll_3p!F19)-FIND(":",Protokoll_3p!F19))),1,0))</f>
        <v>0</v>
      </c>
      <c r="C13" s="1">
        <f>IF(Protokoll_3p!G19="","",IF(VALUE(LEFT(Protokoll_3p!G19,FIND(":",Protokoll_3p!G19)-1))&gt;VALUE(RIGHT(Protokoll_3p!G19,LEN(Protokoll_3p!G19)-FIND(":",Protokoll_3p!G19))),1,0))</f>
        <v>0</v>
      </c>
      <c r="D13" s="1">
        <f>IF(Protokoll_3p!H19="","",IF(VALUE(LEFT(Protokoll_3p!H19,FIND(":",Protokoll_3p!H19)-1))&gt;VALUE(RIGHT(Protokoll_3p!H19,LEN(Protokoll_3p!H19)-FIND(":",Protokoll_3p!H19))),1,0))</f>
        <v>1</v>
      </c>
      <c r="E13" s="1">
        <f>IF(Protokoll_3p!I19="","",IF(VALUE(LEFT(Protokoll_3p!I19,FIND(":",Protokoll_3p!I19)-1))&gt;VALUE(RIGHT(Protokoll_3p!I19,LEN(Protokoll_3p!I19)-FIND(":",Protokoll_3p!I19))),1,0))</f>
        <v>0</v>
      </c>
      <c r="F13" s="1" t="str">
        <f>IF(Protokoll_3p!J19="","",IF(VALUE(LEFT(Protokoll_3p!J19,FIND(":",Protokoll_3p!J19)-1))&gt;VALUE(RIGHT(Protokoll_3p!J19,LEN(Protokoll_3p!J19)-FIND(":",Protokoll_3p!J19))),1,0))</f>
        <v/>
      </c>
      <c r="G13" s="1">
        <f t="shared" si="0"/>
        <v>1</v>
      </c>
      <c r="I13" s="1">
        <f>IF(Protokoll_3p!F19="","",IF(VALUE(LEFT(Protokoll_3p!F19,FIND(":",Protokoll_3p!F19)-1))&gt;VALUE(RIGHT(Protokoll_3p!F19,LEN(Protokoll_3p!F19)-FIND(":",Protokoll_3p!F19))),0,1))</f>
        <v>1</v>
      </c>
      <c r="J13" s="1">
        <f>IF(Protokoll_3p!G19="","",IF(VALUE(LEFT(Protokoll_3p!G19,FIND(":",Protokoll_3p!G19)-1))&gt;VALUE(RIGHT(Protokoll_3p!G19,LEN(Protokoll_3p!G19)-FIND(":",Protokoll_3p!G19))),0,1))</f>
        <v>1</v>
      </c>
      <c r="K13" s="1">
        <f>IF(Protokoll_3p!H19="","",IF(VALUE(LEFT(Protokoll_3p!H19,FIND(":",Protokoll_3p!H19)-1))&gt;VALUE(RIGHT(Protokoll_3p!H19,LEN(Protokoll_3p!H19)-FIND(":",Protokoll_3p!H19))),0,1))</f>
        <v>0</v>
      </c>
      <c r="L13" s="1">
        <f>IF(Protokoll_3p!I19="","",IF(VALUE(LEFT(Protokoll_3p!I19,FIND(":",Protokoll_3p!I19)-1))&gt;VALUE(RIGHT(Protokoll_3p!I19,LEN(Protokoll_3p!I19)-FIND(":",Protokoll_3p!I19))),0,1))</f>
        <v>1</v>
      </c>
      <c r="M13" s="1" t="str">
        <f>IF(Protokoll_3p!J19="","",IF(VALUE(LEFT(Protokoll_3p!J19,FIND(":",Protokoll_3p!J19)-1))&gt;VALUE(RIGHT(Protokoll_3p!J19,LEN(Protokoll_3p!J19)-FIND(":",Protokoll_3p!J19))),0,1))</f>
        <v/>
      </c>
      <c r="N13" s="1">
        <f t="shared" si="1"/>
        <v>3</v>
      </c>
    </row>
    <row r="14" spans="2:14">
      <c r="B14" s="1">
        <f>IF(Protokoll_3p!F20="","",IF(VALUE(LEFT(Protokoll_3p!F20,FIND(":",Protokoll_3p!F20)-1))&gt;VALUE(RIGHT(Protokoll_3p!F20,LEN(Protokoll_3p!F20)-FIND(":",Protokoll_3p!F20))),1,0))</f>
        <v>0</v>
      </c>
      <c r="C14" s="1">
        <f>IF(Protokoll_3p!G20="","",IF(VALUE(LEFT(Protokoll_3p!G20,FIND(":",Protokoll_3p!G20)-1))&gt;VALUE(RIGHT(Protokoll_3p!G20,LEN(Protokoll_3p!G20)-FIND(":",Protokoll_3p!G20))),1,0))</f>
        <v>0</v>
      </c>
      <c r="D14" s="1">
        <f>IF(Protokoll_3p!H20="","",IF(VALUE(LEFT(Protokoll_3p!H20,FIND(":",Protokoll_3p!H20)-1))&gt;VALUE(RIGHT(Protokoll_3p!H20,LEN(Protokoll_3p!H20)-FIND(":",Protokoll_3p!H20))),1,0))</f>
        <v>1</v>
      </c>
      <c r="E14" s="1">
        <f>IF(Protokoll_3p!I20="","",IF(VALUE(LEFT(Protokoll_3p!I20,FIND(":",Protokoll_3p!I20)-1))&gt;VALUE(RIGHT(Protokoll_3p!I20,LEN(Protokoll_3p!I20)-FIND(":",Protokoll_3p!I20))),1,0))</f>
        <v>0</v>
      </c>
      <c r="F14" s="1" t="str">
        <f>IF(Protokoll_3p!J20="","",IF(VALUE(LEFT(Protokoll_3p!J20,FIND(":",Protokoll_3p!J20)-1))&gt;VALUE(RIGHT(Protokoll_3p!J20,LEN(Protokoll_3p!J20)-FIND(":",Protokoll_3p!J20))),1,0))</f>
        <v/>
      </c>
      <c r="G14" s="1">
        <f t="shared" si="0"/>
        <v>1</v>
      </c>
      <c r="I14" s="1">
        <f>IF(Protokoll_3p!F20="","",IF(VALUE(LEFT(Protokoll_3p!F20,FIND(":",Protokoll_3p!F20)-1))&gt;VALUE(RIGHT(Protokoll_3p!F20,LEN(Protokoll_3p!F20)-FIND(":",Protokoll_3p!F20))),0,1))</f>
        <v>1</v>
      </c>
      <c r="J14" s="1">
        <f>IF(Protokoll_3p!G20="","",IF(VALUE(LEFT(Protokoll_3p!G20,FIND(":",Protokoll_3p!G20)-1))&gt;VALUE(RIGHT(Protokoll_3p!G20,LEN(Protokoll_3p!G20)-FIND(":",Protokoll_3p!G20))),0,1))</f>
        <v>1</v>
      </c>
      <c r="K14" s="1">
        <f>IF(Protokoll_3p!H20="","",IF(VALUE(LEFT(Protokoll_3p!H20,FIND(":",Protokoll_3p!H20)-1))&gt;VALUE(RIGHT(Protokoll_3p!H20,LEN(Protokoll_3p!H20)-FIND(":",Protokoll_3p!H20))),0,1))</f>
        <v>0</v>
      </c>
      <c r="L14" s="1">
        <f>IF(Protokoll_3p!I20="","",IF(VALUE(LEFT(Protokoll_3p!I20,FIND(":",Protokoll_3p!I20)-1))&gt;VALUE(RIGHT(Protokoll_3p!I20,LEN(Protokoll_3p!I20)-FIND(":",Protokoll_3p!I20))),0,1))</f>
        <v>1</v>
      </c>
      <c r="M14" s="1" t="str">
        <f>IF(Protokoll_3p!J20="","",IF(VALUE(LEFT(Protokoll_3p!J20,FIND(":",Protokoll_3p!J20)-1))&gt;VALUE(RIGHT(Protokoll_3p!J20,LEN(Protokoll_3p!J20)-FIND(":",Protokoll_3p!J20))),0,1))</f>
        <v/>
      </c>
      <c r="N14" s="1">
        <f t="shared" si="1"/>
        <v>3</v>
      </c>
    </row>
    <row r="15" spans="2:14">
      <c r="B15" s="1">
        <f>IF(Protokoll_3p!F21="","",IF(VALUE(LEFT(Protokoll_3p!F21,FIND(":",Protokoll_3p!F21)-1))&gt;VALUE(RIGHT(Protokoll_3p!F21,LEN(Protokoll_3p!F21)-FIND(":",Protokoll_3p!F21))),1,0))</f>
        <v>1</v>
      </c>
      <c r="C15" s="1">
        <f>IF(Protokoll_3p!G21="","",IF(VALUE(LEFT(Protokoll_3p!G21,FIND(":",Protokoll_3p!G21)-1))&gt;VALUE(RIGHT(Protokoll_3p!G21,LEN(Protokoll_3p!G21)-FIND(":",Protokoll_3p!G21))),1,0))</f>
        <v>1</v>
      </c>
      <c r="D15" s="1">
        <f>IF(Protokoll_3p!H21="","",IF(VALUE(LEFT(Protokoll_3p!H21,FIND(":",Protokoll_3p!H21)-1))&gt;VALUE(RIGHT(Protokoll_3p!H21,LEN(Protokoll_3p!H21)-FIND(":",Protokoll_3p!H21))),1,0))</f>
        <v>0</v>
      </c>
      <c r="E15" s="1">
        <f>IF(Protokoll_3p!I21="","",IF(VALUE(LEFT(Protokoll_3p!I21,FIND(":",Protokoll_3p!I21)-1))&gt;VALUE(RIGHT(Protokoll_3p!I21,LEN(Protokoll_3p!I21)-FIND(":",Protokoll_3p!I21))),1,0))</f>
        <v>0</v>
      </c>
      <c r="F15" s="1">
        <f>IF(Protokoll_3p!J21="","",IF(VALUE(LEFT(Protokoll_3p!J21,FIND(":",Protokoll_3p!J21)-1))&gt;VALUE(RIGHT(Protokoll_3p!J21,LEN(Protokoll_3p!J21)-FIND(":",Protokoll_3p!J21))),1,0))</f>
        <v>1</v>
      </c>
      <c r="G15" s="1">
        <f t="shared" si="0"/>
        <v>3</v>
      </c>
      <c r="I15" s="1">
        <f>IF(Protokoll_3p!F21="","",IF(VALUE(LEFT(Protokoll_3p!F21,FIND(":",Protokoll_3p!F21)-1))&gt;VALUE(RIGHT(Protokoll_3p!F21,LEN(Protokoll_3p!F21)-FIND(":",Protokoll_3p!F21))),0,1))</f>
        <v>0</v>
      </c>
      <c r="J15" s="1">
        <f>IF(Protokoll_3p!G21="","",IF(VALUE(LEFT(Protokoll_3p!G21,FIND(":",Protokoll_3p!G21)-1))&gt;VALUE(RIGHT(Protokoll_3p!G21,LEN(Protokoll_3p!G21)-FIND(":",Protokoll_3p!G21))),0,1))</f>
        <v>0</v>
      </c>
      <c r="K15" s="1">
        <f>IF(Protokoll_3p!H21="","",IF(VALUE(LEFT(Protokoll_3p!H21,FIND(":",Protokoll_3p!H21)-1))&gt;VALUE(RIGHT(Protokoll_3p!H21,LEN(Protokoll_3p!H21)-FIND(":",Protokoll_3p!H21))),0,1))</f>
        <v>1</v>
      </c>
      <c r="L15" s="1">
        <f>IF(Protokoll_3p!I21="","",IF(VALUE(LEFT(Protokoll_3p!I21,FIND(":",Protokoll_3p!I21)-1))&gt;VALUE(RIGHT(Protokoll_3p!I21,LEN(Protokoll_3p!I21)-FIND(":",Protokoll_3p!I21))),0,1))</f>
        <v>1</v>
      </c>
      <c r="M15" s="1">
        <f>IF(Protokoll_3p!J21="","",IF(VALUE(LEFT(Protokoll_3p!J21,FIND(":",Protokoll_3p!J21)-1))&gt;VALUE(RIGHT(Protokoll_3p!J21,LEN(Protokoll_3p!J21)-FIND(":",Protokoll_3p!J21))),0,1))</f>
        <v>0</v>
      </c>
      <c r="N15" s="1">
        <f t="shared" si="1"/>
        <v>2</v>
      </c>
    </row>
    <row r="16" spans="2:14">
      <c r="B16" s="1" t="str">
        <f>IF(Protokoll_3p!F22="","",IF(VALUE(LEFT(Protokoll_3p!F22,FIND(":",Protokoll_3p!F22)-1))&gt;VALUE(RIGHT(Protokoll_3p!F22,LEN(Protokoll_3p!F22)-FIND(":",Protokoll_3p!F22))),1,0))</f>
        <v/>
      </c>
      <c r="C16" s="1" t="str">
        <f>IF(Protokoll_3p!G22="","",IF(VALUE(LEFT(Protokoll_3p!G22,FIND(":",Protokoll_3p!G22)-1))&gt;VALUE(RIGHT(Protokoll_3p!G22,LEN(Protokoll_3p!G22)-FIND(":",Protokoll_3p!G22))),1,0))</f>
        <v/>
      </c>
      <c r="D16" s="1" t="str">
        <f>IF(Protokoll_3p!H22="","",IF(VALUE(LEFT(Protokoll_3p!H22,FIND(":",Protokoll_3p!H22)-1))&gt;VALUE(RIGHT(Protokoll_3p!H22,LEN(Protokoll_3p!H22)-FIND(":",Protokoll_3p!H22))),1,0))</f>
        <v/>
      </c>
      <c r="E16" s="1" t="str">
        <f>IF(Protokoll_3p!I22="","",IF(VALUE(LEFT(Protokoll_3p!I22,FIND(":",Protokoll_3p!I22)-1))&gt;VALUE(RIGHT(Protokoll_3p!I22,LEN(Protokoll_3p!I22)-FIND(":",Protokoll_3p!I22))),1,0))</f>
        <v/>
      </c>
      <c r="F16" s="1" t="str">
        <f>IF(Protokoll_3p!J22="","",IF(VALUE(LEFT(Protokoll_3p!J22,FIND(":",Protokoll_3p!J22)-1))&gt;VALUE(RIGHT(Protokoll_3p!J22,LEN(Protokoll_3p!J22)-FIND(":",Protokoll_3p!J22))),1,0))</f>
        <v/>
      </c>
      <c r="G16" s="1" t="str">
        <f t="shared" si="0"/>
        <v/>
      </c>
      <c r="I16" s="1" t="str">
        <f>IF(Protokoll_3p!F22="","",IF(VALUE(LEFT(Protokoll_3p!F22,FIND(":",Protokoll_3p!F22)-1))&gt;VALUE(RIGHT(Protokoll_3p!F22,LEN(Protokoll_3p!F22)-FIND(":",Protokoll_3p!F22))),0,1))</f>
        <v/>
      </c>
      <c r="J16" s="1" t="str">
        <f>IF(Protokoll_3p!G22="","",IF(VALUE(LEFT(Protokoll_3p!G22,FIND(":",Protokoll_3p!G22)-1))&gt;VALUE(RIGHT(Protokoll_3p!G22,LEN(Protokoll_3p!G22)-FIND(":",Protokoll_3p!G22))),0,1))</f>
        <v/>
      </c>
      <c r="K16" s="1" t="str">
        <f>IF(Protokoll_3p!H22="","",IF(VALUE(LEFT(Protokoll_3p!H22,FIND(":",Protokoll_3p!H22)-1))&gt;VALUE(RIGHT(Protokoll_3p!H22,LEN(Protokoll_3p!H22)-FIND(":",Protokoll_3p!H22))),0,1))</f>
        <v/>
      </c>
      <c r="L16" s="1" t="str">
        <f>IF(Protokoll_3p!I22="","",IF(VALUE(LEFT(Protokoll_3p!I22,FIND(":",Protokoll_3p!I22)-1))&gt;VALUE(RIGHT(Protokoll_3p!I22,LEN(Protokoll_3p!I22)-FIND(":",Protokoll_3p!I22))),0,1))</f>
        <v/>
      </c>
      <c r="M16" s="1" t="str">
        <f>IF(Protokoll_3p!J22="","",IF(VALUE(LEFT(Protokoll_3p!J22,FIND(":",Protokoll_3p!J22)-1))&gt;VALUE(RIGHT(Protokoll_3p!J22,LEN(Protokoll_3p!J22)-FIND(":",Protokoll_3p!J22))),0,1))</f>
        <v/>
      </c>
      <c r="N16" s="1" t="str">
        <f t="shared" si="1"/>
        <v/>
      </c>
    </row>
    <row r="17" spans="2:14">
      <c r="B17" s="1">
        <f>IF(Protokoll_3p!F23="","",IF(VALUE(LEFT(Protokoll_3p!F23,FIND(":",Protokoll_3p!F23)-1))&gt;VALUE(RIGHT(Protokoll_3p!F23,LEN(Protokoll_3p!F23)-FIND(":",Protokoll_3p!F23))),1,0))</f>
        <v>0</v>
      </c>
      <c r="C17" s="1">
        <f>IF(Protokoll_3p!G23="","",IF(VALUE(LEFT(Protokoll_3p!G23,FIND(":",Protokoll_3p!G23)-1))&gt;VALUE(RIGHT(Protokoll_3p!G23,LEN(Protokoll_3p!G23)-FIND(":",Protokoll_3p!G23))),1,0))</f>
        <v>1</v>
      </c>
      <c r="D17" s="1">
        <f>IF(Protokoll_3p!H23="","",IF(VALUE(LEFT(Protokoll_3p!H23,FIND(":",Protokoll_3p!H23)-1))&gt;VALUE(RIGHT(Protokoll_3p!H23,LEN(Protokoll_3p!H23)-FIND(":",Protokoll_3p!H23))),1,0))</f>
        <v>1</v>
      </c>
      <c r="E17" s="1">
        <f>IF(Protokoll_3p!I23="","",IF(VALUE(LEFT(Protokoll_3p!I23,FIND(":",Protokoll_3p!I23)-1))&gt;VALUE(RIGHT(Protokoll_3p!I23,LEN(Protokoll_3p!I23)-FIND(":",Protokoll_3p!I23))),1,0))</f>
        <v>1</v>
      </c>
      <c r="F17" s="1" t="str">
        <f>IF(Protokoll_3p!J23="","",IF(VALUE(LEFT(Protokoll_3p!J23,FIND(":",Protokoll_3p!J23)-1))&gt;VALUE(RIGHT(Protokoll_3p!J23,LEN(Protokoll_3p!J23)-FIND(":",Protokoll_3p!J23))),1,0))</f>
        <v/>
      </c>
      <c r="G17" s="1">
        <f t="shared" si="0"/>
        <v>3</v>
      </c>
      <c r="I17" s="1">
        <f>IF(Protokoll_3p!F23="","",IF(VALUE(LEFT(Protokoll_3p!F23,FIND(":",Protokoll_3p!F23)-1))&gt;VALUE(RIGHT(Protokoll_3p!F23,LEN(Protokoll_3p!F23)-FIND(":",Protokoll_3p!F23))),0,1))</f>
        <v>1</v>
      </c>
      <c r="J17" s="1">
        <f>IF(Protokoll_3p!G23="","",IF(VALUE(LEFT(Protokoll_3p!G23,FIND(":",Protokoll_3p!G23)-1))&gt;VALUE(RIGHT(Protokoll_3p!G23,LEN(Protokoll_3p!G23)-FIND(":",Protokoll_3p!G23))),0,1))</f>
        <v>0</v>
      </c>
      <c r="K17" s="1">
        <f>IF(Protokoll_3p!H23="","",IF(VALUE(LEFT(Protokoll_3p!H23,FIND(":",Protokoll_3p!H23)-1))&gt;VALUE(RIGHT(Protokoll_3p!H23,LEN(Protokoll_3p!H23)-FIND(":",Protokoll_3p!H23))),0,1))</f>
        <v>0</v>
      </c>
      <c r="L17" s="1">
        <f>IF(Protokoll_3p!I23="","",IF(VALUE(LEFT(Protokoll_3p!I23,FIND(":",Protokoll_3p!I23)-1))&gt;VALUE(RIGHT(Protokoll_3p!I23,LEN(Protokoll_3p!I23)-FIND(":",Protokoll_3p!I23))),0,1))</f>
        <v>0</v>
      </c>
      <c r="M17" s="1" t="str">
        <f>IF(Protokoll_3p!J23="","",IF(VALUE(LEFT(Protokoll_3p!J23,FIND(":",Protokoll_3p!J23)-1))&gt;VALUE(RIGHT(Protokoll_3p!J23,LEN(Protokoll_3p!J23)-FIND(":",Protokoll_3p!J23))),0,1))</f>
        <v/>
      </c>
      <c r="N17" s="1">
        <f t="shared" si="1"/>
        <v>1</v>
      </c>
    </row>
    <row r="18" spans="2:14">
      <c r="B18" s="1">
        <f>IF(Protokoll_3p!F24="","",IF(VALUE(LEFT(Protokoll_3p!F24,FIND(":",Protokoll_3p!F24)-1))&gt;VALUE(RIGHT(Protokoll_3p!F24,LEN(Protokoll_3p!F24)-FIND(":",Protokoll_3p!F24))),1,0))</f>
        <v>1</v>
      </c>
      <c r="C18" s="1">
        <f>IF(Protokoll_3p!G24="","",IF(VALUE(LEFT(Protokoll_3p!G24,FIND(":",Protokoll_3p!G24)-1))&gt;VALUE(RIGHT(Protokoll_3p!G24,LEN(Protokoll_3p!G24)-FIND(":",Protokoll_3p!G24))),1,0))</f>
        <v>0</v>
      </c>
      <c r="D18" s="1">
        <f>IF(Protokoll_3p!H24="","",IF(VALUE(LEFT(Protokoll_3p!H24,FIND(":",Protokoll_3p!H24)-1))&gt;VALUE(RIGHT(Protokoll_3p!H24,LEN(Protokoll_3p!H24)-FIND(":",Protokoll_3p!H24))),1,0))</f>
        <v>0</v>
      </c>
      <c r="E18" s="1">
        <f>IF(Protokoll_3p!I24="","",IF(VALUE(LEFT(Protokoll_3p!I24,FIND(":",Protokoll_3p!I24)-1))&gt;VALUE(RIGHT(Protokoll_3p!I24,LEN(Protokoll_3p!I24)-FIND(":",Protokoll_3p!I24))),1,0))</f>
        <v>0</v>
      </c>
      <c r="F18" s="1" t="str">
        <f>IF(Protokoll_3p!J24="","",IF(VALUE(LEFT(Protokoll_3p!J24,FIND(":",Protokoll_3p!J24)-1))&gt;VALUE(RIGHT(Protokoll_3p!J24,LEN(Protokoll_3p!J24)-FIND(":",Protokoll_3p!J24))),1,0))</f>
        <v/>
      </c>
      <c r="G18" s="1">
        <f t="shared" si="0"/>
        <v>1</v>
      </c>
      <c r="I18" s="1">
        <f>IF(Protokoll_3p!F24="","",IF(VALUE(LEFT(Protokoll_3p!F24,FIND(":",Protokoll_3p!F24)-1))&gt;VALUE(RIGHT(Protokoll_3p!F24,LEN(Protokoll_3p!F24)-FIND(":",Protokoll_3p!F24))),0,1))</f>
        <v>0</v>
      </c>
      <c r="J18" s="1">
        <f>IF(Protokoll_3p!G24="","",IF(VALUE(LEFT(Protokoll_3p!G24,FIND(":",Protokoll_3p!G24)-1))&gt;VALUE(RIGHT(Protokoll_3p!G24,LEN(Protokoll_3p!G24)-FIND(":",Protokoll_3p!G24))),0,1))</f>
        <v>1</v>
      </c>
      <c r="K18" s="1">
        <f>IF(Protokoll_3p!H24="","",IF(VALUE(LEFT(Protokoll_3p!H24,FIND(":",Protokoll_3p!H24)-1))&gt;VALUE(RIGHT(Protokoll_3p!H24,LEN(Protokoll_3p!H24)-FIND(":",Protokoll_3p!H24))),0,1))</f>
        <v>1</v>
      </c>
      <c r="L18" s="1">
        <f>IF(Protokoll_3p!I24="","",IF(VALUE(LEFT(Protokoll_3p!I24,FIND(":",Protokoll_3p!I24)-1))&gt;VALUE(RIGHT(Protokoll_3p!I24,LEN(Protokoll_3p!I24)-FIND(":",Protokoll_3p!I24))),0,1))</f>
        <v>1</v>
      </c>
      <c r="M18" s="1" t="str">
        <f>IF(Protokoll_3p!J24="","",IF(VALUE(LEFT(Protokoll_3p!J24,FIND(":",Protokoll_3p!J24)-1))&gt;VALUE(RIGHT(Protokoll_3p!J24,LEN(Protokoll_3p!J24)-FIND(":",Protokoll_3p!J24))),0,1))</f>
        <v/>
      </c>
      <c r="N18" s="1">
        <f t="shared" si="1"/>
        <v>3</v>
      </c>
    </row>
    <row r="19" spans="2:14">
      <c r="B19" s="1">
        <f>IF(Protokoll_3p!F25="","",IF(VALUE(LEFT(Protokoll_3p!F25,FIND(":",Protokoll_3p!F25)-1))&gt;VALUE(RIGHT(Protokoll_3p!F25,LEN(Protokoll_3p!F25)-FIND(":",Protokoll_3p!F25))),1,0))</f>
        <v>0</v>
      </c>
      <c r="C19" s="1">
        <f>IF(Protokoll_3p!G25="","",IF(VALUE(LEFT(Protokoll_3p!G25,FIND(":",Protokoll_3p!G25)-1))&gt;VALUE(RIGHT(Protokoll_3p!G25,LEN(Protokoll_3p!G25)-FIND(":",Protokoll_3p!G25))),1,0))</f>
        <v>0</v>
      </c>
      <c r="D19" s="1">
        <f>IF(Protokoll_3p!H25="","",IF(VALUE(LEFT(Protokoll_3p!H25,FIND(":",Protokoll_3p!H25)-1))&gt;VALUE(RIGHT(Protokoll_3p!H25,LEN(Protokoll_3p!H25)-FIND(":",Protokoll_3p!H25))),1,0))</f>
        <v>0</v>
      </c>
      <c r="E19" s="1" t="str">
        <f>IF(Protokoll_3p!I25="","",IF(VALUE(LEFT(Protokoll_3p!I25,FIND(":",Protokoll_3p!I25)-1))&gt;VALUE(RIGHT(Protokoll_3p!I25,LEN(Protokoll_3p!I25)-FIND(":",Protokoll_3p!I25))),1,0))</f>
        <v/>
      </c>
      <c r="F19" s="1" t="str">
        <f>IF(Protokoll_3p!J25="","",IF(VALUE(LEFT(Protokoll_3p!J25,FIND(":",Protokoll_3p!J25)-1))&gt;VALUE(RIGHT(Protokoll_3p!J25,LEN(Protokoll_3p!J25)-FIND(":",Protokoll_3p!J25))),1,0))</f>
        <v/>
      </c>
      <c r="G19" s="1">
        <f t="shared" si="0"/>
        <v>0</v>
      </c>
      <c r="I19" s="1">
        <f>IF(Protokoll_3p!F25="","",IF(VALUE(LEFT(Protokoll_3p!F25,FIND(":",Protokoll_3p!F25)-1))&gt;VALUE(RIGHT(Protokoll_3p!F25,LEN(Protokoll_3p!F25)-FIND(":",Protokoll_3p!F25))),0,1))</f>
        <v>1</v>
      </c>
      <c r="J19" s="1">
        <f>IF(Protokoll_3p!G25="","",IF(VALUE(LEFT(Protokoll_3p!G25,FIND(":",Protokoll_3p!G25)-1))&gt;VALUE(RIGHT(Protokoll_3p!G25,LEN(Protokoll_3p!G25)-FIND(":",Protokoll_3p!G25))),0,1))</f>
        <v>1</v>
      </c>
      <c r="K19" s="1">
        <f>IF(Protokoll_3p!H25="","",IF(VALUE(LEFT(Protokoll_3p!H25,FIND(":",Protokoll_3p!H25)-1))&gt;VALUE(RIGHT(Protokoll_3p!H25,LEN(Protokoll_3p!H25)-FIND(":",Protokoll_3p!H25))),0,1))</f>
        <v>1</v>
      </c>
      <c r="L19" s="1" t="str">
        <f>IF(Protokoll_3p!I25="","",IF(VALUE(LEFT(Protokoll_3p!I25,FIND(":",Protokoll_3p!I25)-1))&gt;VALUE(RIGHT(Protokoll_3p!I25,LEN(Protokoll_3p!I25)-FIND(":",Protokoll_3p!I25))),0,1))</f>
        <v/>
      </c>
      <c r="M19" s="1" t="str">
        <f>IF(Protokoll_3p!J25="","",IF(VALUE(LEFT(Protokoll_3p!J25,FIND(":",Protokoll_3p!J25)-1))&gt;VALUE(RIGHT(Protokoll_3p!J25,LEN(Protokoll_3p!J25)-FIND(":",Protokoll_3p!J25))),0,1))</f>
        <v/>
      </c>
      <c r="N19" s="1">
        <f t="shared" si="1"/>
        <v>3</v>
      </c>
    </row>
    <row r="20" spans="2:14">
      <c r="B20" s="1" t="str">
        <f>IF(Protokoll_3p!F26="","",IF(VALUE(LEFT(Protokoll_3p!F26,FIND(":",Protokoll_3p!F26)-1))&gt;VALUE(RIGHT(Protokoll_3p!F26,LEN(Protokoll_3p!F26)-FIND(":",Protokoll_3p!F26))),1,0))</f>
        <v/>
      </c>
      <c r="C20" s="1" t="str">
        <f>IF(Protokoll_3p!G26="","",IF(VALUE(LEFT(Protokoll_3p!G26,FIND(":",Protokoll_3p!G26)-1))&gt;VALUE(RIGHT(Protokoll_3p!G26,LEN(Protokoll_3p!G26)-FIND(":",Protokoll_3p!G26))),1,0))</f>
        <v/>
      </c>
      <c r="D20" s="1" t="str">
        <f>IF(Protokoll_3p!H26="","",IF(VALUE(LEFT(Protokoll_3p!H26,FIND(":",Protokoll_3p!H26)-1))&gt;VALUE(RIGHT(Protokoll_3p!H26,LEN(Protokoll_3p!H26)-FIND(":",Protokoll_3p!H26))),1,0))</f>
        <v/>
      </c>
      <c r="E20" s="1" t="str">
        <f>IF(Protokoll_3p!I26="","",IF(VALUE(LEFT(Protokoll_3p!I26,FIND(":",Protokoll_3p!I26)-1))&gt;VALUE(RIGHT(Protokoll_3p!I26,LEN(Protokoll_3p!I26)-FIND(":",Protokoll_3p!I26))),1,0))</f>
        <v/>
      </c>
      <c r="F20" s="1" t="str">
        <f>IF(Protokoll_3p!J26="","",IF(VALUE(LEFT(Protokoll_3p!J26,FIND(":",Protokoll_3p!J26)-1))&gt;VALUE(RIGHT(Protokoll_3p!J26,LEN(Protokoll_3p!J26)-FIND(":",Protokoll_3p!J26))),1,0))</f>
        <v/>
      </c>
      <c r="G20" s="1" t="str">
        <f t="shared" si="0"/>
        <v/>
      </c>
      <c r="I20" s="1" t="str">
        <f>IF(Protokoll_3p!F26="","",IF(VALUE(LEFT(Protokoll_3p!F26,FIND(":",Protokoll_3p!F26)-1))&gt;VALUE(RIGHT(Protokoll_3p!F26,LEN(Protokoll_3p!F26)-FIND(":",Protokoll_3p!F26))),0,1))</f>
        <v/>
      </c>
      <c r="J20" s="1" t="str">
        <f>IF(Protokoll_3p!G26="","",IF(VALUE(LEFT(Protokoll_3p!G26,FIND(":",Protokoll_3p!G26)-1))&gt;VALUE(RIGHT(Protokoll_3p!G26,LEN(Protokoll_3p!G26)-FIND(":",Protokoll_3p!G26))),0,1))</f>
        <v/>
      </c>
      <c r="K20" s="1" t="str">
        <f>IF(Protokoll_3p!H26="","",IF(VALUE(LEFT(Protokoll_3p!H26,FIND(":",Protokoll_3p!H26)-1))&gt;VALUE(RIGHT(Protokoll_3p!H26,LEN(Protokoll_3p!H26)-FIND(":",Protokoll_3p!H26))),0,1))</f>
        <v/>
      </c>
      <c r="L20" s="1" t="str">
        <f>IF(Protokoll_3p!I26="","",IF(VALUE(LEFT(Protokoll_3p!I26,FIND(":",Protokoll_3p!I26)-1))&gt;VALUE(RIGHT(Protokoll_3p!I26,LEN(Protokoll_3p!I26)-FIND(":",Protokoll_3p!I26))),0,1))</f>
        <v/>
      </c>
      <c r="M20" s="1" t="str">
        <f>IF(Protokoll_3p!J26="","",IF(VALUE(LEFT(Protokoll_3p!J26,FIND(":",Protokoll_3p!J26)-1))&gt;VALUE(RIGHT(Protokoll_3p!J26,LEN(Protokoll_3p!J26)-FIND(":",Protokoll_3p!J26))),0,1))</f>
        <v/>
      </c>
      <c r="N20" s="1" t="str">
        <f t="shared" si="1"/>
        <v/>
      </c>
    </row>
    <row r="21" spans="2:14">
      <c r="B21" s="1" t="e">
        <f>IF(Protokoll_3p!F27="","",IF(VALUE(LEFT(Protokoll_3p!F27,FIND(":",Protokoll_3p!F27)-1))&gt;VALUE(RIGHT(Protokoll_3p!F27,LEN(Protokoll_3p!F27)-FIND(":",Protokoll_3p!F27))),1,0))</f>
        <v>#VALUE!</v>
      </c>
      <c r="C21" s="1" t="e">
        <f>IF(Protokoll_3p!G27="","",IF(VALUE(LEFT(Protokoll_3p!G27,FIND(":",Protokoll_3p!G27)-1))&gt;VALUE(RIGHT(Protokoll_3p!G27,LEN(Protokoll_3p!G27)-FIND(":",Protokoll_3p!G27))),1,0))</f>
        <v>#VALUE!</v>
      </c>
      <c r="D21" s="1" t="e">
        <f>IF(Protokoll_3p!H27="","",IF(VALUE(LEFT(Protokoll_3p!H27,FIND(":",Protokoll_3p!H27)-1))&gt;VALUE(RIGHT(Protokoll_3p!H27,LEN(Protokoll_3p!H27)-FIND(":",Protokoll_3p!H27))),1,0))</f>
        <v>#VALUE!</v>
      </c>
      <c r="E21" s="1" t="e">
        <f>IF(Protokoll_3p!I27="","",IF(VALUE(LEFT(Protokoll_3p!I27,FIND(":",Protokoll_3p!I27)-1))&gt;VALUE(RIGHT(Protokoll_3p!I27,LEN(Protokoll_3p!I27)-FIND(":",Protokoll_3p!I27))),1,0))</f>
        <v>#VALUE!</v>
      </c>
      <c r="F21" s="1" t="e">
        <f>IF(Protokoll_3p!J27="","",IF(VALUE(LEFT(Protokoll_3p!J27,FIND(":",Protokoll_3p!J27)-1))&gt;VALUE(RIGHT(Protokoll_3p!J27,LEN(Protokoll_3p!J27)-FIND(":",Protokoll_3p!J27))),1,0))</f>
        <v>#VALUE!</v>
      </c>
      <c r="G21" s="1" t="e">
        <f t="shared" si="0"/>
        <v>#VALUE!</v>
      </c>
      <c r="I21" s="1" t="e">
        <f>IF(Protokoll_3p!F27="","",IF(VALUE(LEFT(Protokoll_3p!F27,FIND(":",Protokoll_3p!F27)-1))&gt;VALUE(RIGHT(Protokoll_3p!F27,LEN(Protokoll_3p!F27)-FIND(":",Protokoll_3p!F27))),0,1))</f>
        <v>#VALUE!</v>
      </c>
      <c r="J21" s="1" t="e">
        <f>IF(Protokoll_3p!G27="","",IF(VALUE(LEFT(Protokoll_3p!G27,FIND(":",Protokoll_3p!G27)-1))&gt;VALUE(RIGHT(Protokoll_3p!G27,LEN(Protokoll_3p!G27)-FIND(":",Protokoll_3p!G27))),0,1))</f>
        <v>#VALUE!</v>
      </c>
      <c r="K21" s="1" t="e">
        <f>IF(Protokoll_3p!H27="","",IF(VALUE(LEFT(Protokoll_3p!H27,FIND(":",Protokoll_3p!H27)-1))&gt;VALUE(RIGHT(Protokoll_3p!H27,LEN(Protokoll_3p!H27)-FIND(":",Protokoll_3p!H27))),0,1))</f>
        <v>#VALUE!</v>
      </c>
      <c r="L21" s="1" t="e">
        <f>IF(Protokoll_3p!I27="","",IF(VALUE(LEFT(Protokoll_3p!I27,FIND(":",Protokoll_3p!I27)-1))&gt;VALUE(RIGHT(Protokoll_3p!I27,LEN(Protokoll_3p!I27)-FIND(":",Protokoll_3p!I27))),0,1))</f>
        <v>#VALUE!</v>
      </c>
      <c r="M21" s="1" t="e">
        <f>IF(Protokoll_3p!J27="","",IF(VALUE(LEFT(Protokoll_3p!J27,FIND(":",Protokoll_3p!J27)-1))&gt;VALUE(RIGHT(Protokoll_3p!J27,LEN(Protokoll_3p!J27)-FIND(":",Protokoll_3p!J27))),0,1))</f>
        <v>#VALUE!</v>
      </c>
      <c r="N21" s="1" t="e">
        <f t="shared" si="1"/>
        <v>#VALUE!</v>
      </c>
    </row>
    <row r="22" spans="2:14">
      <c r="B22" s="1">
        <f>IF(Protokoll_3p!F28="","",IF(VALUE(LEFT(Protokoll_3p!F28,FIND(":",Protokoll_3p!F28)-1))&gt;VALUE(RIGHT(Protokoll_3p!F28,LEN(Protokoll_3p!F28)-FIND(":",Protokoll_3p!F28))),1,0))</f>
        <v>1</v>
      </c>
      <c r="C22" s="1">
        <f>IF(Protokoll_3p!G28="","",IF(VALUE(LEFT(Protokoll_3p!G28,FIND(":",Protokoll_3p!G28)-1))&gt;VALUE(RIGHT(Protokoll_3p!G28,LEN(Protokoll_3p!G28)-FIND(":",Protokoll_3p!G28))),1,0))</f>
        <v>1</v>
      </c>
      <c r="D22" s="1">
        <f>IF(Protokoll_3p!H28="","",IF(VALUE(LEFT(Protokoll_3p!H28,FIND(":",Protokoll_3p!H28)-1))&gt;VALUE(RIGHT(Protokoll_3p!H28,LEN(Protokoll_3p!H28)-FIND(":",Protokoll_3p!H28))),1,0))</f>
        <v>1</v>
      </c>
      <c r="E22" s="1" t="str">
        <f>IF(Protokoll_3p!I28="","",IF(VALUE(LEFT(Protokoll_3p!I28,FIND(":",Protokoll_3p!I28)-1))&gt;VALUE(RIGHT(Protokoll_3p!I28,LEN(Protokoll_3p!I28)-FIND(":",Protokoll_3p!I28))),1,0))</f>
        <v/>
      </c>
      <c r="F22" s="1" t="str">
        <f>IF(Protokoll_3p!J28="","",IF(VALUE(LEFT(Protokoll_3p!J28,FIND(":",Protokoll_3p!J28)-1))&gt;VALUE(RIGHT(Protokoll_3p!J28,LEN(Protokoll_3p!J28)-FIND(":",Protokoll_3p!J28))),1,0))</f>
        <v/>
      </c>
      <c r="G22" s="1">
        <f t="shared" si="0"/>
        <v>3</v>
      </c>
      <c r="I22" s="1">
        <f>IF(Protokoll_3p!F28="","",IF(VALUE(LEFT(Protokoll_3p!F28,FIND(":",Protokoll_3p!F28)-1))&gt;VALUE(RIGHT(Protokoll_3p!F28,LEN(Protokoll_3p!F28)-FIND(":",Protokoll_3p!F28))),0,1))</f>
        <v>0</v>
      </c>
      <c r="J22" s="1">
        <f>IF(Protokoll_3p!G28="","",IF(VALUE(LEFT(Protokoll_3p!G28,FIND(":",Protokoll_3p!G28)-1))&gt;VALUE(RIGHT(Protokoll_3p!G28,LEN(Protokoll_3p!G28)-FIND(":",Protokoll_3p!G28))),0,1))</f>
        <v>0</v>
      </c>
      <c r="K22" s="1">
        <f>IF(Protokoll_3p!H28="","",IF(VALUE(LEFT(Protokoll_3p!H28,FIND(":",Protokoll_3p!H28)-1))&gt;VALUE(RIGHT(Protokoll_3p!H28,LEN(Protokoll_3p!H28)-FIND(":",Protokoll_3p!H28))),0,1))</f>
        <v>0</v>
      </c>
      <c r="L22" s="1" t="str">
        <f>IF(Protokoll_3p!I28="","",IF(VALUE(LEFT(Protokoll_3p!I28,FIND(":",Protokoll_3p!I28)-1))&gt;VALUE(RIGHT(Protokoll_3p!I28,LEN(Protokoll_3p!I28)-FIND(":",Protokoll_3p!I28))),0,1))</f>
        <v/>
      </c>
      <c r="M22" s="1" t="str">
        <f>IF(Protokoll_3p!J28="","",IF(VALUE(LEFT(Protokoll_3p!J28,FIND(":",Protokoll_3p!J28)-1))&gt;VALUE(RIGHT(Protokoll_3p!J28,LEN(Protokoll_3p!J28)-FIND(":",Protokoll_3p!J28))),0,1))</f>
        <v/>
      </c>
      <c r="N22" s="1">
        <f t="shared" si="1"/>
        <v>0</v>
      </c>
    </row>
    <row r="23" spans="2:14">
      <c r="B23" s="1">
        <f>IF(Protokoll_3p!F29="","",IF(VALUE(LEFT(Protokoll_3p!F29,FIND(":",Protokoll_3p!F29)-1))&gt;VALUE(RIGHT(Protokoll_3p!F29,LEN(Protokoll_3p!F29)-FIND(":",Protokoll_3p!F29))),1,0))</f>
        <v>1</v>
      </c>
      <c r="C23" s="1">
        <f>IF(Protokoll_3p!G29="","",IF(VALUE(LEFT(Protokoll_3p!G29,FIND(":",Protokoll_3p!G29)-1))&gt;VALUE(RIGHT(Protokoll_3p!G29,LEN(Protokoll_3p!G29)-FIND(":",Protokoll_3p!G29))),1,0))</f>
        <v>1</v>
      </c>
      <c r="D23" s="1">
        <f>IF(Protokoll_3p!H29="","",IF(VALUE(LEFT(Protokoll_3p!H29,FIND(":",Protokoll_3p!H29)-1))&gt;VALUE(RIGHT(Protokoll_3p!H29,LEN(Protokoll_3p!H29)-FIND(":",Protokoll_3p!H29))),1,0))</f>
        <v>1</v>
      </c>
      <c r="E23" s="1" t="str">
        <f>IF(Protokoll_3p!I29="","",IF(VALUE(LEFT(Protokoll_3p!I29,FIND(":",Protokoll_3p!I29)-1))&gt;VALUE(RIGHT(Protokoll_3p!I29,LEN(Protokoll_3p!I29)-FIND(":",Protokoll_3p!I29))),1,0))</f>
        <v/>
      </c>
      <c r="F23" s="1" t="str">
        <f>IF(Protokoll_3p!J29="","",IF(VALUE(LEFT(Protokoll_3p!J29,FIND(":",Protokoll_3p!J29)-1))&gt;VALUE(RIGHT(Protokoll_3p!J29,LEN(Protokoll_3p!J29)-FIND(":",Protokoll_3p!J29))),1,0))</f>
        <v/>
      </c>
      <c r="G23" s="1">
        <f t="shared" si="0"/>
        <v>3</v>
      </c>
      <c r="I23" s="1">
        <f>IF(Protokoll_3p!F29="","",IF(VALUE(LEFT(Protokoll_3p!F29,FIND(":",Protokoll_3p!F29)-1))&gt;VALUE(RIGHT(Protokoll_3p!F29,LEN(Protokoll_3p!F29)-FIND(":",Protokoll_3p!F29))),0,1))</f>
        <v>0</v>
      </c>
      <c r="J23" s="1">
        <f>IF(Protokoll_3p!G29="","",IF(VALUE(LEFT(Protokoll_3p!G29,FIND(":",Protokoll_3p!G29)-1))&gt;VALUE(RIGHT(Protokoll_3p!G29,LEN(Protokoll_3p!G29)-FIND(":",Protokoll_3p!G29))),0,1))</f>
        <v>0</v>
      </c>
      <c r="K23" s="1">
        <f>IF(Protokoll_3p!H29="","",IF(VALUE(LEFT(Protokoll_3p!H29,FIND(":",Protokoll_3p!H29)-1))&gt;VALUE(RIGHT(Protokoll_3p!H29,LEN(Protokoll_3p!H29)-FIND(":",Protokoll_3p!H29))),0,1))</f>
        <v>0</v>
      </c>
      <c r="L23" s="1" t="str">
        <f>IF(Protokoll_3p!I29="","",IF(VALUE(LEFT(Protokoll_3p!I29,FIND(":",Protokoll_3p!I29)-1))&gt;VALUE(RIGHT(Protokoll_3p!I29,LEN(Protokoll_3p!I29)-FIND(":",Protokoll_3p!I29))),0,1))</f>
        <v/>
      </c>
      <c r="M23" s="1" t="str">
        <f>IF(Protokoll_3p!J29="","",IF(VALUE(LEFT(Protokoll_3p!J29,FIND(":",Protokoll_3p!J29)-1))&gt;VALUE(RIGHT(Protokoll_3p!J29,LEN(Protokoll_3p!J29)-FIND(":",Protokoll_3p!J29))),0,1))</f>
        <v/>
      </c>
      <c r="N23" s="1">
        <f t="shared" si="1"/>
        <v>0</v>
      </c>
    </row>
    <row r="24" spans="2:14">
      <c r="B24" s="1">
        <f>IF(Protokoll_3p!F30="","",IF(VALUE(LEFT(Protokoll_3p!F30,FIND(":",Protokoll_3p!F30)-1))&gt;VALUE(RIGHT(Protokoll_3p!F30,LEN(Protokoll_3p!F30)-FIND(":",Protokoll_3p!F30))),1,0))</f>
        <v>0</v>
      </c>
      <c r="C24" s="1">
        <f>IF(Protokoll_3p!G30="","",IF(VALUE(LEFT(Protokoll_3p!G30,FIND(":",Protokoll_3p!G30)-1))&gt;VALUE(RIGHT(Protokoll_3p!G30,LEN(Protokoll_3p!G30)-FIND(":",Protokoll_3p!G30))),1,0))</f>
        <v>1</v>
      </c>
      <c r="D24" s="1">
        <f>IF(Protokoll_3p!H30="","",IF(VALUE(LEFT(Protokoll_3p!H30,FIND(":",Protokoll_3p!H30)-1))&gt;VALUE(RIGHT(Protokoll_3p!H30,LEN(Protokoll_3p!H30)-FIND(":",Protokoll_3p!H30))),1,0))</f>
        <v>1</v>
      </c>
      <c r="E24" s="1">
        <f>IF(Protokoll_3p!I30="","",IF(VALUE(LEFT(Protokoll_3p!I30,FIND(":",Protokoll_3p!I30)-1))&gt;VALUE(RIGHT(Protokoll_3p!I30,LEN(Protokoll_3p!I30)-FIND(":",Protokoll_3p!I30))),1,0))</f>
        <v>1</v>
      </c>
      <c r="F24" s="1" t="str">
        <f>IF(Protokoll_3p!J30="","",IF(VALUE(LEFT(Protokoll_3p!J30,FIND(":",Protokoll_3p!J30)-1))&gt;VALUE(RIGHT(Protokoll_3p!J30,LEN(Protokoll_3p!J30)-FIND(":",Protokoll_3p!J30))),1,0))</f>
        <v/>
      </c>
      <c r="G24" s="1">
        <f t="shared" si="0"/>
        <v>3</v>
      </c>
      <c r="I24" s="1">
        <f>IF(Protokoll_3p!F30="","",IF(VALUE(LEFT(Protokoll_3p!F30,FIND(":",Protokoll_3p!F30)-1))&gt;VALUE(RIGHT(Protokoll_3p!F30,LEN(Protokoll_3p!F30)-FIND(":",Protokoll_3p!F30))),0,1))</f>
        <v>1</v>
      </c>
      <c r="J24" s="1">
        <f>IF(Protokoll_3p!G30="","",IF(VALUE(LEFT(Protokoll_3p!G30,FIND(":",Protokoll_3p!G30)-1))&gt;VALUE(RIGHT(Protokoll_3p!G30,LEN(Protokoll_3p!G30)-FIND(":",Protokoll_3p!G30))),0,1))</f>
        <v>0</v>
      </c>
      <c r="K24" s="1">
        <f>IF(Protokoll_3p!H30="","",IF(VALUE(LEFT(Protokoll_3p!H30,FIND(":",Protokoll_3p!H30)-1))&gt;VALUE(RIGHT(Protokoll_3p!H30,LEN(Protokoll_3p!H30)-FIND(":",Protokoll_3p!H30))),0,1))</f>
        <v>0</v>
      </c>
      <c r="L24" s="1">
        <f>IF(Protokoll_3p!I30="","",IF(VALUE(LEFT(Protokoll_3p!I30,FIND(":",Protokoll_3p!I30)-1))&gt;VALUE(RIGHT(Protokoll_3p!I30,LEN(Protokoll_3p!I30)-FIND(":",Protokoll_3p!I30))),0,1))</f>
        <v>0</v>
      </c>
      <c r="M24" s="1" t="str">
        <f>IF(Protokoll_3p!J30="","",IF(VALUE(LEFT(Protokoll_3p!J30,FIND(":",Protokoll_3p!J30)-1))&gt;VALUE(RIGHT(Protokoll_3p!J30,LEN(Protokoll_3p!J30)-FIND(":",Protokoll_3p!J30))),0,1))</f>
        <v/>
      </c>
      <c r="N24" s="1">
        <f t="shared" si="1"/>
        <v>1</v>
      </c>
    </row>
    <row r="25" spans="2:14">
      <c r="B25" s="1">
        <f>IF(Protokoll_3p!F31="","",IF(VALUE(LEFT(Protokoll_3p!F31,FIND(":",Protokoll_3p!F31)-1))&gt;VALUE(RIGHT(Protokoll_3p!F31,LEN(Protokoll_3p!F31)-FIND(":",Protokoll_3p!F31))),1,0))</f>
        <v>0</v>
      </c>
      <c r="C25" s="1">
        <f>IF(Protokoll_3p!G31="","",IF(VALUE(LEFT(Protokoll_3p!G31,FIND(":",Protokoll_3p!G31)-1))&gt;VALUE(RIGHT(Protokoll_3p!G31,LEN(Protokoll_3p!G31)-FIND(":",Protokoll_3p!G31))),1,0))</f>
        <v>0</v>
      </c>
      <c r="D25" s="1">
        <f>IF(Protokoll_3p!H31="","",IF(VALUE(LEFT(Protokoll_3p!H31,FIND(":",Protokoll_3p!H31)-1))&gt;VALUE(RIGHT(Protokoll_3p!H31,LEN(Protokoll_3p!H31)-FIND(":",Protokoll_3p!H31))),1,0))</f>
        <v>1</v>
      </c>
      <c r="E25" s="1">
        <f>IF(Protokoll_3p!I31="","",IF(VALUE(LEFT(Protokoll_3p!I31,FIND(":",Protokoll_3p!I31)-1))&gt;VALUE(RIGHT(Protokoll_3p!I31,LEN(Protokoll_3p!I31)-FIND(":",Protokoll_3p!I31))),1,0))</f>
        <v>1</v>
      </c>
      <c r="F25" s="1">
        <f>IF(Protokoll_3p!J31="","",IF(VALUE(LEFT(Protokoll_3p!J31,FIND(":",Protokoll_3p!J31)-1))&gt;VALUE(RIGHT(Protokoll_3p!J31,LEN(Protokoll_3p!J31)-FIND(":",Protokoll_3p!J31))),1,0))</f>
        <v>1</v>
      </c>
      <c r="G25" s="1">
        <f t="shared" si="0"/>
        <v>3</v>
      </c>
      <c r="I25" s="1">
        <f>IF(Protokoll_3p!F31="","",IF(VALUE(LEFT(Protokoll_3p!F31,FIND(":",Protokoll_3p!F31)-1))&gt;VALUE(RIGHT(Protokoll_3p!F31,LEN(Protokoll_3p!F31)-FIND(":",Protokoll_3p!F31))),0,1))</f>
        <v>1</v>
      </c>
      <c r="J25" s="1">
        <f>IF(Protokoll_3p!G31="","",IF(VALUE(LEFT(Protokoll_3p!G31,FIND(":",Protokoll_3p!G31)-1))&gt;VALUE(RIGHT(Protokoll_3p!G31,LEN(Protokoll_3p!G31)-FIND(":",Protokoll_3p!G31))),0,1))</f>
        <v>1</v>
      </c>
      <c r="K25" s="1">
        <f>IF(Protokoll_3p!H31="","",IF(VALUE(LEFT(Protokoll_3p!H31,FIND(":",Protokoll_3p!H31)-1))&gt;VALUE(RIGHT(Protokoll_3p!H31,LEN(Protokoll_3p!H31)-FIND(":",Protokoll_3p!H31))),0,1))</f>
        <v>0</v>
      </c>
      <c r="L25" s="1">
        <f>IF(Protokoll_3p!I31="","",IF(VALUE(LEFT(Protokoll_3p!I31,FIND(":",Protokoll_3p!I31)-1))&gt;VALUE(RIGHT(Protokoll_3p!I31,LEN(Protokoll_3p!I31)-FIND(":",Protokoll_3p!I31))),0,1))</f>
        <v>0</v>
      </c>
      <c r="M25" s="1">
        <f>IF(Protokoll_3p!J31="","",IF(VALUE(LEFT(Protokoll_3p!J31,FIND(":",Protokoll_3p!J31)-1))&gt;VALUE(RIGHT(Protokoll_3p!J31,LEN(Protokoll_3p!J31)-FIND(":",Protokoll_3p!J31))),0,1))</f>
        <v>0</v>
      </c>
      <c r="N25" s="1">
        <f t="shared" si="1"/>
        <v>2</v>
      </c>
    </row>
    <row r="26" spans="2:14">
      <c r="B26" s="1" t="str">
        <f>IF(Protokoll_3p!F32="","",IF(VALUE(LEFT(Protokoll_3p!F32,FIND(":",Protokoll_3p!F32)-1))&gt;VALUE(RIGHT(Protokoll_3p!F32,LEN(Protokoll_3p!F32)-FIND(":",Protokoll_3p!F32))),1,0))</f>
        <v/>
      </c>
      <c r="C26" s="1" t="str">
        <f>IF(Protokoll_3p!G32="","",IF(VALUE(LEFT(Protokoll_3p!G32,FIND(":",Protokoll_3p!G32)-1))&gt;VALUE(RIGHT(Protokoll_3p!G32,LEN(Protokoll_3p!G32)-FIND(":",Protokoll_3p!G32))),1,0))</f>
        <v/>
      </c>
      <c r="D26" s="1" t="str">
        <f>IF(Protokoll_3p!H32="","",IF(VALUE(LEFT(Protokoll_3p!H32,FIND(":",Protokoll_3p!H32)-1))&gt;VALUE(RIGHT(Protokoll_3p!H32,LEN(Protokoll_3p!H32)-FIND(":",Protokoll_3p!H32))),1,0))</f>
        <v/>
      </c>
      <c r="E26" s="1" t="str">
        <f>IF(Protokoll_3p!I32="","",IF(VALUE(LEFT(Protokoll_3p!I32,FIND(":",Protokoll_3p!I32)-1))&gt;VALUE(RIGHT(Protokoll_3p!I32,LEN(Protokoll_3p!I32)-FIND(":",Protokoll_3p!I32))),1,0))</f>
        <v/>
      </c>
      <c r="F26" s="1" t="str">
        <f>IF(Protokoll_3p!J32="","",IF(VALUE(LEFT(Protokoll_3p!J32,FIND(":",Protokoll_3p!J32)-1))&gt;VALUE(RIGHT(Protokoll_3p!J32,LEN(Protokoll_3p!J32)-FIND(":",Protokoll_3p!J32))),1,0))</f>
        <v/>
      </c>
      <c r="G26" s="1" t="str">
        <f t="shared" si="0"/>
        <v/>
      </c>
      <c r="I26" s="1" t="str">
        <f>IF(Protokoll_3p!F32="","",IF(VALUE(LEFT(Protokoll_3p!F32,FIND(":",Protokoll_3p!F32)-1))&gt;VALUE(RIGHT(Protokoll_3p!F32,LEN(Protokoll_3p!F32)-FIND(":",Protokoll_3p!F32))),0,1))</f>
        <v/>
      </c>
      <c r="J26" s="1" t="str">
        <f>IF(Protokoll_3p!G32="","",IF(VALUE(LEFT(Protokoll_3p!G32,FIND(":",Protokoll_3p!G32)-1))&gt;VALUE(RIGHT(Protokoll_3p!G32,LEN(Protokoll_3p!G32)-FIND(":",Protokoll_3p!G32))),0,1))</f>
        <v/>
      </c>
      <c r="K26" s="1" t="str">
        <f>IF(Protokoll_3p!H32="","",IF(VALUE(LEFT(Protokoll_3p!H32,FIND(":",Protokoll_3p!H32)-1))&gt;VALUE(RIGHT(Protokoll_3p!H32,LEN(Protokoll_3p!H32)-FIND(":",Protokoll_3p!H32))),0,1))</f>
        <v/>
      </c>
      <c r="L26" s="1" t="str">
        <f>IF(Protokoll_3p!I32="","",IF(VALUE(LEFT(Protokoll_3p!I32,FIND(":",Protokoll_3p!I32)-1))&gt;VALUE(RIGHT(Protokoll_3p!I32,LEN(Protokoll_3p!I32)-FIND(":",Protokoll_3p!I32))),0,1))</f>
        <v/>
      </c>
      <c r="M26" s="1" t="str">
        <f>IF(Protokoll_3p!J32="","",IF(VALUE(LEFT(Protokoll_3p!J32,FIND(":",Protokoll_3p!J32)-1))&gt;VALUE(RIGHT(Protokoll_3p!J32,LEN(Protokoll_3p!J32)-FIND(":",Protokoll_3p!J32))),0,1))</f>
        <v/>
      </c>
      <c r="N26" s="1" t="str">
        <f t="shared" si="1"/>
        <v/>
      </c>
    </row>
    <row r="27" spans="2:14">
      <c r="B27" s="1" t="str">
        <f>IF(Protokoll_3p!F33="","",IF(VALUE(LEFT(Protokoll_3p!F33,FIND(":",Protokoll_3p!F33)-1))&gt;VALUE(RIGHT(Protokoll_3p!F33,LEN(Protokoll_3p!F33)-FIND(":",Protokoll_3p!F33))),1,0))</f>
        <v/>
      </c>
      <c r="C27" s="1" t="str">
        <f>IF(Protokoll_3p!G33="","",IF(VALUE(LEFT(Protokoll_3p!G33,FIND(":",Protokoll_3p!G33)-1))&gt;VALUE(RIGHT(Protokoll_3p!G33,LEN(Protokoll_3p!G33)-FIND(":",Protokoll_3p!G33))),1,0))</f>
        <v/>
      </c>
      <c r="D27" s="1" t="str">
        <f>IF(Protokoll_3p!H33="","",IF(VALUE(LEFT(Protokoll_3p!H33,FIND(":",Protokoll_3p!H33)-1))&gt;VALUE(RIGHT(Protokoll_3p!H33,LEN(Protokoll_3p!H33)-FIND(":",Protokoll_3p!H33))),1,0))</f>
        <v/>
      </c>
      <c r="E27" s="1" t="str">
        <f>IF(Protokoll_3p!I33="","",IF(VALUE(LEFT(Protokoll_3p!I33,FIND(":",Protokoll_3p!I33)-1))&gt;VALUE(RIGHT(Protokoll_3p!I33,LEN(Protokoll_3p!I33)-FIND(":",Protokoll_3p!I33))),1,0))</f>
        <v/>
      </c>
      <c r="F27" s="1" t="str">
        <f>IF(Protokoll_3p!J33="","",IF(VALUE(LEFT(Protokoll_3p!J33,FIND(":",Protokoll_3p!J33)-1))&gt;VALUE(RIGHT(Protokoll_3p!J33,LEN(Protokoll_3p!J33)-FIND(":",Protokoll_3p!J33))),1,0))</f>
        <v/>
      </c>
      <c r="G27" s="1" t="str">
        <f t="shared" si="0"/>
        <v/>
      </c>
      <c r="I27" s="1" t="str">
        <f>IF(Protokoll_3p!F33="","",IF(VALUE(LEFT(Protokoll_3p!F33,FIND(":",Protokoll_3p!F33)-1))&gt;VALUE(RIGHT(Protokoll_3p!F33,LEN(Protokoll_3p!F33)-FIND(":",Protokoll_3p!F33))),0,1))</f>
        <v/>
      </c>
      <c r="J27" s="1" t="str">
        <f>IF(Protokoll_3p!G33="","",IF(VALUE(LEFT(Protokoll_3p!G33,FIND(":",Protokoll_3p!G33)-1))&gt;VALUE(RIGHT(Protokoll_3p!G33,LEN(Protokoll_3p!G33)-FIND(":",Protokoll_3p!G33))),0,1))</f>
        <v/>
      </c>
      <c r="K27" s="1" t="str">
        <f>IF(Protokoll_3p!H33="","",IF(VALUE(LEFT(Protokoll_3p!H33,FIND(":",Protokoll_3p!H33)-1))&gt;VALUE(RIGHT(Protokoll_3p!H33,LEN(Protokoll_3p!H33)-FIND(":",Protokoll_3p!H33))),0,1))</f>
        <v/>
      </c>
      <c r="L27" s="1" t="str">
        <f>IF(Protokoll_3p!I33="","",IF(VALUE(LEFT(Protokoll_3p!I33,FIND(":",Protokoll_3p!I33)-1))&gt;VALUE(RIGHT(Protokoll_3p!I33,LEN(Protokoll_3p!I33)-FIND(":",Protokoll_3p!I33))),0,1))</f>
        <v/>
      </c>
      <c r="M27" s="1" t="str">
        <f>IF(Protokoll_3p!J33="","",IF(VALUE(LEFT(Protokoll_3p!J33,FIND(":",Protokoll_3p!J33)-1))&gt;VALUE(RIGHT(Protokoll_3p!J33,LEN(Protokoll_3p!J33)-FIND(":",Protokoll_3p!J33))),0,1))</f>
        <v/>
      </c>
      <c r="N27" s="1" t="str">
        <f t="shared" si="1"/>
        <v/>
      </c>
    </row>
    <row r="28" spans="2:14">
      <c r="B28" s="1" t="str">
        <f>IF(Protokoll_3p!F34="","",IF(VALUE(LEFT(Protokoll_3p!F34,FIND(":",Protokoll_3p!F34)-1))&gt;VALUE(RIGHT(Protokoll_3p!F34,LEN(Protokoll_3p!F34)-FIND(":",Protokoll_3p!F34))),1,0))</f>
        <v/>
      </c>
      <c r="C28" s="1" t="str">
        <f>IF(Protokoll_3p!G34="","",IF(VALUE(LEFT(Protokoll_3p!G34,FIND(":",Protokoll_3p!G34)-1))&gt;VALUE(RIGHT(Protokoll_3p!G34,LEN(Protokoll_3p!G34)-FIND(":",Protokoll_3p!G34))),1,0))</f>
        <v/>
      </c>
      <c r="D28" s="1" t="str">
        <f>IF(Protokoll_3p!H34="","",IF(VALUE(LEFT(Protokoll_3p!H34,FIND(":",Protokoll_3p!H34)-1))&gt;VALUE(RIGHT(Protokoll_3p!H34,LEN(Protokoll_3p!H34)-FIND(":",Protokoll_3p!H34))),1,0))</f>
        <v/>
      </c>
      <c r="E28" s="1" t="str">
        <f>IF(Protokoll_3p!I34="","",IF(VALUE(LEFT(Protokoll_3p!I34,FIND(":",Protokoll_3p!I34)-1))&gt;VALUE(RIGHT(Protokoll_3p!I34,LEN(Protokoll_3p!I34)-FIND(":",Protokoll_3p!I34))),1,0))</f>
        <v/>
      </c>
      <c r="F28" s="1" t="str">
        <f>IF(Protokoll_3p!J34="","",IF(VALUE(LEFT(Protokoll_3p!J34,FIND(":",Protokoll_3p!J34)-1))&gt;VALUE(RIGHT(Protokoll_3p!J34,LEN(Protokoll_3p!J34)-FIND(":",Protokoll_3p!J34))),1,0))</f>
        <v/>
      </c>
      <c r="G28" s="1" t="str">
        <f t="shared" si="0"/>
        <v/>
      </c>
      <c r="I28" s="1" t="str">
        <f>IF(Protokoll_3p!F34="","",IF(VALUE(LEFT(Protokoll_3p!F34,FIND(":",Protokoll_3p!F34)-1))&gt;VALUE(RIGHT(Protokoll_3p!F34,LEN(Protokoll_3p!F34)-FIND(":",Protokoll_3p!F34))),0,1))</f>
        <v/>
      </c>
      <c r="J28" s="1" t="str">
        <f>IF(Protokoll_3p!G34="","",IF(VALUE(LEFT(Protokoll_3p!G34,FIND(":",Protokoll_3p!G34)-1))&gt;VALUE(RIGHT(Protokoll_3p!G34,LEN(Protokoll_3p!G34)-FIND(":",Protokoll_3p!G34))),0,1))</f>
        <v/>
      </c>
      <c r="K28" s="1" t="str">
        <f>IF(Protokoll_3p!H34="","",IF(VALUE(LEFT(Protokoll_3p!H34,FIND(":",Protokoll_3p!H34)-1))&gt;VALUE(RIGHT(Protokoll_3p!H34,LEN(Protokoll_3p!H34)-FIND(":",Protokoll_3p!H34))),0,1))</f>
        <v/>
      </c>
      <c r="L28" s="1" t="str">
        <f>IF(Protokoll_3p!I34="","",IF(VALUE(LEFT(Protokoll_3p!I34,FIND(":",Protokoll_3p!I34)-1))&gt;VALUE(RIGHT(Protokoll_3p!I34,LEN(Protokoll_3p!I34)-FIND(":",Protokoll_3p!I34))),0,1))</f>
        <v/>
      </c>
      <c r="M28" s="1" t="str">
        <f>IF(Protokoll_3p!J34="","",IF(VALUE(LEFT(Protokoll_3p!J34,FIND(":",Protokoll_3p!J34)-1))&gt;VALUE(RIGHT(Protokoll_3p!J34,LEN(Protokoll_3p!J34)-FIND(":",Protokoll_3p!J34))),0,1))</f>
        <v/>
      </c>
      <c r="N28" s="1" t="str">
        <f t="shared" si="1"/>
        <v/>
      </c>
    </row>
    <row r="29" spans="2:14">
      <c r="B29" s="1" t="str">
        <f>IF(Protokoll_3p!F35="","",IF(VALUE(LEFT(Protokoll_3p!F35,FIND(":",Protokoll_3p!F35)-1))&gt;VALUE(RIGHT(Protokoll_3p!F35,LEN(Protokoll_3p!F35)-FIND(":",Protokoll_3p!F35))),1,0))</f>
        <v/>
      </c>
      <c r="C29" s="1" t="str">
        <f>IF(Protokoll_3p!G35="","",IF(VALUE(LEFT(Protokoll_3p!G35,FIND(":",Protokoll_3p!G35)-1))&gt;VALUE(RIGHT(Protokoll_3p!G35,LEN(Protokoll_3p!G35)-FIND(":",Protokoll_3p!G35))),1,0))</f>
        <v/>
      </c>
      <c r="D29" s="1" t="str">
        <f>IF(Protokoll_3p!H35="","",IF(VALUE(LEFT(Protokoll_3p!H35,FIND(":",Protokoll_3p!H35)-1))&gt;VALUE(RIGHT(Protokoll_3p!H35,LEN(Protokoll_3p!H35)-FIND(":",Protokoll_3p!H35))),1,0))</f>
        <v/>
      </c>
      <c r="E29" s="1" t="str">
        <f>IF(Protokoll_3p!I35="","",IF(VALUE(LEFT(Protokoll_3p!I35,FIND(":",Protokoll_3p!I35)-1))&gt;VALUE(RIGHT(Protokoll_3p!I35,LEN(Protokoll_3p!I35)-FIND(":",Protokoll_3p!I35))),1,0))</f>
        <v/>
      </c>
      <c r="F29" s="1" t="str">
        <f>IF(Protokoll_3p!J35="","",IF(VALUE(LEFT(Protokoll_3p!J35,FIND(":",Protokoll_3p!J35)-1))&gt;VALUE(RIGHT(Protokoll_3p!J35,LEN(Protokoll_3p!J35)-FIND(":",Protokoll_3p!J35))),1,0))</f>
        <v/>
      </c>
      <c r="G29" s="1" t="str">
        <f t="shared" si="0"/>
        <v/>
      </c>
      <c r="I29" s="1" t="str">
        <f>IF(Protokoll_3p!F35="","",IF(VALUE(LEFT(Protokoll_3p!F35,FIND(":",Protokoll_3p!F35)-1))&gt;VALUE(RIGHT(Protokoll_3p!F35,LEN(Protokoll_3p!F35)-FIND(":",Protokoll_3p!F35))),0,1))</f>
        <v/>
      </c>
      <c r="J29" s="1" t="str">
        <f>IF(Protokoll_3p!G35="","",IF(VALUE(LEFT(Protokoll_3p!G35,FIND(":",Protokoll_3p!G35)-1))&gt;VALUE(RIGHT(Protokoll_3p!G35,LEN(Protokoll_3p!G35)-FIND(":",Protokoll_3p!G35))),0,1))</f>
        <v/>
      </c>
      <c r="K29" s="1" t="str">
        <f>IF(Protokoll_3p!H35="","",IF(VALUE(LEFT(Protokoll_3p!H35,FIND(":",Protokoll_3p!H35)-1))&gt;VALUE(RIGHT(Protokoll_3p!H35,LEN(Protokoll_3p!H35)-FIND(":",Protokoll_3p!H35))),0,1))</f>
        <v/>
      </c>
      <c r="L29" s="1" t="str">
        <f>IF(Protokoll_3p!I35="","",IF(VALUE(LEFT(Protokoll_3p!I35,FIND(":",Protokoll_3p!I35)-1))&gt;VALUE(RIGHT(Protokoll_3p!I35,LEN(Protokoll_3p!I35)-FIND(":",Protokoll_3p!I35))),0,1))</f>
        <v/>
      </c>
      <c r="M29" s="1" t="str">
        <f>IF(Protokoll_3p!J35="","",IF(VALUE(LEFT(Protokoll_3p!J35,FIND(":",Protokoll_3p!J35)-1))&gt;VALUE(RIGHT(Protokoll_3p!J35,LEN(Protokoll_3p!J35)-FIND(":",Protokoll_3p!J35))),0,1))</f>
        <v/>
      </c>
      <c r="N29" s="1" t="str">
        <f t="shared" si="1"/>
        <v/>
      </c>
    </row>
    <row r="30" spans="2:14">
      <c r="B30" s="1" t="str">
        <f>IF(Protokoll_3p!F36="","",IF(VALUE(LEFT(Protokoll_3p!F36,FIND(":",Protokoll_3p!F36)-1))&gt;VALUE(RIGHT(Protokoll_3p!F36,LEN(Protokoll_3p!F36)-FIND(":",Protokoll_3p!F36))),1,0))</f>
        <v/>
      </c>
      <c r="C30" s="1" t="str">
        <f>IF(Protokoll_3p!G36="","",IF(VALUE(LEFT(Protokoll_3p!G36,FIND(":",Protokoll_3p!G36)-1))&gt;VALUE(RIGHT(Protokoll_3p!G36,LEN(Protokoll_3p!G36)-FIND(":",Protokoll_3p!G36))),1,0))</f>
        <v/>
      </c>
      <c r="D30" s="1" t="str">
        <f>IF(Protokoll_3p!H36="","",IF(VALUE(LEFT(Protokoll_3p!H36,FIND(":",Protokoll_3p!H36)-1))&gt;VALUE(RIGHT(Protokoll_3p!H36,LEN(Protokoll_3p!H36)-FIND(":",Protokoll_3p!H36))),1,0))</f>
        <v/>
      </c>
      <c r="E30" s="1" t="str">
        <f>IF(Protokoll_3p!I36="","",IF(VALUE(LEFT(Protokoll_3p!I36,FIND(":",Protokoll_3p!I36)-1))&gt;VALUE(RIGHT(Protokoll_3p!I36,LEN(Protokoll_3p!I36)-FIND(":",Protokoll_3p!I36))),1,0))</f>
        <v/>
      </c>
      <c r="F30" s="1" t="str">
        <f>IF(Protokoll_3p!J36="","",IF(VALUE(LEFT(Protokoll_3p!J36,FIND(":",Protokoll_3p!J36)-1))&gt;VALUE(RIGHT(Protokoll_3p!J36,LEN(Protokoll_3p!J36)-FIND(":",Protokoll_3p!J36))),1,0))</f>
        <v/>
      </c>
      <c r="G30" s="1" t="str">
        <f t="shared" si="0"/>
        <v/>
      </c>
      <c r="I30" s="1" t="str">
        <f>IF(Protokoll_3p!F36="","",IF(VALUE(LEFT(Protokoll_3p!F36,FIND(":",Protokoll_3p!F36)-1))&gt;VALUE(RIGHT(Protokoll_3p!F36,LEN(Protokoll_3p!F36)-FIND(":",Protokoll_3p!F36))),0,1))</f>
        <v/>
      </c>
      <c r="J30" s="1" t="str">
        <f>IF(Protokoll_3p!G36="","",IF(VALUE(LEFT(Protokoll_3p!G36,FIND(":",Protokoll_3p!G36)-1))&gt;VALUE(RIGHT(Protokoll_3p!G36,LEN(Protokoll_3p!G36)-FIND(":",Protokoll_3p!G36))),0,1))</f>
        <v/>
      </c>
      <c r="K30" s="1" t="str">
        <f>IF(Protokoll_3p!H36="","",IF(VALUE(LEFT(Protokoll_3p!H36,FIND(":",Protokoll_3p!H36)-1))&gt;VALUE(RIGHT(Protokoll_3p!H36,LEN(Protokoll_3p!H36)-FIND(":",Protokoll_3p!H36))),0,1))</f>
        <v/>
      </c>
      <c r="L30" s="1" t="str">
        <f>IF(Protokoll_3p!I36="","",IF(VALUE(LEFT(Protokoll_3p!I36,FIND(":",Protokoll_3p!I36)-1))&gt;VALUE(RIGHT(Protokoll_3p!I36,LEN(Protokoll_3p!I36)-FIND(":",Protokoll_3p!I36))),0,1))</f>
        <v/>
      </c>
      <c r="M30" s="1" t="str">
        <f>IF(Protokoll_3p!J36="","",IF(VALUE(LEFT(Protokoll_3p!J36,FIND(":",Protokoll_3p!J36)-1))&gt;VALUE(RIGHT(Protokoll_3p!J36,LEN(Protokoll_3p!J36)-FIND(":",Protokoll_3p!J36))),0,1))</f>
        <v/>
      </c>
      <c r="N30" s="1" t="str">
        <f t="shared" si="1"/>
        <v/>
      </c>
    </row>
    <row r="31" spans="2:14">
      <c r="B31" s="1" t="e">
        <f>IF(Protokoll_3p!F37="","",IF(VALUE(LEFT(Protokoll_3p!F37,FIND(":",Protokoll_3p!F37)-1))&gt;VALUE(RIGHT(Protokoll_3p!F37,LEN(Protokoll_3p!F37)-FIND(":",Protokoll_3p!F37))),1,0))</f>
        <v>#VALUE!</v>
      </c>
      <c r="C31" s="1" t="e">
        <f>IF(Protokoll_3p!G37="","",IF(VALUE(LEFT(Protokoll_3p!G37,FIND(":",Protokoll_3p!G37)-1))&gt;VALUE(RIGHT(Protokoll_3p!G37,LEN(Protokoll_3p!G37)-FIND(":",Protokoll_3p!G37))),1,0))</f>
        <v>#VALUE!</v>
      </c>
      <c r="D31" s="1" t="e">
        <f>IF(Protokoll_3p!H37="","",IF(VALUE(LEFT(Protokoll_3p!H37,FIND(":",Protokoll_3p!H37)-1))&gt;VALUE(RIGHT(Protokoll_3p!H37,LEN(Protokoll_3p!H37)-FIND(":",Protokoll_3p!H37))),1,0))</f>
        <v>#VALUE!</v>
      </c>
      <c r="E31" s="1" t="e">
        <f>IF(Protokoll_3p!I37="","",IF(VALUE(LEFT(Protokoll_3p!I37,FIND(":",Protokoll_3p!I37)-1))&gt;VALUE(RIGHT(Protokoll_3p!I37,LEN(Protokoll_3p!I37)-FIND(":",Protokoll_3p!I37))),1,0))</f>
        <v>#VALUE!</v>
      </c>
      <c r="F31" s="1" t="e">
        <f>IF(Protokoll_3p!J37="","",IF(VALUE(LEFT(Protokoll_3p!J37,FIND(":",Protokoll_3p!J37)-1))&gt;VALUE(RIGHT(Protokoll_3p!J37,LEN(Protokoll_3p!J37)-FIND(":",Protokoll_3p!J37))),1,0))</f>
        <v>#VALUE!</v>
      </c>
      <c r="G31" s="1" t="e">
        <f t="shared" si="0"/>
        <v>#VALUE!</v>
      </c>
      <c r="I31" s="1" t="e">
        <f>IF(Protokoll_3p!F37="","",IF(VALUE(LEFT(Protokoll_3p!F37,FIND(":",Protokoll_3p!F37)-1))&gt;VALUE(RIGHT(Protokoll_3p!F37,LEN(Protokoll_3p!F37)-FIND(":",Protokoll_3p!F37))),0,1))</f>
        <v>#VALUE!</v>
      </c>
      <c r="J31" s="1" t="e">
        <f>IF(Protokoll_3p!G37="","",IF(VALUE(LEFT(Protokoll_3p!G37,FIND(":",Protokoll_3p!G37)-1))&gt;VALUE(RIGHT(Protokoll_3p!G37,LEN(Protokoll_3p!G37)-FIND(":",Protokoll_3p!G37))),0,1))</f>
        <v>#VALUE!</v>
      </c>
      <c r="K31" s="1" t="e">
        <f>IF(Protokoll_3p!H37="","",IF(VALUE(LEFT(Protokoll_3p!H37,FIND(":",Protokoll_3p!H37)-1))&gt;VALUE(RIGHT(Protokoll_3p!H37,LEN(Protokoll_3p!H37)-FIND(":",Protokoll_3p!H37))),0,1))</f>
        <v>#VALUE!</v>
      </c>
      <c r="L31" s="1" t="e">
        <f>IF(Protokoll_3p!I37="","",IF(VALUE(LEFT(Protokoll_3p!I37,FIND(":",Protokoll_3p!I37)-1))&gt;VALUE(RIGHT(Protokoll_3p!I37,LEN(Protokoll_3p!I37)-FIND(":",Protokoll_3p!I37))),0,1))</f>
        <v>#VALUE!</v>
      </c>
      <c r="M31" s="1" t="e">
        <f>IF(Protokoll_3p!J37="","",IF(VALUE(LEFT(Protokoll_3p!J37,FIND(":",Protokoll_3p!J37)-1))&gt;VALUE(RIGHT(Protokoll_3p!J37,LEN(Protokoll_3p!J37)-FIND(":",Protokoll_3p!J37))),0,1))</f>
        <v>#VALUE!</v>
      </c>
      <c r="N31" s="1" t="e">
        <f t="shared" si="1"/>
        <v>#VALUE!</v>
      </c>
    </row>
    <row r="32" spans="2:14">
      <c r="B32" s="1">
        <f>IF(Protokoll_3p!F38="","",IF(VALUE(LEFT(Protokoll_3p!F38,FIND(":",Protokoll_3p!F38)-1))&gt;VALUE(RIGHT(Protokoll_3p!F38,LEN(Protokoll_3p!F38)-FIND(":",Protokoll_3p!F38))),1,0))</f>
        <v>0</v>
      </c>
      <c r="C32" s="1">
        <f>IF(Protokoll_3p!G38="","",IF(VALUE(LEFT(Protokoll_3p!G38,FIND(":",Protokoll_3p!G38)-1))&gt;VALUE(RIGHT(Protokoll_3p!G38,LEN(Protokoll_3p!G38)-FIND(":",Protokoll_3p!G38))),1,0))</f>
        <v>0</v>
      </c>
      <c r="D32" s="1">
        <f>IF(Protokoll_3p!H38="","",IF(VALUE(LEFT(Protokoll_3p!H38,FIND(":",Protokoll_3p!H38)-1))&gt;VALUE(RIGHT(Protokoll_3p!H38,LEN(Protokoll_3p!H38)-FIND(":",Protokoll_3p!H38))),1,0))</f>
        <v>0</v>
      </c>
      <c r="E32" s="1" t="str">
        <f>IF(Protokoll_3p!I38="","",IF(VALUE(LEFT(Protokoll_3p!I38,FIND(":",Protokoll_3p!I38)-1))&gt;VALUE(RIGHT(Protokoll_3p!I38,LEN(Protokoll_3p!I38)-FIND(":",Protokoll_3p!I38))),1,0))</f>
        <v/>
      </c>
      <c r="F32" s="1" t="str">
        <f>IF(Protokoll_3p!J38="","",IF(VALUE(LEFT(Protokoll_3p!J38,FIND(":",Protokoll_3p!J38)-1))&gt;VALUE(RIGHT(Protokoll_3p!J38,LEN(Protokoll_3p!J38)-FIND(":",Protokoll_3p!J38))),1,0))</f>
        <v/>
      </c>
      <c r="G32" s="1">
        <f t="shared" si="0"/>
        <v>0</v>
      </c>
      <c r="I32" s="1">
        <f>IF(Protokoll_3p!F38="","",IF(VALUE(LEFT(Protokoll_3p!F38,FIND(":",Protokoll_3p!F38)-1))&gt;VALUE(RIGHT(Protokoll_3p!F38,LEN(Protokoll_3p!F38)-FIND(":",Protokoll_3p!F38))),0,1))</f>
        <v>1</v>
      </c>
      <c r="J32" s="1">
        <f>IF(Protokoll_3p!G38="","",IF(VALUE(LEFT(Protokoll_3p!G38,FIND(":",Protokoll_3p!G38)-1))&gt;VALUE(RIGHT(Protokoll_3p!G38,LEN(Protokoll_3p!G38)-FIND(":",Protokoll_3p!G38))),0,1))</f>
        <v>1</v>
      </c>
      <c r="K32" s="1">
        <f>IF(Protokoll_3p!H38="","",IF(VALUE(LEFT(Protokoll_3p!H38,FIND(":",Protokoll_3p!H38)-1))&gt;VALUE(RIGHT(Protokoll_3p!H38,LEN(Protokoll_3p!H38)-FIND(":",Protokoll_3p!H38))),0,1))</f>
        <v>1</v>
      </c>
      <c r="L32" s="1" t="str">
        <f>IF(Protokoll_3p!I38="","",IF(VALUE(LEFT(Protokoll_3p!I38,FIND(":",Protokoll_3p!I38)-1))&gt;VALUE(RIGHT(Protokoll_3p!I38,LEN(Protokoll_3p!I38)-FIND(":",Protokoll_3p!I38))),0,1))</f>
        <v/>
      </c>
      <c r="M32" s="1" t="str">
        <f>IF(Protokoll_3p!J38="","",IF(VALUE(LEFT(Protokoll_3p!J38,FIND(":",Protokoll_3p!J38)-1))&gt;VALUE(RIGHT(Protokoll_3p!J38,LEN(Protokoll_3p!J38)-FIND(":",Protokoll_3p!J38))),0,1))</f>
        <v/>
      </c>
      <c r="N32" s="1">
        <f t="shared" si="1"/>
        <v>3</v>
      </c>
    </row>
    <row r="33" spans="2:14">
      <c r="B33" s="1">
        <f>IF(Protokoll_3p!F39="","",IF(VALUE(LEFT(Protokoll_3p!F39,FIND(":",Protokoll_3p!F39)-1))&gt;VALUE(RIGHT(Protokoll_3p!F39,LEN(Protokoll_3p!F39)-FIND(":",Protokoll_3p!F39))),1,0))</f>
        <v>1</v>
      </c>
      <c r="C33" s="1">
        <f>IF(Protokoll_3p!G39="","",IF(VALUE(LEFT(Protokoll_3p!G39,FIND(":",Protokoll_3p!G39)-1))&gt;VALUE(RIGHT(Protokoll_3p!G39,LEN(Protokoll_3p!G39)-FIND(":",Protokoll_3p!G39))),1,0))</f>
        <v>1</v>
      </c>
      <c r="D33" s="1">
        <f>IF(Protokoll_3p!H39="","",IF(VALUE(LEFT(Protokoll_3p!H39,FIND(":",Protokoll_3p!H39)-1))&gt;VALUE(RIGHT(Protokoll_3p!H39,LEN(Protokoll_3p!H39)-FIND(":",Protokoll_3p!H39))),1,0))</f>
        <v>1</v>
      </c>
      <c r="E33" s="1" t="str">
        <f>IF(Protokoll_3p!I39="","",IF(VALUE(LEFT(Protokoll_3p!I39,FIND(":",Protokoll_3p!I39)-1))&gt;VALUE(RIGHT(Protokoll_3p!I39,LEN(Protokoll_3p!I39)-FIND(":",Protokoll_3p!I39))),1,0))</f>
        <v/>
      </c>
      <c r="F33" s="1" t="str">
        <f>IF(Protokoll_3p!J39="","",IF(VALUE(LEFT(Protokoll_3p!J39,FIND(":",Protokoll_3p!J39)-1))&gt;VALUE(RIGHT(Protokoll_3p!J39,LEN(Protokoll_3p!J39)-FIND(":",Protokoll_3p!J39))),1,0))</f>
        <v/>
      </c>
      <c r="G33" s="1">
        <f t="shared" si="0"/>
        <v>3</v>
      </c>
      <c r="I33" s="1">
        <f>IF(Protokoll_3p!F39="","",IF(VALUE(LEFT(Protokoll_3p!F39,FIND(":",Protokoll_3p!F39)-1))&gt;VALUE(RIGHT(Protokoll_3p!F39,LEN(Protokoll_3p!F39)-FIND(":",Protokoll_3p!F39))),0,1))</f>
        <v>0</v>
      </c>
      <c r="J33" s="1">
        <f>IF(Protokoll_3p!G39="","",IF(VALUE(LEFT(Protokoll_3p!G39,FIND(":",Protokoll_3p!G39)-1))&gt;VALUE(RIGHT(Protokoll_3p!G39,LEN(Protokoll_3p!G39)-FIND(":",Protokoll_3p!G39))),0,1))</f>
        <v>0</v>
      </c>
      <c r="K33" s="1">
        <f>IF(Protokoll_3p!H39="","",IF(VALUE(LEFT(Protokoll_3p!H39,FIND(":",Protokoll_3p!H39)-1))&gt;VALUE(RIGHT(Protokoll_3p!H39,LEN(Protokoll_3p!H39)-FIND(":",Protokoll_3p!H39))),0,1))</f>
        <v>0</v>
      </c>
      <c r="L33" s="1" t="str">
        <f>IF(Protokoll_3p!I39="","",IF(VALUE(LEFT(Protokoll_3p!I39,FIND(":",Protokoll_3p!I39)-1))&gt;VALUE(RIGHT(Protokoll_3p!I39,LEN(Protokoll_3p!I39)-FIND(":",Protokoll_3p!I39))),0,1))</f>
        <v/>
      </c>
      <c r="M33" s="1" t="str">
        <f>IF(Protokoll_3p!J39="","",IF(VALUE(LEFT(Protokoll_3p!J39,FIND(":",Protokoll_3p!J39)-1))&gt;VALUE(RIGHT(Protokoll_3p!J39,LEN(Protokoll_3p!J39)-FIND(":",Protokoll_3p!J39))),0,1))</f>
        <v/>
      </c>
      <c r="N33" s="1">
        <f t="shared" si="1"/>
        <v>0</v>
      </c>
    </row>
    <row r="34" spans="2:14">
      <c r="B34" s="1">
        <f>IF(Protokoll_3p!F40="","",IF(VALUE(LEFT(Protokoll_3p!F40,FIND(":",Protokoll_3p!F40)-1))&gt;VALUE(RIGHT(Protokoll_3p!F40,LEN(Protokoll_3p!F40)-FIND(":",Protokoll_3p!F40))),1,0))</f>
        <v>1</v>
      </c>
      <c r="C34" s="1">
        <f>IF(Protokoll_3p!G40="","",IF(VALUE(LEFT(Protokoll_3p!G40,FIND(":",Protokoll_3p!G40)-1))&gt;VALUE(RIGHT(Protokoll_3p!G40,LEN(Protokoll_3p!G40)-FIND(":",Protokoll_3p!G40))),1,0))</f>
        <v>1</v>
      </c>
      <c r="D34" s="1">
        <f>IF(Protokoll_3p!H40="","",IF(VALUE(LEFT(Protokoll_3p!H40,FIND(":",Protokoll_3p!H40)-1))&gt;VALUE(RIGHT(Protokoll_3p!H40,LEN(Protokoll_3p!H40)-FIND(":",Protokoll_3p!H40))),1,0))</f>
        <v>1</v>
      </c>
      <c r="E34" s="1" t="str">
        <f>IF(Protokoll_3p!I40="","",IF(VALUE(LEFT(Protokoll_3p!I40,FIND(":",Protokoll_3p!I40)-1))&gt;VALUE(RIGHT(Protokoll_3p!I40,LEN(Protokoll_3p!I40)-FIND(":",Protokoll_3p!I40))),1,0))</f>
        <v/>
      </c>
      <c r="F34" s="1" t="str">
        <f>IF(Protokoll_3p!J40="","",IF(VALUE(LEFT(Protokoll_3p!J40,FIND(":",Protokoll_3p!J40)-1))&gt;VALUE(RIGHT(Protokoll_3p!J40,LEN(Protokoll_3p!J40)-FIND(":",Protokoll_3p!J40))),1,0))</f>
        <v/>
      </c>
      <c r="G34" s="1">
        <f t="shared" si="0"/>
        <v>3</v>
      </c>
      <c r="I34" s="1">
        <f>IF(Protokoll_3p!F40="","",IF(VALUE(LEFT(Protokoll_3p!F40,FIND(":",Protokoll_3p!F40)-1))&gt;VALUE(RIGHT(Protokoll_3p!F40,LEN(Protokoll_3p!F40)-FIND(":",Protokoll_3p!F40))),0,1))</f>
        <v>0</v>
      </c>
      <c r="J34" s="1">
        <f>IF(Protokoll_3p!G40="","",IF(VALUE(LEFT(Protokoll_3p!G40,FIND(":",Protokoll_3p!G40)-1))&gt;VALUE(RIGHT(Protokoll_3p!G40,LEN(Protokoll_3p!G40)-FIND(":",Protokoll_3p!G40))),0,1))</f>
        <v>0</v>
      </c>
      <c r="K34" s="1">
        <f>IF(Protokoll_3p!H40="","",IF(VALUE(LEFT(Protokoll_3p!H40,FIND(":",Protokoll_3p!H40)-1))&gt;VALUE(RIGHT(Protokoll_3p!H40,LEN(Protokoll_3p!H40)-FIND(":",Protokoll_3p!H40))),0,1))</f>
        <v>0</v>
      </c>
      <c r="L34" s="1" t="str">
        <f>IF(Protokoll_3p!I40="","",IF(VALUE(LEFT(Protokoll_3p!I40,FIND(":",Protokoll_3p!I40)-1))&gt;VALUE(RIGHT(Protokoll_3p!I40,LEN(Protokoll_3p!I40)-FIND(":",Protokoll_3p!I40))),0,1))</f>
        <v/>
      </c>
      <c r="M34" s="1" t="str">
        <f>IF(Protokoll_3p!J40="","",IF(VALUE(LEFT(Protokoll_3p!J40,FIND(":",Protokoll_3p!J40)-1))&gt;VALUE(RIGHT(Protokoll_3p!J40,LEN(Protokoll_3p!J40)-FIND(":",Protokoll_3p!J40))),0,1))</f>
        <v/>
      </c>
      <c r="N34" s="1">
        <f t="shared" si="1"/>
        <v>0</v>
      </c>
    </row>
    <row r="35" spans="2:14">
      <c r="B35" s="1">
        <f>IF(Protokoll_3p!F41="","",IF(VALUE(LEFT(Protokoll_3p!F41,FIND(":",Protokoll_3p!F41)-1))&gt;VALUE(RIGHT(Protokoll_3p!F41,LEN(Protokoll_3p!F41)-FIND(":",Protokoll_3p!F41))),1,0))</f>
        <v>1</v>
      </c>
      <c r="C35" s="1">
        <f>IF(Protokoll_3p!G41="","",IF(VALUE(LEFT(Protokoll_3p!G41,FIND(":",Protokoll_3p!G41)-1))&gt;VALUE(RIGHT(Protokoll_3p!G41,LEN(Protokoll_3p!G41)-FIND(":",Protokoll_3p!G41))),1,0))</f>
        <v>1</v>
      </c>
      <c r="D35" s="1">
        <f>IF(Protokoll_3p!H41="","",IF(VALUE(LEFT(Protokoll_3p!H41,FIND(":",Protokoll_3p!H41)-1))&gt;VALUE(RIGHT(Protokoll_3p!H41,LEN(Protokoll_3p!H41)-FIND(":",Protokoll_3p!H41))),1,0))</f>
        <v>1</v>
      </c>
      <c r="E35" s="1" t="str">
        <f>IF(Protokoll_3p!I41="","",IF(VALUE(LEFT(Protokoll_3p!I41,FIND(":",Protokoll_3p!I41)-1))&gt;VALUE(RIGHT(Protokoll_3p!I41,LEN(Protokoll_3p!I41)-FIND(":",Protokoll_3p!I41))),1,0))</f>
        <v/>
      </c>
      <c r="F35" s="1" t="str">
        <f>IF(Protokoll_3p!J41="","",IF(VALUE(LEFT(Protokoll_3p!J41,FIND(":",Protokoll_3p!J41)-1))&gt;VALUE(RIGHT(Protokoll_3p!J41,LEN(Protokoll_3p!J41)-FIND(":",Protokoll_3p!J41))),1,0))</f>
        <v/>
      </c>
      <c r="G35" s="1">
        <f t="shared" si="0"/>
        <v>3</v>
      </c>
      <c r="I35" s="1">
        <f>IF(Protokoll_3p!F41="","",IF(VALUE(LEFT(Protokoll_3p!F41,FIND(":",Protokoll_3p!F41)-1))&gt;VALUE(RIGHT(Protokoll_3p!F41,LEN(Protokoll_3p!F41)-FIND(":",Protokoll_3p!F41))),0,1))</f>
        <v>0</v>
      </c>
      <c r="J35" s="1">
        <f>IF(Protokoll_3p!G41="","",IF(VALUE(LEFT(Protokoll_3p!G41,FIND(":",Protokoll_3p!G41)-1))&gt;VALUE(RIGHT(Protokoll_3p!G41,LEN(Protokoll_3p!G41)-FIND(":",Protokoll_3p!G41))),0,1))</f>
        <v>0</v>
      </c>
      <c r="K35" s="1">
        <f>IF(Protokoll_3p!H41="","",IF(VALUE(LEFT(Protokoll_3p!H41,FIND(":",Protokoll_3p!H41)-1))&gt;VALUE(RIGHT(Protokoll_3p!H41,LEN(Protokoll_3p!H41)-FIND(":",Protokoll_3p!H41))),0,1))</f>
        <v>0</v>
      </c>
      <c r="L35" s="1" t="str">
        <f>IF(Protokoll_3p!I41="","",IF(VALUE(LEFT(Protokoll_3p!I41,FIND(":",Protokoll_3p!I41)-1))&gt;VALUE(RIGHT(Protokoll_3p!I41,LEN(Protokoll_3p!I41)-FIND(":",Protokoll_3p!I41))),0,1))</f>
        <v/>
      </c>
      <c r="M35" s="1" t="str">
        <f>IF(Protokoll_3p!J41="","",IF(VALUE(LEFT(Protokoll_3p!J41,FIND(":",Protokoll_3p!J41)-1))&gt;VALUE(RIGHT(Protokoll_3p!J41,LEN(Protokoll_3p!J41)-FIND(":",Protokoll_3p!J41))),0,1))</f>
        <v/>
      </c>
      <c r="N35" s="1">
        <f t="shared" si="1"/>
        <v>0</v>
      </c>
    </row>
    <row r="36" spans="2:14">
      <c r="B36" s="1" t="str">
        <f>IF(Protokoll_3p!F42="","",IF(VALUE(LEFT(Protokoll_3p!F42,FIND(":",Protokoll_3p!F42)-1))&gt;VALUE(RIGHT(Protokoll_3p!F42,LEN(Protokoll_3p!F42)-FIND(":",Protokoll_3p!F42))),1,0))</f>
        <v/>
      </c>
      <c r="C36" s="1" t="str">
        <f>IF(Protokoll_3p!G42="","",IF(VALUE(LEFT(Protokoll_3p!G42,FIND(":",Protokoll_3p!G42)-1))&gt;VALUE(RIGHT(Protokoll_3p!G42,LEN(Protokoll_3p!G42)-FIND(":",Protokoll_3p!G42))),1,0))</f>
        <v/>
      </c>
      <c r="D36" s="1" t="str">
        <f>IF(Protokoll_3p!H42="","",IF(VALUE(LEFT(Protokoll_3p!H42,FIND(":",Protokoll_3p!H42)-1))&gt;VALUE(RIGHT(Protokoll_3p!H42,LEN(Protokoll_3p!H42)-FIND(":",Protokoll_3p!H42))),1,0))</f>
        <v/>
      </c>
      <c r="E36" s="1" t="str">
        <f>IF(Protokoll_3p!I42="","",IF(VALUE(LEFT(Protokoll_3p!I42,FIND(":",Protokoll_3p!I42)-1))&gt;VALUE(RIGHT(Protokoll_3p!I42,LEN(Protokoll_3p!I42)-FIND(":",Protokoll_3p!I42))),1,0))</f>
        <v/>
      </c>
      <c r="F36" s="1" t="str">
        <f>IF(Protokoll_3p!J42="","",IF(VALUE(LEFT(Protokoll_3p!J42,FIND(":",Protokoll_3p!J42)-1))&gt;VALUE(RIGHT(Protokoll_3p!J42,LEN(Protokoll_3p!J42)-FIND(":",Protokoll_3p!J42))),1,0))</f>
        <v/>
      </c>
      <c r="G36" s="1" t="str">
        <f t="shared" si="0"/>
        <v/>
      </c>
      <c r="I36" s="1" t="str">
        <f>IF(Protokoll_3p!F42="","",IF(VALUE(LEFT(Protokoll_3p!F42,FIND(":",Protokoll_3p!F42)-1))&gt;VALUE(RIGHT(Protokoll_3p!F42,LEN(Protokoll_3p!F42)-FIND(":",Protokoll_3p!F42))),0,1))</f>
        <v/>
      </c>
      <c r="J36" s="1" t="str">
        <f>IF(Protokoll_3p!G42="","",IF(VALUE(LEFT(Protokoll_3p!G42,FIND(":",Protokoll_3p!G42)-1))&gt;VALUE(RIGHT(Protokoll_3p!G42,LEN(Protokoll_3p!G42)-FIND(":",Protokoll_3p!G42))),0,1))</f>
        <v/>
      </c>
      <c r="K36" s="1" t="str">
        <f>IF(Protokoll_3p!H42="","",IF(VALUE(LEFT(Protokoll_3p!H42,FIND(":",Protokoll_3p!H42)-1))&gt;VALUE(RIGHT(Protokoll_3p!H42,LEN(Protokoll_3p!H42)-FIND(":",Protokoll_3p!H42))),0,1))</f>
        <v/>
      </c>
      <c r="L36" s="1" t="str">
        <f>IF(Protokoll_3p!I42="","",IF(VALUE(LEFT(Protokoll_3p!I42,FIND(":",Protokoll_3p!I42)-1))&gt;VALUE(RIGHT(Protokoll_3p!I42,LEN(Protokoll_3p!I42)-FIND(":",Protokoll_3p!I42))),0,1))</f>
        <v/>
      </c>
      <c r="M36" s="1" t="str">
        <f>IF(Protokoll_3p!J42="","",IF(VALUE(LEFT(Protokoll_3p!J42,FIND(":",Protokoll_3p!J42)-1))&gt;VALUE(RIGHT(Protokoll_3p!J42,LEN(Protokoll_3p!J42)-FIND(":",Protokoll_3p!J42))),0,1))</f>
        <v/>
      </c>
      <c r="N36" s="1" t="str">
        <f t="shared" si="1"/>
        <v/>
      </c>
    </row>
    <row r="37" spans="2:14">
      <c r="B37" s="1">
        <f>IF(Protokoll_3p!F43="","",IF(VALUE(LEFT(Protokoll_3p!F43,FIND(":",Protokoll_3p!F43)-1))&gt;VALUE(RIGHT(Protokoll_3p!F43,LEN(Protokoll_3p!F43)-FIND(":",Protokoll_3p!F43))),1,0))</f>
        <v>1</v>
      </c>
      <c r="C37" s="1">
        <f>IF(Protokoll_3p!G43="","",IF(VALUE(LEFT(Protokoll_3p!G43,FIND(":",Protokoll_3p!G43)-1))&gt;VALUE(RIGHT(Protokoll_3p!G43,LEN(Protokoll_3p!G43)-FIND(":",Protokoll_3p!G43))),1,0))</f>
        <v>1</v>
      </c>
      <c r="D37" s="1">
        <f>IF(Protokoll_3p!H43="","",IF(VALUE(LEFT(Protokoll_3p!H43,FIND(":",Protokoll_3p!H43)-1))&gt;VALUE(RIGHT(Protokoll_3p!H43,LEN(Protokoll_3p!H43)-FIND(":",Protokoll_3p!H43))),1,0))</f>
        <v>1</v>
      </c>
      <c r="E37" s="1" t="str">
        <f>IF(Protokoll_3p!I43="","",IF(VALUE(LEFT(Protokoll_3p!I43,FIND(":",Protokoll_3p!I43)-1))&gt;VALUE(RIGHT(Protokoll_3p!I43,LEN(Protokoll_3p!I43)-FIND(":",Protokoll_3p!I43))),1,0))</f>
        <v/>
      </c>
      <c r="F37" s="1" t="str">
        <f>IF(Protokoll_3p!J43="","",IF(VALUE(LEFT(Protokoll_3p!J43,FIND(":",Protokoll_3p!J43)-1))&gt;VALUE(RIGHT(Protokoll_3p!J43,LEN(Protokoll_3p!J43)-FIND(":",Protokoll_3p!J43))),1,0))</f>
        <v/>
      </c>
      <c r="G37" s="1">
        <f t="shared" si="0"/>
        <v>3</v>
      </c>
      <c r="I37" s="1">
        <f>IF(Protokoll_3p!F43="","",IF(VALUE(LEFT(Protokoll_3p!F43,FIND(":",Protokoll_3p!F43)-1))&gt;VALUE(RIGHT(Protokoll_3p!F43,LEN(Protokoll_3p!F43)-FIND(":",Protokoll_3p!F43))),0,1))</f>
        <v>0</v>
      </c>
      <c r="J37" s="1">
        <f>IF(Protokoll_3p!G43="","",IF(VALUE(LEFT(Protokoll_3p!G43,FIND(":",Protokoll_3p!G43)-1))&gt;VALUE(RIGHT(Protokoll_3p!G43,LEN(Protokoll_3p!G43)-FIND(":",Protokoll_3p!G43))),0,1))</f>
        <v>0</v>
      </c>
      <c r="K37" s="1">
        <f>IF(Protokoll_3p!H43="","",IF(VALUE(LEFT(Protokoll_3p!H43,FIND(":",Protokoll_3p!H43)-1))&gt;VALUE(RIGHT(Protokoll_3p!H43,LEN(Protokoll_3p!H43)-FIND(":",Protokoll_3p!H43))),0,1))</f>
        <v>0</v>
      </c>
      <c r="L37" s="1" t="str">
        <f>IF(Protokoll_3p!I43="","",IF(VALUE(LEFT(Protokoll_3p!I43,FIND(":",Protokoll_3p!I43)-1))&gt;VALUE(RIGHT(Protokoll_3p!I43,LEN(Protokoll_3p!I43)-FIND(":",Protokoll_3p!I43))),0,1))</f>
        <v/>
      </c>
      <c r="M37" s="1" t="str">
        <f>IF(Protokoll_3p!J43="","",IF(VALUE(LEFT(Protokoll_3p!J43,FIND(":",Protokoll_3p!J43)-1))&gt;VALUE(RIGHT(Protokoll_3p!J43,LEN(Protokoll_3p!J43)-FIND(":",Protokoll_3p!J43))),0,1))</f>
        <v/>
      </c>
      <c r="N37" s="1">
        <f t="shared" si="1"/>
        <v>0</v>
      </c>
    </row>
    <row r="38" spans="2:14">
      <c r="B38" s="1" t="str">
        <f>IF(Protokoll_3p!F44="","",IF(VALUE(LEFT(Protokoll_3p!F44,FIND(":",Protokoll_3p!F44)-1))&gt;VALUE(RIGHT(Protokoll_3p!F44,LEN(Protokoll_3p!F44)-FIND(":",Protokoll_3p!F44))),1,0))</f>
        <v/>
      </c>
      <c r="C38" s="1" t="str">
        <f>IF(Protokoll_3p!G44="","",IF(VALUE(LEFT(Protokoll_3p!G44,FIND(":",Protokoll_3p!G44)-1))&gt;VALUE(RIGHT(Protokoll_3p!G44,LEN(Protokoll_3p!G44)-FIND(":",Protokoll_3p!G44))),1,0))</f>
        <v/>
      </c>
      <c r="D38" s="1" t="str">
        <f>IF(Protokoll_3p!H44="","",IF(VALUE(LEFT(Protokoll_3p!H44,FIND(":",Protokoll_3p!H44)-1))&gt;VALUE(RIGHT(Protokoll_3p!H44,LEN(Protokoll_3p!H44)-FIND(":",Protokoll_3p!H44))),1,0))</f>
        <v/>
      </c>
      <c r="E38" s="1" t="str">
        <f>IF(Protokoll_3p!I44="","",IF(VALUE(LEFT(Protokoll_3p!I44,FIND(":",Protokoll_3p!I44)-1))&gt;VALUE(RIGHT(Protokoll_3p!I44,LEN(Protokoll_3p!I44)-FIND(":",Protokoll_3p!I44))),1,0))</f>
        <v/>
      </c>
      <c r="F38" s="1" t="str">
        <f>IF(Protokoll_3p!J44="","",IF(VALUE(LEFT(Protokoll_3p!J44,FIND(":",Protokoll_3p!J44)-1))&gt;VALUE(RIGHT(Protokoll_3p!J44,LEN(Protokoll_3p!J44)-FIND(":",Protokoll_3p!J44))),1,0))</f>
        <v/>
      </c>
      <c r="G38" s="1" t="str">
        <f t="shared" si="0"/>
        <v/>
      </c>
      <c r="I38" s="1" t="str">
        <f>IF(Protokoll_3p!F44="","",IF(VALUE(LEFT(Protokoll_3p!F44,FIND(":",Protokoll_3p!F44)-1))&gt;VALUE(RIGHT(Protokoll_3p!F44,LEN(Protokoll_3p!F44)-FIND(":",Protokoll_3p!F44))),0,1))</f>
        <v/>
      </c>
      <c r="J38" s="1" t="str">
        <f>IF(Protokoll_3p!G44="","",IF(VALUE(LEFT(Protokoll_3p!G44,FIND(":",Protokoll_3p!G44)-1))&gt;VALUE(RIGHT(Protokoll_3p!G44,LEN(Protokoll_3p!G44)-FIND(":",Protokoll_3p!G44))),0,1))</f>
        <v/>
      </c>
      <c r="K38" s="1" t="str">
        <f>IF(Protokoll_3p!H44="","",IF(VALUE(LEFT(Protokoll_3p!H44,FIND(":",Protokoll_3p!H44)-1))&gt;VALUE(RIGHT(Protokoll_3p!H44,LEN(Protokoll_3p!H44)-FIND(":",Protokoll_3p!H44))),0,1))</f>
        <v/>
      </c>
      <c r="L38" s="1" t="str">
        <f>IF(Protokoll_3p!I44="","",IF(VALUE(LEFT(Protokoll_3p!I44,FIND(":",Protokoll_3p!I44)-1))&gt;VALUE(RIGHT(Protokoll_3p!I44,LEN(Protokoll_3p!I44)-FIND(":",Protokoll_3p!I44))),0,1))</f>
        <v/>
      </c>
      <c r="M38" s="1" t="str">
        <f>IF(Protokoll_3p!J44="","",IF(VALUE(LEFT(Protokoll_3p!J44,FIND(":",Protokoll_3p!J44)-1))&gt;VALUE(RIGHT(Protokoll_3p!J44,LEN(Protokoll_3p!J44)-FIND(":",Protokoll_3p!J44))),0,1))</f>
        <v/>
      </c>
      <c r="N38" s="1" t="str">
        <f t="shared" si="1"/>
        <v/>
      </c>
    </row>
    <row r="39" spans="2:14">
      <c r="B39" s="1" t="str">
        <f>IF(Protokoll_3p!F45="","",IF(VALUE(LEFT(Protokoll_3p!F45,FIND(":",Protokoll_3p!F45)-1))&gt;VALUE(RIGHT(Protokoll_3p!F45,LEN(Protokoll_3p!F45)-FIND(":",Protokoll_3p!F45))),1,0))</f>
        <v/>
      </c>
      <c r="C39" s="1" t="str">
        <f>IF(Protokoll_3p!G45="","",IF(VALUE(LEFT(Protokoll_3p!G45,FIND(":",Protokoll_3p!G45)-1))&gt;VALUE(RIGHT(Protokoll_3p!G45,LEN(Protokoll_3p!G45)-FIND(":",Protokoll_3p!G45))),1,0))</f>
        <v/>
      </c>
      <c r="D39" s="1" t="str">
        <f>IF(Protokoll_3p!H45="","",IF(VALUE(LEFT(Protokoll_3p!H45,FIND(":",Protokoll_3p!H45)-1))&gt;VALUE(RIGHT(Protokoll_3p!H45,LEN(Protokoll_3p!H45)-FIND(":",Protokoll_3p!H45))),1,0))</f>
        <v/>
      </c>
      <c r="E39" s="1" t="str">
        <f>IF(Protokoll_3p!I45="","",IF(VALUE(LEFT(Protokoll_3p!I45,FIND(":",Protokoll_3p!I45)-1))&gt;VALUE(RIGHT(Protokoll_3p!I45,LEN(Protokoll_3p!I45)-FIND(":",Protokoll_3p!I45))),1,0))</f>
        <v/>
      </c>
      <c r="F39" s="1" t="str">
        <f>IF(Protokoll_3p!J45="","",IF(VALUE(LEFT(Protokoll_3p!J45,FIND(":",Protokoll_3p!J45)-1))&gt;VALUE(RIGHT(Protokoll_3p!J45,LEN(Protokoll_3p!J45)-FIND(":",Protokoll_3p!J45))),1,0))</f>
        <v/>
      </c>
      <c r="G39" s="1" t="str">
        <f t="shared" si="0"/>
        <v/>
      </c>
      <c r="I39" s="1" t="str">
        <f>IF(Protokoll_3p!F45="","",IF(VALUE(LEFT(Protokoll_3p!F45,FIND(":",Protokoll_3p!F45)-1))&gt;VALUE(RIGHT(Protokoll_3p!F45,LEN(Protokoll_3p!F45)-FIND(":",Protokoll_3p!F45))),0,1))</f>
        <v/>
      </c>
      <c r="J39" s="1" t="str">
        <f>IF(Protokoll_3p!G45="","",IF(VALUE(LEFT(Protokoll_3p!G45,FIND(":",Protokoll_3p!G45)-1))&gt;VALUE(RIGHT(Protokoll_3p!G45,LEN(Protokoll_3p!G45)-FIND(":",Protokoll_3p!G45))),0,1))</f>
        <v/>
      </c>
      <c r="K39" s="1" t="str">
        <f>IF(Protokoll_3p!H45="","",IF(VALUE(LEFT(Protokoll_3p!H45,FIND(":",Protokoll_3p!H45)-1))&gt;VALUE(RIGHT(Protokoll_3p!H45,LEN(Protokoll_3p!H45)-FIND(":",Protokoll_3p!H45))),0,1))</f>
        <v/>
      </c>
      <c r="L39" s="1" t="str">
        <f>IF(Protokoll_3p!I45="","",IF(VALUE(LEFT(Protokoll_3p!I45,FIND(":",Protokoll_3p!I45)-1))&gt;VALUE(RIGHT(Protokoll_3p!I45,LEN(Protokoll_3p!I45)-FIND(":",Protokoll_3p!I45))),0,1))</f>
        <v/>
      </c>
      <c r="M39" s="1" t="str">
        <f>IF(Protokoll_3p!J45="","",IF(VALUE(LEFT(Protokoll_3p!J45,FIND(":",Protokoll_3p!J45)-1))&gt;VALUE(RIGHT(Protokoll_3p!J45,LEN(Protokoll_3p!J45)-FIND(":",Protokoll_3p!J45))),0,1))</f>
        <v/>
      </c>
      <c r="N39" s="1" t="str">
        <f t="shared" si="1"/>
        <v/>
      </c>
    </row>
    <row r="40" spans="2:14">
      <c r="B40" s="1" t="str">
        <f>IF(Protokoll_3p!F46="","",IF(VALUE(LEFT(Protokoll_3p!F46,FIND(":",Protokoll_3p!F46)-1))&gt;VALUE(RIGHT(Protokoll_3p!F46,LEN(Protokoll_3p!F46)-FIND(":",Protokoll_3p!F46))),1,0))</f>
        <v/>
      </c>
      <c r="C40" s="1" t="str">
        <f>IF(Protokoll_3p!G46="","",IF(VALUE(LEFT(Protokoll_3p!G46,FIND(":",Protokoll_3p!G46)-1))&gt;VALUE(RIGHT(Protokoll_3p!G46,LEN(Protokoll_3p!G46)-FIND(":",Protokoll_3p!G46))),1,0))</f>
        <v/>
      </c>
      <c r="D40" s="1" t="str">
        <f>IF(Protokoll_3p!H46="","",IF(VALUE(LEFT(Protokoll_3p!H46,FIND(":",Protokoll_3p!H46)-1))&gt;VALUE(RIGHT(Protokoll_3p!H46,LEN(Protokoll_3p!H46)-FIND(":",Protokoll_3p!H46))),1,0))</f>
        <v/>
      </c>
      <c r="E40" s="1" t="str">
        <f>IF(Protokoll_3p!I46="","",IF(VALUE(LEFT(Protokoll_3p!I46,FIND(":",Protokoll_3p!I46)-1))&gt;VALUE(RIGHT(Protokoll_3p!I46,LEN(Protokoll_3p!I46)-FIND(":",Protokoll_3p!I46))),1,0))</f>
        <v/>
      </c>
      <c r="F40" s="1" t="str">
        <f>IF(Protokoll_3p!J46="","",IF(VALUE(LEFT(Protokoll_3p!J46,FIND(":",Protokoll_3p!J46)-1))&gt;VALUE(RIGHT(Protokoll_3p!J46,LEN(Protokoll_3p!J46)-FIND(":",Protokoll_3p!J46))),1,0))</f>
        <v/>
      </c>
      <c r="G40" s="1" t="str">
        <f t="shared" si="0"/>
        <v/>
      </c>
      <c r="I40" s="1" t="str">
        <f>IF(Protokoll_3p!F46="","",IF(VALUE(LEFT(Protokoll_3p!F46,FIND(":",Protokoll_3p!F46)-1))&gt;VALUE(RIGHT(Protokoll_3p!F46,LEN(Protokoll_3p!F46)-FIND(":",Protokoll_3p!F46))),0,1))</f>
        <v/>
      </c>
      <c r="J40" s="1" t="str">
        <f>IF(Protokoll_3p!G46="","",IF(VALUE(LEFT(Protokoll_3p!G46,FIND(":",Protokoll_3p!G46)-1))&gt;VALUE(RIGHT(Protokoll_3p!G46,LEN(Protokoll_3p!G46)-FIND(":",Protokoll_3p!G46))),0,1))</f>
        <v/>
      </c>
      <c r="K40" s="1" t="str">
        <f>IF(Protokoll_3p!H46="","",IF(VALUE(LEFT(Protokoll_3p!H46,FIND(":",Protokoll_3p!H46)-1))&gt;VALUE(RIGHT(Protokoll_3p!H46,LEN(Protokoll_3p!H46)-FIND(":",Protokoll_3p!H46))),0,1))</f>
        <v/>
      </c>
      <c r="L40" s="1" t="str">
        <f>IF(Protokoll_3p!I46="","",IF(VALUE(LEFT(Protokoll_3p!I46,FIND(":",Protokoll_3p!I46)-1))&gt;VALUE(RIGHT(Protokoll_3p!I46,LEN(Protokoll_3p!I46)-FIND(":",Protokoll_3p!I46))),0,1))</f>
        <v/>
      </c>
      <c r="M40" s="1" t="str">
        <f>IF(Protokoll_3p!J46="","",IF(VALUE(LEFT(Protokoll_3p!J46,FIND(":",Protokoll_3p!J46)-1))&gt;VALUE(RIGHT(Protokoll_3p!J46,LEN(Protokoll_3p!J46)-FIND(":",Protokoll_3p!J46))),0,1))</f>
        <v/>
      </c>
      <c r="N40" s="1" t="str">
        <f t="shared" si="1"/>
        <v/>
      </c>
    </row>
    <row r="41" spans="2:14">
      <c r="B41" s="1" t="e">
        <f>IF(Protokoll_3p!F47="","",IF(VALUE(LEFT(Protokoll_3p!F47,FIND(":",Protokoll_3p!F47)-1))&gt;VALUE(RIGHT(Protokoll_3p!F47,LEN(Protokoll_3p!F47)-FIND(":",Protokoll_3p!F47))),1,0))</f>
        <v>#VALUE!</v>
      </c>
      <c r="C41" s="1" t="e">
        <f>IF(Protokoll_3p!G47="","",IF(VALUE(LEFT(Protokoll_3p!G47,FIND(":",Protokoll_3p!G47)-1))&gt;VALUE(RIGHT(Protokoll_3p!G47,LEN(Protokoll_3p!G47)-FIND(":",Protokoll_3p!G47))),1,0))</f>
        <v>#VALUE!</v>
      </c>
      <c r="D41" s="1" t="e">
        <f>IF(Protokoll_3p!H47="","",IF(VALUE(LEFT(Protokoll_3p!H47,FIND(":",Protokoll_3p!H47)-1))&gt;VALUE(RIGHT(Protokoll_3p!H47,LEN(Protokoll_3p!H47)-FIND(":",Protokoll_3p!H47))),1,0))</f>
        <v>#VALUE!</v>
      </c>
      <c r="E41" s="1" t="e">
        <f>IF(Protokoll_3p!I47="","",IF(VALUE(LEFT(Protokoll_3p!I47,FIND(":",Protokoll_3p!I47)-1))&gt;VALUE(RIGHT(Protokoll_3p!I47,LEN(Protokoll_3p!I47)-FIND(":",Protokoll_3p!I47))),1,0))</f>
        <v>#VALUE!</v>
      </c>
      <c r="F41" s="1" t="e">
        <f>IF(Protokoll_3p!J47="","",IF(VALUE(LEFT(Protokoll_3p!J47,FIND(":",Protokoll_3p!J47)-1))&gt;VALUE(RIGHT(Protokoll_3p!J47,LEN(Protokoll_3p!J47)-FIND(":",Protokoll_3p!J47))),1,0))</f>
        <v>#VALUE!</v>
      </c>
      <c r="G41" s="1" t="e">
        <f t="shared" si="0"/>
        <v>#VALUE!</v>
      </c>
      <c r="I41" s="1" t="e">
        <f>IF(Protokoll_3p!F47="","",IF(VALUE(LEFT(Protokoll_3p!F47,FIND(":",Protokoll_3p!F47)-1))&gt;VALUE(RIGHT(Protokoll_3p!F47,LEN(Protokoll_3p!F47)-FIND(":",Protokoll_3p!F47))),0,1))</f>
        <v>#VALUE!</v>
      </c>
      <c r="J41" s="1" t="e">
        <f>IF(Protokoll_3p!G47="","",IF(VALUE(LEFT(Protokoll_3p!G47,FIND(":",Protokoll_3p!G47)-1))&gt;VALUE(RIGHT(Protokoll_3p!G47,LEN(Protokoll_3p!G47)-FIND(":",Protokoll_3p!G47))),0,1))</f>
        <v>#VALUE!</v>
      </c>
      <c r="K41" s="1" t="e">
        <f>IF(Protokoll_3p!H47="","",IF(VALUE(LEFT(Protokoll_3p!H47,FIND(":",Protokoll_3p!H47)-1))&gt;VALUE(RIGHT(Protokoll_3p!H47,LEN(Protokoll_3p!H47)-FIND(":",Protokoll_3p!H47))),0,1))</f>
        <v>#VALUE!</v>
      </c>
      <c r="L41" s="1" t="e">
        <f>IF(Protokoll_3p!I47="","",IF(VALUE(LEFT(Protokoll_3p!I47,FIND(":",Protokoll_3p!I47)-1))&gt;VALUE(RIGHT(Protokoll_3p!I47,LEN(Protokoll_3p!I47)-FIND(":",Protokoll_3p!I47))),0,1))</f>
        <v>#VALUE!</v>
      </c>
      <c r="M41" s="1" t="e">
        <f>IF(Protokoll_3p!J47="","",IF(VALUE(LEFT(Protokoll_3p!J47,FIND(":",Protokoll_3p!J47)-1))&gt;VALUE(RIGHT(Protokoll_3p!J47,LEN(Protokoll_3p!J47)-FIND(":",Protokoll_3p!J47))),0,1))</f>
        <v>#VALUE!</v>
      </c>
      <c r="N41" s="1" t="e">
        <f t="shared" si="1"/>
        <v>#VALUE!</v>
      </c>
    </row>
    <row r="42" spans="2:14">
      <c r="B42" s="1">
        <f>IF(Protokoll_3p!F48="","",IF(VALUE(LEFT(Protokoll_3p!F48,FIND(":",Protokoll_3p!F48)-1))&gt;VALUE(RIGHT(Protokoll_3p!F48,LEN(Protokoll_3p!F48)-FIND(":",Protokoll_3p!F48))),1,0))</f>
        <v>1</v>
      </c>
      <c r="C42" s="1">
        <f>IF(Protokoll_3p!G48="","",IF(VALUE(LEFT(Protokoll_3p!G48,FIND(":",Protokoll_3p!G48)-1))&gt;VALUE(RIGHT(Protokoll_3p!G48,LEN(Protokoll_3p!G48)-FIND(":",Protokoll_3p!G48))),1,0))</f>
        <v>0</v>
      </c>
      <c r="D42" s="1">
        <f>IF(Protokoll_3p!H48="","",IF(VALUE(LEFT(Protokoll_3p!H48,FIND(":",Protokoll_3p!H48)-1))&gt;VALUE(RIGHT(Protokoll_3p!H48,LEN(Protokoll_3p!H48)-FIND(":",Protokoll_3p!H48))),1,0))</f>
        <v>1</v>
      </c>
      <c r="E42" s="1">
        <f>IF(Protokoll_3p!I48="","",IF(VALUE(LEFT(Protokoll_3p!I48,FIND(":",Protokoll_3p!I48)-1))&gt;VALUE(RIGHT(Protokoll_3p!I48,LEN(Protokoll_3p!I48)-FIND(":",Protokoll_3p!I48))),1,0))</f>
        <v>0</v>
      </c>
      <c r="F42" s="1">
        <f>IF(Protokoll_3p!J48="","",IF(VALUE(LEFT(Protokoll_3p!J48,FIND(":",Protokoll_3p!J48)-1))&gt;VALUE(RIGHT(Protokoll_3p!J48,LEN(Protokoll_3p!J48)-FIND(":",Protokoll_3p!J48))),1,0))</f>
        <v>0</v>
      </c>
      <c r="G42" s="1">
        <f t="shared" si="0"/>
        <v>2</v>
      </c>
      <c r="I42" s="1">
        <f>IF(Protokoll_3p!F48="","",IF(VALUE(LEFT(Protokoll_3p!F48,FIND(":",Protokoll_3p!F48)-1))&gt;VALUE(RIGHT(Protokoll_3p!F48,LEN(Protokoll_3p!F48)-FIND(":",Protokoll_3p!F48))),0,1))</f>
        <v>0</v>
      </c>
      <c r="J42" s="1">
        <f>IF(Protokoll_3p!G48="","",IF(VALUE(LEFT(Protokoll_3p!G48,FIND(":",Protokoll_3p!G48)-1))&gt;VALUE(RIGHT(Protokoll_3p!G48,LEN(Protokoll_3p!G48)-FIND(":",Protokoll_3p!G48))),0,1))</f>
        <v>1</v>
      </c>
      <c r="K42" s="1">
        <f>IF(Protokoll_3p!H48="","",IF(VALUE(LEFT(Protokoll_3p!H48,FIND(":",Protokoll_3p!H48)-1))&gt;VALUE(RIGHT(Protokoll_3p!H48,LEN(Protokoll_3p!H48)-FIND(":",Protokoll_3p!H48))),0,1))</f>
        <v>0</v>
      </c>
      <c r="L42" s="1">
        <f>IF(Protokoll_3p!I48="","",IF(VALUE(LEFT(Protokoll_3p!I48,FIND(":",Protokoll_3p!I48)-1))&gt;VALUE(RIGHT(Protokoll_3p!I48,LEN(Protokoll_3p!I48)-FIND(":",Protokoll_3p!I48))),0,1))</f>
        <v>1</v>
      </c>
      <c r="M42" s="1">
        <f>IF(Protokoll_3p!J48="","",IF(VALUE(LEFT(Protokoll_3p!J48,FIND(":",Protokoll_3p!J48)-1))&gt;VALUE(RIGHT(Protokoll_3p!J48,LEN(Protokoll_3p!J48)-FIND(":",Protokoll_3p!J48))),0,1))</f>
        <v>1</v>
      </c>
      <c r="N42" s="1">
        <f t="shared" si="1"/>
        <v>3</v>
      </c>
    </row>
    <row r="43" spans="2:14">
      <c r="B43" s="1">
        <f>IF(Protokoll_3p!F49="","",IF(VALUE(LEFT(Protokoll_3p!F49,FIND(":",Protokoll_3p!F49)-1))&gt;VALUE(RIGHT(Protokoll_3p!F49,LEN(Protokoll_3p!F49)-FIND(":",Protokoll_3p!F49))),1,0))</f>
        <v>1</v>
      </c>
      <c r="C43" s="1">
        <f>IF(Protokoll_3p!G49="","",IF(VALUE(LEFT(Protokoll_3p!G49,FIND(":",Protokoll_3p!G49)-1))&gt;VALUE(RIGHT(Protokoll_3p!G49,LEN(Protokoll_3p!G49)-FIND(":",Protokoll_3p!G49))),1,0))</f>
        <v>1</v>
      </c>
      <c r="D43" s="1">
        <f>IF(Protokoll_3p!H49="","",IF(VALUE(LEFT(Protokoll_3p!H49,FIND(":",Protokoll_3p!H49)-1))&gt;VALUE(RIGHT(Protokoll_3p!H49,LEN(Protokoll_3p!H49)-FIND(":",Protokoll_3p!H49))),1,0))</f>
        <v>0</v>
      </c>
      <c r="E43" s="1">
        <f>IF(Protokoll_3p!I49="","",IF(VALUE(LEFT(Protokoll_3p!I49,FIND(":",Protokoll_3p!I49)-1))&gt;VALUE(RIGHT(Protokoll_3p!I49,LEN(Protokoll_3p!I49)-FIND(":",Protokoll_3p!I49))),1,0))</f>
        <v>0</v>
      </c>
      <c r="F43" s="1">
        <f>IF(Protokoll_3p!J49="","",IF(VALUE(LEFT(Protokoll_3p!J49,FIND(":",Protokoll_3p!J49)-1))&gt;VALUE(RIGHT(Protokoll_3p!J49,LEN(Protokoll_3p!J49)-FIND(":",Protokoll_3p!J49))),1,0))</f>
        <v>0</v>
      </c>
      <c r="G43" s="1">
        <f t="shared" si="0"/>
        <v>2</v>
      </c>
      <c r="I43" s="1">
        <f>IF(Protokoll_3p!F49="","",IF(VALUE(LEFT(Protokoll_3p!F49,FIND(":",Protokoll_3p!F49)-1))&gt;VALUE(RIGHT(Protokoll_3p!F49,LEN(Protokoll_3p!F49)-FIND(":",Protokoll_3p!F49))),0,1))</f>
        <v>0</v>
      </c>
      <c r="J43" s="1">
        <f>IF(Protokoll_3p!G49="","",IF(VALUE(LEFT(Protokoll_3p!G49,FIND(":",Protokoll_3p!G49)-1))&gt;VALUE(RIGHT(Protokoll_3p!G49,LEN(Protokoll_3p!G49)-FIND(":",Protokoll_3p!G49))),0,1))</f>
        <v>0</v>
      </c>
      <c r="K43" s="1">
        <f>IF(Protokoll_3p!H49="","",IF(VALUE(LEFT(Protokoll_3p!H49,FIND(":",Protokoll_3p!H49)-1))&gt;VALUE(RIGHT(Protokoll_3p!H49,LEN(Protokoll_3p!H49)-FIND(":",Protokoll_3p!H49))),0,1))</f>
        <v>1</v>
      </c>
      <c r="L43" s="1">
        <f>IF(Protokoll_3p!I49="","",IF(VALUE(LEFT(Protokoll_3p!I49,FIND(":",Protokoll_3p!I49)-1))&gt;VALUE(RIGHT(Protokoll_3p!I49,LEN(Protokoll_3p!I49)-FIND(":",Protokoll_3p!I49))),0,1))</f>
        <v>1</v>
      </c>
      <c r="M43" s="1">
        <f>IF(Protokoll_3p!J49="","",IF(VALUE(LEFT(Protokoll_3p!J49,FIND(":",Protokoll_3p!J49)-1))&gt;VALUE(RIGHT(Protokoll_3p!J49,LEN(Protokoll_3p!J49)-FIND(":",Protokoll_3p!J49))),0,1))</f>
        <v>1</v>
      </c>
      <c r="N43" s="1">
        <f t="shared" si="1"/>
        <v>3</v>
      </c>
    </row>
    <row r="44" spans="2:14">
      <c r="B44" s="1">
        <f>IF(Protokoll_3p!F50="","",IF(VALUE(LEFT(Protokoll_3p!F50,FIND(":",Protokoll_3p!F50)-1))&gt;VALUE(RIGHT(Protokoll_3p!F50,LEN(Protokoll_3p!F50)-FIND(":",Protokoll_3p!F50))),1,0))</f>
        <v>1</v>
      </c>
      <c r="C44" s="1">
        <f>IF(Protokoll_3p!G50="","",IF(VALUE(LEFT(Protokoll_3p!G50,FIND(":",Protokoll_3p!G50)-1))&gt;VALUE(RIGHT(Protokoll_3p!G50,LEN(Protokoll_3p!G50)-FIND(":",Protokoll_3p!G50))),1,0))</f>
        <v>1</v>
      </c>
      <c r="D44" s="1">
        <f>IF(Protokoll_3p!H50="","",IF(VALUE(LEFT(Protokoll_3p!H50,FIND(":",Protokoll_3p!H50)-1))&gt;VALUE(RIGHT(Protokoll_3p!H50,LEN(Protokoll_3p!H50)-FIND(":",Protokoll_3p!H50))),1,0))</f>
        <v>1</v>
      </c>
      <c r="E44" s="1" t="str">
        <f>IF(Protokoll_3p!I50="","",IF(VALUE(LEFT(Protokoll_3p!I50,FIND(":",Protokoll_3p!I50)-1))&gt;VALUE(RIGHT(Protokoll_3p!I50,LEN(Protokoll_3p!I50)-FIND(":",Protokoll_3p!I50))),1,0))</f>
        <v/>
      </c>
      <c r="F44" s="1" t="str">
        <f>IF(Protokoll_3p!J50="","",IF(VALUE(LEFT(Protokoll_3p!J50,FIND(":",Protokoll_3p!J50)-1))&gt;VALUE(RIGHT(Protokoll_3p!J50,LEN(Protokoll_3p!J50)-FIND(":",Protokoll_3p!J50))),1,0))</f>
        <v/>
      </c>
      <c r="G44" s="1">
        <f t="shared" si="0"/>
        <v>3</v>
      </c>
      <c r="I44" s="1">
        <f>IF(Protokoll_3p!F50="","",IF(VALUE(LEFT(Protokoll_3p!F50,FIND(":",Protokoll_3p!F50)-1))&gt;VALUE(RIGHT(Protokoll_3p!F50,LEN(Protokoll_3p!F50)-FIND(":",Protokoll_3p!F50))),0,1))</f>
        <v>0</v>
      </c>
      <c r="J44" s="1">
        <f>IF(Protokoll_3p!G50="","",IF(VALUE(LEFT(Protokoll_3p!G50,FIND(":",Protokoll_3p!G50)-1))&gt;VALUE(RIGHT(Protokoll_3p!G50,LEN(Protokoll_3p!G50)-FIND(":",Protokoll_3p!G50))),0,1))</f>
        <v>0</v>
      </c>
      <c r="K44" s="1">
        <f>IF(Protokoll_3p!H50="","",IF(VALUE(LEFT(Protokoll_3p!H50,FIND(":",Protokoll_3p!H50)-1))&gt;VALUE(RIGHT(Protokoll_3p!H50,LEN(Protokoll_3p!H50)-FIND(":",Protokoll_3p!H50))),0,1))</f>
        <v>0</v>
      </c>
      <c r="L44" s="1" t="str">
        <f>IF(Protokoll_3p!I50="","",IF(VALUE(LEFT(Protokoll_3p!I50,FIND(":",Protokoll_3p!I50)-1))&gt;VALUE(RIGHT(Protokoll_3p!I50,LEN(Protokoll_3p!I50)-FIND(":",Protokoll_3p!I50))),0,1))</f>
        <v/>
      </c>
      <c r="M44" s="1" t="str">
        <f>IF(Protokoll_3p!J50="","",IF(VALUE(LEFT(Protokoll_3p!J50,FIND(":",Protokoll_3p!J50)-1))&gt;VALUE(RIGHT(Protokoll_3p!J50,LEN(Protokoll_3p!J50)-FIND(":",Protokoll_3p!J50))),0,1))</f>
        <v/>
      </c>
      <c r="N44" s="1">
        <f t="shared" si="1"/>
        <v>0</v>
      </c>
    </row>
    <row r="45" spans="2:14">
      <c r="B45" s="1">
        <f>IF(Protokoll_3p!F51="","",IF(VALUE(LEFT(Protokoll_3p!F51,FIND(":",Protokoll_3p!F51)-1))&gt;VALUE(RIGHT(Protokoll_3p!F51,LEN(Protokoll_3p!F51)-FIND(":",Protokoll_3p!F51))),1,0))</f>
        <v>0</v>
      </c>
      <c r="C45" s="1">
        <f>IF(Protokoll_3p!G51="","",IF(VALUE(LEFT(Protokoll_3p!G51,FIND(":",Protokoll_3p!G51)-1))&gt;VALUE(RIGHT(Protokoll_3p!G51,LEN(Protokoll_3p!G51)-FIND(":",Protokoll_3p!G51))),1,0))</f>
        <v>0</v>
      </c>
      <c r="D45" s="1">
        <f>IF(Protokoll_3p!H51="","",IF(VALUE(LEFT(Protokoll_3p!H51,FIND(":",Protokoll_3p!H51)-1))&gt;VALUE(RIGHT(Protokoll_3p!H51,LEN(Protokoll_3p!H51)-FIND(":",Protokoll_3p!H51))),1,0))</f>
        <v>1</v>
      </c>
      <c r="E45" s="1">
        <f>IF(Protokoll_3p!I51="","",IF(VALUE(LEFT(Protokoll_3p!I51,FIND(":",Protokoll_3p!I51)-1))&gt;VALUE(RIGHT(Protokoll_3p!I51,LEN(Protokoll_3p!I51)-FIND(":",Protokoll_3p!I51))),1,0))</f>
        <v>0</v>
      </c>
      <c r="F45" s="1" t="str">
        <f>IF(Protokoll_3p!J51="","",IF(VALUE(LEFT(Protokoll_3p!J51,FIND(":",Protokoll_3p!J51)-1))&gt;VALUE(RIGHT(Protokoll_3p!J51,LEN(Protokoll_3p!J51)-FIND(":",Protokoll_3p!J51))),1,0))</f>
        <v/>
      </c>
      <c r="G45" s="1">
        <f t="shared" si="0"/>
        <v>1</v>
      </c>
      <c r="I45" s="1">
        <f>IF(Protokoll_3p!F51="","",IF(VALUE(LEFT(Protokoll_3p!F51,FIND(":",Protokoll_3p!F51)-1))&gt;VALUE(RIGHT(Protokoll_3p!F51,LEN(Protokoll_3p!F51)-FIND(":",Protokoll_3p!F51))),0,1))</f>
        <v>1</v>
      </c>
      <c r="J45" s="1">
        <f>IF(Protokoll_3p!G51="","",IF(VALUE(LEFT(Protokoll_3p!G51,FIND(":",Protokoll_3p!G51)-1))&gt;VALUE(RIGHT(Protokoll_3p!G51,LEN(Protokoll_3p!G51)-FIND(":",Protokoll_3p!G51))),0,1))</f>
        <v>1</v>
      </c>
      <c r="K45" s="1">
        <f>IF(Protokoll_3p!H51="","",IF(VALUE(LEFT(Protokoll_3p!H51,FIND(":",Protokoll_3p!H51)-1))&gt;VALUE(RIGHT(Protokoll_3p!H51,LEN(Protokoll_3p!H51)-FIND(":",Protokoll_3p!H51))),0,1))</f>
        <v>0</v>
      </c>
      <c r="L45" s="1">
        <f>IF(Protokoll_3p!I51="","",IF(VALUE(LEFT(Protokoll_3p!I51,FIND(":",Protokoll_3p!I51)-1))&gt;VALUE(RIGHT(Protokoll_3p!I51,LEN(Protokoll_3p!I51)-FIND(":",Protokoll_3p!I51))),0,1))</f>
        <v>1</v>
      </c>
      <c r="M45" s="1" t="str">
        <f>IF(Protokoll_3p!J51="","",IF(VALUE(LEFT(Protokoll_3p!J51,FIND(":",Protokoll_3p!J51)-1))&gt;VALUE(RIGHT(Protokoll_3p!J51,LEN(Protokoll_3p!J51)-FIND(":",Protokoll_3p!J51))),0,1))</f>
        <v/>
      </c>
      <c r="N45" s="1">
        <f t="shared" si="1"/>
        <v>3</v>
      </c>
    </row>
    <row r="46" spans="2:14">
      <c r="B46" s="1" t="str">
        <f>IF(Protokoll_3p!F52="","",IF(VALUE(LEFT(Protokoll_3p!F52,FIND(":",Protokoll_3p!F52)-1))&gt;VALUE(RIGHT(Protokoll_3p!F52,LEN(Protokoll_3p!F52)-FIND(":",Protokoll_3p!F52))),1,0))</f>
        <v/>
      </c>
      <c r="C46" s="1" t="str">
        <f>IF(Protokoll_3p!G52="","",IF(VALUE(LEFT(Protokoll_3p!G52,FIND(":",Protokoll_3p!G52)-1))&gt;VALUE(RIGHT(Protokoll_3p!G52,LEN(Protokoll_3p!G52)-FIND(":",Protokoll_3p!G52))),1,0))</f>
        <v/>
      </c>
      <c r="D46" s="1" t="str">
        <f>IF(Protokoll_3p!H52="","",IF(VALUE(LEFT(Protokoll_3p!H52,FIND(":",Protokoll_3p!H52)-1))&gt;VALUE(RIGHT(Protokoll_3p!H52,LEN(Protokoll_3p!H52)-FIND(":",Protokoll_3p!H52))),1,0))</f>
        <v/>
      </c>
      <c r="E46" s="1" t="str">
        <f>IF(Protokoll_3p!I52="","",IF(VALUE(LEFT(Protokoll_3p!I52,FIND(":",Protokoll_3p!I52)-1))&gt;VALUE(RIGHT(Protokoll_3p!I52,LEN(Protokoll_3p!I52)-FIND(":",Protokoll_3p!I52))),1,0))</f>
        <v/>
      </c>
      <c r="F46" s="1" t="str">
        <f>IF(Protokoll_3p!J52="","",IF(VALUE(LEFT(Protokoll_3p!J52,FIND(":",Protokoll_3p!J52)-1))&gt;VALUE(RIGHT(Protokoll_3p!J52,LEN(Protokoll_3p!J52)-FIND(":",Protokoll_3p!J52))),1,0))</f>
        <v/>
      </c>
      <c r="G46" s="1" t="str">
        <f t="shared" si="0"/>
        <v/>
      </c>
      <c r="I46" s="1" t="str">
        <f>IF(Protokoll_3p!F52="","",IF(VALUE(LEFT(Protokoll_3p!F52,FIND(":",Protokoll_3p!F52)-1))&gt;VALUE(RIGHT(Protokoll_3p!F52,LEN(Protokoll_3p!F52)-FIND(":",Protokoll_3p!F52))),0,1))</f>
        <v/>
      </c>
      <c r="J46" s="1" t="str">
        <f>IF(Protokoll_3p!G52="","",IF(VALUE(LEFT(Protokoll_3p!G52,FIND(":",Protokoll_3p!G52)-1))&gt;VALUE(RIGHT(Protokoll_3p!G52,LEN(Protokoll_3p!G52)-FIND(":",Protokoll_3p!G52))),0,1))</f>
        <v/>
      </c>
      <c r="K46" s="1" t="str">
        <f>IF(Protokoll_3p!H52="","",IF(VALUE(LEFT(Protokoll_3p!H52,FIND(":",Protokoll_3p!H52)-1))&gt;VALUE(RIGHT(Protokoll_3p!H52,LEN(Protokoll_3p!H52)-FIND(":",Protokoll_3p!H52))),0,1))</f>
        <v/>
      </c>
      <c r="L46" s="1" t="str">
        <f>IF(Protokoll_3p!I52="","",IF(VALUE(LEFT(Protokoll_3p!I52,FIND(":",Protokoll_3p!I52)-1))&gt;VALUE(RIGHT(Protokoll_3p!I52,LEN(Protokoll_3p!I52)-FIND(":",Protokoll_3p!I52))),0,1))</f>
        <v/>
      </c>
      <c r="M46" s="1" t="str">
        <f>IF(Protokoll_3p!J52="","",IF(VALUE(LEFT(Protokoll_3p!J52,FIND(":",Protokoll_3p!J52)-1))&gt;VALUE(RIGHT(Protokoll_3p!J52,LEN(Protokoll_3p!J52)-FIND(":",Protokoll_3p!J52))),0,1))</f>
        <v/>
      </c>
      <c r="N46" s="1" t="str">
        <f t="shared" si="1"/>
        <v/>
      </c>
    </row>
    <row r="47" spans="2:14">
      <c r="B47" s="1">
        <f>IF(Protokoll_3p!F53="","",IF(VALUE(LEFT(Protokoll_3p!F53,FIND(":",Protokoll_3p!F53)-1))&gt;VALUE(RIGHT(Protokoll_3p!F53,LEN(Protokoll_3p!F53)-FIND(":",Protokoll_3p!F53))),1,0))</f>
        <v>0</v>
      </c>
      <c r="C47" s="1">
        <f>IF(Protokoll_3p!G53="","",IF(VALUE(LEFT(Protokoll_3p!G53,FIND(":",Protokoll_3p!G53)-1))&gt;VALUE(RIGHT(Protokoll_3p!G53,LEN(Protokoll_3p!G53)-FIND(":",Protokoll_3p!G53))),1,0))</f>
        <v>1</v>
      </c>
      <c r="D47" s="1">
        <f>IF(Protokoll_3p!H53="","",IF(VALUE(LEFT(Protokoll_3p!H53,FIND(":",Protokoll_3p!H53)-1))&gt;VALUE(RIGHT(Protokoll_3p!H53,LEN(Protokoll_3p!H53)-FIND(":",Protokoll_3p!H53))),1,0))</f>
        <v>1</v>
      </c>
      <c r="E47" s="1">
        <f>IF(Protokoll_3p!I53="","",IF(VALUE(LEFT(Protokoll_3p!I53,FIND(":",Protokoll_3p!I53)-1))&gt;VALUE(RIGHT(Protokoll_3p!I53,LEN(Protokoll_3p!I53)-FIND(":",Protokoll_3p!I53))),1,0))</f>
        <v>1</v>
      </c>
      <c r="F47" s="1" t="str">
        <f>IF(Protokoll_3p!J53="","",IF(VALUE(LEFT(Protokoll_3p!J53,FIND(":",Protokoll_3p!J53)-1))&gt;VALUE(RIGHT(Protokoll_3p!J53,LEN(Protokoll_3p!J53)-FIND(":",Protokoll_3p!J53))),1,0))</f>
        <v/>
      </c>
      <c r="G47" s="1">
        <f t="shared" si="0"/>
        <v>3</v>
      </c>
      <c r="I47" s="1">
        <f>IF(Protokoll_3p!F53="","",IF(VALUE(LEFT(Protokoll_3p!F53,FIND(":",Protokoll_3p!F53)-1))&gt;VALUE(RIGHT(Protokoll_3p!F53,LEN(Protokoll_3p!F53)-FIND(":",Protokoll_3p!F53))),0,1))</f>
        <v>1</v>
      </c>
      <c r="J47" s="1">
        <f>IF(Protokoll_3p!G53="","",IF(VALUE(LEFT(Protokoll_3p!G53,FIND(":",Protokoll_3p!G53)-1))&gt;VALUE(RIGHT(Protokoll_3p!G53,LEN(Protokoll_3p!G53)-FIND(":",Protokoll_3p!G53))),0,1))</f>
        <v>0</v>
      </c>
      <c r="K47" s="1">
        <f>IF(Protokoll_3p!H53="","",IF(VALUE(LEFT(Protokoll_3p!H53,FIND(":",Protokoll_3p!H53)-1))&gt;VALUE(RIGHT(Protokoll_3p!H53,LEN(Protokoll_3p!H53)-FIND(":",Protokoll_3p!H53))),0,1))</f>
        <v>0</v>
      </c>
      <c r="L47" s="1">
        <f>IF(Protokoll_3p!I53="","",IF(VALUE(LEFT(Protokoll_3p!I53,FIND(":",Protokoll_3p!I53)-1))&gt;VALUE(RIGHT(Protokoll_3p!I53,LEN(Protokoll_3p!I53)-FIND(":",Protokoll_3p!I53))),0,1))</f>
        <v>0</v>
      </c>
      <c r="M47" s="1" t="str">
        <f>IF(Protokoll_3p!J53="","",IF(VALUE(LEFT(Protokoll_3p!J53,FIND(":",Protokoll_3p!J53)-1))&gt;VALUE(RIGHT(Protokoll_3p!J53,LEN(Protokoll_3p!J53)-FIND(":",Protokoll_3p!J53))),0,1))</f>
        <v/>
      </c>
      <c r="N47" s="1">
        <f t="shared" si="1"/>
        <v>1</v>
      </c>
    </row>
    <row r="48" spans="2:14">
      <c r="B48" s="1">
        <f>IF(Protokoll_3p!F54="","",IF(VALUE(LEFT(Protokoll_3p!F54,FIND(":",Protokoll_3p!F54)-1))&gt;VALUE(RIGHT(Protokoll_3p!F54,LEN(Protokoll_3p!F54)-FIND(":",Protokoll_3p!F54))),1,0))</f>
        <v>1</v>
      </c>
      <c r="C48" s="1">
        <f>IF(Protokoll_3p!G54="","",IF(VALUE(LEFT(Protokoll_3p!G54,FIND(":",Protokoll_3p!G54)-1))&gt;VALUE(RIGHT(Protokoll_3p!G54,LEN(Protokoll_3p!G54)-FIND(":",Protokoll_3p!G54))),1,0))</f>
        <v>0</v>
      </c>
      <c r="D48" s="1">
        <f>IF(Protokoll_3p!H54="","",IF(VALUE(LEFT(Protokoll_3p!H54,FIND(":",Protokoll_3p!H54)-1))&gt;VALUE(RIGHT(Protokoll_3p!H54,LEN(Protokoll_3p!H54)-FIND(":",Protokoll_3p!H54))),1,0))</f>
        <v>0</v>
      </c>
      <c r="E48" s="1">
        <f>IF(Protokoll_3p!I54="","",IF(VALUE(LEFT(Protokoll_3p!I54,FIND(":",Protokoll_3p!I54)-1))&gt;VALUE(RIGHT(Protokoll_3p!I54,LEN(Protokoll_3p!I54)-FIND(":",Protokoll_3p!I54))),1,0))</f>
        <v>0</v>
      </c>
      <c r="F48" s="1" t="str">
        <f>IF(Protokoll_3p!J54="","",IF(VALUE(LEFT(Protokoll_3p!J54,FIND(":",Protokoll_3p!J54)-1))&gt;VALUE(RIGHT(Protokoll_3p!J54,LEN(Protokoll_3p!J54)-FIND(":",Protokoll_3p!J54))),1,0))</f>
        <v/>
      </c>
      <c r="G48" s="1">
        <f t="shared" si="0"/>
        <v>1</v>
      </c>
      <c r="I48" s="1">
        <f>IF(Protokoll_3p!F54="","",IF(VALUE(LEFT(Protokoll_3p!F54,FIND(":",Protokoll_3p!F54)-1))&gt;VALUE(RIGHT(Protokoll_3p!F54,LEN(Protokoll_3p!F54)-FIND(":",Protokoll_3p!F54))),0,1))</f>
        <v>0</v>
      </c>
      <c r="J48" s="1">
        <f>IF(Protokoll_3p!G54="","",IF(VALUE(LEFT(Protokoll_3p!G54,FIND(":",Protokoll_3p!G54)-1))&gt;VALUE(RIGHT(Protokoll_3p!G54,LEN(Protokoll_3p!G54)-FIND(":",Protokoll_3p!G54))),0,1))</f>
        <v>1</v>
      </c>
      <c r="K48" s="1">
        <f>IF(Protokoll_3p!H54="","",IF(VALUE(LEFT(Protokoll_3p!H54,FIND(":",Protokoll_3p!H54)-1))&gt;VALUE(RIGHT(Protokoll_3p!H54,LEN(Protokoll_3p!H54)-FIND(":",Protokoll_3p!H54))),0,1))</f>
        <v>1</v>
      </c>
      <c r="L48" s="1">
        <f>IF(Protokoll_3p!I54="","",IF(VALUE(LEFT(Protokoll_3p!I54,FIND(":",Protokoll_3p!I54)-1))&gt;VALUE(RIGHT(Protokoll_3p!I54,LEN(Protokoll_3p!I54)-FIND(":",Protokoll_3p!I54))),0,1))</f>
        <v>1</v>
      </c>
      <c r="M48" s="1" t="str">
        <f>IF(Protokoll_3p!J54="","",IF(VALUE(LEFT(Protokoll_3p!J54,FIND(":",Protokoll_3p!J54)-1))&gt;VALUE(RIGHT(Protokoll_3p!J54,LEN(Protokoll_3p!J54)-FIND(":",Protokoll_3p!J54))),0,1))</f>
        <v/>
      </c>
      <c r="N48" s="1">
        <f t="shared" si="1"/>
        <v>3</v>
      </c>
    </row>
    <row r="49" spans="2:14">
      <c r="B49" s="1" t="str">
        <f>IF(Protokoll_3p!F55="","",IF(VALUE(LEFT(Protokoll_3p!F55,FIND(":",Protokoll_3p!F55)-1))&gt;VALUE(RIGHT(Protokoll_3p!F55,LEN(Protokoll_3p!F55)-FIND(":",Protokoll_3p!F55))),1,0))</f>
        <v/>
      </c>
      <c r="C49" s="1" t="str">
        <f>IF(Protokoll_3p!G55="","",IF(VALUE(LEFT(Protokoll_3p!G55,FIND(":",Protokoll_3p!G55)-1))&gt;VALUE(RIGHT(Protokoll_3p!G55,LEN(Protokoll_3p!G55)-FIND(":",Protokoll_3p!G55))),1,0))</f>
        <v/>
      </c>
      <c r="D49" s="1" t="str">
        <f>IF(Protokoll_3p!H55="","",IF(VALUE(LEFT(Protokoll_3p!H55,FIND(":",Protokoll_3p!H55)-1))&gt;VALUE(RIGHT(Protokoll_3p!H55,LEN(Protokoll_3p!H55)-FIND(":",Protokoll_3p!H55))),1,0))</f>
        <v/>
      </c>
      <c r="E49" s="1" t="str">
        <f>IF(Protokoll_3p!I55="","",IF(VALUE(LEFT(Protokoll_3p!I55,FIND(":",Protokoll_3p!I55)-1))&gt;VALUE(RIGHT(Protokoll_3p!I55,LEN(Protokoll_3p!I55)-FIND(":",Protokoll_3p!I55))),1,0))</f>
        <v/>
      </c>
      <c r="F49" s="1" t="str">
        <f>IF(Protokoll_3p!J55="","",IF(VALUE(LEFT(Protokoll_3p!J55,FIND(":",Protokoll_3p!J55)-1))&gt;VALUE(RIGHT(Protokoll_3p!J55,LEN(Protokoll_3p!J55)-FIND(":",Protokoll_3p!J55))),1,0))</f>
        <v/>
      </c>
      <c r="G49" s="1" t="str">
        <f t="shared" si="0"/>
        <v/>
      </c>
      <c r="I49" s="1" t="str">
        <f>IF(Protokoll_3p!F55="","",IF(VALUE(LEFT(Protokoll_3p!F55,FIND(":",Protokoll_3p!F55)-1))&gt;VALUE(RIGHT(Protokoll_3p!F55,LEN(Protokoll_3p!F55)-FIND(":",Protokoll_3p!F55))),0,1))</f>
        <v/>
      </c>
      <c r="J49" s="1" t="str">
        <f>IF(Protokoll_3p!G55="","",IF(VALUE(LEFT(Protokoll_3p!G55,FIND(":",Protokoll_3p!G55)-1))&gt;VALUE(RIGHT(Protokoll_3p!G55,LEN(Protokoll_3p!G55)-FIND(":",Protokoll_3p!G55))),0,1))</f>
        <v/>
      </c>
      <c r="K49" s="1" t="str">
        <f>IF(Protokoll_3p!H55="","",IF(VALUE(LEFT(Protokoll_3p!H55,FIND(":",Protokoll_3p!H55)-1))&gt;VALUE(RIGHT(Protokoll_3p!H55,LEN(Protokoll_3p!H55)-FIND(":",Protokoll_3p!H55))),0,1))</f>
        <v/>
      </c>
      <c r="L49" s="1" t="str">
        <f>IF(Protokoll_3p!I55="","",IF(VALUE(LEFT(Protokoll_3p!I55,FIND(":",Protokoll_3p!I55)-1))&gt;VALUE(RIGHT(Protokoll_3p!I55,LEN(Protokoll_3p!I55)-FIND(":",Protokoll_3p!I55))),0,1))</f>
        <v/>
      </c>
      <c r="M49" s="1" t="str">
        <f>IF(Protokoll_3p!J55="","",IF(VALUE(LEFT(Protokoll_3p!J55,FIND(":",Protokoll_3p!J55)-1))&gt;VALUE(RIGHT(Protokoll_3p!J55,LEN(Protokoll_3p!J55)-FIND(":",Protokoll_3p!J55))),0,1))</f>
        <v/>
      </c>
      <c r="N49" s="1" t="str">
        <f t="shared" si="1"/>
        <v/>
      </c>
    </row>
    <row r="50" spans="2:14">
      <c r="B50" s="1" t="str">
        <f>IF(Protokoll_3p!F56="","",IF(VALUE(LEFT(Protokoll_3p!F56,FIND(":",Protokoll_3p!F56)-1))&gt;VALUE(RIGHT(Protokoll_3p!F56,LEN(Protokoll_3p!F56)-FIND(":",Protokoll_3p!F56))),1,0))</f>
        <v/>
      </c>
      <c r="C50" s="1" t="str">
        <f>IF(Protokoll_3p!G56="","",IF(VALUE(LEFT(Protokoll_3p!G56,FIND(":",Protokoll_3p!G56)-1))&gt;VALUE(RIGHT(Protokoll_3p!G56,LEN(Protokoll_3p!G56)-FIND(":",Protokoll_3p!G56))),1,0))</f>
        <v/>
      </c>
      <c r="D50" s="1" t="str">
        <f>IF(Protokoll_3p!H56="","",IF(VALUE(LEFT(Protokoll_3p!H56,FIND(":",Protokoll_3p!H56)-1))&gt;VALUE(RIGHT(Protokoll_3p!H56,LEN(Protokoll_3p!H56)-FIND(":",Protokoll_3p!H56))),1,0))</f>
        <v/>
      </c>
      <c r="E50" s="1" t="str">
        <f>IF(Protokoll_3p!I56="","",IF(VALUE(LEFT(Protokoll_3p!I56,FIND(":",Protokoll_3p!I56)-1))&gt;VALUE(RIGHT(Protokoll_3p!I56,LEN(Protokoll_3p!I56)-FIND(":",Protokoll_3p!I56))),1,0))</f>
        <v/>
      </c>
      <c r="F50" s="1" t="str">
        <f>IF(Protokoll_3p!J56="","",IF(VALUE(LEFT(Protokoll_3p!J56,FIND(":",Protokoll_3p!J56)-1))&gt;VALUE(RIGHT(Protokoll_3p!J56,LEN(Protokoll_3p!J56)-FIND(":",Protokoll_3p!J56))),1,0))</f>
        <v/>
      </c>
      <c r="G50" s="1" t="str">
        <f t="shared" si="0"/>
        <v/>
      </c>
      <c r="I50" s="1" t="str">
        <f>IF(Protokoll_3p!F56="","",IF(VALUE(LEFT(Protokoll_3p!F56,FIND(":",Protokoll_3p!F56)-1))&gt;VALUE(RIGHT(Protokoll_3p!F56,LEN(Protokoll_3p!F56)-FIND(":",Protokoll_3p!F56))),0,1))</f>
        <v/>
      </c>
      <c r="J50" s="1" t="str">
        <f>IF(Protokoll_3p!G56="","",IF(VALUE(LEFT(Protokoll_3p!G56,FIND(":",Protokoll_3p!G56)-1))&gt;VALUE(RIGHT(Protokoll_3p!G56,LEN(Protokoll_3p!G56)-FIND(":",Protokoll_3p!G56))),0,1))</f>
        <v/>
      </c>
      <c r="K50" s="1" t="str">
        <f>IF(Protokoll_3p!H56="","",IF(VALUE(LEFT(Protokoll_3p!H56,FIND(":",Protokoll_3p!H56)-1))&gt;VALUE(RIGHT(Protokoll_3p!H56,LEN(Protokoll_3p!H56)-FIND(":",Protokoll_3p!H56))),0,1))</f>
        <v/>
      </c>
      <c r="L50" s="1" t="str">
        <f>IF(Protokoll_3p!I56="","",IF(VALUE(LEFT(Protokoll_3p!I56,FIND(":",Protokoll_3p!I56)-1))&gt;VALUE(RIGHT(Protokoll_3p!I56,LEN(Protokoll_3p!I56)-FIND(":",Protokoll_3p!I56))),0,1))</f>
        <v/>
      </c>
      <c r="M50" s="1" t="str">
        <f>IF(Protokoll_3p!J56="","",IF(VALUE(LEFT(Protokoll_3p!J56,FIND(":",Protokoll_3p!J56)-1))&gt;VALUE(RIGHT(Protokoll_3p!J56,LEN(Protokoll_3p!J56)-FIND(":",Protokoll_3p!J56))),0,1))</f>
        <v/>
      </c>
      <c r="N50" s="1" t="str">
        <f t="shared" si="1"/>
        <v/>
      </c>
    </row>
    <row r="51" spans="2:14">
      <c r="B51" s="1" t="e">
        <f>IF(Protokoll_3p!F57="","",IF(VALUE(LEFT(Protokoll_3p!F57,FIND(":",Protokoll_3p!F57)-1))&gt;VALUE(RIGHT(Protokoll_3p!F57,LEN(Protokoll_3p!F57)-FIND(":",Protokoll_3p!F57))),1,0))</f>
        <v>#VALUE!</v>
      </c>
      <c r="C51" s="1" t="e">
        <f>IF(Protokoll_3p!G57="","",IF(VALUE(LEFT(Protokoll_3p!G57,FIND(":",Protokoll_3p!G57)-1))&gt;VALUE(RIGHT(Protokoll_3p!G57,LEN(Protokoll_3p!G57)-FIND(":",Protokoll_3p!G57))),1,0))</f>
        <v>#VALUE!</v>
      </c>
      <c r="D51" s="1" t="e">
        <f>IF(Protokoll_3p!H57="","",IF(VALUE(LEFT(Protokoll_3p!H57,FIND(":",Protokoll_3p!H57)-1))&gt;VALUE(RIGHT(Protokoll_3p!H57,LEN(Protokoll_3p!H57)-FIND(":",Protokoll_3p!H57))),1,0))</f>
        <v>#VALUE!</v>
      </c>
      <c r="E51" s="1" t="e">
        <f>IF(Protokoll_3p!I57="","",IF(VALUE(LEFT(Protokoll_3p!I57,FIND(":",Protokoll_3p!I57)-1))&gt;VALUE(RIGHT(Protokoll_3p!I57,LEN(Protokoll_3p!I57)-FIND(":",Protokoll_3p!I57))),1,0))</f>
        <v>#VALUE!</v>
      </c>
      <c r="F51" s="1" t="e">
        <f>IF(Protokoll_3p!J57="","",IF(VALUE(LEFT(Protokoll_3p!J57,FIND(":",Protokoll_3p!J57)-1))&gt;VALUE(RIGHT(Protokoll_3p!J57,LEN(Protokoll_3p!J57)-FIND(":",Protokoll_3p!J57))),1,0))</f>
        <v>#VALUE!</v>
      </c>
      <c r="G51" s="1" t="e">
        <f t="shared" si="0"/>
        <v>#VALUE!</v>
      </c>
      <c r="I51" s="1" t="e">
        <f>IF(Protokoll_3p!F57="","",IF(VALUE(LEFT(Protokoll_3p!F57,FIND(":",Protokoll_3p!F57)-1))&gt;VALUE(RIGHT(Protokoll_3p!F57,LEN(Protokoll_3p!F57)-FIND(":",Protokoll_3p!F57))),0,1))</f>
        <v>#VALUE!</v>
      </c>
      <c r="J51" s="1" t="e">
        <f>IF(Protokoll_3p!G57="","",IF(VALUE(LEFT(Protokoll_3p!G57,FIND(":",Protokoll_3p!G57)-1))&gt;VALUE(RIGHT(Protokoll_3p!G57,LEN(Protokoll_3p!G57)-FIND(":",Protokoll_3p!G57))),0,1))</f>
        <v>#VALUE!</v>
      </c>
      <c r="K51" s="1" t="e">
        <f>IF(Protokoll_3p!H57="","",IF(VALUE(LEFT(Protokoll_3p!H57,FIND(":",Protokoll_3p!H57)-1))&gt;VALUE(RIGHT(Protokoll_3p!H57,LEN(Protokoll_3p!H57)-FIND(":",Protokoll_3p!H57))),0,1))</f>
        <v>#VALUE!</v>
      </c>
      <c r="L51" s="1" t="e">
        <f>IF(Protokoll_3p!I57="","",IF(VALUE(LEFT(Protokoll_3p!I57,FIND(":",Protokoll_3p!I57)-1))&gt;VALUE(RIGHT(Protokoll_3p!I57,LEN(Protokoll_3p!I57)-FIND(":",Protokoll_3p!I57))),0,1))</f>
        <v>#VALUE!</v>
      </c>
      <c r="M51" s="1" t="e">
        <f>IF(Protokoll_3p!J57="","",IF(VALUE(LEFT(Protokoll_3p!J57,FIND(":",Protokoll_3p!J57)-1))&gt;VALUE(RIGHT(Protokoll_3p!J57,LEN(Protokoll_3p!J57)-FIND(":",Protokoll_3p!J57))),0,1))</f>
        <v>#VALUE!</v>
      </c>
      <c r="N51" s="1" t="e">
        <f t="shared" si="1"/>
        <v>#VALUE!</v>
      </c>
    </row>
    <row r="52" spans="2:14">
      <c r="B52" s="1">
        <f>IF(Protokoll_3p!F58="","",IF(VALUE(LEFT(Protokoll_3p!F58,FIND(":",Protokoll_3p!F58)-1))&gt;VALUE(RIGHT(Protokoll_3p!F58,LEN(Protokoll_3p!F58)-FIND(":",Protokoll_3p!F58))),1,0))</f>
        <v>0</v>
      </c>
      <c r="C52" s="1">
        <f>IF(Protokoll_3p!G58="","",IF(VALUE(LEFT(Protokoll_3p!G58,FIND(":",Protokoll_3p!G58)-1))&gt;VALUE(RIGHT(Protokoll_3p!G58,LEN(Protokoll_3p!G58)-FIND(":",Protokoll_3p!G58))),1,0))</f>
        <v>1</v>
      </c>
      <c r="D52" s="1">
        <f>IF(Protokoll_3p!H58="","",IF(VALUE(LEFT(Protokoll_3p!H58,FIND(":",Protokoll_3p!H58)-1))&gt;VALUE(RIGHT(Protokoll_3p!H58,LEN(Protokoll_3p!H58)-FIND(":",Protokoll_3p!H58))),1,0))</f>
        <v>1</v>
      </c>
      <c r="E52" s="1">
        <f>IF(Protokoll_3p!I58="","",IF(VALUE(LEFT(Protokoll_3p!I58,FIND(":",Protokoll_3p!I58)-1))&gt;VALUE(RIGHT(Protokoll_3p!I58,LEN(Protokoll_3p!I58)-FIND(":",Protokoll_3p!I58))),1,0))</f>
        <v>0</v>
      </c>
      <c r="F52" s="1">
        <f>IF(Protokoll_3p!J58="","",IF(VALUE(LEFT(Protokoll_3p!J58,FIND(":",Protokoll_3p!J58)-1))&gt;VALUE(RIGHT(Protokoll_3p!J58,LEN(Protokoll_3p!J58)-FIND(":",Protokoll_3p!J58))),1,0))</f>
        <v>1</v>
      </c>
      <c r="G52" s="1">
        <f t="shared" si="0"/>
        <v>3</v>
      </c>
      <c r="I52" s="1">
        <f>IF(Protokoll_3p!F58="","",IF(VALUE(LEFT(Protokoll_3p!F58,FIND(":",Protokoll_3p!F58)-1))&gt;VALUE(RIGHT(Protokoll_3p!F58,LEN(Protokoll_3p!F58)-FIND(":",Protokoll_3p!F58))),0,1))</f>
        <v>1</v>
      </c>
      <c r="J52" s="1">
        <f>IF(Protokoll_3p!G58="","",IF(VALUE(LEFT(Protokoll_3p!G58,FIND(":",Protokoll_3p!G58)-1))&gt;VALUE(RIGHT(Protokoll_3p!G58,LEN(Protokoll_3p!G58)-FIND(":",Protokoll_3p!G58))),0,1))</f>
        <v>0</v>
      </c>
      <c r="K52" s="1">
        <f>IF(Protokoll_3p!H58="","",IF(VALUE(LEFT(Protokoll_3p!H58,FIND(":",Protokoll_3p!H58)-1))&gt;VALUE(RIGHT(Protokoll_3p!H58,LEN(Protokoll_3p!H58)-FIND(":",Protokoll_3p!H58))),0,1))</f>
        <v>0</v>
      </c>
      <c r="L52" s="1">
        <f>IF(Protokoll_3p!I58="","",IF(VALUE(LEFT(Protokoll_3p!I58,FIND(":",Protokoll_3p!I58)-1))&gt;VALUE(RIGHT(Protokoll_3p!I58,LEN(Protokoll_3p!I58)-FIND(":",Protokoll_3p!I58))),0,1))</f>
        <v>1</v>
      </c>
      <c r="M52" s="1">
        <f>IF(Protokoll_3p!J58="","",IF(VALUE(LEFT(Protokoll_3p!J58,FIND(":",Protokoll_3p!J58)-1))&gt;VALUE(RIGHT(Protokoll_3p!J58,LEN(Protokoll_3p!J58)-FIND(":",Protokoll_3p!J58))),0,1))</f>
        <v>0</v>
      </c>
      <c r="N52" s="1">
        <f t="shared" si="1"/>
        <v>2</v>
      </c>
    </row>
    <row r="53" spans="2:14">
      <c r="B53" s="1">
        <f>IF(Protokoll_3p!F59="","",IF(VALUE(LEFT(Protokoll_3p!F59,FIND(":",Protokoll_3p!F59)-1))&gt;VALUE(RIGHT(Protokoll_3p!F59,LEN(Protokoll_3p!F59)-FIND(":",Protokoll_3p!F59))),1,0))</f>
        <v>0</v>
      </c>
      <c r="C53" s="1">
        <f>IF(Protokoll_3p!G59="","",IF(VALUE(LEFT(Protokoll_3p!G59,FIND(":",Protokoll_3p!G59)-1))&gt;VALUE(RIGHT(Protokoll_3p!G59,LEN(Protokoll_3p!G59)-FIND(":",Protokoll_3p!G59))),1,0))</f>
        <v>1</v>
      </c>
      <c r="D53" s="1">
        <f>IF(Protokoll_3p!H59="","",IF(VALUE(LEFT(Protokoll_3p!H59,FIND(":",Protokoll_3p!H59)-1))&gt;VALUE(RIGHT(Protokoll_3p!H59,LEN(Protokoll_3p!H59)-FIND(":",Protokoll_3p!H59))),1,0))</f>
        <v>0</v>
      </c>
      <c r="E53" s="1">
        <f>IF(Protokoll_3p!I59="","",IF(VALUE(LEFT(Protokoll_3p!I59,FIND(":",Protokoll_3p!I59)-1))&gt;VALUE(RIGHT(Protokoll_3p!I59,LEN(Protokoll_3p!I59)-FIND(":",Protokoll_3p!I59))),1,0))</f>
        <v>0</v>
      </c>
      <c r="F53" s="1" t="str">
        <f>IF(Protokoll_3p!J59="","",IF(VALUE(LEFT(Protokoll_3p!J59,FIND(":",Protokoll_3p!J59)-1))&gt;VALUE(RIGHT(Protokoll_3p!J59,LEN(Protokoll_3p!J59)-FIND(":",Protokoll_3p!J59))),1,0))</f>
        <v/>
      </c>
      <c r="G53" s="1">
        <f t="shared" si="0"/>
        <v>1</v>
      </c>
      <c r="I53" s="1">
        <f>IF(Protokoll_3p!F59="","",IF(VALUE(LEFT(Protokoll_3p!F59,FIND(":",Protokoll_3p!F59)-1))&gt;VALUE(RIGHT(Protokoll_3p!F59,LEN(Protokoll_3p!F59)-FIND(":",Protokoll_3p!F59))),0,1))</f>
        <v>1</v>
      </c>
      <c r="J53" s="1">
        <f>IF(Protokoll_3p!G59="","",IF(VALUE(LEFT(Protokoll_3p!G59,FIND(":",Protokoll_3p!G59)-1))&gt;VALUE(RIGHT(Protokoll_3p!G59,LEN(Protokoll_3p!G59)-FIND(":",Protokoll_3p!G59))),0,1))</f>
        <v>0</v>
      </c>
      <c r="K53" s="1">
        <f>IF(Protokoll_3p!H59="","",IF(VALUE(LEFT(Protokoll_3p!H59,FIND(":",Protokoll_3p!H59)-1))&gt;VALUE(RIGHT(Protokoll_3p!H59,LEN(Protokoll_3p!H59)-FIND(":",Protokoll_3p!H59))),0,1))</f>
        <v>1</v>
      </c>
      <c r="L53" s="1">
        <f>IF(Protokoll_3p!I59="","",IF(VALUE(LEFT(Protokoll_3p!I59,FIND(":",Protokoll_3p!I59)-1))&gt;VALUE(RIGHT(Protokoll_3p!I59,LEN(Protokoll_3p!I59)-FIND(":",Protokoll_3p!I59))),0,1))</f>
        <v>1</v>
      </c>
      <c r="M53" s="1" t="str">
        <f>IF(Protokoll_3p!J59="","",IF(VALUE(LEFT(Protokoll_3p!J59,FIND(":",Protokoll_3p!J59)-1))&gt;VALUE(RIGHT(Protokoll_3p!J59,LEN(Protokoll_3p!J59)-FIND(":",Protokoll_3p!J59))),0,1))</f>
        <v/>
      </c>
      <c r="N53" s="1">
        <f t="shared" si="1"/>
        <v>3</v>
      </c>
    </row>
    <row r="54" spans="2:14">
      <c r="B54" s="1" t="str">
        <f>IF(Protokoll_3p!F60="","",IF(VALUE(LEFT(Protokoll_3p!F60,FIND(":",Protokoll_3p!F60)-1))&gt;VALUE(RIGHT(Protokoll_3p!F60,LEN(Protokoll_3p!F60)-FIND(":",Protokoll_3p!F60))),1,0))</f>
        <v/>
      </c>
      <c r="C54" s="1" t="str">
        <f>IF(Protokoll_3p!G60="","",IF(VALUE(LEFT(Protokoll_3p!G60,FIND(":",Protokoll_3p!G60)-1))&gt;VALUE(RIGHT(Protokoll_3p!G60,LEN(Protokoll_3p!G60)-FIND(":",Protokoll_3p!G60))),1,0))</f>
        <v/>
      </c>
      <c r="D54" s="1" t="str">
        <f>IF(Protokoll_3p!H60="","",IF(VALUE(LEFT(Protokoll_3p!H60,FIND(":",Protokoll_3p!H60)-1))&gt;VALUE(RIGHT(Protokoll_3p!H60,LEN(Protokoll_3p!H60)-FIND(":",Protokoll_3p!H60))),1,0))</f>
        <v/>
      </c>
      <c r="E54" s="1" t="str">
        <f>IF(Protokoll_3p!I60="","",IF(VALUE(LEFT(Protokoll_3p!I60,FIND(":",Protokoll_3p!I60)-1))&gt;VALUE(RIGHT(Protokoll_3p!I60,LEN(Protokoll_3p!I60)-FIND(":",Protokoll_3p!I60))),1,0))</f>
        <v/>
      </c>
      <c r="F54" s="1" t="str">
        <f>IF(Protokoll_3p!J60="","",IF(VALUE(LEFT(Protokoll_3p!J60,FIND(":",Protokoll_3p!J60)-1))&gt;VALUE(RIGHT(Protokoll_3p!J60,LEN(Protokoll_3p!J60)-FIND(":",Protokoll_3p!J60))),1,0))</f>
        <v/>
      </c>
      <c r="G54" s="1" t="str">
        <f t="shared" si="0"/>
        <v/>
      </c>
      <c r="I54" s="1" t="str">
        <f>IF(Protokoll_3p!F60="","",IF(VALUE(LEFT(Protokoll_3p!F60,FIND(":",Protokoll_3p!F60)-1))&gt;VALUE(RIGHT(Protokoll_3p!F60,LEN(Protokoll_3p!F60)-FIND(":",Protokoll_3p!F60))),0,1))</f>
        <v/>
      </c>
      <c r="J54" s="1" t="str">
        <f>IF(Protokoll_3p!G60="","",IF(VALUE(LEFT(Protokoll_3p!G60,FIND(":",Protokoll_3p!G60)-1))&gt;VALUE(RIGHT(Protokoll_3p!G60,LEN(Protokoll_3p!G60)-FIND(":",Protokoll_3p!G60))),0,1))</f>
        <v/>
      </c>
      <c r="K54" s="1" t="str">
        <f>IF(Protokoll_3p!H60="","",IF(VALUE(LEFT(Protokoll_3p!H60,FIND(":",Protokoll_3p!H60)-1))&gt;VALUE(RIGHT(Protokoll_3p!H60,LEN(Protokoll_3p!H60)-FIND(":",Protokoll_3p!H60))),0,1))</f>
        <v/>
      </c>
      <c r="L54" s="1" t="str">
        <f>IF(Protokoll_3p!I60="","",IF(VALUE(LEFT(Protokoll_3p!I60,FIND(":",Protokoll_3p!I60)-1))&gt;VALUE(RIGHT(Protokoll_3p!I60,LEN(Protokoll_3p!I60)-FIND(":",Protokoll_3p!I60))),0,1))</f>
        <v/>
      </c>
      <c r="M54" s="1" t="str">
        <f>IF(Protokoll_3p!J60="","",IF(VALUE(LEFT(Protokoll_3p!J60,FIND(":",Protokoll_3p!J60)-1))&gt;VALUE(RIGHT(Protokoll_3p!J60,LEN(Protokoll_3p!J60)-FIND(":",Protokoll_3p!J60))),0,1))</f>
        <v/>
      </c>
      <c r="N54" s="1" t="str">
        <f t="shared" si="1"/>
        <v/>
      </c>
    </row>
    <row r="55" spans="2:14">
      <c r="B55" s="1">
        <f>IF(Protokoll_3p!F61="","",IF(VALUE(LEFT(Protokoll_3p!F61,FIND(":",Protokoll_3p!F61)-1))&gt;VALUE(RIGHT(Protokoll_3p!F61,LEN(Protokoll_3p!F61)-FIND(":",Protokoll_3p!F61))),1,0))</f>
        <v>0</v>
      </c>
      <c r="C55" s="1">
        <f>IF(Protokoll_3p!G61="","",IF(VALUE(LEFT(Protokoll_3p!G61,FIND(":",Protokoll_3p!G61)-1))&gt;VALUE(RIGHT(Protokoll_3p!G61,LEN(Protokoll_3p!G61)-FIND(":",Protokoll_3p!G61))),1,0))</f>
        <v>1</v>
      </c>
      <c r="D55" s="1">
        <f>IF(Protokoll_3p!H61="","",IF(VALUE(LEFT(Protokoll_3p!H61,FIND(":",Protokoll_3p!H61)-1))&gt;VALUE(RIGHT(Protokoll_3p!H61,LEN(Protokoll_3p!H61)-FIND(":",Protokoll_3p!H61))),1,0))</f>
        <v>0</v>
      </c>
      <c r="E55" s="1">
        <f>IF(Protokoll_3p!I61="","",IF(VALUE(LEFT(Protokoll_3p!I61,FIND(":",Protokoll_3p!I61)-1))&gt;VALUE(RIGHT(Protokoll_3p!I61,LEN(Protokoll_3p!I61)-FIND(":",Protokoll_3p!I61))),1,0))</f>
        <v>1</v>
      </c>
      <c r="F55" s="1">
        <f>IF(Protokoll_3p!J61="","",IF(VALUE(LEFT(Protokoll_3p!J61,FIND(":",Protokoll_3p!J61)-1))&gt;VALUE(RIGHT(Protokoll_3p!J61,LEN(Protokoll_3p!J61)-FIND(":",Protokoll_3p!J61))),1,0))</f>
        <v>0</v>
      </c>
      <c r="G55" s="1">
        <f t="shared" si="0"/>
        <v>2</v>
      </c>
      <c r="I55" s="1">
        <f>IF(Protokoll_3p!F61="","",IF(VALUE(LEFT(Protokoll_3p!F61,FIND(":",Protokoll_3p!F61)-1))&gt;VALUE(RIGHT(Protokoll_3p!F61,LEN(Protokoll_3p!F61)-FIND(":",Protokoll_3p!F61))),0,1))</f>
        <v>1</v>
      </c>
      <c r="J55" s="1">
        <f>IF(Protokoll_3p!G61="","",IF(VALUE(LEFT(Protokoll_3p!G61,FIND(":",Protokoll_3p!G61)-1))&gt;VALUE(RIGHT(Protokoll_3p!G61,LEN(Protokoll_3p!G61)-FIND(":",Protokoll_3p!G61))),0,1))</f>
        <v>0</v>
      </c>
      <c r="K55" s="1">
        <f>IF(Protokoll_3p!H61="","",IF(VALUE(LEFT(Protokoll_3p!H61,FIND(":",Protokoll_3p!H61)-1))&gt;VALUE(RIGHT(Protokoll_3p!H61,LEN(Protokoll_3p!H61)-FIND(":",Protokoll_3p!H61))),0,1))</f>
        <v>1</v>
      </c>
      <c r="L55" s="1">
        <f>IF(Protokoll_3p!I61="","",IF(VALUE(LEFT(Protokoll_3p!I61,FIND(":",Protokoll_3p!I61)-1))&gt;VALUE(RIGHT(Protokoll_3p!I61,LEN(Protokoll_3p!I61)-FIND(":",Protokoll_3p!I61))),0,1))</f>
        <v>0</v>
      </c>
      <c r="M55" s="1">
        <f>IF(Protokoll_3p!J61="","",IF(VALUE(LEFT(Protokoll_3p!J61,FIND(":",Protokoll_3p!J61)-1))&gt;VALUE(RIGHT(Protokoll_3p!J61,LEN(Protokoll_3p!J61)-FIND(":",Protokoll_3p!J61))),0,1))</f>
        <v>1</v>
      </c>
      <c r="N55" s="1">
        <f t="shared" si="1"/>
        <v>3</v>
      </c>
    </row>
    <row r="56" spans="2:14">
      <c r="B56" s="1" t="str">
        <f>IF(Protokoll_3p!F62="","",IF(VALUE(LEFT(Protokoll_3p!F62,FIND(":",Protokoll_3p!F62)-1))&gt;VALUE(RIGHT(Protokoll_3p!F62,LEN(Protokoll_3p!F62)-FIND(":",Protokoll_3p!F62))),1,0))</f>
        <v/>
      </c>
      <c r="C56" s="1" t="str">
        <f>IF(Protokoll_3p!G62="","",IF(VALUE(LEFT(Protokoll_3p!G62,FIND(":",Protokoll_3p!G62)-1))&gt;VALUE(RIGHT(Protokoll_3p!G62,LEN(Protokoll_3p!G62)-FIND(":",Protokoll_3p!G62))),1,0))</f>
        <v/>
      </c>
      <c r="D56" s="1" t="str">
        <f>IF(Protokoll_3p!H62="","",IF(VALUE(LEFT(Protokoll_3p!H62,FIND(":",Protokoll_3p!H62)-1))&gt;VALUE(RIGHT(Protokoll_3p!H62,LEN(Protokoll_3p!H62)-FIND(":",Protokoll_3p!H62))),1,0))</f>
        <v/>
      </c>
      <c r="E56" s="1" t="str">
        <f>IF(Protokoll_3p!I62="","",IF(VALUE(LEFT(Protokoll_3p!I62,FIND(":",Protokoll_3p!I62)-1))&gt;VALUE(RIGHT(Protokoll_3p!I62,LEN(Protokoll_3p!I62)-FIND(":",Protokoll_3p!I62))),1,0))</f>
        <v/>
      </c>
      <c r="F56" s="1" t="str">
        <f>IF(Protokoll_3p!J62="","",IF(VALUE(LEFT(Protokoll_3p!J62,FIND(":",Protokoll_3p!J62)-1))&gt;VALUE(RIGHT(Protokoll_3p!J62,LEN(Protokoll_3p!J62)-FIND(":",Protokoll_3p!J62))),1,0))</f>
        <v/>
      </c>
      <c r="G56" s="1" t="str">
        <f t="shared" si="0"/>
        <v/>
      </c>
      <c r="I56" s="1" t="str">
        <f>IF(Protokoll_3p!F62="","",IF(VALUE(LEFT(Protokoll_3p!F62,FIND(":",Protokoll_3p!F62)-1))&gt;VALUE(RIGHT(Protokoll_3p!F62,LEN(Protokoll_3p!F62)-FIND(":",Protokoll_3p!F62))),0,1))</f>
        <v/>
      </c>
      <c r="J56" s="1" t="str">
        <f>IF(Protokoll_3p!G62="","",IF(VALUE(LEFT(Protokoll_3p!G62,FIND(":",Protokoll_3p!G62)-1))&gt;VALUE(RIGHT(Protokoll_3p!G62,LEN(Protokoll_3p!G62)-FIND(":",Protokoll_3p!G62))),0,1))</f>
        <v/>
      </c>
      <c r="K56" s="1" t="str">
        <f>IF(Protokoll_3p!H62="","",IF(VALUE(LEFT(Protokoll_3p!H62,FIND(":",Protokoll_3p!H62)-1))&gt;VALUE(RIGHT(Protokoll_3p!H62,LEN(Protokoll_3p!H62)-FIND(":",Protokoll_3p!H62))),0,1))</f>
        <v/>
      </c>
      <c r="L56" s="1" t="str">
        <f>IF(Protokoll_3p!I62="","",IF(VALUE(LEFT(Protokoll_3p!I62,FIND(":",Protokoll_3p!I62)-1))&gt;VALUE(RIGHT(Protokoll_3p!I62,LEN(Protokoll_3p!I62)-FIND(":",Protokoll_3p!I62))),0,1))</f>
        <v/>
      </c>
      <c r="M56" s="1" t="str">
        <f>IF(Protokoll_3p!J62="","",IF(VALUE(LEFT(Protokoll_3p!J62,FIND(":",Protokoll_3p!J62)-1))&gt;VALUE(RIGHT(Protokoll_3p!J62,LEN(Protokoll_3p!J62)-FIND(":",Protokoll_3p!J62))),0,1))</f>
        <v/>
      </c>
      <c r="N56" s="1" t="str">
        <f t="shared" si="1"/>
        <v/>
      </c>
    </row>
    <row r="57" spans="2:14">
      <c r="B57" s="1">
        <f>IF(Protokoll_3p!F63="","",IF(VALUE(LEFT(Protokoll_3p!F63,FIND(":",Protokoll_3p!F63)-1))&gt;VALUE(RIGHT(Protokoll_3p!F63,LEN(Protokoll_3p!F63)-FIND(":",Protokoll_3p!F63))),1,0))</f>
        <v>1</v>
      </c>
      <c r="C57" s="1">
        <f>IF(Protokoll_3p!G63="","",IF(VALUE(LEFT(Protokoll_3p!G63,FIND(":",Protokoll_3p!G63)-1))&gt;VALUE(RIGHT(Protokoll_3p!G63,LEN(Protokoll_3p!G63)-FIND(":",Protokoll_3p!G63))),1,0))</f>
        <v>0</v>
      </c>
      <c r="D57" s="1">
        <f>IF(Protokoll_3p!H63="","",IF(VALUE(LEFT(Protokoll_3p!H63,FIND(":",Protokoll_3p!H63)-1))&gt;VALUE(RIGHT(Protokoll_3p!H63,LEN(Protokoll_3p!H63)-FIND(":",Protokoll_3p!H63))),1,0))</f>
        <v>0</v>
      </c>
      <c r="E57" s="1">
        <f>IF(Protokoll_3p!I63="","",IF(VALUE(LEFT(Protokoll_3p!I63,FIND(":",Protokoll_3p!I63)-1))&gt;VALUE(RIGHT(Protokoll_3p!I63,LEN(Protokoll_3p!I63)-FIND(":",Protokoll_3p!I63))),1,0))</f>
        <v>1</v>
      </c>
      <c r="F57" s="1">
        <f>IF(Protokoll_3p!J63="","",IF(VALUE(LEFT(Protokoll_3p!J63,FIND(":",Protokoll_3p!J63)-1))&gt;VALUE(RIGHT(Protokoll_3p!J63,LEN(Protokoll_3p!J63)-FIND(":",Protokoll_3p!J63))),1,0))</f>
        <v>0</v>
      </c>
      <c r="G57" s="1">
        <f t="shared" si="0"/>
        <v>2</v>
      </c>
      <c r="I57" s="1">
        <f>IF(Protokoll_3p!F63="","",IF(VALUE(LEFT(Protokoll_3p!F63,FIND(":",Protokoll_3p!F63)-1))&gt;VALUE(RIGHT(Protokoll_3p!F63,LEN(Protokoll_3p!F63)-FIND(":",Protokoll_3p!F63))),0,1))</f>
        <v>0</v>
      </c>
      <c r="J57" s="1">
        <f>IF(Protokoll_3p!G63="","",IF(VALUE(LEFT(Protokoll_3p!G63,FIND(":",Protokoll_3p!G63)-1))&gt;VALUE(RIGHT(Protokoll_3p!G63,LEN(Protokoll_3p!G63)-FIND(":",Protokoll_3p!G63))),0,1))</f>
        <v>1</v>
      </c>
      <c r="K57" s="1">
        <f>IF(Protokoll_3p!H63="","",IF(VALUE(LEFT(Protokoll_3p!H63,FIND(":",Protokoll_3p!H63)-1))&gt;VALUE(RIGHT(Protokoll_3p!H63,LEN(Protokoll_3p!H63)-FIND(":",Protokoll_3p!H63))),0,1))</f>
        <v>1</v>
      </c>
      <c r="L57" s="1">
        <f>IF(Protokoll_3p!I63="","",IF(VALUE(LEFT(Protokoll_3p!I63,FIND(":",Protokoll_3p!I63)-1))&gt;VALUE(RIGHT(Protokoll_3p!I63,LEN(Protokoll_3p!I63)-FIND(":",Protokoll_3p!I63))),0,1))</f>
        <v>0</v>
      </c>
      <c r="M57" s="1">
        <f>IF(Protokoll_3p!J63="","",IF(VALUE(LEFT(Protokoll_3p!J63,FIND(":",Protokoll_3p!J63)-1))&gt;VALUE(RIGHT(Protokoll_3p!J63,LEN(Protokoll_3p!J63)-FIND(":",Protokoll_3p!J63))),0,1))</f>
        <v>1</v>
      </c>
      <c r="N57" s="1">
        <f t="shared" si="1"/>
        <v>3</v>
      </c>
    </row>
    <row r="58" spans="2:14">
      <c r="B58" s="1" t="str">
        <f>IF(Protokoll_3p!F64="","",IF(VALUE(LEFT(Protokoll_3p!F64,FIND(":",Protokoll_3p!F64)-1))&gt;VALUE(RIGHT(Protokoll_3p!F64,LEN(Protokoll_3p!F64)-FIND(":",Protokoll_3p!F64))),1,0))</f>
        <v/>
      </c>
      <c r="C58" s="1" t="str">
        <f>IF(Protokoll_3p!G64="","",IF(VALUE(LEFT(Protokoll_3p!G64,FIND(":",Protokoll_3p!G64)-1))&gt;VALUE(RIGHT(Protokoll_3p!G64,LEN(Protokoll_3p!G64)-FIND(":",Protokoll_3p!G64))),1,0))</f>
        <v/>
      </c>
      <c r="D58" s="1" t="str">
        <f>IF(Protokoll_3p!H64="","",IF(VALUE(LEFT(Protokoll_3p!H64,FIND(":",Protokoll_3p!H64)-1))&gt;VALUE(RIGHT(Protokoll_3p!H64,LEN(Protokoll_3p!H64)-FIND(":",Protokoll_3p!H64))),1,0))</f>
        <v/>
      </c>
      <c r="E58" s="1" t="str">
        <f>IF(Protokoll_3p!I64="","",IF(VALUE(LEFT(Protokoll_3p!I64,FIND(":",Protokoll_3p!I64)-1))&gt;VALUE(RIGHT(Protokoll_3p!I64,LEN(Protokoll_3p!I64)-FIND(":",Protokoll_3p!I64))),1,0))</f>
        <v/>
      </c>
      <c r="F58" s="1" t="str">
        <f>IF(Protokoll_3p!J64="","",IF(VALUE(LEFT(Protokoll_3p!J64,FIND(":",Protokoll_3p!J64)-1))&gt;VALUE(RIGHT(Protokoll_3p!J64,LEN(Protokoll_3p!J64)-FIND(":",Protokoll_3p!J64))),1,0))</f>
        <v/>
      </c>
      <c r="G58" s="1" t="str">
        <f t="shared" si="0"/>
        <v/>
      </c>
      <c r="I58" s="1" t="str">
        <f>IF(Protokoll_3p!F64="","",IF(VALUE(LEFT(Protokoll_3p!F64,FIND(":",Protokoll_3p!F64)-1))&gt;VALUE(RIGHT(Protokoll_3p!F64,LEN(Protokoll_3p!F64)-FIND(":",Protokoll_3p!F64))),0,1))</f>
        <v/>
      </c>
      <c r="J58" s="1" t="str">
        <f>IF(Protokoll_3p!G64="","",IF(VALUE(LEFT(Protokoll_3p!G64,FIND(":",Protokoll_3p!G64)-1))&gt;VALUE(RIGHT(Protokoll_3p!G64,LEN(Protokoll_3p!G64)-FIND(":",Protokoll_3p!G64))),0,1))</f>
        <v/>
      </c>
      <c r="K58" s="1" t="str">
        <f>IF(Protokoll_3p!H64="","",IF(VALUE(LEFT(Protokoll_3p!H64,FIND(":",Protokoll_3p!H64)-1))&gt;VALUE(RIGHT(Protokoll_3p!H64,LEN(Protokoll_3p!H64)-FIND(":",Protokoll_3p!H64))),0,1))</f>
        <v/>
      </c>
      <c r="L58" s="1" t="str">
        <f>IF(Protokoll_3p!I64="","",IF(VALUE(LEFT(Protokoll_3p!I64,FIND(":",Protokoll_3p!I64)-1))&gt;VALUE(RIGHT(Protokoll_3p!I64,LEN(Protokoll_3p!I64)-FIND(":",Protokoll_3p!I64))),0,1))</f>
        <v/>
      </c>
      <c r="M58" s="1" t="str">
        <f>IF(Protokoll_3p!J64="","",IF(VALUE(LEFT(Protokoll_3p!J64,FIND(":",Protokoll_3p!J64)-1))&gt;VALUE(RIGHT(Protokoll_3p!J64,LEN(Protokoll_3p!J64)-FIND(":",Protokoll_3p!J64))),0,1))</f>
        <v/>
      </c>
      <c r="N58" s="1" t="str">
        <f t="shared" si="1"/>
        <v/>
      </c>
    </row>
    <row r="59" spans="2:14">
      <c r="B59" s="1" t="str">
        <f>IF(Protokoll_3p!F65="","",IF(VALUE(LEFT(Protokoll_3p!F65,FIND(":",Protokoll_3p!F65)-1))&gt;VALUE(RIGHT(Protokoll_3p!F65,LEN(Protokoll_3p!F65)-FIND(":",Protokoll_3p!F65))),1,0))</f>
        <v/>
      </c>
      <c r="C59" s="1" t="str">
        <f>IF(Protokoll_3p!G65="","",IF(VALUE(LEFT(Protokoll_3p!G65,FIND(":",Protokoll_3p!G65)-1))&gt;VALUE(RIGHT(Protokoll_3p!G65,LEN(Protokoll_3p!G65)-FIND(":",Protokoll_3p!G65))),1,0))</f>
        <v/>
      </c>
      <c r="D59" s="1" t="str">
        <f>IF(Protokoll_3p!H65="","",IF(VALUE(LEFT(Protokoll_3p!H65,FIND(":",Protokoll_3p!H65)-1))&gt;VALUE(RIGHT(Protokoll_3p!H65,LEN(Protokoll_3p!H65)-FIND(":",Protokoll_3p!H65))),1,0))</f>
        <v/>
      </c>
      <c r="E59" s="1" t="str">
        <f>IF(Protokoll_3p!I65="","",IF(VALUE(LEFT(Protokoll_3p!I65,FIND(":",Protokoll_3p!I65)-1))&gt;VALUE(RIGHT(Protokoll_3p!I65,LEN(Protokoll_3p!I65)-FIND(":",Protokoll_3p!I65))),1,0))</f>
        <v/>
      </c>
      <c r="F59" s="1" t="str">
        <f>IF(Protokoll_3p!J65="","",IF(VALUE(LEFT(Protokoll_3p!J65,FIND(":",Protokoll_3p!J65)-1))&gt;VALUE(RIGHT(Protokoll_3p!J65,LEN(Protokoll_3p!J65)-FIND(":",Protokoll_3p!J65))),1,0))</f>
        <v/>
      </c>
      <c r="G59" s="1" t="str">
        <f t="shared" si="0"/>
        <v/>
      </c>
      <c r="I59" s="1" t="str">
        <f>IF(Protokoll_3p!F65="","",IF(VALUE(LEFT(Protokoll_3p!F65,FIND(":",Protokoll_3p!F65)-1))&gt;VALUE(RIGHT(Protokoll_3p!F65,LEN(Protokoll_3p!F65)-FIND(":",Protokoll_3p!F65))),0,1))</f>
        <v/>
      </c>
      <c r="J59" s="1" t="str">
        <f>IF(Protokoll_3p!G65="","",IF(VALUE(LEFT(Protokoll_3p!G65,FIND(":",Protokoll_3p!G65)-1))&gt;VALUE(RIGHT(Protokoll_3p!G65,LEN(Protokoll_3p!G65)-FIND(":",Protokoll_3p!G65))),0,1))</f>
        <v/>
      </c>
      <c r="K59" s="1" t="str">
        <f>IF(Protokoll_3p!H65="","",IF(VALUE(LEFT(Protokoll_3p!H65,FIND(":",Protokoll_3p!H65)-1))&gt;VALUE(RIGHT(Protokoll_3p!H65,LEN(Protokoll_3p!H65)-FIND(":",Protokoll_3p!H65))),0,1))</f>
        <v/>
      </c>
      <c r="L59" s="1" t="str">
        <f>IF(Protokoll_3p!I65="","",IF(VALUE(LEFT(Protokoll_3p!I65,FIND(":",Protokoll_3p!I65)-1))&gt;VALUE(RIGHT(Protokoll_3p!I65,LEN(Protokoll_3p!I65)-FIND(":",Protokoll_3p!I65))),0,1))</f>
        <v/>
      </c>
      <c r="M59" s="1" t="str">
        <f>IF(Protokoll_3p!J65="","",IF(VALUE(LEFT(Protokoll_3p!J65,FIND(":",Protokoll_3p!J65)-1))&gt;VALUE(RIGHT(Protokoll_3p!J65,LEN(Protokoll_3p!J65)-FIND(":",Protokoll_3p!J65))),0,1))</f>
        <v/>
      </c>
      <c r="N59" s="1" t="str">
        <f t="shared" si="1"/>
        <v/>
      </c>
    </row>
    <row r="60" spans="2:14">
      <c r="B60" s="1" t="str">
        <f>IF(Protokoll_3p!F66="","",IF(VALUE(LEFT(Protokoll_3p!F66,FIND(":",Protokoll_3p!F66)-1))&gt;VALUE(RIGHT(Protokoll_3p!F66,LEN(Protokoll_3p!F66)-FIND(":",Protokoll_3p!F66))),1,0))</f>
        <v/>
      </c>
      <c r="C60" s="1" t="str">
        <f>IF(Protokoll_3p!G66="","",IF(VALUE(LEFT(Protokoll_3p!G66,FIND(":",Protokoll_3p!G66)-1))&gt;VALUE(RIGHT(Protokoll_3p!G66,LEN(Protokoll_3p!G66)-FIND(":",Protokoll_3p!G66))),1,0))</f>
        <v/>
      </c>
      <c r="D60" s="1" t="str">
        <f>IF(Protokoll_3p!H66="","",IF(VALUE(LEFT(Protokoll_3p!H66,FIND(":",Protokoll_3p!H66)-1))&gt;VALUE(RIGHT(Protokoll_3p!H66,LEN(Protokoll_3p!H66)-FIND(":",Protokoll_3p!H66))),1,0))</f>
        <v/>
      </c>
      <c r="E60" s="1" t="str">
        <f>IF(Protokoll_3p!I66="","",IF(VALUE(LEFT(Protokoll_3p!I66,FIND(":",Protokoll_3p!I66)-1))&gt;VALUE(RIGHT(Protokoll_3p!I66,LEN(Protokoll_3p!I66)-FIND(":",Protokoll_3p!I66))),1,0))</f>
        <v/>
      </c>
      <c r="F60" s="1" t="str">
        <f>IF(Protokoll_3p!J66="","",IF(VALUE(LEFT(Protokoll_3p!J66,FIND(":",Protokoll_3p!J66)-1))&gt;VALUE(RIGHT(Protokoll_3p!J66,LEN(Protokoll_3p!J66)-FIND(":",Protokoll_3p!J66))),1,0))</f>
        <v/>
      </c>
      <c r="G60" s="1" t="str">
        <f t="shared" si="0"/>
        <v/>
      </c>
      <c r="I60" s="1" t="str">
        <f>IF(Protokoll_3p!F66="","",IF(VALUE(LEFT(Protokoll_3p!F66,FIND(":",Protokoll_3p!F66)-1))&gt;VALUE(RIGHT(Protokoll_3p!F66,LEN(Protokoll_3p!F66)-FIND(":",Protokoll_3p!F66))),0,1))</f>
        <v/>
      </c>
      <c r="J60" s="1" t="str">
        <f>IF(Protokoll_3p!G66="","",IF(VALUE(LEFT(Protokoll_3p!G66,FIND(":",Protokoll_3p!G66)-1))&gt;VALUE(RIGHT(Protokoll_3p!G66,LEN(Protokoll_3p!G66)-FIND(":",Protokoll_3p!G66))),0,1))</f>
        <v/>
      </c>
      <c r="K60" s="1" t="str">
        <f>IF(Protokoll_3p!H66="","",IF(VALUE(LEFT(Protokoll_3p!H66,FIND(":",Protokoll_3p!H66)-1))&gt;VALUE(RIGHT(Protokoll_3p!H66,LEN(Protokoll_3p!H66)-FIND(":",Protokoll_3p!H66))),0,1))</f>
        <v/>
      </c>
      <c r="L60" s="1" t="str">
        <f>IF(Protokoll_3p!I66="","",IF(VALUE(LEFT(Protokoll_3p!I66,FIND(":",Protokoll_3p!I66)-1))&gt;VALUE(RIGHT(Protokoll_3p!I66,LEN(Protokoll_3p!I66)-FIND(":",Protokoll_3p!I66))),0,1))</f>
        <v/>
      </c>
      <c r="M60" s="1" t="str">
        <f>IF(Protokoll_3p!J66="","",IF(VALUE(LEFT(Protokoll_3p!J66,FIND(":",Protokoll_3p!J66)-1))&gt;VALUE(RIGHT(Protokoll_3p!J66,LEN(Protokoll_3p!J66)-FIND(":",Protokoll_3p!J66))),0,1))</f>
        <v/>
      </c>
      <c r="N60" s="1" t="str">
        <f t="shared" si="1"/>
        <v/>
      </c>
    </row>
    <row r="61" spans="2:14">
      <c r="B61" s="1" t="e">
        <f>IF(Protokoll_3p!F67="","",IF(VALUE(LEFT(Protokoll_3p!F67,FIND(":",Protokoll_3p!F67)-1))&gt;VALUE(RIGHT(Protokoll_3p!F67,LEN(Protokoll_3p!F67)-FIND(":",Protokoll_3p!F67))),1,0))</f>
        <v>#VALUE!</v>
      </c>
      <c r="C61" s="1" t="e">
        <f>IF(Protokoll_3p!G67="","",IF(VALUE(LEFT(Protokoll_3p!G67,FIND(":",Protokoll_3p!G67)-1))&gt;VALUE(RIGHT(Protokoll_3p!G67,LEN(Protokoll_3p!G67)-FIND(":",Protokoll_3p!G67))),1,0))</f>
        <v>#VALUE!</v>
      </c>
      <c r="D61" s="1" t="e">
        <f>IF(Protokoll_3p!H67="","",IF(VALUE(LEFT(Protokoll_3p!H67,FIND(":",Protokoll_3p!H67)-1))&gt;VALUE(RIGHT(Protokoll_3p!H67,LEN(Protokoll_3p!H67)-FIND(":",Protokoll_3p!H67))),1,0))</f>
        <v>#VALUE!</v>
      </c>
      <c r="E61" s="1" t="e">
        <f>IF(Protokoll_3p!I67="","",IF(VALUE(LEFT(Protokoll_3p!I67,FIND(":",Protokoll_3p!I67)-1))&gt;VALUE(RIGHT(Protokoll_3p!I67,LEN(Protokoll_3p!I67)-FIND(":",Protokoll_3p!I67))),1,0))</f>
        <v>#VALUE!</v>
      </c>
      <c r="F61" s="1" t="e">
        <f>IF(Protokoll_3p!J67="","",IF(VALUE(LEFT(Protokoll_3p!J67,FIND(":",Protokoll_3p!J67)-1))&gt;VALUE(RIGHT(Protokoll_3p!J67,LEN(Protokoll_3p!J67)-FIND(":",Protokoll_3p!J67))),1,0))</f>
        <v>#VALUE!</v>
      </c>
      <c r="G61" s="1" t="e">
        <f t="shared" si="0"/>
        <v>#VALUE!</v>
      </c>
      <c r="I61" s="1" t="e">
        <f>IF(Protokoll_3p!F67="","",IF(VALUE(LEFT(Protokoll_3p!F67,FIND(":",Protokoll_3p!F67)-1))&gt;VALUE(RIGHT(Protokoll_3p!F67,LEN(Protokoll_3p!F67)-FIND(":",Protokoll_3p!F67))),0,1))</f>
        <v>#VALUE!</v>
      </c>
      <c r="J61" s="1" t="e">
        <f>IF(Protokoll_3p!G67="","",IF(VALUE(LEFT(Protokoll_3p!G67,FIND(":",Protokoll_3p!G67)-1))&gt;VALUE(RIGHT(Protokoll_3p!G67,LEN(Protokoll_3p!G67)-FIND(":",Protokoll_3p!G67))),0,1))</f>
        <v>#VALUE!</v>
      </c>
      <c r="K61" s="1" t="e">
        <f>IF(Protokoll_3p!H67="","",IF(VALUE(LEFT(Protokoll_3p!H67,FIND(":",Protokoll_3p!H67)-1))&gt;VALUE(RIGHT(Protokoll_3p!H67,LEN(Protokoll_3p!H67)-FIND(":",Protokoll_3p!H67))),0,1))</f>
        <v>#VALUE!</v>
      </c>
      <c r="L61" s="1" t="e">
        <f>IF(Protokoll_3p!I67="","",IF(VALUE(LEFT(Protokoll_3p!I67,FIND(":",Protokoll_3p!I67)-1))&gt;VALUE(RIGHT(Protokoll_3p!I67,LEN(Protokoll_3p!I67)-FIND(":",Protokoll_3p!I67))),0,1))</f>
        <v>#VALUE!</v>
      </c>
      <c r="M61" s="1" t="e">
        <f>IF(Protokoll_3p!J67="","",IF(VALUE(LEFT(Protokoll_3p!J67,FIND(":",Protokoll_3p!J67)-1))&gt;VALUE(RIGHT(Protokoll_3p!J67,LEN(Protokoll_3p!J67)-FIND(":",Protokoll_3p!J67))),0,1))</f>
        <v>#VALUE!</v>
      </c>
      <c r="N61" s="1" t="e">
        <f t="shared" si="1"/>
        <v>#VALUE!</v>
      </c>
    </row>
    <row r="62" spans="2:14">
      <c r="B62" s="1">
        <f>IF(Protokoll_3p!F68="","",IF(VALUE(LEFT(Protokoll_3p!F68,FIND(":",Protokoll_3p!F68)-1))&gt;VALUE(RIGHT(Protokoll_3p!F68,LEN(Protokoll_3p!F68)-FIND(":",Protokoll_3p!F68))),1,0))</f>
        <v>1</v>
      </c>
      <c r="C62" s="1">
        <f>IF(Protokoll_3p!G68="","",IF(VALUE(LEFT(Protokoll_3p!G68,FIND(":",Protokoll_3p!G68)-1))&gt;VALUE(RIGHT(Protokoll_3p!G68,LEN(Protokoll_3p!G68)-FIND(":",Protokoll_3p!G68))),1,0))</f>
        <v>1</v>
      </c>
      <c r="D62" s="1">
        <f>IF(Protokoll_3p!H68="","",IF(VALUE(LEFT(Protokoll_3p!H68,FIND(":",Protokoll_3p!H68)-1))&gt;VALUE(RIGHT(Protokoll_3p!H68,LEN(Protokoll_3p!H68)-FIND(":",Protokoll_3p!H68))),1,0))</f>
        <v>0</v>
      </c>
      <c r="E62" s="1">
        <f>IF(Protokoll_3p!I68="","",IF(VALUE(LEFT(Protokoll_3p!I68,FIND(":",Protokoll_3p!I68)-1))&gt;VALUE(RIGHT(Protokoll_3p!I68,LEN(Protokoll_3p!I68)-FIND(":",Protokoll_3p!I68))),1,0))</f>
        <v>0</v>
      </c>
      <c r="F62" s="1">
        <f>IF(Protokoll_3p!J68="","",IF(VALUE(LEFT(Protokoll_3p!J68,FIND(":",Protokoll_3p!J68)-1))&gt;VALUE(RIGHT(Protokoll_3p!J68,LEN(Protokoll_3p!J68)-FIND(":",Protokoll_3p!J68))),1,0))</f>
        <v>0</v>
      </c>
      <c r="G62" s="1">
        <f t="shared" si="0"/>
        <v>2</v>
      </c>
      <c r="I62" s="1">
        <f>IF(Protokoll_3p!F68="","",IF(VALUE(LEFT(Protokoll_3p!F68,FIND(":",Protokoll_3p!F68)-1))&gt;VALUE(RIGHT(Protokoll_3p!F68,LEN(Protokoll_3p!F68)-FIND(":",Protokoll_3p!F68))),0,1))</f>
        <v>0</v>
      </c>
      <c r="J62" s="1">
        <f>IF(Protokoll_3p!G68="","",IF(VALUE(LEFT(Protokoll_3p!G68,FIND(":",Protokoll_3p!G68)-1))&gt;VALUE(RIGHT(Protokoll_3p!G68,LEN(Protokoll_3p!G68)-FIND(":",Protokoll_3p!G68))),0,1))</f>
        <v>0</v>
      </c>
      <c r="K62" s="1">
        <f>IF(Protokoll_3p!H68="","",IF(VALUE(LEFT(Protokoll_3p!H68,FIND(":",Protokoll_3p!H68)-1))&gt;VALUE(RIGHT(Protokoll_3p!H68,LEN(Protokoll_3p!H68)-FIND(":",Protokoll_3p!H68))),0,1))</f>
        <v>1</v>
      </c>
      <c r="L62" s="1">
        <f>IF(Protokoll_3p!I68="","",IF(VALUE(LEFT(Protokoll_3p!I68,FIND(":",Protokoll_3p!I68)-1))&gt;VALUE(RIGHT(Protokoll_3p!I68,LEN(Protokoll_3p!I68)-FIND(":",Protokoll_3p!I68))),0,1))</f>
        <v>1</v>
      </c>
      <c r="M62" s="1">
        <f>IF(Protokoll_3p!J68="","",IF(VALUE(LEFT(Protokoll_3p!J68,FIND(":",Protokoll_3p!J68)-1))&gt;VALUE(RIGHT(Protokoll_3p!J68,LEN(Protokoll_3p!J68)-FIND(":",Protokoll_3p!J68))),0,1))</f>
        <v>1</v>
      </c>
      <c r="N62" s="1">
        <f t="shared" si="1"/>
        <v>3</v>
      </c>
    </row>
    <row r="63" spans="2:14">
      <c r="B63" s="1">
        <f>IF(Protokoll_3p!F69="","",IF(VALUE(LEFT(Protokoll_3p!F69,FIND(":",Protokoll_3p!F69)-1))&gt;VALUE(RIGHT(Protokoll_3p!F69,LEN(Protokoll_3p!F69)-FIND(":",Protokoll_3p!F69))),1,0))</f>
        <v>0</v>
      </c>
      <c r="C63" s="1">
        <f>IF(Protokoll_3p!G69="","",IF(VALUE(LEFT(Protokoll_3p!G69,FIND(":",Protokoll_3p!G69)-1))&gt;VALUE(RIGHT(Protokoll_3p!G69,LEN(Protokoll_3p!G69)-FIND(":",Protokoll_3p!G69))),1,0))</f>
        <v>0</v>
      </c>
      <c r="D63" s="1">
        <f>IF(Protokoll_3p!H69="","",IF(VALUE(LEFT(Protokoll_3p!H69,FIND(":",Protokoll_3p!H69)-1))&gt;VALUE(RIGHT(Protokoll_3p!H69,LEN(Protokoll_3p!H69)-FIND(":",Protokoll_3p!H69))),1,0))</f>
        <v>0</v>
      </c>
      <c r="E63" s="1" t="str">
        <f>IF(Protokoll_3p!I69="","",IF(VALUE(LEFT(Protokoll_3p!I69,FIND(":",Protokoll_3p!I69)-1))&gt;VALUE(RIGHT(Protokoll_3p!I69,LEN(Protokoll_3p!I69)-FIND(":",Protokoll_3p!I69))),1,0))</f>
        <v/>
      </c>
      <c r="F63" s="1" t="str">
        <f>IF(Protokoll_3p!J69="","",IF(VALUE(LEFT(Protokoll_3p!J69,FIND(":",Protokoll_3p!J69)-1))&gt;VALUE(RIGHT(Protokoll_3p!J69,LEN(Protokoll_3p!J69)-FIND(":",Protokoll_3p!J69))),1,0))</f>
        <v/>
      </c>
      <c r="G63" s="1">
        <f t="shared" si="0"/>
        <v>0</v>
      </c>
      <c r="I63" s="1">
        <f>IF(Protokoll_3p!F69="","",IF(VALUE(LEFT(Protokoll_3p!F69,FIND(":",Protokoll_3p!F69)-1))&gt;VALUE(RIGHT(Protokoll_3p!F69,LEN(Protokoll_3p!F69)-FIND(":",Protokoll_3p!F69))),0,1))</f>
        <v>1</v>
      </c>
      <c r="J63" s="1">
        <f>IF(Protokoll_3p!G69="","",IF(VALUE(LEFT(Protokoll_3p!G69,FIND(":",Protokoll_3p!G69)-1))&gt;VALUE(RIGHT(Protokoll_3p!G69,LEN(Protokoll_3p!G69)-FIND(":",Protokoll_3p!G69))),0,1))</f>
        <v>1</v>
      </c>
      <c r="K63" s="1">
        <f>IF(Protokoll_3p!H69="","",IF(VALUE(LEFT(Protokoll_3p!H69,FIND(":",Protokoll_3p!H69)-1))&gt;VALUE(RIGHT(Protokoll_3p!H69,LEN(Protokoll_3p!H69)-FIND(":",Protokoll_3p!H69))),0,1))</f>
        <v>1</v>
      </c>
      <c r="L63" s="1" t="str">
        <f>IF(Protokoll_3p!I69="","",IF(VALUE(LEFT(Protokoll_3p!I69,FIND(":",Protokoll_3p!I69)-1))&gt;VALUE(RIGHT(Protokoll_3p!I69,LEN(Protokoll_3p!I69)-FIND(":",Protokoll_3p!I69))),0,1))</f>
        <v/>
      </c>
      <c r="M63" s="1" t="str">
        <f>IF(Protokoll_3p!J69="","",IF(VALUE(LEFT(Protokoll_3p!J69,FIND(":",Protokoll_3p!J69)-1))&gt;VALUE(RIGHT(Protokoll_3p!J69,LEN(Protokoll_3p!J69)-FIND(":",Protokoll_3p!J69))),0,1))</f>
        <v/>
      </c>
      <c r="N63" s="1">
        <f t="shared" si="1"/>
        <v>3</v>
      </c>
    </row>
    <row r="64" spans="2:14">
      <c r="B64" s="1">
        <f>IF(Protokoll_3p!F70="","",IF(VALUE(LEFT(Protokoll_3p!F70,FIND(":",Protokoll_3p!F70)-1))&gt;VALUE(RIGHT(Protokoll_3p!F70,LEN(Protokoll_3p!F70)-FIND(":",Protokoll_3p!F70))),1,0))</f>
        <v>0</v>
      </c>
      <c r="C64" s="1">
        <f>IF(Protokoll_3p!G70="","",IF(VALUE(LEFT(Protokoll_3p!G70,FIND(":",Protokoll_3p!G70)-1))&gt;VALUE(RIGHT(Protokoll_3p!G70,LEN(Protokoll_3p!G70)-FIND(":",Protokoll_3p!G70))),1,0))</f>
        <v>0</v>
      </c>
      <c r="D64" s="1">
        <f>IF(Protokoll_3p!H70="","",IF(VALUE(LEFT(Protokoll_3p!H70,FIND(":",Protokoll_3p!H70)-1))&gt;VALUE(RIGHT(Protokoll_3p!H70,LEN(Protokoll_3p!H70)-FIND(":",Protokoll_3p!H70))),1,0))</f>
        <v>0</v>
      </c>
      <c r="E64" s="1" t="str">
        <f>IF(Protokoll_3p!I70="","",IF(VALUE(LEFT(Protokoll_3p!I70,FIND(":",Protokoll_3p!I70)-1))&gt;VALUE(RIGHT(Protokoll_3p!I70,LEN(Protokoll_3p!I70)-FIND(":",Protokoll_3p!I70))),1,0))</f>
        <v/>
      </c>
      <c r="F64" s="1" t="str">
        <f>IF(Protokoll_3p!J70="","",IF(VALUE(LEFT(Protokoll_3p!J70,FIND(":",Protokoll_3p!J70)-1))&gt;VALUE(RIGHT(Protokoll_3p!J70,LEN(Protokoll_3p!J70)-FIND(":",Protokoll_3p!J70))),1,0))</f>
        <v/>
      </c>
      <c r="G64" s="1">
        <f t="shared" si="0"/>
        <v>0</v>
      </c>
      <c r="I64" s="1">
        <f>IF(Protokoll_3p!F70="","",IF(VALUE(LEFT(Protokoll_3p!F70,FIND(":",Protokoll_3p!F70)-1))&gt;VALUE(RIGHT(Protokoll_3p!F70,LEN(Protokoll_3p!F70)-FIND(":",Protokoll_3p!F70))),0,1))</f>
        <v>1</v>
      </c>
      <c r="J64" s="1">
        <f>IF(Protokoll_3p!G70="","",IF(VALUE(LEFT(Protokoll_3p!G70,FIND(":",Protokoll_3p!G70)-1))&gt;VALUE(RIGHT(Protokoll_3p!G70,LEN(Protokoll_3p!G70)-FIND(":",Protokoll_3p!G70))),0,1))</f>
        <v>1</v>
      </c>
      <c r="K64" s="1">
        <f>IF(Protokoll_3p!H70="","",IF(VALUE(LEFT(Protokoll_3p!H70,FIND(":",Protokoll_3p!H70)-1))&gt;VALUE(RIGHT(Protokoll_3p!H70,LEN(Protokoll_3p!H70)-FIND(":",Protokoll_3p!H70))),0,1))</f>
        <v>1</v>
      </c>
      <c r="L64" s="1" t="str">
        <f>IF(Protokoll_3p!I70="","",IF(VALUE(LEFT(Protokoll_3p!I70,FIND(":",Protokoll_3p!I70)-1))&gt;VALUE(RIGHT(Protokoll_3p!I70,LEN(Protokoll_3p!I70)-FIND(":",Protokoll_3p!I70))),0,1))</f>
        <v/>
      </c>
      <c r="M64" s="1" t="str">
        <f>IF(Protokoll_3p!J70="","",IF(VALUE(LEFT(Protokoll_3p!J70,FIND(":",Protokoll_3p!J70)-1))&gt;VALUE(RIGHT(Protokoll_3p!J70,LEN(Protokoll_3p!J70)-FIND(":",Protokoll_3p!J70))),0,1))</f>
        <v/>
      </c>
      <c r="N64" s="1">
        <f t="shared" si="1"/>
        <v>3</v>
      </c>
    </row>
    <row r="65" spans="2:14">
      <c r="B65" s="1">
        <f>IF(Protokoll_3p!F71="","",IF(VALUE(LEFT(Protokoll_3p!F71,FIND(":",Protokoll_3p!F71)-1))&gt;VALUE(RIGHT(Protokoll_3p!F71,LEN(Protokoll_3p!F71)-FIND(":",Protokoll_3p!F71))),1,0))</f>
        <v>0</v>
      </c>
      <c r="C65" s="1">
        <f>IF(Protokoll_3p!G71="","",IF(VALUE(LEFT(Protokoll_3p!G71,FIND(":",Protokoll_3p!G71)-1))&gt;VALUE(RIGHT(Protokoll_3p!G71,LEN(Protokoll_3p!G71)-FIND(":",Protokoll_3p!G71))),1,0))</f>
        <v>1</v>
      </c>
      <c r="D65" s="1">
        <f>IF(Protokoll_3p!H71="","",IF(VALUE(LEFT(Protokoll_3p!H71,FIND(":",Protokoll_3p!H71)-1))&gt;VALUE(RIGHT(Protokoll_3p!H71,LEN(Protokoll_3p!H71)-FIND(":",Protokoll_3p!H71))),1,0))</f>
        <v>1</v>
      </c>
      <c r="E65" s="1">
        <f>IF(Protokoll_3p!I71="","",IF(VALUE(LEFT(Protokoll_3p!I71,FIND(":",Protokoll_3p!I71)-1))&gt;VALUE(RIGHT(Protokoll_3p!I71,LEN(Protokoll_3p!I71)-FIND(":",Protokoll_3p!I71))),1,0))</f>
        <v>1</v>
      </c>
      <c r="F65" s="1" t="str">
        <f>IF(Protokoll_3p!J71="","",IF(VALUE(LEFT(Protokoll_3p!J71,FIND(":",Protokoll_3p!J71)-1))&gt;VALUE(RIGHT(Protokoll_3p!J71,LEN(Protokoll_3p!J71)-FIND(":",Protokoll_3p!J71))),1,0))</f>
        <v/>
      </c>
      <c r="G65" s="1">
        <f t="shared" si="0"/>
        <v>3</v>
      </c>
      <c r="I65" s="1">
        <f>IF(Protokoll_3p!F71="","",IF(VALUE(LEFT(Protokoll_3p!F71,FIND(":",Protokoll_3p!F71)-1))&gt;VALUE(RIGHT(Protokoll_3p!F71,LEN(Protokoll_3p!F71)-FIND(":",Protokoll_3p!F71))),0,1))</f>
        <v>1</v>
      </c>
      <c r="J65" s="1">
        <f>IF(Protokoll_3p!G71="","",IF(VALUE(LEFT(Protokoll_3p!G71,FIND(":",Protokoll_3p!G71)-1))&gt;VALUE(RIGHT(Protokoll_3p!G71,LEN(Protokoll_3p!G71)-FIND(":",Protokoll_3p!G71))),0,1))</f>
        <v>0</v>
      </c>
      <c r="K65" s="1">
        <f>IF(Protokoll_3p!H71="","",IF(VALUE(LEFT(Protokoll_3p!H71,FIND(":",Protokoll_3p!H71)-1))&gt;VALUE(RIGHT(Protokoll_3p!H71,LEN(Protokoll_3p!H71)-FIND(":",Protokoll_3p!H71))),0,1))</f>
        <v>0</v>
      </c>
      <c r="L65" s="1">
        <f>IF(Protokoll_3p!I71="","",IF(VALUE(LEFT(Protokoll_3p!I71,FIND(":",Protokoll_3p!I71)-1))&gt;VALUE(RIGHT(Protokoll_3p!I71,LEN(Protokoll_3p!I71)-FIND(":",Protokoll_3p!I71))),0,1))</f>
        <v>0</v>
      </c>
      <c r="M65" s="1" t="str">
        <f>IF(Protokoll_3p!J71="","",IF(VALUE(LEFT(Protokoll_3p!J71,FIND(":",Protokoll_3p!J71)-1))&gt;VALUE(RIGHT(Protokoll_3p!J71,LEN(Protokoll_3p!J71)-FIND(":",Protokoll_3p!J71))),0,1))</f>
        <v/>
      </c>
      <c r="N65" s="1">
        <f t="shared" si="1"/>
        <v>1</v>
      </c>
    </row>
    <row r="66" spans="2:14">
      <c r="B66" s="1" t="str">
        <f>IF(Protokoll_3p!F72="","",IF(VALUE(LEFT(Protokoll_3p!F72,FIND(":",Protokoll_3p!F72)-1))&gt;VALUE(RIGHT(Protokoll_3p!F72,LEN(Protokoll_3p!F72)-FIND(":",Protokoll_3p!F72))),1,0))</f>
        <v/>
      </c>
      <c r="C66" s="1" t="str">
        <f>IF(Protokoll_3p!G72="","",IF(VALUE(LEFT(Protokoll_3p!G72,FIND(":",Protokoll_3p!G72)-1))&gt;VALUE(RIGHT(Protokoll_3p!G72,LEN(Protokoll_3p!G72)-FIND(":",Protokoll_3p!G72))),1,0))</f>
        <v/>
      </c>
      <c r="D66" s="1" t="str">
        <f>IF(Protokoll_3p!H72="","",IF(VALUE(LEFT(Protokoll_3p!H72,FIND(":",Protokoll_3p!H72)-1))&gt;VALUE(RIGHT(Protokoll_3p!H72,LEN(Protokoll_3p!H72)-FIND(":",Protokoll_3p!H72))),1,0))</f>
        <v/>
      </c>
      <c r="E66" s="1" t="str">
        <f>IF(Protokoll_3p!I72="","",IF(VALUE(LEFT(Protokoll_3p!I72,FIND(":",Protokoll_3p!I72)-1))&gt;VALUE(RIGHT(Protokoll_3p!I72,LEN(Protokoll_3p!I72)-FIND(":",Protokoll_3p!I72))),1,0))</f>
        <v/>
      </c>
      <c r="F66" s="1" t="str">
        <f>IF(Protokoll_3p!J72="","",IF(VALUE(LEFT(Protokoll_3p!J72,FIND(":",Protokoll_3p!J72)-1))&gt;VALUE(RIGHT(Protokoll_3p!J72,LEN(Protokoll_3p!J72)-FIND(":",Protokoll_3p!J72))),1,0))</f>
        <v/>
      </c>
      <c r="G66" s="1" t="str">
        <f t="shared" si="0"/>
        <v/>
      </c>
      <c r="I66" s="1" t="str">
        <f>IF(Protokoll_3p!F72="","",IF(VALUE(LEFT(Protokoll_3p!F72,FIND(":",Protokoll_3p!F72)-1))&gt;VALUE(RIGHT(Protokoll_3p!F72,LEN(Protokoll_3p!F72)-FIND(":",Protokoll_3p!F72))),0,1))</f>
        <v/>
      </c>
      <c r="J66" s="1" t="str">
        <f>IF(Protokoll_3p!G72="","",IF(VALUE(LEFT(Protokoll_3p!G72,FIND(":",Protokoll_3p!G72)-1))&gt;VALUE(RIGHT(Protokoll_3p!G72,LEN(Protokoll_3p!G72)-FIND(":",Protokoll_3p!G72))),0,1))</f>
        <v/>
      </c>
      <c r="K66" s="1" t="str">
        <f>IF(Protokoll_3p!H72="","",IF(VALUE(LEFT(Protokoll_3p!H72,FIND(":",Protokoll_3p!H72)-1))&gt;VALUE(RIGHT(Protokoll_3p!H72,LEN(Protokoll_3p!H72)-FIND(":",Protokoll_3p!H72))),0,1))</f>
        <v/>
      </c>
      <c r="L66" s="1" t="str">
        <f>IF(Protokoll_3p!I72="","",IF(VALUE(LEFT(Protokoll_3p!I72,FIND(":",Protokoll_3p!I72)-1))&gt;VALUE(RIGHT(Protokoll_3p!I72,LEN(Protokoll_3p!I72)-FIND(":",Protokoll_3p!I72))),0,1))</f>
        <v/>
      </c>
      <c r="M66" s="1" t="str">
        <f>IF(Protokoll_3p!J72="","",IF(VALUE(LEFT(Protokoll_3p!J72,FIND(":",Protokoll_3p!J72)-1))&gt;VALUE(RIGHT(Protokoll_3p!J72,LEN(Protokoll_3p!J72)-FIND(":",Protokoll_3p!J72))),0,1))</f>
        <v/>
      </c>
      <c r="N66" s="1" t="str">
        <f t="shared" si="1"/>
        <v/>
      </c>
    </row>
    <row r="67" spans="2:14">
      <c r="B67" s="1" t="str">
        <f>IF(Protokoll_3p!F73="","",IF(VALUE(LEFT(Protokoll_3p!F73,FIND(":",Protokoll_3p!F73)-1))&gt;VALUE(RIGHT(Protokoll_3p!F73,LEN(Protokoll_3p!F73)-FIND(":",Protokoll_3p!F73))),1,0))</f>
        <v/>
      </c>
      <c r="C67" s="1" t="str">
        <f>IF(Protokoll_3p!G73="","",IF(VALUE(LEFT(Protokoll_3p!G73,FIND(":",Protokoll_3p!G73)-1))&gt;VALUE(RIGHT(Protokoll_3p!G73,LEN(Protokoll_3p!G73)-FIND(":",Protokoll_3p!G73))),1,0))</f>
        <v/>
      </c>
      <c r="D67" s="1" t="str">
        <f>IF(Protokoll_3p!H73="","",IF(VALUE(LEFT(Protokoll_3p!H73,FIND(":",Protokoll_3p!H73)-1))&gt;VALUE(RIGHT(Protokoll_3p!H73,LEN(Protokoll_3p!H73)-FIND(":",Protokoll_3p!H73))),1,0))</f>
        <v/>
      </c>
      <c r="E67" s="1" t="str">
        <f>IF(Protokoll_3p!I73="","",IF(VALUE(LEFT(Protokoll_3p!I73,FIND(":",Protokoll_3p!I73)-1))&gt;VALUE(RIGHT(Protokoll_3p!I73,LEN(Protokoll_3p!I73)-FIND(":",Protokoll_3p!I73))),1,0))</f>
        <v/>
      </c>
      <c r="F67" s="1" t="str">
        <f>IF(Protokoll_3p!J73="","",IF(VALUE(LEFT(Protokoll_3p!J73,FIND(":",Protokoll_3p!J73)-1))&gt;VALUE(RIGHT(Protokoll_3p!J73,LEN(Protokoll_3p!J73)-FIND(":",Protokoll_3p!J73))),1,0))</f>
        <v/>
      </c>
      <c r="G67" s="1" t="str">
        <f t="shared" ref="G67:G130" si="2">IF(B67="","",SUM(B67:F67))</f>
        <v/>
      </c>
      <c r="I67" s="1" t="str">
        <f>IF(Protokoll_3p!F73="","",IF(VALUE(LEFT(Protokoll_3p!F73,FIND(":",Protokoll_3p!F73)-1))&gt;VALUE(RIGHT(Protokoll_3p!F73,LEN(Protokoll_3p!F73)-FIND(":",Protokoll_3p!F73))),0,1))</f>
        <v/>
      </c>
      <c r="J67" s="1" t="str">
        <f>IF(Protokoll_3p!G73="","",IF(VALUE(LEFT(Protokoll_3p!G73,FIND(":",Protokoll_3p!G73)-1))&gt;VALUE(RIGHT(Protokoll_3p!G73,LEN(Protokoll_3p!G73)-FIND(":",Protokoll_3p!G73))),0,1))</f>
        <v/>
      </c>
      <c r="K67" s="1" t="str">
        <f>IF(Protokoll_3p!H73="","",IF(VALUE(LEFT(Protokoll_3p!H73,FIND(":",Protokoll_3p!H73)-1))&gt;VALUE(RIGHT(Protokoll_3p!H73,LEN(Protokoll_3p!H73)-FIND(":",Protokoll_3p!H73))),0,1))</f>
        <v/>
      </c>
      <c r="L67" s="1" t="str">
        <f>IF(Protokoll_3p!I73="","",IF(VALUE(LEFT(Protokoll_3p!I73,FIND(":",Protokoll_3p!I73)-1))&gt;VALUE(RIGHT(Protokoll_3p!I73,LEN(Protokoll_3p!I73)-FIND(":",Protokoll_3p!I73))),0,1))</f>
        <v/>
      </c>
      <c r="M67" s="1" t="str">
        <f>IF(Protokoll_3p!J73="","",IF(VALUE(LEFT(Protokoll_3p!J73,FIND(":",Protokoll_3p!J73)-1))&gt;VALUE(RIGHT(Protokoll_3p!J73,LEN(Protokoll_3p!J73)-FIND(":",Protokoll_3p!J73))),0,1))</f>
        <v/>
      </c>
      <c r="N67" s="1" t="str">
        <f t="shared" ref="N67:N130" si="3">IF(I67="","",SUM(I67:M67))</f>
        <v/>
      </c>
    </row>
    <row r="68" spans="2:14">
      <c r="B68" s="1">
        <f>IF(Protokoll_3p!F74="","",IF(VALUE(LEFT(Protokoll_3p!F74,FIND(":",Protokoll_3p!F74)-1))&gt;VALUE(RIGHT(Protokoll_3p!F74,LEN(Protokoll_3p!F74)-FIND(":",Protokoll_3p!F74))),1,0))</f>
        <v>0</v>
      </c>
      <c r="C68" s="1">
        <f>IF(Protokoll_3p!G74="","",IF(VALUE(LEFT(Protokoll_3p!G74,FIND(":",Protokoll_3p!G74)-1))&gt;VALUE(RIGHT(Protokoll_3p!G74,LEN(Protokoll_3p!G74)-FIND(":",Protokoll_3p!G74))),1,0))</f>
        <v>0</v>
      </c>
      <c r="D68" s="1">
        <f>IF(Protokoll_3p!H74="","",IF(VALUE(LEFT(Protokoll_3p!H74,FIND(":",Protokoll_3p!H74)-1))&gt;VALUE(RIGHT(Protokoll_3p!H74,LEN(Protokoll_3p!H74)-FIND(":",Protokoll_3p!H74))),1,0))</f>
        <v>0</v>
      </c>
      <c r="E68" s="1" t="str">
        <f>IF(Protokoll_3p!I74="","",IF(VALUE(LEFT(Protokoll_3p!I74,FIND(":",Protokoll_3p!I74)-1))&gt;VALUE(RIGHT(Protokoll_3p!I74,LEN(Protokoll_3p!I74)-FIND(":",Protokoll_3p!I74))),1,0))</f>
        <v/>
      </c>
      <c r="F68" s="1" t="str">
        <f>IF(Protokoll_3p!J74="","",IF(VALUE(LEFT(Protokoll_3p!J74,FIND(":",Protokoll_3p!J74)-1))&gt;VALUE(RIGHT(Protokoll_3p!J74,LEN(Protokoll_3p!J74)-FIND(":",Protokoll_3p!J74))),1,0))</f>
        <v/>
      </c>
      <c r="G68" s="1">
        <f t="shared" si="2"/>
        <v>0</v>
      </c>
      <c r="I68" s="1">
        <f>IF(Protokoll_3p!F74="","",IF(VALUE(LEFT(Protokoll_3p!F74,FIND(":",Protokoll_3p!F74)-1))&gt;VALUE(RIGHT(Protokoll_3p!F74,LEN(Protokoll_3p!F74)-FIND(":",Protokoll_3p!F74))),0,1))</f>
        <v>1</v>
      </c>
      <c r="J68" s="1">
        <f>IF(Protokoll_3p!G74="","",IF(VALUE(LEFT(Protokoll_3p!G74,FIND(":",Protokoll_3p!G74)-1))&gt;VALUE(RIGHT(Protokoll_3p!G74,LEN(Protokoll_3p!G74)-FIND(":",Protokoll_3p!G74))),0,1))</f>
        <v>1</v>
      </c>
      <c r="K68" s="1">
        <f>IF(Protokoll_3p!H74="","",IF(VALUE(LEFT(Protokoll_3p!H74,FIND(":",Protokoll_3p!H74)-1))&gt;VALUE(RIGHT(Protokoll_3p!H74,LEN(Protokoll_3p!H74)-FIND(":",Protokoll_3p!H74))),0,1))</f>
        <v>1</v>
      </c>
      <c r="L68" s="1" t="str">
        <f>IF(Protokoll_3p!I74="","",IF(VALUE(LEFT(Protokoll_3p!I74,FIND(":",Protokoll_3p!I74)-1))&gt;VALUE(RIGHT(Protokoll_3p!I74,LEN(Protokoll_3p!I74)-FIND(":",Protokoll_3p!I74))),0,1))</f>
        <v/>
      </c>
      <c r="M68" s="1" t="str">
        <f>IF(Protokoll_3p!J74="","",IF(VALUE(LEFT(Protokoll_3p!J74,FIND(":",Protokoll_3p!J74)-1))&gt;VALUE(RIGHT(Protokoll_3p!J74,LEN(Protokoll_3p!J74)-FIND(":",Protokoll_3p!J74))),0,1))</f>
        <v/>
      </c>
      <c r="N68" s="1">
        <f t="shared" si="3"/>
        <v>3</v>
      </c>
    </row>
    <row r="69" spans="2:14">
      <c r="B69" s="1" t="str">
        <f>IF(Protokoll_3p!F75="","",IF(VALUE(LEFT(Protokoll_3p!F75,FIND(":",Protokoll_3p!F75)-1))&gt;VALUE(RIGHT(Protokoll_3p!F75,LEN(Protokoll_3p!F75)-FIND(":",Protokoll_3p!F75))),1,0))</f>
        <v/>
      </c>
      <c r="C69" s="1" t="str">
        <f>IF(Protokoll_3p!G75="","",IF(VALUE(LEFT(Protokoll_3p!G75,FIND(":",Protokoll_3p!G75)-1))&gt;VALUE(RIGHT(Protokoll_3p!G75,LEN(Protokoll_3p!G75)-FIND(":",Protokoll_3p!G75))),1,0))</f>
        <v/>
      </c>
      <c r="D69" s="1" t="str">
        <f>IF(Protokoll_3p!H75="","",IF(VALUE(LEFT(Protokoll_3p!H75,FIND(":",Protokoll_3p!H75)-1))&gt;VALUE(RIGHT(Protokoll_3p!H75,LEN(Protokoll_3p!H75)-FIND(":",Protokoll_3p!H75))),1,0))</f>
        <v/>
      </c>
      <c r="E69" s="1" t="str">
        <f>IF(Protokoll_3p!I75="","",IF(VALUE(LEFT(Protokoll_3p!I75,FIND(":",Protokoll_3p!I75)-1))&gt;VALUE(RIGHT(Protokoll_3p!I75,LEN(Protokoll_3p!I75)-FIND(":",Protokoll_3p!I75))),1,0))</f>
        <v/>
      </c>
      <c r="F69" s="1" t="str">
        <f>IF(Protokoll_3p!J75="","",IF(VALUE(LEFT(Protokoll_3p!J75,FIND(":",Protokoll_3p!J75)-1))&gt;VALUE(RIGHT(Protokoll_3p!J75,LEN(Protokoll_3p!J75)-FIND(":",Protokoll_3p!J75))),1,0))</f>
        <v/>
      </c>
      <c r="G69" s="1" t="str">
        <f t="shared" si="2"/>
        <v/>
      </c>
      <c r="I69" s="1" t="str">
        <f>IF(Protokoll_3p!F75="","",IF(VALUE(LEFT(Protokoll_3p!F75,FIND(":",Protokoll_3p!F75)-1))&gt;VALUE(RIGHT(Protokoll_3p!F75,LEN(Protokoll_3p!F75)-FIND(":",Protokoll_3p!F75))),0,1))</f>
        <v/>
      </c>
      <c r="J69" s="1" t="str">
        <f>IF(Protokoll_3p!G75="","",IF(VALUE(LEFT(Protokoll_3p!G75,FIND(":",Protokoll_3p!G75)-1))&gt;VALUE(RIGHT(Protokoll_3p!G75,LEN(Protokoll_3p!G75)-FIND(":",Protokoll_3p!G75))),0,1))</f>
        <v/>
      </c>
      <c r="K69" s="1" t="str">
        <f>IF(Protokoll_3p!H75="","",IF(VALUE(LEFT(Protokoll_3p!H75,FIND(":",Protokoll_3p!H75)-1))&gt;VALUE(RIGHT(Protokoll_3p!H75,LEN(Protokoll_3p!H75)-FIND(":",Protokoll_3p!H75))),0,1))</f>
        <v/>
      </c>
      <c r="L69" s="1" t="str">
        <f>IF(Protokoll_3p!I75="","",IF(VALUE(LEFT(Protokoll_3p!I75,FIND(":",Protokoll_3p!I75)-1))&gt;VALUE(RIGHT(Protokoll_3p!I75,LEN(Protokoll_3p!I75)-FIND(":",Protokoll_3p!I75))),0,1))</f>
        <v/>
      </c>
      <c r="M69" s="1" t="str">
        <f>IF(Protokoll_3p!J75="","",IF(VALUE(LEFT(Protokoll_3p!J75,FIND(":",Protokoll_3p!J75)-1))&gt;VALUE(RIGHT(Protokoll_3p!J75,LEN(Protokoll_3p!J75)-FIND(":",Protokoll_3p!J75))),0,1))</f>
        <v/>
      </c>
      <c r="N69" s="1" t="str">
        <f t="shared" si="3"/>
        <v/>
      </c>
    </row>
    <row r="70" spans="2:14">
      <c r="B70" s="1" t="str">
        <f>IF(Protokoll_3p!F76="","",IF(VALUE(LEFT(Protokoll_3p!F76,FIND(":",Protokoll_3p!F76)-1))&gt;VALUE(RIGHT(Protokoll_3p!F76,LEN(Protokoll_3p!F76)-FIND(":",Protokoll_3p!F76))),1,0))</f>
        <v/>
      </c>
      <c r="C70" s="1" t="str">
        <f>IF(Protokoll_3p!G76="","",IF(VALUE(LEFT(Protokoll_3p!G76,FIND(":",Protokoll_3p!G76)-1))&gt;VALUE(RIGHT(Protokoll_3p!G76,LEN(Protokoll_3p!G76)-FIND(":",Protokoll_3p!G76))),1,0))</f>
        <v/>
      </c>
      <c r="D70" s="1" t="str">
        <f>IF(Protokoll_3p!H76="","",IF(VALUE(LEFT(Protokoll_3p!H76,FIND(":",Protokoll_3p!H76)-1))&gt;VALUE(RIGHT(Protokoll_3p!H76,LEN(Protokoll_3p!H76)-FIND(":",Protokoll_3p!H76))),1,0))</f>
        <v/>
      </c>
      <c r="E70" s="1" t="str">
        <f>IF(Protokoll_3p!I76="","",IF(VALUE(LEFT(Protokoll_3p!I76,FIND(":",Protokoll_3p!I76)-1))&gt;VALUE(RIGHT(Protokoll_3p!I76,LEN(Protokoll_3p!I76)-FIND(":",Protokoll_3p!I76))),1,0))</f>
        <v/>
      </c>
      <c r="F70" s="1" t="str">
        <f>IF(Protokoll_3p!J76="","",IF(VALUE(LEFT(Protokoll_3p!J76,FIND(":",Protokoll_3p!J76)-1))&gt;VALUE(RIGHT(Protokoll_3p!J76,LEN(Protokoll_3p!J76)-FIND(":",Protokoll_3p!J76))),1,0))</f>
        <v/>
      </c>
      <c r="G70" s="1" t="str">
        <f t="shared" si="2"/>
        <v/>
      </c>
      <c r="I70" s="1" t="str">
        <f>IF(Protokoll_3p!F76="","",IF(VALUE(LEFT(Protokoll_3p!F76,FIND(":",Protokoll_3p!F76)-1))&gt;VALUE(RIGHT(Protokoll_3p!F76,LEN(Protokoll_3p!F76)-FIND(":",Protokoll_3p!F76))),0,1))</f>
        <v/>
      </c>
      <c r="J70" s="1" t="str">
        <f>IF(Protokoll_3p!G76="","",IF(VALUE(LEFT(Protokoll_3p!G76,FIND(":",Protokoll_3p!G76)-1))&gt;VALUE(RIGHT(Protokoll_3p!G76,LEN(Protokoll_3p!G76)-FIND(":",Protokoll_3p!G76))),0,1))</f>
        <v/>
      </c>
      <c r="K70" s="1" t="str">
        <f>IF(Protokoll_3p!H76="","",IF(VALUE(LEFT(Protokoll_3p!H76,FIND(":",Protokoll_3p!H76)-1))&gt;VALUE(RIGHT(Protokoll_3p!H76,LEN(Protokoll_3p!H76)-FIND(":",Protokoll_3p!H76))),0,1))</f>
        <v/>
      </c>
      <c r="L70" s="1" t="str">
        <f>IF(Protokoll_3p!I76="","",IF(VALUE(LEFT(Protokoll_3p!I76,FIND(":",Protokoll_3p!I76)-1))&gt;VALUE(RIGHT(Protokoll_3p!I76,LEN(Protokoll_3p!I76)-FIND(":",Protokoll_3p!I76))),0,1))</f>
        <v/>
      </c>
      <c r="M70" s="1" t="str">
        <f>IF(Protokoll_3p!J76="","",IF(VALUE(LEFT(Protokoll_3p!J76,FIND(":",Protokoll_3p!J76)-1))&gt;VALUE(RIGHT(Protokoll_3p!J76,LEN(Protokoll_3p!J76)-FIND(":",Protokoll_3p!J76))),0,1))</f>
        <v/>
      </c>
      <c r="N70" s="1" t="str">
        <f t="shared" si="3"/>
        <v/>
      </c>
    </row>
    <row r="71" spans="2:14">
      <c r="B71" s="1" t="e">
        <f>IF(Protokoll_3p!F77="","",IF(VALUE(LEFT(Protokoll_3p!F77,FIND(":",Protokoll_3p!F77)-1))&gt;VALUE(RIGHT(Protokoll_3p!F77,LEN(Protokoll_3p!F77)-FIND(":",Protokoll_3p!F77))),1,0))</f>
        <v>#VALUE!</v>
      </c>
      <c r="C71" s="1" t="e">
        <f>IF(Protokoll_3p!G77="","",IF(VALUE(LEFT(Protokoll_3p!G77,FIND(":",Protokoll_3p!G77)-1))&gt;VALUE(RIGHT(Protokoll_3p!G77,LEN(Protokoll_3p!G77)-FIND(":",Protokoll_3p!G77))),1,0))</f>
        <v>#VALUE!</v>
      </c>
      <c r="D71" s="1" t="e">
        <f>IF(Protokoll_3p!H77="","",IF(VALUE(LEFT(Protokoll_3p!H77,FIND(":",Protokoll_3p!H77)-1))&gt;VALUE(RIGHT(Protokoll_3p!H77,LEN(Protokoll_3p!H77)-FIND(":",Protokoll_3p!H77))),1,0))</f>
        <v>#VALUE!</v>
      </c>
      <c r="E71" s="1" t="e">
        <f>IF(Protokoll_3p!I77="","",IF(VALUE(LEFT(Protokoll_3p!I77,FIND(":",Protokoll_3p!I77)-1))&gt;VALUE(RIGHT(Protokoll_3p!I77,LEN(Protokoll_3p!I77)-FIND(":",Protokoll_3p!I77))),1,0))</f>
        <v>#VALUE!</v>
      </c>
      <c r="F71" s="1" t="e">
        <f>IF(Protokoll_3p!J77="","",IF(VALUE(LEFT(Protokoll_3p!J77,FIND(":",Protokoll_3p!J77)-1))&gt;VALUE(RIGHT(Protokoll_3p!J77,LEN(Protokoll_3p!J77)-FIND(":",Protokoll_3p!J77))),1,0))</f>
        <v>#VALUE!</v>
      </c>
      <c r="G71" s="1" t="e">
        <f t="shared" si="2"/>
        <v>#VALUE!</v>
      </c>
      <c r="I71" s="1" t="e">
        <f>IF(Protokoll_3p!F77="","",IF(VALUE(LEFT(Protokoll_3p!F77,FIND(":",Protokoll_3p!F77)-1))&gt;VALUE(RIGHT(Protokoll_3p!F77,LEN(Protokoll_3p!F77)-FIND(":",Protokoll_3p!F77))),0,1))</f>
        <v>#VALUE!</v>
      </c>
      <c r="J71" s="1" t="e">
        <f>IF(Protokoll_3p!G77="","",IF(VALUE(LEFT(Protokoll_3p!G77,FIND(":",Protokoll_3p!G77)-1))&gt;VALUE(RIGHT(Protokoll_3p!G77,LEN(Protokoll_3p!G77)-FIND(":",Protokoll_3p!G77))),0,1))</f>
        <v>#VALUE!</v>
      </c>
      <c r="K71" s="1" t="e">
        <f>IF(Protokoll_3p!H77="","",IF(VALUE(LEFT(Protokoll_3p!H77,FIND(":",Protokoll_3p!H77)-1))&gt;VALUE(RIGHT(Protokoll_3p!H77,LEN(Protokoll_3p!H77)-FIND(":",Protokoll_3p!H77))),0,1))</f>
        <v>#VALUE!</v>
      </c>
      <c r="L71" s="1" t="e">
        <f>IF(Protokoll_3p!I77="","",IF(VALUE(LEFT(Protokoll_3p!I77,FIND(":",Protokoll_3p!I77)-1))&gt;VALUE(RIGHT(Protokoll_3p!I77,LEN(Protokoll_3p!I77)-FIND(":",Protokoll_3p!I77))),0,1))</f>
        <v>#VALUE!</v>
      </c>
      <c r="M71" s="1" t="e">
        <f>IF(Protokoll_3p!J77="","",IF(VALUE(LEFT(Protokoll_3p!J77,FIND(":",Protokoll_3p!J77)-1))&gt;VALUE(RIGHT(Protokoll_3p!J77,LEN(Protokoll_3p!J77)-FIND(":",Protokoll_3p!J77))),0,1))</f>
        <v>#VALUE!</v>
      </c>
      <c r="N71" s="1" t="e">
        <f t="shared" si="3"/>
        <v>#VALUE!</v>
      </c>
    </row>
    <row r="72" spans="2:14">
      <c r="B72" s="1">
        <f>IF(Protokoll_3p!F78="","",IF(VALUE(LEFT(Protokoll_3p!F78,FIND(":",Protokoll_3p!F78)-1))&gt;VALUE(RIGHT(Protokoll_3p!F78,LEN(Protokoll_3p!F78)-FIND(":",Protokoll_3p!F78))),1,0))</f>
        <v>0</v>
      </c>
      <c r="C72" s="1">
        <f>IF(Protokoll_3p!G78="","",IF(VALUE(LEFT(Protokoll_3p!G78,FIND(":",Protokoll_3p!G78)-1))&gt;VALUE(RIGHT(Protokoll_3p!G78,LEN(Protokoll_3p!G78)-FIND(":",Protokoll_3p!G78))),1,0))</f>
        <v>1</v>
      </c>
      <c r="D72" s="1">
        <f>IF(Protokoll_3p!H78="","",IF(VALUE(LEFT(Protokoll_3p!H78,FIND(":",Protokoll_3p!H78)-1))&gt;VALUE(RIGHT(Protokoll_3p!H78,LEN(Protokoll_3p!H78)-FIND(":",Protokoll_3p!H78))),1,0))</f>
        <v>0</v>
      </c>
      <c r="E72" s="1">
        <f>IF(Protokoll_3p!I78="","",IF(VALUE(LEFT(Protokoll_3p!I78,FIND(":",Protokoll_3p!I78)-1))&gt;VALUE(RIGHT(Protokoll_3p!I78,LEN(Protokoll_3p!I78)-FIND(":",Protokoll_3p!I78))),1,0))</f>
        <v>0</v>
      </c>
      <c r="F72" s="1" t="str">
        <f>IF(Protokoll_3p!J78="","",IF(VALUE(LEFT(Protokoll_3p!J78,FIND(":",Protokoll_3p!J78)-1))&gt;VALUE(RIGHT(Protokoll_3p!J78,LEN(Protokoll_3p!J78)-FIND(":",Protokoll_3p!J78))),1,0))</f>
        <v/>
      </c>
      <c r="G72" s="1">
        <f t="shared" si="2"/>
        <v>1</v>
      </c>
      <c r="I72" s="1">
        <f>IF(Protokoll_3p!F78="","",IF(VALUE(LEFT(Protokoll_3p!F78,FIND(":",Protokoll_3p!F78)-1))&gt;VALUE(RIGHT(Protokoll_3p!F78,LEN(Protokoll_3p!F78)-FIND(":",Protokoll_3p!F78))),0,1))</f>
        <v>1</v>
      </c>
      <c r="J72" s="1">
        <f>IF(Protokoll_3p!G78="","",IF(VALUE(LEFT(Protokoll_3p!G78,FIND(":",Protokoll_3p!G78)-1))&gt;VALUE(RIGHT(Protokoll_3p!G78,LEN(Protokoll_3p!G78)-FIND(":",Protokoll_3p!G78))),0,1))</f>
        <v>0</v>
      </c>
      <c r="K72" s="1">
        <f>IF(Protokoll_3p!H78="","",IF(VALUE(LEFT(Protokoll_3p!H78,FIND(":",Protokoll_3p!H78)-1))&gt;VALUE(RIGHT(Protokoll_3p!H78,LEN(Protokoll_3p!H78)-FIND(":",Protokoll_3p!H78))),0,1))</f>
        <v>1</v>
      </c>
      <c r="L72" s="1">
        <f>IF(Protokoll_3p!I78="","",IF(VALUE(LEFT(Protokoll_3p!I78,FIND(":",Protokoll_3p!I78)-1))&gt;VALUE(RIGHT(Protokoll_3p!I78,LEN(Protokoll_3p!I78)-FIND(":",Protokoll_3p!I78))),0,1))</f>
        <v>1</v>
      </c>
      <c r="M72" s="1" t="str">
        <f>IF(Protokoll_3p!J78="","",IF(VALUE(LEFT(Protokoll_3p!J78,FIND(":",Protokoll_3p!J78)-1))&gt;VALUE(RIGHT(Protokoll_3p!J78,LEN(Protokoll_3p!J78)-FIND(":",Protokoll_3p!J78))),0,1))</f>
        <v/>
      </c>
      <c r="N72" s="1">
        <f t="shared" si="3"/>
        <v>3</v>
      </c>
    </row>
    <row r="73" spans="2:14">
      <c r="B73" s="1">
        <f>IF(Protokoll_3p!F79="","",IF(VALUE(LEFT(Protokoll_3p!F79,FIND(":",Protokoll_3p!F79)-1))&gt;VALUE(RIGHT(Protokoll_3p!F79,LEN(Protokoll_3p!F79)-FIND(":",Protokoll_3p!F79))),1,0))</f>
        <v>1</v>
      </c>
      <c r="C73" s="1">
        <f>IF(Protokoll_3p!G79="","",IF(VALUE(LEFT(Protokoll_3p!G79,FIND(":",Protokoll_3p!G79)-1))&gt;VALUE(RIGHT(Protokoll_3p!G79,LEN(Protokoll_3p!G79)-FIND(":",Protokoll_3p!G79))),1,0))</f>
        <v>1</v>
      </c>
      <c r="D73" s="1">
        <f>IF(Protokoll_3p!H79="","",IF(VALUE(LEFT(Protokoll_3p!H79,FIND(":",Protokoll_3p!H79)-1))&gt;VALUE(RIGHT(Protokoll_3p!H79,LEN(Protokoll_3p!H79)-FIND(":",Protokoll_3p!H79))),1,0))</f>
        <v>1</v>
      </c>
      <c r="E73" s="1" t="str">
        <f>IF(Protokoll_3p!I79="","",IF(VALUE(LEFT(Protokoll_3p!I79,FIND(":",Protokoll_3p!I79)-1))&gt;VALUE(RIGHT(Protokoll_3p!I79,LEN(Protokoll_3p!I79)-FIND(":",Protokoll_3p!I79))),1,0))</f>
        <v/>
      </c>
      <c r="F73" s="1" t="str">
        <f>IF(Protokoll_3p!J79="","",IF(VALUE(LEFT(Protokoll_3p!J79,FIND(":",Protokoll_3p!J79)-1))&gt;VALUE(RIGHT(Protokoll_3p!J79,LEN(Protokoll_3p!J79)-FIND(":",Protokoll_3p!J79))),1,0))</f>
        <v/>
      </c>
      <c r="G73" s="1">
        <f t="shared" si="2"/>
        <v>3</v>
      </c>
      <c r="I73" s="1">
        <f>IF(Protokoll_3p!F79="","",IF(VALUE(LEFT(Protokoll_3p!F79,FIND(":",Protokoll_3p!F79)-1))&gt;VALUE(RIGHT(Protokoll_3p!F79,LEN(Protokoll_3p!F79)-FIND(":",Protokoll_3p!F79))),0,1))</f>
        <v>0</v>
      </c>
      <c r="J73" s="1">
        <f>IF(Protokoll_3p!G79="","",IF(VALUE(LEFT(Protokoll_3p!G79,FIND(":",Protokoll_3p!G79)-1))&gt;VALUE(RIGHT(Protokoll_3p!G79,LEN(Protokoll_3p!G79)-FIND(":",Protokoll_3p!G79))),0,1))</f>
        <v>0</v>
      </c>
      <c r="K73" s="1">
        <f>IF(Protokoll_3p!H79="","",IF(VALUE(LEFT(Protokoll_3p!H79,FIND(":",Protokoll_3p!H79)-1))&gt;VALUE(RIGHT(Protokoll_3p!H79,LEN(Protokoll_3p!H79)-FIND(":",Protokoll_3p!H79))),0,1))</f>
        <v>0</v>
      </c>
      <c r="L73" s="1" t="str">
        <f>IF(Protokoll_3p!I79="","",IF(VALUE(LEFT(Protokoll_3p!I79,FIND(":",Protokoll_3p!I79)-1))&gt;VALUE(RIGHT(Protokoll_3p!I79,LEN(Protokoll_3p!I79)-FIND(":",Protokoll_3p!I79))),0,1))</f>
        <v/>
      </c>
      <c r="M73" s="1" t="str">
        <f>IF(Protokoll_3p!J79="","",IF(VALUE(LEFT(Protokoll_3p!J79,FIND(":",Protokoll_3p!J79)-1))&gt;VALUE(RIGHT(Protokoll_3p!J79,LEN(Protokoll_3p!J79)-FIND(":",Protokoll_3p!J79))),0,1))</f>
        <v/>
      </c>
      <c r="N73" s="1">
        <f t="shared" si="3"/>
        <v>0</v>
      </c>
    </row>
    <row r="74" spans="2:14">
      <c r="B74" s="1">
        <f>IF(Protokoll_3p!F80="","",IF(VALUE(LEFT(Protokoll_3p!F80,FIND(":",Protokoll_3p!F80)-1))&gt;VALUE(RIGHT(Protokoll_3p!F80,LEN(Protokoll_3p!F80)-FIND(":",Protokoll_3p!F80))),1,0))</f>
        <v>1</v>
      </c>
      <c r="C74" s="1">
        <f>IF(Protokoll_3p!G80="","",IF(VALUE(LEFT(Protokoll_3p!G80,FIND(":",Protokoll_3p!G80)-1))&gt;VALUE(RIGHT(Protokoll_3p!G80,LEN(Protokoll_3p!G80)-FIND(":",Protokoll_3p!G80))),1,0))</f>
        <v>1</v>
      </c>
      <c r="D74" s="1">
        <f>IF(Protokoll_3p!H80="","",IF(VALUE(LEFT(Protokoll_3p!H80,FIND(":",Protokoll_3p!H80)-1))&gt;VALUE(RIGHT(Protokoll_3p!H80,LEN(Protokoll_3p!H80)-FIND(":",Protokoll_3p!H80))),1,0))</f>
        <v>1</v>
      </c>
      <c r="E74" s="1" t="str">
        <f>IF(Protokoll_3p!I80="","",IF(VALUE(LEFT(Protokoll_3p!I80,FIND(":",Protokoll_3p!I80)-1))&gt;VALUE(RIGHT(Protokoll_3p!I80,LEN(Protokoll_3p!I80)-FIND(":",Protokoll_3p!I80))),1,0))</f>
        <v/>
      </c>
      <c r="F74" s="1" t="str">
        <f>IF(Protokoll_3p!J80="","",IF(VALUE(LEFT(Protokoll_3p!J80,FIND(":",Protokoll_3p!J80)-1))&gt;VALUE(RIGHT(Protokoll_3p!J80,LEN(Protokoll_3p!J80)-FIND(":",Protokoll_3p!J80))),1,0))</f>
        <v/>
      </c>
      <c r="G74" s="1">
        <f t="shared" si="2"/>
        <v>3</v>
      </c>
      <c r="I74" s="1">
        <f>IF(Protokoll_3p!F80="","",IF(VALUE(LEFT(Protokoll_3p!F80,FIND(":",Protokoll_3p!F80)-1))&gt;VALUE(RIGHT(Protokoll_3p!F80,LEN(Protokoll_3p!F80)-FIND(":",Protokoll_3p!F80))),0,1))</f>
        <v>0</v>
      </c>
      <c r="J74" s="1">
        <f>IF(Protokoll_3p!G80="","",IF(VALUE(LEFT(Protokoll_3p!G80,FIND(":",Protokoll_3p!G80)-1))&gt;VALUE(RIGHT(Protokoll_3p!G80,LEN(Protokoll_3p!G80)-FIND(":",Protokoll_3p!G80))),0,1))</f>
        <v>0</v>
      </c>
      <c r="K74" s="1">
        <f>IF(Protokoll_3p!H80="","",IF(VALUE(LEFT(Protokoll_3p!H80,FIND(":",Protokoll_3p!H80)-1))&gt;VALUE(RIGHT(Protokoll_3p!H80,LEN(Protokoll_3p!H80)-FIND(":",Protokoll_3p!H80))),0,1))</f>
        <v>0</v>
      </c>
      <c r="L74" s="1" t="str">
        <f>IF(Protokoll_3p!I80="","",IF(VALUE(LEFT(Protokoll_3p!I80,FIND(":",Protokoll_3p!I80)-1))&gt;VALUE(RIGHT(Protokoll_3p!I80,LEN(Protokoll_3p!I80)-FIND(":",Protokoll_3p!I80))),0,1))</f>
        <v/>
      </c>
      <c r="M74" s="1" t="str">
        <f>IF(Protokoll_3p!J80="","",IF(VALUE(LEFT(Protokoll_3p!J80,FIND(":",Protokoll_3p!J80)-1))&gt;VALUE(RIGHT(Protokoll_3p!J80,LEN(Protokoll_3p!J80)-FIND(":",Protokoll_3p!J80))),0,1))</f>
        <v/>
      </c>
      <c r="N74" s="1">
        <f t="shared" si="3"/>
        <v>0</v>
      </c>
    </row>
    <row r="75" spans="2:14">
      <c r="B75" s="1">
        <f>IF(Protokoll_3p!F81="","",IF(VALUE(LEFT(Protokoll_3p!F81,FIND(":",Protokoll_3p!F81)-1))&gt;VALUE(RIGHT(Protokoll_3p!F81,LEN(Protokoll_3p!F81)-FIND(":",Protokoll_3p!F81))),1,0))</f>
        <v>0</v>
      </c>
      <c r="C75" s="1">
        <f>IF(Protokoll_3p!G81="","",IF(VALUE(LEFT(Protokoll_3p!G81,FIND(":",Protokoll_3p!G81)-1))&gt;VALUE(RIGHT(Protokoll_3p!G81,LEN(Protokoll_3p!G81)-FIND(":",Protokoll_3p!G81))),1,0))</f>
        <v>1</v>
      </c>
      <c r="D75" s="1">
        <f>IF(Protokoll_3p!H81="","",IF(VALUE(LEFT(Protokoll_3p!H81,FIND(":",Protokoll_3p!H81)-1))&gt;VALUE(RIGHT(Protokoll_3p!H81,LEN(Protokoll_3p!H81)-FIND(":",Protokoll_3p!H81))),1,0))</f>
        <v>1</v>
      </c>
      <c r="E75" s="1">
        <f>IF(Protokoll_3p!I81="","",IF(VALUE(LEFT(Protokoll_3p!I81,FIND(":",Protokoll_3p!I81)-1))&gt;VALUE(RIGHT(Protokoll_3p!I81,LEN(Protokoll_3p!I81)-FIND(":",Protokoll_3p!I81))),1,0))</f>
        <v>1</v>
      </c>
      <c r="F75" s="1" t="str">
        <f>IF(Protokoll_3p!J81="","",IF(VALUE(LEFT(Protokoll_3p!J81,FIND(":",Protokoll_3p!J81)-1))&gt;VALUE(RIGHT(Protokoll_3p!J81,LEN(Protokoll_3p!J81)-FIND(":",Protokoll_3p!J81))),1,0))</f>
        <v/>
      </c>
      <c r="G75" s="1">
        <f t="shared" si="2"/>
        <v>3</v>
      </c>
      <c r="I75" s="1">
        <f>IF(Protokoll_3p!F81="","",IF(VALUE(LEFT(Protokoll_3p!F81,FIND(":",Protokoll_3p!F81)-1))&gt;VALUE(RIGHT(Protokoll_3p!F81,LEN(Protokoll_3p!F81)-FIND(":",Protokoll_3p!F81))),0,1))</f>
        <v>1</v>
      </c>
      <c r="J75" s="1">
        <f>IF(Protokoll_3p!G81="","",IF(VALUE(LEFT(Protokoll_3p!G81,FIND(":",Protokoll_3p!G81)-1))&gt;VALUE(RIGHT(Protokoll_3p!G81,LEN(Protokoll_3p!G81)-FIND(":",Protokoll_3p!G81))),0,1))</f>
        <v>0</v>
      </c>
      <c r="K75" s="1">
        <f>IF(Protokoll_3p!H81="","",IF(VALUE(LEFT(Protokoll_3p!H81,FIND(":",Protokoll_3p!H81)-1))&gt;VALUE(RIGHT(Protokoll_3p!H81,LEN(Protokoll_3p!H81)-FIND(":",Protokoll_3p!H81))),0,1))</f>
        <v>0</v>
      </c>
      <c r="L75" s="1">
        <f>IF(Protokoll_3p!I81="","",IF(VALUE(LEFT(Protokoll_3p!I81,FIND(":",Protokoll_3p!I81)-1))&gt;VALUE(RIGHT(Protokoll_3p!I81,LEN(Protokoll_3p!I81)-FIND(":",Protokoll_3p!I81))),0,1))</f>
        <v>0</v>
      </c>
      <c r="M75" s="1" t="str">
        <f>IF(Protokoll_3p!J81="","",IF(VALUE(LEFT(Protokoll_3p!J81,FIND(":",Protokoll_3p!J81)-1))&gt;VALUE(RIGHT(Protokoll_3p!J81,LEN(Protokoll_3p!J81)-FIND(":",Protokoll_3p!J81))),0,1))</f>
        <v/>
      </c>
      <c r="N75" s="1">
        <f t="shared" si="3"/>
        <v>1</v>
      </c>
    </row>
    <row r="76" spans="2:14">
      <c r="B76" s="1" t="str">
        <f>IF(Protokoll_3p!F82="","",IF(VALUE(LEFT(Protokoll_3p!F82,FIND(":",Protokoll_3p!F82)-1))&gt;VALUE(RIGHT(Protokoll_3p!F82,LEN(Protokoll_3p!F82)-FIND(":",Protokoll_3p!F82))),1,0))</f>
        <v/>
      </c>
      <c r="C76" s="1" t="str">
        <f>IF(Protokoll_3p!G82="","",IF(VALUE(LEFT(Protokoll_3p!G82,FIND(":",Protokoll_3p!G82)-1))&gt;VALUE(RIGHT(Protokoll_3p!G82,LEN(Protokoll_3p!G82)-FIND(":",Protokoll_3p!G82))),1,0))</f>
        <v/>
      </c>
      <c r="D76" s="1" t="str">
        <f>IF(Protokoll_3p!H82="","",IF(VALUE(LEFT(Protokoll_3p!H82,FIND(":",Protokoll_3p!H82)-1))&gt;VALUE(RIGHT(Protokoll_3p!H82,LEN(Protokoll_3p!H82)-FIND(":",Protokoll_3p!H82))),1,0))</f>
        <v/>
      </c>
      <c r="E76" s="1" t="str">
        <f>IF(Protokoll_3p!I82="","",IF(VALUE(LEFT(Protokoll_3p!I82,FIND(":",Protokoll_3p!I82)-1))&gt;VALUE(RIGHT(Protokoll_3p!I82,LEN(Protokoll_3p!I82)-FIND(":",Protokoll_3p!I82))),1,0))</f>
        <v/>
      </c>
      <c r="F76" s="1" t="str">
        <f>IF(Protokoll_3p!J82="","",IF(VALUE(LEFT(Protokoll_3p!J82,FIND(":",Protokoll_3p!J82)-1))&gt;VALUE(RIGHT(Protokoll_3p!J82,LEN(Protokoll_3p!J82)-FIND(":",Protokoll_3p!J82))),1,0))</f>
        <v/>
      </c>
      <c r="G76" s="1" t="str">
        <f t="shared" si="2"/>
        <v/>
      </c>
      <c r="I76" s="1" t="str">
        <f>IF(Protokoll_3p!F82="","",IF(VALUE(LEFT(Protokoll_3p!F82,FIND(":",Protokoll_3p!F82)-1))&gt;VALUE(RIGHT(Protokoll_3p!F82,LEN(Protokoll_3p!F82)-FIND(":",Protokoll_3p!F82))),0,1))</f>
        <v/>
      </c>
      <c r="J76" s="1" t="str">
        <f>IF(Protokoll_3p!G82="","",IF(VALUE(LEFT(Protokoll_3p!G82,FIND(":",Protokoll_3p!G82)-1))&gt;VALUE(RIGHT(Protokoll_3p!G82,LEN(Protokoll_3p!G82)-FIND(":",Protokoll_3p!G82))),0,1))</f>
        <v/>
      </c>
      <c r="K76" s="1" t="str">
        <f>IF(Protokoll_3p!H82="","",IF(VALUE(LEFT(Protokoll_3p!H82,FIND(":",Protokoll_3p!H82)-1))&gt;VALUE(RIGHT(Protokoll_3p!H82,LEN(Protokoll_3p!H82)-FIND(":",Protokoll_3p!H82))),0,1))</f>
        <v/>
      </c>
      <c r="L76" s="1" t="str">
        <f>IF(Protokoll_3p!I82="","",IF(VALUE(LEFT(Protokoll_3p!I82,FIND(":",Protokoll_3p!I82)-1))&gt;VALUE(RIGHT(Protokoll_3p!I82,LEN(Protokoll_3p!I82)-FIND(":",Protokoll_3p!I82))),0,1))</f>
        <v/>
      </c>
      <c r="M76" s="1" t="str">
        <f>IF(Protokoll_3p!J82="","",IF(VALUE(LEFT(Protokoll_3p!J82,FIND(":",Protokoll_3p!J82)-1))&gt;VALUE(RIGHT(Protokoll_3p!J82,LEN(Protokoll_3p!J82)-FIND(":",Protokoll_3p!J82))),0,1))</f>
        <v/>
      </c>
      <c r="N76" s="1" t="str">
        <f t="shared" si="3"/>
        <v/>
      </c>
    </row>
    <row r="77" spans="2:14">
      <c r="B77" s="1">
        <f>IF(Protokoll_3p!F83="","",IF(VALUE(LEFT(Protokoll_3p!F83,FIND(":",Protokoll_3p!F83)-1))&gt;VALUE(RIGHT(Protokoll_3p!F83,LEN(Protokoll_3p!F83)-FIND(":",Protokoll_3p!F83))),1,0))</f>
        <v>1</v>
      </c>
      <c r="C77" s="1">
        <f>IF(Protokoll_3p!G83="","",IF(VALUE(LEFT(Protokoll_3p!G83,FIND(":",Protokoll_3p!G83)-1))&gt;VALUE(RIGHT(Protokoll_3p!G83,LEN(Protokoll_3p!G83)-FIND(":",Protokoll_3p!G83))),1,0))</f>
        <v>0</v>
      </c>
      <c r="D77" s="1">
        <f>IF(Protokoll_3p!H83="","",IF(VALUE(LEFT(Protokoll_3p!H83,FIND(":",Protokoll_3p!H83)-1))&gt;VALUE(RIGHT(Protokoll_3p!H83,LEN(Protokoll_3p!H83)-FIND(":",Protokoll_3p!H83))),1,0))</f>
        <v>1</v>
      </c>
      <c r="E77" s="1">
        <f>IF(Protokoll_3p!I83="","",IF(VALUE(LEFT(Protokoll_3p!I83,FIND(":",Protokoll_3p!I83)-1))&gt;VALUE(RIGHT(Protokoll_3p!I83,LEN(Protokoll_3p!I83)-FIND(":",Protokoll_3p!I83))),1,0))</f>
        <v>0</v>
      </c>
      <c r="F77" s="1">
        <f>IF(Protokoll_3p!J83="","",IF(VALUE(LEFT(Protokoll_3p!J83,FIND(":",Protokoll_3p!J83)-1))&gt;VALUE(RIGHT(Protokoll_3p!J83,LEN(Protokoll_3p!J83)-FIND(":",Protokoll_3p!J83))),1,0))</f>
        <v>1</v>
      </c>
      <c r="G77" s="1">
        <f t="shared" si="2"/>
        <v>3</v>
      </c>
      <c r="I77" s="1">
        <f>IF(Protokoll_3p!F83="","",IF(VALUE(LEFT(Protokoll_3p!F83,FIND(":",Protokoll_3p!F83)-1))&gt;VALUE(RIGHT(Protokoll_3p!F83,LEN(Protokoll_3p!F83)-FIND(":",Protokoll_3p!F83))),0,1))</f>
        <v>0</v>
      </c>
      <c r="J77" s="1">
        <f>IF(Protokoll_3p!G83="","",IF(VALUE(LEFT(Protokoll_3p!G83,FIND(":",Protokoll_3p!G83)-1))&gt;VALUE(RIGHT(Protokoll_3p!G83,LEN(Protokoll_3p!G83)-FIND(":",Protokoll_3p!G83))),0,1))</f>
        <v>1</v>
      </c>
      <c r="K77" s="1">
        <f>IF(Protokoll_3p!H83="","",IF(VALUE(LEFT(Protokoll_3p!H83,FIND(":",Protokoll_3p!H83)-1))&gt;VALUE(RIGHT(Protokoll_3p!H83,LEN(Protokoll_3p!H83)-FIND(":",Protokoll_3p!H83))),0,1))</f>
        <v>0</v>
      </c>
      <c r="L77" s="1">
        <f>IF(Protokoll_3p!I83="","",IF(VALUE(LEFT(Protokoll_3p!I83,FIND(":",Protokoll_3p!I83)-1))&gt;VALUE(RIGHT(Protokoll_3p!I83,LEN(Protokoll_3p!I83)-FIND(":",Protokoll_3p!I83))),0,1))</f>
        <v>1</v>
      </c>
      <c r="M77" s="1">
        <f>IF(Protokoll_3p!J83="","",IF(VALUE(LEFT(Protokoll_3p!J83,FIND(":",Protokoll_3p!J83)-1))&gt;VALUE(RIGHT(Protokoll_3p!J83,LEN(Protokoll_3p!J83)-FIND(":",Protokoll_3p!J83))),0,1))</f>
        <v>0</v>
      </c>
      <c r="N77" s="1">
        <f t="shared" si="3"/>
        <v>2</v>
      </c>
    </row>
    <row r="78" spans="2:14">
      <c r="B78" s="1" t="str">
        <f>IF(Protokoll_3p!F84="","",IF(VALUE(LEFT(Protokoll_3p!F84,FIND(":",Protokoll_3p!F84)-1))&gt;VALUE(RIGHT(Protokoll_3p!F84,LEN(Protokoll_3p!F84)-FIND(":",Protokoll_3p!F84))),1,0))</f>
        <v/>
      </c>
      <c r="C78" s="1" t="str">
        <f>IF(Protokoll_3p!G84="","",IF(VALUE(LEFT(Protokoll_3p!G84,FIND(":",Protokoll_3p!G84)-1))&gt;VALUE(RIGHT(Protokoll_3p!G84,LEN(Protokoll_3p!G84)-FIND(":",Protokoll_3p!G84))),1,0))</f>
        <v/>
      </c>
      <c r="D78" s="1" t="str">
        <f>IF(Protokoll_3p!H84="","",IF(VALUE(LEFT(Protokoll_3p!H84,FIND(":",Protokoll_3p!H84)-1))&gt;VALUE(RIGHT(Protokoll_3p!H84,LEN(Protokoll_3p!H84)-FIND(":",Protokoll_3p!H84))),1,0))</f>
        <v/>
      </c>
      <c r="E78" s="1" t="str">
        <f>IF(Protokoll_3p!I84="","",IF(VALUE(LEFT(Protokoll_3p!I84,FIND(":",Protokoll_3p!I84)-1))&gt;VALUE(RIGHT(Protokoll_3p!I84,LEN(Protokoll_3p!I84)-FIND(":",Protokoll_3p!I84))),1,0))</f>
        <v/>
      </c>
      <c r="F78" s="1" t="str">
        <f>IF(Protokoll_3p!J84="","",IF(VALUE(LEFT(Protokoll_3p!J84,FIND(":",Protokoll_3p!J84)-1))&gt;VALUE(RIGHT(Protokoll_3p!J84,LEN(Protokoll_3p!J84)-FIND(":",Protokoll_3p!J84))),1,0))</f>
        <v/>
      </c>
      <c r="G78" s="1" t="str">
        <f t="shared" si="2"/>
        <v/>
      </c>
      <c r="I78" s="1" t="str">
        <f>IF(Protokoll_3p!F84="","",IF(VALUE(LEFT(Protokoll_3p!F84,FIND(":",Protokoll_3p!F84)-1))&gt;VALUE(RIGHT(Protokoll_3p!F84,LEN(Protokoll_3p!F84)-FIND(":",Protokoll_3p!F84))),0,1))</f>
        <v/>
      </c>
      <c r="J78" s="1" t="str">
        <f>IF(Protokoll_3p!G84="","",IF(VALUE(LEFT(Protokoll_3p!G84,FIND(":",Protokoll_3p!G84)-1))&gt;VALUE(RIGHT(Protokoll_3p!G84,LEN(Protokoll_3p!G84)-FIND(":",Protokoll_3p!G84))),0,1))</f>
        <v/>
      </c>
      <c r="K78" s="1" t="str">
        <f>IF(Protokoll_3p!H84="","",IF(VALUE(LEFT(Protokoll_3p!H84,FIND(":",Protokoll_3p!H84)-1))&gt;VALUE(RIGHT(Protokoll_3p!H84,LEN(Protokoll_3p!H84)-FIND(":",Protokoll_3p!H84))),0,1))</f>
        <v/>
      </c>
      <c r="L78" s="1" t="str">
        <f>IF(Protokoll_3p!I84="","",IF(VALUE(LEFT(Protokoll_3p!I84,FIND(":",Protokoll_3p!I84)-1))&gt;VALUE(RIGHT(Protokoll_3p!I84,LEN(Protokoll_3p!I84)-FIND(":",Protokoll_3p!I84))),0,1))</f>
        <v/>
      </c>
      <c r="M78" s="1" t="str">
        <f>IF(Protokoll_3p!J84="","",IF(VALUE(LEFT(Protokoll_3p!J84,FIND(":",Protokoll_3p!J84)-1))&gt;VALUE(RIGHT(Protokoll_3p!J84,LEN(Protokoll_3p!J84)-FIND(":",Protokoll_3p!J84))),0,1))</f>
        <v/>
      </c>
      <c r="N78" s="1" t="str">
        <f t="shared" si="3"/>
        <v/>
      </c>
    </row>
    <row r="79" spans="2:14">
      <c r="B79" s="1" t="str">
        <f>IF(Protokoll_3p!F85="","",IF(VALUE(LEFT(Protokoll_3p!F85,FIND(":",Protokoll_3p!F85)-1))&gt;VALUE(RIGHT(Protokoll_3p!F85,LEN(Protokoll_3p!F85)-FIND(":",Protokoll_3p!F85))),1,0))</f>
        <v/>
      </c>
      <c r="C79" s="1" t="str">
        <f>IF(Protokoll_3p!G85="","",IF(VALUE(LEFT(Protokoll_3p!G85,FIND(":",Protokoll_3p!G85)-1))&gt;VALUE(RIGHT(Protokoll_3p!G85,LEN(Protokoll_3p!G85)-FIND(":",Protokoll_3p!G85))),1,0))</f>
        <v/>
      </c>
      <c r="D79" s="1" t="str">
        <f>IF(Protokoll_3p!H85="","",IF(VALUE(LEFT(Protokoll_3p!H85,FIND(":",Protokoll_3p!H85)-1))&gt;VALUE(RIGHT(Protokoll_3p!H85,LEN(Protokoll_3p!H85)-FIND(":",Protokoll_3p!H85))),1,0))</f>
        <v/>
      </c>
      <c r="E79" s="1" t="str">
        <f>IF(Protokoll_3p!I85="","",IF(VALUE(LEFT(Protokoll_3p!I85,FIND(":",Protokoll_3p!I85)-1))&gt;VALUE(RIGHT(Protokoll_3p!I85,LEN(Protokoll_3p!I85)-FIND(":",Protokoll_3p!I85))),1,0))</f>
        <v/>
      </c>
      <c r="F79" s="1" t="str">
        <f>IF(Protokoll_3p!J85="","",IF(VALUE(LEFT(Protokoll_3p!J85,FIND(":",Protokoll_3p!J85)-1))&gt;VALUE(RIGHT(Protokoll_3p!J85,LEN(Protokoll_3p!J85)-FIND(":",Protokoll_3p!J85))),1,0))</f>
        <v/>
      </c>
      <c r="G79" s="1" t="str">
        <f t="shared" si="2"/>
        <v/>
      </c>
      <c r="I79" s="1" t="str">
        <f>IF(Protokoll_3p!F85="","",IF(VALUE(LEFT(Protokoll_3p!F85,FIND(":",Protokoll_3p!F85)-1))&gt;VALUE(RIGHT(Protokoll_3p!F85,LEN(Protokoll_3p!F85)-FIND(":",Protokoll_3p!F85))),0,1))</f>
        <v/>
      </c>
      <c r="J79" s="1" t="str">
        <f>IF(Protokoll_3p!G85="","",IF(VALUE(LEFT(Protokoll_3p!G85,FIND(":",Protokoll_3p!G85)-1))&gt;VALUE(RIGHT(Protokoll_3p!G85,LEN(Protokoll_3p!G85)-FIND(":",Protokoll_3p!G85))),0,1))</f>
        <v/>
      </c>
      <c r="K79" s="1" t="str">
        <f>IF(Protokoll_3p!H85="","",IF(VALUE(LEFT(Protokoll_3p!H85,FIND(":",Protokoll_3p!H85)-1))&gt;VALUE(RIGHT(Protokoll_3p!H85,LEN(Protokoll_3p!H85)-FIND(":",Protokoll_3p!H85))),0,1))</f>
        <v/>
      </c>
      <c r="L79" s="1" t="str">
        <f>IF(Protokoll_3p!I85="","",IF(VALUE(LEFT(Protokoll_3p!I85,FIND(":",Protokoll_3p!I85)-1))&gt;VALUE(RIGHT(Protokoll_3p!I85,LEN(Protokoll_3p!I85)-FIND(":",Protokoll_3p!I85))),0,1))</f>
        <v/>
      </c>
      <c r="M79" s="1" t="str">
        <f>IF(Protokoll_3p!J85="","",IF(VALUE(LEFT(Protokoll_3p!J85,FIND(":",Protokoll_3p!J85)-1))&gt;VALUE(RIGHT(Protokoll_3p!J85,LEN(Protokoll_3p!J85)-FIND(":",Protokoll_3p!J85))),0,1))</f>
        <v/>
      </c>
      <c r="N79" s="1" t="str">
        <f t="shared" si="3"/>
        <v/>
      </c>
    </row>
    <row r="80" spans="2:14">
      <c r="B80" s="1" t="str">
        <f>IF(Protokoll_3p!F86="","",IF(VALUE(LEFT(Protokoll_3p!F86,FIND(":",Protokoll_3p!F86)-1))&gt;VALUE(RIGHT(Protokoll_3p!F86,LEN(Protokoll_3p!F86)-FIND(":",Protokoll_3p!F86))),1,0))</f>
        <v/>
      </c>
      <c r="C80" s="1" t="str">
        <f>IF(Protokoll_3p!G86="","",IF(VALUE(LEFT(Protokoll_3p!G86,FIND(":",Protokoll_3p!G86)-1))&gt;VALUE(RIGHT(Protokoll_3p!G86,LEN(Protokoll_3p!G86)-FIND(":",Protokoll_3p!G86))),1,0))</f>
        <v/>
      </c>
      <c r="D80" s="1" t="str">
        <f>IF(Protokoll_3p!H86="","",IF(VALUE(LEFT(Protokoll_3p!H86,FIND(":",Protokoll_3p!H86)-1))&gt;VALUE(RIGHT(Protokoll_3p!H86,LEN(Protokoll_3p!H86)-FIND(":",Protokoll_3p!H86))),1,0))</f>
        <v/>
      </c>
      <c r="E80" s="1" t="str">
        <f>IF(Protokoll_3p!I86="","",IF(VALUE(LEFT(Protokoll_3p!I86,FIND(":",Protokoll_3p!I86)-1))&gt;VALUE(RIGHT(Protokoll_3p!I86,LEN(Protokoll_3p!I86)-FIND(":",Protokoll_3p!I86))),1,0))</f>
        <v/>
      </c>
      <c r="F80" s="1" t="str">
        <f>IF(Protokoll_3p!J86="","",IF(VALUE(LEFT(Protokoll_3p!J86,FIND(":",Protokoll_3p!J86)-1))&gt;VALUE(RIGHT(Protokoll_3p!J86,LEN(Protokoll_3p!J86)-FIND(":",Protokoll_3p!J86))),1,0))</f>
        <v/>
      </c>
      <c r="G80" s="1" t="str">
        <f t="shared" si="2"/>
        <v/>
      </c>
      <c r="I80" s="1" t="str">
        <f>IF(Protokoll_3p!F86="","",IF(VALUE(LEFT(Protokoll_3p!F86,FIND(":",Protokoll_3p!F86)-1))&gt;VALUE(RIGHT(Protokoll_3p!F86,LEN(Protokoll_3p!F86)-FIND(":",Protokoll_3p!F86))),0,1))</f>
        <v/>
      </c>
      <c r="J80" s="1" t="str">
        <f>IF(Protokoll_3p!G86="","",IF(VALUE(LEFT(Protokoll_3p!G86,FIND(":",Protokoll_3p!G86)-1))&gt;VALUE(RIGHT(Protokoll_3p!G86,LEN(Protokoll_3p!G86)-FIND(":",Protokoll_3p!G86))),0,1))</f>
        <v/>
      </c>
      <c r="K80" s="1" t="str">
        <f>IF(Protokoll_3p!H86="","",IF(VALUE(LEFT(Protokoll_3p!H86,FIND(":",Protokoll_3p!H86)-1))&gt;VALUE(RIGHT(Protokoll_3p!H86,LEN(Protokoll_3p!H86)-FIND(":",Protokoll_3p!H86))),0,1))</f>
        <v/>
      </c>
      <c r="L80" s="1" t="str">
        <f>IF(Protokoll_3p!I86="","",IF(VALUE(LEFT(Protokoll_3p!I86,FIND(":",Protokoll_3p!I86)-1))&gt;VALUE(RIGHT(Protokoll_3p!I86,LEN(Protokoll_3p!I86)-FIND(":",Protokoll_3p!I86))),0,1))</f>
        <v/>
      </c>
      <c r="M80" s="1" t="str">
        <f>IF(Protokoll_3p!J86="","",IF(VALUE(LEFT(Protokoll_3p!J86,FIND(":",Protokoll_3p!J86)-1))&gt;VALUE(RIGHT(Protokoll_3p!J86,LEN(Protokoll_3p!J86)-FIND(":",Protokoll_3p!J86))),0,1))</f>
        <v/>
      </c>
      <c r="N80" s="1" t="str">
        <f t="shared" si="3"/>
        <v/>
      </c>
    </row>
    <row r="81" spans="2:14">
      <c r="B81" s="1" t="str">
        <f>IF(Protokoll_3p!F87="","",IF(VALUE(LEFT(Protokoll_3p!F87,FIND(":",Protokoll_3p!F87)-1))&gt;VALUE(RIGHT(Protokoll_3p!F87,LEN(Protokoll_3p!F87)-FIND(":",Protokoll_3p!F87))),1,0))</f>
        <v/>
      </c>
      <c r="C81" s="1" t="str">
        <f>IF(Protokoll_3p!G87="","",IF(VALUE(LEFT(Protokoll_3p!G87,FIND(":",Protokoll_3p!G87)-1))&gt;VALUE(RIGHT(Protokoll_3p!G87,LEN(Protokoll_3p!G87)-FIND(":",Protokoll_3p!G87))),1,0))</f>
        <v/>
      </c>
      <c r="D81" s="1" t="str">
        <f>IF(Protokoll_3p!H87="","",IF(VALUE(LEFT(Protokoll_3p!H87,FIND(":",Protokoll_3p!H87)-1))&gt;VALUE(RIGHT(Protokoll_3p!H87,LEN(Protokoll_3p!H87)-FIND(":",Protokoll_3p!H87))),1,0))</f>
        <v/>
      </c>
      <c r="E81" s="1" t="str">
        <f>IF(Protokoll_3p!I87="","",IF(VALUE(LEFT(Protokoll_3p!I87,FIND(":",Protokoll_3p!I87)-1))&gt;VALUE(RIGHT(Protokoll_3p!I87,LEN(Protokoll_3p!I87)-FIND(":",Protokoll_3p!I87))),1,0))</f>
        <v/>
      </c>
      <c r="F81" s="1" t="str">
        <f>IF(Protokoll_3p!J87="","",IF(VALUE(LEFT(Protokoll_3p!J87,FIND(":",Protokoll_3p!J87)-1))&gt;VALUE(RIGHT(Protokoll_3p!J87,LEN(Protokoll_3p!J87)-FIND(":",Protokoll_3p!J87))),1,0))</f>
        <v/>
      </c>
      <c r="G81" s="1" t="str">
        <f t="shared" si="2"/>
        <v/>
      </c>
      <c r="I81" s="1" t="str">
        <f>IF(Protokoll_3p!F87="","",IF(VALUE(LEFT(Protokoll_3p!F87,FIND(":",Protokoll_3p!F87)-1))&gt;VALUE(RIGHT(Protokoll_3p!F87,LEN(Protokoll_3p!F87)-FIND(":",Protokoll_3p!F87))),0,1))</f>
        <v/>
      </c>
      <c r="J81" s="1" t="str">
        <f>IF(Protokoll_3p!G87="","",IF(VALUE(LEFT(Protokoll_3p!G87,FIND(":",Protokoll_3p!G87)-1))&gt;VALUE(RIGHT(Protokoll_3p!G87,LEN(Protokoll_3p!G87)-FIND(":",Protokoll_3p!G87))),0,1))</f>
        <v/>
      </c>
      <c r="K81" s="1" t="str">
        <f>IF(Protokoll_3p!H87="","",IF(VALUE(LEFT(Protokoll_3p!H87,FIND(":",Protokoll_3p!H87)-1))&gt;VALUE(RIGHT(Protokoll_3p!H87,LEN(Protokoll_3p!H87)-FIND(":",Protokoll_3p!H87))),0,1))</f>
        <v/>
      </c>
      <c r="L81" s="1" t="str">
        <f>IF(Protokoll_3p!I87="","",IF(VALUE(LEFT(Protokoll_3p!I87,FIND(":",Protokoll_3p!I87)-1))&gt;VALUE(RIGHT(Protokoll_3p!I87,LEN(Protokoll_3p!I87)-FIND(":",Protokoll_3p!I87))),0,1))</f>
        <v/>
      </c>
      <c r="M81" s="1" t="str">
        <f>IF(Protokoll_3p!J87="","",IF(VALUE(LEFT(Protokoll_3p!J87,FIND(":",Protokoll_3p!J87)-1))&gt;VALUE(RIGHT(Protokoll_3p!J87,LEN(Protokoll_3p!J87)-FIND(":",Protokoll_3p!J87))),0,1))</f>
        <v/>
      </c>
      <c r="N81" s="1" t="str">
        <f t="shared" si="3"/>
        <v/>
      </c>
    </row>
    <row r="82" spans="2:14">
      <c r="B82" s="1" t="str">
        <f>IF(Protokoll_3p!F88="","",IF(VALUE(LEFT(Protokoll_3p!F88,FIND(":",Protokoll_3p!F88)-1))&gt;VALUE(RIGHT(Protokoll_3p!F88,LEN(Protokoll_3p!F88)-FIND(":",Protokoll_3p!F88))),1,0))</f>
        <v/>
      </c>
      <c r="C82" s="1" t="str">
        <f>IF(Protokoll_3p!G88="","",IF(VALUE(LEFT(Protokoll_3p!G88,FIND(":",Protokoll_3p!G88)-1))&gt;VALUE(RIGHT(Protokoll_3p!G88,LEN(Protokoll_3p!G88)-FIND(":",Protokoll_3p!G88))),1,0))</f>
        <v/>
      </c>
      <c r="D82" s="1" t="str">
        <f>IF(Protokoll_3p!H88="","",IF(VALUE(LEFT(Protokoll_3p!H88,FIND(":",Protokoll_3p!H88)-1))&gt;VALUE(RIGHT(Protokoll_3p!H88,LEN(Protokoll_3p!H88)-FIND(":",Protokoll_3p!H88))),1,0))</f>
        <v/>
      </c>
      <c r="E82" s="1" t="str">
        <f>IF(Protokoll_3p!I88="","",IF(VALUE(LEFT(Protokoll_3p!I88,FIND(":",Protokoll_3p!I88)-1))&gt;VALUE(RIGHT(Protokoll_3p!I88,LEN(Protokoll_3p!I88)-FIND(":",Protokoll_3p!I88))),1,0))</f>
        <v/>
      </c>
      <c r="F82" s="1" t="str">
        <f>IF(Protokoll_3p!J88="","",IF(VALUE(LEFT(Protokoll_3p!J88,FIND(":",Protokoll_3p!J88)-1))&gt;VALUE(RIGHT(Protokoll_3p!J88,LEN(Protokoll_3p!J88)-FIND(":",Protokoll_3p!J88))),1,0))</f>
        <v/>
      </c>
      <c r="G82" s="1" t="str">
        <f t="shared" si="2"/>
        <v/>
      </c>
      <c r="I82" s="1" t="str">
        <f>IF(Protokoll_3p!F88="","",IF(VALUE(LEFT(Protokoll_3p!F88,FIND(":",Protokoll_3p!F88)-1))&gt;VALUE(RIGHT(Protokoll_3p!F88,LEN(Protokoll_3p!F88)-FIND(":",Protokoll_3p!F88))),0,1))</f>
        <v/>
      </c>
      <c r="J82" s="1" t="str">
        <f>IF(Protokoll_3p!G88="","",IF(VALUE(LEFT(Protokoll_3p!G88,FIND(":",Protokoll_3p!G88)-1))&gt;VALUE(RIGHT(Protokoll_3p!G88,LEN(Protokoll_3p!G88)-FIND(":",Protokoll_3p!G88))),0,1))</f>
        <v/>
      </c>
      <c r="K82" s="1" t="str">
        <f>IF(Protokoll_3p!H88="","",IF(VALUE(LEFT(Protokoll_3p!H88,FIND(":",Protokoll_3p!H88)-1))&gt;VALUE(RIGHT(Protokoll_3p!H88,LEN(Protokoll_3p!H88)-FIND(":",Protokoll_3p!H88))),0,1))</f>
        <v/>
      </c>
      <c r="L82" s="1" t="str">
        <f>IF(Protokoll_3p!I88="","",IF(VALUE(LEFT(Protokoll_3p!I88,FIND(":",Protokoll_3p!I88)-1))&gt;VALUE(RIGHT(Protokoll_3p!I88,LEN(Protokoll_3p!I88)-FIND(":",Protokoll_3p!I88))),0,1))</f>
        <v/>
      </c>
      <c r="M82" s="1" t="str">
        <f>IF(Protokoll_3p!J88="","",IF(VALUE(LEFT(Protokoll_3p!J88,FIND(":",Protokoll_3p!J88)-1))&gt;VALUE(RIGHT(Protokoll_3p!J88,LEN(Protokoll_3p!J88)-FIND(":",Protokoll_3p!J88))),0,1))</f>
        <v/>
      </c>
      <c r="N82" s="1" t="str">
        <f t="shared" si="3"/>
        <v/>
      </c>
    </row>
    <row r="83" spans="2:14">
      <c r="B83" s="1" t="str">
        <f>IF(Protokoll_3p!F89="","",IF(VALUE(LEFT(Protokoll_3p!F89,FIND(":",Protokoll_3p!F89)-1))&gt;VALUE(RIGHT(Protokoll_3p!F89,LEN(Protokoll_3p!F89)-FIND(":",Protokoll_3p!F89))),1,0))</f>
        <v/>
      </c>
      <c r="C83" s="1" t="str">
        <f>IF(Protokoll_3p!G89="","",IF(VALUE(LEFT(Protokoll_3p!G89,FIND(":",Protokoll_3p!G89)-1))&gt;VALUE(RIGHT(Protokoll_3p!G89,LEN(Protokoll_3p!G89)-FIND(":",Protokoll_3p!G89))),1,0))</f>
        <v/>
      </c>
      <c r="D83" s="1" t="str">
        <f>IF(Protokoll_3p!H89="","",IF(VALUE(LEFT(Protokoll_3p!H89,FIND(":",Protokoll_3p!H89)-1))&gt;VALUE(RIGHT(Protokoll_3p!H89,LEN(Protokoll_3p!H89)-FIND(":",Protokoll_3p!H89))),1,0))</f>
        <v/>
      </c>
      <c r="E83" s="1" t="str">
        <f>IF(Protokoll_3p!I89="","",IF(VALUE(LEFT(Protokoll_3p!I89,FIND(":",Protokoll_3p!I89)-1))&gt;VALUE(RIGHT(Protokoll_3p!I89,LEN(Protokoll_3p!I89)-FIND(":",Protokoll_3p!I89))),1,0))</f>
        <v/>
      </c>
      <c r="F83" s="1" t="str">
        <f>IF(Protokoll_3p!J89="","",IF(VALUE(LEFT(Protokoll_3p!J89,FIND(":",Protokoll_3p!J89)-1))&gt;VALUE(RIGHT(Protokoll_3p!J89,LEN(Protokoll_3p!J89)-FIND(":",Protokoll_3p!J89))),1,0))</f>
        <v/>
      </c>
      <c r="G83" s="1" t="str">
        <f t="shared" si="2"/>
        <v/>
      </c>
      <c r="I83" s="1" t="str">
        <f>IF(Protokoll_3p!F89="","",IF(VALUE(LEFT(Protokoll_3p!F89,FIND(":",Protokoll_3p!F89)-1))&gt;VALUE(RIGHT(Protokoll_3p!F89,LEN(Protokoll_3p!F89)-FIND(":",Protokoll_3p!F89))),0,1))</f>
        <v/>
      </c>
      <c r="J83" s="1" t="str">
        <f>IF(Protokoll_3p!G89="","",IF(VALUE(LEFT(Protokoll_3p!G89,FIND(":",Protokoll_3p!G89)-1))&gt;VALUE(RIGHT(Protokoll_3p!G89,LEN(Protokoll_3p!G89)-FIND(":",Protokoll_3p!G89))),0,1))</f>
        <v/>
      </c>
      <c r="K83" s="1" t="str">
        <f>IF(Protokoll_3p!H89="","",IF(VALUE(LEFT(Protokoll_3p!H89,FIND(":",Protokoll_3p!H89)-1))&gt;VALUE(RIGHT(Protokoll_3p!H89,LEN(Protokoll_3p!H89)-FIND(":",Protokoll_3p!H89))),0,1))</f>
        <v/>
      </c>
      <c r="L83" s="1" t="str">
        <f>IF(Protokoll_3p!I89="","",IF(VALUE(LEFT(Protokoll_3p!I89,FIND(":",Protokoll_3p!I89)-1))&gt;VALUE(RIGHT(Protokoll_3p!I89,LEN(Protokoll_3p!I89)-FIND(":",Protokoll_3p!I89))),0,1))</f>
        <v/>
      </c>
      <c r="M83" s="1" t="str">
        <f>IF(Protokoll_3p!J89="","",IF(VALUE(LEFT(Protokoll_3p!J89,FIND(":",Protokoll_3p!J89)-1))&gt;VALUE(RIGHT(Protokoll_3p!J89,LEN(Protokoll_3p!J89)-FIND(":",Protokoll_3p!J89))),0,1))</f>
        <v/>
      </c>
      <c r="N83" s="1" t="str">
        <f t="shared" si="3"/>
        <v/>
      </c>
    </row>
    <row r="84" spans="2:14">
      <c r="B84" s="1" t="str">
        <f>IF(Protokoll_3p!F90="","",IF(VALUE(LEFT(Protokoll_3p!F90,FIND(":",Protokoll_3p!F90)-1))&gt;VALUE(RIGHT(Protokoll_3p!F90,LEN(Protokoll_3p!F90)-FIND(":",Protokoll_3p!F90))),1,0))</f>
        <v/>
      </c>
      <c r="C84" s="1" t="str">
        <f>IF(Protokoll_3p!G90="","",IF(VALUE(LEFT(Protokoll_3p!G90,FIND(":",Protokoll_3p!G90)-1))&gt;VALUE(RIGHT(Protokoll_3p!G90,LEN(Protokoll_3p!G90)-FIND(":",Protokoll_3p!G90))),1,0))</f>
        <v/>
      </c>
      <c r="D84" s="1" t="str">
        <f>IF(Protokoll_3p!H90="","",IF(VALUE(LEFT(Protokoll_3p!H90,FIND(":",Protokoll_3p!H90)-1))&gt;VALUE(RIGHT(Protokoll_3p!H90,LEN(Protokoll_3p!H90)-FIND(":",Protokoll_3p!H90))),1,0))</f>
        <v/>
      </c>
      <c r="E84" s="1" t="str">
        <f>IF(Protokoll_3p!I90="","",IF(VALUE(LEFT(Protokoll_3p!I90,FIND(":",Protokoll_3p!I90)-1))&gt;VALUE(RIGHT(Protokoll_3p!I90,LEN(Protokoll_3p!I90)-FIND(":",Protokoll_3p!I90))),1,0))</f>
        <v/>
      </c>
      <c r="F84" s="1" t="str">
        <f>IF(Protokoll_3p!J90="","",IF(VALUE(LEFT(Protokoll_3p!J90,FIND(":",Protokoll_3p!J90)-1))&gt;VALUE(RIGHT(Protokoll_3p!J90,LEN(Protokoll_3p!J90)-FIND(":",Protokoll_3p!J90))),1,0))</f>
        <v/>
      </c>
      <c r="G84" s="1" t="str">
        <f t="shared" si="2"/>
        <v/>
      </c>
      <c r="I84" s="1" t="str">
        <f>IF(Protokoll_3p!F90="","",IF(VALUE(LEFT(Protokoll_3p!F90,FIND(":",Protokoll_3p!F90)-1))&gt;VALUE(RIGHT(Protokoll_3p!F90,LEN(Protokoll_3p!F90)-FIND(":",Protokoll_3p!F90))),0,1))</f>
        <v/>
      </c>
      <c r="J84" s="1" t="str">
        <f>IF(Protokoll_3p!G90="","",IF(VALUE(LEFT(Protokoll_3p!G90,FIND(":",Protokoll_3p!G90)-1))&gt;VALUE(RIGHT(Protokoll_3p!G90,LEN(Protokoll_3p!G90)-FIND(":",Protokoll_3p!G90))),0,1))</f>
        <v/>
      </c>
      <c r="K84" s="1" t="str">
        <f>IF(Protokoll_3p!H90="","",IF(VALUE(LEFT(Protokoll_3p!H90,FIND(":",Protokoll_3p!H90)-1))&gt;VALUE(RIGHT(Protokoll_3p!H90,LEN(Protokoll_3p!H90)-FIND(":",Protokoll_3p!H90))),0,1))</f>
        <v/>
      </c>
      <c r="L84" s="1" t="str">
        <f>IF(Protokoll_3p!I90="","",IF(VALUE(LEFT(Protokoll_3p!I90,FIND(":",Protokoll_3p!I90)-1))&gt;VALUE(RIGHT(Protokoll_3p!I90,LEN(Protokoll_3p!I90)-FIND(":",Protokoll_3p!I90))),0,1))</f>
        <v/>
      </c>
      <c r="M84" s="1" t="str">
        <f>IF(Protokoll_3p!J90="","",IF(VALUE(LEFT(Protokoll_3p!J90,FIND(":",Protokoll_3p!J90)-1))&gt;VALUE(RIGHT(Protokoll_3p!J90,LEN(Protokoll_3p!J90)-FIND(":",Protokoll_3p!J90))),0,1))</f>
        <v/>
      </c>
      <c r="N84" s="1" t="str">
        <f t="shared" si="3"/>
        <v/>
      </c>
    </row>
    <row r="85" spans="2:14">
      <c r="B85" s="1" t="str">
        <f>IF(Protokoll_3p!F91="","",IF(VALUE(LEFT(Protokoll_3p!F91,FIND(":",Protokoll_3p!F91)-1))&gt;VALUE(RIGHT(Protokoll_3p!F91,LEN(Protokoll_3p!F91)-FIND(":",Protokoll_3p!F91))),1,0))</f>
        <v/>
      </c>
      <c r="C85" s="1" t="str">
        <f>IF(Protokoll_3p!G91="","",IF(VALUE(LEFT(Protokoll_3p!G91,FIND(":",Protokoll_3p!G91)-1))&gt;VALUE(RIGHT(Protokoll_3p!G91,LEN(Protokoll_3p!G91)-FIND(":",Protokoll_3p!G91))),1,0))</f>
        <v/>
      </c>
      <c r="D85" s="1" t="str">
        <f>IF(Protokoll_3p!H91="","",IF(VALUE(LEFT(Protokoll_3p!H91,FIND(":",Protokoll_3p!H91)-1))&gt;VALUE(RIGHT(Protokoll_3p!H91,LEN(Protokoll_3p!H91)-FIND(":",Protokoll_3p!H91))),1,0))</f>
        <v/>
      </c>
      <c r="E85" s="1" t="str">
        <f>IF(Protokoll_3p!I91="","",IF(VALUE(LEFT(Protokoll_3p!I91,FIND(":",Protokoll_3p!I91)-1))&gt;VALUE(RIGHT(Protokoll_3p!I91,LEN(Protokoll_3p!I91)-FIND(":",Protokoll_3p!I91))),1,0))</f>
        <v/>
      </c>
      <c r="F85" s="1" t="str">
        <f>IF(Protokoll_3p!J91="","",IF(VALUE(LEFT(Protokoll_3p!J91,FIND(":",Protokoll_3p!J91)-1))&gt;VALUE(RIGHT(Protokoll_3p!J91,LEN(Protokoll_3p!J91)-FIND(":",Protokoll_3p!J91))),1,0))</f>
        <v/>
      </c>
      <c r="G85" s="1" t="str">
        <f t="shared" si="2"/>
        <v/>
      </c>
      <c r="I85" s="1" t="str">
        <f>IF(Protokoll_3p!F91="","",IF(VALUE(LEFT(Protokoll_3p!F91,FIND(":",Protokoll_3p!F91)-1))&gt;VALUE(RIGHT(Protokoll_3p!F91,LEN(Protokoll_3p!F91)-FIND(":",Protokoll_3p!F91))),0,1))</f>
        <v/>
      </c>
      <c r="J85" s="1" t="str">
        <f>IF(Protokoll_3p!G91="","",IF(VALUE(LEFT(Protokoll_3p!G91,FIND(":",Protokoll_3p!G91)-1))&gt;VALUE(RIGHT(Protokoll_3p!G91,LEN(Protokoll_3p!G91)-FIND(":",Protokoll_3p!G91))),0,1))</f>
        <v/>
      </c>
      <c r="K85" s="1" t="str">
        <f>IF(Protokoll_3p!H91="","",IF(VALUE(LEFT(Protokoll_3p!H91,FIND(":",Protokoll_3p!H91)-1))&gt;VALUE(RIGHT(Protokoll_3p!H91,LEN(Protokoll_3p!H91)-FIND(":",Protokoll_3p!H91))),0,1))</f>
        <v/>
      </c>
      <c r="L85" s="1" t="str">
        <f>IF(Protokoll_3p!I91="","",IF(VALUE(LEFT(Protokoll_3p!I91,FIND(":",Protokoll_3p!I91)-1))&gt;VALUE(RIGHT(Protokoll_3p!I91,LEN(Protokoll_3p!I91)-FIND(":",Protokoll_3p!I91))),0,1))</f>
        <v/>
      </c>
      <c r="M85" s="1" t="str">
        <f>IF(Protokoll_3p!J91="","",IF(VALUE(LEFT(Protokoll_3p!J91,FIND(":",Protokoll_3p!J91)-1))&gt;VALUE(RIGHT(Protokoll_3p!J91,LEN(Protokoll_3p!J91)-FIND(":",Protokoll_3p!J91))),0,1))</f>
        <v/>
      </c>
      <c r="N85" s="1" t="str">
        <f t="shared" si="3"/>
        <v/>
      </c>
    </row>
    <row r="86" spans="2:14">
      <c r="B86" s="1" t="str">
        <f>IF(Protokoll_3p!F92="","",IF(VALUE(LEFT(Protokoll_3p!F92,FIND(":",Protokoll_3p!F92)-1))&gt;VALUE(RIGHT(Protokoll_3p!F92,LEN(Protokoll_3p!F92)-FIND(":",Protokoll_3p!F92))),1,0))</f>
        <v/>
      </c>
      <c r="C86" s="1" t="str">
        <f>IF(Protokoll_3p!G92="","",IF(VALUE(LEFT(Protokoll_3p!G92,FIND(":",Protokoll_3p!G92)-1))&gt;VALUE(RIGHT(Protokoll_3p!G92,LEN(Protokoll_3p!G92)-FIND(":",Protokoll_3p!G92))),1,0))</f>
        <v/>
      </c>
      <c r="D86" s="1" t="str">
        <f>IF(Protokoll_3p!H92="","",IF(VALUE(LEFT(Protokoll_3p!H92,FIND(":",Protokoll_3p!H92)-1))&gt;VALUE(RIGHT(Protokoll_3p!H92,LEN(Protokoll_3p!H92)-FIND(":",Protokoll_3p!H92))),1,0))</f>
        <v/>
      </c>
      <c r="E86" s="1" t="str">
        <f>IF(Protokoll_3p!I92="","",IF(VALUE(LEFT(Protokoll_3p!I92,FIND(":",Protokoll_3p!I92)-1))&gt;VALUE(RIGHT(Protokoll_3p!I92,LEN(Protokoll_3p!I92)-FIND(":",Protokoll_3p!I92))),1,0))</f>
        <v/>
      </c>
      <c r="F86" s="1" t="str">
        <f>IF(Protokoll_3p!J92="","",IF(VALUE(LEFT(Protokoll_3p!J92,FIND(":",Protokoll_3p!J92)-1))&gt;VALUE(RIGHT(Protokoll_3p!J92,LEN(Protokoll_3p!J92)-FIND(":",Protokoll_3p!J92))),1,0))</f>
        <v/>
      </c>
      <c r="G86" s="1" t="str">
        <f t="shared" si="2"/>
        <v/>
      </c>
      <c r="I86" s="1" t="str">
        <f>IF(Protokoll_3p!F92="","",IF(VALUE(LEFT(Protokoll_3p!F92,FIND(":",Protokoll_3p!F92)-1))&gt;VALUE(RIGHT(Protokoll_3p!F92,LEN(Protokoll_3p!F92)-FIND(":",Protokoll_3p!F92))),0,1))</f>
        <v/>
      </c>
      <c r="J86" s="1" t="str">
        <f>IF(Protokoll_3p!G92="","",IF(VALUE(LEFT(Protokoll_3p!G92,FIND(":",Protokoll_3p!G92)-1))&gt;VALUE(RIGHT(Protokoll_3p!G92,LEN(Protokoll_3p!G92)-FIND(":",Protokoll_3p!G92))),0,1))</f>
        <v/>
      </c>
      <c r="K86" s="1" t="str">
        <f>IF(Protokoll_3p!H92="","",IF(VALUE(LEFT(Protokoll_3p!H92,FIND(":",Protokoll_3p!H92)-1))&gt;VALUE(RIGHT(Protokoll_3p!H92,LEN(Protokoll_3p!H92)-FIND(":",Protokoll_3p!H92))),0,1))</f>
        <v/>
      </c>
      <c r="L86" s="1" t="str">
        <f>IF(Protokoll_3p!I92="","",IF(VALUE(LEFT(Protokoll_3p!I92,FIND(":",Protokoll_3p!I92)-1))&gt;VALUE(RIGHT(Protokoll_3p!I92,LEN(Protokoll_3p!I92)-FIND(":",Protokoll_3p!I92))),0,1))</f>
        <v/>
      </c>
      <c r="M86" s="1" t="str">
        <f>IF(Protokoll_3p!J92="","",IF(VALUE(LEFT(Protokoll_3p!J92,FIND(":",Protokoll_3p!J92)-1))&gt;VALUE(RIGHT(Protokoll_3p!J92,LEN(Protokoll_3p!J92)-FIND(":",Protokoll_3p!J92))),0,1))</f>
        <v/>
      </c>
      <c r="N86" s="1" t="str">
        <f t="shared" si="3"/>
        <v/>
      </c>
    </row>
    <row r="87" spans="2:14">
      <c r="B87" s="1" t="str">
        <f>IF(Protokoll_3p!F93="","",IF(VALUE(LEFT(Protokoll_3p!F93,FIND(":",Protokoll_3p!F93)-1))&gt;VALUE(RIGHT(Protokoll_3p!F93,LEN(Protokoll_3p!F93)-FIND(":",Protokoll_3p!F93))),1,0))</f>
        <v/>
      </c>
      <c r="C87" s="1" t="str">
        <f>IF(Protokoll_3p!G93="","",IF(VALUE(LEFT(Protokoll_3p!G93,FIND(":",Protokoll_3p!G93)-1))&gt;VALUE(RIGHT(Protokoll_3p!G93,LEN(Protokoll_3p!G93)-FIND(":",Protokoll_3p!G93))),1,0))</f>
        <v/>
      </c>
      <c r="D87" s="1" t="str">
        <f>IF(Protokoll_3p!H93="","",IF(VALUE(LEFT(Protokoll_3p!H93,FIND(":",Protokoll_3p!H93)-1))&gt;VALUE(RIGHT(Protokoll_3p!H93,LEN(Protokoll_3p!H93)-FIND(":",Protokoll_3p!H93))),1,0))</f>
        <v/>
      </c>
      <c r="E87" s="1" t="str">
        <f>IF(Protokoll_3p!I93="","",IF(VALUE(LEFT(Protokoll_3p!I93,FIND(":",Protokoll_3p!I93)-1))&gt;VALUE(RIGHT(Protokoll_3p!I93,LEN(Protokoll_3p!I93)-FIND(":",Protokoll_3p!I93))),1,0))</f>
        <v/>
      </c>
      <c r="F87" s="1" t="str">
        <f>IF(Protokoll_3p!J93="","",IF(VALUE(LEFT(Protokoll_3p!J93,FIND(":",Protokoll_3p!J93)-1))&gt;VALUE(RIGHT(Protokoll_3p!J93,LEN(Protokoll_3p!J93)-FIND(":",Protokoll_3p!J93))),1,0))</f>
        <v/>
      </c>
      <c r="G87" s="1" t="str">
        <f t="shared" si="2"/>
        <v/>
      </c>
      <c r="I87" s="1" t="str">
        <f>IF(Protokoll_3p!F93="","",IF(VALUE(LEFT(Protokoll_3p!F93,FIND(":",Protokoll_3p!F93)-1))&gt;VALUE(RIGHT(Protokoll_3p!F93,LEN(Protokoll_3p!F93)-FIND(":",Protokoll_3p!F93))),0,1))</f>
        <v/>
      </c>
      <c r="J87" s="1" t="str">
        <f>IF(Protokoll_3p!G93="","",IF(VALUE(LEFT(Protokoll_3p!G93,FIND(":",Protokoll_3p!G93)-1))&gt;VALUE(RIGHT(Protokoll_3p!G93,LEN(Protokoll_3p!G93)-FIND(":",Protokoll_3p!G93))),0,1))</f>
        <v/>
      </c>
      <c r="K87" s="1" t="str">
        <f>IF(Protokoll_3p!H93="","",IF(VALUE(LEFT(Protokoll_3p!H93,FIND(":",Protokoll_3p!H93)-1))&gt;VALUE(RIGHT(Protokoll_3p!H93,LEN(Protokoll_3p!H93)-FIND(":",Protokoll_3p!H93))),0,1))</f>
        <v/>
      </c>
      <c r="L87" s="1" t="str">
        <f>IF(Protokoll_3p!I93="","",IF(VALUE(LEFT(Protokoll_3p!I93,FIND(":",Protokoll_3p!I93)-1))&gt;VALUE(RIGHT(Protokoll_3p!I93,LEN(Protokoll_3p!I93)-FIND(":",Protokoll_3p!I93))),0,1))</f>
        <v/>
      </c>
      <c r="M87" s="1" t="str">
        <f>IF(Protokoll_3p!J93="","",IF(VALUE(LEFT(Protokoll_3p!J93,FIND(":",Protokoll_3p!J93)-1))&gt;VALUE(RIGHT(Protokoll_3p!J93,LEN(Protokoll_3p!J93)-FIND(":",Protokoll_3p!J93))),0,1))</f>
        <v/>
      </c>
      <c r="N87" s="1" t="str">
        <f t="shared" si="3"/>
        <v/>
      </c>
    </row>
    <row r="88" spans="2:14">
      <c r="B88" s="1" t="str">
        <f>IF(Protokoll_3p!F94="","",IF(VALUE(LEFT(Protokoll_3p!F94,FIND(":",Protokoll_3p!F94)-1))&gt;VALUE(RIGHT(Protokoll_3p!F94,LEN(Protokoll_3p!F94)-FIND(":",Protokoll_3p!F94))),1,0))</f>
        <v/>
      </c>
      <c r="C88" s="1" t="str">
        <f>IF(Protokoll_3p!G94="","",IF(VALUE(LEFT(Protokoll_3p!G94,FIND(":",Protokoll_3p!G94)-1))&gt;VALUE(RIGHT(Protokoll_3p!G94,LEN(Protokoll_3p!G94)-FIND(":",Protokoll_3p!G94))),1,0))</f>
        <v/>
      </c>
      <c r="D88" s="1" t="str">
        <f>IF(Protokoll_3p!H94="","",IF(VALUE(LEFT(Protokoll_3p!H94,FIND(":",Protokoll_3p!H94)-1))&gt;VALUE(RIGHT(Protokoll_3p!H94,LEN(Protokoll_3p!H94)-FIND(":",Protokoll_3p!H94))),1,0))</f>
        <v/>
      </c>
      <c r="E88" s="1" t="str">
        <f>IF(Protokoll_3p!I94="","",IF(VALUE(LEFT(Protokoll_3p!I94,FIND(":",Protokoll_3p!I94)-1))&gt;VALUE(RIGHT(Protokoll_3p!I94,LEN(Protokoll_3p!I94)-FIND(":",Protokoll_3p!I94))),1,0))</f>
        <v/>
      </c>
      <c r="F88" s="1" t="str">
        <f>IF(Protokoll_3p!J94="","",IF(VALUE(LEFT(Protokoll_3p!J94,FIND(":",Protokoll_3p!J94)-1))&gt;VALUE(RIGHT(Protokoll_3p!J94,LEN(Protokoll_3p!J94)-FIND(":",Protokoll_3p!J94))),1,0))</f>
        <v/>
      </c>
      <c r="G88" s="1" t="str">
        <f t="shared" si="2"/>
        <v/>
      </c>
      <c r="I88" s="1" t="str">
        <f>IF(Protokoll_3p!F94="","",IF(VALUE(LEFT(Protokoll_3p!F94,FIND(":",Protokoll_3p!F94)-1))&gt;VALUE(RIGHT(Protokoll_3p!F94,LEN(Protokoll_3p!F94)-FIND(":",Protokoll_3p!F94))),0,1))</f>
        <v/>
      </c>
      <c r="J88" s="1" t="str">
        <f>IF(Protokoll_3p!G94="","",IF(VALUE(LEFT(Protokoll_3p!G94,FIND(":",Protokoll_3p!G94)-1))&gt;VALUE(RIGHT(Protokoll_3p!G94,LEN(Protokoll_3p!G94)-FIND(":",Protokoll_3p!G94))),0,1))</f>
        <v/>
      </c>
      <c r="K88" s="1" t="str">
        <f>IF(Protokoll_3p!H94="","",IF(VALUE(LEFT(Protokoll_3p!H94,FIND(":",Protokoll_3p!H94)-1))&gt;VALUE(RIGHT(Protokoll_3p!H94,LEN(Protokoll_3p!H94)-FIND(":",Protokoll_3p!H94))),0,1))</f>
        <v/>
      </c>
      <c r="L88" s="1" t="str">
        <f>IF(Protokoll_3p!I94="","",IF(VALUE(LEFT(Protokoll_3p!I94,FIND(":",Protokoll_3p!I94)-1))&gt;VALUE(RIGHT(Protokoll_3p!I94,LEN(Protokoll_3p!I94)-FIND(":",Protokoll_3p!I94))),0,1))</f>
        <v/>
      </c>
      <c r="M88" s="1" t="str">
        <f>IF(Protokoll_3p!J94="","",IF(VALUE(LEFT(Protokoll_3p!J94,FIND(":",Protokoll_3p!J94)-1))&gt;VALUE(RIGHT(Protokoll_3p!J94,LEN(Protokoll_3p!J94)-FIND(":",Protokoll_3p!J94))),0,1))</f>
        <v/>
      </c>
      <c r="N88" s="1" t="str">
        <f t="shared" si="3"/>
        <v/>
      </c>
    </row>
    <row r="89" spans="2:14">
      <c r="B89" s="1" t="str">
        <f>IF(Protokoll_3p!F95="","",IF(VALUE(LEFT(Protokoll_3p!F95,FIND(":",Protokoll_3p!F95)-1))&gt;VALUE(RIGHT(Protokoll_3p!F95,LEN(Protokoll_3p!F95)-FIND(":",Protokoll_3p!F95))),1,0))</f>
        <v/>
      </c>
      <c r="C89" s="1" t="str">
        <f>IF(Protokoll_3p!G95="","",IF(VALUE(LEFT(Protokoll_3p!G95,FIND(":",Protokoll_3p!G95)-1))&gt;VALUE(RIGHT(Protokoll_3p!G95,LEN(Protokoll_3p!G95)-FIND(":",Protokoll_3p!G95))),1,0))</f>
        <v/>
      </c>
      <c r="D89" s="1" t="str">
        <f>IF(Protokoll_3p!H95="","",IF(VALUE(LEFT(Protokoll_3p!H95,FIND(":",Protokoll_3p!H95)-1))&gt;VALUE(RIGHT(Protokoll_3p!H95,LEN(Protokoll_3p!H95)-FIND(":",Protokoll_3p!H95))),1,0))</f>
        <v/>
      </c>
      <c r="E89" s="1" t="str">
        <f>IF(Protokoll_3p!I95="","",IF(VALUE(LEFT(Protokoll_3p!I95,FIND(":",Protokoll_3p!I95)-1))&gt;VALUE(RIGHT(Protokoll_3p!I95,LEN(Protokoll_3p!I95)-FIND(":",Protokoll_3p!I95))),1,0))</f>
        <v/>
      </c>
      <c r="F89" s="1" t="str">
        <f>IF(Protokoll_3p!J95="","",IF(VALUE(LEFT(Protokoll_3p!J95,FIND(":",Protokoll_3p!J95)-1))&gt;VALUE(RIGHT(Protokoll_3p!J95,LEN(Protokoll_3p!J95)-FIND(":",Protokoll_3p!J95))),1,0))</f>
        <v/>
      </c>
      <c r="G89" s="1" t="str">
        <f t="shared" si="2"/>
        <v/>
      </c>
      <c r="I89" s="1" t="str">
        <f>IF(Protokoll_3p!F95="","",IF(VALUE(LEFT(Protokoll_3p!F95,FIND(":",Protokoll_3p!F95)-1))&gt;VALUE(RIGHT(Protokoll_3p!F95,LEN(Protokoll_3p!F95)-FIND(":",Protokoll_3p!F95))),0,1))</f>
        <v/>
      </c>
      <c r="J89" s="1" t="str">
        <f>IF(Protokoll_3p!G95="","",IF(VALUE(LEFT(Protokoll_3p!G95,FIND(":",Protokoll_3p!G95)-1))&gt;VALUE(RIGHT(Protokoll_3p!G95,LEN(Protokoll_3p!G95)-FIND(":",Protokoll_3p!G95))),0,1))</f>
        <v/>
      </c>
      <c r="K89" s="1" t="str">
        <f>IF(Protokoll_3p!H95="","",IF(VALUE(LEFT(Protokoll_3p!H95,FIND(":",Protokoll_3p!H95)-1))&gt;VALUE(RIGHT(Protokoll_3p!H95,LEN(Protokoll_3p!H95)-FIND(":",Protokoll_3p!H95))),0,1))</f>
        <v/>
      </c>
      <c r="L89" s="1" t="str">
        <f>IF(Protokoll_3p!I95="","",IF(VALUE(LEFT(Protokoll_3p!I95,FIND(":",Protokoll_3p!I95)-1))&gt;VALUE(RIGHT(Protokoll_3p!I95,LEN(Protokoll_3p!I95)-FIND(":",Protokoll_3p!I95))),0,1))</f>
        <v/>
      </c>
      <c r="M89" s="1" t="str">
        <f>IF(Protokoll_3p!J95="","",IF(VALUE(LEFT(Protokoll_3p!J95,FIND(":",Protokoll_3p!J95)-1))&gt;VALUE(RIGHT(Protokoll_3p!J95,LEN(Protokoll_3p!J95)-FIND(":",Protokoll_3p!J95))),0,1))</f>
        <v/>
      </c>
      <c r="N89" s="1" t="str">
        <f t="shared" si="3"/>
        <v/>
      </c>
    </row>
    <row r="90" spans="2:14">
      <c r="B90" s="1" t="str">
        <f>IF(Protokoll_3p!F96="","",IF(VALUE(LEFT(Protokoll_3p!F96,FIND(":",Protokoll_3p!F96)-1))&gt;VALUE(RIGHT(Protokoll_3p!F96,LEN(Protokoll_3p!F96)-FIND(":",Protokoll_3p!F96))),1,0))</f>
        <v/>
      </c>
      <c r="C90" s="1" t="str">
        <f>IF(Protokoll_3p!G96="","",IF(VALUE(LEFT(Protokoll_3p!G96,FIND(":",Protokoll_3p!G96)-1))&gt;VALUE(RIGHT(Protokoll_3p!G96,LEN(Protokoll_3p!G96)-FIND(":",Protokoll_3p!G96))),1,0))</f>
        <v/>
      </c>
      <c r="D90" s="1" t="str">
        <f>IF(Protokoll_3p!H96="","",IF(VALUE(LEFT(Protokoll_3p!H96,FIND(":",Protokoll_3p!H96)-1))&gt;VALUE(RIGHT(Protokoll_3p!H96,LEN(Protokoll_3p!H96)-FIND(":",Protokoll_3p!H96))),1,0))</f>
        <v/>
      </c>
      <c r="E90" s="1" t="str">
        <f>IF(Protokoll_3p!I96="","",IF(VALUE(LEFT(Protokoll_3p!I96,FIND(":",Protokoll_3p!I96)-1))&gt;VALUE(RIGHT(Protokoll_3p!I96,LEN(Protokoll_3p!I96)-FIND(":",Protokoll_3p!I96))),1,0))</f>
        <v/>
      </c>
      <c r="F90" s="1" t="str">
        <f>IF(Protokoll_3p!J96="","",IF(VALUE(LEFT(Protokoll_3p!J96,FIND(":",Protokoll_3p!J96)-1))&gt;VALUE(RIGHT(Protokoll_3p!J96,LEN(Protokoll_3p!J96)-FIND(":",Protokoll_3p!J96))),1,0))</f>
        <v/>
      </c>
      <c r="G90" s="1" t="str">
        <f t="shared" si="2"/>
        <v/>
      </c>
      <c r="I90" s="1" t="str">
        <f>IF(Protokoll_3p!F96="","",IF(VALUE(LEFT(Protokoll_3p!F96,FIND(":",Protokoll_3p!F96)-1))&gt;VALUE(RIGHT(Protokoll_3p!F96,LEN(Protokoll_3p!F96)-FIND(":",Protokoll_3p!F96))),0,1))</f>
        <v/>
      </c>
      <c r="J90" s="1" t="str">
        <f>IF(Protokoll_3p!G96="","",IF(VALUE(LEFT(Protokoll_3p!G96,FIND(":",Protokoll_3p!G96)-1))&gt;VALUE(RIGHT(Protokoll_3p!G96,LEN(Protokoll_3p!G96)-FIND(":",Protokoll_3p!G96))),0,1))</f>
        <v/>
      </c>
      <c r="K90" s="1" t="str">
        <f>IF(Protokoll_3p!H96="","",IF(VALUE(LEFT(Protokoll_3p!H96,FIND(":",Protokoll_3p!H96)-1))&gt;VALUE(RIGHT(Protokoll_3p!H96,LEN(Protokoll_3p!H96)-FIND(":",Protokoll_3p!H96))),0,1))</f>
        <v/>
      </c>
      <c r="L90" s="1" t="str">
        <f>IF(Protokoll_3p!I96="","",IF(VALUE(LEFT(Protokoll_3p!I96,FIND(":",Protokoll_3p!I96)-1))&gt;VALUE(RIGHT(Protokoll_3p!I96,LEN(Protokoll_3p!I96)-FIND(":",Protokoll_3p!I96))),0,1))</f>
        <v/>
      </c>
      <c r="M90" s="1" t="str">
        <f>IF(Protokoll_3p!J96="","",IF(VALUE(LEFT(Protokoll_3p!J96,FIND(":",Protokoll_3p!J96)-1))&gt;VALUE(RIGHT(Protokoll_3p!J96,LEN(Protokoll_3p!J96)-FIND(":",Protokoll_3p!J96))),0,1))</f>
        <v/>
      </c>
      <c r="N90" s="1" t="str">
        <f t="shared" si="3"/>
        <v/>
      </c>
    </row>
    <row r="91" spans="2:14">
      <c r="B91" s="1" t="str">
        <f>IF(Protokoll_3p!F97="","",IF(VALUE(LEFT(Protokoll_3p!F97,FIND(":",Protokoll_3p!F97)-1))&gt;VALUE(RIGHT(Protokoll_3p!F97,LEN(Protokoll_3p!F97)-FIND(":",Protokoll_3p!F97))),1,0))</f>
        <v/>
      </c>
      <c r="C91" s="1" t="str">
        <f>IF(Protokoll_3p!G97="","",IF(VALUE(LEFT(Protokoll_3p!G97,FIND(":",Protokoll_3p!G97)-1))&gt;VALUE(RIGHT(Protokoll_3p!G97,LEN(Protokoll_3p!G97)-FIND(":",Protokoll_3p!G97))),1,0))</f>
        <v/>
      </c>
      <c r="D91" s="1" t="str">
        <f>IF(Protokoll_3p!H97="","",IF(VALUE(LEFT(Protokoll_3p!H97,FIND(":",Protokoll_3p!H97)-1))&gt;VALUE(RIGHT(Protokoll_3p!H97,LEN(Protokoll_3p!H97)-FIND(":",Protokoll_3p!H97))),1,0))</f>
        <v/>
      </c>
      <c r="E91" s="1" t="str">
        <f>IF(Protokoll_3p!I97="","",IF(VALUE(LEFT(Protokoll_3p!I97,FIND(":",Protokoll_3p!I97)-1))&gt;VALUE(RIGHT(Protokoll_3p!I97,LEN(Protokoll_3p!I97)-FIND(":",Protokoll_3p!I97))),1,0))</f>
        <v/>
      </c>
      <c r="F91" s="1" t="str">
        <f>IF(Protokoll_3p!J97="","",IF(VALUE(LEFT(Protokoll_3p!J97,FIND(":",Protokoll_3p!J97)-1))&gt;VALUE(RIGHT(Protokoll_3p!J97,LEN(Protokoll_3p!J97)-FIND(":",Protokoll_3p!J97))),1,0))</f>
        <v/>
      </c>
      <c r="G91" s="1" t="str">
        <f t="shared" si="2"/>
        <v/>
      </c>
      <c r="I91" s="1" t="str">
        <f>IF(Protokoll_3p!F97="","",IF(VALUE(LEFT(Protokoll_3p!F97,FIND(":",Protokoll_3p!F97)-1))&gt;VALUE(RIGHT(Protokoll_3p!F97,LEN(Protokoll_3p!F97)-FIND(":",Protokoll_3p!F97))),0,1))</f>
        <v/>
      </c>
      <c r="J91" s="1" t="str">
        <f>IF(Protokoll_3p!G97="","",IF(VALUE(LEFT(Protokoll_3p!G97,FIND(":",Protokoll_3p!G97)-1))&gt;VALUE(RIGHT(Protokoll_3p!G97,LEN(Protokoll_3p!G97)-FIND(":",Protokoll_3p!G97))),0,1))</f>
        <v/>
      </c>
      <c r="K91" s="1" t="str">
        <f>IF(Protokoll_3p!H97="","",IF(VALUE(LEFT(Protokoll_3p!H97,FIND(":",Protokoll_3p!H97)-1))&gt;VALUE(RIGHT(Protokoll_3p!H97,LEN(Protokoll_3p!H97)-FIND(":",Protokoll_3p!H97))),0,1))</f>
        <v/>
      </c>
      <c r="L91" s="1" t="str">
        <f>IF(Protokoll_3p!I97="","",IF(VALUE(LEFT(Protokoll_3p!I97,FIND(":",Protokoll_3p!I97)-1))&gt;VALUE(RIGHT(Protokoll_3p!I97,LEN(Protokoll_3p!I97)-FIND(":",Protokoll_3p!I97))),0,1))</f>
        <v/>
      </c>
      <c r="M91" s="1" t="str">
        <f>IF(Protokoll_3p!J97="","",IF(VALUE(LEFT(Protokoll_3p!J97,FIND(":",Protokoll_3p!J97)-1))&gt;VALUE(RIGHT(Protokoll_3p!J97,LEN(Protokoll_3p!J97)-FIND(":",Protokoll_3p!J97))),0,1))</f>
        <v/>
      </c>
      <c r="N91" s="1" t="str">
        <f t="shared" si="3"/>
        <v/>
      </c>
    </row>
    <row r="92" spans="2:14">
      <c r="B92" s="1" t="str">
        <f>IF(Protokoll_3p!F98="","",IF(VALUE(LEFT(Protokoll_3p!F98,FIND(":",Protokoll_3p!F98)-1))&gt;VALUE(RIGHT(Protokoll_3p!F98,LEN(Protokoll_3p!F98)-FIND(":",Protokoll_3p!F98))),1,0))</f>
        <v/>
      </c>
      <c r="C92" s="1" t="str">
        <f>IF(Protokoll_3p!G98="","",IF(VALUE(LEFT(Protokoll_3p!G98,FIND(":",Protokoll_3p!G98)-1))&gt;VALUE(RIGHT(Protokoll_3p!G98,LEN(Protokoll_3p!G98)-FIND(":",Protokoll_3p!G98))),1,0))</f>
        <v/>
      </c>
      <c r="D92" s="1" t="str">
        <f>IF(Protokoll_3p!H98="","",IF(VALUE(LEFT(Protokoll_3p!H98,FIND(":",Protokoll_3p!H98)-1))&gt;VALUE(RIGHT(Protokoll_3p!H98,LEN(Protokoll_3p!H98)-FIND(":",Protokoll_3p!H98))),1,0))</f>
        <v/>
      </c>
      <c r="E92" s="1" t="str">
        <f>IF(Protokoll_3p!I98="","",IF(VALUE(LEFT(Protokoll_3p!I98,FIND(":",Protokoll_3p!I98)-1))&gt;VALUE(RIGHT(Protokoll_3p!I98,LEN(Protokoll_3p!I98)-FIND(":",Protokoll_3p!I98))),1,0))</f>
        <v/>
      </c>
      <c r="F92" s="1" t="str">
        <f>IF(Protokoll_3p!J98="","",IF(VALUE(LEFT(Protokoll_3p!J98,FIND(":",Protokoll_3p!J98)-1))&gt;VALUE(RIGHT(Protokoll_3p!J98,LEN(Protokoll_3p!J98)-FIND(":",Protokoll_3p!J98))),1,0))</f>
        <v/>
      </c>
      <c r="G92" s="1" t="str">
        <f t="shared" si="2"/>
        <v/>
      </c>
      <c r="I92" s="1" t="str">
        <f>IF(Protokoll_3p!F98="","",IF(VALUE(LEFT(Protokoll_3p!F98,FIND(":",Protokoll_3p!F98)-1))&gt;VALUE(RIGHT(Protokoll_3p!F98,LEN(Protokoll_3p!F98)-FIND(":",Protokoll_3p!F98))),0,1))</f>
        <v/>
      </c>
      <c r="J92" s="1" t="str">
        <f>IF(Protokoll_3p!G98="","",IF(VALUE(LEFT(Protokoll_3p!G98,FIND(":",Protokoll_3p!G98)-1))&gt;VALUE(RIGHT(Protokoll_3p!G98,LEN(Protokoll_3p!G98)-FIND(":",Protokoll_3p!G98))),0,1))</f>
        <v/>
      </c>
      <c r="K92" s="1" t="str">
        <f>IF(Protokoll_3p!H98="","",IF(VALUE(LEFT(Protokoll_3p!H98,FIND(":",Protokoll_3p!H98)-1))&gt;VALUE(RIGHT(Protokoll_3p!H98,LEN(Protokoll_3p!H98)-FIND(":",Protokoll_3p!H98))),0,1))</f>
        <v/>
      </c>
      <c r="L92" s="1" t="str">
        <f>IF(Protokoll_3p!I98="","",IF(VALUE(LEFT(Protokoll_3p!I98,FIND(":",Protokoll_3p!I98)-1))&gt;VALUE(RIGHT(Protokoll_3p!I98,LEN(Protokoll_3p!I98)-FIND(":",Protokoll_3p!I98))),0,1))</f>
        <v/>
      </c>
      <c r="M92" s="1" t="str">
        <f>IF(Protokoll_3p!J98="","",IF(VALUE(LEFT(Protokoll_3p!J98,FIND(":",Protokoll_3p!J98)-1))&gt;VALUE(RIGHT(Protokoll_3p!J98,LEN(Protokoll_3p!J98)-FIND(":",Protokoll_3p!J98))),0,1))</f>
        <v/>
      </c>
      <c r="N92" s="1" t="str">
        <f t="shared" si="3"/>
        <v/>
      </c>
    </row>
    <row r="93" spans="2:14">
      <c r="B93" s="1" t="str">
        <f>IF(Protokoll_3p!F99="","",IF(VALUE(LEFT(Protokoll_3p!F99,FIND(":",Protokoll_3p!F99)-1))&gt;VALUE(RIGHT(Protokoll_3p!F99,LEN(Protokoll_3p!F99)-FIND(":",Protokoll_3p!F99))),1,0))</f>
        <v/>
      </c>
      <c r="C93" s="1" t="str">
        <f>IF(Protokoll_3p!G99="","",IF(VALUE(LEFT(Protokoll_3p!G99,FIND(":",Protokoll_3p!G99)-1))&gt;VALUE(RIGHT(Protokoll_3p!G99,LEN(Protokoll_3p!G99)-FIND(":",Protokoll_3p!G99))),1,0))</f>
        <v/>
      </c>
      <c r="D93" s="1" t="str">
        <f>IF(Protokoll_3p!H99="","",IF(VALUE(LEFT(Protokoll_3p!H99,FIND(":",Protokoll_3p!H99)-1))&gt;VALUE(RIGHT(Protokoll_3p!H99,LEN(Protokoll_3p!H99)-FIND(":",Protokoll_3p!H99))),1,0))</f>
        <v/>
      </c>
      <c r="E93" s="1" t="str">
        <f>IF(Protokoll_3p!I99="","",IF(VALUE(LEFT(Protokoll_3p!I99,FIND(":",Protokoll_3p!I99)-1))&gt;VALUE(RIGHT(Protokoll_3p!I99,LEN(Protokoll_3p!I99)-FIND(":",Protokoll_3p!I99))),1,0))</f>
        <v/>
      </c>
      <c r="F93" s="1" t="str">
        <f>IF(Protokoll_3p!J99="","",IF(VALUE(LEFT(Protokoll_3p!J99,FIND(":",Protokoll_3p!J99)-1))&gt;VALUE(RIGHT(Protokoll_3p!J99,LEN(Protokoll_3p!J99)-FIND(":",Protokoll_3p!J99))),1,0))</f>
        <v/>
      </c>
      <c r="G93" s="1" t="str">
        <f t="shared" si="2"/>
        <v/>
      </c>
      <c r="I93" s="1" t="str">
        <f>IF(Protokoll_3p!F99="","",IF(VALUE(LEFT(Protokoll_3p!F99,FIND(":",Protokoll_3p!F99)-1))&gt;VALUE(RIGHT(Protokoll_3p!F99,LEN(Protokoll_3p!F99)-FIND(":",Protokoll_3p!F99))),0,1))</f>
        <v/>
      </c>
      <c r="J93" s="1" t="str">
        <f>IF(Protokoll_3p!G99="","",IF(VALUE(LEFT(Protokoll_3p!G99,FIND(":",Protokoll_3p!G99)-1))&gt;VALUE(RIGHT(Protokoll_3p!G99,LEN(Protokoll_3p!G99)-FIND(":",Protokoll_3p!G99))),0,1))</f>
        <v/>
      </c>
      <c r="K93" s="1" t="str">
        <f>IF(Protokoll_3p!H99="","",IF(VALUE(LEFT(Protokoll_3p!H99,FIND(":",Protokoll_3p!H99)-1))&gt;VALUE(RIGHT(Protokoll_3p!H99,LEN(Protokoll_3p!H99)-FIND(":",Protokoll_3p!H99))),0,1))</f>
        <v/>
      </c>
      <c r="L93" s="1" t="str">
        <f>IF(Protokoll_3p!I99="","",IF(VALUE(LEFT(Protokoll_3p!I99,FIND(":",Protokoll_3p!I99)-1))&gt;VALUE(RIGHT(Protokoll_3p!I99,LEN(Protokoll_3p!I99)-FIND(":",Protokoll_3p!I99))),0,1))</f>
        <v/>
      </c>
      <c r="M93" s="1" t="str">
        <f>IF(Protokoll_3p!J99="","",IF(VALUE(LEFT(Protokoll_3p!J99,FIND(":",Protokoll_3p!J99)-1))&gt;VALUE(RIGHT(Protokoll_3p!J99,LEN(Protokoll_3p!J99)-FIND(":",Protokoll_3p!J99))),0,1))</f>
        <v/>
      </c>
      <c r="N93" s="1" t="str">
        <f t="shared" si="3"/>
        <v/>
      </c>
    </row>
    <row r="94" spans="2:14">
      <c r="B94" s="1" t="str">
        <f>IF(Protokoll_3p!F100="","",IF(VALUE(LEFT(Protokoll_3p!F100,FIND(":",Protokoll_3p!F100)-1))&gt;VALUE(RIGHT(Protokoll_3p!F100,LEN(Protokoll_3p!F100)-FIND(":",Protokoll_3p!F100))),1,0))</f>
        <v/>
      </c>
      <c r="C94" s="1" t="str">
        <f>IF(Protokoll_3p!G100="","",IF(VALUE(LEFT(Protokoll_3p!G100,FIND(":",Protokoll_3p!G100)-1))&gt;VALUE(RIGHT(Protokoll_3p!G100,LEN(Protokoll_3p!G100)-FIND(":",Protokoll_3p!G100))),1,0))</f>
        <v/>
      </c>
      <c r="D94" s="1" t="str">
        <f>IF(Protokoll_3p!H100="","",IF(VALUE(LEFT(Protokoll_3p!H100,FIND(":",Protokoll_3p!H100)-1))&gt;VALUE(RIGHT(Protokoll_3p!H100,LEN(Protokoll_3p!H100)-FIND(":",Protokoll_3p!H100))),1,0))</f>
        <v/>
      </c>
      <c r="E94" s="1" t="str">
        <f>IF(Protokoll_3p!I100="","",IF(VALUE(LEFT(Protokoll_3p!I100,FIND(":",Protokoll_3p!I100)-1))&gt;VALUE(RIGHT(Protokoll_3p!I100,LEN(Protokoll_3p!I100)-FIND(":",Protokoll_3p!I100))),1,0))</f>
        <v/>
      </c>
      <c r="F94" s="1" t="str">
        <f>IF(Protokoll_3p!J100="","",IF(VALUE(LEFT(Protokoll_3p!J100,FIND(":",Protokoll_3p!J100)-1))&gt;VALUE(RIGHT(Protokoll_3p!J100,LEN(Protokoll_3p!J100)-FIND(":",Protokoll_3p!J100))),1,0))</f>
        <v/>
      </c>
      <c r="G94" s="1" t="str">
        <f t="shared" si="2"/>
        <v/>
      </c>
      <c r="I94" s="1" t="str">
        <f>IF(Protokoll_3p!F100="","",IF(VALUE(LEFT(Protokoll_3p!F100,FIND(":",Protokoll_3p!F100)-1))&gt;VALUE(RIGHT(Protokoll_3p!F100,LEN(Protokoll_3p!F100)-FIND(":",Protokoll_3p!F100))),0,1))</f>
        <v/>
      </c>
      <c r="J94" s="1" t="str">
        <f>IF(Protokoll_3p!G100="","",IF(VALUE(LEFT(Protokoll_3p!G100,FIND(":",Protokoll_3p!G100)-1))&gt;VALUE(RIGHT(Protokoll_3p!G100,LEN(Protokoll_3p!G100)-FIND(":",Protokoll_3p!G100))),0,1))</f>
        <v/>
      </c>
      <c r="K94" s="1" t="str">
        <f>IF(Protokoll_3p!H100="","",IF(VALUE(LEFT(Protokoll_3p!H100,FIND(":",Protokoll_3p!H100)-1))&gt;VALUE(RIGHT(Protokoll_3p!H100,LEN(Protokoll_3p!H100)-FIND(":",Protokoll_3p!H100))),0,1))</f>
        <v/>
      </c>
      <c r="L94" s="1" t="str">
        <f>IF(Protokoll_3p!I100="","",IF(VALUE(LEFT(Protokoll_3p!I100,FIND(":",Protokoll_3p!I100)-1))&gt;VALUE(RIGHT(Protokoll_3p!I100,LEN(Protokoll_3p!I100)-FIND(":",Protokoll_3p!I100))),0,1))</f>
        <v/>
      </c>
      <c r="M94" s="1" t="str">
        <f>IF(Protokoll_3p!J100="","",IF(VALUE(LEFT(Protokoll_3p!J100,FIND(":",Protokoll_3p!J100)-1))&gt;VALUE(RIGHT(Protokoll_3p!J100,LEN(Protokoll_3p!J100)-FIND(":",Protokoll_3p!J100))),0,1))</f>
        <v/>
      </c>
      <c r="N94" s="1" t="str">
        <f t="shared" si="3"/>
        <v/>
      </c>
    </row>
    <row r="95" spans="2:14">
      <c r="B95" s="1" t="str">
        <f>IF(Protokoll_3p!F101="","",IF(VALUE(LEFT(Protokoll_3p!F101,FIND(":",Protokoll_3p!F101)-1))&gt;VALUE(RIGHT(Protokoll_3p!F101,LEN(Protokoll_3p!F101)-FIND(":",Protokoll_3p!F101))),1,0))</f>
        <v/>
      </c>
      <c r="C95" s="1" t="str">
        <f>IF(Protokoll_3p!G101="","",IF(VALUE(LEFT(Protokoll_3p!G101,FIND(":",Protokoll_3p!G101)-1))&gt;VALUE(RIGHT(Protokoll_3p!G101,LEN(Protokoll_3p!G101)-FIND(":",Protokoll_3p!G101))),1,0))</f>
        <v/>
      </c>
      <c r="D95" s="1" t="str">
        <f>IF(Protokoll_3p!H101="","",IF(VALUE(LEFT(Protokoll_3p!H101,FIND(":",Protokoll_3p!H101)-1))&gt;VALUE(RIGHT(Protokoll_3p!H101,LEN(Protokoll_3p!H101)-FIND(":",Protokoll_3p!H101))),1,0))</f>
        <v/>
      </c>
      <c r="E95" s="1" t="str">
        <f>IF(Protokoll_3p!I101="","",IF(VALUE(LEFT(Protokoll_3p!I101,FIND(":",Protokoll_3p!I101)-1))&gt;VALUE(RIGHT(Protokoll_3p!I101,LEN(Protokoll_3p!I101)-FIND(":",Protokoll_3p!I101))),1,0))</f>
        <v/>
      </c>
      <c r="F95" s="1" t="str">
        <f>IF(Protokoll_3p!J101="","",IF(VALUE(LEFT(Protokoll_3p!J101,FIND(":",Protokoll_3p!J101)-1))&gt;VALUE(RIGHT(Protokoll_3p!J101,LEN(Protokoll_3p!J101)-FIND(":",Protokoll_3p!J101))),1,0))</f>
        <v/>
      </c>
      <c r="G95" s="1" t="str">
        <f t="shared" si="2"/>
        <v/>
      </c>
      <c r="I95" s="1" t="str">
        <f>IF(Protokoll_3p!F101="","",IF(VALUE(LEFT(Protokoll_3p!F101,FIND(":",Protokoll_3p!F101)-1))&gt;VALUE(RIGHT(Protokoll_3p!F101,LEN(Protokoll_3p!F101)-FIND(":",Protokoll_3p!F101))),0,1))</f>
        <v/>
      </c>
      <c r="J95" s="1" t="str">
        <f>IF(Protokoll_3p!G101="","",IF(VALUE(LEFT(Protokoll_3p!G101,FIND(":",Protokoll_3p!G101)-1))&gt;VALUE(RIGHT(Protokoll_3p!G101,LEN(Protokoll_3p!G101)-FIND(":",Protokoll_3p!G101))),0,1))</f>
        <v/>
      </c>
      <c r="K95" s="1" t="str">
        <f>IF(Protokoll_3p!H101="","",IF(VALUE(LEFT(Protokoll_3p!H101,FIND(":",Protokoll_3p!H101)-1))&gt;VALUE(RIGHT(Protokoll_3p!H101,LEN(Protokoll_3p!H101)-FIND(":",Protokoll_3p!H101))),0,1))</f>
        <v/>
      </c>
      <c r="L95" s="1" t="str">
        <f>IF(Protokoll_3p!I101="","",IF(VALUE(LEFT(Protokoll_3p!I101,FIND(":",Protokoll_3p!I101)-1))&gt;VALUE(RIGHT(Protokoll_3p!I101,LEN(Protokoll_3p!I101)-FIND(":",Protokoll_3p!I101))),0,1))</f>
        <v/>
      </c>
      <c r="M95" s="1" t="str">
        <f>IF(Protokoll_3p!J101="","",IF(VALUE(LEFT(Protokoll_3p!J101,FIND(":",Protokoll_3p!J101)-1))&gt;VALUE(RIGHT(Protokoll_3p!J101,LEN(Protokoll_3p!J101)-FIND(":",Protokoll_3p!J101))),0,1))</f>
        <v/>
      </c>
      <c r="N95" s="1" t="str">
        <f t="shared" si="3"/>
        <v/>
      </c>
    </row>
    <row r="96" spans="2:14">
      <c r="B96" s="1" t="str">
        <f>IF(Protokoll_3p!F102="","",IF(VALUE(LEFT(Protokoll_3p!F102,FIND(":",Protokoll_3p!F102)-1))&gt;VALUE(RIGHT(Protokoll_3p!F102,LEN(Protokoll_3p!F102)-FIND(":",Protokoll_3p!F102))),1,0))</f>
        <v/>
      </c>
      <c r="C96" s="1" t="str">
        <f>IF(Protokoll_3p!G102="","",IF(VALUE(LEFT(Protokoll_3p!G102,FIND(":",Protokoll_3p!G102)-1))&gt;VALUE(RIGHT(Protokoll_3p!G102,LEN(Protokoll_3p!G102)-FIND(":",Protokoll_3p!G102))),1,0))</f>
        <v/>
      </c>
      <c r="D96" s="1" t="str">
        <f>IF(Protokoll_3p!H102="","",IF(VALUE(LEFT(Protokoll_3p!H102,FIND(":",Protokoll_3p!H102)-1))&gt;VALUE(RIGHT(Protokoll_3p!H102,LEN(Protokoll_3p!H102)-FIND(":",Protokoll_3p!H102))),1,0))</f>
        <v/>
      </c>
      <c r="E96" s="1" t="str">
        <f>IF(Protokoll_3p!I102="","",IF(VALUE(LEFT(Protokoll_3p!I102,FIND(":",Protokoll_3p!I102)-1))&gt;VALUE(RIGHT(Protokoll_3p!I102,LEN(Protokoll_3p!I102)-FIND(":",Protokoll_3p!I102))),1,0))</f>
        <v/>
      </c>
      <c r="F96" s="1" t="str">
        <f>IF(Protokoll_3p!J102="","",IF(VALUE(LEFT(Protokoll_3p!J102,FIND(":",Protokoll_3p!J102)-1))&gt;VALUE(RIGHT(Protokoll_3p!J102,LEN(Protokoll_3p!J102)-FIND(":",Protokoll_3p!J102))),1,0))</f>
        <v/>
      </c>
      <c r="G96" s="1" t="str">
        <f t="shared" si="2"/>
        <v/>
      </c>
      <c r="I96" s="1" t="str">
        <f>IF(Protokoll_3p!F102="","",IF(VALUE(LEFT(Protokoll_3p!F102,FIND(":",Protokoll_3p!F102)-1))&gt;VALUE(RIGHT(Protokoll_3p!F102,LEN(Protokoll_3p!F102)-FIND(":",Protokoll_3p!F102))),0,1))</f>
        <v/>
      </c>
      <c r="J96" s="1" t="str">
        <f>IF(Protokoll_3p!G102="","",IF(VALUE(LEFT(Protokoll_3p!G102,FIND(":",Protokoll_3p!G102)-1))&gt;VALUE(RIGHT(Protokoll_3p!G102,LEN(Protokoll_3p!G102)-FIND(":",Protokoll_3p!G102))),0,1))</f>
        <v/>
      </c>
      <c r="K96" s="1" t="str">
        <f>IF(Protokoll_3p!H102="","",IF(VALUE(LEFT(Protokoll_3p!H102,FIND(":",Protokoll_3p!H102)-1))&gt;VALUE(RIGHT(Protokoll_3p!H102,LEN(Protokoll_3p!H102)-FIND(":",Protokoll_3p!H102))),0,1))</f>
        <v/>
      </c>
      <c r="L96" s="1" t="str">
        <f>IF(Protokoll_3p!I102="","",IF(VALUE(LEFT(Protokoll_3p!I102,FIND(":",Protokoll_3p!I102)-1))&gt;VALUE(RIGHT(Protokoll_3p!I102,LEN(Protokoll_3p!I102)-FIND(":",Protokoll_3p!I102))),0,1))</f>
        <v/>
      </c>
      <c r="M96" s="1" t="str">
        <f>IF(Protokoll_3p!J102="","",IF(VALUE(LEFT(Protokoll_3p!J102,FIND(":",Protokoll_3p!J102)-1))&gt;VALUE(RIGHT(Protokoll_3p!J102,LEN(Protokoll_3p!J102)-FIND(":",Protokoll_3p!J102))),0,1))</f>
        <v/>
      </c>
      <c r="N96" s="1" t="str">
        <f t="shared" si="3"/>
        <v/>
      </c>
    </row>
    <row r="97" spans="2:14">
      <c r="B97" s="1" t="str">
        <f>IF(Protokoll_3p!F103="","",IF(VALUE(LEFT(Protokoll_3p!F103,FIND(":",Protokoll_3p!F103)-1))&gt;VALUE(RIGHT(Protokoll_3p!F103,LEN(Protokoll_3p!F103)-FIND(":",Protokoll_3p!F103))),1,0))</f>
        <v/>
      </c>
      <c r="C97" s="1" t="str">
        <f>IF(Protokoll_3p!G103="","",IF(VALUE(LEFT(Protokoll_3p!G103,FIND(":",Protokoll_3p!G103)-1))&gt;VALUE(RIGHT(Protokoll_3p!G103,LEN(Protokoll_3p!G103)-FIND(":",Protokoll_3p!G103))),1,0))</f>
        <v/>
      </c>
      <c r="D97" s="1" t="str">
        <f>IF(Protokoll_3p!H103="","",IF(VALUE(LEFT(Protokoll_3p!H103,FIND(":",Protokoll_3p!H103)-1))&gt;VALUE(RIGHT(Protokoll_3p!H103,LEN(Protokoll_3p!H103)-FIND(":",Protokoll_3p!H103))),1,0))</f>
        <v/>
      </c>
      <c r="E97" s="1" t="str">
        <f>IF(Protokoll_3p!I103="","",IF(VALUE(LEFT(Protokoll_3p!I103,FIND(":",Protokoll_3p!I103)-1))&gt;VALUE(RIGHT(Protokoll_3p!I103,LEN(Protokoll_3p!I103)-FIND(":",Protokoll_3p!I103))),1,0))</f>
        <v/>
      </c>
      <c r="F97" s="1" t="str">
        <f>IF(Protokoll_3p!J103="","",IF(VALUE(LEFT(Protokoll_3p!J103,FIND(":",Protokoll_3p!J103)-1))&gt;VALUE(RIGHT(Protokoll_3p!J103,LEN(Protokoll_3p!J103)-FIND(":",Protokoll_3p!J103))),1,0))</f>
        <v/>
      </c>
      <c r="G97" s="1" t="str">
        <f t="shared" si="2"/>
        <v/>
      </c>
      <c r="I97" s="1" t="str">
        <f>IF(Protokoll_3p!F103="","",IF(VALUE(LEFT(Protokoll_3p!F103,FIND(":",Protokoll_3p!F103)-1))&gt;VALUE(RIGHT(Protokoll_3p!F103,LEN(Protokoll_3p!F103)-FIND(":",Protokoll_3p!F103))),0,1))</f>
        <v/>
      </c>
      <c r="J97" s="1" t="str">
        <f>IF(Protokoll_3p!G103="","",IF(VALUE(LEFT(Protokoll_3p!G103,FIND(":",Protokoll_3p!G103)-1))&gt;VALUE(RIGHT(Protokoll_3p!G103,LEN(Protokoll_3p!G103)-FIND(":",Protokoll_3p!G103))),0,1))</f>
        <v/>
      </c>
      <c r="K97" s="1" t="str">
        <f>IF(Protokoll_3p!H103="","",IF(VALUE(LEFT(Protokoll_3p!H103,FIND(":",Protokoll_3p!H103)-1))&gt;VALUE(RIGHT(Protokoll_3p!H103,LEN(Protokoll_3p!H103)-FIND(":",Protokoll_3p!H103))),0,1))</f>
        <v/>
      </c>
      <c r="L97" s="1" t="str">
        <f>IF(Protokoll_3p!I103="","",IF(VALUE(LEFT(Protokoll_3p!I103,FIND(":",Protokoll_3p!I103)-1))&gt;VALUE(RIGHT(Protokoll_3p!I103,LEN(Protokoll_3p!I103)-FIND(":",Protokoll_3p!I103))),0,1))</f>
        <v/>
      </c>
      <c r="M97" s="1" t="str">
        <f>IF(Protokoll_3p!J103="","",IF(VALUE(LEFT(Protokoll_3p!J103,FIND(":",Protokoll_3p!J103)-1))&gt;VALUE(RIGHT(Protokoll_3p!J103,LEN(Protokoll_3p!J103)-FIND(":",Protokoll_3p!J103))),0,1))</f>
        <v/>
      </c>
      <c r="N97" s="1" t="str">
        <f t="shared" si="3"/>
        <v/>
      </c>
    </row>
    <row r="98" spans="2:14">
      <c r="B98" s="1" t="str">
        <f>IF(Protokoll_3p!F104="","",IF(VALUE(LEFT(Protokoll_3p!F104,FIND(":",Protokoll_3p!F104)-1))&gt;VALUE(RIGHT(Protokoll_3p!F104,LEN(Protokoll_3p!F104)-FIND(":",Protokoll_3p!F104))),1,0))</f>
        <v/>
      </c>
      <c r="C98" s="1" t="str">
        <f>IF(Protokoll_3p!G104="","",IF(VALUE(LEFT(Protokoll_3p!G104,FIND(":",Protokoll_3p!G104)-1))&gt;VALUE(RIGHT(Protokoll_3p!G104,LEN(Protokoll_3p!G104)-FIND(":",Protokoll_3p!G104))),1,0))</f>
        <v/>
      </c>
      <c r="D98" s="1" t="str">
        <f>IF(Protokoll_3p!H104="","",IF(VALUE(LEFT(Protokoll_3p!H104,FIND(":",Protokoll_3p!H104)-1))&gt;VALUE(RIGHT(Protokoll_3p!H104,LEN(Protokoll_3p!H104)-FIND(":",Protokoll_3p!H104))),1,0))</f>
        <v/>
      </c>
      <c r="E98" s="1" t="str">
        <f>IF(Protokoll_3p!I104="","",IF(VALUE(LEFT(Protokoll_3p!I104,FIND(":",Protokoll_3p!I104)-1))&gt;VALUE(RIGHT(Protokoll_3p!I104,LEN(Protokoll_3p!I104)-FIND(":",Protokoll_3p!I104))),1,0))</f>
        <v/>
      </c>
      <c r="F98" s="1" t="str">
        <f>IF(Protokoll_3p!J104="","",IF(VALUE(LEFT(Protokoll_3p!J104,FIND(":",Protokoll_3p!J104)-1))&gt;VALUE(RIGHT(Protokoll_3p!J104,LEN(Protokoll_3p!J104)-FIND(":",Protokoll_3p!J104))),1,0))</f>
        <v/>
      </c>
      <c r="G98" s="1" t="str">
        <f t="shared" si="2"/>
        <v/>
      </c>
      <c r="I98" s="1" t="str">
        <f>IF(Protokoll_3p!F104="","",IF(VALUE(LEFT(Protokoll_3p!F104,FIND(":",Protokoll_3p!F104)-1))&gt;VALUE(RIGHT(Protokoll_3p!F104,LEN(Protokoll_3p!F104)-FIND(":",Protokoll_3p!F104))),0,1))</f>
        <v/>
      </c>
      <c r="J98" s="1" t="str">
        <f>IF(Protokoll_3p!G104="","",IF(VALUE(LEFT(Protokoll_3p!G104,FIND(":",Protokoll_3p!G104)-1))&gt;VALUE(RIGHT(Protokoll_3p!G104,LEN(Protokoll_3p!G104)-FIND(":",Protokoll_3p!G104))),0,1))</f>
        <v/>
      </c>
      <c r="K98" s="1" t="str">
        <f>IF(Protokoll_3p!H104="","",IF(VALUE(LEFT(Protokoll_3p!H104,FIND(":",Protokoll_3p!H104)-1))&gt;VALUE(RIGHT(Protokoll_3p!H104,LEN(Protokoll_3p!H104)-FIND(":",Protokoll_3p!H104))),0,1))</f>
        <v/>
      </c>
      <c r="L98" s="1" t="str">
        <f>IF(Protokoll_3p!I104="","",IF(VALUE(LEFT(Protokoll_3p!I104,FIND(":",Protokoll_3p!I104)-1))&gt;VALUE(RIGHT(Protokoll_3p!I104,LEN(Protokoll_3p!I104)-FIND(":",Protokoll_3p!I104))),0,1))</f>
        <v/>
      </c>
      <c r="M98" s="1" t="str">
        <f>IF(Protokoll_3p!J104="","",IF(VALUE(LEFT(Protokoll_3p!J104,FIND(":",Protokoll_3p!J104)-1))&gt;VALUE(RIGHT(Protokoll_3p!J104,LEN(Protokoll_3p!J104)-FIND(":",Protokoll_3p!J104))),0,1))</f>
        <v/>
      </c>
      <c r="N98" s="1" t="str">
        <f t="shared" si="3"/>
        <v/>
      </c>
    </row>
    <row r="99" spans="2:14">
      <c r="B99" s="1" t="str">
        <f>IF(Protokoll_3p!F105="","",IF(VALUE(LEFT(Protokoll_3p!F105,FIND(":",Protokoll_3p!F105)-1))&gt;VALUE(RIGHT(Protokoll_3p!F105,LEN(Protokoll_3p!F105)-FIND(":",Protokoll_3p!F105))),1,0))</f>
        <v/>
      </c>
      <c r="C99" s="1" t="str">
        <f>IF(Protokoll_3p!G105="","",IF(VALUE(LEFT(Protokoll_3p!G105,FIND(":",Protokoll_3p!G105)-1))&gt;VALUE(RIGHT(Protokoll_3p!G105,LEN(Protokoll_3p!G105)-FIND(":",Protokoll_3p!G105))),1,0))</f>
        <v/>
      </c>
      <c r="D99" s="1" t="str">
        <f>IF(Protokoll_3p!H105="","",IF(VALUE(LEFT(Protokoll_3p!H105,FIND(":",Protokoll_3p!H105)-1))&gt;VALUE(RIGHT(Protokoll_3p!H105,LEN(Protokoll_3p!H105)-FIND(":",Protokoll_3p!H105))),1,0))</f>
        <v/>
      </c>
      <c r="E99" s="1" t="str">
        <f>IF(Protokoll_3p!I105="","",IF(VALUE(LEFT(Protokoll_3p!I105,FIND(":",Protokoll_3p!I105)-1))&gt;VALUE(RIGHT(Protokoll_3p!I105,LEN(Protokoll_3p!I105)-FIND(":",Protokoll_3p!I105))),1,0))</f>
        <v/>
      </c>
      <c r="F99" s="1" t="str">
        <f>IF(Protokoll_3p!J105="","",IF(VALUE(LEFT(Protokoll_3p!J105,FIND(":",Protokoll_3p!J105)-1))&gt;VALUE(RIGHT(Protokoll_3p!J105,LEN(Protokoll_3p!J105)-FIND(":",Protokoll_3p!J105))),1,0))</f>
        <v/>
      </c>
      <c r="G99" s="1" t="str">
        <f t="shared" si="2"/>
        <v/>
      </c>
      <c r="I99" s="1" t="str">
        <f>IF(Protokoll_3p!F105="","",IF(VALUE(LEFT(Protokoll_3p!F105,FIND(":",Protokoll_3p!F105)-1))&gt;VALUE(RIGHT(Protokoll_3p!F105,LEN(Protokoll_3p!F105)-FIND(":",Protokoll_3p!F105))),0,1))</f>
        <v/>
      </c>
      <c r="J99" s="1" t="str">
        <f>IF(Protokoll_3p!G105="","",IF(VALUE(LEFT(Protokoll_3p!G105,FIND(":",Protokoll_3p!G105)-1))&gt;VALUE(RIGHT(Protokoll_3p!G105,LEN(Protokoll_3p!G105)-FIND(":",Protokoll_3p!G105))),0,1))</f>
        <v/>
      </c>
      <c r="K99" s="1" t="str">
        <f>IF(Protokoll_3p!H105="","",IF(VALUE(LEFT(Protokoll_3p!H105,FIND(":",Protokoll_3p!H105)-1))&gt;VALUE(RIGHT(Protokoll_3p!H105,LEN(Protokoll_3p!H105)-FIND(":",Protokoll_3p!H105))),0,1))</f>
        <v/>
      </c>
      <c r="L99" s="1" t="str">
        <f>IF(Protokoll_3p!I105="","",IF(VALUE(LEFT(Protokoll_3p!I105,FIND(":",Protokoll_3p!I105)-1))&gt;VALUE(RIGHT(Protokoll_3p!I105,LEN(Protokoll_3p!I105)-FIND(":",Protokoll_3p!I105))),0,1))</f>
        <v/>
      </c>
      <c r="M99" s="1" t="str">
        <f>IF(Protokoll_3p!J105="","",IF(VALUE(LEFT(Protokoll_3p!J105,FIND(":",Protokoll_3p!J105)-1))&gt;VALUE(RIGHT(Protokoll_3p!J105,LEN(Protokoll_3p!J105)-FIND(":",Protokoll_3p!J105))),0,1))</f>
        <v/>
      </c>
      <c r="N99" s="1" t="str">
        <f t="shared" si="3"/>
        <v/>
      </c>
    </row>
    <row r="100" spans="2:14">
      <c r="B100" s="1" t="str">
        <f>IF(Protokoll_3p!F106="","",IF(VALUE(LEFT(Protokoll_3p!F106,FIND(":",Protokoll_3p!F106)-1))&gt;VALUE(RIGHT(Protokoll_3p!F106,LEN(Protokoll_3p!F106)-FIND(":",Protokoll_3p!F106))),1,0))</f>
        <v/>
      </c>
      <c r="C100" s="1" t="str">
        <f>IF(Protokoll_3p!G106="","",IF(VALUE(LEFT(Protokoll_3p!G106,FIND(":",Protokoll_3p!G106)-1))&gt;VALUE(RIGHT(Protokoll_3p!G106,LEN(Protokoll_3p!G106)-FIND(":",Protokoll_3p!G106))),1,0))</f>
        <v/>
      </c>
      <c r="D100" s="1" t="str">
        <f>IF(Protokoll_3p!H106="","",IF(VALUE(LEFT(Protokoll_3p!H106,FIND(":",Protokoll_3p!H106)-1))&gt;VALUE(RIGHT(Protokoll_3p!H106,LEN(Protokoll_3p!H106)-FIND(":",Protokoll_3p!H106))),1,0))</f>
        <v/>
      </c>
      <c r="E100" s="1" t="str">
        <f>IF(Protokoll_3p!I106="","",IF(VALUE(LEFT(Protokoll_3p!I106,FIND(":",Protokoll_3p!I106)-1))&gt;VALUE(RIGHT(Protokoll_3p!I106,LEN(Protokoll_3p!I106)-FIND(":",Protokoll_3p!I106))),1,0))</f>
        <v/>
      </c>
      <c r="F100" s="1" t="str">
        <f>IF(Protokoll_3p!J106="","",IF(VALUE(LEFT(Protokoll_3p!J106,FIND(":",Protokoll_3p!J106)-1))&gt;VALUE(RIGHT(Protokoll_3p!J106,LEN(Protokoll_3p!J106)-FIND(":",Protokoll_3p!J106))),1,0))</f>
        <v/>
      </c>
      <c r="G100" s="1" t="str">
        <f t="shared" si="2"/>
        <v/>
      </c>
      <c r="I100" s="1" t="str">
        <f>IF(Protokoll_3p!F106="","",IF(VALUE(LEFT(Protokoll_3p!F106,FIND(":",Protokoll_3p!F106)-1))&gt;VALUE(RIGHT(Protokoll_3p!F106,LEN(Protokoll_3p!F106)-FIND(":",Protokoll_3p!F106))),0,1))</f>
        <v/>
      </c>
      <c r="J100" s="1" t="str">
        <f>IF(Protokoll_3p!G106="","",IF(VALUE(LEFT(Protokoll_3p!G106,FIND(":",Protokoll_3p!G106)-1))&gt;VALUE(RIGHT(Protokoll_3p!G106,LEN(Protokoll_3p!G106)-FIND(":",Protokoll_3p!G106))),0,1))</f>
        <v/>
      </c>
      <c r="K100" s="1" t="str">
        <f>IF(Protokoll_3p!H106="","",IF(VALUE(LEFT(Protokoll_3p!H106,FIND(":",Protokoll_3p!H106)-1))&gt;VALUE(RIGHT(Protokoll_3p!H106,LEN(Protokoll_3p!H106)-FIND(":",Protokoll_3p!H106))),0,1))</f>
        <v/>
      </c>
      <c r="L100" s="1" t="str">
        <f>IF(Protokoll_3p!I106="","",IF(VALUE(LEFT(Protokoll_3p!I106,FIND(":",Protokoll_3p!I106)-1))&gt;VALUE(RIGHT(Protokoll_3p!I106,LEN(Protokoll_3p!I106)-FIND(":",Protokoll_3p!I106))),0,1))</f>
        <v/>
      </c>
      <c r="M100" s="1" t="str">
        <f>IF(Protokoll_3p!J106="","",IF(VALUE(LEFT(Protokoll_3p!J106,FIND(":",Protokoll_3p!J106)-1))&gt;VALUE(RIGHT(Protokoll_3p!J106,LEN(Protokoll_3p!J106)-FIND(":",Protokoll_3p!J106))),0,1))</f>
        <v/>
      </c>
      <c r="N100" s="1" t="str">
        <f t="shared" si="3"/>
        <v/>
      </c>
    </row>
    <row r="101" spans="2:14">
      <c r="B101" s="1" t="str">
        <f>IF(Protokoll_3p!F107="","",IF(VALUE(LEFT(Protokoll_3p!F107,FIND(":",Protokoll_3p!F107)-1))&gt;VALUE(RIGHT(Protokoll_3p!F107,LEN(Protokoll_3p!F107)-FIND(":",Protokoll_3p!F107))),1,0))</f>
        <v/>
      </c>
      <c r="C101" s="1" t="str">
        <f>IF(Protokoll_3p!G107="","",IF(VALUE(LEFT(Protokoll_3p!G107,FIND(":",Protokoll_3p!G107)-1))&gt;VALUE(RIGHT(Protokoll_3p!G107,LEN(Protokoll_3p!G107)-FIND(":",Protokoll_3p!G107))),1,0))</f>
        <v/>
      </c>
      <c r="D101" s="1" t="str">
        <f>IF(Protokoll_3p!H107="","",IF(VALUE(LEFT(Protokoll_3p!H107,FIND(":",Protokoll_3p!H107)-1))&gt;VALUE(RIGHT(Protokoll_3p!H107,LEN(Protokoll_3p!H107)-FIND(":",Protokoll_3p!H107))),1,0))</f>
        <v/>
      </c>
      <c r="E101" s="1" t="str">
        <f>IF(Protokoll_3p!I107="","",IF(VALUE(LEFT(Protokoll_3p!I107,FIND(":",Protokoll_3p!I107)-1))&gt;VALUE(RIGHT(Protokoll_3p!I107,LEN(Protokoll_3p!I107)-FIND(":",Protokoll_3p!I107))),1,0))</f>
        <v/>
      </c>
      <c r="F101" s="1" t="str">
        <f>IF(Protokoll_3p!J107="","",IF(VALUE(LEFT(Protokoll_3p!J107,FIND(":",Protokoll_3p!J107)-1))&gt;VALUE(RIGHT(Protokoll_3p!J107,LEN(Protokoll_3p!J107)-FIND(":",Protokoll_3p!J107))),1,0))</f>
        <v/>
      </c>
      <c r="G101" s="1" t="str">
        <f t="shared" si="2"/>
        <v/>
      </c>
      <c r="I101" s="1" t="str">
        <f>IF(Protokoll_3p!F107="","",IF(VALUE(LEFT(Protokoll_3p!F107,FIND(":",Protokoll_3p!F107)-1))&gt;VALUE(RIGHT(Protokoll_3p!F107,LEN(Protokoll_3p!F107)-FIND(":",Protokoll_3p!F107))),0,1))</f>
        <v/>
      </c>
      <c r="J101" s="1" t="str">
        <f>IF(Protokoll_3p!G107="","",IF(VALUE(LEFT(Protokoll_3p!G107,FIND(":",Protokoll_3p!G107)-1))&gt;VALUE(RIGHT(Protokoll_3p!G107,LEN(Protokoll_3p!G107)-FIND(":",Protokoll_3p!G107))),0,1))</f>
        <v/>
      </c>
      <c r="K101" s="1" t="str">
        <f>IF(Protokoll_3p!H107="","",IF(VALUE(LEFT(Protokoll_3p!H107,FIND(":",Protokoll_3p!H107)-1))&gt;VALUE(RIGHT(Protokoll_3p!H107,LEN(Protokoll_3p!H107)-FIND(":",Protokoll_3p!H107))),0,1))</f>
        <v/>
      </c>
      <c r="L101" s="1" t="str">
        <f>IF(Protokoll_3p!I107="","",IF(VALUE(LEFT(Protokoll_3p!I107,FIND(":",Protokoll_3p!I107)-1))&gt;VALUE(RIGHT(Protokoll_3p!I107,LEN(Protokoll_3p!I107)-FIND(":",Protokoll_3p!I107))),0,1))</f>
        <v/>
      </c>
      <c r="M101" s="1" t="str">
        <f>IF(Protokoll_3p!J107="","",IF(VALUE(LEFT(Protokoll_3p!J107,FIND(":",Protokoll_3p!J107)-1))&gt;VALUE(RIGHT(Protokoll_3p!J107,LEN(Protokoll_3p!J107)-FIND(":",Protokoll_3p!J107))),0,1))</f>
        <v/>
      </c>
      <c r="N101" s="1" t="str">
        <f t="shared" si="3"/>
        <v/>
      </c>
    </row>
    <row r="102" spans="2:14">
      <c r="B102" s="1" t="str">
        <f>IF(Protokoll_3p!F108="","",IF(VALUE(LEFT(Protokoll_3p!F108,FIND(":",Protokoll_3p!F108)-1))&gt;VALUE(RIGHT(Protokoll_3p!F108,LEN(Protokoll_3p!F108)-FIND(":",Protokoll_3p!F108))),1,0))</f>
        <v/>
      </c>
      <c r="C102" s="1" t="str">
        <f>IF(Protokoll_3p!G108="","",IF(VALUE(LEFT(Protokoll_3p!G108,FIND(":",Protokoll_3p!G108)-1))&gt;VALUE(RIGHT(Protokoll_3p!G108,LEN(Protokoll_3p!G108)-FIND(":",Protokoll_3p!G108))),1,0))</f>
        <v/>
      </c>
      <c r="D102" s="1" t="str">
        <f>IF(Protokoll_3p!H108="","",IF(VALUE(LEFT(Protokoll_3p!H108,FIND(":",Protokoll_3p!H108)-1))&gt;VALUE(RIGHT(Protokoll_3p!H108,LEN(Protokoll_3p!H108)-FIND(":",Protokoll_3p!H108))),1,0))</f>
        <v/>
      </c>
      <c r="E102" s="1" t="str">
        <f>IF(Protokoll_3p!I108="","",IF(VALUE(LEFT(Protokoll_3p!I108,FIND(":",Protokoll_3p!I108)-1))&gt;VALUE(RIGHT(Protokoll_3p!I108,LEN(Protokoll_3p!I108)-FIND(":",Protokoll_3p!I108))),1,0))</f>
        <v/>
      </c>
      <c r="F102" s="1" t="str">
        <f>IF(Protokoll_3p!J108="","",IF(VALUE(LEFT(Protokoll_3p!J108,FIND(":",Protokoll_3p!J108)-1))&gt;VALUE(RIGHT(Protokoll_3p!J108,LEN(Protokoll_3p!J108)-FIND(":",Protokoll_3p!J108))),1,0))</f>
        <v/>
      </c>
      <c r="G102" s="1" t="str">
        <f t="shared" si="2"/>
        <v/>
      </c>
      <c r="I102" s="1" t="str">
        <f>IF(Protokoll_3p!F108="","",IF(VALUE(LEFT(Protokoll_3p!F108,FIND(":",Protokoll_3p!F108)-1))&gt;VALUE(RIGHT(Protokoll_3p!F108,LEN(Protokoll_3p!F108)-FIND(":",Protokoll_3p!F108))),0,1))</f>
        <v/>
      </c>
      <c r="J102" s="1" t="str">
        <f>IF(Protokoll_3p!G108="","",IF(VALUE(LEFT(Protokoll_3p!G108,FIND(":",Protokoll_3p!G108)-1))&gt;VALUE(RIGHT(Protokoll_3p!G108,LEN(Protokoll_3p!G108)-FIND(":",Protokoll_3p!G108))),0,1))</f>
        <v/>
      </c>
      <c r="K102" s="1" t="str">
        <f>IF(Protokoll_3p!H108="","",IF(VALUE(LEFT(Protokoll_3p!H108,FIND(":",Protokoll_3p!H108)-1))&gt;VALUE(RIGHT(Protokoll_3p!H108,LEN(Protokoll_3p!H108)-FIND(":",Protokoll_3p!H108))),0,1))</f>
        <v/>
      </c>
      <c r="L102" s="1" t="str">
        <f>IF(Protokoll_3p!I108="","",IF(VALUE(LEFT(Protokoll_3p!I108,FIND(":",Protokoll_3p!I108)-1))&gt;VALUE(RIGHT(Protokoll_3p!I108,LEN(Protokoll_3p!I108)-FIND(":",Protokoll_3p!I108))),0,1))</f>
        <v/>
      </c>
      <c r="M102" s="1" t="str">
        <f>IF(Protokoll_3p!J108="","",IF(VALUE(LEFT(Protokoll_3p!J108,FIND(":",Protokoll_3p!J108)-1))&gt;VALUE(RIGHT(Protokoll_3p!J108,LEN(Protokoll_3p!J108)-FIND(":",Protokoll_3p!J108))),0,1))</f>
        <v/>
      </c>
      <c r="N102" s="1" t="str">
        <f t="shared" si="3"/>
        <v/>
      </c>
    </row>
    <row r="103" spans="2:14">
      <c r="B103" s="1" t="str">
        <f>IF(Protokoll_3p!F109="","",IF(VALUE(LEFT(Protokoll_3p!F109,FIND(":",Protokoll_3p!F109)-1))&gt;VALUE(RIGHT(Protokoll_3p!F109,LEN(Protokoll_3p!F109)-FIND(":",Protokoll_3p!F109))),1,0))</f>
        <v/>
      </c>
      <c r="C103" s="1" t="str">
        <f>IF(Protokoll_3p!G109="","",IF(VALUE(LEFT(Protokoll_3p!G109,FIND(":",Protokoll_3p!G109)-1))&gt;VALUE(RIGHT(Protokoll_3p!G109,LEN(Protokoll_3p!G109)-FIND(":",Protokoll_3p!G109))),1,0))</f>
        <v/>
      </c>
      <c r="D103" s="1" t="str">
        <f>IF(Protokoll_3p!H109="","",IF(VALUE(LEFT(Protokoll_3p!H109,FIND(":",Protokoll_3p!H109)-1))&gt;VALUE(RIGHT(Protokoll_3p!H109,LEN(Protokoll_3p!H109)-FIND(":",Protokoll_3p!H109))),1,0))</f>
        <v/>
      </c>
      <c r="E103" s="1" t="str">
        <f>IF(Protokoll_3p!I109="","",IF(VALUE(LEFT(Protokoll_3p!I109,FIND(":",Protokoll_3p!I109)-1))&gt;VALUE(RIGHT(Protokoll_3p!I109,LEN(Protokoll_3p!I109)-FIND(":",Protokoll_3p!I109))),1,0))</f>
        <v/>
      </c>
      <c r="F103" s="1" t="str">
        <f>IF(Protokoll_3p!J109="","",IF(VALUE(LEFT(Protokoll_3p!J109,FIND(":",Protokoll_3p!J109)-1))&gt;VALUE(RIGHT(Protokoll_3p!J109,LEN(Protokoll_3p!J109)-FIND(":",Protokoll_3p!J109))),1,0))</f>
        <v/>
      </c>
      <c r="G103" s="1" t="str">
        <f t="shared" si="2"/>
        <v/>
      </c>
      <c r="I103" s="1" t="str">
        <f>IF(Protokoll_3p!F109="","",IF(VALUE(LEFT(Protokoll_3p!F109,FIND(":",Protokoll_3p!F109)-1))&gt;VALUE(RIGHT(Protokoll_3p!F109,LEN(Protokoll_3p!F109)-FIND(":",Protokoll_3p!F109))),0,1))</f>
        <v/>
      </c>
      <c r="J103" s="1" t="str">
        <f>IF(Protokoll_3p!G109="","",IF(VALUE(LEFT(Protokoll_3p!G109,FIND(":",Protokoll_3p!G109)-1))&gt;VALUE(RIGHT(Protokoll_3p!G109,LEN(Protokoll_3p!G109)-FIND(":",Protokoll_3p!G109))),0,1))</f>
        <v/>
      </c>
      <c r="K103" s="1" t="str">
        <f>IF(Protokoll_3p!H109="","",IF(VALUE(LEFT(Protokoll_3p!H109,FIND(":",Protokoll_3p!H109)-1))&gt;VALUE(RIGHT(Protokoll_3p!H109,LEN(Protokoll_3p!H109)-FIND(":",Protokoll_3p!H109))),0,1))</f>
        <v/>
      </c>
      <c r="L103" s="1" t="str">
        <f>IF(Protokoll_3p!I109="","",IF(VALUE(LEFT(Protokoll_3p!I109,FIND(":",Protokoll_3p!I109)-1))&gt;VALUE(RIGHT(Protokoll_3p!I109,LEN(Protokoll_3p!I109)-FIND(":",Protokoll_3p!I109))),0,1))</f>
        <v/>
      </c>
      <c r="M103" s="1" t="str">
        <f>IF(Protokoll_3p!J109="","",IF(VALUE(LEFT(Protokoll_3p!J109,FIND(":",Protokoll_3p!J109)-1))&gt;VALUE(RIGHT(Protokoll_3p!J109,LEN(Protokoll_3p!J109)-FIND(":",Protokoll_3p!J109))),0,1))</f>
        <v/>
      </c>
      <c r="N103" s="1" t="str">
        <f t="shared" si="3"/>
        <v/>
      </c>
    </row>
    <row r="104" spans="2:14">
      <c r="B104" s="1" t="str">
        <f>IF(Protokoll_3p!F110="","",IF(VALUE(LEFT(Protokoll_3p!F110,FIND(":",Protokoll_3p!F110)-1))&gt;VALUE(RIGHT(Protokoll_3p!F110,LEN(Protokoll_3p!F110)-FIND(":",Protokoll_3p!F110))),1,0))</f>
        <v/>
      </c>
      <c r="C104" s="1" t="str">
        <f>IF(Protokoll_3p!G110="","",IF(VALUE(LEFT(Protokoll_3p!G110,FIND(":",Protokoll_3p!G110)-1))&gt;VALUE(RIGHT(Protokoll_3p!G110,LEN(Protokoll_3p!G110)-FIND(":",Protokoll_3p!G110))),1,0))</f>
        <v/>
      </c>
      <c r="D104" s="1" t="str">
        <f>IF(Protokoll_3p!H110="","",IF(VALUE(LEFT(Protokoll_3p!H110,FIND(":",Protokoll_3p!H110)-1))&gt;VALUE(RIGHT(Protokoll_3p!H110,LEN(Protokoll_3p!H110)-FIND(":",Protokoll_3p!H110))),1,0))</f>
        <v/>
      </c>
      <c r="E104" s="1" t="str">
        <f>IF(Protokoll_3p!I110="","",IF(VALUE(LEFT(Protokoll_3p!I110,FIND(":",Protokoll_3p!I110)-1))&gt;VALUE(RIGHT(Protokoll_3p!I110,LEN(Protokoll_3p!I110)-FIND(":",Protokoll_3p!I110))),1,0))</f>
        <v/>
      </c>
      <c r="F104" s="1" t="str">
        <f>IF(Protokoll_3p!J110="","",IF(VALUE(LEFT(Protokoll_3p!J110,FIND(":",Protokoll_3p!J110)-1))&gt;VALUE(RIGHT(Protokoll_3p!J110,LEN(Protokoll_3p!J110)-FIND(":",Protokoll_3p!J110))),1,0))</f>
        <v/>
      </c>
      <c r="G104" s="1" t="str">
        <f t="shared" si="2"/>
        <v/>
      </c>
      <c r="I104" s="1" t="str">
        <f>IF(Protokoll_3p!F110="","",IF(VALUE(LEFT(Protokoll_3p!F110,FIND(":",Protokoll_3p!F110)-1))&gt;VALUE(RIGHT(Protokoll_3p!F110,LEN(Protokoll_3p!F110)-FIND(":",Protokoll_3p!F110))),0,1))</f>
        <v/>
      </c>
      <c r="J104" s="1" t="str">
        <f>IF(Protokoll_3p!G110="","",IF(VALUE(LEFT(Protokoll_3p!G110,FIND(":",Protokoll_3p!G110)-1))&gt;VALUE(RIGHT(Protokoll_3p!G110,LEN(Protokoll_3p!G110)-FIND(":",Protokoll_3p!G110))),0,1))</f>
        <v/>
      </c>
      <c r="K104" s="1" t="str">
        <f>IF(Protokoll_3p!H110="","",IF(VALUE(LEFT(Protokoll_3p!H110,FIND(":",Protokoll_3p!H110)-1))&gt;VALUE(RIGHT(Protokoll_3p!H110,LEN(Protokoll_3p!H110)-FIND(":",Protokoll_3p!H110))),0,1))</f>
        <v/>
      </c>
      <c r="L104" s="1" t="str">
        <f>IF(Protokoll_3p!I110="","",IF(VALUE(LEFT(Protokoll_3p!I110,FIND(":",Protokoll_3p!I110)-1))&gt;VALUE(RIGHT(Protokoll_3p!I110,LEN(Protokoll_3p!I110)-FIND(":",Protokoll_3p!I110))),0,1))</f>
        <v/>
      </c>
      <c r="M104" s="1" t="str">
        <f>IF(Protokoll_3p!J110="","",IF(VALUE(LEFT(Protokoll_3p!J110,FIND(":",Protokoll_3p!J110)-1))&gt;VALUE(RIGHT(Protokoll_3p!J110,LEN(Protokoll_3p!J110)-FIND(":",Protokoll_3p!J110))),0,1))</f>
        <v/>
      </c>
      <c r="N104" s="1" t="str">
        <f t="shared" si="3"/>
        <v/>
      </c>
    </row>
    <row r="105" spans="2:14">
      <c r="B105" s="1" t="str">
        <f>IF(Protokoll_3p!F111="","",IF(VALUE(LEFT(Protokoll_3p!F111,FIND(":",Protokoll_3p!F111)-1))&gt;VALUE(RIGHT(Protokoll_3p!F111,LEN(Protokoll_3p!F111)-FIND(":",Protokoll_3p!F111))),1,0))</f>
        <v/>
      </c>
      <c r="C105" s="1" t="str">
        <f>IF(Protokoll_3p!G111="","",IF(VALUE(LEFT(Protokoll_3p!G111,FIND(":",Protokoll_3p!G111)-1))&gt;VALUE(RIGHT(Protokoll_3p!G111,LEN(Protokoll_3p!G111)-FIND(":",Protokoll_3p!G111))),1,0))</f>
        <v/>
      </c>
      <c r="D105" s="1" t="str">
        <f>IF(Protokoll_3p!H111="","",IF(VALUE(LEFT(Protokoll_3p!H111,FIND(":",Protokoll_3p!H111)-1))&gt;VALUE(RIGHT(Protokoll_3p!H111,LEN(Protokoll_3p!H111)-FIND(":",Protokoll_3p!H111))),1,0))</f>
        <v/>
      </c>
      <c r="E105" s="1" t="str">
        <f>IF(Protokoll_3p!I111="","",IF(VALUE(LEFT(Protokoll_3p!I111,FIND(":",Protokoll_3p!I111)-1))&gt;VALUE(RIGHT(Protokoll_3p!I111,LEN(Protokoll_3p!I111)-FIND(":",Protokoll_3p!I111))),1,0))</f>
        <v/>
      </c>
      <c r="F105" s="1" t="str">
        <f>IF(Protokoll_3p!J111="","",IF(VALUE(LEFT(Protokoll_3p!J111,FIND(":",Protokoll_3p!J111)-1))&gt;VALUE(RIGHT(Protokoll_3p!J111,LEN(Protokoll_3p!J111)-FIND(":",Protokoll_3p!J111))),1,0))</f>
        <v/>
      </c>
      <c r="G105" s="1" t="str">
        <f t="shared" si="2"/>
        <v/>
      </c>
      <c r="I105" s="1" t="str">
        <f>IF(Protokoll_3p!F111="","",IF(VALUE(LEFT(Protokoll_3p!F111,FIND(":",Protokoll_3p!F111)-1))&gt;VALUE(RIGHT(Protokoll_3p!F111,LEN(Protokoll_3p!F111)-FIND(":",Protokoll_3p!F111))),0,1))</f>
        <v/>
      </c>
      <c r="J105" s="1" t="str">
        <f>IF(Protokoll_3p!G111="","",IF(VALUE(LEFT(Protokoll_3p!G111,FIND(":",Protokoll_3p!G111)-1))&gt;VALUE(RIGHT(Protokoll_3p!G111,LEN(Protokoll_3p!G111)-FIND(":",Protokoll_3p!G111))),0,1))</f>
        <v/>
      </c>
      <c r="K105" s="1" t="str">
        <f>IF(Protokoll_3p!H111="","",IF(VALUE(LEFT(Protokoll_3p!H111,FIND(":",Protokoll_3p!H111)-1))&gt;VALUE(RIGHT(Protokoll_3p!H111,LEN(Protokoll_3p!H111)-FIND(":",Protokoll_3p!H111))),0,1))</f>
        <v/>
      </c>
      <c r="L105" s="1" t="str">
        <f>IF(Protokoll_3p!I111="","",IF(VALUE(LEFT(Protokoll_3p!I111,FIND(":",Protokoll_3p!I111)-1))&gt;VALUE(RIGHT(Protokoll_3p!I111,LEN(Protokoll_3p!I111)-FIND(":",Protokoll_3p!I111))),0,1))</f>
        <v/>
      </c>
      <c r="M105" s="1" t="str">
        <f>IF(Protokoll_3p!J111="","",IF(VALUE(LEFT(Protokoll_3p!J111,FIND(":",Protokoll_3p!J111)-1))&gt;VALUE(RIGHT(Protokoll_3p!J111,LEN(Protokoll_3p!J111)-FIND(":",Protokoll_3p!J111))),0,1))</f>
        <v/>
      </c>
      <c r="N105" s="1" t="str">
        <f t="shared" si="3"/>
        <v/>
      </c>
    </row>
    <row r="106" spans="2:14">
      <c r="B106" s="1" t="str">
        <f>IF(Protokoll_3p!F112="","",IF(VALUE(LEFT(Protokoll_3p!F112,FIND(":",Protokoll_3p!F112)-1))&gt;VALUE(RIGHT(Protokoll_3p!F112,LEN(Protokoll_3p!F112)-FIND(":",Protokoll_3p!F112))),1,0))</f>
        <v/>
      </c>
      <c r="C106" s="1" t="str">
        <f>IF(Protokoll_3p!G112="","",IF(VALUE(LEFT(Protokoll_3p!G112,FIND(":",Protokoll_3p!G112)-1))&gt;VALUE(RIGHT(Protokoll_3p!G112,LEN(Protokoll_3p!G112)-FIND(":",Protokoll_3p!G112))),1,0))</f>
        <v/>
      </c>
      <c r="D106" s="1" t="str">
        <f>IF(Protokoll_3p!H112="","",IF(VALUE(LEFT(Protokoll_3p!H112,FIND(":",Protokoll_3p!H112)-1))&gt;VALUE(RIGHT(Protokoll_3p!H112,LEN(Protokoll_3p!H112)-FIND(":",Protokoll_3p!H112))),1,0))</f>
        <v/>
      </c>
      <c r="E106" s="1" t="str">
        <f>IF(Protokoll_3p!I112="","",IF(VALUE(LEFT(Protokoll_3p!I112,FIND(":",Protokoll_3p!I112)-1))&gt;VALUE(RIGHT(Protokoll_3p!I112,LEN(Protokoll_3p!I112)-FIND(":",Protokoll_3p!I112))),1,0))</f>
        <v/>
      </c>
      <c r="F106" s="1" t="str">
        <f>IF(Protokoll_3p!J112="","",IF(VALUE(LEFT(Protokoll_3p!J112,FIND(":",Protokoll_3p!J112)-1))&gt;VALUE(RIGHT(Protokoll_3p!J112,LEN(Protokoll_3p!J112)-FIND(":",Protokoll_3p!J112))),1,0))</f>
        <v/>
      </c>
      <c r="G106" s="1" t="str">
        <f t="shared" si="2"/>
        <v/>
      </c>
      <c r="I106" s="1" t="str">
        <f>IF(Protokoll_3p!F112="","",IF(VALUE(LEFT(Protokoll_3p!F112,FIND(":",Protokoll_3p!F112)-1))&gt;VALUE(RIGHT(Protokoll_3p!F112,LEN(Protokoll_3p!F112)-FIND(":",Protokoll_3p!F112))),0,1))</f>
        <v/>
      </c>
      <c r="J106" s="1" t="str">
        <f>IF(Protokoll_3p!G112="","",IF(VALUE(LEFT(Protokoll_3p!G112,FIND(":",Protokoll_3p!G112)-1))&gt;VALUE(RIGHT(Protokoll_3p!G112,LEN(Protokoll_3p!G112)-FIND(":",Protokoll_3p!G112))),0,1))</f>
        <v/>
      </c>
      <c r="K106" s="1" t="str">
        <f>IF(Protokoll_3p!H112="","",IF(VALUE(LEFT(Protokoll_3p!H112,FIND(":",Protokoll_3p!H112)-1))&gt;VALUE(RIGHT(Protokoll_3p!H112,LEN(Protokoll_3p!H112)-FIND(":",Protokoll_3p!H112))),0,1))</f>
        <v/>
      </c>
      <c r="L106" s="1" t="str">
        <f>IF(Protokoll_3p!I112="","",IF(VALUE(LEFT(Protokoll_3p!I112,FIND(":",Protokoll_3p!I112)-1))&gt;VALUE(RIGHT(Protokoll_3p!I112,LEN(Protokoll_3p!I112)-FIND(":",Protokoll_3p!I112))),0,1))</f>
        <v/>
      </c>
      <c r="M106" s="1" t="str">
        <f>IF(Protokoll_3p!J112="","",IF(VALUE(LEFT(Protokoll_3p!J112,FIND(":",Protokoll_3p!J112)-1))&gt;VALUE(RIGHT(Protokoll_3p!J112,LEN(Protokoll_3p!J112)-FIND(":",Protokoll_3p!J112))),0,1))</f>
        <v/>
      </c>
      <c r="N106" s="1" t="str">
        <f t="shared" si="3"/>
        <v/>
      </c>
    </row>
    <row r="107" spans="2:14">
      <c r="B107" s="1" t="str">
        <f>IF(Protokoll_3p!F113="","",IF(VALUE(LEFT(Protokoll_3p!F113,FIND(":",Protokoll_3p!F113)-1))&gt;VALUE(RIGHT(Protokoll_3p!F113,LEN(Protokoll_3p!F113)-FIND(":",Protokoll_3p!F113))),1,0))</f>
        <v/>
      </c>
      <c r="C107" s="1" t="str">
        <f>IF(Protokoll_3p!G113="","",IF(VALUE(LEFT(Protokoll_3p!G113,FIND(":",Protokoll_3p!G113)-1))&gt;VALUE(RIGHT(Protokoll_3p!G113,LEN(Protokoll_3p!G113)-FIND(":",Protokoll_3p!G113))),1,0))</f>
        <v/>
      </c>
      <c r="D107" s="1" t="str">
        <f>IF(Protokoll_3p!H113="","",IF(VALUE(LEFT(Protokoll_3p!H113,FIND(":",Protokoll_3p!H113)-1))&gt;VALUE(RIGHT(Protokoll_3p!H113,LEN(Protokoll_3p!H113)-FIND(":",Protokoll_3p!H113))),1,0))</f>
        <v/>
      </c>
      <c r="E107" s="1" t="str">
        <f>IF(Protokoll_3p!I113="","",IF(VALUE(LEFT(Protokoll_3p!I113,FIND(":",Protokoll_3p!I113)-1))&gt;VALUE(RIGHT(Protokoll_3p!I113,LEN(Protokoll_3p!I113)-FIND(":",Protokoll_3p!I113))),1,0))</f>
        <v/>
      </c>
      <c r="F107" s="1" t="str">
        <f>IF(Protokoll_3p!J113="","",IF(VALUE(LEFT(Protokoll_3p!J113,FIND(":",Protokoll_3p!J113)-1))&gt;VALUE(RIGHT(Protokoll_3p!J113,LEN(Protokoll_3p!J113)-FIND(":",Protokoll_3p!J113))),1,0))</f>
        <v/>
      </c>
      <c r="G107" s="1" t="str">
        <f t="shared" si="2"/>
        <v/>
      </c>
      <c r="I107" s="1" t="str">
        <f>IF(Protokoll_3p!F113="","",IF(VALUE(LEFT(Protokoll_3p!F113,FIND(":",Protokoll_3p!F113)-1))&gt;VALUE(RIGHT(Protokoll_3p!F113,LEN(Protokoll_3p!F113)-FIND(":",Protokoll_3p!F113))),0,1))</f>
        <v/>
      </c>
      <c r="J107" s="1" t="str">
        <f>IF(Protokoll_3p!G113="","",IF(VALUE(LEFT(Protokoll_3p!G113,FIND(":",Protokoll_3p!G113)-1))&gt;VALUE(RIGHT(Protokoll_3p!G113,LEN(Protokoll_3p!G113)-FIND(":",Protokoll_3p!G113))),0,1))</f>
        <v/>
      </c>
      <c r="K107" s="1" t="str">
        <f>IF(Protokoll_3p!H113="","",IF(VALUE(LEFT(Protokoll_3p!H113,FIND(":",Protokoll_3p!H113)-1))&gt;VALUE(RIGHT(Protokoll_3p!H113,LEN(Protokoll_3p!H113)-FIND(":",Protokoll_3p!H113))),0,1))</f>
        <v/>
      </c>
      <c r="L107" s="1" t="str">
        <f>IF(Protokoll_3p!I113="","",IF(VALUE(LEFT(Protokoll_3p!I113,FIND(":",Protokoll_3p!I113)-1))&gt;VALUE(RIGHT(Protokoll_3p!I113,LEN(Protokoll_3p!I113)-FIND(":",Protokoll_3p!I113))),0,1))</f>
        <v/>
      </c>
      <c r="M107" s="1" t="str">
        <f>IF(Protokoll_3p!J113="","",IF(VALUE(LEFT(Protokoll_3p!J113,FIND(":",Protokoll_3p!J113)-1))&gt;VALUE(RIGHT(Protokoll_3p!J113,LEN(Protokoll_3p!J113)-FIND(":",Protokoll_3p!J113))),0,1))</f>
        <v/>
      </c>
      <c r="N107" s="1" t="str">
        <f t="shared" si="3"/>
        <v/>
      </c>
    </row>
    <row r="108" spans="2:14">
      <c r="B108" s="1" t="str">
        <f>IF(Protokoll_3p!F114="","",IF(VALUE(LEFT(Protokoll_3p!F114,FIND(":",Protokoll_3p!F114)-1))&gt;VALUE(RIGHT(Protokoll_3p!F114,LEN(Protokoll_3p!F114)-FIND(":",Protokoll_3p!F114))),1,0))</f>
        <v/>
      </c>
      <c r="C108" s="1" t="str">
        <f>IF(Protokoll_3p!G114="","",IF(VALUE(LEFT(Protokoll_3p!G114,FIND(":",Protokoll_3p!G114)-1))&gt;VALUE(RIGHT(Protokoll_3p!G114,LEN(Protokoll_3p!G114)-FIND(":",Protokoll_3p!G114))),1,0))</f>
        <v/>
      </c>
      <c r="D108" s="1" t="str">
        <f>IF(Protokoll_3p!H114="","",IF(VALUE(LEFT(Protokoll_3p!H114,FIND(":",Protokoll_3p!H114)-1))&gt;VALUE(RIGHT(Protokoll_3p!H114,LEN(Protokoll_3p!H114)-FIND(":",Protokoll_3p!H114))),1,0))</f>
        <v/>
      </c>
      <c r="E108" s="1" t="str">
        <f>IF(Protokoll_3p!I114="","",IF(VALUE(LEFT(Protokoll_3p!I114,FIND(":",Protokoll_3p!I114)-1))&gt;VALUE(RIGHT(Protokoll_3p!I114,LEN(Protokoll_3p!I114)-FIND(":",Protokoll_3p!I114))),1,0))</f>
        <v/>
      </c>
      <c r="F108" s="1" t="str">
        <f>IF(Protokoll_3p!J114="","",IF(VALUE(LEFT(Protokoll_3p!J114,FIND(":",Protokoll_3p!J114)-1))&gt;VALUE(RIGHT(Protokoll_3p!J114,LEN(Protokoll_3p!J114)-FIND(":",Protokoll_3p!J114))),1,0))</f>
        <v/>
      </c>
      <c r="G108" s="1" t="str">
        <f t="shared" si="2"/>
        <v/>
      </c>
      <c r="I108" s="1" t="str">
        <f>IF(Protokoll_3p!F114="","",IF(VALUE(LEFT(Protokoll_3p!F114,FIND(":",Protokoll_3p!F114)-1))&gt;VALUE(RIGHT(Protokoll_3p!F114,LEN(Protokoll_3p!F114)-FIND(":",Protokoll_3p!F114))),0,1))</f>
        <v/>
      </c>
      <c r="J108" s="1" t="str">
        <f>IF(Protokoll_3p!G114="","",IF(VALUE(LEFT(Protokoll_3p!G114,FIND(":",Protokoll_3p!G114)-1))&gt;VALUE(RIGHT(Protokoll_3p!G114,LEN(Protokoll_3p!G114)-FIND(":",Protokoll_3p!G114))),0,1))</f>
        <v/>
      </c>
      <c r="K108" s="1" t="str">
        <f>IF(Protokoll_3p!H114="","",IF(VALUE(LEFT(Protokoll_3p!H114,FIND(":",Protokoll_3p!H114)-1))&gt;VALUE(RIGHT(Protokoll_3p!H114,LEN(Protokoll_3p!H114)-FIND(":",Protokoll_3p!H114))),0,1))</f>
        <v/>
      </c>
      <c r="L108" s="1" t="str">
        <f>IF(Protokoll_3p!I114="","",IF(VALUE(LEFT(Protokoll_3p!I114,FIND(":",Protokoll_3p!I114)-1))&gt;VALUE(RIGHT(Protokoll_3p!I114,LEN(Protokoll_3p!I114)-FIND(":",Protokoll_3p!I114))),0,1))</f>
        <v/>
      </c>
      <c r="M108" s="1" t="str">
        <f>IF(Protokoll_3p!J114="","",IF(VALUE(LEFT(Protokoll_3p!J114,FIND(":",Protokoll_3p!J114)-1))&gt;VALUE(RIGHT(Protokoll_3p!J114,LEN(Protokoll_3p!J114)-FIND(":",Protokoll_3p!J114))),0,1))</f>
        <v/>
      </c>
      <c r="N108" s="1" t="str">
        <f t="shared" si="3"/>
        <v/>
      </c>
    </row>
    <row r="109" spans="2:14">
      <c r="B109" s="1" t="str">
        <f>IF(Protokoll_3p!F115="","",IF(VALUE(LEFT(Protokoll_3p!F115,FIND(":",Protokoll_3p!F115)-1))&gt;VALUE(RIGHT(Protokoll_3p!F115,LEN(Protokoll_3p!F115)-FIND(":",Protokoll_3p!F115))),1,0))</f>
        <v/>
      </c>
      <c r="C109" s="1" t="str">
        <f>IF(Protokoll_3p!G115="","",IF(VALUE(LEFT(Protokoll_3p!G115,FIND(":",Protokoll_3p!G115)-1))&gt;VALUE(RIGHT(Protokoll_3p!G115,LEN(Protokoll_3p!G115)-FIND(":",Protokoll_3p!G115))),1,0))</f>
        <v/>
      </c>
      <c r="D109" s="1" t="str">
        <f>IF(Protokoll_3p!H115="","",IF(VALUE(LEFT(Protokoll_3p!H115,FIND(":",Protokoll_3p!H115)-1))&gt;VALUE(RIGHT(Protokoll_3p!H115,LEN(Protokoll_3p!H115)-FIND(":",Protokoll_3p!H115))),1,0))</f>
        <v/>
      </c>
      <c r="E109" s="1" t="str">
        <f>IF(Protokoll_3p!I115="","",IF(VALUE(LEFT(Protokoll_3p!I115,FIND(":",Protokoll_3p!I115)-1))&gt;VALUE(RIGHT(Protokoll_3p!I115,LEN(Protokoll_3p!I115)-FIND(":",Protokoll_3p!I115))),1,0))</f>
        <v/>
      </c>
      <c r="F109" s="1" t="str">
        <f>IF(Protokoll_3p!J115="","",IF(VALUE(LEFT(Protokoll_3p!J115,FIND(":",Protokoll_3p!J115)-1))&gt;VALUE(RIGHT(Protokoll_3p!J115,LEN(Protokoll_3p!J115)-FIND(":",Protokoll_3p!J115))),1,0))</f>
        <v/>
      </c>
      <c r="G109" s="1" t="str">
        <f t="shared" si="2"/>
        <v/>
      </c>
      <c r="I109" s="1" t="str">
        <f>IF(Protokoll_3p!F115="","",IF(VALUE(LEFT(Protokoll_3p!F115,FIND(":",Protokoll_3p!F115)-1))&gt;VALUE(RIGHT(Protokoll_3p!F115,LEN(Protokoll_3p!F115)-FIND(":",Protokoll_3p!F115))),0,1))</f>
        <v/>
      </c>
      <c r="J109" s="1" t="str">
        <f>IF(Protokoll_3p!G115="","",IF(VALUE(LEFT(Protokoll_3p!G115,FIND(":",Protokoll_3p!G115)-1))&gt;VALUE(RIGHT(Protokoll_3p!G115,LEN(Protokoll_3p!G115)-FIND(":",Protokoll_3p!G115))),0,1))</f>
        <v/>
      </c>
      <c r="K109" s="1" t="str">
        <f>IF(Protokoll_3p!H115="","",IF(VALUE(LEFT(Protokoll_3p!H115,FIND(":",Protokoll_3p!H115)-1))&gt;VALUE(RIGHT(Protokoll_3p!H115,LEN(Protokoll_3p!H115)-FIND(":",Protokoll_3p!H115))),0,1))</f>
        <v/>
      </c>
      <c r="L109" s="1" t="str">
        <f>IF(Protokoll_3p!I115="","",IF(VALUE(LEFT(Protokoll_3p!I115,FIND(":",Protokoll_3p!I115)-1))&gt;VALUE(RIGHT(Protokoll_3p!I115,LEN(Protokoll_3p!I115)-FIND(":",Protokoll_3p!I115))),0,1))</f>
        <v/>
      </c>
      <c r="M109" s="1" t="str">
        <f>IF(Protokoll_3p!J115="","",IF(VALUE(LEFT(Protokoll_3p!J115,FIND(":",Protokoll_3p!J115)-1))&gt;VALUE(RIGHT(Protokoll_3p!J115,LEN(Protokoll_3p!J115)-FIND(":",Protokoll_3p!J115))),0,1))</f>
        <v/>
      </c>
      <c r="N109" s="1" t="str">
        <f t="shared" si="3"/>
        <v/>
      </c>
    </row>
    <row r="110" spans="2:14">
      <c r="B110" s="1" t="str">
        <f>IF(Protokoll_3p!F116="","",IF(VALUE(LEFT(Protokoll_3p!F116,FIND(":",Protokoll_3p!F116)-1))&gt;VALUE(RIGHT(Protokoll_3p!F116,LEN(Protokoll_3p!F116)-FIND(":",Protokoll_3p!F116))),1,0))</f>
        <v/>
      </c>
      <c r="C110" s="1" t="str">
        <f>IF(Protokoll_3p!G116="","",IF(VALUE(LEFT(Protokoll_3p!G116,FIND(":",Protokoll_3p!G116)-1))&gt;VALUE(RIGHT(Protokoll_3p!G116,LEN(Protokoll_3p!G116)-FIND(":",Protokoll_3p!G116))),1,0))</f>
        <v/>
      </c>
      <c r="D110" s="1" t="str">
        <f>IF(Protokoll_3p!H116="","",IF(VALUE(LEFT(Protokoll_3p!H116,FIND(":",Protokoll_3p!H116)-1))&gt;VALUE(RIGHT(Protokoll_3p!H116,LEN(Protokoll_3p!H116)-FIND(":",Protokoll_3p!H116))),1,0))</f>
        <v/>
      </c>
      <c r="E110" s="1" t="str">
        <f>IF(Protokoll_3p!I116="","",IF(VALUE(LEFT(Protokoll_3p!I116,FIND(":",Protokoll_3p!I116)-1))&gt;VALUE(RIGHT(Protokoll_3p!I116,LEN(Protokoll_3p!I116)-FIND(":",Protokoll_3p!I116))),1,0))</f>
        <v/>
      </c>
      <c r="F110" s="1" t="str">
        <f>IF(Protokoll_3p!J116="","",IF(VALUE(LEFT(Protokoll_3p!J116,FIND(":",Protokoll_3p!J116)-1))&gt;VALUE(RIGHT(Protokoll_3p!J116,LEN(Protokoll_3p!J116)-FIND(":",Protokoll_3p!J116))),1,0))</f>
        <v/>
      </c>
      <c r="G110" s="1" t="str">
        <f t="shared" si="2"/>
        <v/>
      </c>
      <c r="I110" s="1" t="str">
        <f>IF(Protokoll_3p!F116="","",IF(VALUE(LEFT(Protokoll_3p!F116,FIND(":",Protokoll_3p!F116)-1))&gt;VALUE(RIGHT(Protokoll_3p!F116,LEN(Protokoll_3p!F116)-FIND(":",Protokoll_3p!F116))),0,1))</f>
        <v/>
      </c>
      <c r="J110" s="1" t="str">
        <f>IF(Protokoll_3p!G116="","",IF(VALUE(LEFT(Protokoll_3p!G116,FIND(":",Protokoll_3p!G116)-1))&gt;VALUE(RIGHT(Protokoll_3p!G116,LEN(Protokoll_3p!G116)-FIND(":",Protokoll_3p!G116))),0,1))</f>
        <v/>
      </c>
      <c r="K110" s="1" t="str">
        <f>IF(Protokoll_3p!H116="","",IF(VALUE(LEFT(Protokoll_3p!H116,FIND(":",Protokoll_3p!H116)-1))&gt;VALUE(RIGHT(Protokoll_3p!H116,LEN(Protokoll_3p!H116)-FIND(":",Protokoll_3p!H116))),0,1))</f>
        <v/>
      </c>
      <c r="L110" s="1" t="str">
        <f>IF(Protokoll_3p!I116="","",IF(VALUE(LEFT(Protokoll_3p!I116,FIND(":",Protokoll_3p!I116)-1))&gt;VALUE(RIGHT(Protokoll_3p!I116,LEN(Protokoll_3p!I116)-FIND(":",Protokoll_3p!I116))),0,1))</f>
        <v/>
      </c>
      <c r="M110" s="1" t="str">
        <f>IF(Protokoll_3p!J116="","",IF(VALUE(LEFT(Protokoll_3p!J116,FIND(":",Protokoll_3p!J116)-1))&gt;VALUE(RIGHT(Protokoll_3p!J116,LEN(Protokoll_3p!J116)-FIND(":",Protokoll_3p!J116))),0,1))</f>
        <v/>
      </c>
      <c r="N110" s="1" t="str">
        <f t="shared" si="3"/>
        <v/>
      </c>
    </row>
    <row r="111" spans="2:14">
      <c r="B111" s="1" t="str">
        <f>IF(Protokoll_3p!F117="","",IF(VALUE(LEFT(Protokoll_3p!F117,FIND(":",Protokoll_3p!F117)-1))&gt;VALUE(RIGHT(Protokoll_3p!F117,LEN(Protokoll_3p!F117)-FIND(":",Protokoll_3p!F117))),1,0))</f>
        <v/>
      </c>
      <c r="C111" s="1" t="str">
        <f>IF(Protokoll_3p!G117="","",IF(VALUE(LEFT(Protokoll_3p!G117,FIND(":",Protokoll_3p!G117)-1))&gt;VALUE(RIGHT(Protokoll_3p!G117,LEN(Protokoll_3p!G117)-FIND(":",Protokoll_3p!G117))),1,0))</f>
        <v/>
      </c>
      <c r="D111" s="1" t="str">
        <f>IF(Protokoll_3p!H117="","",IF(VALUE(LEFT(Protokoll_3p!H117,FIND(":",Protokoll_3p!H117)-1))&gt;VALUE(RIGHT(Protokoll_3p!H117,LEN(Protokoll_3p!H117)-FIND(":",Protokoll_3p!H117))),1,0))</f>
        <v/>
      </c>
      <c r="E111" s="1" t="str">
        <f>IF(Protokoll_3p!I117="","",IF(VALUE(LEFT(Protokoll_3p!I117,FIND(":",Protokoll_3p!I117)-1))&gt;VALUE(RIGHT(Protokoll_3p!I117,LEN(Protokoll_3p!I117)-FIND(":",Protokoll_3p!I117))),1,0))</f>
        <v/>
      </c>
      <c r="F111" s="1" t="str">
        <f>IF(Protokoll_3p!J117="","",IF(VALUE(LEFT(Protokoll_3p!J117,FIND(":",Protokoll_3p!J117)-1))&gt;VALUE(RIGHT(Protokoll_3p!J117,LEN(Protokoll_3p!J117)-FIND(":",Protokoll_3p!J117))),1,0))</f>
        <v/>
      </c>
      <c r="G111" s="1" t="str">
        <f t="shared" si="2"/>
        <v/>
      </c>
      <c r="I111" s="1" t="str">
        <f>IF(Protokoll_3p!F117="","",IF(VALUE(LEFT(Protokoll_3p!F117,FIND(":",Protokoll_3p!F117)-1))&gt;VALUE(RIGHT(Protokoll_3p!F117,LEN(Protokoll_3p!F117)-FIND(":",Protokoll_3p!F117))),0,1))</f>
        <v/>
      </c>
      <c r="J111" s="1" t="str">
        <f>IF(Protokoll_3p!G117="","",IF(VALUE(LEFT(Protokoll_3p!G117,FIND(":",Protokoll_3p!G117)-1))&gt;VALUE(RIGHT(Protokoll_3p!G117,LEN(Protokoll_3p!G117)-FIND(":",Protokoll_3p!G117))),0,1))</f>
        <v/>
      </c>
      <c r="K111" s="1" t="str">
        <f>IF(Protokoll_3p!H117="","",IF(VALUE(LEFT(Protokoll_3p!H117,FIND(":",Protokoll_3p!H117)-1))&gt;VALUE(RIGHT(Protokoll_3p!H117,LEN(Protokoll_3p!H117)-FIND(":",Protokoll_3p!H117))),0,1))</f>
        <v/>
      </c>
      <c r="L111" s="1" t="str">
        <f>IF(Protokoll_3p!I117="","",IF(VALUE(LEFT(Protokoll_3p!I117,FIND(":",Protokoll_3p!I117)-1))&gt;VALUE(RIGHT(Protokoll_3p!I117,LEN(Protokoll_3p!I117)-FIND(":",Protokoll_3p!I117))),0,1))</f>
        <v/>
      </c>
      <c r="M111" s="1" t="str">
        <f>IF(Protokoll_3p!J117="","",IF(VALUE(LEFT(Protokoll_3p!J117,FIND(":",Protokoll_3p!J117)-1))&gt;VALUE(RIGHT(Protokoll_3p!J117,LEN(Protokoll_3p!J117)-FIND(":",Protokoll_3p!J117))),0,1))</f>
        <v/>
      </c>
      <c r="N111" s="1" t="str">
        <f t="shared" si="3"/>
        <v/>
      </c>
    </row>
    <row r="112" spans="2:14">
      <c r="B112" s="1" t="str">
        <f>IF(Protokoll_3p!F118="","",IF(VALUE(LEFT(Protokoll_3p!F118,FIND(":",Protokoll_3p!F118)-1))&gt;VALUE(RIGHT(Protokoll_3p!F118,LEN(Protokoll_3p!F118)-FIND(":",Protokoll_3p!F118))),1,0))</f>
        <v/>
      </c>
      <c r="C112" s="1" t="str">
        <f>IF(Protokoll_3p!G118="","",IF(VALUE(LEFT(Protokoll_3p!G118,FIND(":",Protokoll_3p!G118)-1))&gt;VALUE(RIGHT(Protokoll_3p!G118,LEN(Protokoll_3p!G118)-FIND(":",Protokoll_3p!G118))),1,0))</f>
        <v/>
      </c>
      <c r="D112" s="1" t="str">
        <f>IF(Protokoll_3p!H118="","",IF(VALUE(LEFT(Protokoll_3p!H118,FIND(":",Protokoll_3p!H118)-1))&gt;VALUE(RIGHT(Protokoll_3p!H118,LEN(Protokoll_3p!H118)-FIND(":",Protokoll_3p!H118))),1,0))</f>
        <v/>
      </c>
      <c r="E112" s="1" t="str">
        <f>IF(Protokoll_3p!I118="","",IF(VALUE(LEFT(Protokoll_3p!I118,FIND(":",Protokoll_3p!I118)-1))&gt;VALUE(RIGHT(Protokoll_3p!I118,LEN(Protokoll_3p!I118)-FIND(":",Protokoll_3p!I118))),1,0))</f>
        <v/>
      </c>
      <c r="F112" s="1" t="str">
        <f>IF(Protokoll_3p!J118="","",IF(VALUE(LEFT(Protokoll_3p!J118,FIND(":",Protokoll_3p!J118)-1))&gt;VALUE(RIGHT(Protokoll_3p!J118,LEN(Protokoll_3p!J118)-FIND(":",Protokoll_3p!J118))),1,0))</f>
        <v/>
      </c>
      <c r="G112" s="1" t="str">
        <f t="shared" si="2"/>
        <v/>
      </c>
      <c r="I112" s="1" t="str">
        <f>IF(Protokoll_3p!F118="","",IF(VALUE(LEFT(Protokoll_3p!F118,FIND(":",Protokoll_3p!F118)-1))&gt;VALUE(RIGHT(Protokoll_3p!F118,LEN(Protokoll_3p!F118)-FIND(":",Protokoll_3p!F118))),0,1))</f>
        <v/>
      </c>
      <c r="J112" s="1" t="str">
        <f>IF(Protokoll_3p!G118="","",IF(VALUE(LEFT(Protokoll_3p!G118,FIND(":",Protokoll_3p!G118)-1))&gt;VALUE(RIGHT(Protokoll_3p!G118,LEN(Protokoll_3p!G118)-FIND(":",Protokoll_3p!G118))),0,1))</f>
        <v/>
      </c>
      <c r="K112" s="1" t="str">
        <f>IF(Protokoll_3p!H118="","",IF(VALUE(LEFT(Protokoll_3p!H118,FIND(":",Protokoll_3p!H118)-1))&gt;VALUE(RIGHT(Protokoll_3p!H118,LEN(Protokoll_3p!H118)-FIND(":",Protokoll_3p!H118))),0,1))</f>
        <v/>
      </c>
      <c r="L112" s="1" t="str">
        <f>IF(Protokoll_3p!I118="","",IF(VALUE(LEFT(Protokoll_3p!I118,FIND(":",Protokoll_3p!I118)-1))&gt;VALUE(RIGHT(Protokoll_3p!I118,LEN(Protokoll_3p!I118)-FIND(":",Protokoll_3p!I118))),0,1))</f>
        <v/>
      </c>
      <c r="M112" s="1" t="str">
        <f>IF(Protokoll_3p!J118="","",IF(VALUE(LEFT(Protokoll_3p!J118,FIND(":",Protokoll_3p!J118)-1))&gt;VALUE(RIGHT(Protokoll_3p!J118,LEN(Protokoll_3p!J118)-FIND(":",Protokoll_3p!J118))),0,1))</f>
        <v/>
      </c>
      <c r="N112" s="1" t="str">
        <f t="shared" si="3"/>
        <v/>
      </c>
    </row>
    <row r="113" spans="2:14">
      <c r="B113" s="1" t="str">
        <f>IF(Protokoll_3p!F119="","",IF(VALUE(LEFT(Protokoll_3p!F119,FIND(":",Protokoll_3p!F119)-1))&gt;VALUE(RIGHT(Protokoll_3p!F119,LEN(Protokoll_3p!F119)-FIND(":",Protokoll_3p!F119))),1,0))</f>
        <v/>
      </c>
      <c r="C113" s="1" t="str">
        <f>IF(Protokoll_3p!G119="","",IF(VALUE(LEFT(Protokoll_3p!G119,FIND(":",Protokoll_3p!G119)-1))&gt;VALUE(RIGHT(Protokoll_3p!G119,LEN(Protokoll_3p!G119)-FIND(":",Protokoll_3p!G119))),1,0))</f>
        <v/>
      </c>
      <c r="D113" s="1" t="str">
        <f>IF(Protokoll_3p!H119="","",IF(VALUE(LEFT(Protokoll_3p!H119,FIND(":",Protokoll_3p!H119)-1))&gt;VALUE(RIGHT(Protokoll_3p!H119,LEN(Protokoll_3p!H119)-FIND(":",Protokoll_3p!H119))),1,0))</f>
        <v/>
      </c>
      <c r="E113" s="1" t="str">
        <f>IF(Protokoll_3p!I119="","",IF(VALUE(LEFT(Protokoll_3p!I119,FIND(":",Protokoll_3p!I119)-1))&gt;VALUE(RIGHT(Protokoll_3p!I119,LEN(Protokoll_3p!I119)-FIND(":",Protokoll_3p!I119))),1,0))</f>
        <v/>
      </c>
      <c r="F113" s="1" t="str">
        <f>IF(Protokoll_3p!J119="","",IF(VALUE(LEFT(Protokoll_3p!J119,FIND(":",Protokoll_3p!J119)-1))&gt;VALUE(RIGHT(Protokoll_3p!J119,LEN(Protokoll_3p!J119)-FIND(":",Protokoll_3p!J119))),1,0))</f>
        <v/>
      </c>
      <c r="G113" s="1" t="str">
        <f t="shared" si="2"/>
        <v/>
      </c>
      <c r="I113" s="1" t="str">
        <f>IF(Protokoll_3p!F119="","",IF(VALUE(LEFT(Protokoll_3p!F119,FIND(":",Protokoll_3p!F119)-1))&gt;VALUE(RIGHT(Protokoll_3p!F119,LEN(Protokoll_3p!F119)-FIND(":",Protokoll_3p!F119))),0,1))</f>
        <v/>
      </c>
      <c r="J113" s="1" t="str">
        <f>IF(Protokoll_3p!G119="","",IF(VALUE(LEFT(Protokoll_3p!G119,FIND(":",Protokoll_3p!G119)-1))&gt;VALUE(RIGHT(Protokoll_3p!G119,LEN(Protokoll_3p!G119)-FIND(":",Protokoll_3p!G119))),0,1))</f>
        <v/>
      </c>
      <c r="K113" s="1" t="str">
        <f>IF(Protokoll_3p!H119="","",IF(VALUE(LEFT(Protokoll_3p!H119,FIND(":",Protokoll_3p!H119)-1))&gt;VALUE(RIGHT(Protokoll_3p!H119,LEN(Protokoll_3p!H119)-FIND(":",Protokoll_3p!H119))),0,1))</f>
        <v/>
      </c>
      <c r="L113" s="1" t="str">
        <f>IF(Protokoll_3p!I119="","",IF(VALUE(LEFT(Protokoll_3p!I119,FIND(":",Protokoll_3p!I119)-1))&gt;VALUE(RIGHT(Protokoll_3p!I119,LEN(Protokoll_3p!I119)-FIND(":",Protokoll_3p!I119))),0,1))</f>
        <v/>
      </c>
      <c r="M113" s="1" t="str">
        <f>IF(Protokoll_3p!J119="","",IF(VALUE(LEFT(Protokoll_3p!J119,FIND(":",Protokoll_3p!J119)-1))&gt;VALUE(RIGHT(Protokoll_3p!J119,LEN(Protokoll_3p!J119)-FIND(":",Protokoll_3p!J119))),0,1))</f>
        <v/>
      </c>
      <c r="N113" s="1" t="str">
        <f t="shared" si="3"/>
        <v/>
      </c>
    </row>
    <row r="114" spans="2:14">
      <c r="B114" s="1" t="str">
        <f>IF(Protokoll_3p!F120="","",IF(VALUE(LEFT(Protokoll_3p!F120,FIND(":",Protokoll_3p!F120)-1))&gt;VALUE(RIGHT(Protokoll_3p!F120,LEN(Protokoll_3p!F120)-FIND(":",Protokoll_3p!F120))),1,0))</f>
        <v/>
      </c>
      <c r="C114" s="1" t="str">
        <f>IF(Protokoll_3p!G120="","",IF(VALUE(LEFT(Protokoll_3p!G120,FIND(":",Protokoll_3p!G120)-1))&gt;VALUE(RIGHT(Protokoll_3p!G120,LEN(Protokoll_3p!G120)-FIND(":",Protokoll_3p!G120))),1,0))</f>
        <v/>
      </c>
      <c r="D114" s="1" t="str">
        <f>IF(Protokoll_3p!H120="","",IF(VALUE(LEFT(Protokoll_3p!H120,FIND(":",Protokoll_3p!H120)-1))&gt;VALUE(RIGHT(Protokoll_3p!H120,LEN(Protokoll_3p!H120)-FIND(":",Protokoll_3p!H120))),1,0))</f>
        <v/>
      </c>
      <c r="E114" s="1" t="str">
        <f>IF(Protokoll_3p!I120="","",IF(VALUE(LEFT(Protokoll_3p!I120,FIND(":",Protokoll_3p!I120)-1))&gt;VALUE(RIGHT(Protokoll_3p!I120,LEN(Protokoll_3p!I120)-FIND(":",Protokoll_3p!I120))),1,0))</f>
        <v/>
      </c>
      <c r="F114" s="1" t="str">
        <f>IF(Protokoll_3p!J120="","",IF(VALUE(LEFT(Protokoll_3p!J120,FIND(":",Protokoll_3p!J120)-1))&gt;VALUE(RIGHT(Protokoll_3p!J120,LEN(Protokoll_3p!J120)-FIND(":",Protokoll_3p!J120))),1,0))</f>
        <v/>
      </c>
      <c r="G114" s="1" t="str">
        <f t="shared" si="2"/>
        <v/>
      </c>
      <c r="I114" s="1" t="str">
        <f>IF(Protokoll_3p!F120="","",IF(VALUE(LEFT(Protokoll_3p!F120,FIND(":",Protokoll_3p!F120)-1))&gt;VALUE(RIGHT(Protokoll_3p!F120,LEN(Protokoll_3p!F120)-FIND(":",Protokoll_3p!F120))),0,1))</f>
        <v/>
      </c>
      <c r="J114" s="1" t="str">
        <f>IF(Protokoll_3p!G120="","",IF(VALUE(LEFT(Protokoll_3p!G120,FIND(":",Protokoll_3p!G120)-1))&gt;VALUE(RIGHT(Protokoll_3p!G120,LEN(Protokoll_3p!G120)-FIND(":",Protokoll_3p!G120))),0,1))</f>
        <v/>
      </c>
      <c r="K114" s="1" t="str">
        <f>IF(Protokoll_3p!H120="","",IF(VALUE(LEFT(Protokoll_3p!H120,FIND(":",Protokoll_3p!H120)-1))&gt;VALUE(RIGHT(Protokoll_3p!H120,LEN(Protokoll_3p!H120)-FIND(":",Protokoll_3p!H120))),0,1))</f>
        <v/>
      </c>
      <c r="L114" s="1" t="str">
        <f>IF(Protokoll_3p!I120="","",IF(VALUE(LEFT(Protokoll_3p!I120,FIND(":",Protokoll_3p!I120)-1))&gt;VALUE(RIGHT(Protokoll_3p!I120,LEN(Protokoll_3p!I120)-FIND(":",Protokoll_3p!I120))),0,1))</f>
        <v/>
      </c>
      <c r="M114" s="1" t="str">
        <f>IF(Protokoll_3p!J120="","",IF(VALUE(LEFT(Protokoll_3p!J120,FIND(":",Protokoll_3p!J120)-1))&gt;VALUE(RIGHT(Protokoll_3p!J120,LEN(Protokoll_3p!J120)-FIND(":",Protokoll_3p!J120))),0,1))</f>
        <v/>
      </c>
      <c r="N114" s="1" t="str">
        <f t="shared" si="3"/>
        <v/>
      </c>
    </row>
    <row r="115" spans="2:14">
      <c r="B115" s="1" t="str">
        <f>IF(Protokoll_3p!F121="","",IF(VALUE(LEFT(Protokoll_3p!F121,FIND(":",Protokoll_3p!F121)-1))&gt;VALUE(RIGHT(Protokoll_3p!F121,LEN(Protokoll_3p!F121)-FIND(":",Protokoll_3p!F121))),1,0))</f>
        <v/>
      </c>
      <c r="C115" s="1" t="str">
        <f>IF(Protokoll_3p!G121="","",IF(VALUE(LEFT(Protokoll_3p!G121,FIND(":",Protokoll_3p!G121)-1))&gt;VALUE(RIGHT(Protokoll_3p!G121,LEN(Protokoll_3p!G121)-FIND(":",Protokoll_3p!G121))),1,0))</f>
        <v/>
      </c>
      <c r="D115" s="1" t="str">
        <f>IF(Protokoll_3p!H121="","",IF(VALUE(LEFT(Protokoll_3p!H121,FIND(":",Protokoll_3p!H121)-1))&gt;VALUE(RIGHT(Protokoll_3p!H121,LEN(Protokoll_3p!H121)-FIND(":",Protokoll_3p!H121))),1,0))</f>
        <v/>
      </c>
      <c r="E115" s="1" t="str">
        <f>IF(Protokoll_3p!I121="","",IF(VALUE(LEFT(Protokoll_3p!I121,FIND(":",Protokoll_3p!I121)-1))&gt;VALUE(RIGHT(Protokoll_3p!I121,LEN(Protokoll_3p!I121)-FIND(":",Protokoll_3p!I121))),1,0))</f>
        <v/>
      </c>
      <c r="F115" s="1" t="str">
        <f>IF(Protokoll_3p!J121="","",IF(VALUE(LEFT(Protokoll_3p!J121,FIND(":",Protokoll_3p!J121)-1))&gt;VALUE(RIGHT(Protokoll_3p!J121,LEN(Protokoll_3p!J121)-FIND(":",Protokoll_3p!J121))),1,0))</f>
        <v/>
      </c>
      <c r="G115" s="1" t="str">
        <f t="shared" si="2"/>
        <v/>
      </c>
      <c r="I115" s="1" t="str">
        <f>IF(Protokoll_3p!F121="","",IF(VALUE(LEFT(Protokoll_3p!F121,FIND(":",Protokoll_3p!F121)-1))&gt;VALUE(RIGHT(Protokoll_3p!F121,LEN(Protokoll_3p!F121)-FIND(":",Protokoll_3p!F121))),0,1))</f>
        <v/>
      </c>
      <c r="J115" s="1" t="str">
        <f>IF(Protokoll_3p!G121="","",IF(VALUE(LEFT(Protokoll_3p!G121,FIND(":",Protokoll_3p!G121)-1))&gt;VALUE(RIGHT(Protokoll_3p!G121,LEN(Protokoll_3p!G121)-FIND(":",Protokoll_3p!G121))),0,1))</f>
        <v/>
      </c>
      <c r="K115" s="1" t="str">
        <f>IF(Protokoll_3p!H121="","",IF(VALUE(LEFT(Protokoll_3p!H121,FIND(":",Protokoll_3p!H121)-1))&gt;VALUE(RIGHT(Protokoll_3p!H121,LEN(Protokoll_3p!H121)-FIND(":",Protokoll_3p!H121))),0,1))</f>
        <v/>
      </c>
      <c r="L115" s="1" t="str">
        <f>IF(Protokoll_3p!I121="","",IF(VALUE(LEFT(Protokoll_3p!I121,FIND(":",Protokoll_3p!I121)-1))&gt;VALUE(RIGHT(Protokoll_3p!I121,LEN(Protokoll_3p!I121)-FIND(":",Protokoll_3p!I121))),0,1))</f>
        <v/>
      </c>
      <c r="M115" s="1" t="str">
        <f>IF(Protokoll_3p!J121="","",IF(VALUE(LEFT(Protokoll_3p!J121,FIND(":",Protokoll_3p!J121)-1))&gt;VALUE(RIGHT(Protokoll_3p!J121,LEN(Protokoll_3p!J121)-FIND(":",Protokoll_3p!J121))),0,1))</f>
        <v/>
      </c>
      <c r="N115" s="1" t="str">
        <f t="shared" si="3"/>
        <v/>
      </c>
    </row>
    <row r="116" spans="2:14">
      <c r="B116" s="1" t="str">
        <f>IF(Protokoll_3p!F122="","",IF(VALUE(LEFT(Protokoll_3p!F122,FIND(":",Protokoll_3p!F122)-1))&gt;VALUE(RIGHT(Protokoll_3p!F122,LEN(Protokoll_3p!F122)-FIND(":",Protokoll_3p!F122))),1,0))</f>
        <v/>
      </c>
      <c r="C116" s="1" t="str">
        <f>IF(Protokoll_3p!G122="","",IF(VALUE(LEFT(Protokoll_3p!G122,FIND(":",Protokoll_3p!G122)-1))&gt;VALUE(RIGHT(Protokoll_3p!G122,LEN(Protokoll_3p!G122)-FIND(":",Protokoll_3p!G122))),1,0))</f>
        <v/>
      </c>
      <c r="D116" s="1" t="str">
        <f>IF(Protokoll_3p!H122="","",IF(VALUE(LEFT(Protokoll_3p!H122,FIND(":",Protokoll_3p!H122)-1))&gt;VALUE(RIGHT(Protokoll_3p!H122,LEN(Protokoll_3p!H122)-FIND(":",Protokoll_3p!H122))),1,0))</f>
        <v/>
      </c>
      <c r="E116" s="1" t="str">
        <f>IF(Protokoll_3p!I122="","",IF(VALUE(LEFT(Protokoll_3p!I122,FIND(":",Protokoll_3p!I122)-1))&gt;VALUE(RIGHT(Protokoll_3p!I122,LEN(Protokoll_3p!I122)-FIND(":",Protokoll_3p!I122))),1,0))</f>
        <v/>
      </c>
      <c r="F116" s="1" t="str">
        <f>IF(Protokoll_3p!J122="","",IF(VALUE(LEFT(Protokoll_3p!J122,FIND(":",Protokoll_3p!J122)-1))&gt;VALUE(RIGHT(Protokoll_3p!J122,LEN(Protokoll_3p!J122)-FIND(":",Protokoll_3p!J122))),1,0))</f>
        <v/>
      </c>
      <c r="G116" s="1" t="str">
        <f t="shared" si="2"/>
        <v/>
      </c>
      <c r="I116" s="1" t="str">
        <f>IF(Protokoll_3p!F122="","",IF(VALUE(LEFT(Protokoll_3p!F122,FIND(":",Protokoll_3p!F122)-1))&gt;VALUE(RIGHT(Protokoll_3p!F122,LEN(Protokoll_3p!F122)-FIND(":",Protokoll_3p!F122))),0,1))</f>
        <v/>
      </c>
      <c r="J116" s="1" t="str">
        <f>IF(Protokoll_3p!G122="","",IF(VALUE(LEFT(Protokoll_3p!G122,FIND(":",Protokoll_3p!G122)-1))&gt;VALUE(RIGHT(Protokoll_3p!G122,LEN(Protokoll_3p!G122)-FIND(":",Protokoll_3p!G122))),0,1))</f>
        <v/>
      </c>
      <c r="K116" s="1" t="str">
        <f>IF(Protokoll_3p!H122="","",IF(VALUE(LEFT(Protokoll_3p!H122,FIND(":",Protokoll_3p!H122)-1))&gt;VALUE(RIGHT(Protokoll_3p!H122,LEN(Protokoll_3p!H122)-FIND(":",Protokoll_3p!H122))),0,1))</f>
        <v/>
      </c>
      <c r="L116" s="1" t="str">
        <f>IF(Protokoll_3p!I122="","",IF(VALUE(LEFT(Protokoll_3p!I122,FIND(":",Protokoll_3p!I122)-1))&gt;VALUE(RIGHT(Protokoll_3p!I122,LEN(Protokoll_3p!I122)-FIND(":",Protokoll_3p!I122))),0,1))</f>
        <v/>
      </c>
      <c r="M116" s="1" t="str">
        <f>IF(Protokoll_3p!J122="","",IF(VALUE(LEFT(Protokoll_3p!J122,FIND(":",Protokoll_3p!J122)-1))&gt;VALUE(RIGHT(Protokoll_3p!J122,LEN(Protokoll_3p!J122)-FIND(":",Protokoll_3p!J122))),0,1))</f>
        <v/>
      </c>
      <c r="N116" s="1" t="str">
        <f t="shared" si="3"/>
        <v/>
      </c>
    </row>
    <row r="117" spans="2:14">
      <c r="B117" s="1" t="str">
        <f>IF(Protokoll_3p!F123="","",IF(VALUE(LEFT(Protokoll_3p!F123,FIND(":",Protokoll_3p!F123)-1))&gt;VALUE(RIGHT(Protokoll_3p!F123,LEN(Protokoll_3p!F123)-FIND(":",Protokoll_3p!F123))),1,0))</f>
        <v/>
      </c>
      <c r="C117" s="1" t="str">
        <f>IF(Protokoll_3p!G123="","",IF(VALUE(LEFT(Protokoll_3p!G123,FIND(":",Protokoll_3p!G123)-1))&gt;VALUE(RIGHT(Protokoll_3p!G123,LEN(Protokoll_3p!G123)-FIND(":",Protokoll_3p!G123))),1,0))</f>
        <v/>
      </c>
      <c r="D117" s="1" t="str">
        <f>IF(Protokoll_3p!H123="","",IF(VALUE(LEFT(Protokoll_3p!H123,FIND(":",Protokoll_3p!H123)-1))&gt;VALUE(RIGHT(Protokoll_3p!H123,LEN(Protokoll_3p!H123)-FIND(":",Protokoll_3p!H123))),1,0))</f>
        <v/>
      </c>
      <c r="E117" s="1" t="str">
        <f>IF(Protokoll_3p!I123="","",IF(VALUE(LEFT(Protokoll_3p!I123,FIND(":",Protokoll_3p!I123)-1))&gt;VALUE(RIGHT(Protokoll_3p!I123,LEN(Protokoll_3p!I123)-FIND(":",Protokoll_3p!I123))),1,0))</f>
        <v/>
      </c>
      <c r="F117" s="1" t="str">
        <f>IF(Protokoll_3p!J123="","",IF(VALUE(LEFT(Protokoll_3p!J123,FIND(":",Protokoll_3p!J123)-1))&gt;VALUE(RIGHT(Protokoll_3p!J123,LEN(Protokoll_3p!J123)-FIND(":",Protokoll_3p!J123))),1,0))</f>
        <v/>
      </c>
      <c r="G117" s="1" t="str">
        <f t="shared" si="2"/>
        <v/>
      </c>
      <c r="I117" s="1" t="str">
        <f>IF(Protokoll_3p!F123="","",IF(VALUE(LEFT(Protokoll_3p!F123,FIND(":",Protokoll_3p!F123)-1))&gt;VALUE(RIGHT(Protokoll_3p!F123,LEN(Protokoll_3p!F123)-FIND(":",Protokoll_3p!F123))),0,1))</f>
        <v/>
      </c>
      <c r="J117" s="1" t="str">
        <f>IF(Protokoll_3p!G123="","",IF(VALUE(LEFT(Protokoll_3p!G123,FIND(":",Protokoll_3p!G123)-1))&gt;VALUE(RIGHT(Protokoll_3p!G123,LEN(Protokoll_3p!G123)-FIND(":",Protokoll_3p!G123))),0,1))</f>
        <v/>
      </c>
      <c r="K117" s="1" t="str">
        <f>IF(Protokoll_3p!H123="","",IF(VALUE(LEFT(Protokoll_3p!H123,FIND(":",Protokoll_3p!H123)-1))&gt;VALUE(RIGHT(Protokoll_3p!H123,LEN(Protokoll_3p!H123)-FIND(":",Protokoll_3p!H123))),0,1))</f>
        <v/>
      </c>
      <c r="L117" s="1" t="str">
        <f>IF(Protokoll_3p!I123="","",IF(VALUE(LEFT(Protokoll_3p!I123,FIND(":",Protokoll_3p!I123)-1))&gt;VALUE(RIGHT(Protokoll_3p!I123,LEN(Protokoll_3p!I123)-FIND(":",Protokoll_3p!I123))),0,1))</f>
        <v/>
      </c>
      <c r="M117" s="1" t="str">
        <f>IF(Protokoll_3p!J123="","",IF(VALUE(LEFT(Protokoll_3p!J123,FIND(":",Protokoll_3p!J123)-1))&gt;VALUE(RIGHT(Protokoll_3p!J123,LEN(Protokoll_3p!J123)-FIND(":",Protokoll_3p!J123))),0,1))</f>
        <v/>
      </c>
      <c r="N117" s="1" t="str">
        <f t="shared" si="3"/>
        <v/>
      </c>
    </row>
    <row r="118" spans="2:14">
      <c r="B118" s="1" t="str">
        <f>IF(Protokoll_3p!F124="","",IF(VALUE(LEFT(Protokoll_3p!F124,FIND(":",Protokoll_3p!F124)-1))&gt;VALUE(RIGHT(Protokoll_3p!F124,LEN(Protokoll_3p!F124)-FIND(":",Protokoll_3p!F124))),1,0))</f>
        <v/>
      </c>
      <c r="C118" s="1" t="str">
        <f>IF(Protokoll_3p!G124="","",IF(VALUE(LEFT(Protokoll_3p!G124,FIND(":",Protokoll_3p!G124)-1))&gt;VALUE(RIGHT(Protokoll_3p!G124,LEN(Protokoll_3p!G124)-FIND(":",Protokoll_3p!G124))),1,0))</f>
        <v/>
      </c>
      <c r="D118" s="1" t="str">
        <f>IF(Protokoll_3p!H124="","",IF(VALUE(LEFT(Protokoll_3p!H124,FIND(":",Protokoll_3p!H124)-1))&gt;VALUE(RIGHT(Protokoll_3p!H124,LEN(Protokoll_3p!H124)-FIND(":",Protokoll_3p!H124))),1,0))</f>
        <v/>
      </c>
      <c r="E118" s="1" t="str">
        <f>IF(Protokoll_3p!I124="","",IF(VALUE(LEFT(Protokoll_3p!I124,FIND(":",Protokoll_3p!I124)-1))&gt;VALUE(RIGHT(Protokoll_3p!I124,LEN(Protokoll_3p!I124)-FIND(":",Protokoll_3p!I124))),1,0))</f>
        <v/>
      </c>
      <c r="F118" s="1" t="str">
        <f>IF(Protokoll_3p!J124="","",IF(VALUE(LEFT(Protokoll_3p!J124,FIND(":",Protokoll_3p!J124)-1))&gt;VALUE(RIGHT(Protokoll_3p!J124,LEN(Protokoll_3p!J124)-FIND(":",Protokoll_3p!J124))),1,0))</f>
        <v/>
      </c>
      <c r="G118" s="1" t="str">
        <f t="shared" si="2"/>
        <v/>
      </c>
      <c r="I118" s="1" t="str">
        <f>IF(Protokoll_3p!F124="","",IF(VALUE(LEFT(Protokoll_3p!F124,FIND(":",Protokoll_3p!F124)-1))&gt;VALUE(RIGHT(Protokoll_3p!F124,LEN(Protokoll_3p!F124)-FIND(":",Protokoll_3p!F124))),0,1))</f>
        <v/>
      </c>
      <c r="J118" s="1" t="str">
        <f>IF(Protokoll_3p!G124="","",IF(VALUE(LEFT(Protokoll_3p!G124,FIND(":",Protokoll_3p!G124)-1))&gt;VALUE(RIGHT(Protokoll_3p!G124,LEN(Protokoll_3p!G124)-FIND(":",Protokoll_3p!G124))),0,1))</f>
        <v/>
      </c>
      <c r="K118" s="1" t="str">
        <f>IF(Protokoll_3p!H124="","",IF(VALUE(LEFT(Protokoll_3p!H124,FIND(":",Protokoll_3p!H124)-1))&gt;VALUE(RIGHT(Protokoll_3p!H124,LEN(Protokoll_3p!H124)-FIND(":",Protokoll_3p!H124))),0,1))</f>
        <v/>
      </c>
      <c r="L118" s="1" t="str">
        <f>IF(Protokoll_3p!I124="","",IF(VALUE(LEFT(Protokoll_3p!I124,FIND(":",Protokoll_3p!I124)-1))&gt;VALUE(RIGHT(Protokoll_3p!I124,LEN(Protokoll_3p!I124)-FIND(":",Protokoll_3p!I124))),0,1))</f>
        <v/>
      </c>
      <c r="M118" s="1" t="str">
        <f>IF(Protokoll_3p!J124="","",IF(VALUE(LEFT(Protokoll_3p!J124,FIND(":",Protokoll_3p!J124)-1))&gt;VALUE(RIGHT(Protokoll_3p!J124,LEN(Protokoll_3p!J124)-FIND(":",Protokoll_3p!J124))),0,1))</f>
        <v/>
      </c>
      <c r="N118" s="1" t="str">
        <f t="shared" si="3"/>
        <v/>
      </c>
    </row>
    <row r="119" spans="2:14">
      <c r="B119" s="1" t="str">
        <f>IF(Protokoll_3p!F125="","",IF(VALUE(LEFT(Protokoll_3p!F125,FIND(":",Protokoll_3p!F125)-1))&gt;VALUE(RIGHT(Protokoll_3p!F125,LEN(Protokoll_3p!F125)-FIND(":",Protokoll_3p!F125))),1,0))</f>
        <v/>
      </c>
      <c r="C119" s="1" t="str">
        <f>IF(Protokoll_3p!G125="","",IF(VALUE(LEFT(Protokoll_3p!G125,FIND(":",Protokoll_3p!G125)-1))&gt;VALUE(RIGHT(Protokoll_3p!G125,LEN(Protokoll_3p!G125)-FIND(":",Protokoll_3p!G125))),1,0))</f>
        <v/>
      </c>
      <c r="D119" s="1" t="str">
        <f>IF(Protokoll_3p!H125="","",IF(VALUE(LEFT(Protokoll_3p!H125,FIND(":",Protokoll_3p!H125)-1))&gt;VALUE(RIGHT(Protokoll_3p!H125,LEN(Protokoll_3p!H125)-FIND(":",Protokoll_3p!H125))),1,0))</f>
        <v/>
      </c>
      <c r="E119" s="1" t="str">
        <f>IF(Protokoll_3p!I125="","",IF(VALUE(LEFT(Protokoll_3p!I125,FIND(":",Protokoll_3p!I125)-1))&gt;VALUE(RIGHT(Protokoll_3p!I125,LEN(Protokoll_3p!I125)-FIND(":",Protokoll_3p!I125))),1,0))</f>
        <v/>
      </c>
      <c r="F119" s="1" t="str">
        <f>IF(Protokoll_3p!J125="","",IF(VALUE(LEFT(Protokoll_3p!J125,FIND(":",Protokoll_3p!J125)-1))&gt;VALUE(RIGHT(Protokoll_3p!J125,LEN(Protokoll_3p!J125)-FIND(":",Protokoll_3p!J125))),1,0))</f>
        <v/>
      </c>
      <c r="G119" s="1" t="str">
        <f t="shared" si="2"/>
        <v/>
      </c>
      <c r="I119" s="1" t="str">
        <f>IF(Protokoll_3p!F125="","",IF(VALUE(LEFT(Protokoll_3p!F125,FIND(":",Protokoll_3p!F125)-1))&gt;VALUE(RIGHT(Protokoll_3p!F125,LEN(Protokoll_3p!F125)-FIND(":",Protokoll_3p!F125))),0,1))</f>
        <v/>
      </c>
      <c r="J119" s="1" t="str">
        <f>IF(Protokoll_3p!G125="","",IF(VALUE(LEFT(Protokoll_3p!G125,FIND(":",Protokoll_3p!G125)-1))&gt;VALUE(RIGHT(Protokoll_3p!G125,LEN(Protokoll_3p!G125)-FIND(":",Protokoll_3p!G125))),0,1))</f>
        <v/>
      </c>
      <c r="K119" s="1" t="str">
        <f>IF(Protokoll_3p!H125="","",IF(VALUE(LEFT(Protokoll_3p!H125,FIND(":",Protokoll_3p!H125)-1))&gt;VALUE(RIGHT(Protokoll_3p!H125,LEN(Protokoll_3p!H125)-FIND(":",Protokoll_3p!H125))),0,1))</f>
        <v/>
      </c>
      <c r="L119" s="1" t="str">
        <f>IF(Protokoll_3p!I125="","",IF(VALUE(LEFT(Protokoll_3p!I125,FIND(":",Protokoll_3p!I125)-1))&gt;VALUE(RIGHT(Protokoll_3p!I125,LEN(Protokoll_3p!I125)-FIND(":",Protokoll_3p!I125))),0,1))</f>
        <v/>
      </c>
      <c r="M119" s="1" t="str">
        <f>IF(Protokoll_3p!J125="","",IF(VALUE(LEFT(Protokoll_3p!J125,FIND(":",Protokoll_3p!J125)-1))&gt;VALUE(RIGHT(Protokoll_3p!J125,LEN(Protokoll_3p!J125)-FIND(":",Protokoll_3p!J125))),0,1))</f>
        <v/>
      </c>
      <c r="N119" s="1" t="str">
        <f t="shared" si="3"/>
        <v/>
      </c>
    </row>
    <row r="120" spans="2:14">
      <c r="B120" s="1" t="str">
        <f>IF(Protokoll_3p!F126="","",IF(VALUE(LEFT(Protokoll_3p!F126,FIND(":",Protokoll_3p!F126)-1))&gt;VALUE(RIGHT(Protokoll_3p!F126,LEN(Protokoll_3p!F126)-FIND(":",Protokoll_3p!F126))),1,0))</f>
        <v/>
      </c>
      <c r="C120" s="1" t="str">
        <f>IF(Protokoll_3p!G126="","",IF(VALUE(LEFT(Protokoll_3p!G126,FIND(":",Protokoll_3p!G126)-1))&gt;VALUE(RIGHT(Protokoll_3p!G126,LEN(Protokoll_3p!G126)-FIND(":",Protokoll_3p!G126))),1,0))</f>
        <v/>
      </c>
      <c r="D120" s="1" t="str">
        <f>IF(Protokoll_3p!H126="","",IF(VALUE(LEFT(Protokoll_3p!H126,FIND(":",Protokoll_3p!H126)-1))&gt;VALUE(RIGHT(Protokoll_3p!H126,LEN(Protokoll_3p!H126)-FIND(":",Protokoll_3p!H126))),1,0))</f>
        <v/>
      </c>
      <c r="E120" s="1" t="str">
        <f>IF(Protokoll_3p!I126="","",IF(VALUE(LEFT(Protokoll_3p!I126,FIND(":",Protokoll_3p!I126)-1))&gt;VALUE(RIGHT(Protokoll_3p!I126,LEN(Protokoll_3p!I126)-FIND(":",Protokoll_3p!I126))),1,0))</f>
        <v/>
      </c>
      <c r="F120" s="1" t="str">
        <f>IF(Protokoll_3p!J126="","",IF(VALUE(LEFT(Protokoll_3p!J126,FIND(":",Protokoll_3p!J126)-1))&gt;VALUE(RIGHT(Protokoll_3p!J126,LEN(Protokoll_3p!J126)-FIND(":",Protokoll_3p!J126))),1,0))</f>
        <v/>
      </c>
      <c r="G120" s="1" t="str">
        <f t="shared" si="2"/>
        <v/>
      </c>
      <c r="I120" s="1" t="str">
        <f>IF(Protokoll_3p!F126="","",IF(VALUE(LEFT(Protokoll_3p!F126,FIND(":",Protokoll_3p!F126)-1))&gt;VALUE(RIGHT(Protokoll_3p!F126,LEN(Protokoll_3p!F126)-FIND(":",Protokoll_3p!F126))),0,1))</f>
        <v/>
      </c>
      <c r="J120" s="1" t="str">
        <f>IF(Protokoll_3p!G126="","",IF(VALUE(LEFT(Protokoll_3p!G126,FIND(":",Protokoll_3p!G126)-1))&gt;VALUE(RIGHT(Protokoll_3p!G126,LEN(Protokoll_3p!G126)-FIND(":",Protokoll_3p!G126))),0,1))</f>
        <v/>
      </c>
      <c r="K120" s="1" t="str">
        <f>IF(Protokoll_3p!H126="","",IF(VALUE(LEFT(Protokoll_3p!H126,FIND(":",Protokoll_3p!H126)-1))&gt;VALUE(RIGHT(Protokoll_3p!H126,LEN(Protokoll_3p!H126)-FIND(":",Protokoll_3p!H126))),0,1))</f>
        <v/>
      </c>
      <c r="L120" s="1" t="str">
        <f>IF(Protokoll_3p!I126="","",IF(VALUE(LEFT(Protokoll_3p!I126,FIND(":",Protokoll_3p!I126)-1))&gt;VALUE(RIGHT(Protokoll_3p!I126,LEN(Protokoll_3p!I126)-FIND(":",Protokoll_3p!I126))),0,1))</f>
        <v/>
      </c>
      <c r="M120" s="1" t="str">
        <f>IF(Protokoll_3p!J126="","",IF(VALUE(LEFT(Protokoll_3p!J126,FIND(":",Protokoll_3p!J126)-1))&gt;VALUE(RIGHT(Protokoll_3p!J126,LEN(Protokoll_3p!J126)-FIND(":",Protokoll_3p!J126))),0,1))</f>
        <v/>
      </c>
      <c r="N120" s="1" t="str">
        <f t="shared" si="3"/>
        <v/>
      </c>
    </row>
    <row r="121" spans="2:14">
      <c r="B121" s="1" t="e">
        <f>IF(Protokoll_3p!#REF!="","",IF(VALUE(LEFT(Protokoll_3p!#REF!,FIND(":",Protokoll_3p!#REF!)-1))&gt;VALUE(RIGHT(Protokoll_3p!#REF!,LEN(Protokoll_3p!#REF!)-FIND(":",Protokoll_3p!#REF!))),1,0))</f>
        <v>#REF!</v>
      </c>
      <c r="C121" s="1" t="e">
        <f>IF(Protokoll_3p!#REF!="","",IF(VALUE(LEFT(Protokoll_3p!#REF!,FIND(":",Protokoll_3p!#REF!)-1))&gt;VALUE(RIGHT(Protokoll_3p!#REF!,LEN(Protokoll_3p!#REF!)-FIND(":",Protokoll_3p!#REF!))),1,0))</f>
        <v>#REF!</v>
      </c>
      <c r="D121" s="1" t="e">
        <f>IF(Protokoll_3p!#REF!="","",IF(VALUE(LEFT(Protokoll_3p!#REF!,FIND(":",Protokoll_3p!#REF!)-1))&gt;VALUE(RIGHT(Protokoll_3p!#REF!,LEN(Protokoll_3p!#REF!)-FIND(":",Protokoll_3p!#REF!))),1,0))</f>
        <v>#REF!</v>
      </c>
      <c r="E121" s="1" t="e">
        <f>IF(Protokoll_3p!#REF!="","",IF(VALUE(LEFT(Protokoll_3p!#REF!,FIND(":",Protokoll_3p!#REF!)-1))&gt;VALUE(RIGHT(Protokoll_3p!#REF!,LEN(Protokoll_3p!#REF!)-FIND(":",Protokoll_3p!#REF!))),1,0))</f>
        <v>#REF!</v>
      </c>
      <c r="F121" s="1" t="e">
        <f>IF(Protokoll_3p!#REF!="","",IF(VALUE(LEFT(Protokoll_3p!#REF!,FIND(":",Protokoll_3p!#REF!)-1))&gt;VALUE(RIGHT(Protokoll_3p!#REF!,LEN(Protokoll_3p!#REF!)-FIND(":",Protokoll_3p!#REF!))),1,0))</f>
        <v>#REF!</v>
      </c>
      <c r="G121" s="1" t="e">
        <f t="shared" si="2"/>
        <v>#REF!</v>
      </c>
      <c r="I121" s="1" t="e">
        <f>IF(Protokoll_3p!#REF!="","",IF(VALUE(LEFT(Protokoll_3p!#REF!,FIND(":",Protokoll_3p!#REF!)-1))&gt;VALUE(RIGHT(Protokoll_3p!#REF!,LEN(Protokoll_3p!#REF!)-FIND(":",Protokoll_3p!#REF!))),0,1))</f>
        <v>#REF!</v>
      </c>
      <c r="J121" s="1" t="e">
        <f>IF(Protokoll_3p!#REF!="","",IF(VALUE(LEFT(Protokoll_3p!#REF!,FIND(":",Protokoll_3p!#REF!)-1))&gt;VALUE(RIGHT(Protokoll_3p!#REF!,LEN(Protokoll_3p!#REF!)-FIND(":",Protokoll_3p!#REF!))),0,1))</f>
        <v>#REF!</v>
      </c>
      <c r="K121" s="1" t="e">
        <f>IF(Protokoll_3p!#REF!="","",IF(VALUE(LEFT(Protokoll_3p!#REF!,FIND(":",Protokoll_3p!#REF!)-1))&gt;VALUE(RIGHT(Protokoll_3p!#REF!,LEN(Protokoll_3p!#REF!)-FIND(":",Protokoll_3p!#REF!))),0,1))</f>
        <v>#REF!</v>
      </c>
      <c r="L121" s="1" t="e">
        <f>IF(Protokoll_3p!#REF!="","",IF(VALUE(LEFT(Protokoll_3p!#REF!,FIND(":",Protokoll_3p!#REF!)-1))&gt;VALUE(RIGHT(Protokoll_3p!#REF!,LEN(Protokoll_3p!#REF!)-FIND(":",Protokoll_3p!#REF!))),0,1))</f>
        <v>#REF!</v>
      </c>
      <c r="M121" s="1" t="e">
        <f>IF(Protokoll_3p!#REF!="","",IF(VALUE(LEFT(Protokoll_3p!#REF!,FIND(":",Protokoll_3p!#REF!)-1))&gt;VALUE(RIGHT(Protokoll_3p!#REF!,LEN(Protokoll_3p!#REF!)-FIND(":",Protokoll_3p!#REF!))),0,1))</f>
        <v>#REF!</v>
      </c>
      <c r="N121" s="1" t="e">
        <f t="shared" si="3"/>
        <v>#REF!</v>
      </c>
    </row>
    <row r="122" spans="2:14">
      <c r="B122" s="1" t="e">
        <f>IF(Protokoll_3p!#REF!="","",IF(VALUE(LEFT(Protokoll_3p!#REF!,FIND(":",Protokoll_3p!#REF!)-1))&gt;VALUE(RIGHT(Protokoll_3p!#REF!,LEN(Protokoll_3p!#REF!)-FIND(":",Protokoll_3p!#REF!))),1,0))</f>
        <v>#REF!</v>
      </c>
      <c r="C122" s="1" t="e">
        <f>IF(Protokoll_3p!#REF!="","",IF(VALUE(LEFT(Protokoll_3p!#REF!,FIND(":",Protokoll_3p!#REF!)-1))&gt;VALUE(RIGHT(Protokoll_3p!#REF!,LEN(Protokoll_3p!#REF!)-FIND(":",Protokoll_3p!#REF!))),1,0))</f>
        <v>#REF!</v>
      </c>
      <c r="D122" s="1" t="e">
        <f>IF(Protokoll_3p!#REF!="","",IF(VALUE(LEFT(Protokoll_3p!#REF!,FIND(":",Protokoll_3p!#REF!)-1))&gt;VALUE(RIGHT(Protokoll_3p!#REF!,LEN(Protokoll_3p!#REF!)-FIND(":",Protokoll_3p!#REF!))),1,0))</f>
        <v>#REF!</v>
      </c>
      <c r="E122" s="1" t="e">
        <f>IF(Protokoll_3p!#REF!="","",IF(VALUE(LEFT(Protokoll_3p!#REF!,FIND(":",Protokoll_3p!#REF!)-1))&gt;VALUE(RIGHT(Protokoll_3p!#REF!,LEN(Protokoll_3p!#REF!)-FIND(":",Protokoll_3p!#REF!))),1,0))</f>
        <v>#REF!</v>
      </c>
      <c r="F122" s="1" t="e">
        <f>IF(Protokoll_3p!#REF!="","",IF(VALUE(LEFT(Protokoll_3p!#REF!,FIND(":",Protokoll_3p!#REF!)-1))&gt;VALUE(RIGHT(Protokoll_3p!#REF!,LEN(Protokoll_3p!#REF!)-FIND(":",Protokoll_3p!#REF!))),1,0))</f>
        <v>#REF!</v>
      </c>
      <c r="G122" s="1" t="e">
        <f t="shared" si="2"/>
        <v>#REF!</v>
      </c>
      <c r="I122" s="1" t="e">
        <f>IF(Protokoll_3p!#REF!="","",IF(VALUE(LEFT(Protokoll_3p!#REF!,FIND(":",Protokoll_3p!#REF!)-1))&gt;VALUE(RIGHT(Protokoll_3p!#REF!,LEN(Protokoll_3p!#REF!)-FIND(":",Protokoll_3p!#REF!))),0,1))</f>
        <v>#REF!</v>
      </c>
      <c r="J122" s="1" t="e">
        <f>IF(Protokoll_3p!#REF!="","",IF(VALUE(LEFT(Protokoll_3p!#REF!,FIND(":",Protokoll_3p!#REF!)-1))&gt;VALUE(RIGHT(Protokoll_3p!#REF!,LEN(Protokoll_3p!#REF!)-FIND(":",Protokoll_3p!#REF!))),0,1))</f>
        <v>#REF!</v>
      </c>
      <c r="K122" s="1" t="e">
        <f>IF(Protokoll_3p!#REF!="","",IF(VALUE(LEFT(Protokoll_3p!#REF!,FIND(":",Protokoll_3p!#REF!)-1))&gt;VALUE(RIGHT(Protokoll_3p!#REF!,LEN(Protokoll_3p!#REF!)-FIND(":",Protokoll_3p!#REF!))),0,1))</f>
        <v>#REF!</v>
      </c>
      <c r="L122" s="1" t="e">
        <f>IF(Protokoll_3p!#REF!="","",IF(VALUE(LEFT(Protokoll_3p!#REF!,FIND(":",Protokoll_3p!#REF!)-1))&gt;VALUE(RIGHT(Protokoll_3p!#REF!,LEN(Protokoll_3p!#REF!)-FIND(":",Protokoll_3p!#REF!))),0,1))</f>
        <v>#REF!</v>
      </c>
      <c r="M122" s="1" t="e">
        <f>IF(Protokoll_3p!#REF!="","",IF(VALUE(LEFT(Protokoll_3p!#REF!,FIND(":",Protokoll_3p!#REF!)-1))&gt;VALUE(RIGHT(Protokoll_3p!#REF!,LEN(Protokoll_3p!#REF!)-FIND(":",Protokoll_3p!#REF!))),0,1))</f>
        <v>#REF!</v>
      </c>
      <c r="N122" s="1" t="e">
        <f t="shared" si="3"/>
        <v>#REF!</v>
      </c>
    </row>
    <row r="123" spans="2:14">
      <c r="B123" s="1" t="e">
        <f>IF(Protokoll_3p!#REF!="","",IF(VALUE(LEFT(Protokoll_3p!#REF!,FIND(":",Protokoll_3p!#REF!)-1))&gt;VALUE(RIGHT(Protokoll_3p!#REF!,LEN(Protokoll_3p!#REF!)-FIND(":",Protokoll_3p!#REF!))),1,0))</f>
        <v>#REF!</v>
      </c>
      <c r="C123" s="1" t="e">
        <f>IF(Protokoll_3p!#REF!="","",IF(VALUE(LEFT(Protokoll_3p!#REF!,FIND(":",Protokoll_3p!#REF!)-1))&gt;VALUE(RIGHT(Protokoll_3p!#REF!,LEN(Protokoll_3p!#REF!)-FIND(":",Protokoll_3p!#REF!))),1,0))</f>
        <v>#REF!</v>
      </c>
      <c r="D123" s="1" t="e">
        <f>IF(Protokoll_3p!#REF!="","",IF(VALUE(LEFT(Protokoll_3p!#REF!,FIND(":",Protokoll_3p!#REF!)-1))&gt;VALUE(RIGHT(Protokoll_3p!#REF!,LEN(Protokoll_3p!#REF!)-FIND(":",Protokoll_3p!#REF!))),1,0))</f>
        <v>#REF!</v>
      </c>
      <c r="E123" s="1" t="e">
        <f>IF(Protokoll_3p!#REF!="","",IF(VALUE(LEFT(Protokoll_3p!#REF!,FIND(":",Protokoll_3p!#REF!)-1))&gt;VALUE(RIGHT(Protokoll_3p!#REF!,LEN(Protokoll_3p!#REF!)-FIND(":",Protokoll_3p!#REF!))),1,0))</f>
        <v>#REF!</v>
      </c>
      <c r="F123" s="1" t="e">
        <f>IF(Protokoll_3p!#REF!="","",IF(VALUE(LEFT(Protokoll_3p!#REF!,FIND(":",Protokoll_3p!#REF!)-1))&gt;VALUE(RIGHT(Protokoll_3p!#REF!,LEN(Protokoll_3p!#REF!)-FIND(":",Protokoll_3p!#REF!))),1,0))</f>
        <v>#REF!</v>
      </c>
      <c r="G123" s="1" t="e">
        <f t="shared" si="2"/>
        <v>#REF!</v>
      </c>
      <c r="I123" s="1" t="e">
        <f>IF(Protokoll_3p!#REF!="","",IF(VALUE(LEFT(Protokoll_3p!#REF!,FIND(":",Protokoll_3p!#REF!)-1))&gt;VALUE(RIGHT(Protokoll_3p!#REF!,LEN(Protokoll_3p!#REF!)-FIND(":",Protokoll_3p!#REF!))),0,1))</f>
        <v>#REF!</v>
      </c>
      <c r="J123" s="1" t="e">
        <f>IF(Protokoll_3p!#REF!="","",IF(VALUE(LEFT(Protokoll_3p!#REF!,FIND(":",Protokoll_3p!#REF!)-1))&gt;VALUE(RIGHT(Protokoll_3p!#REF!,LEN(Protokoll_3p!#REF!)-FIND(":",Protokoll_3p!#REF!))),0,1))</f>
        <v>#REF!</v>
      </c>
      <c r="K123" s="1" t="e">
        <f>IF(Protokoll_3p!#REF!="","",IF(VALUE(LEFT(Protokoll_3p!#REF!,FIND(":",Protokoll_3p!#REF!)-1))&gt;VALUE(RIGHT(Protokoll_3p!#REF!,LEN(Protokoll_3p!#REF!)-FIND(":",Protokoll_3p!#REF!))),0,1))</f>
        <v>#REF!</v>
      </c>
      <c r="L123" s="1" t="e">
        <f>IF(Protokoll_3p!#REF!="","",IF(VALUE(LEFT(Protokoll_3p!#REF!,FIND(":",Protokoll_3p!#REF!)-1))&gt;VALUE(RIGHT(Protokoll_3p!#REF!,LEN(Protokoll_3p!#REF!)-FIND(":",Protokoll_3p!#REF!))),0,1))</f>
        <v>#REF!</v>
      </c>
      <c r="M123" s="1" t="e">
        <f>IF(Protokoll_3p!#REF!="","",IF(VALUE(LEFT(Protokoll_3p!#REF!,FIND(":",Protokoll_3p!#REF!)-1))&gt;VALUE(RIGHT(Protokoll_3p!#REF!,LEN(Protokoll_3p!#REF!)-FIND(":",Protokoll_3p!#REF!))),0,1))</f>
        <v>#REF!</v>
      </c>
      <c r="N123" s="1" t="e">
        <f t="shared" si="3"/>
        <v>#REF!</v>
      </c>
    </row>
    <row r="124" spans="2:14">
      <c r="B124" s="1" t="e">
        <f>IF(Protokoll_3p!#REF!="","",IF(VALUE(LEFT(Protokoll_3p!#REF!,FIND(":",Protokoll_3p!#REF!)-1))&gt;VALUE(RIGHT(Protokoll_3p!#REF!,LEN(Protokoll_3p!#REF!)-FIND(":",Protokoll_3p!#REF!))),1,0))</f>
        <v>#REF!</v>
      </c>
      <c r="C124" s="1" t="e">
        <f>IF(Protokoll_3p!#REF!="","",IF(VALUE(LEFT(Protokoll_3p!#REF!,FIND(":",Protokoll_3p!#REF!)-1))&gt;VALUE(RIGHT(Protokoll_3p!#REF!,LEN(Protokoll_3p!#REF!)-FIND(":",Protokoll_3p!#REF!))),1,0))</f>
        <v>#REF!</v>
      </c>
      <c r="D124" s="1" t="e">
        <f>IF(Protokoll_3p!#REF!="","",IF(VALUE(LEFT(Protokoll_3p!#REF!,FIND(":",Protokoll_3p!#REF!)-1))&gt;VALUE(RIGHT(Protokoll_3p!#REF!,LEN(Protokoll_3p!#REF!)-FIND(":",Protokoll_3p!#REF!))),1,0))</f>
        <v>#REF!</v>
      </c>
      <c r="E124" s="1" t="e">
        <f>IF(Protokoll_3p!#REF!="","",IF(VALUE(LEFT(Protokoll_3p!#REF!,FIND(":",Protokoll_3p!#REF!)-1))&gt;VALUE(RIGHT(Protokoll_3p!#REF!,LEN(Protokoll_3p!#REF!)-FIND(":",Protokoll_3p!#REF!))),1,0))</f>
        <v>#REF!</v>
      </c>
      <c r="F124" s="1" t="e">
        <f>IF(Protokoll_3p!#REF!="","",IF(VALUE(LEFT(Protokoll_3p!#REF!,FIND(":",Protokoll_3p!#REF!)-1))&gt;VALUE(RIGHT(Protokoll_3p!#REF!,LEN(Protokoll_3p!#REF!)-FIND(":",Protokoll_3p!#REF!))),1,0))</f>
        <v>#REF!</v>
      </c>
      <c r="G124" s="1" t="e">
        <f t="shared" si="2"/>
        <v>#REF!</v>
      </c>
      <c r="I124" s="1" t="e">
        <f>IF(Protokoll_3p!#REF!="","",IF(VALUE(LEFT(Protokoll_3p!#REF!,FIND(":",Protokoll_3p!#REF!)-1))&gt;VALUE(RIGHT(Protokoll_3p!#REF!,LEN(Protokoll_3p!#REF!)-FIND(":",Protokoll_3p!#REF!))),0,1))</f>
        <v>#REF!</v>
      </c>
      <c r="J124" s="1" t="e">
        <f>IF(Protokoll_3p!#REF!="","",IF(VALUE(LEFT(Protokoll_3p!#REF!,FIND(":",Protokoll_3p!#REF!)-1))&gt;VALUE(RIGHT(Protokoll_3p!#REF!,LEN(Protokoll_3p!#REF!)-FIND(":",Protokoll_3p!#REF!))),0,1))</f>
        <v>#REF!</v>
      </c>
      <c r="K124" s="1" t="e">
        <f>IF(Protokoll_3p!#REF!="","",IF(VALUE(LEFT(Protokoll_3p!#REF!,FIND(":",Protokoll_3p!#REF!)-1))&gt;VALUE(RIGHT(Protokoll_3p!#REF!,LEN(Protokoll_3p!#REF!)-FIND(":",Protokoll_3p!#REF!))),0,1))</f>
        <v>#REF!</v>
      </c>
      <c r="L124" s="1" t="e">
        <f>IF(Protokoll_3p!#REF!="","",IF(VALUE(LEFT(Protokoll_3p!#REF!,FIND(":",Protokoll_3p!#REF!)-1))&gt;VALUE(RIGHT(Protokoll_3p!#REF!,LEN(Protokoll_3p!#REF!)-FIND(":",Protokoll_3p!#REF!))),0,1))</f>
        <v>#REF!</v>
      </c>
      <c r="M124" s="1" t="e">
        <f>IF(Protokoll_3p!#REF!="","",IF(VALUE(LEFT(Protokoll_3p!#REF!,FIND(":",Protokoll_3p!#REF!)-1))&gt;VALUE(RIGHT(Protokoll_3p!#REF!,LEN(Protokoll_3p!#REF!)-FIND(":",Protokoll_3p!#REF!))),0,1))</f>
        <v>#REF!</v>
      </c>
      <c r="N124" s="1" t="e">
        <f t="shared" si="3"/>
        <v>#REF!</v>
      </c>
    </row>
    <row r="125" spans="2:14">
      <c r="B125" s="1" t="e">
        <f>IF(Protokoll_3p!#REF!="","",IF(VALUE(LEFT(Protokoll_3p!#REF!,FIND(":",Protokoll_3p!#REF!)-1))&gt;VALUE(RIGHT(Protokoll_3p!#REF!,LEN(Protokoll_3p!#REF!)-FIND(":",Protokoll_3p!#REF!))),1,0))</f>
        <v>#REF!</v>
      </c>
      <c r="C125" s="1" t="e">
        <f>IF(Protokoll_3p!#REF!="","",IF(VALUE(LEFT(Protokoll_3p!#REF!,FIND(":",Protokoll_3p!#REF!)-1))&gt;VALUE(RIGHT(Protokoll_3p!#REF!,LEN(Protokoll_3p!#REF!)-FIND(":",Protokoll_3p!#REF!))),1,0))</f>
        <v>#REF!</v>
      </c>
      <c r="D125" s="1" t="e">
        <f>IF(Protokoll_3p!#REF!="","",IF(VALUE(LEFT(Protokoll_3p!#REF!,FIND(":",Protokoll_3p!#REF!)-1))&gt;VALUE(RIGHT(Protokoll_3p!#REF!,LEN(Protokoll_3p!#REF!)-FIND(":",Protokoll_3p!#REF!))),1,0))</f>
        <v>#REF!</v>
      </c>
      <c r="E125" s="1" t="e">
        <f>IF(Protokoll_3p!#REF!="","",IF(VALUE(LEFT(Protokoll_3p!#REF!,FIND(":",Protokoll_3p!#REF!)-1))&gt;VALUE(RIGHT(Protokoll_3p!#REF!,LEN(Protokoll_3p!#REF!)-FIND(":",Protokoll_3p!#REF!))),1,0))</f>
        <v>#REF!</v>
      </c>
      <c r="F125" s="1" t="e">
        <f>IF(Protokoll_3p!#REF!="","",IF(VALUE(LEFT(Protokoll_3p!#REF!,FIND(":",Protokoll_3p!#REF!)-1))&gt;VALUE(RIGHT(Protokoll_3p!#REF!,LEN(Protokoll_3p!#REF!)-FIND(":",Protokoll_3p!#REF!))),1,0))</f>
        <v>#REF!</v>
      </c>
      <c r="G125" s="1" t="e">
        <f t="shared" si="2"/>
        <v>#REF!</v>
      </c>
      <c r="I125" s="1" t="e">
        <f>IF(Protokoll_3p!#REF!="","",IF(VALUE(LEFT(Protokoll_3p!#REF!,FIND(":",Protokoll_3p!#REF!)-1))&gt;VALUE(RIGHT(Protokoll_3p!#REF!,LEN(Protokoll_3p!#REF!)-FIND(":",Protokoll_3p!#REF!))),0,1))</f>
        <v>#REF!</v>
      </c>
      <c r="J125" s="1" t="e">
        <f>IF(Protokoll_3p!#REF!="","",IF(VALUE(LEFT(Protokoll_3p!#REF!,FIND(":",Protokoll_3p!#REF!)-1))&gt;VALUE(RIGHT(Protokoll_3p!#REF!,LEN(Protokoll_3p!#REF!)-FIND(":",Protokoll_3p!#REF!))),0,1))</f>
        <v>#REF!</v>
      </c>
      <c r="K125" s="1" t="e">
        <f>IF(Protokoll_3p!#REF!="","",IF(VALUE(LEFT(Protokoll_3p!#REF!,FIND(":",Protokoll_3p!#REF!)-1))&gt;VALUE(RIGHT(Protokoll_3p!#REF!,LEN(Protokoll_3p!#REF!)-FIND(":",Protokoll_3p!#REF!))),0,1))</f>
        <v>#REF!</v>
      </c>
      <c r="L125" s="1" t="e">
        <f>IF(Protokoll_3p!#REF!="","",IF(VALUE(LEFT(Protokoll_3p!#REF!,FIND(":",Protokoll_3p!#REF!)-1))&gt;VALUE(RIGHT(Protokoll_3p!#REF!,LEN(Protokoll_3p!#REF!)-FIND(":",Protokoll_3p!#REF!))),0,1))</f>
        <v>#REF!</v>
      </c>
      <c r="M125" s="1" t="e">
        <f>IF(Protokoll_3p!#REF!="","",IF(VALUE(LEFT(Protokoll_3p!#REF!,FIND(":",Protokoll_3p!#REF!)-1))&gt;VALUE(RIGHT(Protokoll_3p!#REF!,LEN(Protokoll_3p!#REF!)-FIND(":",Protokoll_3p!#REF!))),0,1))</f>
        <v>#REF!</v>
      </c>
      <c r="N125" s="1" t="e">
        <f t="shared" si="3"/>
        <v>#REF!</v>
      </c>
    </row>
    <row r="126" spans="2:14">
      <c r="B126" s="1" t="e">
        <f>IF(Protokoll_3p!#REF!="","",IF(VALUE(LEFT(Protokoll_3p!#REF!,FIND(":",Protokoll_3p!#REF!)-1))&gt;VALUE(RIGHT(Protokoll_3p!#REF!,LEN(Protokoll_3p!#REF!)-FIND(":",Protokoll_3p!#REF!))),1,0))</f>
        <v>#REF!</v>
      </c>
      <c r="C126" s="1" t="e">
        <f>IF(Protokoll_3p!#REF!="","",IF(VALUE(LEFT(Protokoll_3p!#REF!,FIND(":",Protokoll_3p!#REF!)-1))&gt;VALUE(RIGHT(Protokoll_3p!#REF!,LEN(Protokoll_3p!#REF!)-FIND(":",Protokoll_3p!#REF!))),1,0))</f>
        <v>#REF!</v>
      </c>
      <c r="D126" s="1" t="e">
        <f>IF(Protokoll_3p!#REF!="","",IF(VALUE(LEFT(Protokoll_3p!#REF!,FIND(":",Protokoll_3p!#REF!)-1))&gt;VALUE(RIGHT(Protokoll_3p!#REF!,LEN(Protokoll_3p!#REF!)-FIND(":",Protokoll_3p!#REF!))),1,0))</f>
        <v>#REF!</v>
      </c>
      <c r="E126" s="1" t="e">
        <f>IF(Protokoll_3p!#REF!="","",IF(VALUE(LEFT(Protokoll_3p!#REF!,FIND(":",Protokoll_3p!#REF!)-1))&gt;VALUE(RIGHT(Protokoll_3p!#REF!,LEN(Protokoll_3p!#REF!)-FIND(":",Protokoll_3p!#REF!))),1,0))</f>
        <v>#REF!</v>
      </c>
      <c r="F126" s="1" t="e">
        <f>IF(Protokoll_3p!#REF!="","",IF(VALUE(LEFT(Protokoll_3p!#REF!,FIND(":",Protokoll_3p!#REF!)-1))&gt;VALUE(RIGHT(Protokoll_3p!#REF!,LEN(Protokoll_3p!#REF!)-FIND(":",Protokoll_3p!#REF!))),1,0))</f>
        <v>#REF!</v>
      </c>
      <c r="G126" s="1" t="e">
        <f t="shared" si="2"/>
        <v>#REF!</v>
      </c>
      <c r="I126" s="1" t="e">
        <f>IF(Protokoll_3p!#REF!="","",IF(VALUE(LEFT(Protokoll_3p!#REF!,FIND(":",Protokoll_3p!#REF!)-1))&gt;VALUE(RIGHT(Protokoll_3p!#REF!,LEN(Protokoll_3p!#REF!)-FIND(":",Protokoll_3p!#REF!))),0,1))</f>
        <v>#REF!</v>
      </c>
      <c r="J126" s="1" t="e">
        <f>IF(Protokoll_3p!#REF!="","",IF(VALUE(LEFT(Protokoll_3p!#REF!,FIND(":",Protokoll_3p!#REF!)-1))&gt;VALUE(RIGHT(Protokoll_3p!#REF!,LEN(Protokoll_3p!#REF!)-FIND(":",Protokoll_3p!#REF!))),0,1))</f>
        <v>#REF!</v>
      </c>
      <c r="K126" s="1" t="e">
        <f>IF(Protokoll_3p!#REF!="","",IF(VALUE(LEFT(Protokoll_3p!#REF!,FIND(":",Protokoll_3p!#REF!)-1))&gt;VALUE(RIGHT(Protokoll_3p!#REF!,LEN(Protokoll_3p!#REF!)-FIND(":",Protokoll_3p!#REF!))),0,1))</f>
        <v>#REF!</v>
      </c>
      <c r="L126" s="1" t="e">
        <f>IF(Protokoll_3p!#REF!="","",IF(VALUE(LEFT(Protokoll_3p!#REF!,FIND(":",Protokoll_3p!#REF!)-1))&gt;VALUE(RIGHT(Protokoll_3p!#REF!,LEN(Protokoll_3p!#REF!)-FIND(":",Protokoll_3p!#REF!))),0,1))</f>
        <v>#REF!</v>
      </c>
      <c r="M126" s="1" t="e">
        <f>IF(Protokoll_3p!#REF!="","",IF(VALUE(LEFT(Protokoll_3p!#REF!,FIND(":",Protokoll_3p!#REF!)-1))&gt;VALUE(RIGHT(Protokoll_3p!#REF!,LEN(Protokoll_3p!#REF!)-FIND(":",Protokoll_3p!#REF!))),0,1))</f>
        <v>#REF!</v>
      </c>
      <c r="N126" s="1" t="e">
        <f t="shared" si="3"/>
        <v>#REF!</v>
      </c>
    </row>
    <row r="127" spans="2:14">
      <c r="B127" s="1" t="e">
        <f>IF(Protokoll_3p!#REF!="","",IF(VALUE(LEFT(Protokoll_3p!#REF!,FIND(":",Protokoll_3p!#REF!)-1))&gt;VALUE(RIGHT(Protokoll_3p!#REF!,LEN(Protokoll_3p!#REF!)-FIND(":",Protokoll_3p!#REF!))),1,0))</f>
        <v>#REF!</v>
      </c>
      <c r="C127" s="1" t="e">
        <f>IF(Protokoll_3p!#REF!="","",IF(VALUE(LEFT(Protokoll_3p!#REF!,FIND(":",Protokoll_3p!#REF!)-1))&gt;VALUE(RIGHT(Protokoll_3p!#REF!,LEN(Protokoll_3p!#REF!)-FIND(":",Protokoll_3p!#REF!))),1,0))</f>
        <v>#REF!</v>
      </c>
      <c r="D127" s="1" t="e">
        <f>IF(Protokoll_3p!#REF!="","",IF(VALUE(LEFT(Protokoll_3p!#REF!,FIND(":",Protokoll_3p!#REF!)-1))&gt;VALUE(RIGHT(Protokoll_3p!#REF!,LEN(Protokoll_3p!#REF!)-FIND(":",Protokoll_3p!#REF!))),1,0))</f>
        <v>#REF!</v>
      </c>
      <c r="E127" s="1" t="e">
        <f>IF(Protokoll_3p!#REF!="","",IF(VALUE(LEFT(Protokoll_3p!#REF!,FIND(":",Protokoll_3p!#REF!)-1))&gt;VALUE(RIGHT(Protokoll_3p!#REF!,LEN(Protokoll_3p!#REF!)-FIND(":",Protokoll_3p!#REF!))),1,0))</f>
        <v>#REF!</v>
      </c>
      <c r="F127" s="1" t="e">
        <f>IF(Protokoll_3p!#REF!="","",IF(VALUE(LEFT(Protokoll_3p!#REF!,FIND(":",Protokoll_3p!#REF!)-1))&gt;VALUE(RIGHT(Protokoll_3p!#REF!,LEN(Protokoll_3p!#REF!)-FIND(":",Protokoll_3p!#REF!))),1,0))</f>
        <v>#REF!</v>
      </c>
      <c r="G127" s="1" t="e">
        <f t="shared" si="2"/>
        <v>#REF!</v>
      </c>
      <c r="I127" s="1" t="e">
        <f>IF(Protokoll_3p!#REF!="","",IF(VALUE(LEFT(Protokoll_3p!#REF!,FIND(":",Protokoll_3p!#REF!)-1))&gt;VALUE(RIGHT(Protokoll_3p!#REF!,LEN(Protokoll_3p!#REF!)-FIND(":",Protokoll_3p!#REF!))),0,1))</f>
        <v>#REF!</v>
      </c>
      <c r="J127" s="1" t="e">
        <f>IF(Protokoll_3p!#REF!="","",IF(VALUE(LEFT(Protokoll_3p!#REF!,FIND(":",Protokoll_3p!#REF!)-1))&gt;VALUE(RIGHT(Protokoll_3p!#REF!,LEN(Protokoll_3p!#REF!)-FIND(":",Protokoll_3p!#REF!))),0,1))</f>
        <v>#REF!</v>
      </c>
      <c r="K127" s="1" t="e">
        <f>IF(Protokoll_3p!#REF!="","",IF(VALUE(LEFT(Protokoll_3p!#REF!,FIND(":",Protokoll_3p!#REF!)-1))&gt;VALUE(RIGHT(Protokoll_3p!#REF!,LEN(Protokoll_3p!#REF!)-FIND(":",Protokoll_3p!#REF!))),0,1))</f>
        <v>#REF!</v>
      </c>
      <c r="L127" s="1" t="e">
        <f>IF(Protokoll_3p!#REF!="","",IF(VALUE(LEFT(Protokoll_3p!#REF!,FIND(":",Protokoll_3p!#REF!)-1))&gt;VALUE(RIGHT(Protokoll_3p!#REF!,LEN(Protokoll_3p!#REF!)-FIND(":",Protokoll_3p!#REF!))),0,1))</f>
        <v>#REF!</v>
      </c>
      <c r="M127" s="1" t="e">
        <f>IF(Protokoll_3p!#REF!="","",IF(VALUE(LEFT(Protokoll_3p!#REF!,FIND(":",Protokoll_3p!#REF!)-1))&gt;VALUE(RIGHT(Protokoll_3p!#REF!,LEN(Protokoll_3p!#REF!)-FIND(":",Protokoll_3p!#REF!))),0,1))</f>
        <v>#REF!</v>
      </c>
      <c r="N127" s="1" t="e">
        <f t="shared" si="3"/>
        <v>#REF!</v>
      </c>
    </row>
    <row r="128" spans="2:14">
      <c r="B128" s="1" t="e">
        <f>IF(Protokoll_3p!#REF!="","",IF(VALUE(LEFT(Protokoll_3p!#REF!,FIND(":",Protokoll_3p!#REF!)-1))&gt;VALUE(RIGHT(Protokoll_3p!#REF!,LEN(Protokoll_3p!#REF!)-FIND(":",Protokoll_3p!#REF!))),1,0))</f>
        <v>#REF!</v>
      </c>
      <c r="C128" s="1" t="e">
        <f>IF(Protokoll_3p!#REF!="","",IF(VALUE(LEFT(Protokoll_3p!#REF!,FIND(":",Protokoll_3p!#REF!)-1))&gt;VALUE(RIGHT(Protokoll_3p!#REF!,LEN(Protokoll_3p!#REF!)-FIND(":",Protokoll_3p!#REF!))),1,0))</f>
        <v>#REF!</v>
      </c>
      <c r="D128" s="1" t="e">
        <f>IF(Protokoll_3p!#REF!="","",IF(VALUE(LEFT(Protokoll_3p!#REF!,FIND(":",Protokoll_3p!#REF!)-1))&gt;VALUE(RIGHT(Protokoll_3p!#REF!,LEN(Protokoll_3p!#REF!)-FIND(":",Protokoll_3p!#REF!))),1,0))</f>
        <v>#REF!</v>
      </c>
      <c r="E128" s="1" t="e">
        <f>IF(Protokoll_3p!#REF!="","",IF(VALUE(LEFT(Protokoll_3p!#REF!,FIND(":",Protokoll_3p!#REF!)-1))&gt;VALUE(RIGHT(Protokoll_3p!#REF!,LEN(Protokoll_3p!#REF!)-FIND(":",Protokoll_3p!#REF!))),1,0))</f>
        <v>#REF!</v>
      </c>
      <c r="F128" s="1" t="e">
        <f>IF(Protokoll_3p!#REF!="","",IF(VALUE(LEFT(Protokoll_3p!#REF!,FIND(":",Protokoll_3p!#REF!)-1))&gt;VALUE(RIGHT(Protokoll_3p!#REF!,LEN(Protokoll_3p!#REF!)-FIND(":",Protokoll_3p!#REF!))),1,0))</f>
        <v>#REF!</v>
      </c>
      <c r="G128" s="1" t="e">
        <f t="shared" si="2"/>
        <v>#REF!</v>
      </c>
      <c r="I128" s="1" t="e">
        <f>IF(Protokoll_3p!#REF!="","",IF(VALUE(LEFT(Protokoll_3p!#REF!,FIND(":",Protokoll_3p!#REF!)-1))&gt;VALUE(RIGHT(Protokoll_3p!#REF!,LEN(Protokoll_3p!#REF!)-FIND(":",Protokoll_3p!#REF!))),0,1))</f>
        <v>#REF!</v>
      </c>
      <c r="J128" s="1" t="e">
        <f>IF(Protokoll_3p!#REF!="","",IF(VALUE(LEFT(Protokoll_3p!#REF!,FIND(":",Protokoll_3p!#REF!)-1))&gt;VALUE(RIGHT(Protokoll_3p!#REF!,LEN(Protokoll_3p!#REF!)-FIND(":",Protokoll_3p!#REF!))),0,1))</f>
        <v>#REF!</v>
      </c>
      <c r="K128" s="1" t="e">
        <f>IF(Protokoll_3p!#REF!="","",IF(VALUE(LEFT(Protokoll_3p!#REF!,FIND(":",Protokoll_3p!#REF!)-1))&gt;VALUE(RIGHT(Protokoll_3p!#REF!,LEN(Protokoll_3p!#REF!)-FIND(":",Protokoll_3p!#REF!))),0,1))</f>
        <v>#REF!</v>
      </c>
      <c r="L128" s="1" t="e">
        <f>IF(Protokoll_3p!#REF!="","",IF(VALUE(LEFT(Protokoll_3p!#REF!,FIND(":",Protokoll_3p!#REF!)-1))&gt;VALUE(RIGHT(Protokoll_3p!#REF!,LEN(Protokoll_3p!#REF!)-FIND(":",Protokoll_3p!#REF!))),0,1))</f>
        <v>#REF!</v>
      </c>
      <c r="M128" s="1" t="e">
        <f>IF(Protokoll_3p!#REF!="","",IF(VALUE(LEFT(Protokoll_3p!#REF!,FIND(":",Protokoll_3p!#REF!)-1))&gt;VALUE(RIGHT(Protokoll_3p!#REF!,LEN(Protokoll_3p!#REF!)-FIND(":",Protokoll_3p!#REF!))),0,1))</f>
        <v>#REF!</v>
      </c>
      <c r="N128" s="1" t="e">
        <f t="shared" si="3"/>
        <v>#REF!</v>
      </c>
    </row>
    <row r="129" spans="2:14">
      <c r="B129" s="1" t="e">
        <f>IF(Protokoll_3p!#REF!="","",IF(VALUE(LEFT(Protokoll_3p!#REF!,FIND(":",Protokoll_3p!#REF!)-1))&gt;VALUE(RIGHT(Protokoll_3p!#REF!,LEN(Protokoll_3p!#REF!)-FIND(":",Protokoll_3p!#REF!))),1,0))</f>
        <v>#REF!</v>
      </c>
      <c r="C129" s="1" t="e">
        <f>IF(Protokoll_3p!#REF!="","",IF(VALUE(LEFT(Protokoll_3p!#REF!,FIND(":",Protokoll_3p!#REF!)-1))&gt;VALUE(RIGHT(Protokoll_3p!#REF!,LEN(Protokoll_3p!#REF!)-FIND(":",Protokoll_3p!#REF!))),1,0))</f>
        <v>#REF!</v>
      </c>
      <c r="D129" s="1" t="e">
        <f>IF(Protokoll_3p!#REF!="","",IF(VALUE(LEFT(Protokoll_3p!#REF!,FIND(":",Protokoll_3p!#REF!)-1))&gt;VALUE(RIGHT(Protokoll_3p!#REF!,LEN(Protokoll_3p!#REF!)-FIND(":",Protokoll_3p!#REF!))),1,0))</f>
        <v>#REF!</v>
      </c>
      <c r="E129" s="1" t="e">
        <f>IF(Protokoll_3p!#REF!="","",IF(VALUE(LEFT(Protokoll_3p!#REF!,FIND(":",Protokoll_3p!#REF!)-1))&gt;VALUE(RIGHT(Protokoll_3p!#REF!,LEN(Protokoll_3p!#REF!)-FIND(":",Protokoll_3p!#REF!))),1,0))</f>
        <v>#REF!</v>
      </c>
      <c r="F129" s="1" t="e">
        <f>IF(Protokoll_3p!#REF!="","",IF(VALUE(LEFT(Protokoll_3p!#REF!,FIND(":",Protokoll_3p!#REF!)-1))&gt;VALUE(RIGHT(Protokoll_3p!#REF!,LEN(Protokoll_3p!#REF!)-FIND(":",Protokoll_3p!#REF!))),1,0))</f>
        <v>#REF!</v>
      </c>
      <c r="G129" s="1" t="e">
        <f t="shared" si="2"/>
        <v>#REF!</v>
      </c>
      <c r="I129" s="1" t="e">
        <f>IF(Protokoll_3p!#REF!="","",IF(VALUE(LEFT(Protokoll_3p!#REF!,FIND(":",Protokoll_3p!#REF!)-1))&gt;VALUE(RIGHT(Protokoll_3p!#REF!,LEN(Protokoll_3p!#REF!)-FIND(":",Protokoll_3p!#REF!))),0,1))</f>
        <v>#REF!</v>
      </c>
      <c r="J129" s="1" t="e">
        <f>IF(Protokoll_3p!#REF!="","",IF(VALUE(LEFT(Protokoll_3p!#REF!,FIND(":",Protokoll_3p!#REF!)-1))&gt;VALUE(RIGHT(Protokoll_3p!#REF!,LEN(Protokoll_3p!#REF!)-FIND(":",Protokoll_3p!#REF!))),0,1))</f>
        <v>#REF!</v>
      </c>
      <c r="K129" s="1" t="e">
        <f>IF(Protokoll_3p!#REF!="","",IF(VALUE(LEFT(Protokoll_3p!#REF!,FIND(":",Protokoll_3p!#REF!)-1))&gt;VALUE(RIGHT(Protokoll_3p!#REF!,LEN(Protokoll_3p!#REF!)-FIND(":",Protokoll_3p!#REF!))),0,1))</f>
        <v>#REF!</v>
      </c>
      <c r="L129" s="1" t="e">
        <f>IF(Protokoll_3p!#REF!="","",IF(VALUE(LEFT(Protokoll_3p!#REF!,FIND(":",Protokoll_3p!#REF!)-1))&gt;VALUE(RIGHT(Protokoll_3p!#REF!,LEN(Protokoll_3p!#REF!)-FIND(":",Protokoll_3p!#REF!))),0,1))</f>
        <v>#REF!</v>
      </c>
      <c r="M129" s="1" t="e">
        <f>IF(Protokoll_3p!#REF!="","",IF(VALUE(LEFT(Protokoll_3p!#REF!,FIND(":",Protokoll_3p!#REF!)-1))&gt;VALUE(RIGHT(Protokoll_3p!#REF!,LEN(Protokoll_3p!#REF!)-FIND(":",Protokoll_3p!#REF!))),0,1))</f>
        <v>#REF!</v>
      </c>
      <c r="N129" s="1" t="e">
        <f t="shared" si="3"/>
        <v>#REF!</v>
      </c>
    </row>
    <row r="130" spans="2:14">
      <c r="B130" s="1" t="e">
        <f>IF(Protokoll_3p!#REF!="","",IF(VALUE(LEFT(Protokoll_3p!#REF!,FIND(":",Protokoll_3p!#REF!)-1))&gt;VALUE(RIGHT(Protokoll_3p!#REF!,LEN(Protokoll_3p!#REF!)-FIND(":",Protokoll_3p!#REF!))),1,0))</f>
        <v>#REF!</v>
      </c>
      <c r="C130" s="1" t="e">
        <f>IF(Protokoll_3p!#REF!="","",IF(VALUE(LEFT(Protokoll_3p!#REF!,FIND(":",Protokoll_3p!#REF!)-1))&gt;VALUE(RIGHT(Protokoll_3p!#REF!,LEN(Protokoll_3p!#REF!)-FIND(":",Protokoll_3p!#REF!))),1,0))</f>
        <v>#REF!</v>
      </c>
      <c r="D130" s="1" t="e">
        <f>IF(Protokoll_3p!#REF!="","",IF(VALUE(LEFT(Protokoll_3p!#REF!,FIND(":",Protokoll_3p!#REF!)-1))&gt;VALUE(RIGHT(Protokoll_3p!#REF!,LEN(Protokoll_3p!#REF!)-FIND(":",Protokoll_3p!#REF!))),1,0))</f>
        <v>#REF!</v>
      </c>
      <c r="E130" s="1" t="e">
        <f>IF(Protokoll_3p!#REF!="","",IF(VALUE(LEFT(Protokoll_3p!#REF!,FIND(":",Protokoll_3p!#REF!)-1))&gt;VALUE(RIGHT(Protokoll_3p!#REF!,LEN(Protokoll_3p!#REF!)-FIND(":",Protokoll_3p!#REF!))),1,0))</f>
        <v>#REF!</v>
      </c>
      <c r="F130" s="1" t="e">
        <f>IF(Protokoll_3p!#REF!="","",IF(VALUE(LEFT(Protokoll_3p!#REF!,FIND(":",Protokoll_3p!#REF!)-1))&gt;VALUE(RIGHT(Protokoll_3p!#REF!,LEN(Protokoll_3p!#REF!)-FIND(":",Protokoll_3p!#REF!))),1,0))</f>
        <v>#REF!</v>
      </c>
      <c r="G130" s="1" t="e">
        <f t="shared" si="2"/>
        <v>#REF!</v>
      </c>
      <c r="I130" s="1" t="e">
        <f>IF(Protokoll_3p!#REF!="","",IF(VALUE(LEFT(Protokoll_3p!#REF!,FIND(":",Protokoll_3p!#REF!)-1))&gt;VALUE(RIGHT(Protokoll_3p!#REF!,LEN(Protokoll_3p!#REF!)-FIND(":",Protokoll_3p!#REF!))),0,1))</f>
        <v>#REF!</v>
      </c>
      <c r="J130" s="1" t="e">
        <f>IF(Protokoll_3p!#REF!="","",IF(VALUE(LEFT(Protokoll_3p!#REF!,FIND(":",Protokoll_3p!#REF!)-1))&gt;VALUE(RIGHT(Protokoll_3p!#REF!,LEN(Protokoll_3p!#REF!)-FIND(":",Protokoll_3p!#REF!))),0,1))</f>
        <v>#REF!</v>
      </c>
      <c r="K130" s="1" t="e">
        <f>IF(Protokoll_3p!#REF!="","",IF(VALUE(LEFT(Protokoll_3p!#REF!,FIND(":",Protokoll_3p!#REF!)-1))&gt;VALUE(RIGHT(Protokoll_3p!#REF!,LEN(Protokoll_3p!#REF!)-FIND(":",Protokoll_3p!#REF!))),0,1))</f>
        <v>#REF!</v>
      </c>
      <c r="L130" s="1" t="e">
        <f>IF(Protokoll_3p!#REF!="","",IF(VALUE(LEFT(Protokoll_3p!#REF!,FIND(":",Protokoll_3p!#REF!)-1))&gt;VALUE(RIGHT(Protokoll_3p!#REF!,LEN(Protokoll_3p!#REF!)-FIND(":",Protokoll_3p!#REF!))),0,1))</f>
        <v>#REF!</v>
      </c>
      <c r="M130" s="1" t="e">
        <f>IF(Protokoll_3p!#REF!="","",IF(VALUE(LEFT(Protokoll_3p!#REF!,FIND(":",Protokoll_3p!#REF!)-1))&gt;VALUE(RIGHT(Protokoll_3p!#REF!,LEN(Protokoll_3p!#REF!)-FIND(":",Protokoll_3p!#REF!))),0,1))</f>
        <v>#REF!</v>
      </c>
      <c r="N130" s="1" t="e">
        <f t="shared" si="3"/>
        <v>#REF!</v>
      </c>
    </row>
    <row r="131" spans="2:14">
      <c r="B131" s="1" t="e">
        <f>IF(Protokoll_3p!#REF!="","",IF(VALUE(LEFT(Protokoll_3p!#REF!,FIND(":",Protokoll_3p!#REF!)-1))&gt;VALUE(RIGHT(Protokoll_3p!#REF!,LEN(Protokoll_3p!#REF!)-FIND(":",Protokoll_3p!#REF!))),1,0))</f>
        <v>#REF!</v>
      </c>
      <c r="C131" s="1" t="e">
        <f>IF(Protokoll_3p!#REF!="","",IF(VALUE(LEFT(Protokoll_3p!#REF!,FIND(":",Protokoll_3p!#REF!)-1))&gt;VALUE(RIGHT(Protokoll_3p!#REF!,LEN(Protokoll_3p!#REF!)-FIND(":",Protokoll_3p!#REF!))),1,0))</f>
        <v>#REF!</v>
      </c>
      <c r="D131" s="1" t="e">
        <f>IF(Protokoll_3p!#REF!="","",IF(VALUE(LEFT(Protokoll_3p!#REF!,FIND(":",Protokoll_3p!#REF!)-1))&gt;VALUE(RIGHT(Protokoll_3p!#REF!,LEN(Protokoll_3p!#REF!)-FIND(":",Protokoll_3p!#REF!))),1,0))</f>
        <v>#REF!</v>
      </c>
      <c r="E131" s="1" t="e">
        <f>IF(Protokoll_3p!#REF!="","",IF(VALUE(LEFT(Protokoll_3p!#REF!,FIND(":",Protokoll_3p!#REF!)-1))&gt;VALUE(RIGHT(Protokoll_3p!#REF!,LEN(Protokoll_3p!#REF!)-FIND(":",Protokoll_3p!#REF!))),1,0))</f>
        <v>#REF!</v>
      </c>
      <c r="F131" s="1" t="e">
        <f>IF(Protokoll_3p!#REF!="","",IF(VALUE(LEFT(Protokoll_3p!#REF!,FIND(":",Protokoll_3p!#REF!)-1))&gt;VALUE(RIGHT(Protokoll_3p!#REF!,LEN(Protokoll_3p!#REF!)-FIND(":",Protokoll_3p!#REF!))),1,0))</f>
        <v>#REF!</v>
      </c>
      <c r="G131" s="1" t="e">
        <f t="shared" ref="G131:G194" si="4">IF(B131="","",SUM(B131:F131))</f>
        <v>#REF!</v>
      </c>
      <c r="I131" s="1" t="e">
        <f>IF(Protokoll_3p!#REF!="","",IF(VALUE(LEFT(Protokoll_3p!#REF!,FIND(":",Protokoll_3p!#REF!)-1))&gt;VALUE(RIGHT(Protokoll_3p!#REF!,LEN(Protokoll_3p!#REF!)-FIND(":",Protokoll_3p!#REF!))),0,1))</f>
        <v>#REF!</v>
      </c>
      <c r="J131" s="1" t="e">
        <f>IF(Protokoll_3p!#REF!="","",IF(VALUE(LEFT(Protokoll_3p!#REF!,FIND(":",Protokoll_3p!#REF!)-1))&gt;VALUE(RIGHT(Protokoll_3p!#REF!,LEN(Protokoll_3p!#REF!)-FIND(":",Protokoll_3p!#REF!))),0,1))</f>
        <v>#REF!</v>
      </c>
      <c r="K131" s="1" t="e">
        <f>IF(Protokoll_3p!#REF!="","",IF(VALUE(LEFT(Protokoll_3p!#REF!,FIND(":",Protokoll_3p!#REF!)-1))&gt;VALUE(RIGHT(Protokoll_3p!#REF!,LEN(Protokoll_3p!#REF!)-FIND(":",Protokoll_3p!#REF!))),0,1))</f>
        <v>#REF!</v>
      </c>
      <c r="L131" s="1" t="e">
        <f>IF(Protokoll_3p!#REF!="","",IF(VALUE(LEFT(Protokoll_3p!#REF!,FIND(":",Protokoll_3p!#REF!)-1))&gt;VALUE(RIGHT(Protokoll_3p!#REF!,LEN(Protokoll_3p!#REF!)-FIND(":",Protokoll_3p!#REF!))),0,1))</f>
        <v>#REF!</v>
      </c>
      <c r="M131" s="1" t="e">
        <f>IF(Protokoll_3p!#REF!="","",IF(VALUE(LEFT(Protokoll_3p!#REF!,FIND(":",Protokoll_3p!#REF!)-1))&gt;VALUE(RIGHT(Protokoll_3p!#REF!,LEN(Protokoll_3p!#REF!)-FIND(":",Protokoll_3p!#REF!))),0,1))</f>
        <v>#REF!</v>
      </c>
      <c r="N131" s="1" t="e">
        <f t="shared" ref="N131:N194" si="5">IF(I131="","",SUM(I131:M131))</f>
        <v>#REF!</v>
      </c>
    </row>
    <row r="132" spans="2:14">
      <c r="B132" s="1" t="e">
        <f>IF(Protokoll_3p!#REF!="","",IF(VALUE(LEFT(Protokoll_3p!#REF!,FIND(":",Protokoll_3p!#REF!)-1))&gt;VALUE(RIGHT(Protokoll_3p!#REF!,LEN(Protokoll_3p!#REF!)-FIND(":",Protokoll_3p!#REF!))),1,0))</f>
        <v>#REF!</v>
      </c>
      <c r="C132" s="1" t="e">
        <f>IF(Protokoll_3p!#REF!="","",IF(VALUE(LEFT(Protokoll_3p!#REF!,FIND(":",Protokoll_3p!#REF!)-1))&gt;VALUE(RIGHT(Protokoll_3p!#REF!,LEN(Protokoll_3p!#REF!)-FIND(":",Protokoll_3p!#REF!))),1,0))</f>
        <v>#REF!</v>
      </c>
      <c r="D132" s="1" t="e">
        <f>IF(Protokoll_3p!#REF!="","",IF(VALUE(LEFT(Protokoll_3p!#REF!,FIND(":",Protokoll_3p!#REF!)-1))&gt;VALUE(RIGHT(Protokoll_3p!#REF!,LEN(Protokoll_3p!#REF!)-FIND(":",Protokoll_3p!#REF!))),1,0))</f>
        <v>#REF!</v>
      </c>
      <c r="E132" s="1" t="e">
        <f>IF(Protokoll_3p!#REF!="","",IF(VALUE(LEFT(Protokoll_3p!#REF!,FIND(":",Protokoll_3p!#REF!)-1))&gt;VALUE(RIGHT(Protokoll_3p!#REF!,LEN(Protokoll_3p!#REF!)-FIND(":",Protokoll_3p!#REF!))),1,0))</f>
        <v>#REF!</v>
      </c>
      <c r="F132" s="1" t="e">
        <f>IF(Protokoll_3p!#REF!="","",IF(VALUE(LEFT(Protokoll_3p!#REF!,FIND(":",Protokoll_3p!#REF!)-1))&gt;VALUE(RIGHT(Protokoll_3p!#REF!,LEN(Protokoll_3p!#REF!)-FIND(":",Protokoll_3p!#REF!))),1,0))</f>
        <v>#REF!</v>
      </c>
      <c r="G132" s="1" t="e">
        <f t="shared" si="4"/>
        <v>#REF!</v>
      </c>
      <c r="I132" s="1" t="e">
        <f>IF(Protokoll_3p!#REF!="","",IF(VALUE(LEFT(Protokoll_3p!#REF!,FIND(":",Protokoll_3p!#REF!)-1))&gt;VALUE(RIGHT(Protokoll_3p!#REF!,LEN(Protokoll_3p!#REF!)-FIND(":",Protokoll_3p!#REF!))),0,1))</f>
        <v>#REF!</v>
      </c>
      <c r="J132" s="1" t="e">
        <f>IF(Protokoll_3p!#REF!="","",IF(VALUE(LEFT(Protokoll_3p!#REF!,FIND(":",Protokoll_3p!#REF!)-1))&gt;VALUE(RIGHT(Protokoll_3p!#REF!,LEN(Protokoll_3p!#REF!)-FIND(":",Protokoll_3p!#REF!))),0,1))</f>
        <v>#REF!</v>
      </c>
      <c r="K132" s="1" t="e">
        <f>IF(Protokoll_3p!#REF!="","",IF(VALUE(LEFT(Protokoll_3p!#REF!,FIND(":",Protokoll_3p!#REF!)-1))&gt;VALUE(RIGHT(Protokoll_3p!#REF!,LEN(Protokoll_3p!#REF!)-FIND(":",Protokoll_3p!#REF!))),0,1))</f>
        <v>#REF!</v>
      </c>
      <c r="L132" s="1" t="e">
        <f>IF(Protokoll_3p!#REF!="","",IF(VALUE(LEFT(Protokoll_3p!#REF!,FIND(":",Protokoll_3p!#REF!)-1))&gt;VALUE(RIGHT(Protokoll_3p!#REF!,LEN(Protokoll_3p!#REF!)-FIND(":",Protokoll_3p!#REF!))),0,1))</f>
        <v>#REF!</v>
      </c>
      <c r="M132" s="1" t="e">
        <f>IF(Protokoll_3p!#REF!="","",IF(VALUE(LEFT(Protokoll_3p!#REF!,FIND(":",Protokoll_3p!#REF!)-1))&gt;VALUE(RIGHT(Protokoll_3p!#REF!,LEN(Protokoll_3p!#REF!)-FIND(":",Protokoll_3p!#REF!))),0,1))</f>
        <v>#REF!</v>
      </c>
      <c r="N132" s="1" t="e">
        <f t="shared" si="5"/>
        <v>#REF!</v>
      </c>
    </row>
    <row r="133" spans="2:14">
      <c r="B133" s="1" t="e">
        <f>IF(Protokoll_3p!#REF!="","",IF(VALUE(LEFT(Protokoll_3p!#REF!,FIND(":",Protokoll_3p!#REF!)-1))&gt;VALUE(RIGHT(Protokoll_3p!#REF!,LEN(Protokoll_3p!#REF!)-FIND(":",Protokoll_3p!#REF!))),1,0))</f>
        <v>#REF!</v>
      </c>
      <c r="C133" s="1" t="e">
        <f>IF(Protokoll_3p!#REF!="","",IF(VALUE(LEFT(Protokoll_3p!#REF!,FIND(":",Protokoll_3p!#REF!)-1))&gt;VALUE(RIGHT(Protokoll_3p!#REF!,LEN(Protokoll_3p!#REF!)-FIND(":",Protokoll_3p!#REF!))),1,0))</f>
        <v>#REF!</v>
      </c>
      <c r="D133" s="1" t="e">
        <f>IF(Protokoll_3p!#REF!="","",IF(VALUE(LEFT(Protokoll_3p!#REF!,FIND(":",Protokoll_3p!#REF!)-1))&gt;VALUE(RIGHT(Protokoll_3p!#REF!,LEN(Protokoll_3p!#REF!)-FIND(":",Protokoll_3p!#REF!))),1,0))</f>
        <v>#REF!</v>
      </c>
      <c r="E133" s="1" t="e">
        <f>IF(Protokoll_3p!#REF!="","",IF(VALUE(LEFT(Protokoll_3p!#REF!,FIND(":",Protokoll_3p!#REF!)-1))&gt;VALUE(RIGHT(Protokoll_3p!#REF!,LEN(Protokoll_3p!#REF!)-FIND(":",Protokoll_3p!#REF!))),1,0))</f>
        <v>#REF!</v>
      </c>
      <c r="F133" s="1" t="e">
        <f>IF(Protokoll_3p!#REF!="","",IF(VALUE(LEFT(Protokoll_3p!#REF!,FIND(":",Protokoll_3p!#REF!)-1))&gt;VALUE(RIGHT(Protokoll_3p!#REF!,LEN(Protokoll_3p!#REF!)-FIND(":",Protokoll_3p!#REF!))),1,0))</f>
        <v>#REF!</v>
      </c>
      <c r="G133" s="1" t="e">
        <f t="shared" si="4"/>
        <v>#REF!</v>
      </c>
      <c r="I133" s="1" t="e">
        <f>IF(Protokoll_3p!#REF!="","",IF(VALUE(LEFT(Protokoll_3p!#REF!,FIND(":",Protokoll_3p!#REF!)-1))&gt;VALUE(RIGHT(Protokoll_3p!#REF!,LEN(Protokoll_3p!#REF!)-FIND(":",Protokoll_3p!#REF!))),0,1))</f>
        <v>#REF!</v>
      </c>
      <c r="J133" s="1" t="e">
        <f>IF(Protokoll_3p!#REF!="","",IF(VALUE(LEFT(Protokoll_3p!#REF!,FIND(":",Protokoll_3p!#REF!)-1))&gt;VALUE(RIGHT(Protokoll_3p!#REF!,LEN(Protokoll_3p!#REF!)-FIND(":",Protokoll_3p!#REF!))),0,1))</f>
        <v>#REF!</v>
      </c>
      <c r="K133" s="1" t="e">
        <f>IF(Protokoll_3p!#REF!="","",IF(VALUE(LEFT(Protokoll_3p!#REF!,FIND(":",Protokoll_3p!#REF!)-1))&gt;VALUE(RIGHT(Protokoll_3p!#REF!,LEN(Protokoll_3p!#REF!)-FIND(":",Protokoll_3p!#REF!))),0,1))</f>
        <v>#REF!</v>
      </c>
      <c r="L133" s="1" t="e">
        <f>IF(Protokoll_3p!#REF!="","",IF(VALUE(LEFT(Protokoll_3p!#REF!,FIND(":",Protokoll_3p!#REF!)-1))&gt;VALUE(RIGHT(Protokoll_3p!#REF!,LEN(Protokoll_3p!#REF!)-FIND(":",Protokoll_3p!#REF!))),0,1))</f>
        <v>#REF!</v>
      </c>
      <c r="M133" s="1" t="e">
        <f>IF(Protokoll_3p!#REF!="","",IF(VALUE(LEFT(Protokoll_3p!#REF!,FIND(":",Protokoll_3p!#REF!)-1))&gt;VALUE(RIGHT(Protokoll_3p!#REF!,LEN(Protokoll_3p!#REF!)-FIND(":",Protokoll_3p!#REF!))),0,1))</f>
        <v>#REF!</v>
      </c>
      <c r="N133" s="1" t="e">
        <f t="shared" si="5"/>
        <v>#REF!</v>
      </c>
    </row>
    <row r="134" spans="2:14">
      <c r="B134" s="1" t="e">
        <f>IF(Protokoll_3p!#REF!="","",IF(VALUE(LEFT(Protokoll_3p!#REF!,FIND(":",Protokoll_3p!#REF!)-1))&gt;VALUE(RIGHT(Protokoll_3p!#REF!,LEN(Protokoll_3p!#REF!)-FIND(":",Protokoll_3p!#REF!))),1,0))</f>
        <v>#REF!</v>
      </c>
      <c r="C134" s="1" t="e">
        <f>IF(Protokoll_3p!#REF!="","",IF(VALUE(LEFT(Protokoll_3p!#REF!,FIND(":",Protokoll_3p!#REF!)-1))&gt;VALUE(RIGHT(Protokoll_3p!#REF!,LEN(Protokoll_3p!#REF!)-FIND(":",Protokoll_3p!#REF!))),1,0))</f>
        <v>#REF!</v>
      </c>
      <c r="D134" s="1" t="e">
        <f>IF(Protokoll_3p!#REF!="","",IF(VALUE(LEFT(Protokoll_3p!#REF!,FIND(":",Protokoll_3p!#REF!)-1))&gt;VALUE(RIGHT(Protokoll_3p!#REF!,LEN(Protokoll_3p!#REF!)-FIND(":",Protokoll_3p!#REF!))),1,0))</f>
        <v>#REF!</v>
      </c>
      <c r="E134" s="1" t="e">
        <f>IF(Protokoll_3p!#REF!="","",IF(VALUE(LEFT(Protokoll_3p!#REF!,FIND(":",Protokoll_3p!#REF!)-1))&gt;VALUE(RIGHT(Protokoll_3p!#REF!,LEN(Protokoll_3p!#REF!)-FIND(":",Protokoll_3p!#REF!))),1,0))</f>
        <v>#REF!</v>
      </c>
      <c r="F134" s="1" t="e">
        <f>IF(Protokoll_3p!#REF!="","",IF(VALUE(LEFT(Protokoll_3p!#REF!,FIND(":",Protokoll_3p!#REF!)-1))&gt;VALUE(RIGHT(Protokoll_3p!#REF!,LEN(Protokoll_3p!#REF!)-FIND(":",Protokoll_3p!#REF!))),1,0))</f>
        <v>#REF!</v>
      </c>
      <c r="G134" s="1" t="e">
        <f t="shared" si="4"/>
        <v>#REF!</v>
      </c>
      <c r="I134" s="1" t="e">
        <f>IF(Protokoll_3p!#REF!="","",IF(VALUE(LEFT(Protokoll_3p!#REF!,FIND(":",Protokoll_3p!#REF!)-1))&gt;VALUE(RIGHT(Protokoll_3p!#REF!,LEN(Protokoll_3p!#REF!)-FIND(":",Protokoll_3p!#REF!))),0,1))</f>
        <v>#REF!</v>
      </c>
      <c r="J134" s="1" t="e">
        <f>IF(Protokoll_3p!#REF!="","",IF(VALUE(LEFT(Protokoll_3p!#REF!,FIND(":",Protokoll_3p!#REF!)-1))&gt;VALUE(RIGHT(Protokoll_3p!#REF!,LEN(Protokoll_3p!#REF!)-FIND(":",Protokoll_3p!#REF!))),0,1))</f>
        <v>#REF!</v>
      </c>
      <c r="K134" s="1" t="e">
        <f>IF(Protokoll_3p!#REF!="","",IF(VALUE(LEFT(Protokoll_3p!#REF!,FIND(":",Protokoll_3p!#REF!)-1))&gt;VALUE(RIGHT(Protokoll_3p!#REF!,LEN(Protokoll_3p!#REF!)-FIND(":",Protokoll_3p!#REF!))),0,1))</f>
        <v>#REF!</v>
      </c>
      <c r="L134" s="1" t="e">
        <f>IF(Protokoll_3p!#REF!="","",IF(VALUE(LEFT(Protokoll_3p!#REF!,FIND(":",Protokoll_3p!#REF!)-1))&gt;VALUE(RIGHT(Protokoll_3p!#REF!,LEN(Protokoll_3p!#REF!)-FIND(":",Protokoll_3p!#REF!))),0,1))</f>
        <v>#REF!</v>
      </c>
      <c r="M134" s="1" t="e">
        <f>IF(Protokoll_3p!#REF!="","",IF(VALUE(LEFT(Protokoll_3p!#REF!,FIND(":",Protokoll_3p!#REF!)-1))&gt;VALUE(RIGHT(Protokoll_3p!#REF!,LEN(Protokoll_3p!#REF!)-FIND(":",Protokoll_3p!#REF!))),0,1))</f>
        <v>#REF!</v>
      </c>
      <c r="N134" s="1" t="e">
        <f t="shared" si="5"/>
        <v>#REF!</v>
      </c>
    </row>
    <row r="135" spans="2:14">
      <c r="B135" s="1" t="e">
        <f>IF(Protokoll_3p!#REF!="","",IF(VALUE(LEFT(Protokoll_3p!#REF!,FIND(":",Protokoll_3p!#REF!)-1))&gt;VALUE(RIGHT(Protokoll_3p!#REF!,LEN(Protokoll_3p!#REF!)-FIND(":",Protokoll_3p!#REF!))),1,0))</f>
        <v>#REF!</v>
      </c>
      <c r="C135" s="1" t="e">
        <f>IF(Protokoll_3p!#REF!="","",IF(VALUE(LEFT(Protokoll_3p!#REF!,FIND(":",Protokoll_3p!#REF!)-1))&gt;VALUE(RIGHT(Protokoll_3p!#REF!,LEN(Protokoll_3p!#REF!)-FIND(":",Protokoll_3p!#REF!))),1,0))</f>
        <v>#REF!</v>
      </c>
      <c r="D135" s="1" t="e">
        <f>IF(Protokoll_3p!#REF!="","",IF(VALUE(LEFT(Protokoll_3p!#REF!,FIND(":",Protokoll_3p!#REF!)-1))&gt;VALUE(RIGHT(Protokoll_3p!#REF!,LEN(Protokoll_3p!#REF!)-FIND(":",Protokoll_3p!#REF!))),1,0))</f>
        <v>#REF!</v>
      </c>
      <c r="E135" s="1" t="e">
        <f>IF(Protokoll_3p!#REF!="","",IF(VALUE(LEFT(Protokoll_3p!#REF!,FIND(":",Protokoll_3p!#REF!)-1))&gt;VALUE(RIGHT(Protokoll_3p!#REF!,LEN(Protokoll_3p!#REF!)-FIND(":",Protokoll_3p!#REF!))),1,0))</f>
        <v>#REF!</v>
      </c>
      <c r="F135" s="1" t="e">
        <f>IF(Protokoll_3p!#REF!="","",IF(VALUE(LEFT(Protokoll_3p!#REF!,FIND(":",Protokoll_3p!#REF!)-1))&gt;VALUE(RIGHT(Protokoll_3p!#REF!,LEN(Protokoll_3p!#REF!)-FIND(":",Protokoll_3p!#REF!))),1,0))</f>
        <v>#REF!</v>
      </c>
      <c r="G135" s="1" t="e">
        <f t="shared" si="4"/>
        <v>#REF!</v>
      </c>
      <c r="I135" s="1" t="e">
        <f>IF(Protokoll_3p!#REF!="","",IF(VALUE(LEFT(Protokoll_3p!#REF!,FIND(":",Protokoll_3p!#REF!)-1))&gt;VALUE(RIGHT(Protokoll_3p!#REF!,LEN(Protokoll_3p!#REF!)-FIND(":",Protokoll_3p!#REF!))),0,1))</f>
        <v>#REF!</v>
      </c>
      <c r="J135" s="1" t="e">
        <f>IF(Protokoll_3p!#REF!="","",IF(VALUE(LEFT(Protokoll_3p!#REF!,FIND(":",Protokoll_3p!#REF!)-1))&gt;VALUE(RIGHT(Protokoll_3p!#REF!,LEN(Protokoll_3p!#REF!)-FIND(":",Protokoll_3p!#REF!))),0,1))</f>
        <v>#REF!</v>
      </c>
      <c r="K135" s="1" t="e">
        <f>IF(Protokoll_3p!#REF!="","",IF(VALUE(LEFT(Protokoll_3p!#REF!,FIND(":",Protokoll_3p!#REF!)-1))&gt;VALUE(RIGHT(Protokoll_3p!#REF!,LEN(Protokoll_3p!#REF!)-FIND(":",Protokoll_3p!#REF!))),0,1))</f>
        <v>#REF!</v>
      </c>
      <c r="L135" s="1" t="e">
        <f>IF(Protokoll_3p!#REF!="","",IF(VALUE(LEFT(Protokoll_3p!#REF!,FIND(":",Protokoll_3p!#REF!)-1))&gt;VALUE(RIGHT(Protokoll_3p!#REF!,LEN(Protokoll_3p!#REF!)-FIND(":",Protokoll_3p!#REF!))),0,1))</f>
        <v>#REF!</v>
      </c>
      <c r="M135" s="1" t="e">
        <f>IF(Protokoll_3p!#REF!="","",IF(VALUE(LEFT(Protokoll_3p!#REF!,FIND(":",Protokoll_3p!#REF!)-1))&gt;VALUE(RIGHT(Protokoll_3p!#REF!,LEN(Protokoll_3p!#REF!)-FIND(":",Protokoll_3p!#REF!))),0,1))</f>
        <v>#REF!</v>
      </c>
      <c r="N135" s="1" t="e">
        <f t="shared" si="5"/>
        <v>#REF!</v>
      </c>
    </row>
    <row r="136" spans="2:14">
      <c r="B136" s="1" t="e">
        <f>IF(Protokoll_3p!#REF!="","",IF(VALUE(LEFT(Protokoll_3p!#REF!,FIND(":",Protokoll_3p!#REF!)-1))&gt;VALUE(RIGHT(Protokoll_3p!#REF!,LEN(Protokoll_3p!#REF!)-FIND(":",Protokoll_3p!#REF!))),1,0))</f>
        <v>#REF!</v>
      </c>
      <c r="C136" s="1" t="e">
        <f>IF(Protokoll_3p!#REF!="","",IF(VALUE(LEFT(Protokoll_3p!#REF!,FIND(":",Protokoll_3p!#REF!)-1))&gt;VALUE(RIGHT(Protokoll_3p!#REF!,LEN(Protokoll_3p!#REF!)-FIND(":",Protokoll_3p!#REF!))),1,0))</f>
        <v>#REF!</v>
      </c>
      <c r="D136" s="1" t="e">
        <f>IF(Protokoll_3p!#REF!="","",IF(VALUE(LEFT(Protokoll_3p!#REF!,FIND(":",Protokoll_3p!#REF!)-1))&gt;VALUE(RIGHT(Protokoll_3p!#REF!,LEN(Protokoll_3p!#REF!)-FIND(":",Protokoll_3p!#REF!))),1,0))</f>
        <v>#REF!</v>
      </c>
      <c r="E136" s="1" t="e">
        <f>IF(Protokoll_3p!#REF!="","",IF(VALUE(LEFT(Protokoll_3p!#REF!,FIND(":",Protokoll_3p!#REF!)-1))&gt;VALUE(RIGHT(Protokoll_3p!#REF!,LEN(Protokoll_3p!#REF!)-FIND(":",Protokoll_3p!#REF!))),1,0))</f>
        <v>#REF!</v>
      </c>
      <c r="F136" s="1" t="e">
        <f>IF(Protokoll_3p!#REF!="","",IF(VALUE(LEFT(Protokoll_3p!#REF!,FIND(":",Protokoll_3p!#REF!)-1))&gt;VALUE(RIGHT(Protokoll_3p!#REF!,LEN(Protokoll_3p!#REF!)-FIND(":",Protokoll_3p!#REF!))),1,0))</f>
        <v>#REF!</v>
      </c>
      <c r="G136" s="1" t="e">
        <f t="shared" si="4"/>
        <v>#REF!</v>
      </c>
      <c r="I136" s="1" t="e">
        <f>IF(Protokoll_3p!#REF!="","",IF(VALUE(LEFT(Protokoll_3p!#REF!,FIND(":",Protokoll_3p!#REF!)-1))&gt;VALUE(RIGHT(Protokoll_3p!#REF!,LEN(Protokoll_3p!#REF!)-FIND(":",Protokoll_3p!#REF!))),0,1))</f>
        <v>#REF!</v>
      </c>
      <c r="J136" s="1" t="e">
        <f>IF(Protokoll_3p!#REF!="","",IF(VALUE(LEFT(Protokoll_3p!#REF!,FIND(":",Protokoll_3p!#REF!)-1))&gt;VALUE(RIGHT(Protokoll_3p!#REF!,LEN(Protokoll_3p!#REF!)-FIND(":",Protokoll_3p!#REF!))),0,1))</f>
        <v>#REF!</v>
      </c>
      <c r="K136" s="1" t="e">
        <f>IF(Protokoll_3p!#REF!="","",IF(VALUE(LEFT(Protokoll_3p!#REF!,FIND(":",Protokoll_3p!#REF!)-1))&gt;VALUE(RIGHT(Protokoll_3p!#REF!,LEN(Protokoll_3p!#REF!)-FIND(":",Protokoll_3p!#REF!))),0,1))</f>
        <v>#REF!</v>
      </c>
      <c r="L136" s="1" t="e">
        <f>IF(Protokoll_3p!#REF!="","",IF(VALUE(LEFT(Protokoll_3p!#REF!,FIND(":",Protokoll_3p!#REF!)-1))&gt;VALUE(RIGHT(Protokoll_3p!#REF!,LEN(Protokoll_3p!#REF!)-FIND(":",Protokoll_3p!#REF!))),0,1))</f>
        <v>#REF!</v>
      </c>
      <c r="M136" s="1" t="e">
        <f>IF(Protokoll_3p!#REF!="","",IF(VALUE(LEFT(Protokoll_3p!#REF!,FIND(":",Protokoll_3p!#REF!)-1))&gt;VALUE(RIGHT(Protokoll_3p!#REF!,LEN(Protokoll_3p!#REF!)-FIND(":",Protokoll_3p!#REF!))),0,1))</f>
        <v>#REF!</v>
      </c>
      <c r="N136" s="1" t="e">
        <f t="shared" si="5"/>
        <v>#REF!</v>
      </c>
    </row>
    <row r="137" spans="2:14">
      <c r="B137" s="1" t="e">
        <f>IF(Protokoll_3p!#REF!="","",IF(VALUE(LEFT(Protokoll_3p!#REF!,FIND(":",Protokoll_3p!#REF!)-1))&gt;VALUE(RIGHT(Protokoll_3p!#REF!,LEN(Protokoll_3p!#REF!)-FIND(":",Protokoll_3p!#REF!))),1,0))</f>
        <v>#REF!</v>
      </c>
      <c r="C137" s="1" t="e">
        <f>IF(Protokoll_3p!#REF!="","",IF(VALUE(LEFT(Protokoll_3p!#REF!,FIND(":",Protokoll_3p!#REF!)-1))&gt;VALUE(RIGHT(Protokoll_3p!#REF!,LEN(Protokoll_3p!#REF!)-FIND(":",Protokoll_3p!#REF!))),1,0))</f>
        <v>#REF!</v>
      </c>
      <c r="D137" s="1" t="e">
        <f>IF(Protokoll_3p!#REF!="","",IF(VALUE(LEFT(Protokoll_3p!#REF!,FIND(":",Protokoll_3p!#REF!)-1))&gt;VALUE(RIGHT(Protokoll_3p!#REF!,LEN(Protokoll_3p!#REF!)-FIND(":",Protokoll_3p!#REF!))),1,0))</f>
        <v>#REF!</v>
      </c>
      <c r="E137" s="1" t="e">
        <f>IF(Protokoll_3p!#REF!="","",IF(VALUE(LEFT(Protokoll_3p!#REF!,FIND(":",Protokoll_3p!#REF!)-1))&gt;VALUE(RIGHT(Protokoll_3p!#REF!,LEN(Protokoll_3p!#REF!)-FIND(":",Protokoll_3p!#REF!))),1,0))</f>
        <v>#REF!</v>
      </c>
      <c r="F137" s="1" t="e">
        <f>IF(Protokoll_3p!#REF!="","",IF(VALUE(LEFT(Protokoll_3p!#REF!,FIND(":",Protokoll_3p!#REF!)-1))&gt;VALUE(RIGHT(Protokoll_3p!#REF!,LEN(Protokoll_3p!#REF!)-FIND(":",Protokoll_3p!#REF!))),1,0))</f>
        <v>#REF!</v>
      </c>
      <c r="G137" s="1" t="e">
        <f t="shared" si="4"/>
        <v>#REF!</v>
      </c>
      <c r="I137" s="1" t="e">
        <f>IF(Protokoll_3p!#REF!="","",IF(VALUE(LEFT(Protokoll_3p!#REF!,FIND(":",Protokoll_3p!#REF!)-1))&gt;VALUE(RIGHT(Protokoll_3p!#REF!,LEN(Protokoll_3p!#REF!)-FIND(":",Protokoll_3p!#REF!))),0,1))</f>
        <v>#REF!</v>
      </c>
      <c r="J137" s="1" t="e">
        <f>IF(Protokoll_3p!#REF!="","",IF(VALUE(LEFT(Protokoll_3p!#REF!,FIND(":",Protokoll_3p!#REF!)-1))&gt;VALUE(RIGHT(Protokoll_3p!#REF!,LEN(Protokoll_3p!#REF!)-FIND(":",Protokoll_3p!#REF!))),0,1))</f>
        <v>#REF!</v>
      </c>
      <c r="K137" s="1" t="e">
        <f>IF(Protokoll_3p!#REF!="","",IF(VALUE(LEFT(Protokoll_3p!#REF!,FIND(":",Protokoll_3p!#REF!)-1))&gt;VALUE(RIGHT(Protokoll_3p!#REF!,LEN(Protokoll_3p!#REF!)-FIND(":",Protokoll_3p!#REF!))),0,1))</f>
        <v>#REF!</v>
      </c>
      <c r="L137" s="1" t="e">
        <f>IF(Protokoll_3p!#REF!="","",IF(VALUE(LEFT(Protokoll_3p!#REF!,FIND(":",Protokoll_3p!#REF!)-1))&gt;VALUE(RIGHT(Protokoll_3p!#REF!,LEN(Protokoll_3p!#REF!)-FIND(":",Protokoll_3p!#REF!))),0,1))</f>
        <v>#REF!</v>
      </c>
      <c r="M137" s="1" t="e">
        <f>IF(Protokoll_3p!#REF!="","",IF(VALUE(LEFT(Protokoll_3p!#REF!,FIND(":",Protokoll_3p!#REF!)-1))&gt;VALUE(RIGHT(Protokoll_3p!#REF!,LEN(Protokoll_3p!#REF!)-FIND(":",Protokoll_3p!#REF!))),0,1))</f>
        <v>#REF!</v>
      </c>
      <c r="N137" s="1" t="e">
        <f t="shared" si="5"/>
        <v>#REF!</v>
      </c>
    </row>
    <row r="138" spans="2:14">
      <c r="B138" s="1" t="e">
        <f>IF(Protokoll_3p!#REF!="","",IF(VALUE(LEFT(Protokoll_3p!#REF!,FIND(":",Protokoll_3p!#REF!)-1))&gt;VALUE(RIGHT(Protokoll_3p!#REF!,LEN(Protokoll_3p!#REF!)-FIND(":",Protokoll_3p!#REF!))),1,0))</f>
        <v>#REF!</v>
      </c>
      <c r="C138" s="1" t="e">
        <f>IF(Protokoll_3p!#REF!="","",IF(VALUE(LEFT(Protokoll_3p!#REF!,FIND(":",Protokoll_3p!#REF!)-1))&gt;VALUE(RIGHT(Protokoll_3p!#REF!,LEN(Protokoll_3p!#REF!)-FIND(":",Protokoll_3p!#REF!))),1,0))</f>
        <v>#REF!</v>
      </c>
      <c r="D138" s="1" t="e">
        <f>IF(Protokoll_3p!#REF!="","",IF(VALUE(LEFT(Protokoll_3p!#REF!,FIND(":",Protokoll_3p!#REF!)-1))&gt;VALUE(RIGHT(Protokoll_3p!#REF!,LEN(Protokoll_3p!#REF!)-FIND(":",Protokoll_3p!#REF!))),1,0))</f>
        <v>#REF!</v>
      </c>
      <c r="E138" s="1" t="e">
        <f>IF(Protokoll_3p!#REF!="","",IF(VALUE(LEFT(Protokoll_3p!#REF!,FIND(":",Protokoll_3p!#REF!)-1))&gt;VALUE(RIGHT(Protokoll_3p!#REF!,LEN(Protokoll_3p!#REF!)-FIND(":",Protokoll_3p!#REF!))),1,0))</f>
        <v>#REF!</v>
      </c>
      <c r="F138" s="1" t="e">
        <f>IF(Protokoll_3p!#REF!="","",IF(VALUE(LEFT(Protokoll_3p!#REF!,FIND(":",Protokoll_3p!#REF!)-1))&gt;VALUE(RIGHT(Protokoll_3p!#REF!,LEN(Protokoll_3p!#REF!)-FIND(":",Protokoll_3p!#REF!))),1,0))</f>
        <v>#REF!</v>
      </c>
      <c r="G138" s="1" t="e">
        <f t="shared" si="4"/>
        <v>#REF!</v>
      </c>
      <c r="I138" s="1" t="e">
        <f>IF(Protokoll_3p!#REF!="","",IF(VALUE(LEFT(Protokoll_3p!#REF!,FIND(":",Protokoll_3p!#REF!)-1))&gt;VALUE(RIGHT(Protokoll_3p!#REF!,LEN(Protokoll_3p!#REF!)-FIND(":",Protokoll_3p!#REF!))),0,1))</f>
        <v>#REF!</v>
      </c>
      <c r="J138" s="1" t="e">
        <f>IF(Protokoll_3p!#REF!="","",IF(VALUE(LEFT(Protokoll_3p!#REF!,FIND(":",Protokoll_3p!#REF!)-1))&gt;VALUE(RIGHT(Protokoll_3p!#REF!,LEN(Protokoll_3p!#REF!)-FIND(":",Protokoll_3p!#REF!))),0,1))</f>
        <v>#REF!</v>
      </c>
      <c r="K138" s="1" t="e">
        <f>IF(Protokoll_3p!#REF!="","",IF(VALUE(LEFT(Protokoll_3p!#REF!,FIND(":",Protokoll_3p!#REF!)-1))&gt;VALUE(RIGHT(Protokoll_3p!#REF!,LEN(Protokoll_3p!#REF!)-FIND(":",Protokoll_3p!#REF!))),0,1))</f>
        <v>#REF!</v>
      </c>
      <c r="L138" s="1" t="e">
        <f>IF(Protokoll_3p!#REF!="","",IF(VALUE(LEFT(Protokoll_3p!#REF!,FIND(":",Protokoll_3p!#REF!)-1))&gt;VALUE(RIGHT(Protokoll_3p!#REF!,LEN(Protokoll_3p!#REF!)-FIND(":",Protokoll_3p!#REF!))),0,1))</f>
        <v>#REF!</v>
      </c>
      <c r="M138" s="1" t="e">
        <f>IF(Protokoll_3p!#REF!="","",IF(VALUE(LEFT(Protokoll_3p!#REF!,FIND(":",Protokoll_3p!#REF!)-1))&gt;VALUE(RIGHT(Protokoll_3p!#REF!,LEN(Protokoll_3p!#REF!)-FIND(":",Protokoll_3p!#REF!))),0,1))</f>
        <v>#REF!</v>
      </c>
      <c r="N138" s="1" t="e">
        <f t="shared" si="5"/>
        <v>#REF!</v>
      </c>
    </row>
    <row r="139" spans="2:14">
      <c r="B139" s="1" t="e">
        <f>IF(Protokoll_3p!#REF!="","",IF(VALUE(LEFT(Protokoll_3p!#REF!,FIND(":",Protokoll_3p!#REF!)-1))&gt;VALUE(RIGHT(Protokoll_3p!#REF!,LEN(Protokoll_3p!#REF!)-FIND(":",Protokoll_3p!#REF!))),1,0))</f>
        <v>#REF!</v>
      </c>
      <c r="C139" s="1" t="e">
        <f>IF(Protokoll_3p!#REF!="","",IF(VALUE(LEFT(Protokoll_3p!#REF!,FIND(":",Protokoll_3p!#REF!)-1))&gt;VALUE(RIGHT(Protokoll_3p!#REF!,LEN(Protokoll_3p!#REF!)-FIND(":",Protokoll_3p!#REF!))),1,0))</f>
        <v>#REF!</v>
      </c>
      <c r="D139" s="1" t="e">
        <f>IF(Protokoll_3p!#REF!="","",IF(VALUE(LEFT(Protokoll_3p!#REF!,FIND(":",Protokoll_3p!#REF!)-1))&gt;VALUE(RIGHT(Protokoll_3p!#REF!,LEN(Protokoll_3p!#REF!)-FIND(":",Protokoll_3p!#REF!))),1,0))</f>
        <v>#REF!</v>
      </c>
      <c r="E139" s="1" t="e">
        <f>IF(Protokoll_3p!#REF!="","",IF(VALUE(LEFT(Protokoll_3p!#REF!,FIND(":",Protokoll_3p!#REF!)-1))&gt;VALUE(RIGHT(Protokoll_3p!#REF!,LEN(Protokoll_3p!#REF!)-FIND(":",Protokoll_3p!#REF!))),1,0))</f>
        <v>#REF!</v>
      </c>
      <c r="F139" s="1" t="e">
        <f>IF(Protokoll_3p!#REF!="","",IF(VALUE(LEFT(Protokoll_3p!#REF!,FIND(":",Protokoll_3p!#REF!)-1))&gt;VALUE(RIGHT(Protokoll_3p!#REF!,LEN(Protokoll_3p!#REF!)-FIND(":",Protokoll_3p!#REF!))),1,0))</f>
        <v>#REF!</v>
      </c>
      <c r="G139" s="1" t="e">
        <f t="shared" si="4"/>
        <v>#REF!</v>
      </c>
      <c r="I139" s="1" t="e">
        <f>IF(Protokoll_3p!#REF!="","",IF(VALUE(LEFT(Protokoll_3p!#REF!,FIND(":",Protokoll_3p!#REF!)-1))&gt;VALUE(RIGHT(Protokoll_3p!#REF!,LEN(Protokoll_3p!#REF!)-FIND(":",Protokoll_3p!#REF!))),0,1))</f>
        <v>#REF!</v>
      </c>
      <c r="J139" s="1" t="e">
        <f>IF(Protokoll_3p!#REF!="","",IF(VALUE(LEFT(Protokoll_3p!#REF!,FIND(":",Protokoll_3p!#REF!)-1))&gt;VALUE(RIGHT(Protokoll_3p!#REF!,LEN(Protokoll_3p!#REF!)-FIND(":",Protokoll_3p!#REF!))),0,1))</f>
        <v>#REF!</v>
      </c>
      <c r="K139" s="1" t="e">
        <f>IF(Protokoll_3p!#REF!="","",IF(VALUE(LEFT(Protokoll_3p!#REF!,FIND(":",Protokoll_3p!#REF!)-1))&gt;VALUE(RIGHT(Protokoll_3p!#REF!,LEN(Protokoll_3p!#REF!)-FIND(":",Protokoll_3p!#REF!))),0,1))</f>
        <v>#REF!</v>
      </c>
      <c r="L139" s="1" t="e">
        <f>IF(Protokoll_3p!#REF!="","",IF(VALUE(LEFT(Protokoll_3p!#REF!,FIND(":",Protokoll_3p!#REF!)-1))&gt;VALUE(RIGHT(Protokoll_3p!#REF!,LEN(Protokoll_3p!#REF!)-FIND(":",Protokoll_3p!#REF!))),0,1))</f>
        <v>#REF!</v>
      </c>
      <c r="M139" s="1" t="e">
        <f>IF(Protokoll_3p!#REF!="","",IF(VALUE(LEFT(Protokoll_3p!#REF!,FIND(":",Protokoll_3p!#REF!)-1))&gt;VALUE(RIGHT(Protokoll_3p!#REF!,LEN(Protokoll_3p!#REF!)-FIND(":",Protokoll_3p!#REF!))),0,1))</f>
        <v>#REF!</v>
      </c>
      <c r="N139" s="1" t="e">
        <f t="shared" si="5"/>
        <v>#REF!</v>
      </c>
    </row>
    <row r="140" spans="2:14">
      <c r="B140" s="1" t="e">
        <f>IF(Protokoll_3p!#REF!="","",IF(VALUE(LEFT(Protokoll_3p!#REF!,FIND(":",Protokoll_3p!#REF!)-1))&gt;VALUE(RIGHT(Protokoll_3p!#REF!,LEN(Protokoll_3p!#REF!)-FIND(":",Protokoll_3p!#REF!))),1,0))</f>
        <v>#REF!</v>
      </c>
      <c r="C140" s="1" t="e">
        <f>IF(Protokoll_3p!#REF!="","",IF(VALUE(LEFT(Protokoll_3p!#REF!,FIND(":",Protokoll_3p!#REF!)-1))&gt;VALUE(RIGHT(Protokoll_3p!#REF!,LEN(Protokoll_3p!#REF!)-FIND(":",Protokoll_3p!#REF!))),1,0))</f>
        <v>#REF!</v>
      </c>
      <c r="D140" s="1" t="e">
        <f>IF(Protokoll_3p!#REF!="","",IF(VALUE(LEFT(Protokoll_3p!#REF!,FIND(":",Protokoll_3p!#REF!)-1))&gt;VALUE(RIGHT(Protokoll_3p!#REF!,LEN(Protokoll_3p!#REF!)-FIND(":",Protokoll_3p!#REF!))),1,0))</f>
        <v>#REF!</v>
      </c>
      <c r="E140" s="1" t="e">
        <f>IF(Protokoll_3p!#REF!="","",IF(VALUE(LEFT(Protokoll_3p!#REF!,FIND(":",Protokoll_3p!#REF!)-1))&gt;VALUE(RIGHT(Protokoll_3p!#REF!,LEN(Protokoll_3p!#REF!)-FIND(":",Protokoll_3p!#REF!))),1,0))</f>
        <v>#REF!</v>
      </c>
      <c r="F140" s="1" t="e">
        <f>IF(Protokoll_3p!#REF!="","",IF(VALUE(LEFT(Protokoll_3p!#REF!,FIND(":",Protokoll_3p!#REF!)-1))&gt;VALUE(RIGHT(Protokoll_3p!#REF!,LEN(Protokoll_3p!#REF!)-FIND(":",Protokoll_3p!#REF!))),1,0))</f>
        <v>#REF!</v>
      </c>
      <c r="G140" s="1" t="e">
        <f t="shared" si="4"/>
        <v>#REF!</v>
      </c>
      <c r="I140" s="1" t="e">
        <f>IF(Protokoll_3p!#REF!="","",IF(VALUE(LEFT(Protokoll_3p!#REF!,FIND(":",Protokoll_3p!#REF!)-1))&gt;VALUE(RIGHT(Protokoll_3p!#REF!,LEN(Protokoll_3p!#REF!)-FIND(":",Protokoll_3p!#REF!))),0,1))</f>
        <v>#REF!</v>
      </c>
      <c r="J140" s="1" t="e">
        <f>IF(Protokoll_3p!#REF!="","",IF(VALUE(LEFT(Protokoll_3p!#REF!,FIND(":",Protokoll_3p!#REF!)-1))&gt;VALUE(RIGHT(Protokoll_3p!#REF!,LEN(Protokoll_3p!#REF!)-FIND(":",Protokoll_3p!#REF!))),0,1))</f>
        <v>#REF!</v>
      </c>
      <c r="K140" s="1" t="e">
        <f>IF(Protokoll_3p!#REF!="","",IF(VALUE(LEFT(Protokoll_3p!#REF!,FIND(":",Protokoll_3p!#REF!)-1))&gt;VALUE(RIGHT(Protokoll_3p!#REF!,LEN(Protokoll_3p!#REF!)-FIND(":",Protokoll_3p!#REF!))),0,1))</f>
        <v>#REF!</v>
      </c>
      <c r="L140" s="1" t="e">
        <f>IF(Protokoll_3p!#REF!="","",IF(VALUE(LEFT(Protokoll_3p!#REF!,FIND(":",Protokoll_3p!#REF!)-1))&gt;VALUE(RIGHT(Protokoll_3p!#REF!,LEN(Protokoll_3p!#REF!)-FIND(":",Protokoll_3p!#REF!))),0,1))</f>
        <v>#REF!</v>
      </c>
      <c r="M140" s="1" t="e">
        <f>IF(Protokoll_3p!#REF!="","",IF(VALUE(LEFT(Protokoll_3p!#REF!,FIND(":",Protokoll_3p!#REF!)-1))&gt;VALUE(RIGHT(Protokoll_3p!#REF!,LEN(Protokoll_3p!#REF!)-FIND(":",Protokoll_3p!#REF!))),0,1))</f>
        <v>#REF!</v>
      </c>
      <c r="N140" s="1" t="e">
        <f t="shared" si="5"/>
        <v>#REF!</v>
      </c>
    </row>
    <row r="141" spans="2:14">
      <c r="B141" s="1" t="e">
        <f>IF(Protokoll_3p!#REF!="","",IF(VALUE(LEFT(Protokoll_3p!#REF!,FIND(":",Protokoll_3p!#REF!)-1))&gt;VALUE(RIGHT(Protokoll_3p!#REF!,LEN(Protokoll_3p!#REF!)-FIND(":",Protokoll_3p!#REF!))),1,0))</f>
        <v>#REF!</v>
      </c>
      <c r="C141" s="1" t="e">
        <f>IF(Protokoll_3p!#REF!="","",IF(VALUE(LEFT(Protokoll_3p!#REF!,FIND(":",Protokoll_3p!#REF!)-1))&gt;VALUE(RIGHT(Protokoll_3p!#REF!,LEN(Protokoll_3p!#REF!)-FIND(":",Protokoll_3p!#REF!))),1,0))</f>
        <v>#REF!</v>
      </c>
      <c r="D141" s="1" t="e">
        <f>IF(Protokoll_3p!#REF!="","",IF(VALUE(LEFT(Protokoll_3p!#REF!,FIND(":",Protokoll_3p!#REF!)-1))&gt;VALUE(RIGHT(Protokoll_3p!#REF!,LEN(Protokoll_3p!#REF!)-FIND(":",Protokoll_3p!#REF!))),1,0))</f>
        <v>#REF!</v>
      </c>
      <c r="E141" s="1" t="e">
        <f>IF(Protokoll_3p!#REF!="","",IF(VALUE(LEFT(Protokoll_3p!#REF!,FIND(":",Protokoll_3p!#REF!)-1))&gt;VALUE(RIGHT(Protokoll_3p!#REF!,LEN(Protokoll_3p!#REF!)-FIND(":",Protokoll_3p!#REF!))),1,0))</f>
        <v>#REF!</v>
      </c>
      <c r="F141" s="1" t="e">
        <f>IF(Protokoll_3p!#REF!="","",IF(VALUE(LEFT(Protokoll_3p!#REF!,FIND(":",Protokoll_3p!#REF!)-1))&gt;VALUE(RIGHT(Protokoll_3p!#REF!,LEN(Protokoll_3p!#REF!)-FIND(":",Protokoll_3p!#REF!))),1,0))</f>
        <v>#REF!</v>
      </c>
      <c r="G141" s="1" t="e">
        <f t="shared" si="4"/>
        <v>#REF!</v>
      </c>
      <c r="I141" s="1" t="e">
        <f>IF(Protokoll_3p!#REF!="","",IF(VALUE(LEFT(Protokoll_3p!#REF!,FIND(":",Protokoll_3p!#REF!)-1))&gt;VALUE(RIGHT(Protokoll_3p!#REF!,LEN(Protokoll_3p!#REF!)-FIND(":",Protokoll_3p!#REF!))),0,1))</f>
        <v>#REF!</v>
      </c>
      <c r="J141" s="1" t="e">
        <f>IF(Protokoll_3p!#REF!="","",IF(VALUE(LEFT(Protokoll_3p!#REF!,FIND(":",Protokoll_3p!#REF!)-1))&gt;VALUE(RIGHT(Protokoll_3p!#REF!,LEN(Protokoll_3p!#REF!)-FIND(":",Protokoll_3p!#REF!))),0,1))</f>
        <v>#REF!</v>
      </c>
      <c r="K141" s="1" t="e">
        <f>IF(Protokoll_3p!#REF!="","",IF(VALUE(LEFT(Protokoll_3p!#REF!,FIND(":",Protokoll_3p!#REF!)-1))&gt;VALUE(RIGHT(Protokoll_3p!#REF!,LEN(Protokoll_3p!#REF!)-FIND(":",Protokoll_3p!#REF!))),0,1))</f>
        <v>#REF!</v>
      </c>
      <c r="L141" s="1" t="e">
        <f>IF(Protokoll_3p!#REF!="","",IF(VALUE(LEFT(Protokoll_3p!#REF!,FIND(":",Protokoll_3p!#REF!)-1))&gt;VALUE(RIGHT(Protokoll_3p!#REF!,LEN(Protokoll_3p!#REF!)-FIND(":",Protokoll_3p!#REF!))),0,1))</f>
        <v>#REF!</v>
      </c>
      <c r="M141" s="1" t="e">
        <f>IF(Protokoll_3p!#REF!="","",IF(VALUE(LEFT(Protokoll_3p!#REF!,FIND(":",Protokoll_3p!#REF!)-1))&gt;VALUE(RIGHT(Protokoll_3p!#REF!,LEN(Protokoll_3p!#REF!)-FIND(":",Protokoll_3p!#REF!))),0,1))</f>
        <v>#REF!</v>
      </c>
      <c r="N141" s="1" t="e">
        <f t="shared" si="5"/>
        <v>#REF!</v>
      </c>
    </row>
    <row r="142" spans="2:14">
      <c r="B142" s="1" t="e">
        <f>IF(Protokoll_3p!#REF!="","",IF(VALUE(LEFT(Protokoll_3p!#REF!,FIND(":",Protokoll_3p!#REF!)-1))&gt;VALUE(RIGHT(Protokoll_3p!#REF!,LEN(Protokoll_3p!#REF!)-FIND(":",Protokoll_3p!#REF!))),1,0))</f>
        <v>#REF!</v>
      </c>
      <c r="C142" s="1" t="e">
        <f>IF(Protokoll_3p!#REF!="","",IF(VALUE(LEFT(Protokoll_3p!#REF!,FIND(":",Protokoll_3p!#REF!)-1))&gt;VALUE(RIGHT(Protokoll_3p!#REF!,LEN(Protokoll_3p!#REF!)-FIND(":",Protokoll_3p!#REF!))),1,0))</f>
        <v>#REF!</v>
      </c>
      <c r="D142" s="1" t="e">
        <f>IF(Protokoll_3p!#REF!="","",IF(VALUE(LEFT(Protokoll_3p!#REF!,FIND(":",Protokoll_3p!#REF!)-1))&gt;VALUE(RIGHT(Protokoll_3p!#REF!,LEN(Protokoll_3p!#REF!)-FIND(":",Protokoll_3p!#REF!))),1,0))</f>
        <v>#REF!</v>
      </c>
      <c r="E142" s="1" t="e">
        <f>IF(Protokoll_3p!#REF!="","",IF(VALUE(LEFT(Protokoll_3p!#REF!,FIND(":",Protokoll_3p!#REF!)-1))&gt;VALUE(RIGHT(Protokoll_3p!#REF!,LEN(Protokoll_3p!#REF!)-FIND(":",Protokoll_3p!#REF!))),1,0))</f>
        <v>#REF!</v>
      </c>
      <c r="F142" s="1" t="e">
        <f>IF(Protokoll_3p!#REF!="","",IF(VALUE(LEFT(Protokoll_3p!#REF!,FIND(":",Protokoll_3p!#REF!)-1))&gt;VALUE(RIGHT(Protokoll_3p!#REF!,LEN(Protokoll_3p!#REF!)-FIND(":",Protokoll_3p!#REF!))),1,0))</f>
        <v>#REF!</v>
      </c>
      <c r="G142" s="1" t="e">
        <f t="shared" si="4"/>
        <v>#REF!</v>
      </c>
      <c r="I142" s="1" t="e">
        <f>IF(Protokoll_3p!#REF!="","",IF(VALUE(LEFT(Protokoll_3p!#REF!,FIND(":",Protokoll_3p!#REF!)-1))&gt;VALUE(RIGHT(Protokoll_3p!#REF!,LEN(Protokoll_3p!#REF!)-FIND(":",Protokoll_3p!#REF!))),0,1))</f>
        <v>#REF!</v>
      </c>
      <c r="J142" s="1" t="e">
        <f>IF(Protokoll_3p!#REF!="","",IF(VALUE(LEFT(Protokoll_3p!#REF!,FIND(":",Protokoll_3p!#REF!)-1))&gt;VALUE(RIGHT(Protokoll_3p!#REF!,LEN(Protokoll_3p!#REF!)-FIND(":",Protokoll_3p!#REF!))),0,1))</f>
        <v>#REF!</v>
      </c>
      <c r="K142" s="1" t="e">
        <f>IF(Protokoll_3p!#REF!="","",IF(VALUE(LEFT(Protokoll_3p!#REF!,FIND(":",Protokoll_3p!#REF!)-1))&gt;VALUE(RIGHT(Protokoll_3p!#REF!,LEN(Protokoll_3p!#REF!)-FIND(":",Protokoll_3p!#REF!))),0,1))</f>
        <v>#REF!</v>
      </c>
      <c r="L142" s="1" t="e">
        <f>IF(Protokoll_3p!#REF!="","",IF(VALUE(LEFT(Protokoll_3p!#REF!,FIND(":",Protokoll_3p!#REF!)-1))&gt;VALUE(RIGHT(Protokoll_3p!#REF!,LEN(Protokoll_3p!#REF!)-FIND(":",Protokoll_3p!#REF!))),0,1))</f>
        <v>#REF!</v>
      </c>
      <c r="M142" s="1" t="e">
        <f>IF(Protokoll_3p!#REF!="","",IF(VALUE(LEFT(Protokoll_3p!#REF!,FIND(":",Protokoll_3p!#REF!)-1))&gt;VALUE(RIGHT(Protokoll_3p!#REF!,LEN(Protokoll_3p!#REF!)-FIND(":",Protokoll_3p!#REF!))),0,1))</f>
        <v>#REF!</v>
      </c>
      <c r="N142" s="1" t="e">
        <f t="shared" si="5"/>
        <v>#REF!</v>
      </c>
    </row>
    <row r="143" spans="2:14">
      <c r="B143" s="1" t="e">
        <f>IF(Protokoll_3p!#REF!="","",IF(VALUE(LEFT(Protokoll_3p!#REF!,FIND(":",Protokoll_3p!#REF!)-1))&gt;VALUE(RIGHT(Protokoll_3p!#REF!,LEN(Protokoll_3p!#REF!)-FIND(":",Protokoll_3p!#REF!))),1,0))</f>
        <v>#REF!</v>
      </c>
      <c r="C143" s="1" t="e">
        <f>IF(Protokoll_3p!#REF!="","",IF(VALUE(LEFT(Protokoll_3p!#REF!,FIND(":",Protokoll_3p!#REF!)-1))&gt;VALUE(RIGHT(Protokoll_3p!#REF!,LEN(Protokoll_3p!#REF!)-FIND(":",Protokoll_3p!#REF!))),1,0))</f>
        <v>#REF!</v>
      </c>
      <c r="D143" s="1" t="e">
        <f>IF(Protokoll_3p!#REF!="","",IF(VALUE(LEFT(Protokoll_3p!#REF!,FIND(":",Protokoll_3p!#REF!)-1))&gt;VALUE(RIGHT(Protokoll_3p!#REF!,LEN(Protokoll_3p!#REF!)-FIND(":",Protokoll_3p!#REF!))),1,0))</f>
        <v>#REF!</v>
      </c>
      <c r="E143" s="1" t="e">
        <f>IF(Protokoll_3p!#REF!="","",IF(VALUE(LEFT(Protokoll_3p!#REF!,FIND(":",Protokoll_3p!#REF!)-1))&gt;VALUE(RIGHT(Protokoll_3p!#REF!,LEN(Protokoll_3p!#REF!)-FIND(":",Protokoll_3p!#REF!))),1,0))</f>
        <v>#REF!</v>
      </c>
      <c r="F143" s="1" t="e">
        <f>IF(Protokoll_3p!#REF!="","",IF(VALUE(LEFT(Protokoll_3p!#REF!,FIND(":",Protokoll_3p!#REF!)-1))&gt;VALUE(RIGHT(Protokoll_3p!#REF!,LEN(Protokoll_3p!#REF!)-FIND(":",Protokoll_3p!#REF!))),1,0))</f>
        <v>#REF!</v>
      </c>
      <c r="G143" s="1" t="e">
        <f t="shared" si="4"/>
        <v>#REF!</v>
      </c>
      <c r="I143" s="1" t="e">
        <f>IF(Protokoll_3p!#REF!="","",IF(VALUE(LEFT(Protokoll_3p!#REF!,FIND(":",Protokoll_3p!#REF!)-1))&gt;VALUE(RIGHT(Protokoll_3p!#REF!,LEN(Protokoll_3p!#REF!)-FIND(":",Protokoll_3p!#REF!))),0,1))</f>
        <v>#REF!</v>
      </c>
      <c r="J143" s="1" t="e">
        <f>IF(Protokoll_3p!#REF!="","",IF(VALUE(LEFT(Protokoll_3p!#REF!,FIND(":",Protokoll_3p!#REF!)-1))&gt;VALUE(RIGHT(Protokoll_3p!#REF!,LEN(Protokoll_3p!#REF!)-FIND(":",Protokoll_3p!#REF!))),0,1))</f>
        <v>#REF!</v>
      </c>
      <c r="K143" s="1" t="e">
        <f>IF(Protokoll_3p!#REF!="","",IF(VALUE(LEFT(Protokoll_3p!#REF!,FIND(":",Protokoll_3p!#REF!)-1))&gt;VALUE(RIGHT(Protokoll_3p!#REF!,LEN(Protokoll_3p!#REF!)-FIND(":",Protokoll_3p!#REF!))),0,1))</f>
        <v>#REF!</v>
      </c>
      <c r="L143" s="1" t="e">
        <f>IF(Protokoll_3p!#REF!="","",IF(VALUE(LEFT(Protokoll_3p!#REF!,FIND(":",Protokoll_3p!#REF!)-1))&gt;VALUE(RIGHT(Protokoll_3p!#REF!,LEN(Protokoll_3p!#REF!)-FIND(":",Protokoll_3p!#REF!))),0,1))</f>
        <v>#REF!</v>
      </c>
      <c r="M143" s="1" t="e">
        <f>IF(Protokoll_3p!#REF!="","",IF(VALUE(LEFT(Protokoll_3p!#REF!,FIND(":",Protokoll_3p!#REF!)-1))&gt;VALUE(RIGHT(Protokoll_3p!#REF!,LEN(Protokoll_3p!#REF!)-FIND(":",Protokoll_3p!#REF!))),0,1))</f>
        <v>#REF!</v>
      </c>
      <c r="N143" s="1" t="e">
        <f t="shared" si="5"/>
        <v>#REF!</v>
      </c>
    </row>
    <row r="144" spans="2:14">
      <c r="B144" s="1" t="e">
        <f>IF(Protokoll_3p!#REF!="","",IF(VALUE(LEFT(Protokoll_3p!#REF!,FIND(":",Protokoll_3p!#REF!)-1))&gt;VALUE(RIGHT(Protokoll_3p!#REF!,LEN(Protokoll_3p!#REF!)-FIND(":",Protokoll_3p!#REF!))),1,0))</f>
        <v>#REF!</v>
      </c>
      <c r="C144" s="1" t="e">
        <f>IF(Protokoll_3p!#REF!="","",IF(VALUE(LEFT(Protokoll_3p!#REF!,FIND(":",Protokoll_3p!#REF!)-1))&gt;VALUE(RIGHT(Protokoll_3p!#REF!,LEN(Protokoll_3p!#REF!)-FIND(":",Protokoll_3p!#REF!))),1,0))</f>
        <v>#REF!</v>
      </c>
      <c r="D144" s="1" t="e">
        <f>IF(Protokoll_3p!#REF!="","",IF(VALUE(LEFT(Protokoll_3p!#REF!,FIND(":",Protokoll_3p!#REF!)-1))&gt;VALUE(RIGHT(Protokoll_3p!#REF!,LEN(Protokoll_3p!#REF!)-FIND(":",Protokoll_3p!#REF!))),1,0))</f>
        <v>#REF!</v>
      </c>
      <c r="E144" s="1" t="e">
        <f>IF(Protokoll_3p!#REF!="","",IF(VALUE(LEFT(Protokoll_3p!#REF!,FIND(":",Protokoll_3p!#REF!)-1))&gt;VALUE(RIGHT(Protokoll_3p!#REF!,LEN(Protokoll_3p!#REF!)-FIND(":",Protokoll_3p!#REF!))),1,0))</f>
        <v>#REF!</v>
      </c>
      <c r="F144" s="1" t="e">
        <f>IF(Protokoll_3p!#REF!="","",IF(VALUE(LEFT(Protokoll_3p!#REF!,FIND(":",Protokoll_3p!#REF!)-1))&gt;VALUE(RIGHT(Protokoll_3p!#REF!,LEN(Protokoll_3p!#REF!)-FIND(":",Protokoll_3p!#REF!))),1,0))</f>
        <v>#REF!</v>
      </c>
      <c r="G144" s="1" t="e">
        <f t="shared" si="4"/>
        <v>#REF!</v>
      </c>
      <c r="I144" s="1" t="e">
        <f>IF(Protokoll_3p!#REF!="","",IF(VALUE(LEFT(Protokoll_3p!#REF!,FIND(":",Protokoll_3p!#REF!)-1))&gt;VALUE(RIGHT(Protokoll_3p!#REF!,LEN(Protokoll_3p!#REF!)-FIND(":",Protokoll_3p!#REF!))),0,1))</f>
        <v>#REF!</v>
      </c>
      <c r="J144" s="1" t="e">
        <f>IF(Protokoll_3p!#REF!="","",IF(VALUE(LEFT(Protokoll_3p!#REF!,FIND(":",Protokoll_3p!#REF!)-1))&gt;VALUE(RIGHT(Protokoll_3p!#REF!,LEN(Protokoll_3p!#REF!)-FIND(":",Protokoll_3p!#REF!))),0,1))</f>
        <v>#REF!</v>
      </c>
      <c r="K144" s="1" t="e">
        <f>IF(Protokoll_3p!#REF!="","",IF(VALUE(LEFT(Protokoll_3p!#REF!,FIND(":",Protokoll_3p!#REF!)-1))&gt;VALUE(RIGHT(Protokoll_3p!#REF!,LEN(Protokoll_3p!#REF!)-FIND(":",Protokoll_3p!#REF!))),0,1))</f>
        <v>#REF!</v>
      </c>
      <c r="L144" s="1" t="e">
        <f>IF(Protokoll_3p!#REF!="","",IF(VALUE(LEFT(Protokoll_3p!#REF!,FIND(":",Protokoll_3p!#REF!)-1))&gt;VALUE(RIGHT(Protokoll_3p!#REF!,LEN(Protokoll_3p!#REF!)-FIND(":",Protokoll_3p!#REF!))),0,1))</f>
        <v>#REF!</v>
      </c>
      <c r="M144" s="1" t="e">
        <f>IF(Protokoll_3p!#REF!="","",IF(VALUE(LEFT(Protokoll_3p!#REF!,FIND(":",Protokoll_3p!#REF!)-1))&gt;VALUE(RIGHT(Protokoll_3p!#REF!,LEN(Protokoll_3p!#REF!)-FIND(":",Protokoll_3p!#REF!))),0,1))</f>
        <v>#REF!</v>
      </c>
      <c r="N144" s="1" t="e">
        <f t="shared" si="5"/>
        <v>#REF!</v>
      </c>
    </row>
    <row r="145" spans="2:14">
      <c r="B145" s="1" t="e">
        <f>IF(Protokoll_3p!#REF!="","",IF(VALUE(LEFT(Protokoll_3p!#REF!,FIND(":",Protokoll_3p!#REF!)-1))&gt;VALUE(RIGHT(Protokoll_3p!#REF!,LEN(Protokoll_3p!#REF!)-FIND(":",Protokoll_3p!#REF!))),1,0))</f>
        <v>#REF!</v>
      </c>
      <c r="C145" s="1" t="e">
        <f>IF(Protokoll_3p!#REF!="","",IF(VALUE(LEFT(Protokoll_3p!#REF!,FIND(":",Protokoll_3p!#REF!)-1))&gt;VALUE(RIGHT(Protokoll_3p!#REF!,LEN(Protokoll_3p!#REF!)-FIND(":",Protokoll_3p!#REF!))),1,0))</f>
        <v>#REF!</v>
      </c>
      <c r="D145" s="1" t="e">
        <f>IF(Protokoll_3p!#REF!="","",IF(VALUE(LEFT(Protokoll_3p!#REF!,FIND(":",Protokoll_3p!#REF!)-1))&gt;VALUE(RIGHT(Protokoll_3p!#REF!,LEN(Protokoll_3p!#REF!)-FIND(":",Protokoll_3p!#REF!))),1,0))</f>
        <v>#REF!</v>
      </c>
      <c r="E145" s="1" t="e">
        <f>IF(Protokoll_3p!#REF!="","",IF(VALUE(LEFT(Protokoll_3p!#REF!,FIND(":",Protokoll_3p!#REF!)-1))&gt;VALUE(RIGHT(Protokoll_3p!#REF!,LEN(Protokoll_3p!#REF!)-FIND(":",Protokoll_3p!#REF!))),1,0))</f>
        <v>#REF!</v>
      </c>
      <c r="F145" s="1" t="e">
        <f>IF(Protokoll_3p!#REF!="","",IF(VALUE(LEFT(Protokoll_3p!#REF!,FIND(":",Protokoll_3p!#REF!)-1))&gt;VALUE(RIGHT(Protokoll_3p!#REF!,LEN(Protokoll_3p!#REF!)-FIND(":",Protokoll_3p!#REF!))),1,0))</f>
        <v>#REF!</v>
      </c>
      <c r="G145" s="1" t="e">
        <f t="shared" si="4"/>
        <v>#REF!</v>
      </c>
      <c r="I145" s="1" t="e">
        <f>IF(Protokoll_3p!#REF!="","",IF(VALUE(LEFT(Protokoll_3p!#REF!,FIND(":",Protokoll_3p!#REF!)-1))&gt;VALUE(RIGHT(Protokoll_3p!#REF!,LEN(Protokoll_3p!#REF!)-FIND(":",Protokoll_3p!#REF!))),0,1))</f>
        <v>#REF!</v>
      </c>
      <c r="J145" s="1" t="e">
        <f>IF(Protokoll_3p!#REF!="","",IF(VALUE(LEFT(Protokoll_3p!#REF!,FIND(":",Protokoll_3p!#REF!)-1))&gt;VALUE(RIGHT(Protokoll_3p!#REF!,LEN(Protokoll_3p!#REF!)-FIND(":",Protokoll_3p!#REF!))),0,1))</f>
        <v>#REF!</v>
      </c>
      <c r="K145" s="1" t="e">
        <f>IF(Protokoll_3p!#REF!="","",IF(VALUE(LEFT(Protokoll_3p!#REF!,FIND(":",Protokoll_3p!#REF!)-1))&gt;VALUE(RIGHT(Protokoll_3p!#REF!,LEN(Protokoll_3p!#REF!)-FIND(":",Protokoll_3p!#REF!))),0,1))</f>
        <v>#REF!</v>
      </c>
      <c r="L145" s="1" t="e">
        <f>IF(Protokoll_3p!#REF!="","",IF(VALUE(LEFT(Protokoll_3p!#REF!,FIND(":",Protokoll_3p!#REF!)-1))&gt;VALUE(RIGHT(Protokoll_3p!#REF!,LEN(Protokoll_3p!#REF!)-FIND(":",Protokoll_3p!#REF!))),0,1))</f>
        <v>#REF!</v>
      </c>
      <c r="M145" s="1" t="e">
        <f>IF(Protokoll_3p!#REF!="","",IF(VALUE(LEFT(Protokoll_3p!#REF!,FIND(":",Protokoll_3p!#REF!)-1))&gt;VALUE(RIGHT(Protokoll_3p!#REF!,LEN(Protokoll_3p!#REF!)-FIND(":",Protokoll_3p!#REF!))),0,1))</f>
        <v>#REF!</v>
      </c>
      <c r="N145" s="1" t="e">
        <f t="shared" si="5"/>
        <v>#REF!</v>
      </c>
    </row>
    <row r="146" spans="2:14">
      <c r="B146" s="1" t="e">
        <f>IF(Protokoll_3p!#REF!="","",IF(VALUE(LEFT(Protokoll_3p!#REF!,FIND(":",Protokoll_3p!#REF!)-1))&gt;VALUE(RIGHT(Protokoll_3p!#REF!,LEN(Protokoll_3p!#REF!)-FIND(":",Protokoll_3p!#REF!))),1,0))</f>
        <v>#REF!</v>
      </c>
      <c r="C146" s="1" t="e">
        <f>IF(Protokoll_3p!#REF!="","",IF(VALUE(LEFT(Protokoll_3p!#REF!,FIND(":",Protokoll_3p!#REF!)-1))&gt;VALUE(RIGHT(Protokoll_3p!#REF!,LEN(Protokoll_3p!#REF!)-FIND(":",Protokoll_3p!#REF!))),1,0))</f>
        <v>#REF!</v>
      </c>
      <c r="D146" s="1" t="e">
        <f>IF(Protokoll_3p!#REF!="","",IF(VALUE(LEFT(Protokoll_3p!#REF!,FIND(":",Protokoll_3p!#REF!)-1))&gt;VALUE(RIGHT(Protokoll_3p!#REF!,LEN(Protokoll_3p!#REF!)-FIND(":",Protokoll_3p!#REF!))),1,0))</f>
        <v>#REF!</v>
      </c>
      <c r="E146" s="1" t="e">
        <f>IF(Protokoll_3p!#REF!="","",IF(VALUE(LEFT(Protokoll_3p!#REF!,FIND(":",Protokoll_3p!#REF!)-1))&gt;VALUE(RIGHT(Protokoll_3p!#REF!,LEN(Protokoll_3p!#REF!)-FIND(":",Protokoll_3p!#REF!))),1,0))</f>
        <v>#REF!</v>
      </c>
      <c r="F146" s="1" t="e">
        <f>IF(Protokoll_3p!#REF!="","",IF(VALUE(LEFT(Protokoll_3p!#REF!,FIND(":",Protokoll_3p!#REF!)-1))&gt;VALUE(RIGHT(Protokoll_3p!#REF!,LEN(Protokoll_3p!#REF!)-FIND(":",Protokoll_3p!#REF!))),1,0))</f>
        <v>#REF!</v>
      </c>
      <c r="G146" s="1" t="e">
        <f t="shared" si="4"/>
        <v>#REF!</v>
      </c>
      <c r="I146" s="1" t="e">
        <f>IF(Protokoll_3p!#REF!="","",IF(VALUE(LEFT(Protokoll_3p!#REF!,FIND(":",Protokoll_3p!#REF!)-1))&gt;VALUE(RIGHT(Protokoll_3p!#REF!,LEN(Protokoll_3p!#REF!)-FIND(":",Protokoll_3p!#REF!))),0,1))</f>
        <v>#REF!</v>
      </c>
      <c r="J146" s="1" t="e">
        <f>IF(Protokoll_3p!#REF!="","",IF(VALUE(LEFT(Protokoll_3p!#REF!,FIND(":",Protokoll_3p!#REF!)-1))&gt;VALUE(RIGHT(Protokoll_3p!#REF!,LEN(Protokoll_3p!#REF!)-FIND(":",Protokoll_3p!#REF!))),0,1))</f>
        <v>#REF!</v>
      </c>
      <c r="K146" s="1" t="e">
        <f>IF(Protokoll_3p!#REF!="","",IF(VALUE(LEFT(Protokoll_3p!#REF!,FIND(":",Protokoll_3p!#REF!)-1))&gt;VALUE(RIGHT(Protokoll_3p!#REF!,LEN(Protokoll_3p!#REF!)-FIND(":",Protokoll_3p!#REF!))),0,1))</f>
        <v>#REF!</v>
      </c>
      <c r="L146" s="1" t="e">
        <f>IF(Protokoll_3p!#REF!="","",IF(VALUE(LEFT(Protokoll_3p!#REF!,FIND(":",Protokoll_3p!#REF!)-1))&gt;VALUE(RIGHT(Protokoll_3p!#REF!,LEN(Protokoll_3p!#REF!)-FIND(":",Protokoll_3p!#REF!))),0,1))</f>
        <v>#REF!</v>
      </c>
      <c r="M146" s="1" t="e">
        <f>IF(Protokoll_3p!#REF!="","",IF(VALUE(LEFT(Protokoll_3p!#REF!,FIND(":",Protokoll_3p!#REF!)-1))&gt;VALUE(RIGHT(Protokoll_3p!#REF!,LEN(Protokoll_3p!#REF!)-FIND(":",Protokoll_3p!#REF!))),0,1))</f>
        <v>#REF!</v>
      </c>
      <c r="N146" s="1" t="e">
        <f t="shared" si="5"/>
        <v>#REF!</v>
      </c>
    </row>
    <row r="147" spans="2:14">
      <c r="B147" s="1" t="e">
        <f>IF(Protokoll_3p!#REF!="","",IF(VALUE(LEFT(Protokoll_3p!#REF!,FIND(":",Protokoll_3p!#REF!)-1))&gt;VALUE(RIGHT(Protokoll_3p!#REF!,LEN(Protokoll_3p!#REF!)-FIND(":",Protokoll_3p!#REF!))),1,0))</f>
        <v>#REF!</v>
      </c>
      <c r="C147" s="1" t="e">
        <f>IF(Protokoll_3p!#REF!="","",IF(VALUE(LEFT(Protokoll_3p!#REF!,FIND(":",Protokoll_3p!#REF!)-1))&gt;VALUE(RIGHT(Protokoll_3p!#REF!,LEN(Protokoll_3p!#REF!)-FIND(":",Protokoll_3p!#REF!))),1,0))</f>
        <v>#REF!</v>
      </c>
      <c r="D147" s="1" t="e">
        <f>IF(Protokoll_3p!#REF!="","",IF(VALUE(LEFT(Protokoll_3p!#REF!,FIND(":",Protokoll_3p!#REF!)-1))&gt;VALUE(RIGHT(Protokoll_3p!#REF!,LEN(Protokoll_3p!#REF!)-FIND(":",Protokoll_3p!#REF!))),1,0))</f>
        <v>#REF!</v>
      </c>
      <c r="E147" s="1" t="e">
        <f>IF(Protokoll_3p!#REF!="","",IF(VALUE(LEFT(Protokoll_3p!#REF!,FIND(":",Protokoll_3p!#REF!)-1))&gt;VALUE(RIGHT(Protokoll_3p!#REF!,LEN(Protokoll_3p!#REF!)-FIND(":",Protokoll_3p!#REF!))),1,0))</f>
        <v>#REF!</v>
      </c>
      <c r="F147" s="1" t="e">
        <f>IF(Protokoll_3p!#REF!="","",IF(VALUE(LEFT(Protokoll_3p!#REF!,FIND(":",Protokoll_3p!#REF!)-1))&gt;VALUE(RIGHT(Protokoll_3p!#REF!,LEN(Protokoll_3p!#REF!)-FIND(":",Protokoll_3p!#REF!))),1,0))</f>
        <v>#REF!</v>
      </c>
      <c r="G147" s="1" t="e">
        <f t="shared" si="4"/>
        <v>#REF!</v>
      </c>
      <c r="I147" s="1" t="e">
        <f>IF(Protokoll_3p!#REF!="","",IF(VALUE(LEFT(Protokoll_3p!#REF!,FIND(":",Protokoll_3p!#REF!)-1))&gt;VALUE(RIGHT(Protokoll_3p!#REF!,LEN(Protokoll_3p!#REF!)-FIND(":",Protokoll_3p!#REF!))),0,1))</f>
        <v>#REF!</v>
      </c>
      <c r="J147" s="1" t="e">
        <f>IF(Protokoll_3p!#REF!="","",IF(VALUE(LEFT(Protokoll_3p!#REF!,FIND(":",Protokoll_3p!#REF!)-1))&gt;VALUE(RIGHT(Protokoll_3p!#REF!,LEN(Protokoll_3p!#REF!)-FIND(":",Protokoll_3p!#REF!))),0,1))</f>
        <v>#REF!</v>
      </c>
      <c r="K147" s="1" t="e">
        <f>IF(Protokoll_3p!#REF!="","",IF(VALUE(LEFT(Protokoll_3p!#REF!,FIND(":",Protokoll_3p!#REF!)-1))&gt;VALUE(RIGHT(Protokoll_3p!#REF!,LEN(Protokoll_3p!#REF!)-FIND(":",Protokoll_3p!#REF!))),0,1))</f>
        <v>#REF!</v>
      </c>
      <c r="L147" s="1" t="e">
        <f>IF(Protokoll_3p!#REF!="","",IF(VALUE(LEFT(Protokoll_3p!#REF!,FIND(":",Protokoll_3p!#REF!)-1))&gt;VALUE(RIGHT(Protokoll_3p!#REF!,LEN(Protokoll_3p!#REF!)-FIND(":",Protokoll_3p!#REF!))),0,1))</f>
        <v>#REF!</v>
      </c>
      <c r="M147" s="1" t="e">
        <f>IF(Protokoll_3p!#REF!="","",IF(VALUE(LEFT(Protokoll_3p!#REF!,FIND(":",Protokoll_3p!#REF!)-1))&gt;VALUE(RIGHT(Protokoll_3p!#REF!,LEN(Protokoll_3p!#REF!)-FIND(":",Protokoll_3p!#REF!))),0,1))</f>
        <v>#REF!</v>
      </c>
      <c r="N147" s="1" t="e">
        <f t="shared" si="5"/>
        <v>#REF!</v>
      </c>
    </row>
    <row r="148" spans="2:14">
      <c r="B148" s="1" t="e">
        <f>IF(Protokoll_3p!#REF!="","",IF(VALUE(LEFT(Protokoll_3p!#REF!,FIND(":",Protokoll_3p!#REF!)-1))&gt;VALUE(RIGHT(Protokoll_3p!#REF!,LEN(Protokoll_3p!#REF!)-FIND(":",Protokoll_3p!#REF!))),1,0))</f>
        <v>#REF!</v>
      </c>
      <c r="C148" s="1" t="e">
        <f>IF(Protokoll_3p!#REF!="","",IF(VALUE(LEFT(Protokoll_3p!#REF!,FIND(":",Protokoll_3p!#REF!)-1))&gt;VALUE(RIGHT(Protokoll_3p!#REF!,LEN(Protokoll_3p!#REF!)-FIND(":",Protokoll_3p!#REF!))),1,0))</f>
        <v>#REF!</v>
      </c>
      <c r="D148" s="1" t="e">
        <f>IF(Protokoll_3p!#REF!="","",IF(VALUE(LEFT(Protokoll_3p!#REF!,FIND(":",Protokoll_3p!#REF!)-1))&gt;VALUE(RIGHT(Protokoll_3p!#REF!,LEN(Protokoll_3p!#REF!)-FIND(":",Protokoll_3p!#REF!))),1,0))</f>
        <v>#REF!</v>
      </c>
      <c r="E148" s="1" t="e">
        <f>IF(Protokoll_3p!#REF!="","",IF(VALUE(LEFT(Protokoll_3p!#REF!,FIND(":",Protokoll_3p!#REF!)-1))&gt;VALUE(RIGHT(Protokoll_3p!#REF!,LEN(Protokoll_3p!#REF!)-FIND(":",Protokoll_3p!#REF!))),1,0))</f>
        <v>#REF!</v>
      </c>
      <c r="F148" s="1" t="e">
        <f>IF(Protokoll_3p!#REF!="","",IF(VALUE(LEFT(Protokoll_3p!#REF!,FIND(":",Protokoll_3p!#REF!)-1))&gt;VALUE(RIGHT(Protokoll_3p!#REF!,LEN(Protokoll_3p!#REF!)-FIND(":",Protokoll_3p!#REF!))),1,0))</f>
        <v>#REF!</v>
      </c>
      <c r="G148" s="1" t="e">
        <f t="shared" si="4"/>
        <v>#REF!</v>
      </c>
      <c r="I148" s="1" t="e">
        <f>IF(Protokoll_3p!#REF!="","",IF(VALUE(LEFT(Protokoll_3p!#REF!,FIND(":",Protokoll_3p!#REF!)-1))&gt;VALUE(RIGHT(Protokoll_3p!#REF!,LEN(Protokoll_3p!#REF!)-FIND(":",Protokoll_3p!#REF!))),0,1))</f>
        <v>#REF!</v>
      </c>
      <c r="J148" s="1" t="e">
        <f>IF(Protokoll_3p!#REF!="","",IF(VALUE(LEFT(Protokoll_3p!#REF!,FIND(":",Protokoll_3p!#REF!)-1))&gt;VALUE(RIGHT(Protokoll_3p!#REF!,LEN(Protokoll_3p!#REF!)-FIND(":",Protokoll_3p!#REF!))),0,1))</f>
        <v>#REF!</v>
      </c>
      <c r="K148" s="1" t="e">
        <f>IF(Protokoll_3p!#REF!="","",IF(VALUE(LEFT(Protokoll_3p!#REF!,FIND(":",Protokoll_3p!#REF!)-1))&gt;VALUE(RIGHT(Protokoll_3p!#REF!,LEN(Protokoll_3p!#REF!)-FIND(":",Protokoll_3p!#REF!))),0,1))</f>
        <v>#REF!</v>
      </c>
      <c r="L148" s="1" t="e">
        <f>IF(Protokoll_3p!#REF!="","",IF(VALUE(LEFT(Protokoll_3p!#REF!,FIND(":",Protokoll_3p!#REF!)-1))&gt;VALUE(RIGHT(Protokoll_3p!#REF!,LEN(Protokoll_3p!#REF!)-FIND(":",Protokoll_3p!#REF!))),0,1))</f>
        <v>#REF!</v>
      </c>
      <c r="M148" s="1" t="e">
        <f>IF(Protokoll_3p!#REF!="","",IF(VALUE(LEFT(Protokoll_3p!#REF!,FIND(":",Protokoll_3p!#REF!)-1))&gt;VALUE(RIGHT(Protokoll_3p!#REF!,LEN(Protokoll_3p!#REF!)-FIND(":",Protokoll_3p!#REF!))),0,1))</f>
        <v>#REF!</v>
      </c>
      <c r="N148" s="1" t="e">
        <f t="shared" si="5"/>
        <v>#REF!</v>
      </c>
    </row>
    <row r="149" spans="2:14">
      <c r="B149" s="1" t="e">
        <f>IF(Protokoll_3p!#REF!="","",IF(VALUE(LEFT(Protokoll_3p!#REF!,FIND(":",Protokoll_3p!#REF!)-1))&gt;VALUE(RIGHT(Protokoll_3p!#REF!,LEN(Protokoll_3p!#REF!)-FIND(":",Protokoll_3p!#REF!))),1,0))</f>
        <v>#REF!</v>
      </c>
      <c r="C149" s="1" t="e">
        <f>IF(Protokoll_3p!#REF!="","",IF(VALUE(LEFT(Protokoll_3p!#REF!,FIND(":",Protokoll_3p!#REF!)-1))&gt;VALUE(RIGHT(Protokoll_3p!#REF!,LEN(Protokoll_3p!#REF!)-FIND(":",Protokoll_3p!#REF!))),1,0))</f>
        <v>#REF!</v>
      </c>
      <c r="D149" s="1" t="e">
        <f>IF(Protokoll_3p!#REF!="","",IF(VALUE(LEFT(Protokoll_3p!#REF!,FIND(":",Protokoll_3p!#REF!)-1))&gt;VALUE(RIGHT(Protokoll_3p!#REF!,LEN(Protokoll_3p!#REF!)-FIND(":",Protokoll_3p!#REF!))),1,0))</f>
        <v>#REF!</v>
      </c>
      <c r="E149" s="1" t="e">
        <f>IF(Protokoll_3p!#REF!="","",IF(VALUE(LEFT(Protokoll_3p!#REF!,FIND(":",Protokoll_3p!#REF!)-1))&gt;VALUE(RIGHT(Protokoll_3p!#REF!,LEN(Protokoll_3p!#REF!)-FIND(":",Protokoll_3p!#REF!))),1,0))</f>
        <v>#REF!</v>
      </c>
      <c r="F149" s="1" t="e">
        <f>IF(Protokoll_3p!#REF!="","",IF(VALUE(LEFT(Protokoll_3p!#REF!,FIND(":",Protokoll_3p!#REF!)-1))&gt;VALUE(RIGHT(Protokoll_3p!#REF!,LEN(Protokoll_3p!#REF!)-FIND(":",Protokoll_3p!#REF!))),1,0))</f>
        <v>#REF!</v>
      </c>
      <c r="G149" s="1" t="e">
        <f t="shared" si="4"/>
        <v>#REF!</v>
      </c>
      <c r="I149" s="1" t="e">
        <f>IF(Protokoll_3p!#REF!="","",IF(VALUE(LEFT(Protokoll_3p!#REF!,FIND(":",Protokoll_3p!#REF!)-1))&gt;VALUE(RIGHT(Protokoll_3p!#REF!,LEN(Protokoll_3p!#REF!)-FIND(":",Protokoll_3p!#REF!))),0,1))</f>
        <v>#REF!</v>
      </c>
      <c r="J149" s="1" t="e">
        <f>IF(Protokoll_3p!#REF!="","",IF(VALUE(LEFT(Protokoll_3p!#REF!,FIND(":",Protokoll_3p!#REF!)-1))&gt;VALUE(RIGHT(Protokoll_3p!#REF!,LEN(Protokoll_3p!#REF!)-FIND(":",Protokoll_3p!#REF!))),0,1))</f>
        <v>#REF!</v>
      </c>
      <c r="K149" s="1" t="e">
        <f>IF(Protokoll_3p!#REF!="","",IF(VALUE(LEFT(Protokoll_3p!#REF!,FIND(":",Protokoll_3p!#REF!)-1))&gt;VALUE(RIGHT(Protokoll_3p!#REF!,LEN(Protokoll_3p!#REF!)-FIND(":",Protokoll_3p!#REF!))),0,1))</f>
        <v>#REF!</v>
      </c>
      <c r="L149" s="1" t="e">
        <f>IF(Protokoll_3p!#REF!="","",IF(VALUE(LEFT(Protokoll_3p!#REF!,FIND(":",Protokoll_3p!#REF!)-1))&gt;VALUE(RIGHT(Protokoll_3p!#REF!,LEN(Protokoll_3p!#REF!)-FIND(":",Protokoll_3p!#REF!))),0,1))</f>
        <v>#REF!</v>
      </c>
      <c r="M149" s="1" t="e">
        <f>IF(Protokoll_3p!#REF!="","",IF(VALUE(LEFT(Protokoll_3p!#REF!,FIND(":",Protokoll_3p!#REF!)-1))&gt;VALUE(RIGHT(Protokoll_3p!#REF!,LEN(Protokoll_3p!#REF!)-FIND(":",Protokoll_3p!#REF!))),0,1))</f>
        <v>#REF!</v>
      </c>
      <c r="N149" s="1" t="e">
        <f t="shared" si="5"/>
        <v>#REF!</v>
      </c>
    </row>
    <row r="150" spans="2:14">
      <c r="B150" s="1" t="e">
        <f>IF(Protokoll_3p!#REF!="","",IF(VALUE(LEFT(Protokoll_3p!#REF!,FIND(":",Protokoll_3p!#REF!)-1))&gt;VALUE(RIGHT(Protokoll_3p!#REF!,LEN(Protokoll_3p!#REF!)-FIND(":",Protokoll_3p!#REF!))),1,0))</f>
        <v>#REF!</v>
      </c>
      <c r="C150" s="1" t="e">
        <f>IF(Protokoll_3p!#REF!="","",IF(VALUE(LEFT(Protokoll_3p!#REF!,FIND(":",Protokoll_3p!#REF!)-1))&gt;VALUE(RIGHT(Protokoll_3p!#REF!,LEN(Protokoll_3p!#REF!)-FIND(":",Protokoll_3p!#REF!))),1,0))</f>
        <v>#REF!</v>
      </c>
      <c r="D150" s="1" t="e">
        <f>IF(Protokoll_3p!#REF!="","",IF(VALUE(LEFT(Protokoll_3p!#REF!,FIND(":",Protokoll_3p!#REF!)-1))&gt;VALUE(RIGHT(Protokoll_3p!#REF!,LEN(Protokoll_3p!#REF!)-FIND(":",Protokoll_3p!#REF!))),1,0))</f>
        <v>#REF!</v>
      </c>
      <c r="E150" s="1" t="e">
        <f>IF(Protokoll_3p!#REF!="","",IF(VALUE(LEFT(Protokoll_3p!#REF!,FIND(":",Protokoll_3p!#REF!)-1))&gt;VALUE(RIGHT(Protokoll_3p!#REF!,LEN(Protokoll_3p!#REF!)-FIND(":",Protokoll_3p!#REF!))),1,0))</f>
        <v>#REF!</v>
      </c>
      <c r="F150" s="1" t="e">
        <f>IF(Protokoll_3p!#REF!="","",IF(VALUE(LEFT(Protokoll_3p!#REF!,FIND(":",Protokoll_3p!#REF!)-1))&gt;VALUE(RIGHT(Protokoll_3p!#REF!,LEN(Protokoll_3p!#REF!)-FIND(":",Protokoll_3p!#REF!))),1,0))</f>
        <v>#REF!</v>
      </c>
      <c r="G150" s="1" t="e">
        <f t="shared" si="4"/>
        <v>#REF!</v>
      </c>
      <c r="I150" s="1" t="e">
        <f>IF(Protokoll_3p!#REF!="","",IF(VALUE(LEFT(Protokoll_3p!#REF!,FIND(":",Protokoll_3p!#REF!)-1))&gt;VALUE(RIGHT(Protokoll_3p!#REF!,LEN(Protokoll_3p!#REF!)-FIND(":",Protokoll_3p!#REF!))),0,1))</f>
        <v>#REF!</v>
      </c>
      <c r="J150" s="1" t="e">
        <f>IF(Protokoll_3p!#REF!="","",IF(VALUE(LEFT(Protokoll_3p!#REF!,FIND(":",Protokoll_3p!#REF!)-1))&gt;VALUE(RIGHT(Protokoll_3p!#REF!,LEN(Protokoll_3p!#REF!)-FIND(":",Protokoll_3p!#REF!))),0,1))</f>
        <v>#REF!</v>
      </c>
      <c r="K150" s="1" t="e">
        <f>IF(Protokoll_3p!#REF!="","",IF(VALUE(LEFT(Protokoll_3p!#REF!,FIND(":",Protokoll_3p!#REF!)-1))&gt;VALUE(RIGHT(Protokoll_3p!#REF!,LEN(Protokoll_3p!#REF!)-FIND(":",Protokoll_3p!#REF!))),0,1))</f>
        <v>#REF!</v>
      </c>
      <c r="L150" s="1" t="e">
        <f>IF(Protokoll_3p!#REF!="","",IF(VALUE(LEFT(Protokoll_3p!#REF!,FIND(":",Protokoll_3p!#REF!)-1))&gt;VALUE(RIGHT(Protokoll_3p!#REF!,LEN(Protokoll_3p!#REF!)-FIND(":",Protokoll_3p!#REF!))),0,1))</f>
        <v>#REF!</v>
      </c>
      <c r="M150" s="1" t="e">
        <f>IF(Protokoll_3p!#REF!="","",IF(VALUE(LEFT(Protokoll_3p!#REF!,FIND(":",Protokoll_3p!#REF!)-1))&gt;VALUE(RIGHT(Protokoll_3p!#REF!,LEN(Protokoll_3p!#REF!)-FIND(":",Protokoll_3p!#REF!))),0,1))</f>
        <v>#REF!</v>
      </c>
      <c r="N150" s="1" t="e">
        <f t="shared" si="5"/>
        <v>#REF!</v>
      </c>
    </row>
    <row r="151" spans="2:14">
      <c r="B151" s="1" t="e">
        <f>IF(Protokoll_3p!#REF!="","",IF(VALUE(LEFT(Protokoll_3p!#REF!,FIND(":",Protokoll_3p!#REF!)-1))&gt;VALUE(RIGHT(Protokoll_3p!#REF!,LEN(Protokoll_3p!#REF!)-FIND(":",Protokoll_3p!#REF!))),1,0))</f>
        <v>#REF!</v>
      </c>
      <c r="C151" s="1" t="e">
        <f>IF(Protokoll_3p!#REF!="","",IF(VALUE(LEFT(Protokoll_3p!#REF!,FIND(":",Protokoll_3p!#REF!)-1))&gt;VALUE(RIGHT(Protokoll_3p!#REF!,LEN(Protokoll_3p!#REF!)-FIND(":",Protokoll_3p!#REF!))),1,0))</f>
        <v>#REF!</v>
      </c>
      <c r="D151" s="1" t="e">
        <f>IF(Protokoll_3p!#REF!="","",IF(VALUE(LEFT(Protokoll_3p!#REF!,FIND(":",Protokoll_3p!#REF!)-1))&gt;VALUE(RIGHT(Protokoll_3p!#REF!,LEN(Protokoll_3p!#REF!)-FIND(":",Protokoll_3p!#REF!))),1,0))</f>
        <v>#REF!</v>
      </c>
      <c r="E151" s="1" t="e">
        <f>IF(Protokoll_3p!#REF!="","",IF(VALUE(LEFT(Protokoll_3p!#REF!,FIND(":",Protokoll_3p!#REF!)-1))&gt;VALUE(RIGHT(Protokoll_3p!#REF!,LEN(Protokoll_3p!#REF!)-FIND(":",Protokoll_3p!#REF!))),1,0))</f>
        <v>#REF!</v>
      </c>
      <c r="F151" s="1" t="e">
        <f>IF(Protokoll_3p!#REF!="","",IF(VALUE(LEFT(Protokoll_3p!#REF!,FIND(":",Protokoll_3p!#REF!)-1))&gt;VALUE(RIGHT(Protokoll_3p!#REF!,LEN(Protokoll_3p!#REF!)-FIND(":",Protokoll_3p!#REF!))),1,0))</f>
        <v>#REF!</v>
      </c>
      <c r="G151" s="1" t="e">
        <f t="shared" si="4"/>
        <v>#REF!</v>
      </c>
      <c r="I151" s="1" t="e">
        <f>IF(Protokoll_3p!#REF!="","",IF(VALUE(LEFT(Protokoll_3p!#REF!,FIND(":",Protokoll_3p!#REF!)-1))&gt;VALUE(RIGHT(Protokoll_3p!#REF!,LEN(Protokoll_3p!#REF!)-FIND(":",Protokoll_3p!#REF!))),0,1))</f>
        <v>#REF!</v>
      </c>
      <c r="J151" s="1" t="e">
        <f>IF(Protokoll_3p!#REF!="","",IF(VALUE(LEFT(Protokoll_3p!#REF!,FIND(":",Protokoll_3p!#REF!)-1))&gt;VALUE(RIGHT(Protokoll_3p!#REF!,LEN(Protokoll_3p!#REF!)-FIND(":",Protokoll_3p!#REF!))),0,1))</f>
        <v>#REF!</v>
      </c>
      <c r="K151" s="1" t="e">
        <f>IF(Protokoll_3p!#REF!="","",IF(VALUE(LEFT(Protokoll_3p!#REF!,FIND(":",Protokoll_3p!#REF!)-1))&gt;VALUE(RIGHT(Protokoll_3p!#REF!,LEN(Protokoll_3p!#REF!)-FIND(":",Protokoll_3p!#REF!))),0,1))</f>
        <v>#REF!</v>
      </c>
      <c r="L151" s="1" t="e">
        <f>IF(Protokoll_3p!#REF!="","",IF(VALUE(LEFT(Protokoll_3p!#REF!,FIND(":",Protokoll_3p!#REF!)-1))&gt;VALUE(RIGHT(Protokoll_3p!#REF!,LEN(Protokoll_3p!#REF!)-FIND(":",Protokoll_3p!#REF!))),0,1))</f>
        <v>#REF!</v>
      </c>
      <c r="M151" s="1" t="e">
        <f>IF(Protokoll_3p!#REF!="","",IF(VALUE(LEFT(Protokoll_3p!#REF!,FIND(":",Protokoll_3p!#REF!)-1))&gt;VALUE(RIGHT(Protokoll_3p!#REF!,LEN(Protokoll_3p!#REF!)-FIND(":",Protokoll_3p!#REF!))),0,1))</f>
        <v>#REF!</v>
      </c>
      <c r="N151" s="1" t="e">
        <f t="shared" si="5"/>
        <v>#REF!</v>
      </c>
    </row>
    <row r="152" spans="2:14">
      <c r="B152" s="1" t="e">
        <f>IF(Protokoll_3p!#REF!="","",IF(VALUE(LEFT(Protokoll_3p!#REF!,FIND(":",Protokoll_3p!#REF!)-1))&gt;VALUE(RIGHT(Protokoll_3p!#REF!,LEN(Protokoll_3p!#REF!)-FIND(":",Protokoll_3p!#REF!))),1,0))</f>
        <v>#REF!</v>
      </c>
      <c r="C152" s="1" t="e">
        <f>IF(Protokoll_3p!#REF!="","",IF(VALUE(LEFT(Protokoll_3p!#REF!,FIND(":",Protokoll_3p!#REF!)-1))&gt;VALUE(RIGHT(Protokoll_3p!#REF!,LEN(Protokoll_3p!#REF!)-FIND(":",Protokoll_3p!#REF!))),1,0))</f>
        <v>#REF!</v>
      </c>
      <c r="D152" s="1" t="e">
        <f>IF(Protokoll_3p!#REF!="","",IF(VALUE(LEFT(Protokoll_3p!#REF!,FIND(":",Protokoll_3p!#REF!)-1))&gt;VALUE(RIGHT(Protokoll_3p!#REF!,LEN(Protokoll_3p!#REF!)-FIND(":",Protokoll_3p!#REF!))),1,0))</f>
        <v>#REF!</v>
      </c>
      <c r="E152" s="1" t="e">
        <f>IF(Protokoll_3p!#REF!="","",IF(VALUE(LEFT(Protokoll_3p!#REF!,FIND(":",Protokoll_3p!#REF!)-1))&gt;VALUE(RIGHT(Protokoll_3p!#REF!,LEN(Protokoll_3p!#REF!)-FIND(":",Protokoll_3p!#REF!))),1,0))</f>
        <v>#REF!</v>
      </c>
      <c r="F152" s="1" t="e">
        <f>IF(Protokoll_3p!#REF!="","",IF(VALUE(LEFT(Protokoll_3p!#REF!,FIND(":",Protokoll_3p!#REF!)-1))&gt;VALUE(RIGHT(Protokoll_3p!#REF!,LEN(Protokoll_3p!#REF!)-FIND(":",Protokoll_3p!#REF!))),1,0))</f>
        <v>#REF!</v>
      </c>
      <c r="G152" s="1" t="e">
        <f t="shared" si="4"/>
        <v>#REF!</v>
      </c>
      <c r="I152" s="1" t="e">
        <f>IF(Protokoll_3p!#REF!="","",IF(VALUE(LEFT(Protokoll_3p!#REF!,FIND(":",Protokoll_3p!#REF!)-1))&gt;VALUE(RIGHT(Protokoll_3p!#REF!,LEN(Protokoll_3p!#REF!)-FIND(":",Protokoll_3p!#REF!))),0,1))</f>
        <v>#REF!</v>
      </c>
      <c r="J152" s="1" t="e">
        <f>IF(Protokoll_3p!#REF!="","",IF(VALUE(LEFT(Protokoll_3p!#REF!,FIND(":",Protokoll_3p!#REF!)-1))&gt;VALUE(RIGHT(Protokoll_3p!#REF!,LEN(Protokoll_3p!#REF!)-FIND(":",Protokoll_3p!#REF!))),0,1))</f>
        <v>#REF!</v>
      </c>
      <c r="K152" s="1" t="e">
        <f>IF(Protokoll_3p!#REF!="","",IF(VALUE(LEFT(Protokoll_3p!#REF!,FIND(":",Protokoll_3p!#REF!)-1))&gt;VALUE(RIGHT(Protokoll_3p!#REF!,LEN(Protokoll_3p!#REF!)-FIND(":",Protokoll_3p!#REF!))),0,1))</f>
        <v>#REF!</v>
      </c>
      <c r="L152" s="1" t="e">
        <f>IF(Protokoll_3p!#REF!="","",IF(VALUE(LEFT(Protokoll_3p!#REF!,FIND(":",Protokoll_3p!#REF!)-1))&gt;VALUE(RIGHT(Protokoll_3p!#REF!,LEN(Protokoll_3p!#REF!)-FIND(":",Protokoll_3p!#REF!))),0,1))</f>
        <v>#REF!</v>
      </c>
      <c r="M152" s="1" t="e">
        <f>IF(Protokoll_3p!#REF!="","",IF(VALUE(LEFT(Protokoll_3p!#REF!,FIND(":",Protokoll_3p!#REF!)-1))&gt;VALUE(RIGHT(Protokoll_3p!#REF!,LEN(Protokoll_3p!#REF!)-FIND(":",Protokoll_3p!#REF!))),0,1))</f>
        <v>#REF!</v>
      </c>
      <c r="N152" s="1" t="e">
        <f t="shared" si="5"/>
        <v>#REF!</v>
      </c>
    </row>
    <row r="153" spans="2:14">
      <c r="B153" s="1" t="e">
        <f>IF(Protokoll_3p!#REF!="","",IF(VALUE(LEFT(Protokoll_3p!#REF!,FIND(":",Protokoll_3p!#REF!)-1))&gt;VALUE(RIGHT(Protokoll_3p!#REF!,LEN(Protokoll_3p!#REF!)-FIND(":",Protokoll_3p!#REF!))),1,0))</f>
        <v>#REF!</v>
      </c>
      <c r="C153" s="1" t="e">
        <f>IF(Protokoll_3p!#REF!="","",IF(VALUE(LEFT(Protokoll_3p!#REF!,FIND(":",Protokoll_3p!#REF!)-1))&gt;VALUE(RIGHT(Protokoll_3p!#REF!,LEN(Protokoll_3p!#REF!)-FIND(":",Protokoll_3p!#REF!))),1,0))</f>
        <v>#REF!</v>
      </c>
      <c r="D153" s="1" t="e">
        <f>IF(Protokoll_3p!#REF!="","",IF(VALUE(LEFT(Protokoll_3p!#REF!,FIND(":",Protokoll_3p!#REF!)-1))&gt;VALUE(RIGHT(Protokoll_3p!#REF!,LEN(Protokoll_3p!#REF!)-FIND(":",Protokoll_3p!#REF!))),1,0))</f>
        <v>#REF!</v>
      </c>
      <c r="E153" s="1" t="e">
        <f>IF(Protokoll_3p!#REF!="","",IF(VALUE(LEFT(Protokoll_3p!#REF!,FIND(":",Protokoll_3p!#REF!)-1))&gt;VALUE(RIGHT(Protokoll_3p!#REF!,LEN(Protokoll_3p!#REF!)-FIND(":",Protokoll_3p!#REF!))),1,0))</f>
        <v>#REF!</v>
      </c>
      <c r="F153" s="1" t="e">
        <f>IF(Protokoll_3p!#REF!="","",IF(VALUE(LEFT(Protokoll_3p!#REF!,FIND(":",Protokoll_3p!#REF!)-1))&gt;VALUE(RIGHT(Protokoll_3p!#REF!,LEN(Protokoll_3p!#REF!)-FIND(":",Protokoll_3p!#REF!))),1,0))</f>
        <v>#REF!</v>
      </c>
      <c r="G153" s="1" t="e">
        <f t="shared" si="4"/>
        <v>#REF!</v>
      </c>
      <c r="I153" s="1" t="e">
        <f>IF(Protokoll_3p!#REF!="","",IF(VALUE(LEFT(Protokoll_3p!#REF!,FIND(":",Protokoll_3p!#REF!)-1))&gt;VALUE(RIGHT(Protokoll_3p!#REF!,LEN(Protokoll_3p!#REF!)-FIND(":",Protokoll_3p!#REF!))),0,1))</f>
        <v>#REF!</v>
      </c>
      <c r="J153" s="1" t="e">
        <f>IF(Protokoll_3p!#REF!="","",IF(VALUE(LEFT(Protokoll_3p!#REF!,FIND(":",Protokoll_3p!#REF!)-1))&gt;VALUE(RIGHT(Protokoll_3p!#REF!,LEN(Protokoll_3p!#REF!)-FIND(":",Protokoll_3p!#REF!))),0,1))</f>
        <v>#REF!</v>
      </c>
      <c r="K153" s="1" t="e">
        <f>IF(Protokoll_3p!#REF!="","",IF(VALUE(LEFT(Protokoll_3p!#REF!,FIND(":",Protokoll_3p!#REF!)-1))&gt;VALUE(RIGHT(Protokoll_3p!#REF!,LEN(Protokoll_3p!#REF!)-FIND(":",Protokoll_3p!#REF!))),0,1))</f>
        <v>#REF!</v>
      </c>
      <c r="L153" s="1" t="e">
        <f>IF(Protokoll_3p!#REF!="","",IF(VALUE(LEFT(Protokoll_3p!#REF!,FIND(":",Protokoll_3p!#REF!)-1))&gt;VALUE(RIGHT(Protokoll_3p!#REF!,LEN(Protokoll_3p!#REF!)-FIND(":",Protokoll_3p!#REF!))),0,1))</f>
        <v>#REF!</v>
      </c>
      <c r="M153" s="1" t="e">
        <f>IF(Protokoll_3p!#REF!="","",IF(VALUE(LEFT(Protokoll_3p!#REF!,FIND(":",Protokoll_3p!#REF!)-1))&gt;VALUE(RIGHT(Protokoll_3p!#REF!,LEN(Protokoll_3p!#REF!)-FIND(":",Protokoll_3p!#REF!))),0,1))</f>
        <v>#REF!</v>
      </c>
      <c r="N153" s="1" t="e">
        <f t="shared" si="5"/>
        <v>#REF!</v>
      </c>
    </row>
    <row r="154" spans="2:14">
      <c r="B154" s="1" t="e">
        <f>IF(Protokoll_3p!#REF!="","",IF(VALUE(LEFT(Protokoll_3p!#REF!,FIND(":",Protokoll_3p!#REF!)-1))&gt;VALUE(RIGHT(Protokoll_3p!#REF!,LEN(Protokoll_3p!#REF!)-FIND(":",Protokoll_3p!#REF!))),1,0))</f>
        <v>#REF!</v>
      </c>
      <c r="C154" s="1" t="e">
        <f>IF(Protokoll_3p!#REF!="","",IF(VALUE(LEFT(Protokoll_3p!#REF!,FIND(":",Protokoll_3p!#REF!)-1))&gt;VALUE(RIGHT(Protokoll_3p!#REF!,LEN(Protokoll_3p!#REF!)-FIND(":",Protokoll_3p!#REF!))),1,0))</f>
        <v>#REF!</v>
      </c>
      <c r="D154" s="1" t="e">
        <f>IF(Protokoll_3p!#REF!="","",IF(VALUE(LEFT(Protokoll_3p!#REF!,FIND(":",Protokoll_3p!#REF!)-1))&gt;VALUE(RIGHT(Protokoll_3p!#REF!,LEN(Protokoll_3p!#REF!)-FIND(":",Protokoll_3p!#REF!))),1,0))</f>
        <v>#REF!</v>
      </c>
      <c r="E154" s="1" t="e">
        <f>IF(Protokoll_3p!#REF!="","",IF(VALUE(LEFT(Protokoll_3p!#REF!,FIND(":",Protokoll_3p!#REF!)-1))&gt;VALUE(RIGHT(Protokoll_3p!#REF!,LEN(Protokoll_3p!#REF!)-FIND(":",Protokoll_3p!#REF!))),1,0))</f>
        <v>#REF!</v>
      </c>
      <c r="F154" s="1" t="e">
        <f>IF(Protokoll_3p!#REF!="","",IF(VALUE(LEFT(Protokoll_3p!#REF!,FIND(":",Protokoll_3p!#REF!)-1))&gt;VALUE(RIGHT(Protokoll_3p!#REF!,LEN(Protokoll_3p!#REF!)-FIND(":",Protokoll_3p!#REF!))),1,0))</f>
        <v>#REF!</v>
      </c>
      <c r="G154" s="1" t="e">
        <f t="shared" si="4"/>
        <v>#REF!</v>
      </c>
      <c r="I154" s="1" t="e">
        <f>IF(Protokoll_3p!#REF!="","",IF(VALUE(LEFT(Protokoll_3p!#REF!,FIND(":",Protokoll_3p!#REF!)-1))&gt;VALUE(RIGHT(Protokoll_3p!#REF!,LEN(Protokoll_3p!#REF!)-FIND(":",Protokoll_3p!#REF!))),0,1))</f>
        <v>#REF!</v>
      </c>
      <c r="J154" s="1" t="e">
        <f>IF(Protokoll_3p!#REF!="","",IF(VALUE(LEFT(Protokoll_3p!#REF!,FIND(":",Protokoll_3p!#REF!)-1))&gt;VALUE(RIGHT(Protokoll_3p!#REF!,LEN(Protokoll_3p!#REF!)-FIND(":",Protokoll_3p!#REF!))),0,1))</f>
        <v>#REF!</v>
      </c>
      <c r="K154" s="1" t="e">
        <f>IF(Protokoll_3p!#REF!="","",IF(VALUE(LEFT(Protokoll_3p!#REF!,FIND(":",Protokoll_3p!#REF!)-1))&gt;VALUE(RIGHT(Protokoll_3p!#REF!,LEN(Protokoll_3p!#REF!)-FIND(":",Protokoll_3p!#REF!))),0,1))</f>
        <v>#REF!</v>
      </c>
      <c r="L154" s="1" t="e">
        <f>IF(Protokoll_3p!#REF!="","",IF(VALUE(LEFT(Protokoll_3p!#REF!,FIND(":",Protokoll_3p!#REF!)-1))&gt;VALUE(RIGHT(Protokoll_3p!#REF!,LEN(Protokoll_3p!#REF!)-FIND(":",Protokoll_3p!#REF!))),0,1))</f>
        <v>#REF!</v>
      </c>
      <c r="M154" s="1" t="e">
        <f>IF(Protokoll_3p!#REF!="","",IF(VALUE(LEFT(Protokoll_3p!#REF!,FIND(":",Protokoll_3p!#REF!)-1))&gt;VALUE(RIGHT(Protokoll_3p!#REF!,LEN(Protokoll_3p!#REF!)-FIND(":",Protokoll_3p!#REF!))),0,1))</f>
        <v>#REF!</v>
      </c>
      <c r="N154" s="1" t="e">
        <f t="shared" si="5"/>
        <v>#REF!</v>
      </c>
    </row>
    <row r="155" spans="2:14">
      <c r="B155" s="1" t="e">
        <f>IF(Protokoll_3p!#REF!="","",IF(VALUE(LEFT(Protokoll_3p!#REF!,FIND(":",Protokoll_3p!#REF!)-1))&gt;VALUE(RIGHT(Protokoll_3p!#REF!,LEN(Protokoll_3p!#REF!)-FIND(":",Protokoll_3p!#REF!))),1,0))</f>
        <v>#REF!</v>
      </c>
      <c r="C155" s="1" t="e">
        <f>IF(Protokoll_3p!#REF!="","",IF(VALUE(LEFT(Protokoll_3p!#REF!,FIND(":",Protokoll_3p!#REF!)-1))&gt;VALUE(RIGHT(Protokoll_3p!#REF!,LEN(Protokoll_3p!#REF!)-FIND(":",Protokoll_3p!#REF!))),1,0))</f>
        <v>#REF!</v>
      </c>
      <c r="D155" s="1" t="e">
        <f>IF(Protokoll_3p!#REF!="","",IF(VALUE(LEFT(Protokoll_3p!#REF!,FIND(":",Protokoll_3p!#REF!)-1))&gt;VALUE(RIGHT(Protokoll_3p!#REF!,LEN(Protokoll_3p!#REF!)-FIND(":",Protokoll_3p!#REF!))),1,0))</f>
        <v>#REF!</v>
      </c>
      <c r="E155" s="1" t="e">
        <f>IF(Protokoll_3p!#REF!="","",IF(VALUE(LEFT(Protokoll_3p!#REF!,FIND(":",Protokoll_3p!#REF!)-1))&gt;VALUE(RIGHT(Protokoll_3p!#REF!,LEN(Protokoll_3p!#REF!)-FIND(":",Protokoll_3p!#REF!))),1,0))</f>
        <v>#REF!</v>
      </c>
      <c r="F155" s="1" t="e">
        <f>IF(Protokoll_3p!#REF!="","",IF(VALUE(LEFT(Protokoll_3p!#REF!,FIND(":",Protokoll_3p!#REF!)-1))&gt;VALUE(RIGHT(Protokoll_3p!#REF!,LEN(Protokoll_3p!#REF!)-FIND(":",Protokoll_3p!#REF!))),1,0))</f>
        <v>#REF!</v>
      </c>
      <c r="G155" s="1" t="e">
        <f t="shared" si="4"/>
        <v>#REF!</v>
      </c>
      <c r="I155" s="1" t="e">
        <f>IF(Protokoll_3p!#REF!="","",IF(VALUE(LEFT(Protokoll_3p!#REF!,FIND(":",Protokoll_3p!#REF!)-1))&gt;VALUE(RIGHT(Protokoll_3p!#REF!,LEN(Protokoll_3p!#REF!)-FIND(":",Protokoll_3p!#REF!))),0,1))</f>
        <v>#REF!</v>
      </c>
      <c r="J155" s="1" t="e">
        <f>IF(Protokoll_3p!#REF!="","",IF(VALUE(LEFT(Protokoll_3p!#REF!,FIND(":",Protokoll_3p!#REF!)-1))&gt;VALUE(RIGHT(Protokoll_3p!#REF!,LEN(Protokoll_3p!#REF!)-FIND(":",Protokoll_3p!#REF!))),0,1))</f>
        <v>#REF!</v>
      </c>
      <c r="K155" s="1" t="e">
        <f>IF(Protokoll_3p!#REF!="","",IF(VALUE(LEFT(Protokoll_3p!#REF!,FIND(":",Protokoll_3p!#REF!)-1))&gt;VALUE(RIGHT(Protokoll_3p!#REF!,LEN(Protokoll_3p!#REF!)-FIND(":",Protokoll_3p!#REF!))),0,1))</f>
        <v>#REF!</v>
      </c>
      <c r="L155" s="1" t="e">
        <f>IF(Protokoll_3p!#REF!="","",IF(VALUE(LEFT(Protokoll_3p!#REF!,FIND(":",Protokoll_3p!#REF!)-1))&gt;VALUE(RIGHT(Protokoll_3p!#REF!,LEN(Protokoll_3p!#REF!)-FIND(":",Protokoll_3p!#REF!))),0,1))</f>
        <v>#REF!</v>
      </c>
      <c r="M155" s="1" t="e">
        <f>IF(Protokoll_3p!#REF!="","",IF(VALUE(LEFT(Protokoll_3p!#REF!,FIND(":",Protokoll_3p!#REF!)-1))&gt;VALUE(RIGHT(Protokoll_3p!#REF!,LEN(Protokoll_3p!#REF!)-FIND(":",Protokoll_3p!#REF!))),0,1))</f>
        <v>#REF!</v>
      </c>
      <c r="N155" s="1" t="e">
        <f t="shared" si="5"/>
        <v>#REF!</v>
      </c>
    </row>
    <row r="156" spans="2:14">
      <c r="B156" s="1" t="e">
        <f>IF(Protokoll_3p!#REF!="","",IF(VALUE(LEFT(Protokoll_3p!#REF!,FIND(":",Protokoll_3p!#REF!)-1))&gt;VALUE(RIGHT(Protokoll_3p!#REF!,LEN(Protokoll_3p!#REF!)-FIND(":",Protokoll_3p!#REF!))),1,0))</f>
        <v>#REF!</v>
      </c>
      <c r="C156" s="1" t="e">
        <f>IF(Protokoll_3p!#REF!="","",IF(VALUE(LEFT(Protokoll_3p!#REF!,FIND(":",Protokoll_3p!#REF!)-1))&gt;VALUE(RIGHT(Protokoll_3p!#REF!,LEN(Protokoll_3p!#REF!)-FIND(":",Protokoll_3p!#REF!))),1,0))</f>
        <v>#REF!</v>
      </c>
      <c r="D156" s="1" t="e">
        <f>IF(Protokoll_3p!#REF!="","",IF(VALUE(LEFT(Protokoll_3p!#REF!,FIND(":",Protokoll_3p!#REF!)-1))&gt;VALUE(RIGHT(Protokoll_3p!#REF!,LEN(Protokoll_3p!#REF!)-FIND(":",Protokoll_3p!#REF!))),1,0))</f>
        <v>#REF!</v>
      </c>
      <c r="E156" s="1" t="e">
        <f>IF(Protokoll_3p!#REF!="","",IF(VALUE(LEFT(Protokoll_3p!#REF!,FIND(":",Protokoll_3p!#REF!)-1))&gt;VALUE(RIGHT(Protokoll_3p!#REF!,LEN(Protokoll_3p!#REF!)-FIND(":",Protokoll_3p!#REF!))),1,0))</f>
        <v>#REF!</v>
      </c>
      <c r="F156" s="1" t="e">
        <f>IF(Protokoll_3p!#REF!="","",IF(VALUE(LEFT(Protokoll_3p!#REF!,FIND(":",Protokoll_3p!#REF!)-1))&gt;VALUE(RIGHT(Protokoll_3p!#REF!,LEN(Protokoll_3p!#REF!)-FIND(":",Protokoll_3p!#REF!))),1,0))</f>
        <v>#REF!</v>
      </c>
      <c r="G156" s="1" t="e">
        <f t="shared" si="4"/>
        <v>#REF!</v>
      </c>
      <c r="I156" s="1" t="e">
        <f>IF(Protokoll_3p!#REF!="","",IF(VALUE(LEFT(Protokoll_3p!#REF!,FIND(":",Protokoll_3p!#REF!)-1))&gt;VALUE(RIGHT(Protokoll_3p!#REF!,LEN(Protokoll_3p!#REF!)-FIND(":",Protokoll_3p!#REF!))),0,1))</f>
        <v>#REF!</v>
      </c>
      <c r="J156" s="1" t="e">
        <f>IF(Protokoll_3p!#REF!="","",IF(VALUE(LEFT(Protokoll_3p!#REF!,FIND(":",Protokoll_3p!#REF!)-1))&gt;VALUE(RIGHT(Protokoll_3p!#REF!,LEN(Protokoll_3p!#REF!)-FIND(":",Protokoll_3p!#REF!))),0,1))</f>
        <v>#REF!</v>
      </c>
      <c r="K156" s="1" t="e">
        <f>IF(Protokoll_3p!#REF!="","",IF(VALUE(LEFT(Protokoll_3p!#REF!,FIND(":",Protokoll_3p!#REF!)-1))&gt;VALUE(RIGHT(Protokoll_3p!#REF!,LEN(Protokoll_3p!#REF!)-FIND(":",Protokoll_3p!#REF!))),0,1))</f>
        <v>#REF!</v>
      </c>
      <c r="L156" s="1" t="e">
        <f>IF(Protokoll_3p!#REF!="","",IF(VALUE(LEFT(Protokoll_3p!#REF!,FIND(":",Protokoll_3p!#REF!)-1))&gt;VALUE(RIGHT(Protokoll_3p!#REF!,LEN(Protokoll_3p!#REF!)-FIND(":",Protokoll_3p!#REF!))),0,1))</f>
        <v>#REF!</v>
      </c>
      <c r="M156" s="1" t="e">
        <f>IF(Protokoll_3p!#REF!="","",IF(VALUE(LEFT(Protokoll_3p!#REF!,FIND(":",Protokoll_3p!#REF!)-1))&gt;VALUE(RIGHT(Protokoll_3p!#REF!,LEN(Protokoll_3p!#REF!)-FIND(":",Protokoll_3p!#REF!))),0,1))</f>
        <v>#REF!</v>
      </c>
      <c r="N156" s="1" t="e">
        <f t="shared" si="5"/>
        <v>#REF!</v>
      </c>
    </row>
    <row r="157" spans="2:14">
      <c r="B157" s="1" t="e">
        <f>IF(Protokoll_3p!#REF!="","",IF(VALUE(LEFT(Protokoll_3p!#REF!,FIND(":",Protokoll_3p!#REF!)-1))&gt;VALUE(RIGHT(Protokoll_3p!#REF!,LEN(Protokoll_3p!#REF!)-FIND(":",Protokoll_3p!#REF!))),1,0))</f>
        <v>#REF!</v>
      </c>
      <c r="C157" s="1" t="e">
        <f>IF(Protokoll_3p!#REF!="","",IF(VALUE(LEFT(Protokoll_3p!#REF!,FIND(":",Protokoll_3p!#REF!)-1))&gt;VALUE(RIGHT(Protokoll_3p!#REF!,LEN(Protokoll_3p!#REF!)-FIND(":",Protokoll_3p!#REF!))),1,0))</f>
        <v>#REF!</v>
      </c>
      <c r="D157" s="1" t="e">
        <f>IF(Protokoll_3p!#REF!="","",IF(VALUE(LEFT(Protokoll_3p!#REF!,FIND(":",Protokoll_3p!#REF!)-1))&gt;VALUE(RIGHT(Protokoll_3p!#REF!,LEN(Protokoll_3p!#REF!)-FIND(":",Protokoll_3p!#REF!))),1,0))</f>
        <v>#REF!</v>
      </c>
      <c r="E157" s="1" t="e">
        <f>IF(Protokoll_3p!#REF!="","",IF(VALUE(LEFT(Protokoll_3p!#REF!,FIND(":",Protokoll_3p!#REF!)-1))&gt;VALUE(RIGHT(Protokoll_3p!#REF!,LEN(Protokoll_3p!#REF!)-FIND(":",Protokoll_3p!#REF!))),1,0))</f>
        <v>#REF!</v>
      </c>
      <c r="F157" s="1" t="e">
        <f>IF(Protokoll_3p!#REF!="","",IF(VALUE(LEFT(Protokoll_3p!#REF!,FIND(":",Protokoll_3p!#REF!)-1))&gt;VALUE(RIGHT(Protokoll_3p!#REF!,LEN(Protokoll_3p!#REF!)-FIND(":",Protokoll_3p!#REF!))),1,0))</f>
        <v>#REF!</v>
      </c>
      <c r="G157" s="1" t="e">
        <f t="shared" si="4"/>
        <v>#REF!</v>
      </c>
      <c r="I157" s="1" t="e">
        <f>IF(Protokoll_3p!#REF!="","",IF(VALUE(LEFT(Protokoll_3p!#REF!,FIND(":",Protokoll_3p!#REF!)-1))&gt;VALUE(RIGHT(Protokoll_3p!#REF!,LEN(Protokoll_3p!#REF!)-FIND(":",Protokoll_3p!#REF!))),0,1))</f>
        <v>#REF!</v>
      </c>
      <c r="J157" s="1" t="e">
        <f>IF(Protokoll_3p!#REF!="","",IF(VALUE(LEFT(Protokoll_3p!#REF!,FIND(":",Protokoll_3p!#REF!)-1))&gt;VALUE(RIGHT(Protokoll_3p!#REF!,LEN(Protokoll_3p!#REF!)-FIND(":",Protokoll_3p!#REF!))),0,1))</f>
        <v>#REF!</v>
      </c>
      <c r="K157" s="1" t="e">
        <f>IF(Protokoll_3p!#REF!="","",IF(VALUE(LEFT(Protokoll_3p!#REF!,FIND(":",Protokoll_3p!#REF!)-1))&gt;VALUE(RIGHT(Protokoll_3p!#REF!,LEN(Protokoll_3p!#REF!)-FIND(":",Protokoll_3p!#REF!))),0,1))</f>
        <v>#REF!</v>
      </c>
      <c r="L157" s="1" t="e">
        <f>IF(Protokoll_3p!#REF!="","",IF(VALUE(LEFT(Protokoll_3p!#REF!,FIND(":",Protokoll_3p!#REF!)-1))&gt;VALUE(RIGHT(Protokoll_3p!#REF!,LEN(Protokoll_3p!#REF!)-FIND(":",Protokoll_3p!#REF!))),0,1))</f>
        <v>#REF!</v>
      </c>
      <c r="M157" s="1" t="e">
        <f>IF(Protokoll_3p!#REF!="","",IF(VALUE(LEFT(Protokoll_3p!#REF!,FIND(":",Protokoll_3p!#REF!)-1))&gt;VALUE(RIGHT(Protokoll_3p!#REF!,LEN(Protokoll_3p!#REF!)-FIND(":",Protokoll_3p!#REF!))),0,1))</f>
        <v>#REF!</v>
      </c>
      <c r="N157" s="1" t="e">
        <f t="shared" si="5"/>
        <v>#REF!</v>
      </c>
    </row>
    <row r="158" spans="2:14">
      <c r="B158" s="1" t="e">
        <f>IF(Protokoll_3p!#REF!="","",IF(VALUE(LEFT(Protokoll_3p!#REF!,FIND(":",Protokoll_3p!#REF!)-1))&gt;VALUE(RIGHT(Protokoll_3p!#REF!,LEN(Protokoll_3p!#REF!)-FIND(":",Protokoll_3p!#REF!))),1,0))</f>
        <v>#REF!</v>
      </c>
      <c r="C158" s="1" t="e">
        <f>IF(Protokoll_3p!#REF!="","",IF(VALUE(LEFT(Protokoll_3p!#REF!,FIND(":",Protokoll_3p!#REF!)-1))&gt;VALUE(RIGHT(Protokoll_3p!#REF!,LEN(Protokoll_3p!#REF!)-FIND(":",Protokoll_3p!#REF!))),1,0))</f>
        <v>#REF!</v>
      </c>
      <c r="D158" s="1" t="e">
        <f>IF(Protokoll_3p!#REF!="","",IF(VALUE(LEFT(Protokoll_3p!#REF!,FIND(":",Protokoll_3p!#REF!)-1))&gt;VALUE(RIGHT(Protokoll_3p!#REF!,LEN(Protokoll_3p!#REF!)-FIND(":",Protokoll_3p!#REF!))),1,0))</f>
        <v>#REF!</v>
      </c>
      <c r="E158" s="1" t="e">
        <f>IF(Protokoll_3p!#REF!="","",IF(VALUE(LEFT(Protokoll_3p!#REF!,FIND(":",Protokoll_3p!#REF!)-1))&gt;VALUE(RIGHT(Protokoll_3p!#REF!,LEN(Protokoll_3p!#REF!)-FIND(":",Protokoll_3p!#REF!))),1,0))</f>
        <v>#REF!</v>
      </c>
      <c r="F158" s="1" t="e">
        <f>IF(Protokoll_3p!#REF!="","",IF(VALUE(LEFT(Protokoll_3p!#REF!,FIND(":",Protokoll_3p!#REF!)-1))&gt;VALUE(RIGHT(Protokoll_3p!#REF!,LEN(Protokoll_3p!#REF!)-FIND(":",Protokoll_3p!#REF!))),1,0))</f>
        <v>#REF!</v>
      </c>
      <c r="G158" s="1" t="e">
        <f t="shared" si="4"/>
        <v>#REF!</v>
      </c>
      <c r="I158" s="1" t="e">
        <f>IF(Protokoll_3p!#REF!="","",IF(VALUE(LEFT(Protokoll_3p!#REF!,FIND(":",Protokoll_3p!#REF!)-1))&gt;VALUE(RIGHT(Protokoll_3p!#REF!,LEN(Protokoll_3p!#REF!)-FIND(":",Protokoll_3p!#REF!))),0,1))</f>
        <v>#REF!</v>
      </c>
      <c r="J158" s="1" t="e">
        <f>IF(Protokoll_3p!#REF!="","",IF(VALUE(LEFT(Protokoll_3p!#REF!,FIND(":",Protokoll_3p!#REF!)-1))&gt;VALUE(RIGHT(Protokoll_3p!#REF!,LEN(Protokoll_3p!#REF!)-FIND(":",Protokoll_3p!#REF!))),0,1))</f>
        <v>#REF!</v>
      </c>
      <c r="K158" s="1" t="e">
        <f>IF(Protokoll_3p!#REF!="","",IF(VALUE(LEFT(Protokoll_3p!#REF!,FIND(":",Protokoll_3p!#REF!)-1))&gt;VALUE(RIGHT(Protokoll_3p!#REF!,LEN(Protokoll_3p!#REF!)-FIND(":",Protokoll_3p!#REF!))),0,1))</f>
        <v>#REF!</v>
      </c>
      <c r="L158" s="1" t="e">
        <f>IF(Protokoll_3p!#REF!="","",IF(VALUE(LEFT(Protokoll_3p!#REF!,FIND(":",Protokoll_3p!#REF!)-1))&gt;VALUE(RIGHT(Protokoll_3p!#REF!,LEN(Protokoll_3p!#REF!)-FIND(":",Protokoll_3p!#REF!))),0,1))</f>
        <v>#REF!</v>
      </c>
      <c r="M158" s="1" t="e">
        <f>IF(Protokoll_3p!#REF!="","",IF(VALUE(LEFT(Protokoll_3p!#REF!,FIND(":",Protokoll_3p!#REF!)-1))&gt;VALUE(RIGHT(Protokoll_3p!#REF!,LEN(Protokoll_3p!#REF!)-FIND(":",Protokoll_3p!#REF!))),0,1))</f>
        <v>#REF!</v>
      </c>
      <c r="N158" s="1" t="e">
        <f t="shared" si="5"/>
        <v>#REF!</v>
      </c>
    </row>
    <row r="159" spans="2:14">
      <c r="B159" s="1" t="e">
        <f>IF(Protokoll_3p!#REF!="","",IF(VALUE(LEFT(Protokoll_3p!#REF!,FIND(":",Protokoll_3p!#REF!)-1))&gt;VALUE(RIGHT(Protokoll_3p!#REF!,LEN(Protokoll_3p!#REF!)-FIND(":",Protokoll_3p!#REF!))),1,0))</f>
        <v>#REF!</v>
      </c>
      <c r="C159" s="1" t="e">
        <f>IF(Protokoll_3p!#REF!="","",IF(VALUE(LEFT(Protokoll_3p!#REF!,FIND(":",Protokoll_3p!#REF!)-1))&gt;VALUE(RIGHT(Protokoll_3p!#REF!,LEN(Protokoll_3p!#REF!)-FIND(":",Protokoll_3p!#REF!))),1,0))</f>
        <v>#REF!</v>
      </c>
      <c r="D159" s="1" t="e">
        <f>IF(Protokoll_3p!#REF!="","",IF(VALUE(LEFT(Protokoll_3p!#REF!,FIND(":",Protokoll_3p!#REF!)-1))&gt;VALUE(RIGHT(Protokoll_3p!#REF!,LEN(Protokoll_3p!#REF!)-FIND(":",Protokoll_3p!#REF!))),1,0))</f>
        <v>#REF!</v>
      </c>
      <c r="E159" s="1" t="e">
        <f>IF(Protokoll_3p!#REF!="","",IF(VALUE(LEFT(Protokoll_3p!#REF!,FIND(":",Protokoll_3p!#REF!)-1))&gt;VALUE(RIGHT(Protokoll_3p!#REF!,LEN(Protokoll_3p!#REF!)-FIND(":",Protokoll_3p!#REF!))),1,0))</f>
        <v>#REF!</v>
      </c>
      <c r="F159" s="1" t="e">
        <f>IF(Protokoll_3p!#REF!="","",IF(VALUE(LEFT(Protokoll_3p!#REF!,FIND(":",Protokoll_3p!#REF!)-1))&gt;VALUE(RIGHT(Protokoll_3p!#REF!,LEN(Protokoll_3p!#REF!)-FIND(":",Protokoll_3p!#REF!))),1,0))</f>
        <v>#REF!</v>
      </c>
      <c r="G159" s="1" t="e">
        <f t="shared" si="4"/>
        <v>#REF!</v>
      </c>
      <c r="I159" s="1" t="e">
        <f>IF(Protokoll_3p!#REF!="","",IF(VALUE(LEFT(Protokoll_3p!#REF!,FIND(":",Protokoll_3p!#REF!)-1))&gt;VALUE(RIGHT(Protokoll_3p!#REF!,LEN(Protokoll_3p!#REF!)-FIND(":",Protokoll_3p!#REF!))),0,1))</f>
        <v>#REF!</v>
      </c>
      <c r="J159" s="1" t="e">
        <f>IF(Protokoll_3p!#REF!="","",IF(VALUE(LEFT(Protokoll_3p!#REF!,FIND(":",Protokoll_3p!#REF!)-1))&gt;VALUE(RIGHT(Protokoll_3p!#REF!,LEN(Protokoll_3p!#REF!)-FIND(":",Protokoll_3p!#REF!))),0,1))</f>
        <v>#REF!</v>
      </c>
      <c r="K159" s="1" t="e">
        <f>IF(Protokoll_3p!#REF!="","",IF(VALUE(LEFT(Protokoll_3p!#REF!,FIND(":",Protokoll_3p!#REF!)-1))&gt;VALUE(RIGHT(Protokoll_3p!#REF!,LEN(Protokoll_3p!#REF!)-FIND(":",Protokoll_3p!#REF!))),0,1))</f>
        <v>#REF!</v>
      </c>
      <c r="L159" s="1" t="e">
        <f>IF(Protokoll_3p!#REF!="","",IF(VALUE(LEFT(Protokoll_3p!#REF!,FIND(":",Protokoll_3p!#REF!)-1))&gt;VALUE(RIGHT(Protokoll_3p!#REF!,LEN(Protokoll_3p!#REF!)-FIND(":",Protokoll_3p!#REF!))),0,1))</f>
        <v>#REF!</v>
      </c>
      <c r="M159" s="1" t="e">
        <f>IF(Protokoll_3p!#REF!="","",IF(VALUE(LEFT(Protokoll_3p!#REF!,FIND(":",Protokoll_3p!#REF!)-1))&gt;VALUE(RIGHT(Protokoll_3p!#REF!,LEN(Protokoll_3p!#REF!)-FIND(":",Protokoll_3p!#REF!))),0,1))</f>
        <v>#REF!</v>
      </c>
      <c r="N159" s="1" t="e">
        <f t="shared" si="5"/>
        <v>#REF!</v>
      </c>
    </row>
    <row r="160" spans="2:14">
      <c r="B160" s="1" t="e">
        <f>IF(Protokoll_3p!#REF!="","",IF(VALUE(LEFT(Protokoll_3p!#REF!,FIND(":",Protokoll_3p!#REF!)-1))&gt;VALUE(RIGHT(Protokoll_3p!#REF!,LEN(Protokoll_3p!#REF!)-FIND(":",Protokoll_3p!#REF!))),1,0))</f>
        <v>#REF!</v>
      </c>
      <c r="C160" s="1" t="e">
        <f>IF(Protokoll_3p!#REF!="","",IF(VALUE(LEFT(Protokoll_3p!#REF!,FIND(":",Protokoll_3p!#REF!)-1))&gt;VALUE(RIGHT(Protokoll_3p!#REF!,LEN(Protokoll_3p!#REF!)-FIND(":",Protokoll_3p!#REF!))),1,0))</f>
        <v>#REF!</v>
      </c>
      <c r="D160" s="1" t="e">
        <f>IF(Protokoll_3p!#REF!="","",IF(VALUE(LEFT(Protokoll_3p!#REF!,FIND(":",Protokoll_3p!#REF!)-1))&gt;VALUE(RIGHT(Protokoll_3p!#REF!,LEN(Protokoll_3p!#REF!)-FIND(":",Protokoll_3p!#REF!))),1,0))</f>
        <v>#REF!</v>
      </c>
      <c r="E160" s="1" t="e">
        <f>IF(Protokoll_3p!#REF!="","",IF(VALUE(LEFT(Protokoll_3p!#REF!,FIND(":",Protokoll_3p!#REF!)-1))&gt;VALUE(RIGHT(Protokoll_3p!#REF!,LEN(Protokoll_3p!#REF!)-FIND(":",Protokoll_3p!#REF!))),1,0))</f>
        <v>#REF!</v>
      </c>
      <c r="F160" s="1" t="e">
        <f>IF(Protokoll_3p!#REF!="","",IF(VALUE(LEFT(Protokoll_3p!#REF!,FIND(":",Protokoll_3p!#REF!)-1))&gt;VALUE(RIGHT(Protokoll_3p!#REF!,LEN(Protokoll_3p!#REF!)-FIND(":",Protokoll_3p!#REF!))),1,0))</f>
        <v>#REF!</v>
      </c>
      <c r="G160" s="1" t="e">
        <f t="shared" si="4"/>
        <v>#REF!</v>
      </c>
      <c r="I160" s="1" t="e">
        <f>IF(Protokoll_3p!#REF!="","",IF(VALUE(LEFT(Protokoll_3p!#REF!,FIND(":",Protokoll_3p!#REF!)-1))&gt;VALUE(RIGHT(Protokoll_3p!#REF!,LEN(Protokoll_3p!#REF!)-FIND(":",Protokoll_3p!#REF!))),0,1))</f>
        <v>#REF!</v>
      </c>
      <c r="J160" s="1" t="e">
        <f>IF(Protokoll_3p!#REF!="","",IF(VALUE(LEFT(Protokoll_3p!#REF!,FIND(":",Protokoll_3p!#REF!)-1))&gt;VALUE(RIGHT(Protokoll_3p!#REF!,LEN(Protokoll_3p!#REF!)-FIND(":",Protokoll_3p!#REF!))),0,1))</f>
        <v>#REF!</v>
      </c>
      <c r="K160" s="1" t="e">
        <f>IF(Protokoll_3p!#REF!="","",IF(VALUE(LEFT(Protokoll_3p!#REF!,FIND(":",Protokoll_3p!#REF!)-1))&gt;VALUE(RIGHT(Protokoll_3p!#REF!,LEN(Protokoll_3p!#REF!)-FIND(":",Protokoll_3p!#REF!))),0,1))</f>
        <v>#REF!</v>
      </c>
      <c r="L160" s="1" t="e">
        <f>IF(Protokoll_3p!#REF!="","",IF(VALUE(LEFT(Protokoll_3p!#REF!,FIND(":",Protokoll_3p!#REF!)-1))&gt;VALUE(RIGHT(Protokoll_3p!#REF!,LEN(Protokoll_3p!#REF!)-FIND(":",Protokoll_3p!#REF!))),0,1))</f>
        <v>#REF!</v>
      </c>
      <c r="M160" s="1" t="e">
        <f>IF(Protokoll_3p!#REF!="","",IF(VALUE(LEFT(Protokoll_3p!#REF!,FIND(":",Protokoll_3p!#REF!)-1))&gt;VALUE(RIGHT(Protokoll_3p!#REF!,LEN(Protokoll_3p!#REF!)-FIND(":",Protokoll_3p!#REF!))),0,1))</f>
        <v>#REF!</v>
      </c>
      <c r="N160" s="1" t="e">
        <f t="shared" si="5"/>
        <v>#REF!</v>
      </c>
    </row>
    <row r="161" spans="2:14">
      <c r="B161" s="1" t="str">
        <f>IF(Protokoll_3p!F127="","",IF(VALUE(LEFT(Protokoll_3p!F127,FIND(":",Protokoll_3p!F127)-1))&gt;VALUE(RIGHT(Protokoll_3p!F127,LEN(Protokoll_3p!F127)-FIND(":",Protokoll_3p!F127))),1,0))</f>
        <v/>
      </c>
      <c r="C161" s="1" t="str">
        <f>IF(Protokoll_3p!G127="","",IF(VALUE(LEFT(Protokoll_3p!G127,FIND(":",Protokoll_3p!G127)-1))&gt;VALUE(RIGHT(Protokoll_3p!G127,LEN(Protokoll_3p!G127)-FIND(":",Protokoll_3p!G127))),1,0))</f>
        <v/>
      </c>
      <c r="D161" s="1" t="str">
        <f>IF(Protokoll_3p!H127="","",IF(VALUE(LEFT(Protokoll_3p!H127,FIND(":",Protokoll_3p!H127)-1))&gt;VALUE(RIGHT(Protokoll_3p!H127,LEN(Protokoll_3p!H127)-FIND(":",Protokoll_3p!H127))),1,0))</f>
        <v/>
      </c>
      <c r="E161" s="1" t="str">
        <f>IF(Protokoll_3p!I127="","",IF(VALUE(LEFT(Protokoll_3p!I127,FIND(":",Protokoll_3p!I127)-1))&gt;VALUE(RIGHT(Protokoll_3p!I127,LEN(Protokoll_3p!I127)-FIND(":",Protokoll_3p!I127))),1,0))</f>
        <v/>
      </c>
      <c r="F161" s="1" t="str">
        <f>IF(Protokoll_3p!J127="","",IF(VALUE(LEFT(Protokoll_3p!J127,FIND(":",Protokoll_3p!J127)-1))&gt;VALUE(RIGHT(Protokoll_3p!J127,LEN(Protokoll_3p!J127)-FIND(":",Protokoll_3p!J127))),1,0))</f>
        <v/>
      </c>
      <c r="G161" s="1" t="str">
        <f t="shared" si="4"/>
        <v/>
      </c>
      <c r="I161" s="1" t="str">
        <f>IF(Protokoll_3p!F127="","",IF(VALUE(LEFT(Protokoll_3p!F127,FIND(":",Protokoll_3p!F127)-1))&gt;VALUE(RIGHT(Protokoll_3p!F127,LEN(Protokoll_3p!F127)-FIND(":",Protokoll_3p!F127))),0,1))</f>
        <v/>
      </c>
      <c r="J161" s="1" t="str">
        <f>IF(Protokoll_3p!G127="","",IF(VALUE(LEFT(Protokoll_3p!G127,FIND(":",Protokoll_3p!G127)-1))&gt;VALUE(RIGHT(Protokoll_3p!G127,LEN(Protokoll_3p!G127)-FIND(":",Protokoll_3p!G127))),0,1))</f>
        <v/>
      </c>
      <c r="K161" s="1" t="str">
        <f>IF(Protokoll_3p!H127="","",IF(VALUE(LEFT(Protokoll_3p!H127,FIND(":",Protokoll_3p!H127)-1))&gt;VALUE(RIGHT(Protokoll_3p!H127,LEN(Protokoll_3p!H127)-FIND(":",Protokoll_3p!H127))),0,1))</f>
        <v/>
      </c>
      <c r="L161" s="1" t="str">
        <f>IF(Protokoll_3p!I127="","",IF(VALUE(LEFT(Protokoll_3p!I127,FIND(":",Protokoll_3p!I127)-1))&gt;VALUE(RIGHT(Protokoll_3p!I127,LEN(Protokoll_3p!I127)-FIND(":",Protokoll_3p!I127))),0,1))</f>
        <v/>
      </c>
      <c r="M161" s="1" t="str">
        <f>IF(Protokoll_3p!J127="","",IF(VALUE(LEFT(Protokoll_3p!J127,FIND(":",Protokoll_3p!J127)-1))&gt;VALUE(RIGHT(Protokoll_3p!J127,LEN(Protokoll_3p!J127)-FIND(":",Protokoll_3p!J127))),0,1))</f>
        <v/>
      </c>
      <c r="N161" s="1" t="str">
        <f t="shared" si="5"/>
        <v/>
      </c>
    </row>
    <row r="162" spans="2:14">
      <c r="B162" s="1" t="str">
        <f>IF(Protokoll_3p!F128="","",IF(VALUE(LEFT(Protokoll_3p!F128,FIND(":",Protokoll_3p!F128)-1))&gt;VALUE(RIGHT(Protokoll_3p!F128,LEN(Protokoll_3p!F128)-FIND(":",Protokoll_3p!F128))),1,0))</f>
        <v/>
      </c>
      <c r="C162" s="1" t="str">
        <f>IF(Protokoll_3p!G128="","",IF(VALUE(LEFT(Protokoll_3p!G128,FIND(":",Protokoll_3p!G128)-1))&gt;VALUE(RIGHT(Protokoll_3p!G128,LEN(Protokoll_3p!G128)-FIND(":",Protokoll_3p!G128))),1,0))</f>
        <v/>
      </c>
      <c r="D162" s="1" t="str">
        <f>IF(Protokoll_3p!H128="","",IF(VALUE(LEFT(Protokoll_3p!H128,FIND(":",Protokoll_3p!H128)-1))&gt;VALUE(RIGHT(Protokoll_3p!H128,LEN(Protokoll_3p!H128)-FIND(":",Protokoll_3p!H128))),1,0))</f>
        <v/>
      </c>
      <c r="E162" s="1" t="str">
        <f>IF(Protokoll_3p!I128="","",IF(VALUE(LEFT(Protokoll_3p!I128,FIND(":",Protokoll_3p!I128)-1))&gt;VALUE(RIGHT(Protokoll_3p!I128,LEN(Protokoll_3p!I128)-FIND(":",Protokoll_3p!I128))),1,0))</f>
        <v/>
      </c>
      <c r="F162" s="1" t="str">
        <f>IF(Protokoll_3p!J128="","",IF(VALUE(LEFT(Protokoll_3p!J128,FIND(":",Protokoll_3p!J128)-1))&gt;VALUE(RIGHT(Protokoll_3p!J128,LEN(Protokoll_3p!J128)-FIND(":",Protokoll_3p!J128))),1,0))</f>
        <v/>
      </c>
      <c r="G162" s="1" t="str">
        <f t="shared" si="4"/>
        <v/>
      </c>
      <c r="I162" s="1" t="str">
        <f>IF(Protokoll_3p!F128="","",IF(VALUE(LEFT(Protokoll_3p!F128,FIND(":",Protokoll_3p!F128)-1))&gt;VALUE(RIGHT(Protokoll_3p!F128,LEN(Protokoll_3p!F128)-FIND(":",Protokoll_3p!F128))),0,1))</f>
        <v/>
      </c>
      <c r="J162" s="1" t="str">
        <f>IF(Protokoll_3p!G128="","",IF(VALUE(LEFT(Protokoll_3p!G128,FIND(":",Protokoll_3p!G128)-1))&gt;VALUE(RIGHT(Protokoll_3p!G128,LEN(Protokoll_3p!G128)-FIND(":",Protokoll_3p!G128))),0,1))</f>
        <v/>
      </c>
      <c r="K162" s="1" t="str">
        <f>IF(Protokoll_3p!H128="","",IF(VALUE(LEFT(Protokoll_3p!H128,FIND(":",Protokoll_3p!H128)-1))&gt;VALUE(RIGHT(Protokoll_3p!H128,LEN(Protokoll_3p!H128)-FIND(":",Protokoll_3p!H128))),0,1))</f>
        <v/>
      </c>
      <c r="L162" s="1" t="str">
        <f>IF(Protokoll_3p!I128="","",IF(VALUE(LEFT(Protokoll_3p!I128,FIND(":",Protokoll_3p!I128)-1))&gt;VALUE(RIGHT(Protokoll_3p!I128,LEN(Protokoll_3p!I128)-FIND(":",Protokoll_3p!I128))),0,1))</f>
        <v/>
      </c>
      <c r="M162" s="1" t="str">
        <f>IF(Protokoll_3p!J128="","",IF(VALUE(LEFT(Protokoll_3p!J128,FIND(":",Protokoll_3p!J128)-1))&gt;VALUE(RIGHT(Protokoll_3p!J128,LEN(Protokoll_3p!J128)-FIND(":",Protokoll_3p!J128))),0,1))</f>
        <v/>
      </c>
      <c r="N162" s="1" t="str">
        <f t="shared" si="5"/>
        <v/>
      </c>
    </row>
    <row r="163" spans="2:14">
      <c r="B163" s="1" t="str">
        <f>IF(Protokoll_3p!F129="","",IF(VALUE(LEFT(Protokoll_3p!F129,FIND(":",Protokoll_3p!F129)-1))&gt;VALUE(RIGHT(Protokoll_3p!F129,LEN(Protokoll_3p!F129)-FIND(":",Protokoll_3p!F129))),1,0))</f>
        <v/>
      </c>
      <c r="C163" s="1" t="str">
        <f>IF(Protokoll_3p!G129="","",IF(VALUE(LEFT(Protokoll_3p!G129,FIND(":",Protokoll_3p!G129)-1))&gt;VALUE(RIGHT(Protokoll_3p!G129,LEN(Protokoll_3p!G129)-FIND(":",Protokoll_3p!G129))),1,0))</f>
        <v/>
      </c>
      <c r="D163" s="1" t="str">
        <f>IF(Protokoll_3p!H129="","",IF(VALUE(LEFT(Protokoll_3p!H129,FIND(":",Protokoll_3p!H129)-1))&gt;VALUE(RIGHT(Protokoll_3p!H129,LEN(Protokoll_3p!H129)-FIND(":",Protokoll_3p!H129))),1,0))</f>
        <v/>
      </c>
      <c r="E163" s="1" t="str">
        <f>IF(Protokoll_3p!I129="","",IF(VALUE(LEFT(Protokoll_3p!I129,FIND(":",Protokoll_3p!I129)-1))&gt;VALUE(RIGHT(Protokoll_3p!I129,LEN(Protokoll_3p!I129)-FIND(":",Protokoll_3p!I129))),1,0))</f>
        <v/>
      </c>
      <c r="F163" s="1" t="str">
        <f>IF(Protokoll_3p!J129="","",IF(VALUE(LEFT(Protokoll_3p!J129,FIND(":",Protokoll_3p!J129)-1))&gt;VALUE(RIGHT(Protokoll_3p!J129,LEN(Protokoll_3p!J129)-FIND(":",Protokoll_3p!J129))),1,0))</f>
        <v/>
      </c>
      <c r="G163" s="1" t="str">
        <f t="shared" si="4"/>
        <v/>
      </c>
      <c r="I163" s="1" t="str">
        <f>IF(Protokoll_3p!F129="","",IF(VALUE(LEFT(Protokoll_3p!F129,FIND(":",Protokoll_3p!F129)-1))&gt;VALUE(RIGHT(Protokoll_3p!F129,LEN(Protokoll_3p!F129)-FIND(":",Protokoll_3p!F129))),0,1))</f>
        <v/>
      </c>
      <c r="J163" s="1" t="str">
        <f>IF(Protokoll_3p!G129="","",IF(VALUE(LEFT(Protokoll_3p!G129,FIND(":",Protokoll_3p!G129)-1))&gt;VALUE(RIGHT(Protokoll_3p!G129,LEN(Protokoll_3p!G129)-FIND(":",Protokoll_3p!G129))),0,1))</f>
        <v/>
      </c>
      <c r="K163" s="1" t="str">
        <f>IF(Protokoll_3p!H129="","",IF(VALUE(LEFT(Protokoll_3p!H129,FIND(":",Protokoll_3p!H129)-1))&gt;VALUE(RIGHT(Protokoll_3p!H129,LEN(Protokoll_3p!H129)-FIND(":",Protokoll_3p!H129))),0,1))</f>
        <v/>
      </c>
      <c r="L163" s="1" t="str">
        <f>IF(Protokoll_3p!I129="","",IF(VALUE(LEFT(Protokoll_3p!I129,FIND(":",Protokoll_3p!I129)-1))&gt;VALUE(RIGHT(Protokoll_3p!I129,LEN(Protokoll_3p!I129)-FIND(":",Protokoll_3p!I129))),0,1))</f>
        <v/>
      </c>
      <c r="M163" s="1" t="str">
        <f>IF(Protokoll_3p!J129="","",IF(VALUE(LEFT(Protokoll_3p!J129,FIND(":",Protokoll_3p!J129)-1))&gt;VALUE(RIGHT(Protokoll_3p!J129,LEN(Protokoll_3p!J129)-FIND(":",Protokoll_3p!J129))),0,1))</f>
        <v/>
      </c>
      <c r="N163" s="1" t="str">
        <f t="shared" si="5"/>
        <v/>
      </c>
    </row>
    <row r="164" spans="2:14">
      <c r="B164" s="1" t="str">
        <f>IF(Protokoll_3p!F130="","",IF(VALUE(LEFT(Protokoll_3p!F130,FIND(":",Protokoll_3p!F130)-1))&gt;VALUE(RIGHT(Protokoll_3p!F130,LEN(Protokoll_3p!F130)-FIND(":",Protokoll_3p!F130))),1,0))</f>
        <v/>
      </c>
      <c r="C164" s="1" t="str">
        <f>IF(Protokoll_3p!G130="","",IF(VALUE(LEFT(Protokoll_3p!G130,FIND(":",Protokoll_3p!G130)-1))&gt;VALUE(RIGHT(Protokoll_3p!G130,LEN(Protokoll_3p!G130)-FIND(":",Protokoll_3p!G130))),1,0))</f>
        <v/>
      </c>
      <c r="D164" s="1" t="str">
        <f>IF(Protokoll_3p!H130="","",IF(VALUE(LEFT(Protokoll_3p!H130,FIND(":",Protokoll_3p!H130)-1))&gt;VALUE(RIGHT(Protokoll_3p!H130,LEN(Protokoll_3p!H130)-FIND(":",Protokoll_3p!H130))),1,0))</f>
        <v/>
      </c>
      <c r="E164" s="1" t="str">
        <f>IF(Protokoll_3p!I130="","",IF(VALUE(LEFT(Protokoll_3p!I130,FIND(":",Protokoll_3p!I130)-1))&gt;VALUE(RIGHT(Protokoll_3p!I130,LEN(Protokoll_3p!I130)-FIND(":",Protokoll_3p!I130))),1,0))</f>
        <v/>
      </c>
      <c r="F164" s="1" t="str">
        <f>IF(Protokoll_3p!J130="","",IF(VALUE(LEFT(Protokoll_3p!J130,FIND(":",Protokoll_3p!J130)-1))&gt;VALUE(RIGHT(Protokoll_3p!J130,LEN(Protokoll_3p!J130)-FIND(":",Protokoll_3p!J130))),1,0))</f>
        <v/>
      </c>
      <c r="G164" s="1" t="str">
        <f t="shared" si="4"/>
        <v/>
      </c>
      <c r="I164" s="1" t="str">
        <f>IF(Protokoll_3p!F130="","",IF(VALUE(LEFT(Protokoll_3p!F130,FIND(":",Protokoll_3p!F130)-1))&gt;VALUE(RIGHT(Protokoll_3p!F130,LEN(Protokoll_3p!F130)-FIND(":",Protokoll_3p!F130))),0,1))</f>
        <v/>
      </c>
      <c r="J164" s="1" t="str">
        <f>IF(Protokoll_3p!G130="","",IF(VALUE(LEFT(Protokoll_3p!G130,FIND(":",Protokoll_3p!G130)-1))&gt;VALUE(RIGHT(Protokoll_3p!G130,LEN(Protokoll_3p!G130)-FIND(":",Protokoll_3p!G130))),0,1))</f>
        <v/>
      </c>
      <c r="K164" s="1" t="str">
        <f>IF(Protokoll_3p!H130="","",IF(VALUE(LEFT(Protokoll_3p!H130,FIND(":",Protokoll_3p!H130)-1))&gt;VALUE(RIGHT(Protokoll_3p!H130,LEN(Protokoll_3p!H130)-FIND(":",Protokoll_3p!H130))),0,1))</f>
        <v/>
      </c>
      <c r="L164" s="1" t="str">
        <f>IF(Protokoll_3p!I130="","",IF(VALUE(LEFT(Protokoll_3p!I130,FIND(":",Protokoll_3p!I130)-1))&gt;VALUE(RIGHT(Protokoll_3p!I130,LEN(Protokoll_3p!I130)-FIND(":",Protokoll_3p!I130))),0,1))</f>
        <v/>
      </c>
      <c r="M164" s="1" t="str">
        <f>IF(Protokoll_3p!J130="","",IF(VALUE(LEFT(Protokoll_3p!J130,FIND(":",Protokoll_3p!J130)-1))&gt;VALUE(RIGHT(Protokoll_3p!J130,LEN(Protokoll_3p!J130)-FIND(":",Protokoll_3p!J130))),0,1))</f>
        <v/>
      </c>
      <c r="N164" s="1" t="str">
        <f t="shared" si="5"/>
        <v/>
      </c>
    </row>
    <row r="165" spans="2:14">
      <c r="B165" s="1" t="str">
        <f>IF(Protokoll_3p!F131="","",IF(VALUE(LEFT(Protokoll_3p!F131,FIND(":",Protokoll_3p!F131)-1))&gt;VALUE(RIGHT(Protokoll_3p!F131,LEN(Protokoll_3p!F131)-FIND(":",Protokoll_3p!F131))),1,0))</f>
        <v/>
      </c>
      <c r="C165" s="1" t="str">
        <f>IF(Protokoll_3p!G131="","",IF(VALUE(LEFT(Protokoll_3p!G131,FIND(":",Protokoll_3p!G131)-1))&gt;VALUE(RIGHT(Protokoll_3p!G131,LEN(Protokoll_3p!G131)-FIND(":",Protokoll_3p!G131))),1,0))</f>
        <v/>
      </c>
      <c r="D165" s="1" t="str">
        <f>IF(Protokoll_3p!H131="","",IF(VALUE(LEFT(Protokoll_3p!H131,FIND(":",Protokoll_3p!H131)-1))&gt;VALUE(RIGHT(Protokoll_3p!H131,LEN(Protokoll_3p!H131)-FIND(":",Protokoll_3p!H131))),1,0))</f>
        <v/>
      </c>
      <c r="E165" s="1" t="str">
        <f>IF(Protokoll_3p!I131="","",IF(VALUE(LEFT(Protokoll_3p!I131,FIND(":",Protokoll_3p!I131)-1))&gt;VALUE(RIGHT(Protokoll_3p!I131,LEN(Protokoll_3p!I131)-FIND(":",Protokoll_3p!I131))),1,0))</f>
        <v/>
      </c>
      <c r="F165" s="1" t="str">
        <f>IF(Protokoll_3p!J131="","",IF(VALUE(LEFT(Protokoll_3p!J131,FIND(":",Protokoll_3p!J131)-1))&gt;VALUE(RIGHT(Protokoll_3p!J131,LEN(Protokoll_3p!J131)-FIND(":",Protokoll_3p!J131))),1,0))</f>
        <v/>
      </c>
      <c r="G165" s="1" t="str">
        <f t="shared" si="4"/>
        <v/>
      </c>
      <c r="I165" s="1" t="str">
        <f>IF(Protokoll_3p!F131="","",IF(VALUE(LEFT(Protokoll_3p!F131,FIND(":",Protokoll_3p!F131)-1))&gt;VALUE(RIGHT(Protokoll_3p!F131,LEN(Protokoll_3p!F131)-FIND(":",Protokoll_3p!F131))),0,1))</f>
        <v/>
      </c>
      <c r="J165" s="1" t="str">
        <f>IF(Protokoll_3p!G131="","",IF(VALUE(LEFT(Protokoll_3p!G131,FIND(":",Protokoll_3p!G131)-1))&gt;VALUE(RIGHT(Protokoll_3p!G131,LEN(Protokoll_3p!G131)-FIND(":",Protokoll_3p!G131))),0,1))</f>
        <v/>
      </c>
      <c r="K165" s="1" t="str">
        <f>IF(Protokoll_3p!H131="","",IF(VALUE(LEFT(Protokoll_3p!H131,FIND(":",Protokoll_3p!H131)-1))&gt;VALUE(RIGHT(Protokoll_3p!H131,LEN(Protokoll_3p!H131)-FIND(":",Protokoll_3p!H131))),0,1))</f>
        <v/>
      </c>
      <c r="L165" s="1" t="str">
        <f>IF(Protokoll_3p!I131="","",IF(VALUE(LEFT(Protokoll_3p!I131,FIND(":",Protokoll_3p!I131)-1))&gt;VALUE(RIGHT(Protokoll_3p!I131,LEN(Protokoll_3p!I131)-FIND(":",Protokoll_3p!I131))),0,1))</f>
        <v/>
      </c>
      <c r="M165" s="1" t="str">
        <f>IF(Protokoll_3p!J131="","",IF(VALUE(LEFT(Protokoll_3p!J131,FIND(":",Protokoll_3p!J131)-1))&gt;VALUE(RIGHT(Protokoll_3p!J131,LEN(Protokoll_3p!J131)-FIND(":",Protokoll_3p!J131))),0,1))</f>
        <v/>
      </c>
      <c r="N165" s="1" t="str">
        <f t="shared" si="5"/>
        <v/>
      </c>
    </row>
    <row r="166" spans="2:14">
      <c r="B166" s="1" t="str">
        <f>IF(Protokoll_3p!F132="","",IF(VALUE(LEFT(Protokoll_3p!F132,FIND(":",Protokoll_3p!F132)-1))&gt;VALUE(RIGHT(Protokoll_3p!F132,LEN(Protokoll_3p!F132)-FIND(":",Protokoll_3p!F132))),1,0))</f>
        <v/>
      </c>
      <c r="C166" s="1" t="str">
        <f>IF(Protokoll_3p!G132="","",IF(VALUE(LEFT(Protokoll_3p!G132,FIND(":",Protokoll_3p!G132)-1))&gt;VALUE(RIGHT(Protokoll_3p!G132,LEN(Protokoll_3p!G132)-FIND(":",Protokoll_3p!G132))),1,0))</f>
        <v/>
      </c>
      <c r="D166" s="1" t="str">
        <f>IF(Protokoll_3p!H132="","",IF(VALUE(LEFT(Protokoll_3p!H132,FIND(":",Protokoll_3p!H132)-1))&gt;VALUE(RIGHT(Protokoll_3p!H132,LEN(Protokoll_3p!H132)-FIND(":",Protokoll_3p!H132))),1,0))</f>
        <v/>
      </c>
      <c r="E166" s="1" t="str">
        <f>IF(Protokoll_3p!I132="","",IF(VALUE(LEFT(Protokoll_3p!I132,FIND(":",Protokoll_3p!I132)-1))&gt;VALUE(RIGHT(Protokoll_3p!I132,LEN(Protokoll_3p!I132)-FIND(":",Protokoll_3p!I132))),1,0))</f>
        <v/>
      </c>
      <c r="F166" s="1" t="str">
        <f>IF(Protokoll_3p!J132="","",IF(VALUE(LEFT(Protokoll_3p!J132,FIND(":",Protokoll_3p!J132)-1))&gt;VALUE(RIGHT(Protokoll_3p!J132,LEN(Protokoll_3p!J132)-FIND(":",Protokoll_3p!J132))),1,0))</f>
        <v/>
      </c>
      <c r="G166" s="1" t="str">
        <f t="shared" si="4"/>
        <v/>
      </c>
      <c r="I166" s="1" t="str">
        <f>IF(Protokoll_3p!F132="","",IF(VALUE(LEFT(Protokoll_3p!F132,FIND(":",Protokoll_3p!F132)-1))&gt;VALUE(RIGHT(Protokoll_3p!F132,LEN(Protokoll_3p!F132)-FIND(":",Protokoll_3p!F132))),0,1))</f>
        <v/>
      </c>
      <c r="J166" s="1" t="str">
        <f>IF(Protokoll_3p!G132="","",IF(VALUE(LEFT(Protokoll_3p!G132,FIND(":",Protokoll_3p!G132)-1))&gt;VALUE(RIGHT(Protokoll_3p!G132,LEN(Protokoll_3p!G132)-FIND(":",Protokoll_3p!G132))),0,1))</f>
        <v/>
      </c>
      <c r="K166" s="1" t="str">
        <f>IF(Protokoll_3p!H132="","",IF(VALUE(LEFT(Protokoll_3p!H132,FIND(":",Protokoll_3p!H132)-1))&gt;VALUE(RIGHT(Protokoll_3p!H132,LEN(Protokoll_3p!H132)-FIND(":",Protokoll_3p!H132))),0,1))</f>
        <v/>
      </c>
      <c r="L166" s="1" t="str">
        <f>IF(Protokoll_3p!I132="","",IF(VALUE(LEFT(Protokoll_3p!I132,FIND(":",Protokoll_3p!I132)-1))&gt;VALUE(RIGHT(Protokoll_3p!I132,LEN(Protokoll_3p!I132)-FIND(":",Protokoll_3p!I132))),0,1))</f>
        <v/>
      </c>
      <c r="M166" s="1" t="str">
        <f>IF(Protokoll_3p!J132="","",IF(VALUE(LEFT(Protokoll_3p!J132,FIND(":",Protokoll_3p!J132)-1))&gt;VALUE(RIGHT(Protokoll_3p!J132,LEN(Protokoll_3p!J132)-FIND(":",Protokoll_3p!J132))),0,1))</f>
        <v/>
      </c>
      <c r="N166" s="1" t="str">
        <f t="shared" si="5"/>
        <v/>
      </c>
    </row>
    <row r="167" spans="2:14">
      <c r="B167" s="1" t="str">
        <f>IF(Protokoll_3p!F133="","",IF(VALUE(LEFT(Protokoll_3p!F133,FIND(":",Protokoll_3p!F133)-1))&gt;VALUE(RIGHT(Protokoll_3p!F133,LEN(Protokoll_3p!F133)-FIND(":",Protokoll_3p!F133))),1,0))</f>
        <v/>
      </c>
      <c r="C167" s="1" t="str">
        <f>IF(Protokoll_3p!G133="","",IF(VALUE(LEFT(Protokoll_3p!G133,FIND(":",Protokoll_3p!G133)-1))&gt;VALUE(RIGHT(Protokoll_3p!G133,LEN(Protokoll_3p!G133)-FIND(":",Protokoll_3p!G133))),1,0))</f>
        <v/>
      </c>
      <c r="D167" s="1" t="str">
        <f>IF(Protokoll_3p!H133="","",IF(VALUE(LEFT(Protokoll_3p!H133,FIND(":",Protokoll_3p!H133)-1))&gt;VALUE(RIGHT(Protokoll_3p!H133,LEN(Protokoll_3p!H133)-FIND(":",Protokoll_3p!H133))),1,0))</f>
        <v/>
      </c>
      <c r="E167" s="1" t="str">
        <f>IF(Protokoll_3p!I133="","",IF(VALUE(LEFT(Protokoll_3p!I133,FIND(":",Protokoll_3p!I133)-1))&gt;VALUE(RIGHT(Protokoll_3p!I133,LEN(Protokoll_3p!I133)-FIND(":",Protokoll_3p!I133))),1,0))</f>
        <v/>
      </c>
      <c r="F167" s="1" t="str">
        <f>IF(Protokoll_3p!J133="","",IF(VALUE(LEFT(Protokoll_3p!J133,FIND(":",Protokoll_3p!J133)-1))&gt;VALUE(RIGHT(Protokoll_3p!J133,LEN(Protokoll_3p!J133)-FIND(":",Protokoll_3p!J133))),1,0))</f>
        <v/>
      </c>
      <c r="G167" s="1" t="str">
        <f t="shared" si="4"/>
        <v/>
      </c>
      <c r="I167" s="1" t="str">
        <f>IF(Protokoll_3p!F133="","",IF(VALUE(LEFT(Protokoll_3p!F133,FIND(":",Protokoll_3p!F133)-1))&gt;VALUE(RIGHT(Protokoll_3p!F133,LEN(Protokoll_3p!F133)-FIND(":",Protokoll_3p!F133))),0,1))</f>
        <v/>
      </c>
      <c r="J167" s="1" t="str">
        <f>IF(Protokoll_3p!G133="","",IF(VALUE(LEFT(Protokoll_3p!G133,FIND(":",Protokoll_3p!G133)-1))&gt;VALUE(RIGHT(Protokoll_3p!G133,LEN(Protokoll_3p!G133)-FIND(":",Protokoll_3p!G133))),0,1))</f>
        <v/>
      </c>
      <c r="K167" s="1" t="str">
        <f>IF(Protokoll_3p!H133="","",IF(VALUE(LEFT(Protokoll_3p!H133,FIND(":",Protokoll_3p!H133)-1))&gt;VALUE(RIGHT(Protokoll_3p!H133,LEN(Protokoll_3p!H133)-FIND(":",Protokoll_3p!H133))),0,1))</f>
        <v/>
      </c>
      <c r="L167" s="1" t="str">
        <f>IF(Protokoll_3p!I133="","",IF(VALUE(LEFT(Protokoll_3p!I133,FIND(":",Protokoll_3p!I133)-1))&gt;VALUE(RIGHT(Protokoll_3p!I133,LEN(Protokoll_3p!I133)-FIND(":",Protokoll_3p!I133))),0,1))</f>
        <v/>
      </c>
      <c r="M167" s="1" t="str">
        <f>IF(Protokoll_3p!J133="","",IF(VALUE(LEFT(Protokoll_3p!J133,FIND(":",Protokoll_3p!J133)-1))&gt;VALUE(RIGHT(Protokoll_3p!J133,LEN(Protokoll_3p!J133)-FIND(":",Protokoll_3p!J133))),0,1))</f>
        <v/>
      </c>
      <c r="N167" s="1" t="str">
        <f t="shared" si="5"/>
        <v/>
      </c>
    </row>
    <row r="168" spans="2:14">
      <c r="B168" s="1" t="str">
        <f>IF(Protokoll_3p!F134="","",IF(VALUE(LEFT(Protokoll_3p!F134,FIND(":",Protokoll_3p!F134)-1))&gt;VALUE(RIGHT(Protokoll_3p!F134,LEN(Protokoll_3p!F134)-FIND(":",Protokoll_3p!F134))),1,0))</f>
        <v/>
      </c>
      <c r="C168" s="1" t="str">
        <f>IF(Protokoll_3p!G134="","",IF(VALUE(LEFT(Protokoll_3p!G134,FIND(":",Protokoll_3p!G134)-1))&gt;VALUE(RIGHT(Protokoll_3p!G134,LEN(Protokoll_3p!G134)-FIND(":",Protokoll_3p!G134))),1,0))</f>
        <v/>
      </c>
      <c r="D168" s="1" t="str">
        <f>IF(Protokoll_3p!H134="","",IF(VALUE(LEFT(Protokoll_3p!H134,FIND(":",Protokoll_3p!H134)-1))&gt;VALUE(RIGHT(Protokoll_3p!H134,LEN(Protokoll_3p!H134)-FIND(":",Protokoll_3p!H134))),1,0))</f>
        <v/>
      </c>
      <c r="E168" s="1" t="str">
        <f>IF(Protokoll_3p!I134="","",IF(VALUE(LEFT(Protokoll_3p!I134,FIND(":",Protokoll_3p!I134)-1))&gt;VALUE(RIGHT(Protokoll_3p!I134,LEN(Protokoll_3p!I134)-FIND(":",Protokoll_3p!I134))),1,0))</f>
        <v/>
      </c>
      <c r="F168" s="1" t="str">
        <f>IF(Protokoll_3p!J134="","",IF(VALUE(LEFT(Protokoll_3p!J134,FIND(":",Protokoll_3p!J134)-1))&gt;VALUE(RIGHT(Protokoll_3p!J134,LEN(Protokoll_3p!J134)-FIND(":",Protokoll_3p!J134))),1,0))</f>
        <v/>
      </c>
      <c r="G168" s="1" t="str">
        <f t="shared" si="4"/>
        <v/>
      </c>
      <c r="I168" s="1" t="str">
        <f>IF(Protokoll_3p!F134="","",IF(VALUE(LEFT(Protokoll_3p!F134,FIND(":",Protokoll_3p!F134)-1))&gt;VALUE(RIGHT(Protokoll_3p!F134,LEN(Protokoll_3p!F134)-FIND(":",Protokoll_3p!F134))),0,1))</f>
        <v/>
      </c>
      <c r="J168" s="1" t="str">
        <f>IF(Protokoll_3p!G134="","",IF(VALUE(LEFT(Protokoll_3p!G134,FIND(":",Protokoll_3p!G134)-1))&gt;VALUE(RIGHT(Protokoll_3p!G134,LEN(Protokoll_3p!G134)-FIND(":",Protokoll_3p!G134))),0,1))</f>
        <v/>
      </c>
      <c r="K168" s="1" t="str">
        <f>IF(Protokoll_3p!H134="","",IF(VALUE(LEFT(Protokoll_3p!H134,FIND(":",Protokoll_3p!H134)-1))&gt;VALUE(RIGHT(Protokoll_3p!H134,LEN(Protokoll_3p!H134)-FIND(":",Protokoll_3p!H134))),0,1))</f>
        <v/>
      </c>
      <c r="L168" s="1" t="str">
        <f>IF(Protokoll_3p!I134="","",IF(VALUE(LEFT(Protokoll_3p!I134,FIND(":",Protokoll_3p!I134)-1))&gt;VALUE(RIGHT(Protokoll_3p!I134,LEN(Protokoll_3p!I134)-FIND(":",Protokoll_3p!I134))),0,1))</f>
        <v/>
      </c>
      <c r="M168" s="1" t="str">
        <f>IF(Protokoll_3p!J134="","",IF(VALUE(LEFT(Protokoll_3p!J134,FIND(":",Protokoll_3p!J134)-1))&gt;VALUE(RIGHT(Protokoll_3p!J134,LEN(Protokoll_3p!J134)-FIND(":",Protokoll_3p!J134))),0,1))</f>
        <v/>
      </c>
      <c r="N168" s="1" t="str">
        <f t="shared" si="5"/>
        <v/>
      </c>
    </row>
    <row r="169" spans="2:14">
      <c r="B169" s="1" t="str">
        <f>IF(Protokoll_3p!F135="","",IF(VALUE(LEFT(Protokoll_3p!F135,FIND(":",Protokoll_3p!F135)-1))&gt;VALUE(RIGHT(Protokoll_3p!F135,LEN(Protokoll_3p!F135)-FIND(":",Protokoll_3p!F135))),1,0))</f>
        <v/>
      </c>
      <c r="C169" s="1" t="str">
        <f>IF(Protokoll_3p!G135="","",IF(VALUE(LEFT(Protokoll_3p!G135,FIND(":",Protokoll_3p!G135)-1))&gt;VALUE(RIGHT(Protokoll_3p!G135,LEN(Protokoll_3p!G135)-FIND(":",Protokoll_3p!G135))),1,0))</f>
        <v/>
      </c>
      <c r="D169" s="1" t="str">
        <f>IF(Protokoll_3p!H135="","",IF(VALUE(LEFT(Protokoll_3p!H135,FIND(":",Protokoll_3p!H135)-1))&gt;VALUE(RIGHT(Protokoll_3p!H135,LEN(Protokoll_3p!H135)-FIND(":",Protokoll_3p!H135))),1,0))</f>
        <v/>
      </c>
      <c r="E169" s="1" t="str">
        <f>IF(Protokoll_3p!I135="","",IF(VALUE(LEFT(Protokoll_3p!I135,FIND(":",Protokoll_3p!I135)-1))&gt;VALUE(RIGHT(Protokoll_3p!I135,LEN(Protokoll_3p!I135)-FIND(":",Protokoll_3p!I135))),1,0))</f>
        <v/>
      </c>
      <c r="F169" s="1" t="str">
        <f>IF(Protokoll_3p!J135="","",IF(VALUE(LEFT(Protokoll_3p!J135,FIND(":",Protokoll_3p!J135)-1))&gt;VALUE(RIGHT(Protokoll_3p!J135,LEN(Protokoll_3p!J135)-FIND(":",Protokoll_3p!J135))),1,0))</f>
        <v/>
      </c>
      <c r="G169" s="1" t="str">
        <f t="shared" si="4"/>
        <v/>
      </c>
      <c r="I169" s="1" t="str">
        <f>IF(Protokoll_3p!F135="","",IF(VALUE(LEFT(Protokoll_3p!F135,FIND(":",Protokoll_3p!F135)-1))&gt;VALUE(RIGHT(Protokoll_3p!F135,LEN(Protokoll_3p!F135)-FIND(":",Protokoll_3p!F135))),0,1))</f>
        <v/>
      </c>
      <c r="J169" s="1" t="str">
        <f>IF(Protokoll_3p!G135="","",IF(VALUE(LEFT(Protokoll_3p!G135,FIND(":",Protokoll_3p!G135)-1))&gt;VALUE(RIGHT(Protokoll_3p!G135,LEN(Protokoll_3p!G135)-FIND(":",Protokoll_3p!G135))),0,1))</f>
        <v/>
      </c>
      <c r="K169" s="1" t="str">
        <f>IF(Protokoll_3p!H135="","",IF(VALUE(LEFT(Protokoll_3p!H135,FIND(":",Protokoll_3p!H135)-1))&gt;VALUE(RIGHT(Protokoll_3p!H135,LEN(Protokoll_3p!H135)-FIND(":",Protokoll_3p!H135))),0,1))</f>
        <v/>
      </c>
      <c r="L169" s="1" t="str">
        <f>IF(Protokoll_3p!I135="","",IF(VALUE(LEFT(Protokoll_3p!I135,FIND(":",Protokoll_3p!I135)-1))&gt;VALUE(RIGHT(Protokoll_3p!I135,LEN(Protokoll_3p!I135)-FIND(":",Protokoll_3p!I135))),0,1))</f>
        <v/>
      </c>
      <c r="M169" s="1" t="str">
        <f>IF(Protokoll_3p!J135="","",IF(VALUE(LEFT(Protokoll_3p!J135,FIND(":",Protokoll_3p!J135)-1))&gt;VALUE(RIGHT(Protokoll_3p!J135,LEN(Protokoll_3p!J135)-FIND(":",Protokoll_3p!J135))),0,1))</f>
        <v/>
      </c>
      <c r="N169" s="1" t="str">
        <f t="shared" si="5"/>
        <v/>
      </c>
    </row>
    <row r="170" spans="2:14">
      <c r="B170" s="1" t="str">
        <f>IF(Protokoll_3p!F136="","",IF(VALUE(LEFT(Protokoll_3p!F136,FIND(":",Protokoll_3p!F136)-1))&gt;VALUE(RIGHT(Protokoll_3p!F136,LEN(Protokoll_3p!F136)-FIND(":",Protokoll_3p!F136))),1,0))</f>
        <v/>
      </c>
      <c r="C170" s="1" t="str">
        <f>IF(Protokoll_3p!G136="","",IF(VALUE(LEFT(Protokoll_3p!G136,FIND(":",Protokoll_3p!G136)-1))&gt;VALUE(RIGHT(Protokoll_3p!G136,LEN(Protokoll_3p!G136)-FIND(":",Protokoll_3p!G136))),1,0))</f>
        <v/>
      </c>
      <c r="D170" s="1" t="str">
        <f>IF(Protokoll_3p!H136="","",IF(VALUE(LEFT(Protokoll_3p!H136,FIND(":",Protokoll_3p!H136)-1))&gt;VALUE(RIGHT(Protokoll_3p!H136,LEN(Protokoll_3p!H136)-FIND(":",Protokoll_3p!H136))),1,0))</f>
        <v/>
      </c>
      <c r="E170" s="1" t="str">
        <f>IF(Protokoll_3p!I136="","",IF(VALUE(LEFT(Protokoll_3p!I136,FIND(":",Protokoll_3p!I136)-1))&gt;VALUE(RIGHT(Protokoll_3p!I136,LEN(Protokoll_3p!I136)-FIND(":",Protokoll_3p!I136))),1,0))</f>
        <v/>
      </c>
      <c r="F170" s="1" t="str">
        <f>IF(Protokoll_3p!J136="","",IF(VALUE(LEFT(Protokoll_3p!J136,FIND(":",Protokoll_3p!J136)-1))&gt;VALUE(RIGHT(Protokoll_3p!J136,LEN(Protokoll_3p!J136)-FIND(":",Protokoll_3p!J136))),1,0))</f>
        <v/>
      </c>
      <c r="G170" s="1" t="str">
        <f t="shared" si="4"/>
        <v/>
      </c>
      <c r="I170" s="1" t="str">
        <f>IF(Protokoll_3p!F136="","",IF(VALUE(LEFT(Protokoll_3p!F136,FIND(":",Protokoll_3p!F136)-1))&gt;VALUE(RIGHT(Protokoll_3p!F136,LEN(Protokoll_3p!F136)-FIND(":",Protokoll_3p!F136))),0,1))</f>
        <v/>
      </c>
      <c r="J170" s="1" t="str">
        <f>IF(Protokoll_3p!G136="","",IF(VALUE(LEFT(Protokoll_3p!G136,FIND(":",Protokoll_3p!G136)-1))&gt;VALUE(RIGHT(Protokoll_3p!G136,LEN(Protokoll_3p!G136)-FIND(":",Protokoll_3p!G136))),0,1))</f>
        <v/>
      </c>
      <c r="K170" s="1" t="str">
        <f>IF(Protokoll_3p!H136="","",IF(VALUE(LEFT(Protokoll_3p!H136,FIND(":",Protokoll_3p!H136)-1))&gt;VALUE(RIGHT(Protokoll_3p!H136,LEN(Protokoll_3p!H136)-FIND(":",Protokoll_3p!H136))),0,1))</f>
        <v/>
      </c>
      <c r="L170" s="1" t="str">
        <f>IF(Protokoll_3p!I136="","",IF(VALUE(LEFT(Protokoll_3p!I136,FIND(":",Protokoll_3p!I136)-1))&gt;VALUE(RIGHT(Protokoll_3p!I136,LEN(Protokoll_3p!I136)-FIND(":",Protokoll_3p!I136))),0,1))</f>
        <v/>
      </c>
      <c r="M170" s="1" t="str">
        <f>IF(Protokoll_3p!J136="","",IF(VALUE(LEFT(Protokoll_3p!J136,FIND(":",Protokoll_3p!J136)-1))&gt;VALUE(RIGHT(Protokoll_3p!J136,LEN(Protokoll_3p!J136)-FIND(":",Protokoll_3p!J136))),0,1))</f>
        <v/>
      </c>
      <c r="N170" s="1" t="str">
        <f t="shared" si="5"/>
        <v/>
      </c>
    </row>
    <row r="171" spans="2:14">
      <c r="B171" s="1" t="str">
        <f>IF(Protokoll_3p!F137="","",IF(VALUE(LEFT(Protokoll_3p!F137,FIND(":",Protokoll_3p!F137)-1))&gt;VALUE(RIGHT(Protokoll_3p!F137,LEN(Protokoll_3p!F137)-FIND(":",Protokoll_3p!F137))),1,0))</f>
        <v/>
      </c>
      <c r="C171" s="1" t="str">
        <f>IF(Protokoll_3p!G137="","",IF(VALUE(LEFT(Protokoll_3p!G137,FIND(":",Protokoll_3p!G137)-1))&gt;VALUE(RIGHT(Protokoll_3p!G137,LEN(Protokoll_3p!G137)-FIND(":",Protokoll_3p!G137))),1,0))</f>
        <v/>
      </c>
      <c r="D171" s="1" t="str">
        <f>IF(Protokoll_3p!H137="","",IF(VALUE(LEFT(Protokoll_3p!H137,FIND(":",Protokoll_3p!H137)-1))&gt;VALUE(RIGHT(Protokoll_3p!H137,LEN(Protokoll_3p!H137)-FIND(":",Protokoll_3p!H137))),1,0))</f>
        <v/>
      </c>
      <c r="E171" s="1" t="str">
        <f>IF(Protokoll_3p!I137="","",IF(VALUE(LEFT(Protokoll_3p!I137,FIND(":",Protokoll_3p!I137)-1))&gt;VALUE(RIGHT(Protokoll_3p!I137,LEN(Protokoll_3p!I137)-FIND(":",Protokoll_3p!I137))),1,0))</f>
        <v/>
      </c>
      <c r="F171" s="1" t="str">
        <f>IF(Protokoll_3p!J137="","",IF(VALUE(LEFT(Protokoll_3p!J137,FIND(":",Protokoll_3p!J137)-1))&gt;VALUE(RIGHT(Protokoll_3p!J137,LEN(Protokoll_3p!J137)-FIND(":",Protokoll_3p!J137))),1,0))</f>
        <v/>
      </c>
      <c r="G171" s="1" t="str">
        <f t="shared" si="4"/>
        <v/>
      </c>
      <c r="I171" s="1" t="str">
        <f>IF(Protokoll_3p!F137="","",IF(VALUE(LEFT(Protokoll_3p!F137,FIND(":",Protokoll_3p!F137)-1))&gt;VALUE(RIGHT(Protokoll_3p!F137,LEN(Protokoll_3p!F137)-FIND(":",Protokoll_3p!F137))),0,1))</f>
        <v/>
      </c>
      <c r="J171" s="1" t="str">
        <f>IF(Protokoll_3p!G137="","",IF(VALUE(LEFT(Protokoll_3p!G137,FIND(":",Protokoll_3p!G137)-1))&gt;VALUE(RIGHT(Protokoll_3p!G137,LEN(Protokoll_3p!G137)-FIND(":",Protokoll_3p!G137))),0,1))</f>
        <v/>
      </c>
      <c r="K171" s="1" t="str">
        <f>IF(Protokoll_3p!H137="","",IF(VALUE(LEFT(Protokoll_3p!H137,FIND(":",Protokoll_3p!H137)-1))&gt;VALUE(RIGHT(Protokoll_3p!H137,LEN(Protokoll_3p!H137)-FIND(":",Protokoll_3p!H137))),0,1))</f>
        <v/>
      </c>
      <c r="L171" s="1" t="str">
        <f>IF(Protokoll_3p!I137="","",IF(VALUE(LEFT(Protokoll_3p!I137,FIND(":",Protokoll_3p!I137)-1))&gt;VALUE(RIGHT(Protokoll_3p!I137,LEN(Protokoll_3p!I137)-FIND(":",Protokoll_3p!I137))),0,1))</f>
        <v/>
      </c>
      <c r="M171" s="1" t="str">
        <f>IF(Protokoll_3p!J137="","",IF(VALUE(LEFT(Protokoll_3p!J137,FIND(":",Protokoll_3p!J137)-1))&gt;VALUE(RIGHT(Protokoll_3p!J137,LEN(Protokoll_3p!J137)-FIND(":",Protokoll_3p!J137))),0,1))</f>
        <v/>
      </c>
      <c r="N171" s="1" t="str">
        <f t="shared" si="5"/>
        <v/>
      </c>
    </row>
    <row r="172" spans="2:14">
      <c r="B172" s="1" t="str">
        <f>IF(Protokoll_3p!F138="","",IF(VALUE(LEFT(Protokoll_3p!F138,FIND(":",Protokoll_3p!F138)-1))&gt;VALUE(RIGHT(Protokoll_3p!F138,LEN(Protokoll_3p!F138)-FIND(":",Protokoll_3p!F138))),1,0))</f>
        <v/>
      </c>
      <c r="C172" s="1" t="str">
        <f>IF(Protokoll_3p!G138="","",IF(VALUE(LEFT(Protokoll_3p!G138,FIND(":",Protokoll_3p!G138)-1))&gt;VALUE(RIGHT(Protokoll_3p!G138,LEN(Protokoll_3p!G138)-FIND(":",Protokoll_3p!G138))),1,0))</f>
        <v/>
      </c>
      <c r="D172" s="1" t="str">
        <f>IF(Protokoll_3p!H138="","",IF(VALUE(LEFT(Protokoll_3p!H138,FIND(":",Protokoll_3p!H138)-1))&gt;VALUE(RIGHT(Protokoll_3p!H138,LEN(Protokoll_3p!H138)-FIND(":",Protokoll_3p!H138))),1,0))</f>
        <v/>
      </c>
      <c r="E172" s="1" t="str">
        <f>IF(Protokoll_3p!I138="","",IF(VALUE(LEFT(Protokoll_3p!I138,FIND(":",Protokoll_3p!I138)-1))&gt;VALUE(RIGHT(Protokoll_3p!I138,LEN(Protokoll_3p!I138)-FIND(":",Protokoll_3p!I138))),1,0))</f>
        <v/>
      </c>
      <c r="F172" s="1" t="str">
        <f>IF(Protokoll_3p!J138="","",IF(VALUE(LEFT(Protokoll_3p!J138,FIND(":",Protokoll_3p!J138)-1))&gt;VALUE(RIGHT(Protokoll_3p!J138,LEN(Protokoll_3p!J138)-FIND(":",Protokoll_3p!J138))),1,0))</f>
        <v/>
      </c>
      <c r="G172" s="1" t="str">
        <f t="shared" si="4"/>
        <v/>
      </c>
      <c r="I172" s="1" t="str">
        <f>IF(Protokoll_3p!F138="","",IF(VALUE(LEFT(Protokoll_3p!F138,FIND(":",Protokoll_3p!F138)-1))&gt;VALUE(RIGHT(Protokoll_3p!F138,LEN(Protokoll_3p!F138)-FIND(":",Protokoll_3p!F138))),0,1))</f>
        <v/>
      </c>
      <c r="J172" s="1" t="str">
        <f>IF(Protokoll_3p!G138="","",IF(VALUE(LEFT(Protokoll_3p!G138,FIND(":",Protokoll_3p!G138)-1))&gt;VALUE(RIGHT(Protokoll_3p!G138,LEN(Protokoll_3p!G138)-FIND(":",Protokoll_3p!G138))),0,1))</f>
        <v/>
      </c>
      <c r="K172" s="1" t="str">
        <f>IF(Protokoll_3p!H138="","",IF(VALUE(LEFT(Protokoll_3p!H138,FIND(":",Protokoll_3p!H138)-1))&gt;VALUE(RIGHT(Protokoll_3p!H138,LEN(Protokoll_3p!H138)-FIND(":",Protokoll_3p!H138))),0,1))</f>
        <v/>
      </c>
      <c r="L172" s="1" t="str">
        <f>IF(Protokoll_3p!I138="","",IF(VALUE(LEFT(Protokoll_3p!I138,FIND(":",Protokoll_3p!I138)-1))&gt;VALUE(RIGHT(Protokoll_3p!I138,LEN(Protokoll_3p!I138)-FIND(":",Protokoll_3p!I138))),0,1))</f>
        <v/>
      </c>
      <c r="M172" s="1" t="str">
        <f>IF(Protokoll_3p!J138="","",IF(VALUE(LEFT(Protokoll_3p!J138,FIND(":",Protokoll_3p!J138)-1))&gt;VALUE(RIGHT(Protokoll_3p!J138,LEN(Protokoll_3p!J138)-FIND(":",Protokoll_3p!J138))),0,1))</f>
        <v/>
      </c>
      <c r="N172" s="1" t="str">
        <f t="shared" si="5"/>
        <v/>
      </c>
    </row>
    <row r="173" spans="2:14">
      <c r="B173" s="1" t="str">
        <f>IF(Protokoll_3p!F139="","",IF(VALUE(LEFT(Protokoll_3p!F139,FIND(":",Protokoll_3p!F139)-1))&gt;VALUE(RIGHT(Protokoll_3p!F139,LEN(Protokoll_3p!F139)-FIND(":",Protokoll_3p!F139))),1,0))</f>
        <v/>
      </c>
      <c r="C173" s="1" t="str">
        <f>IF(Protokoll_3p!G139="","",IF(VALUE(LEFT(Protokoll_3p!G139,FIND(":",Protokoll_3p!G139)-1))&gt;VALUE(RIGHT(Protokoll_3p!G139,LEN(Protokoll_3p!G139)-FIND(":",Protokoll_3p!G139))),1,0))</f>
        <v/>
      </c>
      <c r="D173" s="1" t="str">
        <f>IF(Protokoll_3p!H139="","",IF(VALUE(LEFT(Protokoll_3p!H139,FIND(":",Protokoll_3p!H139)-1))&gt;VALUE(RIGHT(Protokoll_3p!H139,LEN(Protokoll_3p!H139)-FIND(":",Protokoll_3p!H139))),1,0))</f>
        <v/>
      </c>
      <c r="E173" s="1" t="str">
        <f>IF(Protokoll_3p!I139="","",IF(VALUE(LEFT(Protokoll_3p!I139,FIND(":",Protokoll_3p!I139)-1))&gt;VALUE(RIGHT(Protokoll_3p!I139,LEN(Protokoll_3p!I139)-FIND(":",Protokoll_3p!I139))),1,0))</f>
        <v/>
      </c>
      <c r="F173" s="1" t="str">
        <f>IF(Protokoll_3p!J139="","",IF(VALUE(LEFT(Protokoll_3p!J139,FIND(":",Protokoll_3p!J139)-1))&gt;VALUE(RIGHT(Protokoll_3p!J139,LEN(Protokoll_3p!J139)-FIND(":",Protokoll_3p!J139))),1,0))</f>
        <v/>
      </c>
      <c r="G173" s="1" t="str">
        <f t="shared" si="4"/>
        <v/>
      </c>
      <c r="I173" s="1" t="str">
        <f>IF(Protokoll_3p!F139="","",IF(VALUE(LEFT(Protokoll_3p!F139,FIND(":",Protokoll_3p!F139)-1))&gt;VALUE(RIGHT(Protokoll_3p!F139,LEN(Protokoll_3p!F139)-FIND(":",Protokoll_3p!F139))),0,1))</f>
        <v/>
      </c>
      <c r="J173" s="1" t="str">
        <f>IF(Protokoll_3p!G139="","",IF(VALUE(LEFT(Protokoll_3p!G139,FIND(":",Protokoll_3p!G139)-1))&gt;VALUE(RIGHT(Protokoll_3p!G139,LEN(Protokoll_3p!G139)-FIND(":",Protokoll_3p!G139))),0,1))</f>
        <v/>
      </c>
      <c r="K173" s="1" t="str">
        <f>IF(Protokoll_3p!H139="","",IF(VALUE(LEFT(Protokoll_3p!H139,FIND(":",Protokoll_3p!H139)-1))&gt;VALUE(RIGHT(Protokoll_3p!H139,LEN(Protokoll_3p!H139)-FIND(":",Protokoll_3p!H139))),0,1))</f>
        <v/>
      </c>
      <c r="L173" s="1" t="str">
        <f>IF(Protokoll_3p!I139="","",IF(VALUE(LEFT(Protokoll_3p!I139,FIND(":",Protokoll_3p!I139)-1))&gt;VALUE(RIGHT(Protokoll_3p!I139,LEN(Protokoll_3p!I139)-FIND(":",Protokoll_3p!I139))),0,1))</f>
        <v/>
      </c>
      <c r="M173" s="1" t="str">
        <f>IF(Protokoll_3p!J139="","",IF(VALUE(LEFT(Protokoll_3p!J139,FIND(":",Protokoll_3p!J139)-1))&gt;VALUE(RIGHT(Protokoll_3p!J139,LEN(Protokoll_3p!J139)-FIND(":",Protokoll_3p!J139))),0,1))</f>
        <v/>
      </c>
      <c r="N173" s="1" t="str">
        <f t="shared" si="5"/>
        <v/>
      </c>
    </row>
    <row r="174" spans="2:14">
      <c r="B174" s="1" t="str">
        <f>IF(Protokoll_3p!F140="","",IF(VALUE(LEFT(Protokoll_3p!F140,FIND(":",Protokoll_3p!F140)-1))&gt;VALUE(RIGHT(Protokoll_3p!F140,LEN(Protokoll_3p!F140)-FIND(":",Protokoll_3p!F140))),1,0))</f>
        <v/>
      </c>
      <c r="C174" s="1" t="str">
        <f>IF(Protokoll_3p!G140="","",IF(VALUE(LEFT(Protokoll_3p!G140,FIND(":",Protokoll_3p!G140)-1))&gt;VALUE(RIGHT(Protokoll_3p!G140,LEN(Protokoll_3p!G140)-FIND(":",Protokoll_3p!G140))),1,0))</f>
        <v/>
      </c>
      <c r="D174" s="1" t="str">
        <f>IF(Protokoll_3p!H140="","",IF(VALUE(LEFT(Protokoll_3p!H140,FIND(":",Protokoll_3p!H140)-1))&gt;VALUE(RIGHT(Protokoll_3p!H140,LEN(Protokoll_3p!H140)-FIND(":",Protokoll_3p!H140))),1,0))</f>
        <v/>
      </c>
      <c r="E174" s="1" t="str">
        <f>IF(Protokoll_3p!I140="","",IF(VALUE(LEFT(Protokoll_3p!I140,FIND(":",Protokoll_3p!I140)-1))&gt;VALUE(RIGHT(Protokoll_3p!I140,LEN(Protokoll_3p!I140)-FIND(":",Protokoll_3p!I140))),1,0))</f>
        <v/>
      </c>
      <c r="F174" s="1" t="str">
        <f>IF(Protokoll_3p!J140="","",IF(VALUE(LEFT(Protokoll_3p!J140,FIND(":",Protokoll_3p!J140)-1))&gt;VALUE(RIGHT(Protokoll_3p!J140,LEN(Protokoll_3p!J140)-FIND(":",Protokoll_3p!J140))),1,0))</f>
        <v/>
      </c>
      <c r="G174" s="1" t="str">
        <f t="shared" si="4"/>
        <v/>
      </c>
      <c r="I174" s="1" t="str">
        <f>IF(Protokoll_3p!F140="","",IF(VALUE(LEFT(Protokoll_3p!F140,FIND(":",Protokoll_3p!F140)-1))&gt;VALUE(RIGHT(Protokoll_3p!F140,LEN(Protokoll_3p!F140)-FIND(":",Protokoll_3p!F140))),0,1))</f>
        <v/>
      </c>
      <c r="J174" s="1" t="str">
        <f>IF(Protokoll_3p!G140="","",IF(VALUE(LEFT(Protokoll_3p!G140,FIND(":",Protokoll_3p!G140)-1))&gt;VALUE(RIGHT(Protokoll_3p!G140,LEN(Protokoll_3p!G140)-FIND(":",Protokoll_3p!G140))),0,1))</f>
        <v/>
      </c>
      <c r="K174" s="1" t="str">
        <f>IF(Protokoll_3p!H140="","",IF(VALUE(LEFT(Protokoll_3p!H140,FIND(":",Protokoll_3p!H140)-1))&gt;VALUE(RIGHT(Protokoll_3p!H140,LEN(Protokoll_3p!H140)-FIND(":",Protokoll_3p!H140))),0,1))</f>
        <v/>
      </c>
      <c r="L174" s="1" t="str">
        <f>IF(Protokoll_3p!I140="","",IF(VALUE(LEFT(Protokoll_3p!I140,FIND(":",Protokoll_3p!I140)-1))&gt;VALUE(RIGHT(Protokoll_3p!I140,LEN(Protokoll_3p!I140)-FIND(":",Protokoll_3p!I140))),0,1))</f>
        <v/>
      </c>
      <c r="M174" s="1" t="str">
        <f>IF(Protokoll_3p!J140="","",IF(VALUE(LEFT(Protokoll_3p!J140,FIND(":",Protokoll_3p!J140)-1))&gt;VALUE(RIGHT(Protokoll_3p!J140,LEN(Protokoll_3p!J140)-FIND(":",Protokoll_3p!J140))),0,1))</f>
        <v/>
      </c>
      <c r="N174" s="1" t="str">
        <f t="shared" si="5"/>
        <v/>
      </c>
    </row>
    <row r="175" spans="2:14">
      <c r="B175" s="1" t="str">
        <f>IF(Protokoll_3p!F141="","",IF(VALUE(LEFT(Protokoll_3p!F141,FIND(":",Protokoll_3p!F141)-1))&gt;VALUE(RIGHT(Protokoll_3p!F141,LEN(Protokoll_3p!F141)-FIND(":",Protokoll_3p!F141))),1,0))</f>
        <v/>
      </c>
      <c r="C175" s="1" t="str">
        <f>IF(Protokoll_3p!G141="","",IF(VALUE(LEFT(Protokoll_3p!G141,FIND(":",Protokoll_3p!G141)-1))&gt;VALUE(RIGHT(Protokoll_3p!G141,LEN(Protokoll_3p!G141)-FIND(":",Protokoll_3p!G141))),1,0))</f>
        <v/>
      </c>
      <c r="D175" s="1" t="str">
        <f>IF(Protokoll_3p!H141="","",IF(VALUE(LEFT(Protokoll_3p!H141,FIND(":",Protokoll_3p!H141)-1))&gt;VALUE(RIGHT(Protokoll_3p!H141,LEN(Protokoll_3p!H141)-FIND(":",Protokoll_3p!H141))),1,0))</f>
        <v/>
      </c>
      <c r="E175" s="1" t="str">
        <f>IF(Protokoll_3p!I141="","",IF(VALUE(LEFT(Protokoll_3p!I141,FIND(":",Protokoll_3p!I141)-1))&gt;VALUE(RIGHT(Protokoll_3p!I141,LEN(Protokoll_3p!I141)-FIND(":",Protokoll_3p!I141))),1,0))</f>
        <v/>
      </c>
      <c r="F175" s="1" t="str">
        <f>IF(Protokoll_3p!J141="","",IF(VALUE(LEFT(Protokoll_3p!J141,FIND(":",Protokoll_3p!J141)-1))&gt;VALUE(RIGHT(Protokoll_3p!J141,LEN(Protokoll_3p!J141)-FIND(":",Protokoll_3p!J141))),1,0))</f>
        <v/>
      </c>
      <c r="G175" s="1" t="str">
        <f t="shared" si="4"/>
        <v/>
      </c>
      <c r="I175" s="1" t="str">
        <f>IF(Protokoll_3p!F141="","",IF(VALUE(LEFT(Protokoll_3p!F141,FIND(":",Protokoll_3p!F141)-1))&gt;VALUE(RIGHT(Protokoll_3p!F141,LEN(Protokoll_3p!F141)-FIND(":",Protokoll_3p!F141))),0,1))</f>
        <v/>
      </c>
      <c r="J175" s="1" t="str">
        <f>IF(Protokoll_3p!G141="","",IF(VALUE(LEFT(Protokoll_3p!G141,FIND(":",Protokoll_3p!G141)-1))&gt;VALUE(RIGHT(Protokoll_3p!G141,LEN(Protokoll_3p!G141)-FIND(":",Protokoll_3p!G141))),0,1))</f>
        <v/>
      </c>
      <c r="K175" s="1" t="str">
        <f>IF(Protokoll_3p!H141="","",IF(VALUE(LEFT(Protokoll_3p!H141,FIND(":",Protokoll_3p!H141)-1))&gt;VALUE(RIGHT(Protokoll_3p!H141,LEN(Protokoll_3p!H141)-FIND(":",Protokoll_3p!H141))),0,1))</f>
        <v/>
      </c>
      <c r="L175" s="1" t="str">
        <f>IF(Protokoll_3p!I141="","",IF(VALUE(LEFT(Protokoll_3p!I141,FIND(":",Protokoll_3p!I141)-1))&gt;VALUE(RIGHT(Protokoll_3p!I141,LEN(Protokoll_3p!I141)-FIND(":",Protokoll_3p!I141))),0,1))</f>
        <v/>
      </c>
      <c r="M175" s="1" t="str">
        <f>IF(Protokoll_3p!J141="","",IF(VALUE(LEFT(Protokoll_3p!J141,FIND(":",Protokoll_3p!J141)-1))&gt;VALUE(RIGHT(Protokoll_3p!J141,LEN(Protokoll_3p!J141)-FIND(":",Protokoll_3p!J141))),0,1))</f>
        <v/>
      </c>
      <c r="N175" s="1" t="str">
        <f t="shared" si="5"/>
        <v/>
      </c>
    </row>
    <row r="176" spans="2:14">
      <c r="B176" s="1" t="str">
        <f>IF(Protokoll_3p!F142="","",IF(VALUE(LEFT(Protokoll_3p!F142,FIND(":",Protokoll_3p!F142)-1))&gt;VALUE(RIGHT(Protokoll_3p!F142,LEN(Protokoll_3p!F142)-FIND(":",Protokoll_3p!F142))),1,0))</f>
        <v/>
      </c>
      <c r="C176" s="1" t="str">
        <f>IF(Protokoll_3p!G142="","",IF(VALUE(LEFT(Protokoll_3p!G142,FIND(":",Protokoll_3p!G142)-1))&gt;VALUE(RIGHT(Protokoll_3p!G142,LEN(Protokoll_3p!G142)-FIND(":",Protokoll_3p!G142))),1,0))</f>
        <v/>
      </c>
      <c r="D176" s="1" t="str">
        <f>IF(Protokoll_3p!H142="","",IF(VALUE(LEFT(Protokoll_3p!H142,FIND(":",Protokoll_3p!H142)-1))&gt;VALUE(RIGHT(Protokoll_3p!H142,LEN(Protokoll_3p!H142)-FIND(":",Protokoll_3p!H142))),1,0))</f>
        <v/>
      </c>
      <c r="E176" s="1" t="str">
        <f>IF(Protokoll_3p!I142="","",IF(VALUE(LEFT(Protokoll_3p!I142,FIND(":",Protokoll_3p!I142)-1))&gt;VALUE(RIGHT(Protokoll_3p!I142,LEN(Protokoll_3p!I142)-FIND(":",Protokoll_3p!I142))),1,0))</f>
        <v/>
      </c>
      <c r="F176" s="1" t="str">
        <f>IF(Protokoll_3p!J142="","",IF(VALUE(LEFT(Protokoll_3p!J142,FIND(":",Protokoll_3p!J142)-1))&gt;VALUE(RIGHT(Protokoll_3p!J142,LEN(Protokoll_3p!J142)-FIND(":",Protokoll_3p!J142))),1,0))</f>
        <v/>
      </c>
      <c r="G176" s="1" t="str">
        <f t="shared" si="4"/>
        <v/>
      </c>
      <c r="I176" s="1" t="str">
        <f>IF(Protokoll_3p!F142="","",IF(VALUE(LEFT(Protokoll_3p!F142,FIND(":",Protokoll_3p!F142)-1))&gt;VALUE(RIGHT(Protokoll_3p!F142,LEN(Protokoll_3p!F142)-FIND(":",Protokoll_3p!F142))),0,1))</f>
        <v/>
      </c>
      <c r="J176" s="1" t="str">
        <f>IF(Protokoll_3p!G142="","",IF(VALUE(LEFT(Protokoll_3p!G142,FIND(":",Protokoll_3p!G142)-1))&gt;VALUE(RIGHT(Protokoll_3p!G142,LEN(Protokoll_3p!G142)-FIND(":",Protokoll_3p!G142))),0,1))</f>
        <v/>
      </c>
      <c r="K176" s="1" t="str">
        <f>IF(Protokoll_3p!H142="","",IF(VALUE(LEFT(Protokoll_3p!H142,FIND(":",Protokoll_3p!H142)-1))&gt;VALUE(RIGHT(Protokoll_3p!H142,LEN(Protokoll_3p!H142)-FIND(":",Protokoll_3p!H142))),0,1))</f>
        <v/>
      </c>
      <c r="L176" s="1" t="str">
        <f>IF(Protokoll_3p!I142="","",IF(VALUE(LEFT(Protokoll_3p!I142,FIND(":",Protokoll_3p!I142)-1))&gt;VALUE(RIGHT(Protokoll_3p!I142,LEN(Protokoll_3p!I142)-FIND(":",Protokoll_3p!I142))),0,1))</f>
        <v/>
      </c>
      <c r="M176" s="1" t="str">
        <f>IF(Protokoll_3p!J142="","",IF(VALUE(LEFT(Protokoll_3p!J142,FIND(":",Protokoll_3p!J142)-1))&gt;VALUE(RIGHT(Protokoll_3p!J142,LEN(Protokoll_3p!J142)-FIND(":",Protokoll_3p!J142))),0,1))</f>
        <v/>
      </c>
      <c r="N176" s="1" t="str">
        <f t="shared" si="5"/>
        <v/>
      </c>
    </row>
    <row r="177" spans="2:14">
      <c r="B177" s="1" t="str">
        <f>IF(Protokoll_3p!F143="","",IF(VALUE(LEFT(Protokoll_3p!F143,FIND(":",Protokoll_3p!F143)-1))&gt;VALUE(RIGHT(Protokoll_3p!F143,LEN(Protokoll_3p!F143)-FIND(":",Protokoll_3p!F143))),1,0))</f>
        <v/>
      </c>
      <c r="C177" s="1" t="str">
        <f>IF(Protokoll_3p!G143="","",IF(VALUE(LEFT(Protokoll_3p!G143,FIND(":",Protokoll_3p!G143)-1))&gt;VALUE(RIGHT(Protokoll_3p!G143,LEN(Protokoll_3p!G143)-FIND(":",Protokoll_3p!G143))),1,0))</f>
        <v/>
      </c>
      <c r="D177" s="1" t="str">
        <f>IF(Protokoll_3p!H143="","",IF(VALUE(LEFT(Protokoll_3p!H143,FIND(":",Protokoll_3p!H143)-1))&gt;VALUE(RIGHT(Protokoll_3p!H143,LEN(Protokoll_3p!H143)-FIND(":",Protokoll_3p!H143))),1,0))</f>
        <v/>
      </c>
      <c r="E177" s="1" t="str">
        <f>IF(Protokoll_3p!I143="","",IF(VALUE(LEFT(Protokoll_3p!I143,FIND(":",Protokoll_3p!I143)-1))&gt;VALUE(RIGHT(Protokoll_3p!I143,LEN(Protokoll_3p!I143)-FIND(":",Protokoll_3p!I143))),1,0))</f>
        <v/>
      </c>
      <c r="F177" s="1" t="str">
        <f>IF(Protokoll_3p!J143="","",IF(VALUE(LEFT(Protokoll_3p!J143,FIND(":",Protokoll_3p!J143)-1))&gt;VALUE(RIGHT(Protokoll_3p!J143,LEN(Protokoll_3p!J143)-FIND(":",Protokoll_3p!J143))),1,0))</f>
        <v/>
      </c>
      <c r="G177" s="1" t="str">
        <f t="shared" si="4"/>
        <v/>
      </c>
      <c r="I177" s="1" t="str">
        <f>IF(Protokoll_3p!F143="","",IF(VALUE(LEFT(Protokoll_3p!F143,FIND(":",Protokoll_3p!F143)-1))&gt;VALUE(RIGHT(Protokoll_3p!F143,LEN(Protokoll_3p!F143)-FIND(":",Protokoll_3p!F143))),0,1))</f>
        <v/>
      </c>
      <c r="J177" s="1" t="str">
        <f>IF(Protokoll_3p!G143="","",IF(VALUE(LEFT(Protokoll_3p!G143,FIND(":",Protokoll_3p!G143)-1))&gt;VALUE(RIGHT(Protokoll_3p!G143,LEN(Protokoll_3p!G143)-FIND(":",Protokoll_3p!G143))),0,1))</f>
        <v/>
      </c>
      <c r="K177" s="1" t="str">
        <f>IF(Protokoll_3p!H143="","",IF(VALUE(LEFT(Protokoll_3p!H143,FIND(":",Protokoll_3p!H143)-1))&gt;VALUE(RIGHT(Protokoll_3p!H143,LEN(Protokoll_3p!H143)-FIND(":",Protokoll_3p!H143))),0,1))</f>
        <v/>
      </c>
      <c r="L177" s="1" t="str">
        <f>IF(Protokoll_3p!I143="","",IF(VALUE(LEFT(Protokoll_3p!I143,FIND(":",Protokoll_3p!I143)-1))&gt;VALUE(RIGHT(Protokoll_3p!I143,LEN(Protokoll_3p!I143)-FIND(":",Protokoll_3p!I143))),0,1))</f>
        <v/>
      </c>
      <c r="M177" s="1" t="str">
        <f>IF(Protokoll_3p!J143="","",IF(VALUE(LEFT(Protokoll_3p!J143,FIND(":",Protokoll_3p!J143)-1))&gt;VALUE(RIGHT(Protokoll_3p!J143,LEN(Protokoll_3p!J143)-FIND(":",Protokoll_3p!J143))),0,1))</f>
        <v/>
      </c>
      <c r="N177" s="1" t="str">
        <f t="shared" si="5"/>
        <v/>
      </c>
    </row>
    <row r="178" spans="2:14">
      <c r="B178" s="1" t="str">
        <f>IF(Protokoll_3p!F144="","",IF(VALUE(LEFT(Protokoll_3p!F144,FIND(":",Protokoll_3p!F144)-1))&gt;VALUE(RIGHT(Protokoll_3p!F144,LEN(Protokoll_3p!F144)-FIND(":",Protokoll_3p!F144))),1,0))</f>
        <v/>
      </c>
      <c r="C178" s="1" t="str">
        <f>IF(Protokoll_3p!G144="","",IF(VALUE(LEFT(Protokoll_3p!G144,FIND(":",Protokoll_3p!G144)-1))&gt;VALUE(RIGHT(Protokoll_3p!G144,LEN(Protokoll_3p!G144)-FIND(":",Protokoll_3p!G144))),1,0))</f>
        <v/>
      </c>
      <c r="D178" s="1" t="str">
        <f>IF(Protokoll_3p!H144="","",IF(VALUE(LEFT(Protokoll_3p!H144,FIND(":",Protokoll_3p!H144)-1))&gt;VALUE(RIGHT(Protokoll_3p!H144,LEN(Protokoll_3p!H144)-FIND(":",Protokoll_3p!H144))),1,0))</f>
        <v/>
      </c>
      <c r="E178" s="1" t="str">
        <f>IF(Protokoll_3p!I144="","",IF(VALUE(LEFT(Protokoll_3p!I144,FIND(":",Protokoll_3p!I144)-1))&gt;VALUE(RIGHT(Protokoll_3p!I144,LEN(Protokoll_3p!I144)-FIND(":",Protokoll_3p!I144))),1,0))</f>
        <v/>
      </c>
      <c r="F178" s="1" t="str">
        <f>IF(Protokoll_3p!J144="","",IF(VALUE(LEFT(Protokoll_3p!J144,FIND(":",Protokoll_3p!J144)-1))&gt;VALUE(RIGHT(Protokoll_3p!J144,LEN(Protokoll_3p!J144)-FIND(":",Protokoll_3p!J144))),1,0))</f>
        <v/>
      </c>
      <c r="G178" s="1" t="str">
        <f t="shared" si="4"/>
        <v/>
      </c>
      <c r="I178" s="1" t="str">
        <f>IF(Protokoll_3p!F144="","",IF(VALUE(LEFT(Protokoll_3p!F144,FIND(":",Protokoll_3p!F144)-1))&gt;VALUE(RIGHT(Protokoll_3p!F144,LEN(Protokoll_3p!F144)-FIND(":",Protokoll_3p!F144))),0,1))</f>
        <v/>
      </c>
      <c r="J178" s="1" t="str">
        <f>IF(Protokoll_3p!G144="","",IF(VALUE(LEFT(Protokoll_3p!G144,FIND(":",Protokoll_3p!G144)-1))&gt;VALUE(RIGHT(Protokoll_3p!G144,LEN(Protokoll_3p!G144)-FIND(":",Protokoll_3p!G144))),0,1))</f>
        <v/>
      </c>
      <c r="K178" s="1" t="str">
        <f>IF(Protokoll_3p!H144="","",IF(VALUE(LEFT(Protokoll_3p!H144,FIND(":",Protokoll_3p!H144)-1))&gt;VALUE(RIGHT(Protokoll_3p!H144,LEN(Protokoll_3p!H144)-FIND(":",Protokoll_3p!H144))),0,1))</f>
        <v/>
      </c>
      <c r="L178" s="1" t="str">
        <f>IF(Protokoll_3p!I144="","",IF(VALUE(LEFT(Protokoll_3p!I144,FIND(":",Protokoll_3p!I144)-1))&gt;VALUE(RIGHT(Protokoll_3p!I144,LEN(Protokoll_3p!I144)-FIND(":",Protokoll_3p!I144))),0,1))</f>
        <v/>
      </c>
      <c r="M178" s="1" t="str">
        <f>IF(Protokoll_3p!J144="","",IF(VALUE(LEFT(Protokoll_3p!J144,FIND(":",Protokoll_3p!J144)-1))&gt;VALUE(RIGHT(Protokoll_3p!J144,LEN(Protokoll_3p!J144)-FIND(":",Protokoll_3p!J144))),0,1))</f>
        <v/>
      </c>
      <c r="N178" s="1" t="str">
        <f t="shared" si="5"/>
        <v/>
      </c>
    </row>
    <row r="179" spans="2:14">
      <c r="B179" s="1" t="str">
        <f>IF(Protokoll_3p!F145="","",IF(VALUE(LEFT(Protokoll_3p!F145,FIND(":",Protokoll_3p!F145)-1))&gt;VALUE(RIGHT(Protokoll_3p!F145,LEN(Protokoll_3p!F145)-FIND(":",Protokoll_3p!F145))),1,0))</f>
        <v/>
      </c>
      <c r="C179" s="1" t="str">
        <f>IF(Protokoll_3p!G145="","",IF(VALUE(LEFT(Protokoll_3p!G145,FIND(":",Protokoll_3p!G145)-1))&gt;VALUE(RIGHT(Protokoll_3p!G145,LEN(Protokoll_3p!G145)-FIND(":",Protokoll_3p!G145))),1,0))</f>
        <v/>
      </c>
      <c r="D179" s="1" t="str">
        <f>IF(Protokoll_3p!H145="","",IF(VALUE(LEFT(Protokoll_3p!H145,FIND(":",Protokoll_3p!H145)-1))&gt;VALUE(RIGHT(Protokoll_3p!H145,LEN(Protokoll_3p!H145)-FIND(":",Protokoll_3p!H145))),1,0))</f>
        <v/>
      </c>
      <c r="E179" s="1" t="str">
        <f>IF(Protokoll_3p!I145="","",IF(VALUE(LEFT(Protokoll_3p!I145,FIND(":",Protokoll_3p!I145)-1))&gt;VALUE(RIGHT(Protokoll_3p!I145,LEN(Protokoll_3p!I145)-FIND(":",Protokoll_3p!I145))),1,0))</f>
        <v/>
      </c>
      <c r="F179" s="1" t="str">
        <f>IF(Protokoll_3p!J145="","",IF(VALUE(LEFT(Protokoll_3p!J145,FIND(":",Protokoll_3p!J145)-1))&gt;VALUE(RIGHT(Protokoll_3p!J145,LEN(Protokoll_3p!J145)-FIND(":",Protokoll_3p!J145))),1,0))</f>
        <v/>
      </c>
      <c r="G179" s="1" t="str">
        <f t="shared" si="4"/>
        <v/>
      </c>
      <c r="I179" s="1" t="str">
        <f>IF(Protokoll_3p!F145="","",IF(VALUE(LEFT(Protokoll_3p!F145,FIND(":",Protokoll_3p!F145)-1))&gt;VALUE(RIGHT(Protokoll_3p!F145,LEN(Protokoll_3p!F145)-FIND(":",Protokoll_3p!F145))),0,1))</f>
        <v/>
      </c>
      <c r="J179" s="1" t="str">
        <f>IF(Protokoll_3p!G145="","",IF(VALUE(LEFT(Protokoll_3p!G145,FIND(":",Protokoll_3p!G145)-1))&gt;VALUE(RIGHT(Protokoll_3p!G145,LEN(Protokoll_3p!G145)-FIND(":",Protokoll_3p!G145))),0,1))</f>
        <v/>
      </c>
      <c r="K179" s="1" t="str">
        <f>IF(Protokoll_3p!H145="","",IF(VALUE(LEFT(Protokoll_3p!H145,FIND(":",Protokoll_3p!H145)-1))&gt;VALUE(RIGHT(Protokoll_3p!H145,LEN(Protokoll_3p!H145)-FIND(":",Protokoll_3p!H145))),0,1))</f>
        <v/>
      </c>
      <c r="L179" s="1" t="str">
        <f>IF(Protokoll_3p!I145="","",IF(VALUE(LEFT(Protokoll_3p!I145,FIND(":",Protokoll_3p!I145)-1))&gt;VALUE(RIGHT(Protokoll_3p!I145,LEN(Protokoll_3p!I145)-FIND(":",Protokoll_3p!I145))),0,1))</f>
        <v/>
      </c>
      <c r="M179" s="1" t="str">
        <f>IF(Protokoll_3p!J145="","",IF(VALUE(LEFT(Protokoll_3p!J145,FIND(":",Protokoll_3p!J145)-1))&gt;VALUE(RIGHT(Protokoll_3p!J145,LEN(Protokoll_3p!J145)-FIND(":",Protokoll_3p!J145))),0,1))</f>
        <v/>
      </c>
      <c r="N179" s="1" t="str">
        <f t="shared" si="5"/>
        <v/>
      </c>
    </row>
    <row r="180" spans="2:14">
      <c r="B180" s="1" t="str">
        <f>IF(Protokoll_3p!F146="","",IF(VALUE(LEFT(Protokoll_3p!F146,FIND(":",Protokoll_3p!F146)-1))&gt;VALUE(RIGHT(Protokoll_3p!F146,LEN(Protokoll_3p!F146)-FIND(":",Protokoll_3p!F146))),1,0))</f>
        <v/>
      </c>
      <c r="C180" s="1" t="str">
        <f>IF(Protokoll_3p!G146="","",IF(VALUE(LEFT(Protokoll_3p!G146,FIND(":",Protokoll_3p!G146)-1))&gt;VALUE(RIGHT(Protokoll_3p!G146,LEN(Protokoll_3p!G146)-FIND(":",Protokoll_3p!G146))),1,0))</f>
        <v/>
      </c>
      <c r="D180" s="1" t="str">
        <f>IF(Protokoll_3p!H146="","",IF(VALUE(LEFT(Protokoll_3p!H146,FIND(":",Protokoll_3p!H146)-1))&gt;VALUE(RIGHT(Protokoll_3p!H146,LEN(Protokoll_3p!H146)-FIND(":",Protokoll_3p!H146))),1,0))</f>
        <v/>
      </c>
      <c r="E180" s="1" t="str">
        <f>IF(Protokoll_3p!I146="","",IF(VALUE(LEFT(Protokoll_3p!I146,FIND(":",Protokoll_3p!I146)-1))&gt;VALUE(RIGHT(Protokoll_3p!I146,LEN(Protokoll_3p!I146)-FIND(":",Protokoll_3p!I146))),1,0))</f>
        <v/>
      </c>
      <c r="F180" s="1" t="str">
        <f>IF(Protokoll_3p!J146="","",IF(VALUE(LEFT(Protokoll_3p!J146,FIND(":",Protokoll_3p!J146)-1))&gt;VALUE(RIGHT(Protokoll_3p!J146,LEN(Protokoll_3p!J146)-FIND(":",Protokoll_3p!J146))),1,0))</f>
        <v/>
      </c>
      <c r="G180" s="1" t="str">
        <f t="shared" si="4"/>
        <v/>
      </c>
      <c r="I180" s="1" t="str">
        <f>IF(Protokoll_3p!F146="","",IF(VALUE(LEFT(Protokoll_3p!F146,FIND(":",Protokoll_3p!F146)-1))&gt;VALUE(RIGHT(Protokoll_3p!F146,LEN(Protokoll_3p!F146)-FIND(":",Protokoll_3p!F146))),0,1))</f>
        <v/>
      </c>
      <c r="J180" s="1" t="str">
        <f>IF(Protokoll_3p!G146="","",IF(VALUE(LEFT(Protokoll_3p!G146,FIND(":",Protokoll_3p!G146)-1))&gt;VALUE(RIGHT(Protokoll_3p!G146,LEN(Protokoll_3p!G146)-FIND(":",Protokoll_3p!G146))),0,1))</f>
        <v/>
      </c>
      <c r="K180" s="1" t="str">
        <f>IF(Protokoll_3p!H146="","",IF(VALUE(LEFT(Protokoll_3p!H146,FIND(":",Protokoll_3p!H146)-1))&gt;VALUE(RIGHT(Protokoll_3p!H146,LEN(Protokoll_3p!H146)-FIND(":",Protokoll_3p!H146))),0,1))</f>
        <v/>
      </c>
      <c r="L180" s="1" t="str">
        <f>IF(Protokoll_3p!I146="","",IF(VALUE(LEFT(Protokoll_3p!I146,FIND(":",Protokoll_3p!I146)-1))&gt;VALUE(RIGHT(Protokoll_3p!I146,LEN(Protokoll_3p!I146)-FIND(":",Protokoll_3p!I146))),0,1))</f>
        <v/>
      </c>
      <c r="M180" s="1" t="str">
        <f>IF(Protokoll_3p!J146="","",IF(VALUE(LEFT(Protokoll_3p!J146,FIND(":",Protokoll_3p!J146)-1))&gt;VALUE(RIGHT(Protokoll_3p!J146,LEN(Protokoll_3p!J146)-FIND(":",Protokoll_3p!J146))),0,1))</f>
        <v/>
      </c>
      <c r="N180" s="1" t="str">
        <f t="shared" si="5"/>
        <v/>
      </c>
    </row>
    <row r="181" spans="2:14">
      <c r="B181" s="1" t="str">
        <f>IF(Protokoll_3p!F147="","",IF(VALUE(LEFT(Protokoll_3p!F147,FIND(":",Protokoll_3p!F147)-1))&gt;VALUE(RIGHT(Protokoll_3p!F147,LEN(Protokoll_3p!F147)-FIND(":",Protokoll_3p!F147))),1,0))</f>
        <v/>
      </c>
      <c r="C181" s="1" t="str">
        <f>IF(Protokoll_3p!G147="","",IF(VALUE(LEFT(Protokoll_3p!G147,FIND(":",Protokoll_3p!G147)-1))&gt;VALUE(RIGHT(Protokoll_3p!G147,LEN(Protokoll_3p!G147)-FIND(":",Protokoll_3p!G147))),1,0))</f>
        <v/>
      </c>
      <c r="D181" s="1" t="str">
        <f>IF(Protokoll_3p!H147="","",IF(VALUE(LEFT(Protokoll_3p!H147,FIND(":",Protokoll_3p!H147)-1))&gt;VALUE(RIGHT(Protokoll_3p!H147,LEN(Protokoll_3p!H147)-FIND(":",Protokoll_3p!H147))),1,0))</f>
        <v/>
      </c>
      <c r="E181" s="1" t="str">
        <f>IF(Protokoll_3p!I147="","",IF(VALUE(LEFT(Protokoll_3p!I147,FIND(":",Protokoll_3p!I147)-1))&gt;VALUE(RIGHT(Protokoll_3p!I147,LEN(Protokoll_3p!I147)-FIND(":",Protokoll_3p!I147))),1,0))</f>
        <v/>
      </c>
      <c r="F181" s="1" t="str">
        <f>IF(Protokoll_3p!J147="","",IF(VALUE(LEFT(Protokoll_3p!J147,FIND(":",Protokoll_3p!J147)-1))&gt;VALUE(RIGHT(Protokoll_3p!J147,LEN(Protokoll_3p!J147)-FIND(":",Protokoll_3p!J147))),1,0))</f>
        <v/>
      </c>
      <c r="G181" s="1" t="str">
        <f t="shared" si="4"/>
        <v/>
      </c>
      <c r="I181" s="1" t="str">
        <f>IF(Protokoll_3p!F147="","",IF(VALUE(LEFT(Protokoll_3p!F147,FIND(":",Protokoll_3p!F147)-1))&gt;VALUE(RIGHT(Protokoll_3p!F147,LEN(Protokoll_3p!F147)-FIND(":",Protokoll_3p!F147))),0,1))</f>
        <v/>
      </c>
      <c r="J181" s="1" t="str">
        <f>IF(Protokoll_3p!G147="","",IF(VALUE(LEFT(Protokoll_3p!G147,FIND(":",Protokoll_3p!G147)-1))&gt;VALUE(RIGHT(Protokoll_3p!G147,LEN(Protokoll_3p!G147)-FIND(":",Protokoll_3p!G147))),0,1))</f>
        <v/>
      </c>
      <c r="K181" s="1" t="str">
        <f>IF(Protokoll_3p!H147="","",IF(VALUE(LEFT(Protokoll_3p!H147,FIND(":",Protokoll_3p!H147)-1))&gt;VALUE(RIGHT(Protokoll_3p!H147,LEN(Protokoll_3p!H147)-FIND(":",Protokoll_3p!H147))),0,1))</f>
        <v/>
      </c>
      <c r="L181" s="1" t="str">
        <f>IF(Protokoll_3p!I147="","",IF(VALUE(LEFT(Protokoll_3p!I147,FIND(":",Protokoll_3p!I147)-1))&gt;VALUE(RIGHT(Protokoll_3p!I147,LEN(Protokoll_3p!I147)-FIND(":",Protokoll_3p!I147))),0,1))</f>
        <v/>
      </c>
      <c r="M181" s="1" t="str">
        <f>IF(Protokoll_3p!J147="","",IF(VALUE(LEFT(Protokoll_3p!J147,FIND(":",Protokoll_3p!J147)-1))&gt;VALUE(RIGHT(Protokoll_3p!J147,LEN(Protokoll_3p!J147)-FIND(":",Protokoll_3p!J147))),0,1))</f>
        <v/>
      </c>
      <c r="N181" s="1" t="str">
        <f t="shared" si="5"/>
        <v/>
      </c>
    </row>
    <row r="182" spans="2:14">
      <c r="B182" s="1" t="str">
        <f>IF(Protokoll_3p!F148="","",IF(VALUE(LEFT(Protokoll_3p!F148,FIND(":",Protokoll_3p!F148)-1))&gt;VALUE(RIGHT(Protokoll_3p!F148,LEN(Protokoll_3p!F148)-FIND(":",Protokoll_3p!F148))),1,0))</f>
        <v/>
      </c>
      <c r="C182" s="1" t="str">
        <f>IF(Protokoll_3p!G148="","",IF(VALUE(LEFT(Protokoll_3p!G148,FIND(":",Protokoll_3p!G148)-1))&gt;VALUE(RIGHT(Protokoll_3p!G148,LEN(Protokoll_3p!G148)-FIND(":",Protokoll_3p!G148))),1,0))</f>
        <v/>
      </c>
      <c r="D182" s="1" t="str">
        <f>IF(Protokoll_3p!H148="","",IF(VALUE(LEFT(Protokoll_3p!H148,FIND(":",Protokoll_3p!H148)-1))&gt;VALUE(RIGHT(Protokoll_3p!H148,LEN(Protokoll_3p!H148)-FIND(":",Protokoll_3p!H148))),1,0))</f>
        <v/>
      </c>
      <c r="E182" s="1" t="str">
        <f>IF(Protokoll_3p!I148="","",IF(VALUE(LEFT(Protokoll_3p!I148,FIND(":",Protokoll_3p!I148)-1))&gt;VALUE(RIGHT(Protokoll_3p!I148,LEN(Protokoll_3p!I148)-FIND(":",Protokoll_3p!I148))),1,0))</f>
        <v/>
      </c>
      <c r="F182" s="1" t="str">
        <f>IF(Protokoll_3p!J148="","",IF(VALUE(LEFT(Protokoll_3p!J148,FIND(":",Protokoll_3p!J148)-1))&gt;VALUE(RIGHT(Protokoll_3p!J148,LEN(Protokoll_3p!J148)-FIND(":",Protokoll_3p!J148))),1,0))</f>
        <v/>
      </c>
      <c r="G182" s="1" t="str">
        <f t="shared" si="4"/>
        <v/>
      </c>
      <c r="I182" s="1" t="str">
        <f>IF(Protokoll_3p!F148="","",IF(VALUE(LEFT(Protokoll_3p!F148,FIND(":",Protokoll_3p!F148)-1))&gt;VALUE(RIGHT(Protokoll_3p!F148,LEN(Protokoll_3p!F148)-FIND(":",Protokoll_3p!F148))),0,1))</f>
        <v/>
      </c>
      <c r="J182" s="1" t="str">
        <f>IF(Protokoll_3p!G148="","",IF(VALUE(LEFT(Protokoll_3p!G148,FIND(":",Protokoll_3p!G148)-1))&gt;VALUE(RIGHT(Protokoll_3p!G148,LEN(Protokoll_3p!G148)-FIND(":",Protokoll_3p!G148))),0,1))</f>
        <v/>
      </c>
      <c r="K182" s="1" t="str">
        <f>IF(Protokoll_3p!H148="","",IF(VALUE(LEFT(Protokoll_3p!H148,FIND(":",Protokoll_3p!H148)-1))&gt;VALUE(RIGHT(Protokoll_3p!H148,LEN(Protokoll_3p!H148)-FIND(":",Protokoll_3p!H148))),0,1))</f>
        <v/>
      </c>
      <c r="L182" s="1" t="str">
        <f>IF(Protokoll_3p!I148="","",IF(VALUE(LEFT(Protokoll_3p!I148,FIND(":",Protokoll_3p!I148)-1))&gt;VALUE(RIGHT(Protokoll_3p!I148,LEN(Protokoll_3p!I148)-FIND(":",Protokoll_3p!I148))),0,1))</f>
        <v/>
      </c>
      <c r="M182" s="1" t="str">
        <f>IF(Protokoll_3p!J148="","",IF(VALUE(LEFT(Protokoll_3p!J148,FIND(":",Protokoll_3p!J148)-1))&gt;VALUE(RIGHT(Protokoll_3p!J148,LEN(Protokoll_3p!J148)-FIND(":",Protokoll_3p!J148))),0,1))</f>
        <v/>
      </c>
      <c r="N182" s="1" t="str">
        <f t="shared" si="5"/>
        <v/>
      </c>
    </row>
    <row r="183" spans="2:14">
      <c r="B183" s="1" t="str">
        <f>IF(Protokoll_3p!F149="","",IF(VALUE(LEFT(Protokoll_3p!F149,FIND(":",Protokoll_3p!F149)-1))&gt;VALUE(RIGHT(Protokoll_3p!F149,LEN(Protokoll_3p!F149)-FIND(":",Protokoll_3p!F149))),1,0))</f>
        <v/>
      </c>
      <c r="C183" s="1" t="str">
        <f>IF(Protokoll_3p!G149="","",IF(VALUE(LEFT(Protokoll_3p!G149,FIND(":",Protokoll_3p!G149)-1))&gt;VALUE(RIGHT(Protokoll_3p!G149,LEN(Protokoll_3p!G149)-FIND(":",Protokoll_3p!G149))),1,0))</f>
        <v/>
      </c>
      <c r="D183" s="1" t="str">
        <f>IF(Protokoll_3p!H149="","",IF(VALUE(LEFT(Protokoll_3p!H149,FIND(":",Protokoll_3p!H149)-1))&gt;VALUE(RIGHT(Protokoll_3p!H149,LEN(Protokoll_3p!H149)-FIND(":",Protokoll_3p!H149))),1,0))</f>
        <v/>
      </c>
      <c r="E183" s="1" t="str">
        <f>IF(Protokoll_3p!I149="","",IF(VALUE(LEFT(Protokoll_3p!I149,FIND(":",Protokoll_3p!I149)-1))&gt;VALUE(RIGHT(Protokoll_3p!I149,LEN(Protokoll_3p!I149)-FIND(":",Protokoll_3p!I149))),1,0))</f>
        <v/>
      </c>
      <c r="F183" s="1" t="str">
        <f>IF(Protokoll_3p!J149="","",IF(VALUE(LEFT(Protokoll_3p!J149,FIND(":",Protokoll_3p!J149)-1))&gt;VALUE(RIGHT(Protokoll_3p!J149,LEN(Protokoll_3p!J149)-FIND(":",Protokoll_3p!J149))),1,0))</f>
        <v/>
      </c>
      <c r="G183" s="1" t="str">
        <f t="shared" si="4"/>
        <v/>
      </c>
      <c r="I183" s="1" t="str">
        <f>IF(Protokoll_3p!F149="","",IF(VALUE(LEFT(Protokoll_3p!F149,FIND(":",Protokoll_3p!F149)-1))&gt;VALUE(RIGHT(Protokoll_3p!F149,LEN(Protokoll_3p!F149)-FIND(":",Protokoll_3p!F149))),0,1))</f>
        <v/>
      </c>
      <c r="J183" s="1" t="str">
        <f>IF(Protokoll_3p!G149="","",IF(VALUE(LEFT(Protokoll_3p!G149,FIND(":",Protokoll_3p!G149)-1))&gt;VALUE(RIGHT(Protokoll_3p!G149,LEN(Protokoll_3p!G149)-FIND(":",Protokoll_3p!G149))),0,1))</f>
        <v/>
      </c>
      <c r="K183" s="1" t="str">
        <f>IF(Protokoll_3p!H149="","",IF(VALUE(LEFT(Protokoll_3p!H149,FIND(":",Protokoll_3p!H149)-1))&gt;VALUE(RIGHT(Protokoll_3p!H149,LEN(Protokoll_3p!H149)-FIND(":",Protokoll_3p!H149))),0,1))</f>
        <v/>
      </c>
      <c r="L183" s="1" t="str">
        <f>IF(Protokoll_3p!I149="","",IF(VALUE(LEFT(Protokoll_3p!I149,FIND(":",Protokoll_3p!I149)-1))&gt;VALUE(RIGHT(Protokoll_3p!I149,LEN(Protokoll_3p!I149)-FIND(":",Protokoll_3p!I149))),0,1))</f>
        <v/>
      </c>
      <c r="M183" s="1" t="str">
        <f>IF(Protokoll_3p!J149="","",IF(VALUE(LEFT(Protokoll_3p!J149,FIND(":",Protokoll_3p!J149)-1))&gt;VALUE(RIGHT(Protokoll_3p!J149,LEN(Protokoll_3p!J149)-FIND(":",Protokoll_3p!J149))),0,1))</f>
        <v/>
      </c>
      <c r="N183" s="1" t="str">
        <f t="shared" si="5"/>
        <v/>
      </c>
    </row>
    <row r="184" spans="2:14">
      <c r="B184" s="1" t="str">
        <f>IF(Protokoll_3p!F150="","",IF(VALUE(LEFT(Protokoll_3p!F150,FIND(":",Protokoll_3p!F150)-1))&gt;VALUE(RIGHT(Protokoll_3p!F150,LEN(Protokoll_3p!F150)-FIND(":",Protokoll_3p!F150))),1,0))</f>
        <v/>
      </c>
      <c r="C184" s="1" t="str">
        <f>IF(Protokoll_3p!G150="","",IF(VALUE(LEFT(Protokoll_3p!G150,FIND(":",Protokoll_3p!G150)-1))&gt;VALUE(RIGHT(Protokoll_3p!G150,LEN(Protokoll_3p!G150)-FIND(":",Protokoll_3p!G150))),1,0))</f>
        <v/>
      </c>
      <c r="D184" s="1" t="str">
        <f>IF(Protokoll_3p!H150="","",IF(VALUE(LEFT(Protokoll_3p!H150,FIND(":",Protokoll_3p!H150)-1))&gt;VALUE(RIGHT(Protokoll_3p!H150,LEN(Protokoll_3p!H150)-FIND(":",Protokoll_3p!H150))),1,0))</f>
        <v/>
      </c>
      <c r="E184" s="1" t="str">
        <f>IF(Protokoll_3p!I150="","",IF(VALUE(LEFT(Protokoll_3p!I150,FIND(":",Protokoll_3p!I150)-1))&gt;VALUE(RIGHT(Protokoll_3p!I150,LEN(Protokoll_3p!I150)-FIND(":",Protokoll_3p!I150))),1,0))</f>
        <v/>
      </c>
      <c r="F184" s="1" t="str">
        <f>IF(Protokoll_3p!J150="","",IF(VALUE(LEFT(Protokoll_3p!J150,FIND(":",Protokoll_3p!J150)-1))&gt;VALUE(RIGHT(Protokoll_3p!J150,LEN(Protokoll_3p!J150)-FIND(":",Protokoll_3p!J150))),1,0))</f>
        <v/>
      </c>
      <c r="G184" s="1" t="str">
        <f t="shared" si="4"/>
        <v/>
      </c>
      <c r="I184" s="1" t="str">
        <f>IF(Protokoll_3p!F150="","",IF(VALUE(LEFT(Protokoll_3p!F150,FIND(":",Protokoll_3p!F150)-1))&gt;VALUE(RIGHT(Protokoll_3p!F150,LEN(Protokoll_3p!F150)-FIND(":",Protokoll_3p!F150))),0,1))</f>
        <v/>
      </c>
      <c r="J184" s="1" t="str">
        <f>IF(Protokoll_3p!G150="","",IF(VALUE(LEFT(Protokoll_3p!G150,FIND(":",Protokoll_3p!G150)-1))&gt;VALUE(RIGHT(Protokoll_3p!G150,LEN(Protokoll_3p!G150)-FIND(":",Protokoll_3p!G150))),0,1))</f>
        <v/>
      </c>
      <c r="K184" s="1" t="str">
        <f>IF(Protokoll_3p!H150="","",IF(VALUE(LEFT(Protokoll_3p!H150,FIND(":",Protokoll_3p!H150)-1))&gt;VALUE(RIGHT(Protokoll_3p!H150,LEN(Protokoll_3p!H150)-FIND(":",Protokoll_3p!H150))),0,1))</f>
        <v/>
      </c>
      <c r="L184" s="1" t="str">
        <f>IF(Protokoll_3p!I150="","",IF(VALUE(LEFT(Protokoll_3p!I150,FIND(":",Protokoll_3p!I150)-1))&gt;VALUE(RIGHT(Protokoll_3p!I150,LEN(Protokoll_3p!I150)-FIND(":",Protokoll_3p!I150))),0,1))</f>
        <v/>
      </c>
      <c r="M184" s="1" t="str">
        <f>IF(Protokoll_3p!J150="","",IF(VALUE(LEFT(Protokoll_3p!J150,FIND(":",Protokoll_3p!J150)-1))&gt;VALUE(RIGHT(Protokoll_3p!J150,LEN(Protokoll_3p!J150)-FIND(":",Protokoll_3p!J150))),0,1))</f>
        <v/>
      </c>
      <c r="N184" s="1" t="str">
        <f t="shared" si="5"/>
        <v/>
      </c>
    </row>
    <row r="185" spans="2:14">
      <c r="B185" s="1" t="str">
        <f>IF(Protokoll_3p!F151="","",IF(VALUE(LEFT(Protokoll_3p!F151,FIND(":",Protokoll_3p!F151)-1))&gt;VALUE(RIGHT(Protokoll_3p!F151,LEN(Protokoll_3p!F151)-FIND(":",Protokoll_3p!F151))),1,0))</f>
        <v/>
      </c>
      <c r="C185" s="1" t="str">
        <f>IF(Protokoll_3p!G151="","",IF(VALUE(LEFT(Protokoll_3p!G151,FIND(":",Protokoll_3p!G151)-1))&gt;VALUE(RIGHT(Protokoll_3p!G151,LEN(Protokoll_3p!G151)-FIND(":",Protokoll_3p!G151))),1,0))</f>
        <v/>
      </c>
      <c r="D185" s="1" t="str">
        <f>IF(Protokoll_3p!H151="","",IF(VALUE(LEFT(Protokoll_3p!H151,FIND(":",Protokoll_3p!H151)-1))&gt;VALUE(RIGHT(Protokoll_3p!H151,LEN(Protokoll_3p!H151)-FIND(":",Protokoll_3p!H151))),1,0))</f>
        <v/>
      </c>
      <c r="E185" s="1" t="str">
        <f>IF(Protokoll_3p!I151="","",IF(VALUE(LEFT(Protokoll_3p!I151,FIND(":",Protokoll_3p!I151)-1))&gt;VALUE(RIGHT(Protokoll_3p!I151,LEN(Protokoll_3p!I151)-FIND(":",Protokoll_3p!I151))),1,0))</f>
        <v/>
      </c>
      <c r="F185" s="1" t="str">
        <f>IF(Protokoll_3p!J151="","",IF(VALUE(LEFT(Protokoll_3p!J151,FIND(":",Protokoll_3p!J151)-1))&gt;VALUE(RIGHT(Protokoll_3p!J151,LEN(Protokoll_3p!J151)-FIND(":",Protokoll_3p!J151))),1,0))</f>
        <v/>
      </c>
      <c r="G185" s="1" t="str">
        <f t="shared" si="4"/>
        <v/>
      </c>
      <c r="I185" s="1" t="str">
        <f>IF(Protokoll_3p!F151="","",IF(VALUE(LEFT(Protokoll_3p!F151,FIND(":",Protokoll_3p!F151)-1))&gt;VALUE(RIGHT(Protokoll_3p!F151,LEN(Protokoll_3p!F151)-FIND(":",Protokoll_3p!F151))),0,1))</f>
        <v/>
      </c>
      <c r="J185" s="1" t="str">
        <f>IF(Protokoll_3p!G151="","",IF(VALUE(LEFT(Protokoll_3p!G151,FIND(":",Protokoll_3p!G151)-1))&gt;VALUE(RIGHT(Protokoll_3p!G151,LEN(Protokoll_3p!G151)-FIND(":",Protokoll_3p!G151))),0,1))</f>
        <v/>
      </c>
      <c r="K185" s="1" t="str">
        <f>IF(Protokoll_3p!H151="","",IF(VALUE(LEFT(Protokoll_3p!H151,FIND(":",Protokoll_3p!H151)-1))&gt;VALUE(RIGHT(Protokoll_3p!H151,LEN(Protokoll_3p!H151)-FIND(":",Protokoll_3p!H151))),0,1))</f>
        <v/>
      </c>
      <c r="L185" s="1" t="str">
        <f>IF(Protokoll_3p!I151="","",IF(VALUE(LEFT(Protokoll_3p!I151,FIND(":",Protokoll_3p!I151)-1))&gt;VALUE(RIGHT(Protokoll_3p!I151,LEN(Protokoll_3p!I151)-FIND(":",Protokoll_3p!I151))),0,1))</f>
        <v/>
      </c>
      <c r="M185" s="1" t="str">
        <f>IF(Protokoll_3p!J151="","",IF(VALUE(LEFT(Protokoll_3p!J151,FIND(":",Protokoll_3p!J151)-1))&gt;VALUE(RIGHT(Protokoll_3p!J151,LEN(Protokoll_3p!J151)-FIND(":",Protokoll_3p!J151))),0,1))</f>
        <v/>
      </c>
      <c r="N185" s="1" t="str">
        <f t="shared" si="5"/>
        <v/>
      </c>
    </row>
    <row r="186" spans="2:14">
      <c r="B186" s="1" t="str">
        <f>IF(Protokoll_3p!F152="","",IF(VALUE(LEFT(Protokoll_3p!F152,FIND(":",Protokoll_3p!F152)-1))&gt;VALUE(RIGHT(Protokoll_3p!F152,LEN(Protokoll_3p!F152)-FIND(":",Protokoll_3p!F152))),1,0))</f>
        <v/>
      </c>
      <c r="C186" s="1" t="str">
        <f>IF(Protokoll_3p!G152="","",IF(VALUE(LEFT(Protokoll_3p!G152,FIND(":",Protokoll_3p!G152)-1))&gt;VALUE(RIGHT(Protokoll_3p!G152,LEN(Protokoll_3p!G152)-FIND(":",Protokoll_3p!G152))),1,0))</f>
        <v/>
      </c>
      <c r="D186" s="1" t="str">
        <f>IF(Protokoll_3p!H152="","",IF(VALUE(LEFT(Protokoll_3p!H152,FIND(":",Protokoll_3p!H152)-1))&gt;VALUE(RIGHT(Protokoll_3p!H152,LEN(Protokoll_3p!H152)-FIND(":",Protokoll_3p!H152))),1,0))</f>
        <v/>
      </c>
      <c r="E186" s="1" t="str">
        <f>IF(Protokoll_3p!I152="","",IF(VALUE(LEFT(Protokoll_3p!I152,FIND(":",Protokoll_3p!I152)-1))&gt;VALUE(RIGHT(Protokoll_3p!I152,LEN(Protokoll_3p!I152)-FIND(":",Protokoll_3p!I152))),1,0))</f>
        <v/>
      </c>
      <c r="F186" s="1" t="str">
        <f>IF(Protokoll_3p!J152="","",IF(VALUE(LEFT(Protokoll_3p!J152,FIND(":",Protokoll_3p!J152)-1))&gt;VALUE(RIGHT(Protokoll_3p!J152,LEN(Protokoll_3p!J152)-FIND(":",Protokoll_3p!J152))),1,0))</f>
        <v/>
      </c>
      <c r="G186" s="1" t="str">
        <f t="shared" si="4"/>
        <v/>
      </c>
      <c r="I186" s="1" t="str">
        <f>IF(Protokoll_3p!F152="","",IF(VALUE(LEFT(Protokoll_3p!F152,FIND(":",Protokoll_3p!F152)-1))&gt;VALUE(RIGHT(Protokoll_3p!F152,LEN(Protokoll_3p!F152)-FIND(":",Protokoll_3p!F152))),0,1))</f>
        <v/>
      </c>
      <c r="J186" s="1" t="str">
        <f>IF(Protokoll_3p!G152="","",IF(VALUE(LEFT(Protokoll_3p!G152,FIND(":",Protokoll_3p!G152)-1))&gt;VALUE(RIGHT(Protokoll_3p!G152,LEN(Protokoll_3p!G152)-FIND(":",Protokoll_3p!G152))),0,1))</f>
        <v/>
      </c>
      <c r="K186" s="1" t="str">
        <f>IF(Protokoll_3p!H152="","",IF(VALUE(LEFT(Protokoll_3p!H152,FIND(":",Protokoll_3p!H152)-1))&gt;VALUE(RIGHT(Protokoll_3p!H152,LEN(Protokoll_3p!H152)-FIND(":",Protokoll_3p!H152))),0,1))</f>
        <v/>
      </c>
      <c r="L186" s="1" t="str">
        <f>IF(Protokoll_3p!I152="","",IF(VALUE(LEFT(Protokoll_3p!I152,FIND(":",Protokoll_3p!I152)-1))&gt;VALUE(RIGHT(Protokoll_3p!I152,LEN(Protokoll_3p!I152)-FIND(":",Protokoll_3p!I152))),0,1))</f>
        <v/>
      </c>
      <c r="M186" s="1" t="str">
        <f>IF(Protokoll_3p!J152="","",IF(VALUE(LEFT(Protokoll_3p!J152,FIND(":",Protokoll_3p!J152)-1))&gt;VALUE(RIGHT(Protokoll_3p!J152,LEN(Protokoll_3p!J152)-FIND(":",Protokoll_3p!J152))),0,1))</f>
        <v/>
      </c>
      <c r="N186" s="1" t="str">
        <f t="shared" si="5"/>
        <v/>
      </c>
    </row>
    <row r="187" spans="2:14">
      <c r="B187" s="1" t="str">
        <f>IF(Protokoll_3p!F153="","",IF(VALUE(LEFT(Protokoll_3p!F153,FIND(":",Protokoll_3p!F153)-1))&gt;VALUE(RIGHT(Protokoll_3p!F153,LEN(Protokoll_3p!F153)-FIND(":",Protokoll_3p!F153))),1,0))</f>
        <v/>
      </c>
      <c r="C187" s="1" t="str">
        <f>IF(Protokoll_3p!G153="","",IF(VALUE(LEFT(Protokoll_3p!G153,FIND(":",Protokoll_3p!G153)-1))&gt;VALUE(RIGHT(Protokoll_3p!G153,LEN(Protokoll_3p!G153)-FIND(":",Protokoll_3p!G153))),1,0))</f>
        <v/>
      </c>
      <c r="D187" s="1" t="str">
        <f>IF(Protokoll_3p!H153="","",IF(VALUE(LEFT(Protokoll_3p!H153,FIND(":",Protokoll_3p!H153)-1))&gt;VALUE(RIGHT(Protokoll_3p!H153,LEN(Protokoll_3p!H153)-FIND(":",Protokoll_3p!H153))),1,0))</f>
        <v/>
      </c>
      <c r="E187" s="1" t="str">
        <f>IF(Protokoll_3p!I153="","",IF(VALUE(LEFT(Protokoll_3p!I153,FIND(":",Protokoll_3p!I153)-1))&gt;VALUE(RIGHT(Protokoll_3p!I153,LEN(Protokoll_3p!I153)-FIND(":",Protokoll_3p!I153))),1,0))</f>
        <v/>
      </c>
      <c r="F187" s="1" t="str">
        <f>IF(Protokoll_3p!J153="","",IF(VALUE(LEFT(Protokoll_3p!J153,FIND(":",Protokoll_3p!J153)-1))&gt;VALUE(RIGHT(Protokoll_3p!J153,LEN(Protokoll_3p!J153)-FIND(":",Protokoll_3p!J153))),1,0))</f>
        <v/>
      </c>
      <c r="G187" s="1" t="str">
        <f t="shared" si="4"/>
        <v/>
      </c>
      <c r="I187" s="1" t="str">
        <f>IF(Protokoll_3p!F153="","",IF(VALUE(LEFT(Protokoll_3p!F153,FIND(":",Protokoll_3p!F153)-1))&gt;VALUE(RIGHT(Protokoll_3p!F153,LEN(Protokoll_3p!F153)-FIND(":",Protokoll_3p!F153))),0,1))</f>
        <v/>
      </c>
      <c r="J187" s="1" t="str">
        <f>IF(Protokoll_3p!G153="","",IF(VALUE(LEFT(Protokoll_3p!G153,FIND(":",Protokoll_3p!G153)-1))&gt;VALUE(RIGHT(Protokoll_3p!G153,LEN(Protokoll_3p!G153)-FIND(":",Protokoll_3p!G153))),0,1))</f>
        <v/>
      </c>
      <c r="K187" s="1" t="str">
        <f>IF(Protokoll_3p!H153="","",IF(VALUE(LEFT(Protokoll_3p!H153,FIND(":",Protokoll_3p!H153)-1))&gt;VALUE(RIGHT(Protokoll_3p!H153,LEN(Protokoll_3p!H153)-FIND(":",Protokoll_3p!H153))),0,1))</f>
        <v/>
      </c>
      <c r="L187" s="1" t="str">
        <f>IF(Protokoll_3p!I153="","",IF(VALUE(LEFT(Protokoll_3p!I153,FIND(":",Protokoll_3p!I153)-1))&gt;VALUE(RIGHT(Protokoll_3p!I153,LEN(Protokoll_3p!I153)-FIND(":",Protokoll_3p!I153))),0,1))</f>
        <v/>
      </c>
      <c r="M187" s="1" t="str">
        <f>IF(Protokoll_3p!J153="","",IF(VALUE(LEFT(Protokoll_3p!J153,FIND(":",Protokoll_3p!J153)-1))&gt;VALUE(RIGHT(Protokoll_3p!J153,LEN(Protokoll_3p!J153)-FIND(":",Protokoll_3p!J153))),0,1))</f>
        <v/>
      </c>
      <c r="N187" s="1" t="str">
        <f t="shared" si="5"/>
        <v/>
      </c>
    </row>
    <row r="188" spans="2:14">
      <c r="B188" s="1" t="str">
        <f>IF(Protokoll_3p!F154="","",IF(VALUE(LEFT(Protokoll_3p!F154,FIND(":",Protokoll_3p!F154)-1))&gt;VALUE(RIGHT(Protokoll_3p!F154,LEN(Protokoll_3p!F154)-FIND(":",Protokoll_3p!F154))),1,0))</f>
        <v/>
      </c>
      <c r="C188" s="1" t="str">
        <f>IF(Protokoll_3p!G154="","",IF(VALUE(LEFT(Protokoll_3p!G154,FIND(":",Protokoll_3p!G154)-1))&gt;VALUE(RIGHT(Protokoll_3p!G154,LEN(Protokoll_3p!G154)-FIND(":",Protokoll_3p!G154))),1,0))</f>
        <v/>
      </c>
      <c r="D188" s="1" t="str">
        <f>IF(Protokoll_3p!H154="","",IF(VALUE(LEFT(Protokoll_3p!H154,FIND(":",Protokoll_3p!H154)-1))&gt;VALUE(RIGHT(Protokoll_3p!H154,LEN(Protokoll_3p!H154)-FIND(":",Protokoll_3p!H154))),1,0))</f>
        <v/>
      </c>
      <c r="E188" s="1" t="str">
        <f>IF(Protokoll_3p!I154="","",IF(VALUE(LEFT(Protokoll_3p!I154,FIND(":",Protokoll_3p!I154)-1))&gt;VALUE(RIGHT(Protokoll_3p!I154,LEN(Protokoll_3p!I154)-FIND(":",Protokoll_3p!I154))),1,0))</f>
        <v/>
      </c>
      <c r="F188" s="1" t="str">
        <f>IF(Protokoll_3p!J154="","",IF(VALUE(LEFT(Protokoll_3p!J154,FIND(":",Protokoll_3p!J154)-1))&gt;VALUE(RIGHT(Protokoll_3p!J154,LEN(Protokoll_3p!J154)-FIND(":",Protokoll_3p!J154))),1,0))</f>
        <v/>
      </c>
      <c r="G188" s="1" t="str">
        <f t="shared" si="4"/>
        <v/>
      </c>
      <c r="I188" s="1" t="str">
        <f>IF(Protokoll_3p!F154="","",IF(VALUE(LEFT(Protokoll_3p!F154,FIND(":",Protokoll_3p!F154)-1))&gt;VALUE(RIGHT(Protokoll_3p!F154,LEN(Protokoll_3p!F154)-FIND(":",Protokoll_3p!F154))),0,1))</f>
        <v/>
      </c>
      <c r="J188" s="1" t="str">
        <f>IF(Protokoll_3p!G154="","",IF(VALUE(LEFT(Protokoll_3p!G154,FIND(":",Protokoll_3p!G154)-1))&gt;VALUE(RIGHT(Protokoll_3p!G154,LEN(Protokoll_3p!G154)-FIND(":",Protokoll_3p!G154))),0,1))</f>
        <v/>
      </c>
      <c r="K188" s="1" t="str">
        <f>IF(Protokoll_3p!H154="","",IF(VALUE(LEFT(Protokoll_3p!H154,FIND(":",Protokoll_3p!H154)-1))&gt;VALUE(RIGHT(Protokoll_3p!H154,LEN(Protokoll_3p!H154)-FIND(":",Protokoll_3p!H154))),0,1))</f>
        <v/>
      </c>
      <c r="L188" s="1" t="str">
        <f>IF(Protokoll_3p!I154="","",IF(VALUE(LEFT(Protokoll_3p!I154,FIND(":",Protokoll_3p!I154)-1))&gt;VALUE(RIGHT(Protokoll_3p!I154,LEN(Protokoll_3p!I154)-FIND(":",Protokoll_3p!I154))),0,1))</f>
        <v/>
      </c>
      <c r="M188" s="1" t="str">
        <f>IF(Protokoll_3p!J154="","",IF(VALUE(LEFT(Protokoll_3p!J154,FIND(":",Protokoll_3p!J154)-1))&gt;VALUE(RIGHT(Protokoll_3p!J154,LEN(Protokoll_3p!J154)-FIND(":",Protokoll_3p!J154))),0,1))</f>
        <v/>
      </c>
      <c r="N188" s="1" t="str">
        <f t="shared" si="5"/>
        <v/>
      </c>
    </row>
    <row r="189" spans="2:14">
      <c r="B189" s="1" t="str">
        <f>IF(Protokoll_3p!F155="","",IF(VALUE(LEFT(Protokoll_3p!F155,FIND(":",Protokoll_3p!F155)-1))&gt;VALUE(RIGHT(Protokoll_3p!F155,LEN(Protokoll_3p!F155)-FIND(":",Protokoll_3p!F155))),1,0))</f>
        <v/>
      </c>
      <c r="C189" s="1" t="str">
        <f>IF(Protokoll_3p!G155="","",IF(VALUE(LEFT(Protokoll_3p!G155,FIND(":",Protokoll_3p!G155)-1))&gt;VALUE(RIGHT(Protokoll_3p!G155,LEN(Protokoll_3p!G155)-FIND(":",Protokoll_3p!G155))),1,0))</f>
        <v/>
      </c>
      <c r="D189" s="1" t="str">
        <f>IF(Protokoll_3p!H155="","",IF(VALUE(LEFT(Protokoll_3p!H155,FIND(":",Protokoll_3p!H155)-1))&gt;VALUE(RIGHT(Protokoll_3p!H155,LEN(Protokoll_3p!H155)-FIND(":",Protokoll_3p!H155))),1,0))</f>
        <v/>
      </c>
      <c r="E189" s="1" t="str">
        <f>IF(Protokoll_3p!I155="","",IF(VALUE(LEFT(Protokoll_3p!I155,FIND(":",Protokoll_3p!I155)-1))&gt;VALUE(RIGHT(Protokoll_3p!I155,LEN(Protokoll_3p!I155)-FIND(":",Protokoll_3p!I155))),1,0))</f>
        <v/>
      </c>
      <c r="F189" s="1" t="str">
        <f>IF(Protokoll_3p!J155="","",IF(VALUE(LEFT(Protokoll_3p!J155,FIND(":",Protokoll_3p!J155)-1))&gt;VALUE(RIGHT(Protokoll_3p!J155,LEN(Protokoll_3p!J155)-FIND(":",Protokoll_3p!J155))),1,0))</f>
        <v/>
      </c>
      <c r="G189" s="1" t="str">
        <f t="shared" si="4"/>
        <v/>
      </c>
      <c r="I189" s="1" t="str">
        <f>IF(Protokoll_3p!F155="","",IF(VALUE(LEFT(Protokoll_3p!F155,FIND(":",Protokoll_3p!F155)-1))&gt;VALUE(RIGHT(Protokoll_3p!F155,LEN(Protokoll_3p!F155)-FIND(":",Protokoll_3p!F155))),0,1))</f>
        <v/>
      </c>
      <c r="J189" s="1" t="str">
        <f>IF(Protokoll_3p!G155="","",IF(VALUE(LEFT(Protokoll_3p!G155,FIND(":",Protokoll_3p!G155)-1))&gt;VALUE(RIGHT(Protokoll_3p!G155,LEN(Protokoll_3p!G155)-FIND(":",Protokoll_3p!G155))),0,1))</f>
        <v/>
      </c>
      <c r="K189" s="1" t="str">
        <f>IF(Protokoll_3p!H155="","",IF(VALUE(LEFT(Protokoll_3p!H155,FIND(":",Protokoll_3p!H155)-1))&gt;VALUE(RIGHT(Protokoll_3p!H155,LEN(Protokoll_3p!H155)-FIND(":",Protokoll_3p!H155))),0,1))</f>
        <v/>
      </c>
      <c r="L189" s="1" t="str">
        <f>IF(Protokoll_3p!I155="","",IF(VALUE(LEFT(Protokoll_3p!I155,FIND(":",Protokoll_3p!I155)-1))&gt;VALUE(RIGHT(Protokoll_3p!I155,LEN(Protokoll_3p!I155)-FIND(":",Protokoll_3p!I155))),0,1))</f>
        <v/>
      </c>
      <c r="M189" s="1" t="str">
        <f>IF(Protokoll_3p!J155="","",IF(VALUE(LEFT(Protokoll_3p!J155,FIND(":",Protokoll_3p!J155)-1))&gt;VALUE(RIGHT(Protokoll_3p!J155,LEN(Protokoll_3p!J155)-FIND(":",Protokoll_3p!J155))),0,1))</f>
        <v/>
      </c>
      <c r="N189" s="1" t="str">
        <f t="shared" si="5"/>
        <v/>
      </c>
    </row>
    <row r="190" spans="2:14">
      <c r="B190" s="1" t="str">
        <f>IF(Protokoll_3p!F156="","",IF(VALUE(LEFT(Protokoll_3p!F156,FIND(":",Protokoll_3p!F156)-1))&gt;VALUE(RIGHT(Protokoll_3p!F156,LEN(Protokoll_3p!F156)-FIND(":",Protokoll_3p!F156))),1,0))</f>
        <v/>
      </c>
      <c r="C190" s="1" t="str">
        <f>IF(Protokoll_3p!G156="","",IF(VALUE(LEFT(Protokoll_3p!G156,FIND(":",Protokoll_3p!G156)-1))&gt;VALUE(RIGHT(Protokoll_3p!G156,LEN(Protokoll_3p!G156)-FIND(":",Protokoll_3p!G156))),1,0))</f>
        <v/>
      </c>
      <c r="D190" s="1" t="str">
        <f>IF(Protokoll_3p!H156="","",IF(VALUE(LEFT(Protokoll_3p!H156,FIND(":",Protokoll_3p!H156)-1))&gt;VALUE(RIGHT(Protokoll_3p!H156,LEN(Protokoll_3p!H156)-FIND(":",Protokoll_3p!H156))),1,0))</f>
        <v/>
      </c>
      <c r="E190" s="1" t="str">
        <f>IF(Protokoll_3p!I156="","",IF(VALUE(LEFT(Protokoll_3p!I156,FIND(":",Protokoll_3p!I156)-1))&gt;VALUE(RIGHT(Protokoll_3p!I156,LEN(Protokoll_3p!I156)-FIND(":",Protokoll_3p!I156))),1,0))</f>
        <v/>
      </c>
      <c r="F190" s="1" t="str">
        <f>IF(Protokoll_3p!J156="","",IF(VALUE(LEFT(Protokoll_3p!J156,FIND(":",Protokoll_3p!J156)-1))&gt;VALUE(RIGHT(Protokoll_3p!J156,LEN(Protokoll_3p!J156)-FIND(":",Protokoll_3p!J156))),1,0))</f>
        <v/>
      </c>
      <c r="G190" s="1" t="str">
        <f t="shared" si="4"/>
        <v/>
      </c>
      <c r="I190" s="1" t="str">
        <f>IF(Protokoll_3p!F156="","",IF(VALUE(LEFT(Protokoll_3p!F156,FIND(":",Protokoll_3p!F156)-1))&gt;VALUE(RIGHT(Protokoll_3p!F156,LEN(Protokoll_3p!F156)-FIND(":",Protokoll_3p!F156))),0,1))</f>
        <v/>
      </c>
      <c r="J190" s="1" t="str">
        <f>IF(Protokoll_3p!G156="","",IF(VALUE(LEFT(Protokoll_3p!G156,FIND(":",Protokoll_3p!G156)-1))&gt;VALUE(RIGHT(Protokoll_3p!G156,LEN(Protokoll_3p!G156)-FIND(":",Protokoll_3p!G156))),0,1))</f>
        <v/>
      </c>
      <c r="K190" s="1" t="str">
        <f>IF(Protokoll_3p!H156="","",IF(VALUE(LEFT(Protokoll_3p!H156,FIND(":",Protokoll_3p!H156)-1))&gt;VALUE(RIGHT(Protokoll_3p!H156,LEN(Protokoll_3p!H156)-FIND(":",Protokoll_3p!H156))),0,1))</f>
        <v/>
      </c>
      <c r="L190" s="1" t="str">
        <f>IF(Protokoll_3p!I156="","",IF(VALUE(LEFT(Protokoll_3p!I156,FIND(":",Protokoll_3p!I156)-1))&gt;VALUE(RIGHT(Protokoll_3p!I156,LEN(Protokoll_3p!I156)-FIND(":",Protokoll_3p!I156))),0,1))</f>
        <v/>
      </c>
      <c r="M190" s="1" t="str">
        <f>IF(Protokoll_3p!J156="","",IF(VALUE(LEFT(Protokoll_3p!J156,FIND(":",Protokoll_3p!J156)-1))&gt;VALUE(RIGHT(Protokoll_3p!J156,LEN(Protokoll_3p!J156)-FIND(":",Protokoll_3p!J156))),0,1))</f>
        <v/>
      </c>
      <c r="N190" s="1" t="str">
        <f t="shared" si="5"/>
        <v/>
      </c>
    </row>
    <row r="191" spans="2:14">
      <c r="B191" s="1" t="str">
        <f>IF(Protokoll_3p!F157="","",IF(VALUE(LEFT(Protokoll_3p!F157,FIND(":",Protokoll_3p!F157)-1))&gt;VALUE(RIGHT(Protokoll_3p!F157,LEN(Protokoll_3p!F157)-FIND(":",Protokoll_3p!F157))),1,0))</f>
        <v/>
      </c>
      <c r="C191" s="1" t="str">
        <f>IF(Protokoll_3p!G157="","",IF(VALUE(LEFT(Protokoll_3p!G157,FIND(":",Protokoll_3p!G157)-1))&gt;VALUE(RIGHT(Protokoll_3p!G157,LEN(Protokoll_3p!G157)-FIND(":",Protokoll_3p!G157))),1,0))</f>
        <v/>
      </c>
      <c r="D191" s="1" t="str">
        <f>IF(Protokoll_3p!H157="","",IF(VALUE(LEFT(Protokoll_3p!H157,FIND(":",Protokoll_3p!H157)-1))&gt;VALUE(RIGHT(Protokoll_3p!H157,LEN(Protokoll_3p!H157)-FIND(":",Protokoll_3p!H157))),1,0))</f>
        <v/>
      </c>
      <c r="E191" s="1" t="str">
        <f>IF(Protokoll_3p!I157="","",IF(VALUE(LEFT(Protokoll_3p!I157,FIND(":",Protokoll_3p!I157)-1))&gt;VALUE(RIGHT(Protokoll_3p!I157,LEN(Protokoll_3p!I157)-FIND(":",Protokoll_3p!I157))),1,0))</f>
        <v/>
      </c>
      <c r="F191" s="1" t="str">
        <f>IF(Protokoll_3p!J157="","",IF(VALUE(LEFT(Protokoll_3p!J157,FIND(":",Protokoll_3p!J157)-1))&gt;VALUE(RIGHT(Protokoll_3p!J157,LEN(Protokoll_3p!J157)-FIND(":",Protokoll_3p!J157))),1,0))</f>
        <v/>
      </c>
      <c r="G191" s="1" t="str">
        <f t="shared" si="4"/>
        <v/>
      </c>
      <c r="I191" s="1" t="str">
        <f>IF(Protokoll_3p!F157="","",IF(VALUE(LEFT(Protokoll_3p!F157,FIND(":",Protokoll_3p!F157)-1))&gt;VALUE(RIGHT(Protokoll_3p!F157,LEN(Protokoll_3p!F157)-FIND(":",Protokoll_3p!F157))),0,1))</f>
        <v/>
      </c>
      <c r="J191" s="1" t="str">
        <f>IF(Protokoll_3p!G157="","",IF(VALUE(LEFT(Protokoll_3p!G157,FIND(":",Protokoll_3p!G157)-1))&gt;VALUE(RIGHT(Protokoll_3p!G157,LEN(Protokoll_3p!G157)-FIND(":",Protokoll_3p!G157))),0,1))</f>
        <v/>
      </c>
      <c r="K191" s="1" t="str">
        <f>IF(Protokoll_3p!H157="","",IF(VALUE(LEFT(Protokoll_3p!H157,FIND(":",Protokoll_3p!H157)-1))&gt;VALUE(RIGHT(Protokoll_3p!H157,LEN(Protokoll_3p!H157)-FIND(":",Protokoll_3p!H157))),0,1))</f>
        <v/>
      </c>
      <c r="L191" s="1" t="str">
        <f>IF(Protokoll_3p!I157="","",IF(VALUE(LEFT(Protokoll_3p!I157,FIND(":",Protokoll_3p!I157)-1))&gt;VALUE(RIGHT(Protokoll_3p!I157,LEN(Protokoll_3p!I157)-FIND(":",Protokoll_3p!I157))),0,1))</f>
        <v/>
      </c>
      <c r="M191" s="1" t="str">
        <f>IF(Protokoll_3p!J157="","",IF(VALUE(LEFT(Protokoll_3p!J157,FIND(":",Protokoll_3p!J157)-1))&gt;VALUE(RIGHT(Protokoll_3p!J157,LEN(Protokoll_3p!J157)-FIND(":",Protokoll_3p!J157))),0,1))</f>
        <v/>
      </c>
      <c r="N191" s="1" t="str">
        <f t="shared" si="5"/>
        <v/>
      </c>
    </row>
    <row r="192" spans="2:14">
      <c r="B192" s="1" t="str">
        <f>IF(Protokoll_3p!F158="","",IF(VALUE(LEFT(Protokoll_3p!F158,FIND(":",Protokoll_3p!F158)-1))&gt;VALUE(RIGHT(Protokoll_3p!F158,LEN(Protokoll_3p!F158)-FIND(":",Protokoll_3p!F158))),1,0))</f>
        <v/>
      </c>
      <c r="C192" s="1" t="str">
        <f>IF(Protokoll_3p!G158="","",IF(VALUE(LEFT(Protokoll_3p!G158,FIND(":",Protokoll_3p!G158)-1))&gt;VALUE(RIGHT(Protokoll_3p!G158,LEN(Protokoll_3p!G158)-FIND(":",Protokoll_3p!G158))),1,0))</f>
        <v/>
      </c>
      <c r="D192" s="1" t="str">
        <f>IF(Protokoll_3p!H158="","",IF(VALUE(LEFT(Protokoll_3p!H158,FIND(":",Protokoll_3p!H158)-1))&gt;VALUE(RIGHT(Protokoll_3p!H158,LEN(Protokoll_3p!H158)-FIND(":",Protokoll_3p!H158))),1,0))</f>
        <v/>
      </c>
      <c r="E192" s="1" t="str">
        <f>IF(Protokoll_3p!I158="","",IF(VALUE(LEFT(Protokoll_3p!I158,FIND(":",Protokoll_3p!I158)-1))&gt;VALUE(RIGHT(Protokoll_3p!I158,LEN(Protokoll_3p!I158)-FIND(":",Protokoll_3p!I158))),1,0))</f>
        <v/>
      </c>
      <c r="F192" s="1" t="str">
        <f>IF(Protokoll_3p!J158="","",IF(VALUE(LEFT(Protokoll_3p!J158,FIND(":",Protokoll_3p!J158)-1))&gt;VALUE(RIGHT(Protokoll_3p!J158,LEN(Protokoll_3p!J158)-FIND(":",Protokoll_3p!J158))),1,0))</f>
        <v/>
      </c>
      <c r="G192" s="1" t="str">
        <f t="shared" si="4"/>
        <v/>
      </c>
      <c r="I192" s="1" t="str">
        <f>IF(Protokoll_3p!F158="","",IF(VALUE(LEFT(Protokoll_3p!F158,FIND(":",Protokoll_3p!F158)-1))&gt;VALUE(RIGHT(Protokoll_3p!F158,LEN(Protokoll_3p!F158)-FIND(":",Protokoll_3p!F158))),0,1))</f>
        <v/>
      </c>
      <c r="J192" s="1" t="str">
        <f>IF(Protokoll_3p!G158="","",IF(VALUE(LEFT(Protokoll_3p!G158,FIND(":",Protokoll_3p!G158)-1))&gt;VALUE(RIGHT(Protokoll_3p!G158,LEN(Protokoll_3p!G158)-FIND(":",Protokoll_3p!G158))),0,1))</f>
        <v/>
      </c>
      <c r="K192" s="1" t="str">
        <f>IF(Protokoll_3p!H158="","",IF(VALUE(LEFT(Protokoll_3p!H158,FIND(":",Protokoll_3p!H158)-1))&gt;VALUE(RIGHT(Protokoll_3p!H158,LEN(Protokoll_3p!H158)-FIND(":",Protokoll_3p!H158))),0,1))</f>
        <v/>
      </c>
      <c r="L192" s="1" t="str">
        <f>IF(Protokoll_3p!I158="","",IF(VALUE(LEFT(Protokoll_3p!I158,FIND(":",Protokoll_3p!I158)-1))&gt;VALUE(RIGHT(Protokoll_3p!I158,LEN(Protokoll_3p!I158)-FIND(":",Protokoll_3p!I158))),0,1))</f>
        <v/>
      </c>
      <c r="M192" s="1" t="str">
        <f>IF(Protokoll_3p!J158="","",IF(VALUE(LEFT(Protokoll_3p!J158,FIND(":",Protokoll_3p!J158)-1))&gt;VALUE(RIGHT(Protokoll_3p!J158,LEN(Protokoll_3p!J158)-FIND(":",Protokoll_3p!J158))),0,1))</f>
        <v/>
      </c>
      <c r="N192" s="1" t="str">
        <f t="shared" si="5"/>
        <v/>
      </c>
    </row>
    <row r="193" spans="2:14">
      <c r="B193" s="1" t="str">
        <f>IF(Protokoll_3p!F159="","",IF(VALUE(LEFT(Protokoll_3p!F159,FIND(":",Protokoll_3p!F159)-1))&gt;VALUE(RIGHT(Protokoll_3p!F159,LEN(Protokoll_3p!F159)-FIND(":",Protokoll_3p!F159))),1,0))</f>
        <v/>
      </c>
      <c r="C193" s="1" t="str">
        <f>IF(Protokoll_3p!G159="","",IF(VALUE(LEFT(Protokoll_3p!G159,FIND(":",Protokoll_3p!G159)-1))&gt;VALUE(RIGHT(Protokoll_3p!G159,LEN(Protokoll_3p!G159)-FIND(":",Protokoll_3p!G159))),1,0))</f>
        <v/>
      </c>
      <c r="D193" s="1" t="str">
        <f>IF(Protokoll_3p!H159="","",IF(VALUE(LEFT(Protokoll_3p!H159,FIND(":",Protokoll_3p!H159)-1))&gt;VALUE(RIGHT(Protokoll_3p!H159,LEN(Protokoll_3p!H159)-FIND(":",Protokoll_3p!H159))),1,0))</f>
        <v/>
      </c>
      <c r="E193" s="1" t="str">
        <f>IF(Protokoll_3p!I159="","",IF(VALUE(LEFT(Protokoll_3p!I159,FIND(":",Protokoll_3p!I159)-1))&gt;VALUE(RIGHT(Protokoll_3p!I159,LEN(Protokoll_3p!I159)-FIND(":",Protokoll_3p!I159))),1,0))</f>
        <v/>
      </c>
      <c r="F193" s="1" t="str">
        <f>IF(Protokoll_3p!J159="","",IF(VALUE(LEFT(Protokoll_3p!J159,FIND(":",Protokoll_3p!J159)-1))&gt;VALUE(RIGHT(Protokoll_3p!J159,LEN(Protokoll_3p!J159)-FIND(":",Protokoll_3p!J159))),1,0))</f>
        <v/>
      </c>
      <c r="G193" s="1" t="str">
        <f t="shared" si="4"/>
        <v/>
      </c>
      <c r="I193" s="1" t="str">
        <f>IF(Protokoll_3p!F159="","",IF(VALUE(LEFT(Protokoll_3p!F159,FIND(":",Protokoll_3p!F159)-1))&gt;VALUE(RIGHT(Protokoll_3p!F159,LEN(Protokoll_3p!F159)-FIND(":",Protokoll_3p!F159))),0,1))</f>
        <v/>
      </c>
      <c r="J193" s="1" t="str">
        <f>IF(Protokoll_3p!G159="","",IF(VALUE(LEFT(Protokoll_3p!G159,FIND(":",Protokoll_3p!G159)-1))&gt;VALUE(RIGHT(Protokoll_3p!G159,LEN(Protokoll_3p!G159)-FIND(":",Protokoll_3p!G159))),0,1))</f>
        <v/>
      </c>
      <c r="K193" s="1" t="str">
        <f>IF(Protokoll_3p!H159="","",IF(VALUE(LEFT(Protokoll_3p!H159,FIND(":",Protokoll_3p!H159)-1))&gt;VALUE(RIGHT(Protokoll_3p!H159,LEN(Protokoll_3p!H159)-FIND(":",Protokoll_3p!H159))),0,1))</f>
        <v/>
      </c>
      <c r="L193" s="1" t="str">
        <f>IF(Protokoll_3p!I159="","",IF(VALUE(LEFT(Protokoll_3p!I159,FIND(":",Protokoll_3p!I159)-1))&gt;VALUE(RIGHT(Protokoll_3p!I159,LEN(Protokoll_3p!I159)-FIND(":",Protokoll_3p!I159))),0,1))</f>
        <v/>
      </c>
      <c r="M193" s="1" t="str">
        <f>IF(Protokoll_3p!J159="","",IF(VALUE(LEFT(Protokoll_3p!J159,FIND(":",Protokoll_3p!J159)-1))&gt;VALUE(RIGHT(Protokoll_3p!J159,LEN(Protokoll_3p!J159)-FIND(":",Protokoll_3p!J159))),0,1))</f>
        <v/>
      </c>
      <c r="N193" s="1" t="str">
        <f t="shared" si="5"/>
        <v/>
      </c>
    </row>
    <row r="194" spans="2:14">
      <c r="B194" s="1" t="str">
        <f>IF(Protokoll_3p!F160="","",IF(VALUE(LEFT(Protokoll_3p!F160,FIND(":",Protokoll_3p!F160)-1))&gt;VALUE(RIGHT(Protokoll_3p!F160,LEN(Protokoll_3p!F160)-FIND(":",Protokoll_3p!F160))),1,0))</f>
        <v/>
      </c>
      <c r="C194" s="1" t="str">
        <f>IF(Protokoll_3p!G160="","",IF(VALUE(LEFT(Protokoll_3p!G160,FIND(":",Protokoll_3p!G160)-1))&gt;VALUE(RIGHT(Protokoll_3p!G160,LEN(Protokoll_3p!G160)-FIND(":",Protokoll_3p!G160))),1,0))</f>
        <v/>
      </c>
      <c r="D194" s="1" t="str">
        <f>IF(Protokoll_3p!H160="","",IF(VALUE(LEFT(Protokoll_3p!H160,FIND(":",Protokoll_3p!H160)-1))&gt;VALUE(RIGHT(Protokoll_3p!H160,LEN(Protokoll_3p!H160)-FIND(":",Protokoll_3p!H160))),1,0))</f>
        <v/>
      </c>
      <c r="E194" s="1" t="str">
        <f>IF(Protokoll_3p!I160="","",IF(VALUE(LEFT(Protokoll_3p!I160,FIND(":",Protokoll_3p!I160)-1))&gt;VALUE(RIGHT(Protokoll_3p!I160,LEN(Protokoll_3p!I160)-FIND(":",Protokoll_3p!I160))),1,0))</f>
        <v/>
      </c>
      <c r="F194" s="1" t="str">
        <f>IF(Protokoll_3p!J160="","",IF(VALUE(LEFT(Protokoll_3p!J160,FIND(":",Protokoll_3p!J160)-1))&gt;VALUE(RIGHT(Protokoll_3p!J160,LEN(Protokoll_3p!J160)-FIND(":",Protokoll_3p!J160))),1,0))</f>
        <v/>
      </c>
      <c r="G194" s="1" t="str">
        <f t="shared" si="4"/>
        <v/>
      </c>
      <c r="I194" s="1" t="str">
        <f>IF(Protokoll_3p!F160="","",IF(VALUE(LEFT(Protokoll_3p!F160,FIND(":",Protokoll_3p!F160)-1))&gt;VALUE(RIGHT(Protokoll_3p!F160,LEN(Protokoll_3p!F160)-FIND(":",Protokoll_3p!F160))),0,1))</f>
        <v/>
      </c>
      <c r="J194" s="1" t="str">
        <f>IF(Protokoll_3p!G160="","",IF(VALUE(LEFT(Protokoll_3p!G160,FIND(":",Protokoll_3p!G160)-1))&gt;VALUE(RIGHT(Protokoll_3p!G160,LEN(Protokoll_3p!G160)-FIND(":",Protokoll_3p!G160))),0,1))</f>
        <v/>
      </c>
      <c r="K194" s="1" t="str">
        <f>IF(Protokoll_3p!H160="","",IF(VALUE(LEFT(Protokoll_3p!H160,FIND(":",Protokoll_3p!H160)-1))&gt;VALUE(RIGHT(Protokoll_3p!H160,LEN(Protokoll_3p!H160)-FIND(":",Protokoll_3p!H160))),0,1))</f>
        <v/>
      </c>
      <c r="L194" s="1" t="str">
        <f>IF(Protokoll_3p!I160="","",IF(VALUE(LEFT(Protokoll_3p!I160,FIND(":",Protokoll_3p!I160)-1))&gt;VALUE(RIGHT(Protokoll_3p!I160,LEN(Protokoll_3p!I160)-FIND(":",Protokoll_3p!I160))),0,1))</f>
        <v/>
      </c>
      <c r="M194" s="1" t="str">
        <f>IF(Protokoll_3p!J160="","",IF(VALUE(LEFT(Protokoll_3p!J160,FIND(":",Protokoll_3p!J160)-1))&gt;VALUE(RIGHT(Protokoll_3p!J160,LEN(Protokoll_3p!J160)-FIND(":",Protokoll_3p!J160))),0,1))</f>
        <v/>
      </c>
      <c r="N194" s="1" t="str">
        <f t="shared" si="5"/>
        <v/>
      </c>
    </row>
    <row r="195" spans="2:14">
      <c r="B195" s="1" t="str">
        <f>IF(Protokoll_3p!F161="","",IF(VALUE(LEFT(Protokoll_3p!F161,FIND(":",Protokoll_3p!F161)-1))&gt;VALUE(RIGHT(Protokoll_3p!F161,LEN(Protokoll_3p!F161)-FIND(":",Protokoll_3p!F161))),1,0))</f>
        <v/>
      </c>
      <c r="C195" s="1" t="str">
        <f>IF(Protokoll_3p!G161="","",IF(VALUE(LEFT(Protokoll_3p!G161,FIND(":",Protokoll_3p!G161)-1))&gt;VALUE(RIGHT(Protokoll_3p!G161,LEN(Protokoll_3p!G161)-FIND(":",Protokoll_3p!G161))),1,0))</f>
        <v/>
      </c>
      <c r="D195" s="1" t="str">
        <f>IF(Protokoll_3p!H161="","",IF(VALUE(LEFT(Protokoll_3p!H161,FIND(":",Protokoll_3p!H161)-1))&gt;VALUE(RIGHT(Protokoll_3p!H161,LEN(Protokoll_3p!H161)-FIND(":",Protokoll_3p!H161))),1,0))</f>
        <v/>
      </c>
      <c r="E195" s="1" t="str">
        <f>IF(Protokoll_3p!I161="","",IF(VALUE(LEFT(Protokoll_3p!I161,FIND(":",Protokoll_3p!I161)-1))&gt;VALUE(RIGHT(Protokoll_3p!I161,LEN(Protokoll_3p!I161)-FIND(":",Protokoll_3p!I161))),1,0))</f>
        <v/>
      </c>
      <c r="F195" s="1" t="str">
        <f>IF(Protokoll_3p!J161="","",IF(VALUE(LEFT(Protokoll_3p!J161,FIND(":",Protokoll_3p!J161)-1))&gt;VALUE(RIGHT(Protokoll_3p!J161,LEN(Protokoll_3p!J161)-FIND(":",Protokoll_3p!J161))),1,0))</f>
        <v/>
      </c>
      <c r="G195" s="1" t="str">
        <f t="shared" ref="G195:G258" si="6">IF(B195="","",SUM(B195:F195))</f>
        <v/>
      </c>
      <c r="I195" s="1" t="str">
        <f>IF(Protokoll_3p!F161="","",IF(VALUE(LEFT(Protokoll_3p!F161,FIND(":",Protokoll_3p!F161)-1))&gt;VALUE(RIGHT(Protokoll_3p!F161,LEN(Protokoll_3p!F161)-FIND(":",Protokoll_3p!F161))),0,1))</f>
        <v/>
      </c>
      <c r="J195" s="1" t="str">
        <f>IF(Protokoll_3p!G161="","",IF(VALUE(LEFT(Protokoll_3p!G161,FIND(":",Protokoll_3p!G161)-1))&gt;VALUE(RIGHT(Protokoll_3p!G161,LEN(Protokoll_3p!G161)-FIND(":",Protokoll_3p!G161))),0,1))</f>
        <v/>
      </c>
      <c r="K195" s="1" t="str">
        <f>IF(Protokoll_3p!H161="","",IF(VALUE(LEFT(Protokoll_3p!H161,FIND(":",Protokoll_3p!H161)-1))&gt;VALUE(RIGHT(Protokoll_3p!H161,LEN(Protokoll_3p!H161)-FIND(":",Protokoll_3p!H161))),0,1))</f>
        <v/>
      </c>
      <c r="L195" s="1" t="str">
        <f>IF(Protokoll_3p!I161="","",IF(VALUE(LEFT(Protokoll_3p!I161,FIND(":",Protokoll_3p!I161)-1))&gt;VALUE(RIGHT(Protokoll_3p!I161,LEN(Protokoll_3p!I161)-FIND(":",Protokoll_3p!I161))),0,1))</f>
        <v/>
      </c>
      <c r="M195" s="1" t="str">
        <f>IF(Protokoll_3p!J161="","",IF(VALUE(LEFT(Protokoll_3p!J161,FIND(":",Protokoll_3p!J161)-1))&gt;VALUE(RIGHT(Protokoll_3p!J161,LEN(Protokoll_3p!J161)-FIND(":",Protokoll_3p!J161))),0,1))</f>
        <v/>
      </c>
      <c r="N195" s="1" t="str">
        <f t="shared" ref="N195:N258" si="7">IF(I195="","",SUM(I195:M195))</f>
        <v/>
      </c>
    </row>
    <row r="196" spans="2:14">
      <c r="B196" s="1" t="str">
        <f>IF(Protokoll_3p!F162="","",IF(VALUE(LEFT(Protokoll_3p!F162,FIND(":",Protokoll_3p!F162)-1))&gt;VALUE(RIGHT(Protokoll_3p!F162,LEN(Protokoll_3p!F162)-FIND(":",Protokoll_3p!F162))),1,0))</f>
        <v/>
      </c>
      <c r="C196" s="1" t="str">
        <f>IF(Protokoll_3p!G162="","",IF(VALUE(LEFT(Protokoll_3p!G162,FIND(":",Protokoll_3p!G162)-1))&gt;VALUE(RIGHT(Protokoll_3p!G162,LEN(Protokoll_3p!G162)-FIND(":",Protokoll_3p!G162))),1,0))</f>
        <v/>
      </c>
      <c r="D196" s="1" t="str">
        <f>IF(Protokoll_3p!H162="","",IF(VALUE(LEFT(Protokoll_3p!H162,FIND(":",Protokoll_3p!H162)-1))&gt;VALUE(RIGHT(Protokoll_3p!H162,LEN(Protokoll_3p!H162)-FIND(":",Protokoll_3p!H162))),1,0))</f>
        <v/>
      </c>
      <c r="E196" s="1" t="str">
        <f>IF(Protokoll_3p!I162="","",IF(VALUE(LEFT(Protokoll_3p!I162,FIND(":",Protokoll_3p!I162)-1))&gt;VALUE(RIGHT(Protokoll_3p!I162,LEN(Protokoll_3p!I162)-FIND(":",Protokoll_3p!I162))),1,0))</f>
        <v/>
      </c>
      <c r="F196" s="1" t="str">
        <f>IF(Protokoll_3p!J162="","",IF(VALUE(LEFT(Protokoll_3p!J162,FIND(":",Protokoll_3p!J162)-1))&gt;VALUE(RIGHT(Protokoll_3p!J162,LEN(Protokoll_3p!J162)-FIND(":",Protokoll_3p!J162))),1,0))</f>
        <v/>
      </c>
      <c r="G196" s="1" t="str">
        <f t="shared" si="6"/>
        <v/>
      </c>
      <c r="I196" s="1" t="str">
        <f>IF(Protokoll_3p!F162="","",IF(VALUE(LEFT(Protokoll_3p!F162,FIND(":",Protokoll_3p!F162)-1))&gt;VALUE(RIGHT(Protokoll_3p!F162,LEN(Protokoll_3p!F162)-FIND(":",Protokoll_3p!F162))),0,1))</f>
        <v/>
      </c>
      <c r="J196" s="1" t="str">
        <f>IF(Protokoll_3p!G162="","",IF(VALUE(LEFT(Protokoll_3p!G162,FIND(":",Protokoll_3p!G162)-1))&gt;VALUE(RIGHT(Protokoll_3p!G162,LEN(Protokoll_3p!G162)-FIND(":",Protokoll_3p!G162))),0,1))</f>
        <v/>
      </c>
      <c r="K196" s="1" t="str">
        <f>IF(Protokoll_3p!H162="","",IF(VALUE(LEFT(Protokoll_3p!H162,FIND(":",Protokoll_3p!H162)-1))&gt;VALUE(RIGHT(Protokoll_3p!H162,LEN(Protokoll_3p!H162)-FIND(":",Protokoll_3p!H162))),0,1))</f>
        <v/>
      </c>
      <c r="L196" s="1" t="str">
        <f>IF(Protokoll_3p!I162="","",IF(VALUE(LEFT(Protokoll_3p!I162,FIND(":",Protokoll_3p!I162)-1))&gt;VALUE(RIGHT(Protokoll_3p!I162,LEN(Protokoll_3p!I162)-FIND(":",Protokoll_3p!I162))),0,1))</f>
        <v/>
      </c>
      <c r="M196" s="1" t="str">
        <f>IF(Protokoll_3p!J162="","",IF(VALUE(LEFT(Protokoll_3p!J162,FIND(":",Protokoll_3p!J162)-1))&gt;VALUE(RIGHT(Protokoll_3p!J162,LEN(Protokoll_3p!J162)-FIND(":",Protokoll_3p!J162))),0,1))</f>
        <v/>
      </c>
      <c r="N196" s="1" t="str">
        <f t="shared" si="7"/>
        <v/>
      </c>
    </row>
    <row r="197" spans="2:14">
      <c r="B197" s="1" t="str">
        <f>IF(Protokoll_3p!F163="","",IF(VALUE(LEFT(Protokoll_3p!F163,FIND(":",Protokoll_3p!F163)-1))&gt;VALUE(RIGHT(Protokoll_3p!F163,LEN(Protokoll_3p!F163)-FIND(":",Protokoll_3p!F163))),1,0))</f>
        <v/>
      </c>
      <c r="C197" s="1" t="str">
        <f>IF(Protokoll_3p!G163="","",IF(VALUE(LEFT(Protokoll_3p!G163,FIND(":",Protokoll_3p!G163)-1))&gt;VALUE(RIGHT(Protokoll_3p!G163,LEN(Protokoll_3p!G163)-FIND(":",Protokoll_3p!G163))),1,0))</f>
        <v/>
      </c>
      <c r="D197" s="1" t="str">
        <f>IF(Protokoll_3p!H163="","",IF(VALUE(LEFT(Protokoll_3p!H163,FIND(":",Protokoll_3p!H163)-1))&gt;VALUE(RIGHT(Protokoll_3p!H163,LEN(Protokoll_3p!H163)-FIND(":",Protokoll_3p!H163))),1,0))</f>
        <v/>
      </c>
      <c r="E197" s="1" t="str">
        <f>IF(Protokoll_3p!I163="","",IF(VALUE(LEFT(Protokoll_3p!I163,FIND(":",Protokoll_3p!I163)-1))&gt;VALUE(RIGHT(Protokoll_3p!I163,LEN(Protokoll_3p!I163)-FIND(":",Protokoll_3p!I163))),1,0))</f>
        <v/>
      </c>
      <c r="F197" s="1" t="str">
        <f>IF(Protokoll_3p!J163="","",IF(VALUE(LEFT(Protokoll_3p!J163,FIND(":",Protokoll_3p!J163)-1))&gt;VALUE(RIGHT(Protokoll_3p!J163,LEN(Protokoll_3p!J163)-FIND(":",Protokoll_3p!J163))),1,0))</f>
        <v/>
      </c>
      <c r="G197" s="1" t="str">
        <f t="shared" si="6"/>
        <v/>
      </c>
      <c r="I197" s="1" t="str">
        <f>IF(Protokoll_3p!F163="","",IF(VALUE(LEFT(Protokoll_3p!F163,FIND(":",Protokoll_3p!F163)-1))&gt;VALUE(RIGHT(Protokoll_3p!F163,LEN(Protokoll_3p!F163)-FIND(":",Protokoll_3p!F163))),0,1))</f>
        <v/>
      </c>
      <c r="J197" s="1" t="str">
        <f>IF(Protokoll_3p!G163="","",IF(VALUE(LEFT(Protokoll_3p!G163,FIND(":",Protokoll_3p!G163)-1))&gt;VALUE(RIGHT(Protokoll_3p!G163,LEN(Protokoll_3p!G163)-FIND(":",Protokoll_3p!G163))),0,1))</f>
        <v/>
      </c>
      <c r="K197" s="1" t="str">
        <f>IF(Protokoll_3p!H163="","",IF(VALUE(LEFT(Protokoll_3p!H163,FIND(":",Protokoll_3p!H163)-1))&gt;VALUE(RIGHT(Protokoll_3p!H163,LEN(Protokoll_3p!H163)-FIND(":",Protokoll_3p!H163))),0,1))</f>
        <v/>
      </c>
      <c r="L197" s="1" t="str">
        <f>IF(Protokoll_3p!I163="","",IF(VALUE(LEFT(Protokoll_3p!I163,FIND(":",Protokoll_3p!I163)-1))&gt;VALUE(RIGHT(Protokoll_3p!I163,LEN(Protokoll_3p!I163)-FIND(":",Protokoll_3p!I163))),0,1))</f>
        <v/>
      </c>
      <c r="M197" s="1" t="str">
        <f>IF(Protokoll_3p!J163="","",IF(VALUE(LEFT(Protokoll_3p!J163,FIND(":",Protokoll_3p!J163)-1))&gt;VALUE(RIGHT(Protokoll_3p!J163,LEN(Protokoll_3p!J163)-FIND(":",Protokoll_3p!J163))),0,1))</f>
        <v/>
      </c>
      <c r="N197" s="1" t="str">
        <f t="shared" si="7"/>
        <v/>
      </c>
    </row>
    <row r="198" spans="2:14">
      <c r="B198" s="1" t="str">
        <f>IF(Protokoll_3p!F164="","",IF(VALUE(LEFT(Protokoll_3p!F164,FIND(":",Protokoll_3p!F164)-1))&gt;VALUE(RIGHT(Protokoll_3p!F164,LEN(Protokoll_3p!F164)-FIND(":",Protokoll_3p!F164))),1,0))</f>
        <v/>
      </c>
      <c r="C198" s="1" t="str">
        <f>IF(Protokoll_3p!G164="","",IF(VALUE(LEFT(Protokoll_3p!G164,FIND(":",Protokoll_3p!G164)-1))&gt;VALUE(RIGHT(Protokoll_3p!G164,LEN(Protokoll_3p!G164)-FIND(":",Protokoll_3p!G164))),1,0))</f>
        <v/>
      </c>
      <c r="D198" s="1" t="str">
        <f>IF(Protokoll_3p!H164="","",IF(VALUE(LEFT(Protokoll_3p!H164,FIND(":",Protokoll_3p!H164)-1))&gt;VALUE(RIGHT(Protokoll_3p!H164,LEN(Protokoll_3p!H164)-FIND(":",Protokoll_3p!H164))),1,0))</f>
        <v/>
      </c>
      <c r="E198" s="1" t="str">
        <f>IF(Protokoll_3p!I164="","",IF(VALUE(LEFT(Protokoll_3p!I164,FIND(":",Protokoll_3p!I164)-1))&gt;VALUE(RIGHT(Protokoll_3p!I164,LEN(Protokoll_3p!I164)-FIND(":",Protokoll_3p!I164))),1,0))</f>
        <v/>
      </c>
      <c r="F198" s="1" t="str">
        <f>IF(Protokoll_3p!J164="","",IF(VALUE(LEFT(Protokoll_3p!J164,FIND(":",Protokoll_3p!J164)-1))&gt;VALUE(RIGHT(Protokoll_3p!J164,LEN(Protokoll_3p!J164)-FIND(":",Protokoll_3p!J164))),1,0))</f>
        <v/>
      </c>
      <c r="G198" s="1" t="str">
        <f t="shared" si="6"/>
        <v/>
      </c>
      <c r="I198" s="1" t="str">
        <f>IF(Protokoll_3p!F164="","",IF(VALUE(LEFT(Protokoll_3p!F164,FIND(":",Protokoll_3p!F164)-1))&gt;VALUE(RIGHT(Protokoll_3p!F164,LEN(Protokoll_3p!F164)-FIND(":",Protokoll_3p!F164))),0,1))</f>
        <v/>
      </c>
      <c r="J198" s="1" t="str">
        <f>IF(Protokoll_3p!G164="","",IF(VALUE(LEFT(Protokoll_3p!G164,FIND(":",Protokoll_3p!G164)-1))&gt;VALUE(RIGHT(Protokoll_3p!G164,LEN(Protokoll_3p!G164)-FIND(":",Protokoll_3p!G164))),0,1))</f>
        <v/>
      </c>
      <c r="K198" s="1" t="str">
        <f>IF(Protokoll_3p!H164="","",IF(VALUE(LEFT(Protokoll_3p!H164,FIND(":",Protokoll_3p!H164)-1))&gt;VALUE(RIGHT(Protokoll_3p!H164,LEN(Protokoll_3p!H164)-FIND(":",Protokoll_3p!H164))),0,1))</f>
        <v/>
      </c>
      <c r="L198" s="1" t="str">
        <f>IF(Protokoll_3p!I164="","",IF(VALUE(LEFT(Protokoll_3p!I164,FIND(":",Protokoll_3p!I164)-1))&gt;VALUE(RIGHT(Protokoll_3p!I164,LEN(Protokoll_3p!I164)-FIND(":",Protokoll_3p!I164))),0,1))</f>
        <v/>
      </c>
      <c r="M198" s="1" t="str">
        <f>IF(Protokoll_3p!J164="","",IF(VALUE(LEFT(Protokoll_3p!J164,FIND(":",Protokoll_3p!J164)-1))&gt;VALUE(RIGHT(Protokoll_3p!J164,LEN(Protokoll_3p!J164)-FIND(":",Protokoll_3p!J164))),0,1))</f>
        <v/>
      </c>
      <c r="N198" s="1" t="str">
        <f t="shared" si="7"/>
        <v/>
      </c>
    </row>
    <row r="199" spans="2:14">
      <c r="B199" s="1" t="str">
        <f>IF(Protokoll_3p!F165="","",IF(VALUE(LEFT(Protokoll_3p!F165,FIND(":",Protokoll_3p!F165)-1))&gt;VALUE(RIGHT(Protokoll_3p!F165,LEN(Protokoll_3p!F165)-FIND(":",Protokoll_3p!F165))),1,0))</f>
        <v/>
      </c>
      <c r="C199" s="1" t="str">
        <f>IF(Protokoll_3p!G165="","",IF(VALUE(LEFT(Protokoll_3p!G165,FIND(":",Protokoll_3p!G165)-1))&gt;VALUE(RIGHT(Protokoll_3p!G165,LEN(Protokoll_3p!G165)-FIND(":",Protokoll_3p!G165))),1,0))</f>
        <v/>
      </c>
      <c r="D199" s="1" t="str">
        <f>IF(Protokoll_3p!H165="","",IF(VALUE(LEFT(Protokoll_3p!H165,FIND(":",Protokoll_3p!H165)-1))&gt;VALUE(RIGHT(Protokoll_3p!H165,LEN(Protokoll_3p!H165)-FIND(":",Protokoll_3p!H165))),1,0))</f>
        <v/>
      </c>
      <c r="E199" s="1" t="str">
        <f>IF(Protokoll_3p!I165="","",IF(VALUE(LEFT(Protokoll_3p!I165,FIND(":",Protokoll_3p!I165)-1))&gt;VALUE(RIGHT(Protokoll_3p!I165,LEN(Protokoll_3p!I165)-FIND(":",Protokoll_3p!I165))),1,0))</f>
        <v/>
      </c>
      <c r="F199" s="1" t="str">
        <f>IF(Protokoll_3p!J165="","",IF(VALUE(LEFT(Protokoll_3p!J165,FIND(":",Protokoll_3p!J165)-1))&gt;VALUE(RIGHT(Protokoll_3p!J165,LEN(Protokoll_3p!J165)-FIND(":",Protokoll_3p!J165))),1,0))</f>
        <v/>
      </c>
      <c r="G199" s="1" t="str">
        <f t="shared" si="6"/>
        <v/>
      </c>
      <c r="I199" s="1" t="str">
        <f>IF(Protokoll_3p!F165="","",IF(VALUE(LEFT(Protokoll_3p!F165,FIND(":",Protokoll_3p!F165)-1))&gt;VALUE(RIGHT(Protokoll_3p!F165,LEN(Protokoll_3p!F165)-FIND(":",Protokoll_3p!F165))),0,1))</f>
        <v/>
      </c>
      <c r="J199" s="1" t="str">
        <f>IF(Protokoll_3p!G165="","",IF(VALUE(LEFT(Protokoll_3p!G165,FIND(":",Protokoll_3p!G165)-1))&gt;VALUE(RIGHT(Protokoll_3p!G165,LEN(Protokoll_3p!G165)-FIND(":",Protokoll_3p!G165))),0,1))</f>
        <v/>
      </c>
      <c r="K199" s="1" t="str">
        <f>IF(Protokoll_3p!H165="","",IF(VALUE(LEFT(Protokoll_3p!H165,FIND(":",Protokoll_3p!H165)-1))&gt;VALUE(RIGHT(Protokoll_3p!H165,LEN(Protokoll_3p!H165)-FIND(":",Protokoll_3p!H165))),0,1))</f>
        <v/>
      </c>
      <c r="L199" s="1" t="str">
        <f>IF(Protokoll_3p!I165="","",IF(VALUE(LEFT(Protokoll_3p!I165,FIND(":",Protokoll_3p!I165)-1))&gt;VALUE(RIGHT(Protokoll_3p!I165,LEN(Protokoll_3p!I165)-FIND(":",Protokoll_3p!I165))),0,1))</f>
        <v/>
      </c>
      <c r="M199" s="1" t="str">
        <f>IF(Protokoll_3p!J165="","",IF(VALUE(LEFT(Protokoll_3p!J165,FIND(":",Protokoll_3p!J165)-1))&gt;VALUE(RIGHT(Protokoll_3p!J165,LEN(Protokoll_3p!J165)-FIND(":",Protokoll_3p!J165))),0,1))</f>
        <v/>
      </c>
      <c r="N199" s="1" t="str">
        <f t="shared" si="7"/>
        <v/>
      </c>
    </row>
    <row r="200" spans="2:14">
      <c r="B200" s="1" t="str">
        <f>IF(Protokoll_3p!F166="","",IF(VALUE(LEFT(Protokoll_3p!F166,FIND(":",Protokoll_3p!F166)-1))&gt;VALUE(RIGHT(Protokoll_3p!F166,LEN(Protokoll_3p!F166)-FIND(":",Protokoll_3p!F166))),1,0))</f>
        <v/>
      </c>
      <c r="C200" s="1" t="str">
        <f>IF(Protokoll_3p!G166="","",IF(VALUE(LEFT(Protokoll_3p!G166,FIND(":",Protokoll_3p!G166)-1))&gt;VALUE(RIGHT(Protokoll_3p!G166,LEN(Protokoll_3p!G166)-FIND(":",Protokoll_3p!G166))),1,0))</f>
        <v/>
      </c>
      <c r="D200" s="1" t="str">
        <f>IF(Protokoll_3p!H166="","",IF(VALUE(LEFT(Protokoll_3p!H166,FIND(":",Protokoll_3p!H166)-1))&gt;VALUE(RIGHT(Protokoll_3p!H166,LEN(Protokoll_3p!H166)-FIND(":",Protokoll_3p!H166))),1,0))</f>
        <v/>
      </c>
      <c r="E200" s="1" t="str">
        <f>IF(Protokoll_3p!I166="","",IF(VALUE(LEFT(Protokoll_3p!I166,FIND(":",Protokoll_3p!I166)-1))&gt;VALUE(RIGHT(Protokoll_3p!I166,LEN(Protokoll_3p!I166)-FIND(":",Protokoll_3p!I166))),1,0))</f>
        <v/>
      </c>
      <c r="F200" s="1" t="str">
        <f>IF(Protokoll_3p!J166="","",IF(VALUE(LEFT(Protokoll_3p!J166,FIND(":",Protokoll_3p!J166)-1))&gt;VALUE(RIGHT(Protokoll_3p!J166,LEN(Protokoll_3p!J166)-FIND(":",Protokoll_3p!J166))),1,0))</f>
        <v/>
      </c>
      <c r="G200" s="1" t="str">
        <f t="shared" si="6"/>
        <v/>
      </c>
      <c r="I200" s="1" t="str">
        <f>IF(Protokoll_3p!F166="","",IF(VALUE(LEFT(Protokoll_3p!F166,FIND(":",Protokoll_3p!F166)-1))&gt;VALUE(RIGHT(Protokoll_3p!F166,LEN(Protokoll_3p!F166)-FIND(":",Protokoll_3p!F166))),0,1))</f>
        <v/>
      </c>
      <c r="J200" s="1" t="str">
        <f>IF(Protokoll_3p!G166="","",IF(VALUE(LEFT(Protokoll_3p!G166,FIND(":",Protokoll_3p!G166)-1))&gt;VALUE(RIGHT(Protokoll_3p!G166,LEN(Protokoll_3p!G166)-FIND(":",Protokoll_3p!G166))),0,1))</f>
        <v/>
      </c>
      <c r="K200" s="1" t="str">
        <f>IF(Protokoll_3p!H166="","",IF(VALUE(LEFT(Protokoll_3p!H166,FIND(":",Protokoll_3p!H166)-1))&gt;VALUE(RIGHT(Protokoll_3p!H166,LEN(Protokoll_3p!H166)-FIND(":",Protokoll_3p!H166))),0,1))</f>
        <v/>
      </c>
      <c r="L200" s="1" t="str">
        <f>IF(Protokoll_3p!I166="","",IF(VALUE(LEFT(Protokoll_3p!I166,FIND(":",Protokoll_3p!I166)-1))&gt;VALUE(RIGHT(Protokoll_3p!I166,LEN(Protokoll_3p!I166)-FIND(":",Protokoll_3p!I166))),0,1))</f>
        <v/>
      </c>
      <c r="M200" s="1" t="str">
        <f>IF(Protokoll_3p!J166="","",IF(VALUE(LEFT(Protokoll_3p!J166,FIND(":",Protokoll_3p!J166)-1))&gt;VALUE(RIGHT(Protokoll_3p!J166,LEN(Protokoll_3p!J166)-FIND(":",Protokoll_3p!J166))),0,1))</f>
        <v/>
      </c>
      <c r="N200" s="1" t="str">
        <f t="shared" si="7"/>
        <v/>
      </c>
    </row>
    <row r="201" spans="2:14">
      <c r="B201" s="1" t="str">
        <f>IF(Protokoll_3p!F167="","",IF(VALUE(LEFT(Protokoll_3p!F167,FIND(":",Protokoll_3p!F167)-1))&gt;VALUE(RIGHT(Protokoll_3p!F167,LEN(Protokoll_3p!F167)-FIND(":",Protokoll_3p!F167))),1,0))</f>
        <v/>
      </c>
      <c r="C201" s="1" t="str">
        <f>IF(Protokoll_3p!G167="","",IF(VALUE(LEFT(Protokoll_3p!G167,FIND(":",Protokoll_3p!G167)-1))&gt;VALUE(RIGHT(Protokoll_3p!G167,LEN(Protokoll_3p!G167)-FIND(":",Protokoll_3p!G167))),1,0))</f>
        <v/>
      </c>
      <c r="D201" s="1" t="str">
        <f>IF(Protokoll_3p!H167="","",IF(VALUE(LEFT(Protokoll_3p!H167,FIND(":",Protokoll_3p!H167)-1))&gt;VALUE(RIGHT(Protokoll_3p!H167,LEN(Protokoll_3p!H167)-FIND(":",Protokoll_3p!H167))),1,0))</f>
        <v/>
      </c>
      <c r="E201" s="1" t="str">
        <f>IF(Protokoll_3p!I167="","",IF(VALUE(LEFT(Protokoll_3p!I167,FIND(":",Protokoll_3p!I167)-1))&gt;VALUE(RIGHT(Protokoll_3p!I167,LEN(Protokoll_3p!I167)-FIND(":",Protokoll_3p!I167))),1,0))</f>
        <v/>
      </c>
      <c r="F201" s="1" t="str">
        <f>IF(Protokoll_3p!J167="","",IF(VALUE(LEFT(Protokoll_3p!J167,FIND(":",Protokoll_3p!J167)-1))&gt;VALUE(RIGHT(Protokoll_3p!J167,LEN(Protokoll_3p!J167)-FIND(":",Protokoll_3p!J167))),1,0))</f>
        <v/>
      </c>
      <c r="G201" s="1" t="str">
        <f t="shared" si="6"/>
        <v/>
      </c>
      <c r="I201" s="1" t="str">
        <f>IF(Protokoll_3p!F167="","",IF(VALUE(LEFT(Protokoll_3p!F167,FIND(":",Protokoll_3p!F167)-1))&gt;VALUE(RIGHT(Protokoll_3p!F167,LEN(Protokoll_3p!F167)-FIND(":",Protokoll_3p!F167))),0,1))</f>
        <v/>
      </c>
      <c r="J201" s="1" t="str">
        <f>IF(Protokoll_3p!G167="","",IF(VALUE(LEFT(Protokoll_3p!G167,FIND(":",Protokoll_3p!G167)-1))&gt;VALUE(RIGHT(Protokoll_3p!G167,LEN(Protokoll_3p!G167)-FIND(":",Protokoll_3p!G167))),0,1))</f>
        <v/>
      </c>
      <c r="K201" s="1" t="str">
        <f>IF(Protokoll_3p!H167="","",IF(VALUE(LEFT(Protokoll_3p!H167,FIND(":",Protokoll_3p!H167)-1))&gt;VALUE(RIGHT(Protokoll_3p!H167,LEN(Protokoll_3p!H167)-FIND(":",Protokoll_3p!H167))),0,1))</f>
        <v/>
      </c>
      <c r="L201" s="1" t="str">
        <f>IF(Protokoll_3p!I167="","",IF(VALUE(LEFT(Protokoll_3p!I167,FIND(":",Protokoll_3p!I167)-1))&gt;VALUE(RIGHT(Protokoll_3p!I167,LEN(Protokoll_3p!I167)-FIND(":",Protokoll_3p!I167))),0,1))</f>
        <v/>
      </c>
      <c r="M201" s="1" t="str">
        <f>IF(Protokoll_3p!J167="","",IF(VALUE(LEFT(Protokoll_3p!J167,FIND(":",Protokoll_3p!J167)-1))&gt;VALUE(RIGHT(Protokoll_3p!J167,LEN(Protokoll_3p!J167)-FIND(":",Protokoll_3p!J167))),0,1))</f>
        <v/>
      </c>
      <c r="N201" s="1" t="str">
        <f t="shared" si="7"/>
        <v/>
      </c>
    </row>
    <row r="202" spans="2:14">
      <c r="B202" s="1" t="str">
        <f>IF(Protokoll_3p!F168="","",IF(VALUE(LEFT(Protokoll_3p!F168,FIND(":",Protokoll_3p!F168)-1))&gt;VALUE(RIGHT(Protokoll_3p!F168,LEN(Protokoll_3p!F168)-FIND(":",Protokoll_3p!F168))),1,0))</f>
        <v/>
      </c>
      <c r="C202" s="1" t="str">
        <f>IF(Protokoll_3p!G168="","",IF(VALUE(LEFT(Protokoll_3p!G168,FIND(":",Protokoll_3p!G168)-1))&gt;VALUE(RIGHT(Protokoll_3p!G168,LEN(Protokoll_3p!G168)-FIND(":",Protokoll_3p!G168))),1,0))</f>
        <v/>
      </c>
      <c r="D202" s="1" t="str">
        <f>IF(Protokoll_3p!H168="","",IF(VALUE(LEFT(Protokoll_3p!H168,FIND(":",Protokoll_3p!H168)-1))&gt;VALUE(RIGHT(Protokoll_3p!H168,LEN(Protokoll_3p!H168)-FIND(":",Protokoll_3p!H168))),1,0))</f>
        <v/>
      </c>
      <c r="E202" s="1" t="str">
        <f>IF(Protokoll_3p!I168="","",IF(VALUE(LEFT(Protokoll_3p!I168,FIND(":",Protokoll_3p!I168)-1))&gt;VALUE(RIGHT(Protokoll_3p!I168,LEN(Protokoll_3p!I168)-FIND(":",Protokoll_3p!I168))),1,0))</f>
        <v/>
      </c>
      <c r="F202" s="1" t="str">
        <f>IF(Protokoll_3p!J168="","",IF(VALUE(LEFT(Protokoll_3p!J168,FIND(":",Protokoll_3p!J168)-1))&gt;VALUE(RIGHT(Protokoll_3p!J168,LEN(Protokoll_3p!J168)-FIND(":",Protokoll_3p!J168))),1,0))</f>
        <v/>
      </c>
      <c r="G202" s="1" t="str">
        <f t="shared" si="6"/>
        <v/>
      </c>
      <c r="I202" s="1" t="str">
        <f>IF(Protokoll_3p!F168="","",IF(VALUE(LEFT(Protokoll_3p!F168,FIND(":",Protokoll_3p!F168)-1))&gt;VALUE(RIGHT(Protokoll_3p!F168,LEN(Protokoll_3p!F168)-FIND(":",Protokoll_3p!F168))),0,1))</f>
        <v/>
      </c>
      <c r="J202" s="1" t="str">
        <f>IF(Protokoll_3p!G168="","",IF(VALUE(LEFT(Protokoll_3p!G168,FIND(":",Protokoll_3p!G168)-1))&gt;VALUE(RIGHT(Protokoll_3p!G168,LEN(Protokoll_3p!G168)-FIND(":",Protokoll_3p!G168))),0,1))</f>
        <v/>
      </c>
      <c r="K202" s="1" t="str">
        <f>IF(Protokoll_3p!H168="","",IF(VALUE(LEFT(Protokoll_3p!H168,FIND(":",Protokoll_3p!H168)-1))&gt;VALUE(RIGHT(Protokoll_3p!H168,LEN(Protokoll_3p!H168)-FIND(":",Protokoll_3p!H168))),0,1))</f>
        <v/>
      </c>
      <c r="L202" s="1" t="str">
        <f>IF(Protokoll_3p!I168="","",IF(VALUE(LEFT(Protokoll_3p!I168,FIND(":",Protokoll_3p!I168)-1))&gt;VALUE(RIGHT(Protokoll_3p!I168,LEN(Protokoll_3p!I168)-FIND(":",Protokoll_3p!I168))),0,1))</f>
        <v/>
      </c>
      <c r="M202" s="1" t="str">
        <f>IF(Protokoll_3p!J168="","",IF(VALUE(LEFT(Protokoll_3p!J168,FIND(":",Protokoll_3p!J168)-1))&gt;VALUE(RIGHT(Protokoll_3p!J168,LEN(Protokoll_3p!J168)-FIND(":",Protokoll_3p!J168))),0,1))</f>
        <v/>
      </c>
      <c r="N202" s="1" t="str">
        <f t="shared" si="7"/>
        <v/>
      </c>
    </row>
    <row r="203" spans="2:14">
      <c r="B203" s="1" t="str">
        <f>IF(Protokoll_3p!F169="","",IF(VALUE(LEFT(Protokoll_3p!F169,FIND(":",Protokoll_3p!F169)-1))&gt;VALUE(RIGHT(Protokoll_3p!F169,LEN(Protokoll_3p!F169)-FIND(":",Protokoll_3p!F169))),1,0))</f>
        <v/>
      </c>
      <c r="C203" s="1" t="str">
        <f>IF(Protokoll_3p!G169="","",IF(VALUE(LEFT(Protokoll_3p!G169,FIND(":",Protokoll_3p!G169)-1))&gt;VALUE(RIGHT(Protokoll_3p!G169,LEN(Protokoll_3p!G169)-FIND(":",Protokoll_3p!G169))),1,0))</f>
        <v/>
      </c>
      <c r="D203" s="1" t="str">
        <f>IF(Protokoll_3p!H169="","",IF(VALUE(LEFT(Protokoll_3p!H169,FIND(":",Protokoll_3p!H169)-1))&gt;VALUE(RIGHT(Protokoll_3p!H169,LEN(Protokoll_3p!H169)-FIND(":",Protokoll_3p!H169))),1,0))</f>
        <v/>
      </c>
      <c r="E203" s="1" t="str">
        <f>IF(Protokoll_3p!I169="","",IF(VALUE(LEFT(Protokoll_3p!I169,FIND(":",Protokoll_3p!I169)-1))&gt;VALUE(RIGHT(Protokoll_3p!I169,LEN(Protokoll_3p!I169)-FIND(":",Protokoll_3p!I169))),1,0))</f>
        <v/>
      </c>
      <c r="F203" s="1" t="str">
        <f>IF(Protokoll_3p!J169="","",IF(VALUE(LEFT(Protokoll_3p!J169,FIND(":",Protokoll_3p!J169)-1))&gt;VALUE(RIGHT(Protokoll_3p!J169,LEN(Protokoll_3p!J169)-FIND(":",Protokoll_3p!J169))),1,0))</f>
        <v/>
      </c>
      <c r="G203" s="1" t="str">
        <f t="shared" si="6"/>
        <v/>
      </c>
      <c r="I203" s="1" t="str">
        <f>IF(Protokoll_3p!F169="","",IF(VALUE(LEFT(Protokoll_3p!F169,FIND(":",Protokoll_3p!F169)-1))&gt;VALUE(RIGHT(Protokoll_3p!F169,LEN(Protokoll_3p!F169)-FIND(":",Protokoll_3p!F169))),0,1))</f>
        <v/>
      </c>
      <c r="J203" s="1" t="str">
        <f>IF(Protokoll_3p!G169="","",IF(VALUE(LEFT(Protokoll_3p!G169,FIND(":",Protokoll_3p!G169)-1))&gt;VALUE(RIGHT(Protokoll_3p!G169,LEN(Protokoll_3p!G169)-FIND(":",Protokoll_3p!G169))),0,1))</f>
        <v/>
      </c>
      <c r="K203" s="1" t="str">
        <f>IF(Protokoll_3p!H169="","",IF(VALUE(LEFT(Protokoll_3p!H169,FIND(":",Protokoll_3p!H169)-1))&gt;VALUE(RIGHT(Protokoll_3p!H169,LEN(Protokoll_3p!H169)-FIND(":",Protokoll_3p!H169))),0,1))</f>
        <v/>
      </c>
      <c r="L203" s="1" t="str">
        <f>IF(Protokoll_3p!I169="","",IF(VALUE(LEFT(Protokoll_3p!I169,FIND(":",Protokoll_3p!I169)-1))&gt;VALUE(RIGHT(Protokoll_3p!I169,LEN(Protokoll_3p!I169)-FIND(":",Protokoll_3p!I169))),0,1))</f>
        <v/>
      </c>
      <c r="M203" s="1" t="str">
        <f>IF(Protokoll_3p!J169="","",IF(VALUE(LEFT(Protokoll_3p!J169,FIND(":",Protokoll_3p!J169)-1))&gt;VALUE(RIGHT(Protokoll_3p!J169,LEN(Protokoll_3p!J169)-FIND(":",Protokoll_3p!J169))),0,1))</f>
        <v/>
      </c>
      <c r="N203" s="1" t="str">
        <f t="shared" si="7"/>
        <v/>
      </c>
    </row>
    <row r="204" spans="2:14">
      <c r="B204" s="1" t="str">
        <f>IF(Protokoll_3p!F170="","",IF(VALUE(LEFT(Protokoll_3p!F170,FIND(":",Protokoll_3p!F170)-1))&gt;VALUE(RIGHT(Protokoll_3p!F170,LEN(Protokoll_3p!F170)-FIND(":",Protokoll_3p!F170))),1,0))</f>
        <v/>
      </c>
      <c r="C204" s="1" t="str">
        <f>IF(Protokoll_3p!G170="","",IF(VALUE(LEFT(Protokoll_3p!G170,FIND(":",Protokoll_3p!G170)-1))&gt;VALUE(RIGHT(Protokoll_3p!G170,LEN(Protokoll_3p!G170)-FIND(":",Protokoll_3p!G170))),1,0))</f>
        <v/>
      </c>
      <c r="D204" s="1" t="str">
        <f>IF(Protokoll_3p!H170="","",IF(VALUE(LEFT(Protokoll_3p!H170,FIND(":",Protokoll_3p!H170)-1))&gt;VALUE(RIGHT(Protokoll_3p!H170,LEN(Protokoll_3p!H170)-FIND(":",Protokoll_3p!H170))),1,0))</f>
        <v/>
      </c>
      <c r="E204" s="1" t="str">
        <f>IF(Protokoll_3p!I170="","",IF(VALUE(LEFT(Protokoll_3p!I170,FIND(":",Protokoll_3p!I170)-1))&gt;VALUE(RIGHT(Protokoll_3p!I170,LEN(Protokoll_3p!I170)-FIND(":",Protokoll_3p!I170))),1,0))</f>
        <v/>
      </c>
      <c r="F204" s="1" t="str">
        <f>IF(Protokoll_3p!J170="","",IF(VALUE(LEFT(Protokoll_3p!J170,FIND(":",Protokoll_3p!J170)-1))&gt;VALUE(RIGHT(Protokoll_3p!J170,LEN(Protokoll_3p!J170)-FIND(":",Protokoll_3p!J170))),1,0))</f>
        <v/>
      </c>
      <c r="G204" s="1" t="str">
        <f t="shared" si="6"/>
        <v/>
      </c>
      <c r="I204" s="1" t="str">
        <f>IF(Protokoll_3p!F170="","",IF(VALUE(LEFT(Protokoll_3p!F170,FIND(":",Protokoll_3p!F170)-1))&gt;VALUE(RIGHT(Protokoll_3p!F170,LEN(Protokoll_3p!F170)-FIND(":",Protokoll_3p!F170))),0,1))</f>
        <v/>
      </c>
      <c r="J204" s="1" t="str">
        <f>IF(Protokoll_3p!G170="","",IF(VALUE(LEFT(Protokoll_3p!G170,FIND(":",Protokoll_3p!G170)-1))&gt;VALUE(RIGHT(Protokoll_3p!G170,LEN(Protokoll_3p!G170)-FIND(":",Protokoll_3p!G170))),0,1))</f>
        <v/>
      </c>
      <c r="K204" s="1" t="str">
        <f>IF(Protokoll_3p!H170="","",IF(VALUE(LEFT(Protokoll_3p!H170,FIND(":",Protokoll_3p!H170)-1))&gt;VALUE(RIGHT(Protokoll_3p!H170,LEN(Protokoll_3p!H170)-FIND(":",Protokoll_3p!H170))),0,1))</f>
        <v/>
      </c>
      <c r="L204" s="1" t="str">
        <f>IF(Protokoll_3p!I170="","",IF(VALUE(LEFT(Protokoll_3p!I170,FIND(":",Protokoll_3p!I170)-1))&gt;VALUE(RIGHT(Protokoll_3p!I170,LEN(Protokoll_3p!I170)-FIND(":",Protokoll_3p!I170))),0,1))</f>
        <v/>
      </c>
      <c r="M204" s="1" t="str">
        <f>IF(Protokoll_3p!J170="","",IF(VALUE(LEFT(Protokoll_3p!J170,FIND(":",Protokoll_3p!J170)-1))&gt;VALUE(RIGHT(Protokoll_3p!J170,LEN(Protokoll_3p!J170)-FIND(":",Protokoll_3p!J170))),0,1))</f>
        <v/>
      </c>
      <c r="N204" s="1" t="str">
        <f t="shared" si="7"/>
        <v/>
      </c>
    </row>
    <row r="205" spans="2:14">
      <c r="B205" s="1" t="str">
        <f>IF(Protokoll_3p!F171="","",IF(VALUE(LEFT(Protokoll_3p!F171,FIND(":",Protokoll_3p!F171)-1))&gt;VALUE(RIGHT(Protokoll_3p!F171,LEN(Protokoll_3p!F171)-FIND(":",Protokoll_3p!F171))),1,0))</f>
        <v/>
      </c>
      <c r="C205" s="1" t="str">
        <f>IF(Protokoll_3p!G171="","",IF(VALUE(LEFT(Protokoll_3p!G171,FIND(":",Protokoll_3p!G171)-1))&gt;VALUE(RIGHT(Protokoll_3p!G171,LEN(Protokoll_3p!G171)-FIND(":",Protokoll_3p!G171))),1,0))</f>
        <v/>
      </c>
      <c r="D205" s="1" t="str">
        <f>IF(Protokoll_3p!H171="","",IF(VALUE(LEFT(Protokoll_3p!H171,FIND(":",Protokoll_3p!H171)-1))&gt;VALUE(RIGHT(Protokoll_3p!H171,LEN(Protokoll_3p!H171)-FIND(":",Protokoll_3p!H171))),1,0))</f>
        <v/>
      </c>
      <c r="E205" s="1" t="str">
        <f>IF(Protokoll_3p!I171="","",IF(VALUE(LEFT(Protokoll_3p!I171,FIND(":",Protokoll_3p!I171)-1))&gt;VALUE(RIGHT(Protokoll_3p!I171,LEN(Protokoll_3p!I171)-FIND(":",Protokoll_3p!I171))),1,0))</f>
        <v/>
      </c>
      <c r="F205" s="1" t="str">
        <f>IF(Protokoll_3p!J171="","",IF(VALUE(LEFT(Protokoll_3p!J171,FIND(":",Protokoll_3p!J171)-1))&gt;VALUE(RIGHT(Protokoll_3p!J171,LEN(Protokoll_3p!J171)-FIND(":",Protokoll_3p!J171))),1,0))</f>
        <v/>
      </c>
      <c r="G205" s="1" t="str">
        <f t="shared" si="6"/>
        <v/>
      </c>
      <c r="I205" s="1" t="str">
        <f>IF(Protokoll_3p!F171="","",IF(VALUE(LEFT(Protokoll_3p!F171,FIND(":",Protokoll_3p!F171)-1))&gt;VALUE(RIGHT(Protokoll_3p!F171,LEN(Protokoll_3p!F171)-FIND(":",Protokoll_3p!F171))),0,1))</f>
        <v/>
      </c>
      <c r="J205" s="1" t="str">
        <f>IF(Protokoll_3p!G171="","",IF(VALUE(LEFT(Protokoll_3p!G171,FIND(":",Protokoll_3p!G171)-1))&gt;VALUE(RIGHT(Protokoll_3p!G171,LEN(Protokoll_3p!G171)-FIND(":",Protokoll_3p!G171))),0,1))</f>
        <v/>
      </c>
      <c r="K205" s="1" t="str">
        <f>IF(Protokoll_3p!H171="","",IF(VALUE(LEFT(Protokoll_3p!H171,FIND(":",Protokoll_3p!H171)-1))&gt;VALUE(RIGHT(Protokoll_3p!H171,LEN(Protokoll_3p!H171)-FIND(":",Protokoll_3p!H171))),0,1))</f>
        <v/>
      </c>
      <c r="L205" s="1" t="str">
        <f>IF(Protokoll_3p!I171="","",IF(VALUE(LEFT(Protokoll_3p!I171,FIND(":",Protokoll_3p!I171)-1))&gt;VALUE(RIGHT(Protokoll_3p!I171,LEN(Protokoll_3p!I171)-FIND(":",Protokoll_3p!I171))),0,1))</f>
        <v/>
      </c>
      <c r="M205" s="1" t="str">
        <f>IF(Protokoll_3p!J171="","",IF(VALUE(LEFT(Protokoll_3p!J171,FIND(":",Protokoll_3p!J171)-1))&gt;VALUE(RIGHT(Protokoll_3p!J171,LEN(Protokoll_3p!J171)-FIND(":",Protokoll_3p!J171))),0,1))</f>
        <v/>
      </c>
      <c r="N205" s="1" t="str">
        <f t="shared" si="7"/>
        <v/>
      </c>
    </row>
    <row r="206" spans="2:14">
      <c r="B206" s="1" t="str">
        <f>IF(Protokoll_3p!F172="","",IF(VALUE(LEFT(Protokoll_3p!F172,FIND(":",Protokoll_3p!F172)-1))&gt;VALUE(RIGHT(Protokoll_3p!F172,LEN(Protokoll_3p!F172)-FIND(":",Protokoll_3p!F172))),1,0))</f>
        <v/>
      </c>
      <c r="C206" s="1" t="str">
        <f>IF(Protokoll_3p!G172="","",IF(VALUE(LEFT(Protokoll_3p!G172,FIND(":",Protokoll_3p!G172)-1))&gt;VALUE(RIGHT(Protokoll_3p!G172,LEN(Protokoll_3p!G172)-FIND(":",Protokoll_3p!G172))),1,0))</f>
        <v/>
      </c>
      <c r="D206" s="1" t="str">
        <f>IF(Protokoll_3p!H172="","",IF(VALUE(LEFT(Protokoll_3p!H172,FIND(":",Protokoll_3p!H172)-1))&gt;VALUE(RIGHT(Protokoll_3p!H172,LEN(Protokoll_3p!H172)-FIND(":",Protokoll_3p!H172))),1,0))</f>
        <v/>
      </c>
      <c r="E206" s="1" t="str">
        <f>IF(Protokoll_3p!I172="","",IF(VALUE(LEFT(Protokoll_3p!I172,FIND(":",Protokoll_3p!I172)-1))&gt;VALUE(RIGHT(Protokoll_3p!I172,LEN(Protokoll_3p!I172)-FIND(":",Protokoll_3p!I172))),1,0))</f>
        <v/>
      </c>
      <c r="F206" s="1" t="str">
        <f>IF(Protokoll_3p!J172="","",IF(VALUE(LEFT(Protokoll_3p!J172,FIND(":",Protokoll_3p!J172)-1))&gt;VALUE(RIGHT(Protokoll_3p!J172,LEN(Protokoll_3p!J172)-FIND(":",Protokoll_3p!J172))),1,0))</f>
        <v/>
      </c>
      <c r="G206" s="1" t="str">
        <f t="shared" si="6"/>
        <v/>
      </c>
      <c r="I206" s="1" t="str">
        <f>IF(Protokoll_3p!F172="","",IF(VALUE(LEFT(Protokoll_3p!F172,FIND(":",Protokoll_3p!F172)-1))&gt;VALUE(RIGHT(Protokoll_3p!F172,LEN(Protokoll_3p!F172)-FIND(":",Protokoll_3p!F172))),0,1))</f>
        <v/>
      </c>
      <c r="J206" s="1" t="str">
        <f>IF(Protokoll_3p!G172="","",IF(VALUE(LEFT(Protokoll_3p!G172,FIND(":",Protokoll_3p!G172)-1))&gt;VALUE(RIGHT(Protokoll_3p!G172,LEN(Protokoll_3p!G172)-FIND(":",Protokoll_3p!G172))),0,1))</f>
        <v/>
      </c>
      <c r="K206" s="1" t="str">
        <f>IF(Protokoll_3p!H172="","",IF(VALUE(LEFT(Protokoll_3p!H172,FIND(":",Protokoll_3p!H172)-1))&gt;VALUE(RIGHT(Protokoll_3p!H172,LEN(Protokoll_3p!H172)-FIND(":",Protokoll_3p!H172))),0,1))</f>
        <v/>
      </c>
      <c r="L206" s="1" t="str">
        <f>IF(Protokoll_3p!I172="","",IF(VALUE(LEFT(Protokoll_3p!I172,FIND(":",Protokoll_3p!I172)-1))&gt;VALUE(RIGHT(Protokoll_3p!I172,LEN(Protokoll_3p!I172)-FIND(":",Protokoll_3p!I172))),0,1))</f>
        <v/>
      </c>
      <c r="M206" s="1" t="str">
        <f>IF(Protokoll_3p!J172="","",IF(VALUE(LEFT(Protokoll_3p!J172,FIND(":",Protokoll_3p!J172)-1))&gt;VALUE(RIGHT(Protokoll_3p!J172,LEN(Protokoll_3p!J172)-FIND(":",Protokoll_3p!J172))),0,1))</f>
        <v/>
      </c>
      <c r="N206" s="1" t="str">
        <f t="shared" si="7"/>
        <v/>
      </c>
    </row>
    <row r="207" spans="2:14">
      <c r="B207" s="1" t="str">
        <f>IF(Protokoll_3p!F173="","",IF(VALUE(LEFT(Protokoll_3p!F173,FIND(":",Protokoll_3p!F173)-1))&gt;VALUE(RIGHT(Protokoll_3p!F173,LEN(Protokoll_3p!F173)-FIND(":",Protokoll_3p!F173))),1,0))</f>
        <v/>
      </c>
      <c r="C207" s="1" t="str">
        <f>IF(Protokoll_3p!G173="","",IF(VALUE(LEFT(Protokoll_3p!G173,FIND(":",Protokoll_3p!G173)-1))&gt;VALUE(RIGHT(Protokoll_3p!G173,LEN(Protokoll_3p!G173)-FIND(":",Protokoll_3p!G173))),1,0))</f>
        <v/>
      </c>
      <c r="D207" s="1" t="str">
        <f>IF(Protokoll_3p!H173="","",IF(VALUE(LEFT(Protokoll_3p!H173,FIND(":",Protokoll_3p!H173)-1))&gt;VALUE(RIGHT(Protokoll_3p!H173,LEN(Protokoll_3p!H173)-FIND(":",Protokoll_3p!H173))),1,0))</f>
        <v/>
      </c>
      <c r="E207" s="1" t="str">
        <f>IF(Protokoll_3p!I173="","",IF(VALUE(LEFT(Protokoll_3p!I173,FIND(":",Protokoll_3p!I173)-1))&gt;VALUE(RIGHT(Protokoll_3p!I173,LEN(Protokoll_3p!I173)-FIND(":",Protokoll_3p!I173))),1,0))</f>
        <v/>
      </c>
      <c r="F207" s="1" t="str">
        <f>IF(Protokoll_3p!J173="","",IF(VALUE(LEFT(Protokoll_3p!J173,FIND(":",Protokoll_3p!J173)-1))&gt;VALUE(RIGHT(Protokoll_3p!J173,LEN(Protokoll_3p!J173)-FIND(":",Protokoll_3p!J173))),1,0))</f>
        <v/>
      </c>
      <c r="G207" s="1" t="str">
        <f t="shared" si="6"/>
        <v/>
      </c>
      <c r="I207" s="1" t="str">
        <f>IF(Protokoll_3p!F173="","",IF(VALUE(LEFT(Protokoll_3p!F173,FIND(":",Protokoll_3p!F173)-1))&gt;VALUE(RIGHT(Protokoll_3p!F173,LEN(Protokoll_3p!F173)-FIND(":",Protokoll_3p!F173))),0,1))</f>
        <v/>
      </c>
      <c r="J207" s="1" t="str">
        <f>IF(Protokoll_3p!G173="","",IF(VALUE(LEFT(Protokoll_3p!G173,FIND(":",Protokoll_3p!G173)-1))&gt;VALUE(RIGHT(Protokoll_3p!G173,LEN(Protokoll_3p!G173)-FIND(":",Protokoll_3p!G173))),0,1))</f>
        <v/>
      </c>
      <c r="K207" s="1" t="str">
        <f>IF(Protokoll_3p!H173="","",IF(VALUE(LEFT(Protokoll_3p!H173,FIND(":",Protokoll_3p!H173)-1))&gt;VALUE(RIGHT(Protokoll_3p!H173,LEN(Protokoll_3p!H173)-FIND(":",Protokoll_3p!H173))),0,1))</f>
        <v/>
      </c>
      <c r="L207" s="1" t="str">
        <f>IF(Protokoll_3p!I173="","",IF(VALUE(LEFT(Protokoll_3p!I173,FIND(":",Protokoll_3p!I173)-1))&gt;VALUE(RIGHT(Protokoll_3p!I173,LEN(Protokoll_3p!I173)-FIND(":",Protokoll_3p!I173))),0,1))</f>
        <v/>
      </c>
      <c r="M207" s="1" t="str">
        <f>IF(Protokoll_3p!J173="","",IF(VALUE(LEFT(Protokoll_3p!J173,FIND(":",Protokoll_3p!J173)-1))&gt;VALUE(RIGHT(Protokoll_3p!J173,LEN(Protokoll_3p!J173)-FIND(":",Protokoll_3p!J173))),0,1))</f>
        <v/>
      </c>
      <c r="N207" s="1" t="str">
        <f t="shared" si="7"/>
        <v/>
      </c>
    </row>
    <row r="208" spans="2:14">
      <c r="B208" s="1" t="str">
        <f>IF(Protokoll_3p!F174="","",IF(VALUE(LEFT(Protokoll_3p!F174,FIND(":",Protokoll_3p!F174)-1))&gt;VALUE(RIGHT(Protokoll_3p!F174,LEN(Protokoll_3p!F174)-FIND(":",Protokoll_3p!F174))),1,0))</f>
        <v/>
      </c>
      <c r="C208" s="1" t="str">
        <f>IF(Protokoll_3p!G174="","",IF(VALUE(LEFT(Protokoll_3p!G174,FIND(":",Protokoll_3p!G174)-1))&gt;VALUE(RIGHT(Protokoll_3p!G174,LEN(Protokoll_3p!G174)-FIND(":",Protokoll_3p!G174))),1,0))</f>
        <v/>
      </c>
      <c r="D208" s="1" t="str">
        <f>IF(Protokoll_3p!H174="","",IF(VALUE(LEFT(Protokoll_3p!H174,FIND(":",Protokoll_3p!H174)-1))&gt;VALUE(RIGHT(Protokoll_3p!H174,LEN(Protokoll_3p!H174)-FIND(":",Protokoll_3p!H174))),1,0))</f>
        <v/>
      </c>
      <c r="E208" s="1" t="str">
        <f>IF(Protokoll_3p!I174="","",IF(VALUE(LEFT(Protokoll_3p!I174,FIND(":",Protokoll_3p!I174)-1))&gt;VALUE(RIGHT(Protokoll_3p!I174,LEN(Protokoll_3p!I174)-FIND(":",Protokoll_3p!I174))),1,0))</f>
        <v/>
      </c>
      <c r="F208" s="1" t="str">
        <f>IF(Protokoll_3p!J174="","",IF(VALUE(LEFT(Protokoll_3p!J174,FIND(":",Protokoll_3p!J174)-1))&gt;VALUE(RIGHT(Protokoll_3p!J174,LEN(Protokoll_3p!J174)-FIND(":",Protokoll_3p!J174))),1,0))</f>
        <v/>
      </c>
      <c r="G208" s="1" t="str">
        <f t="shared" si="6"/>
        <v/>
      </c>
      <c r="I208" s="1" t="str">
        <f>IF(Protokoll_3p!F174="","",IF(VALUE(LEFT(Protokoll_3p!F174,FIND(":",Protokoll_3p!F174)-1))&gt;VALUE(RIGHT(Protokoll_3p!F174,LEN(Protokoll_3p!F174)-FIND(":",Protokoll_3p!F174))),0,1))</f>
        <v/>
      </c>
      <c r="J208" s="1" t="str">
        <f>IF(Protokoll_3p!G174="","",IF(VALUE(LEFT(Protokoll_3p!G174,FIND(":",Protokoll_3p!G174)-1))&gt;VALUE(RIGHT(Protokoll_3p!G174,LEN(Protokoll_3p!G174)-FIND(":",Protokoll_3p!G174))),0,1))</f>
        <v/>
      </c>
      <c r="K208" s="1" t="str">
        <f>IF(Protokoll_3p!H174="","",IF(VALUE(LEFT(Protokoll_3p!H174,FIND(":",Protokoll_3p!H174)-1))&gt;VALUE(RIGHT(Protokoll_3p!H174,LEN(Protokoll_3p!H174)-FIND(":",Protokoll_3p!H174))),0,1))</f>
        <v/>
      </c>
      <c r="L208" s="1" t="str">
        <f>IF(Protokoll_3p!I174="","",IF(VALUE(LEFT(Protokoll_3p!I174,FIND(":",Protokoll_3p!I174)-1))&gt;VALUE(RIGHT(Protokoll_3p!I174,LEN(Protokoll_3p!I174)-FIND(":",Protokoll_3p!I174))),0,1))</f>
        <v/>
      </c>
      <c r="M208" s="1" t="str">
        <f>IF(Protokoll_3p!J174="","",IF(VALUE(LEFT(Protokoll_3p!J174,FIND(":",Protokoll_3p!J174)-1))&gt;VALUE(RIGHT(Protokoll_3p!J174,LEN(Protokoll_3p!J174)-FIND(":",Protokoll_3p!J174))),0,1))</f>
        <v/>
      </c>
      <c r="N208" s="1" t="str">
        <f t="shared" si="7"/>
        <v/>
      </c>
    </row>
    <row r="209" spans="2:14">
      <c r="B209" s="1" t="str">
        <f>IF(Protokoll_3p!F175="","",IF(VALUE(LEFT(Protokoll_3p!F175,FIND(":",Protokoll_3p!F175)-1))&gt;VALUE(RIGHT(Protokoll_3p!F175,LEN(Protokoll_3p!F175)-FIND(":",Protokoll_3p!F175))),1,0))</f>
        <v/>
      </c>
      <c r="C209" s="1" t="str">
        <f>IF(Protokoll_3p!G175="","",IF(VALUE(LEFT(Protokoll_3p!G175,FIND(":",Protokoll_3p!G175)-1))&gt;VALUE(RIGHT(Protokoll_3p!G175,LEN(Protokoll_3p!G175)-FIND(":",Protokoll_3p!G175))),1,0))</f>
        <v/>
      </c>
      <c r="D209" s="1" t="str">
        <f>IF(Protokoll_3p!H175="","",IF(VALUE(LEFT(Protokoll_3p!H175,FIND(":",Protokoll_3p!H175)-1))&gt;VALUE(RIGHT(Protokoll_3p!H175,LEN(Protokoll_3p!H175)-FIND(":",Protokoll_3p!H175))),1,0))</f>
        <v/>
      </c>
      <c r="E209" s="1" t="str">
        <f>IF(Protokoll_3p!I175="","",IF(VALUE(LEFT(Protokoll_3p!I175,FIND(":",Protokoll_3p!I175)-1))&gt;VALUE(RIGHT(Protokoll_3p!I175,LEN(Protokoll_3p!I175)-FIND(":",Protokoll_3p!I175))),1,0))</f>
        <v/>
      </c>
      <c r="F209" s="1" t="str">
        <f>IF(Protokoll_3p!J175="","",IF(VALUE(LEFT(Protokoll_3p!J175,FIND(":",Protokoll_3p!J175)-1))&gt;VALUE(RIGHT(Protokoll_3p!J175,LEN(Protokoll_3p!J175)-FIND(":",Protokoll_3p!J175))),1,0))</f>
        <v/>
      </c>
      <c r="G209" s="1" t="str">
        <f t="shared" si="6"/>
        <v/>
      </c>
      <c r="I209" s="1" t="str">
        <f>IF(Protokoll_3p!F175="","",IF(VALUE(LEFT(Protokoll_3p!F175,FIND(":",Protokoll_3p!F175)-1))&gt;VALUE(RIGHT(Protokoll_3p!F175,LEN(Protokoll_3p!F175)-FIND(":",Protokoll_3p!F175))),0,1))</f>
        <v/>
      </c>
      <c r="J209" s="1" t="str">
        <f>IF(Protokoll_3p!G175="","",IF(VALUE(LEFT(Protokoll_3p!G175,FIND(":",Protokoll_3p!G175)-1))&gt;VALUE(RIGHT(Protokoll_3p!G175,LEN(Protokoll_3p!G175)-FIND(":",Protokoll_3p!G175))),0,1))</f>
        <v/>
      </c>
      <c r="K209" s="1" t="str">
        <f>IF(Protokoll_3p!H175="","",IF(VALUE(LEFT(Protokoll_3p!H175,FIND(":",Protokoll_3p!H175)-1))&gt;VALUE(RIGHT(Protokoll_3p!H175,LEN(Protokoll_3p!H175)-FIND(":",Protokoll_3p!H175))),0,1))</f>
        <v/>
      </c>
      <c r="L209" s="1" t="str">
        <f>IF(Protokoll_3p!I175="","",IF(VALUE(LEFT(Protokoll_3p!I175,FIND(":",Protokoll_3p!I175)-1))&gt;VALUE(RIGHT(Protokoll_3p!I175,LEN(Protokoll_3p!I175)-FIND(":",Protokoll_3p!I175))),0,1))</f>
        <v/>
      </c>
      <c r="M209" s="1" t="str">
        <f>IF(Protokoll_3p!J175="","",IF(VALUE(LEFT(Protokoll_3p!J175,FIND(":",Protokoll_3p!J175)-1))&gt;VALUE(RIGHT(Protokoll_3p!J175,LEN(Protokoll_3p!J175)-FIND(":",Protokoll_3p!J175))),0,1))</f>
        <v/>
      </c>
      <c r="N209" s="1" t="str">
        <f t="shared" si="7"/>
        <v/>
      </c>
    </row>
    <row r="210" spans="2:14">
      <c r="B210" s="1" t="str">
        <f>IF(Protokoll_3p!F176="","",IF(VALUE(LEFT(Protokoll_3p!F176,FIND(":",Protokoll_3p!F176)-1))&gt;VALUE(RIGHT(Protokoll_3p!F176,LEN(Protokoll_3p!F176)-FIND(":",Protokoll_3p!F176))),1,0))</f>
        <v/>
      </c>
      <c r="C210" s="1" t="str">
        <f>IF(Protokoll_3p!G176="","",IF(VALUE(LEFT(Protokoll_3p!G176,FIND(":",Protokoll_3p!G176)-1))&gt;VALUE(RIGHT(Protokoll_3p!G176,LEN(Protokoll_3p!G176)-FIND(":",Protokoll_3p!G176))),1,0))</f>
        <v/>
      </c>
      <c r="D210" s="1" t="str">
        <f>IF(Protokoll_3p!H176="","",IF(VALUE(LEFT(Protokoll_3p!H176,FIND(":",Protokoll_3p!H176)-1))&gt;VALUE(RIGHT(Protokoll_3p!H176,LEN(Protokoll_3p!H176)-FIND(":",Protokoll_3p!H176))),1,0))</f>
        <v/>
      </c>
      <c r="E210" s="1" t="str">
        <f>IF(Protokoll_3p!I176="","",IF(VALUE(LEFT(Protokoll_3p!I176,FIND(":",Protokoll_3p!I176)-1))&gt;VALUE(RIGHT(Protokoll_3p!I176,LEN(Protokoll_3p!I176)-FIND(":",Protokoll_3p!I176))),1,0))</f>
        <v/>
      </c>
      <c r="F210" s="1" t="str">
        <f>IF(Protokoll_3p!J176="","",IF(VALUE(LEFT(Protokoll_3p!J176,FIND(":",Protokoll_3p!J176)-1))&gt;VALUE(RIGHT(Protokoll_3p!J176,LEN(Protokoll_3p!J176)-FIND(":",Protokoll_3p!J176))),1,0))</f>
        <v/>
      </c>
      <c r="G210" s="1" t="str">
        <f t="shared" si="6"/>
        <v/>
      </c>
      <c r="I210" s="1" t="str">
        <f>IF(Protokoll_3p!F176="","",IF(VALUE(LEFT(Protokoll_3p!F176,FIND(":",Protokoll_3p!F176)-1))&gt;VALUE(RIGHT(Protokoll_3p!F176,LEN(Protokoll_3p!F176)-FIND(":",Protokoll_3p!F176))),0,1))</f>
        <v/>
      </c>
      <c r="J210" s="1" t="str">
        <f>IF(Protokoll_3p!G176="","",IF(VALUE(LEFT(Protokoll_3p!G176,FIND(":",Protokoll_3p!G176)-1))&gt;VALUE(RIGHT(Protokoll_3p!G176,LEN(Protokoll_3p!G176)-FIND(":",Protokoll_3p!G176))),0,1))</f>
        <v/>
      </c>
      <c r="K210" s="1" t="str">
        <f>IF(Protokoll_3p!H176="","",IF(VALUE(LEFT(Protokoll_3p!H176,FIND(":",Protokoll_3p!H176)-1))&gt;VALUE(RIGHT(Protokoll_3p!H176,LEN(Protokoll_3p!H176)-FIND(":",Protokoll_3p!H176))),0,1))</f>
        <v/>
      </c>
      <c r="L210" s="1" t="str">
        <f>IF(Protokoll_3p!I176="","",IF(VALUE(LEFT(Protokoll_3p!I176,FIND(":",Protokoll_3p!I176)-1))&gt;VALUE(RIGHT(Protokoll_3p!I176,LEN(Protokoll_3p!I176)-FIND(":",Protokoll_3p!I176))),0,1))</f>
        <v/>
      </c>
      <c r="M210" s="1" t="str">
        <f>IF(Protokoll_3p!J176="","",IF(VALUE(LEFT(Protokoll_3p!J176,FIND(":",Protokoll_3p!J176)-1))&gt;VALUE(RIGHT(Protokoll_3p!J176,LEN(Protokoll_3p!J176)-FIND(":",Protokoll_3p!J176))),0,1))</f>
        <v/>
      </c>
      <c r="N210" s="1" t="str">
        <f t="shared" si="7"/>
        <v/>
      </c>
    </row>
    <row r="211" spans="2:14">
      <c r="B211" s="1" t="str">
        <f>IF(Protokoll_3p!F177="","",IF(VALUE(LEFT(Protokoll_3p!F177,FIND(":",Protokoll_3p!F177)-1))&gt;VALUE(RIGHT(Protokoll_3p!F177,LEN(Protokoll_3p!F177)-FIND(":",Protokoll_3p!F177))),1,0))</f>
        <v/>
      </c>
      <c r="C211" s="1" t="str">
        <f>IF(Protokoll_3p!G177="","",IF(VALUE(LEFT(Protokoll_3p!G177,FIND(":",Protokoll_3p!G177)-1))&gt;VALUE(RIGHT(Protokoll_3p!G177,LEN(Protokoll_3p!G177)-FIND(":",Protokoll_3p!G177))),1,0))</f>
        <v/>
      </c>
      <c r="D211" s="1" t="str">
        <f>IF(Protokoll_3p!H177="","",IF(VALUE(LEFT(Protokoll_3p!H177,FIND(":",Protokoll_3p!H177)-1))&gt;VALUE(RIGHT(Protokoll_3p!H177,LEN(Protokoll_3p!H177)-FIND(":",Protokoll_3p!H177))),1,0))</f>
        <v/>
      </c>
      <c r="E211" s="1" t="str">
        <f>IF(Protokoll_3p!I177="","",IF(VALUE(LEFT(Protokoll_3p!I177,FIND(":",Protokoll_3p!I177)-1))&gt;VALUE(RIGHT(Protokoll_3p!I177,LEN(Protokoll_3p!I177)-FIND(":",Protokoll_3p!I177))),1,0))</f>
        <v/>
      </c>
      <c r="F211" s="1" t="str">
        <f>IF(Protokoll_3p!J177="","",IF(VALUE(LEFT(Protokoll_3p!J177,FIND(":",Protokoll_3p!J177)-1))&gt;VALUE(RIGHT(Protokoll_3p!J177,LEN(Protokoll_3p!J177)-FIND(":",Protokoll_3p!J177))),1,0))</f>
        <v/>
      </c>
      <c r="G211" s="1" t="str">
        <f t="shared" si="6"/>
        <v/>
      </c>
      <c r="I211" s="1" t="str">
        <f>IF(Protokoll_3p!F177="","",IF(VALUE(LEFT(Protokoll_3p!F177,FIND(":",Protokoll_3p!F177)-1))&gt;VALUE(RIGHT(Protokoll_3p!F177,LEN(Protokoll_3p!F177)-FIND(":",Protokoll_3p!F177))),0,1))</f>
        <v/>
      </c>
      <c r="J211" s="1" t="str">
        <f>IF(Protokoll_3p!G177="","",IF(VALUE(LEFT(Protokoll_3p!G177,FIND(":",Protokoll_3p!G177)-1))&gt;VALUE(RIGHT(Protokoll_3p!G177,LEN(Protokoll_3p!G177)-FIND(":",Protokoll_3p!G177))),0,1))</f>
        <v/>
      </c>
      <c r="K211" s="1" t="str">
        <f>IF(Protokoll_3p!H177="","",IF(VALUE(LEFT(Protokoll_3p!H177,FIND(":",Protokoll_3p!H177)-1))&gt;VALUE(RIGHT(Protokoll_3p!H177,LEN(Protokoll_3p!H177)-FIND(":",Protokoll_3p!H177))),0,1))</f>
        <v/>
      </c>
      <c r="L211" s="1" t="str">
        <f>IF(Protokoll_3p!I177="","",IF(VALUE(LEFT(Protokoll_3p!I177,FIND(":",Protokoll_3p!I177)-1))&gt;VALUE(RIGHT(Protokoll_3p!I177,LEN(Protokoll_3p!I177)-FIND(":",Protokoll_3p!I177))),0,1))</f>
        <v/>
      </c>
      <c r="M211" s="1" t="str">
        <f>IF(Protokoll_3p!J177="","",IF(VALUE(LEFT(Protokoll_3p!J177,FIND(":",Protokoll_3p!J177)-1))&gt;VALUE(RIGHT(Protokoll_3p!J177,LEN(Protokoll_3p!J177)-FIND(":",Protokoll_3p!J177))),0,1))</f>
        <v/>
      </c>
      <c r="N211" s="1" t="str">
        <f t="shared" si="7"/>
        <v/>
      </c>
    </row>
    <row r="212" spans="2:14">
      <c r="B212" s="1" t="str">
        <f>IF(Protokoll_3p!F178="","",IF(VALUE(LEFT(Protokoll_3p!F178,FIND(":",Protokoll_3p!F178)-1))&gt;VALUE(RIGHT(Protokoll_3p!F178,LEN(Protokoll_3p!F178)-FIND(":",Protokoll_3p!F178))),1,0))</f>
        <v/>
      </c>
      <c r="C212" s="1" t="str">
        <f>IF(Protokoll_3p!G178="","",IF(VALUE(LEFT(Protokoll_3p!G178,FIND(":",Protokoll_3p!G178)-1))&gt;VALUE(RIGHT(Protokoll_3p!G178,LEN(Protokoll_3p!G178)-FIND(":",Protokoll_3p!G178))),1,0))</f>
        <v/>
      </c>
      <c r="D212" s="1" t="str">
        <f>IF(Protokoll_3p!H178="","",IF(VALUE(LEFT(Protokoll_3p!H178,FIND(":",Protokoll_3p!H178)-1))&gt;VALUE(RIGHT(Protokoll_3p!H178,LEN(Protokoll_3p!H178)-FIND(":",Protokoll_3p!H178))),1,0))</f>
        <v/>
      </c>
      <c r="E212" s="1" t="str">
        <f>IF(Protokoll_3p!I178="","",IF(VALUE(LEFT(Protokoll_3p!I178,FIND(":",Protokoll_3p!I178)-1))&gt;VALUE(RIGHT(Protokoll_3p!I178,LEN(Protokoll_3p!I178)-FIND(":",Protokoll_3p!I178))),1,0))</f>
        <v/>
      </c>
      <c r="F212" s="1" t="str">
        <f>IF(Protokoll_3p!J178="","",IF(VALUE(LEFT(Protokoll_3p!J178,FIND(":",Protokoll_3p!J178)-1))&gt;VALUE(RIGHT(Protokoll_3p!J178,LEN(Protokoll_3p!J178)-FIND(":",Protokoll_3p!J178))),1,0))</f>
        <v/>
      </c>
      <c r="G212" s="1" t="str">
        <f t="shared" si="6"/>
        <v/>
      </c>
      <c r="I212" s="1" t="str">
        <f>IF(Protokoll_3p!F178="","",IF(VALUE(LEFT(Protokoll_3p!F178,FIND(":",Protokoll_3p!F178)-1))&gt;VALUE(RIGHT(Protokoll_3p!F178,LEN(Protokoll_3p!F178)-FIND(":",Protokoll_3p!F178))),0,1))</f>
        <v/>
      </c>
      <c r="J212" s="1" t="str">
        <f>IF(Protokoll_3p!G178="","",IF(VALUE(LEFT(Protokoll_3p!G178,FIND(":",Protokoll_3p!G178)-1))&gt;VALUE(RIGHT(Protokoll_3p!G178,LEN(Protokoll_3p!G178)-FIND(":",Protokoll_3p!G178))),0,1))</f>
        <v/>
      </c>
      <c r="K212" s="1" t="str">
        <f>IF(Protokoll_3p!H178="","",IF(VALUE(LEFT(Protokoll_3p!H178,FIND(":",Protokoll_3p!H178)-1))&gt;VALUE(RIGHT(Protokoll_3p!H178,LEN(Protokoll_3p!H178)-FIND(":",Protokoll_3p!H178))),0,1))</f>
        <v/>
      </c>
      <c r="L212" s="1" t="str">
        <f>IF(Protokoll_3p!I178="","",IF(VALUE(LEFT(Protokoll_3p!I178,FIND(":",Protokoll_3p!I178)-1))&gt;VALUE(RIGHT(Protokoll_3p!I178,LEN(Protokoll_3p!I178)-FIND(":",Protokoll_3p!I178))),0,1))</f>
        <v/>
      </c>
      <c r="M212" s="1" t="str">
        <f>IF(Protokoll_3p!J178="","",IF(VALUE(LEFT(Protokoll_3p!J178,FIND(":",Protokoll_3p!J178)-1))&gt;VALUE(RIGHT(Protokoll_3p!J178,LEN(Protokoll_3p!J178)-FIND(":",Protokoll_3p!J178))),0,1))</f>
        <v/>
      </c>
      <c r="N212" s="1" t="str">
        <f t="shared" si="7"/>
        <v/>
      </c>
    </row>
    <row r="213" spans="2:14">
      <c r="B213" s="1" t="str">
        <f>IF(Protokoll_3p!F179="","",IF(VALUE(LEFT(Protokoll_3p!F179,FIND(":",Protokoll_3p!F179)-1))&gt;VALUE(RIGHT(Protokoll_3p!F179,LEN(Protokoll_3p!F179)-FIND(":",Protokoll_3p!F179))),1,0))</f>
        <v/>
      </c>
      <c r="C213" s="1" t="str">
        <f>IF(Protokoll_3p!G179="","",IF(VALUE(LEFT(Protokoll_3p!G179,FIND(":",Protokoll_3p!G179)-1))&gt;VALUE(RIGHT(Protokoll_3p!G179,LEN(Protokoll_3p!G179)-FIND(":",Protokoll_3p!G179))),1,0))</f>
        <v/>
      </c>
      <c r="D213" s="1" t="str">
        <f>IF(Protokoll_3p!H179="","",IF(VALUE(LEFT(Protokoll_3p!H179,FIND(":",Protokoll_3p!H179)-1))&gt;VALUE(RIGHT(Protokoll_3p!H179,LEN(Protokoll_3p!H179)-FIND(":",Protokoll_3p!H179))),1,0))</f>
        <v/>
      </c>
      <c r="E213" s="1" t="str">
        <f>IF(Protokoll_3p!I179="","",IF(VALUE(LEFT(Protokoll_3p!I179,FIND(":",Protokoll_3p!I179)-1))&gt;VALUE(RIGHT(Protokoll_3p!I179,LEN(Protokoll_3p!I179)-FIND(":",Protokoll_3p!I179))),1,0))</f>
        <v/>
      </c>
      <c r="F213" s="1" t="str">
        <f>IF(Protokoll_3p!J179="","",IF(VALUE(LEFT(Protokoll_3p!J179,FIND(":",Protokoll_3p!J179)-1))&gt;VALUE(RIGHT(Protokoll_3p!J179,LEN(Protokoll_3p!J179)-FIND(":",Protokoll_3p!J179))),1,0))</f>
        <v/>
      </c>
      <c r="G213" s="1" t="str">
        <f t="shared" si="6"/>
        <v/>
      </c>
      <c r="I213" s="1" t="str">
        <f>IF(Protokoll_3p!F179="","",IF(VALUE(LEFT(Protokoll_3p!F179,FIND(":",Protokoll_3p!F179)-1))&gt;VALUE(RIGHT(Protokoll_3p!F179,LEN(Protokoll_3p!F179)-FIND(":",Protokoll_3p!F179))),0,1))</f>
        <v/>
      </c>
      <c r="J213" s="1" t="str">
        <f>IF(Protokoll_3p!G179="","",IF(VALUE(LEFT(Protokoll_3p!G179,FIND(":",Protokoll_3p!G179)-1))&gt;VALUE(RIGHT(Protokoll_3p!G179,LEN(Protokoll_3p!G179)-FIND(":",Protokoll_3p!G179))),0,1))</f>
        <v/>
      </c>
      <c r="K213" s="1" t="str">
        <f>IF(Protokoll_3p!H179="","",IF(VALUE(LEFT(Protokoll_3p!H179,FIND(":",Protokoll_3p!H179)-1))&gt;VALUE(RIGHT(Protokoll_3p!H179,LEN(Protokoll_3p!H179)-FIND(":",Protokoll_3p!H179))),0,1))</f>
        <v/>
      </c>
      <c r="L213" s="1" t="str">
        <f>IF(Protokoll_3p!I179="","",IF(VALUE(LEFT(Protokoll_3p!I179,FIND(":",Protokoll_3p!I179)-1))&gt;VALUE(RIGHT(Protokoll_3p!I179,LEN(Protokoll_3p!I179)-FIND(":",Protokoll_3p!I179))),0,1))</f>
        <v/>
      </c>
      <c r="M213" s="1" t="str">
        <f>IF(Protokoll_3p!J179="","",IF(VALUE(LEFT(Protokoll_3p!J179,FIND(":",Protokoll_3p!J179)-1))&gt;VALUE(RIGHT(Protokoll_3p!J179,LEN(Protokoll_3p!J179)-FIND(":",Protokoll_3p!J179))),0,1))</f>
        <v/>
      </c>
      <c r="N213" s="1" t="str">
        <f t="shared" si="7"/>
        <v/>
      </c>
    </row>
    <row r="214" spans="2:14">
      <c r="B214" s="1" t="str">
        <f>IF(Protokoll_3p!F180="","",IF(VALUE(LEFT(Protokoll_3p!F180,FIND(":",Protokoll_3p!F180)-1))&gt;VALUE(RIGHT(Protokoll_3p!F180,LEN(Protokoll_3p!F180)-FIND(":",Protokoll_3p!F180))),1,0))</f>
        <v/>
      </c>
      <c r="C214" s="1" t="str">
        <f>IF(Protokoll_3p!G180="","",IF(VALUE(LEFT(Protokoll_3p!G180,FIND(":",Protokoll_3p!G180)-1))&gt;VALUE(RIGHT(Protokoll_3p!G180,LEN(Protokoll_3p!G180)-FIND(":",Protokoll_3p!G180))),1,0))</f>
        <v/>
      </c>
      <c r="D214" s="1" t="str">
        <f>IF(Protokoll_3p!H180="","",IF(VALUE(LEFT(Protokoll_3p!H180,FIND(":",Protokoll_3p!H180)-1))&gt;VALUE(RIGHT(Protokoll_3p!H180,LEN(Protokoll_3p!H180)-FIND(":",Protokoll_3p!H180))),1,0))</f>
        <v/>
      </c>
      <c r="E214" s="1" t="str">
        <f>IF(Protokoll_3p!I180="","",IF(VALUE(LEFT(Protokoll_3p!I180,FIND(":",Protokoll_3p!I180)-1))&gt;VALUE(RIGHT(Protokoll_3p!I180,LEN(Protokoll_3p!I180)-FIND(":",Protokoll_3p!I180))),1,0))</f>
        <v/>
      </c>
      <c r="F214" s="1" t="str">
        <f>IF(Protokoll_3p!J180="","",IF(VALUE(LEFT(Protokoll_3p!J180,FIND(":",Protokoll_3p!J180)-1))&gt;VALUE(RIGHT(Protokoll_3p!J180,LEN(Protokoll_3p!J180)-FIND(":",Protokoll_3p!J180))),1,0))</f>
        <v/>
      </c>
      <c r="G214" s="1" t="str">
        <f t="shared" si="6"/>
        <v/>
      </c>
      <c r="I214" s="1" t="str">
        <f>IF(Protokoll_3p!F180="","",IF(VALUE(LEFT(Protokoll_3p!F180,FIND(":",Protokoll_3p!F180)-1))&gt;VALUE(RIGHT(Protokoll_3p!F180,LEN(Protokoll_3p!F180)-FIND(":",Protokoll_3p!F180))),0,1))</f>
        <v/>
      </c>
      <c r="J214" s="1" t="str">
        <f>IF(Protokoll_3p!G180="","",IF(VALUE(LEFT(Protokoll_3p!G180,FIND(":",Protokoll_3p!G180)-1))&gt;VALUE(RIGHT(Protokoll_3p!G180,LEN(Protokoll_3p!G180)-FIND(":",Protokoll_3p!G180))),0,1))</f>
        <v/>
      </c>
      <c r="K214" s="1" t="str">
        <f>IF(Protokoll_3p!H180="","",IF(VALUE(LEFT(Protokoll_3p!H180,FIND(":",Protokoll_3p!H180)-1))&gt;VALUE(RIGHT(Protokoll_3p!H180,LEN(Protokoll_3p!H180)-FIND(":",Protokoll_3p!H180))),0,1))</f>
        <v/>
      </c>
      <c r="L214" s="1" t="str">
        <f>IF(Protokoll_3p!I180="","",IF(VALUE(LEFT(Protokoll_3p!I180,FIND(":",Protokoll_3p!I180)-1))&gt;VALUE(RIGHT(Protokoll_3p!I180,LEN(Protokoll_3p!I180)-FIND(":",Protokoll_3p!I180))),0,1))</f>
        <v/>
      </c>
      <c r="M214" s="1" t="str">
        <f>IF(Protokoll_3p!J180="","",IF(VALUE(LEFT(Protokoll_3p!J180,FIND(":",Protokoll_3p!J180)-1))&gt;VALUE(RIGHT(Protokoll_3p!J180,LEN(Protokoll_3p!J180)-FIND(":",Protokoll_3p!J180))),0,1))</f>
        <v/>
      </c>
      <c r="N214" s="1" t="str">
        <f t="shared" si="7"/>
        <v/>
      </c>
    </row>
    <row r="215" spans="2:14">
      <c r="B215" s="1" t="str">
        <f>IF(Protokoll_3p!F181="","",IF(VALUE(LEFT(Protokoll_3p!F181,FIND(":",Protokoll_3p!F181)-1))&gt;VALUE(RIGHT(Protokoll_3p!F181,LEN(Protokoll_3p!F181)-FIND(":",Protokoll_3p!F181))),1,0))</f>
        <v/>
      </c>
      <c r="C215" s="1" t="str">
        <f>IF(Protokoll_3p!G181="","",IF(VALUE(LEFT(Protokoll_3p!G181,FIND(":",Protokoll_3p!G181)-1))&gt;VALUE(RIGHT(Protokoll_3p!G181,LEN(Protokoll_3p!G181)-FIND(":",Protokoll_3p!G181))),1,0))</f>
        <v/>
      </c>
      <c r="D215" s="1" t="str">
        <f>IF(Protokoll_3p!H181="","",IF(VALUE(LEFT(Protokoll_3p!H181,FIND(":",Protokoll_3p!H181)-1))&gt;VALUE(RIGHT(Protokoll_3p!H181,LEN(Protokoll_3p!H181)-FIND(":",Protokoll_3p!H181))),1,0))</f>
        <v/>
      </c>
      <c r="E215" s="1" t="str">
        <f>IF(Protokoll_3p!I181="","",IF(VALUE(LEFT(Protokoll_3p!I181,FIND(":",Protokoll_3p!I181)-1))&gt;VALUE(RIGHT(Protokoll_3p!I181,LEN(Protokoll_3p!I181)-FIND(":",Protokoll_3p!I181))),1,0))</f>
        <v/>
      </c>
      <c r="F215" s="1" t="str">
        <f>IF(Protokoll_3p!J181="","",IF(VALUE(LEFT(Protokoll_3p!J181,FIND(":",Protokoll_3p!J181)-1))&gt;VALUE(RIGHT(Protokoll_3p!J181,LEN(Protokoll_3p!J181)-FIND(":",Protokoll_3p!J181))),1,0))</f>
        <v/>
      </c>
      <c r="G215" s="1" t="str">
        <f t="shared" si="6"/>
        <v/>
      </c>
      <c r="I215" s="1" t="str">
        <f>IF(Protokoll_3p!F181="","",IF(VALUE(LEFT(Protokoll_3p!F181,FIND(":",Protokoll_3p!F181)-1))&gt;VALUE(RIGHT(Protokoll_3p!F181,LEN(Protokoll_3p!F181)-FIND(":",Protokoll_3p!F181))),0,1))</f>
        <v/>
      </c>
      <c r="J215" s="1" t="str">
        <f>IF(Protokoll_3p!G181="","",IF(VALUE(LEFT(Protokoll_3p!G181,FIND(":",Protokoll_3p!G181)-1))&gt;VALUE(RIGHT(Protokoll_3p!G181,LEN(Protokoll_3p!G181)-FIND(":",Protokoll_3p!G181))),0,1))</f>
        <v/>
      </c>
      <c r="K215" s="1" t="str">
        <f>IF(Protokoll_3p!H181="","",IF(VALUE(LEFT(Protokoll_3p!H181,FIND(":",Protokoll_3p!H181)-1))&gt;VALUE(RIGHT(Protokoll_3p!H181,LEN(Protokoll_3p!H181)-FIND(":",Protokoll_3p!H181))),0,1))</f>
        <v/>
      </c>
      <c r="L215" s="1" t="str">
        <f>IF(Protokoll_3p!I181="","",IF(VALUE(LEFT(Protokoll_3p!I181,FIND(":",Protokoll_3p!I181)-1))&gt;VALUE(RIGHT(Protokoll_3p!I181,LEN(Protokoll_3p!I181)-FIND(":",Protokoll_3p!I181))),0,1))</f>
        <v/>
      </c>
      <c r="M215" s="1" t="str">
        <f>IF(Protokoll_3p!J181="","",IF(VALUE(LEFT(Protokoll_3p!J181,FIND(":",Protokoll_3p!J181)-1))&gt;VALUE(RIGHT(Protokoll_3p!J181,LEN(Protokoll_3p!J181)-FIND(":",Protokoll_3p!J181))),0,1))</f>
        <v/>
      </c>
      <c r="N215" s="1" t="str">
        <f t="shared" si="7"/>
        <v/>
      </c>
    </row>
    <row r="216" spans="2:14">
      <c r="B216" s="1" t="str">
        <f>IF(Protokoll_3p!F182="","",IF(VALUE(LEFT(Protokoll_3p!F182,FIND(":",Protokoll_3p!F182)-1))&gt;VALUE(RIGHT(Protokoll_3p!F182,LEN(Protokoll_3p!F182)-FIND(":",Protokoll_3p!F182))),1,0))</f>
        <v/>
      </c>
      <c r="C216" s="1" t="str">
        <f>IF(Protokoll_3p!G182="","",IF(VALUE(LEFT(Protokoll_3p!G182,FIND(":",Protokoll_3p!G182)-1))&gt;VALUE(RIGHT(Protokoll_3p!G182,LEN(Protokoll_3p!G182)-FIND(":",Protokoll_3p!G182))),1,0))</f>
        <v/>
      </c>
      <c r="D216" s="1" t="str">
        <f>IF(Protokoll_3p!H182="","",IF(VALUE(LEFT(Protokoll_3p!H182,FIND(":",Protokoll_3p!H182)-1))&gt;VALUE(RIGHT(Protokoll_3p!H182,LEN(Protokoll_3p!H182)-FIND(":",Protokoll_3p!H182))),1,0))</f>
        <v/>
      </c>
      <c r="E216" s="1" t="str">
        <f>IF(Protokoll_3p!I182="","",IF(VALUE(LEFT(Protokoll_3p!I182,FIND(":",Protokoll_3p!I182)-1))&gt;VALUE(RIGHT(Protokoll_3p!I182,LEN(Protokoll_3p!I182)-FIND(":",Protokoll_3p!I182))),1,0))</f>
        <v/>
      </c>
      <c r="F216" s="1" t="str">
        <f>IF(Protokoll_3p!J182="","",IF(VALUE(LEFT(Protokoll_3p!J182,FIND(":",Protokoll_3p!J182)-1))&gt;VALUE(RIGHT(Protokoll_3p!J182,LEN(Protokoll_3p!J182)-FIND(":",Protokoll_3p!J182))),1,0))</f>
        <v/>
      </c>
      <c r="G216" s="1" t="str">
        <f t="shared" si="6"/>
        <v/>
      </c>
      <c r="I216" s="1" t="str">
        <f>IF(Protokoll_3p!F182="","",IF(VALUE(LEFT(Protokoll_3p!F182,FIND(":",Protokoll_3p!F182)-1))&gt;VALUE(RIGHT(Protokoll_3p!F182,LEN(Protokoll_3p!F182)-FIND(":",Protokoll_3p!F182))),0,1))</f>
        <v/>
      </c>
      <c r="J216" s="1" t="str">
        <f>IF(Protokoll_3p!G182="","",IF(VALUE(LEFT(Protokoll_3p!G182,FIND(":",Protokoll_3p!G182)-1))&gt;VALUE(RIGHT(Protokoll_3p!G182,LEN(Protokoll_3p!G182)-FIND(":",Protokoll_3p!G182))),0,1))</f>
        <v/>
      </c>
      <c r="K216" s="1" t="str">
        <f>IF(Protokoll_3p!H182="","",IF(VALUE(LEFT(Protokoll_3p!H182,FIND(":",Protokoll_3p!H182)-1))&gt;VALUE(RIGHT(Protokoll_3p!H182,LEN(Protokoll_3p!H182)-FIND(":",Protokoll_3p!H182))),0,1))</f>
        <v/>
      </c>
      <c r="L216" s="1" t="str">
        <f>IF(Protokoll_3p!I182="","",IF(VALUE(LEFT(Protokoll_3p!I182,FIND(":",Protokoll_3p!I182)-1))&gt;VALUE(RIGHT(Protokoll_3p!I182,LEN(Protokoll_3p!I182)-FIND(":",Protokoll_3p!I182))),0,1))</f>
        <v/>
      </c>
      <c r="M216" s="1" t="str">
        <f>IF(Protokoll_3p!J182="","",IF(VALUE(LEFT(Protokoll_3p!J182,FIND(":",Protokoll_3p!J182)-1))&gt;VALUE(RIGHT(Protokoll_3p!J182,LEN(Protokoll_3p!J182)-FIND(":",Protokoll_3p!J182))),0,1))</f>
        <v/>
      </c>
      <c r="N216" s="1" t="str">
        <f t="shared" si="7"/>
        <v/>
      </c>
    </row>
    <row r="217" spans="2:14">
      <c r="B217" s="1" t="str">
        <f>IF(Protokoll_3p!F183="","",IF(VALUE(LEFT(Protokoll_3p!F183,FIND(":",Protokoll_3p!F183)-1))&gt;VALUE(RIGHT(Protokoll_3p!F183,LEN(Protokoll_3p!F183)-FIND(":",Protokoll_3p!F183))),1,0))</f>
        <v/>
      </c>
      <c r="C217" s="1" t="str">
        <f>IF(Protokoll_3p!G183="","",IF(VALUE(LEFT(Protokoll_3p!G183,FIND(":",Protokoll_3p!G183)-1))&gt;VALUE(RIGHT(Protokoll_3p!G183,LEN(Protokoll_3p!G183)-FIND(":",Protokoll_3p!G183))),1,0))</f>
        <v/>
      </c>
      <c r="D217" s="1" t="str">
        <f>IF(Protokoll_3p!H183="","",IF(VALUE(LEFT(Protokoll_3p!H183,FIND(":",Protokoll_3p!H183)-1))&gt;VALUE(RIGHT(Protokoll_3p!H183,LEN(Protokoll_3p!H183)-FIND(":",Protokoll_3p!H183))),1,0))</f>
        <v/>
      </c>
      <c r="E217" s="1" t="str">
        <f>IF(Protokoll_3p!I183="","",IF(VALUE(LEFT(Protokoll_3p!I183,FIND(":",Protokoll_3p!I183)-1))&gt;VALUE(RIGHT(Protokoll_3p!I183,LEN(Protokoll_3p!I183)-FIND(":",Protokoll_3p!I183))),1,0))</f>
        <v/>
      </c>
      <c r="F217" s="1" t="str">
        <f>IF(Protokoll_3p!J183="","",IF(VALUE(LEFT(Protokoll_3p!J183,FIND(":",Protokoll_3p!J183)-1))&gt;VALUE(RIGHT(Protokoll_3p!J183,LEN(Protokoll_3p!J183)-FIND(":",Protokoll_3p!J183))),1,0))</f>
        <v/>
      </c>
      <c r="G217" s="1" t="str">
        <f t="shared" si="6"/>
        <v/>
      </c>
      <c r="I217" s="1" t="str">
        <f>IF(Protokoll_3p!F183="","",IF(VALUE(LEFT(Protokoll_3p!F183,FIND(":",Protokoll_3p!F183)-1))&gt;VALUE(RIGHT(Protokoll_3p!F183,LEN(Protokoll_3p!F183)-FIND(":",Protokoll_3p!F183))),0,1))</f>
        <v/>
      </c>
      <c r="J217" s="1" t="str">
        <f>IF(Protokoll_3p!G183="","",IF(VALUE(LEFT(Protokoll_3p!G183,FIND(":",Protokoll_3p!G183)-1))&gt;VALUE(RIGHT(Protokoll_3p!G183,LEN(Protokoll_3p!G183)-FIND(":",Protokoll_3p!G183))),0,1))</f>
        <v/>
      </c>
      <c r="K217" s="1" t="str">
        <f>IF(Protokoll_3p!H183="","",IF(VALUE(LEFT(Protokoll_3p!H183,FIND(":",Protokoll_3p!H183)-1))&gt;VALUE(RIGHT(Protokoll_3p!H183,LEN(Protokoll_3p!H183)-FIND(":",Protokoll_3p!H183))),0,1))</f>
        <v/>
      </c>
      <c r="L217" s="1" t="str">
        <f>IF(Protokoll_3p!I183="","",IF(VALUE(LEFT(Protokoll_3p!I183,FIND(":",Protokoll_3p!I183)-1))&gt;VALUE(RIGHT(Protokoll_3p!I183,LEN(Protokoll_3p!I183)-FIND(":",Protokoll_3p!I183))),0,1))</f>
        <v/>
      </c>
      <c r="M217" s="1" t="str">
        <f>IF(Protokoll_3p!J183="","",IF(VALUE(LEFT(Protokoll_3p!J183,FIND(":",Protokoll_3p!J183)-1))&gt;VALUE(RIGHT(Protokoll_3p!J183,LEN(Protokoll_3p!J183)-FIND(":",Protokoll_3p!J183))),0,1))</f>
        <v/>
      </c>
      <c r="N217" s="1" t="str">
        <f t="shared" si="7"/>
        <v/>
      </c>
    </row>
    <row r="218" spans="2:14">
      <c r="B218" s="1" t="str">
        <f>IF(Protokoll_3p!F184="","",IF(VALUE(LEFT(Protokoll_3p!F184,FIND(":",Protokoll_3p!F184)-1))&gt;VALUE(RIGHT(Protokoll_3p!F184,LEN(Protokoll_3p!F184)-FIND(":",Protokoll_3p!F184))),1,0))</f>
        <v/>
      </c>
      <c r="C218" s="1" t="str">
        <f>IF(Protokoll_3p!G184="","",IF(VALUE(LEFT(Protokoll_3p!G184,FIND(":",Protokoll_3p!G184)-1))&gt;VALUE(RIGHT(Protokoll_3p!G184,LEN(Protokoll_3p!G184)-FIND(":",Protokoll_3p!G184))),1,0))</f>
        <v/>
      </c>
      <c r="D218" s="1" t="str">
        <f>IF(Protokoll_3p!H184="","",IF(VALUE(LEFT(Protokoll_3p!H184,FIND(":",Protokoll_3p!H184)-1))&gt;VALUE(RIGHT(Protokoll_3p!H184,LEN(Protokoll_3p!H184)-FIND(":",Protokoll_3p!H184))),1,0))</f>
        <v/>
      </c>
      <c r="E218" s="1" t="str">
        <f>IF(Protokoll_3p!I184="","",IF(VALUE(LEFT(Protokoll_3p!I184,FIND(":",Protokoll_3p!I184)-1))&gt;VALUE(RIGHT(Protokoll_3p!I184,LEN(Protokoll_3p!I184)-FIND(":",Protokoll_3p!I184))),1,0))</f>
        <v/>
      </c>
      <c r="F218" s="1" t="str">
        <f>IF(Protokoll_3p!J184="","",IF(VALUE(LEFT(Protokoll_3p!J184,FIND(":",Protokoll_3p!J184)-1))&gt;VALUE(RIGHT(Protokoll_3p!J184,LEN(Protokoll_3p!J184)-FIND(":",Protokoll_3p!J184))),1,0))</f>
        <v/>
      </c>
      <c r="G218" s="1" t="str">
        <f t="shared" si="6"/>
        <v/>
      </c>
      <c r="I218" s="1" t="str">
        <f>IF(Protokoll_3p!F184="","",IF(VALUE(LEFT(Protokoll_3p!F184,FIND(":",Protokoll_3p!F184)-1))&gt;VALUE(RIGHT(Protokoll_3p!F184,LEN(Protokoll_3p!F184)-FIND(":",Protokoll_3p!F184))),0,1))</f>
        <v/>
      </c>
      <c r="J218" s="1" t="str">
        <f>IF(Protokoll_3p!G184="","",IF(VALUE(LEFT(Protokoll_3p!G184,FIND(":",Protokoll_3p!G184)-1))&gt;VALUE(RIGHT(Protokoll_3p!G184,LEN(Protokoll_3p!G184)-FIND(":",Protokoll_3p!G184))),0,1))</f>
        <v/>
      </c>
      <c r="K218" s="1" t="str">
        <f>IF(Protokoll_3p!H184="","",IF(VALUE(LEFT(Protokoll_3p!H184,FIND(":",Protokoll_3p!H184)-1))&gt;VALUE(RIGHT(Protokoll_3p!H184,LEN(Protokoll_3p!H184)-FIND(":",Protokoll_3p!H184))),0,1))</f>
        <v/>
      </c>
      <c r="L218" s="1" t="str">
        <f>IF(Protokoll_3p!I184="","",IF(VALUE(LEFT(Protokoll_3p!I184,FIND(":",Protokoll_3p!I184)-1))&gt;VALUE(RIGHT(Protokoll_3p!I184,LEN(Protokoll_3p!I184)-FIND(":",Protokoll_3p!I184))),0,1))</f>
        <v/>
      </c>
      <c r="M218" s="1" t="str">
        <f>IF(Protokoll_3p!J184="","",IF(VALUE(LEFT(Protokoll_3p!J184,FIND(":",Protokoll_3p!J184)-1))&gt;VALUE(RIGHT(Protokoll_3p!J184,LEN(Protokoll_3p!J184)-FIND(":",Protokoll_3p!J184))),0,1))</f>
        <v/>
      </c>
      <c r="N218" s="1" t="str">
        <f t="shared" si="7"/>
        <v/>
      </c>
    </row>
    <row r="219" spans="2:14">
      <c r="B219" s="1" t="str">
        <f>IF(Protokoll_3p!F185="","",IF(VALUE(LEFT(Protokoll_3p!F185,FIND(":",Protokoll_3p!F185)-1))&gt;VALUE(RIGHT(Protokoll_3p!F185,LEN(Protokoll_3p!F185)-FIND(":",Protokoll_3p!F185))),1,0))</f>
        <v/>
      </c>
      <c r="C219" s="1" t="str">
        <f>IF(Protokoll_3p!G185="","",IF(VALUE(LEFT(Protokoll_3p!G185,FIND(":",Protokoll_3p!G185)-1))&gt;VALUE(RIGHT(Protokoll_3p!G185,LEN(Protokoll_3p!G185)-FIND(":",Protokoll_3p!G185))),1,0))</f>
        <v/>
      </c>
      <c r="D219" s="1" t="str">
        <f>IF(Protokoll_3p!H185="","",IF(VALUE(LEFT(Protokoll_3p!H185,FIND(":",Protokoll_3p!H185)-1))&gt;VALUE(RIGHT(Protokoll_3p!H185,LEN(Protokoll_3p!H185)-FIND(":",Protokoll_3p!H185))),1,0))</f>
        <v/>
      </c>
      <c r="E219" s="1" t="str">
        <f>IF(Protokoll_3p!I185="","",IF(VALUE(LEFT(Protokoll_3p!I185,FIND(":",Protokoll_3p!I185)-1))&gt;VALUE(RIGHT(Protokoll_3p!I185,LEN(Protokoll_3p!I185)-FIND(":",Protokoll_3p!I185))),1,0))</f>
        <v/>
      </c>
      <c r="F219" s="1" t="str">
        <f>IF(Protokoll_3p!J185="","",IF(VALUE(LEFT(Protokoll_3p!J185,FIND(":",Protokoll_3p!J185)-1))&gt;VALUE(RIGHT(Protokoll_3p!J185,LEN(Protokoll_3p!J185)-FIND(":",Protokoll_3p!J185))),1,0))</f>
        <v/>
      </c>
      <c r="G219" s="1" t="str">
        <f t="shared" si="6"/>
        <v/>
      </c>
      <c r="I219" s="1" t="str">
        <f>IF(Protokoll_3p!F185="","",IF(VALUE(LEFT(Protokoll_3p!F185,FIND(":",Protokoll_3p!F185)-1))&gt;VALUE(RIGHT(Protokoll_3p!F185,LEN(Protokoll_3p!F185)-FIND(":",Protokoll_3p!F185))),0,1))</f>
        <v/>
      </c>
      <c r="J219" s="1" t="str">
        <f>IF(Protokoll_3p!G185="","",IF(VALUE(LEFT(Protokoll_3p!G185,FIND(":",Protokoll_3p!G185)-1))&gt;VALUE(RIGHT(Protokoll_3p!G185,LEN(Protokoll_3p!G185)-FIND(":",Protokoll_3p!G185))),0,1))</f>
        <v/>
      </c>
      <c r="K219" s="1" t="str">
        <f>IF(Protokoll_3p!H185="","",IF(VALUE(LEFT(Protokoll_3p!H185,FIND(":",Protokoll_3p!H185)-1))&gt;VALUE(RIGHT(Protokoll_3p!H185,LEN(Protokoll_3p!H185)-FIND(":",Protokoll_3p!H185))),0,1))</f>
        <v/>
      </c>
      <c r="L219" s="1" t="str">
        <f>IF(Protokoll_3p!I185="","",IF(VALUE(LEFT(Protokoll_3p!I185,FIND(":",Protokoll_3p!I185)-1))&gt;VALUE(RIGHT(Protokoll_3p!I185,LEN(Protokoll_3p!I185)-FIND(":",Protokoll_3p!I185))),0,1))</f>
        <v/>
      </c>
      <c r="M219" s="1" t="str">
        <f>IF(Protokoll_3p!J185="","",IF(VALUE(LEFT(Protokoll_3p!J185,FIND(":",Protokoll_3p!J185)-1))&gt;VALUE(RIGHT(Protokoll_3p!J185,LEN(Protokoll_3p!J185)-FIND(":",Protokoll_3p!J185))),0,1))</f>
        <v/>
      </c>
      <c r="N219" s="1" t="str">
        <f t="shared" si="7"/>
        <v/>
      </c>
    </row>
    <row r="220" spans="2:14">
      <c r="B220" s="1" t="str">
        <f>IF(Protokoll_3p!F186="","",IF(VALUE(LEFT(Protokoll_3p!F186,FIND(":",Protokoll_3p!F186)-1))&gt;VALUE(RIGHT(Protokoll_3p!F186,LEN(Protokoll_3p!F186)-FIND(":",Protokoll_3p!F186))),1,0))</f>
        <v/>
      </c>
      <c r="C220" s="1" t="str">
        <f>IF(Protokoll_3p!G186="","",IF(VALUE(LEFT(Protokoll_3p!G186,FIND(":",Protokoll_3p!G186)-1))&gt;VALUE(RIGHT(Protokoll_3p!G186,LEN(Protokoll_3p!G186)-FIND(":",Protokoll_3p!G186))),1,0))</f>
        <v/>
      </c>
      <c r="D220" s="1" t="str">
        <f>IF(Protokoll_3p!H186="","",IF(VALUE(LEFT(Protokoll_3p!H186,FIND(":",Protokoll_3p!H186)-1))&gt;VALUE(RIGHT(Protokoll_3p!H186,LEN(Protokoll_3p!H186)-FIND(":",Protokoll_3p!H186))),1,0))</f>
        <v/>
      </c>
      <c r="E220" s="1" t="str">
        <f>IF(Protokoll_3p!I186="","",IF(VALUE(LEFT(Protokoll_3p!I186,FIND(":",Protokoll_3p!I186)-1))&gt;VALUE(RIGHT(Protokoll_3p!I186,LEN(Protokoll_3p!I186)-FIND(":",Protokoll_3p!I186))),1,0))</f>
        <v/>
      </c>
      <c r="F220" s="1" t="str">
        <f>IF(Protokoll_3p!J186="","",IF(VALUE(LEFT(Protokoll_3p!J186,FIND(":",Protokoll_3p!J186)-1))&gt;VALUE(RIGHT(Protokoll_3p!J186,LEN(Protokoll_3p!J186)-FIND(":",Protokoll_3p!J186))),1,0))</f>
        <v/>
      </c>
      <c r="G220" s="1" t="str">
        <f t="shared" si="6"/>
        <v/>
      </c>
      <c r="I220" s="1" t="str">
        <f>IF(Protokoll_3p!F186="","",IF(VALUE(LEFT(Protokoll_3p!F186,FIND(":",Protokoll_3p!F186)-1))&gt;VALUE(RIGHT(Protokoll_3p!F186,LEN(Protokoll_3p!F186)-FIND(":",Protokoll_3p!F186))),0,1))</f>
        <v/>
      </c>
      <c r="J220" s="1" t="str">
        <f>IF(Protokoll_3p!G186="","",IF(VALUE(LEFT(Protokoll_3p!G186,FIND(":",Protokoll_3p!G186)-1))&gt;VALUE(RIGHT(Protokoll_3p!G186,LEN(Protokoll_3p!G186)-FIND(":",Protokoll_3p!G186))),0,1))</f>
        <v/>
      </c>
      <c r="K220" s="1" t="str">
        <f>IF(Protokoll_3p!H186="","",IF(VALUE(LEFT(Protokoll_3p!H186,FIND(":",Protokoll_3p!H186)-1))&gt;VALUE(RIGHT(Protokoll_3p!H186,LEN(Protokoll_3p!H186)-FIND(":",Protokoll_3p!H186))),0,1))</f>
        <v/>
      </c>
      <c r="L220" s="1" t="str">
        <f>IF(Protokoll_3p!I186="","",IF(VALUE(LEFT(Protokoll_3p!I186,FIND(":",Protokoll_3p!I186)-1))&gt;VALUE(RIGHT(Protokoll_3p!I186,LEN(Protokoll_3p!I186)-FIND(":",Protokoll_3p!I186))),0,1))</f>
        <v/>
      </c>
      <c r="M220" s="1" t="str">
        <f>IF(Protokoll_3p!J186="","",IF(VALUE(LEFT(Protokoll_3p!J186,FIND(":",Protokoll_3p!J186)-1))&gt;VALUE(RIGHT(Protokoll_3p!J186,LEN(Protokoll_3p!J186)-FIND(":",Protokoll_3p!J186))),0,1))</f>
        <v/>
      </c>
      <c r="N220" s="1" t="str">
        <f t="shared" si="7"/>
        <v/>
      </c>
    </row>
    <row r="221" spans="2:14">
      <c r="B221" s="1" t="str">
        <f>IF(Protokoll_3p!F187="","",IF(VALUE(LEFT(Protokoll_3p!F187,FIND(":",Protokoll_3p!F187)-1))&gt;VALUE(RIGHT(Protokoll_3p!F187,LEN(Protokoll_3p!F187)-FIND(":",Protokoll_3p!F187))),1,0))</f>
        <v/>
      </c>
      <c r="C221" s="1" t="str">
        <f>IF(Protokoll_3p!G187="","",IF(VALUE(LEFT(Protokoll_3p!G187,FIND(":",Protokoll_3p!G187)-1))&gt;VALUE(RIGHT(Protokoll_3p!G187,LEN(Protokoll_3p!G187)-FIND(":",Protokoll_3p!G187))),1,0))</f>
        <v/>
      </c>
      <c r="D221" s="1" t="str">
        <f>IF(Protokoll_3p!H187="","",IF(VALUE(LEFT(Protokoll_3p!H187,FIND(":",Protokoll_3p!H187)-1))&gt;VALUE(RIGHT(Protokoll_3p!H187,LEN(Protokoll_3p!H187)-FIND(":",Protokoll_3p!H187))),1,0))</f>
        <v/>
      </c>
      <c r="E221" s="1" t="str">
        <f>IF(Protokoll_3p!I187="","",IF(VALUE(LEFT(Protokoll_3p!I187,FIND(":",Protokoll_3p!I187)-1))&gt;VALUE(RIGHT(Protokoll_3p!I187,LEN(Protokoll_3p!I187)-FIND(":",Protokoll_3p!I187))),1,0))</f>
        <v/>
      </c>
      <c r="F221" s="1" t="str">
        <f>IF(Protokoll_3p!J187="","",IF(VALUE(LEFT(Protokoll_3p!J187,FIND(":",Protokoll_3p!J187)-1))&gt;VALUE(RIGHT(Protokoll_3p!J187,LEN(Protokoll_3p!J187)-FIND(":",Protokoll_3p!J187))),1,0))</f>
        <v/>
      </c>
      <c r="G221" s="1" t="str">
        <f t="shared" si="6"/>
        <v/>
      </c>
      <c r="I221" s="1" t="str">
        <f>IF(Protokoll_3p!F187="","",IF(VALUE(LEFT(Protokoll_3p!F187,FIND(":",Protokoll_3p!F187)-1))&gt;VALUE(RIGHT(Protokoll_3p!F187,LEN(Protokoll_3p!F187)-FIND(":",Protokoll_3p!F187))),0,1))</f>
        <v/>
      </c>
      <c r="J221" s="1" t="str">
        <f>IF(Protokoll_3p!G187="","",IF(VALUE(LEFT(Protokoll_3p!G187,FIND(":",Protokoll_3p!G187)-1))&gt;VALUE(RIGHT(Protokoll_3p!G187,LEN(Protokoll_3p!G187)-FIND(":",Protokoll_3p!G187))),0,1))</f>
        <v/>
      </c>
      <c r="K221" s="1" t="str">
        <f>IF(Protokoll_3p!H187="","",IF(VALUE(LEFT(Protokoll_3p!H187,FIND(":",Protokoll_3p!H187)-1))&gt;VALUE(RIGHT(Protokoll_3p!H187,LEN(Protokoll_3p!H187)-FIND(":",Protokoll_3p!H187))),0,1))</f>
        <v/>
      </c>
      <c r="L221" s="1" t="str">
        <f>IF(Protokoll_3p!I187="","",IF(VALUE(LEFT(Protokoll_3p!I187,FIND(":",Protokoll_3p!I187)-1))&gt;VALUE(RIGHT(Protokoll_3p!I187,LEN(Protokoll_3p!I187)-FIND(":",Protokoll_3p!I187))),0,1))</f>
        <v/>
      </c>
      <c r="M221" s="1" t="str">
        <f>IF(Protokoll_3p!J187="","",IF(VALUE(LEFT(Protokoll_3p!J187,FIND(":",Protokoll_3p!J187)-1))&gt;VALUE(RIGHT(Protokoll_3p!J187,LEN(Protokoll_3p!J187)-FIND(":",Protokoll_3p!J187))),0,1))</f>
        <v/>
      </c>
      <c r="N221" s="1" t="str">
        <f t="shared" si="7"/>
        <v/>
      </c>
    </row>
    <row r="222" spans="2:14">
      <c r="B222" s="1" t="str">
        <f>IF(Protokoll_3p!F188="","",IF(VALUE(LEFT(Protokoll_3p!F188,FIND(":",Protokoll_3p!F188)-1))&gt;VALUE(RIGHT(Protokoll_3p!F188,LEN(Protokoll_3p!F188)-FIND(":",Protokoll_3p!F188))),1,0))</f>
        <v/>
      </c>
      <c r="C222" s="1" t="str">
        <f>IF(Protokoll_3p!G188="","",IF(VALUE(LEFT(Protokoll_3p!G188,FIND(":",Protokoll_3p!G188)-1))&gt;VALUE(RIGHT(Protokoll_3p!G188,LEN(Protokoll_3p!G188)-FIND(":",Protokoll_3p!G188))),1,0))</f>
        <v/>
      </c>
      <c r="D222" s="1" t="str">
        <f>IF(Protokoll_3p!H188="","",IF(VALUE(LEFT(Protokoll_3p!H188,FIND(":",Protokoll_3p!H188)-1))&gt;VALUE(RIGHT(Protokoll_3p!H188,LEN(Protokoll_3p!H188)-FIND(":",Protokoll_3p!H188))),1,0))</f>
        <v/>
      </c>
      <c r="E222" s="1" t="str">
        <f>IF(Protokoll_3p!I188="","",IF(VALUE(LEFT(Protokoll_3p!I188,FIND(":",Protokoll_3p!I188)-1))&gt;VALUE(RIGHT(Protokoll_3p!I188,LEN(Protokoll_3p!I188)-FIND(":",Protokoll_3p!I188))),1,0))</f>
        <v/>
      </c>
      <c r="F222" s="1" t="str">
        <f>IF(Protokoll_3p!J188="","",IF(VALUE(LEFT(Protokoll_3p!J188,FIND(":",Protokoll_3p!J188)-1))&gt;VALUE(RIGHT(Protokoll_3p!J188,LEN(Protokoll_3p!J188)-FIND(":",Protokoll_3p!J188))),1,0))</f>
        <v/>
      </c>
      <c r="G222" s="1" t="str">
        <f t="shared" si="6"/>
        <v/>
      </c>
      <c r="I222" s="1" t="str">
        <f>IF(Protokoll_3p!F188="","",IF(VALUE(LEFT(Protokoll_3p!F188,FIND(":",Protokoll_3p!F188)-1))&gt;VALUE(RIGHT(Protokoll_3p!F188,LEN(Protokoll_3p!F188)-FIND(":",Protokoll_3p!F188))),0,1))</f>
        <v/>
      </c>
      <c r="J222" s="1" t="str">
        <f>IF(Protokoll_3p!G188="","",IF(VALUE(LEFT(Protokoll_3p!G188,FIND(":",Protokoll_3p!G188)-1))&gt;VALUE(RIGHT(Protokoll_3p!G188,LEN(Protokoll_3p!G188)-FIND(":",Protokoll_3p!G188))),0,1))</f>
        <v/>
      </c>
      <c r="K222" s="1" t="str">
        <f>IF(Protokoll_3p!H188="","",IF(VALUE(LEFT(Protokoll_3p!H188,FIND(":",Protokoll_3p!H188)-1))&gt;VALUE(RIGHT(Protokoll_3p!H188,LEN(Protokoll_3p!H188)-FIND(":",Protokoll_3p!H188))),0,1))</f>
        <v/>
      </c>
      <c r="L222" s="1" t="str">
        <f>IF(Protokoll_3p!I188="","",IF(VALUE(LEFT(Protokoll_3p!I188,FIND(":",Protokoll_3p!I188)-1))&gt;VALUE(RIGHT(Protokoll_3p!I188,LEN(Protokoll_3p!I188)-FIND(":",Protokoll_3p!I188))),0,1))</f>
        <v/>
      </c>
      <c r="M222" s="1" t="str">
        <f>IF(Protokoll_3p!J188="","",IF(VALUE(LEFT(Protokoll_3p!J188,FIND(":",Protokoll_3p!J188)-1))&gt;VALUE(RIGHT(Protokoll_3p!J188,LEN(Protokoll_3p!J188)-FIND(":",Protokoll_3p!J188))),0,1))</f>
        <v/>
      </c>
      <c r="N222" s="1" t="str">
        <f t="shared" si="7"/>
        <v/>
      </c>
    </row>
    <row r="223" spans="2:14">
      <c r="B223" s="1" t="str">
        <f>IF(Protokoll_3p!F189="","",IF(VALUE(LEFT(Protokoll_3p!F189,FIND(":",Protokoll_3p!F189)-1))&gt;VALUE(RIGHT(Protokoll_3p!F189,LEN(Protokoll_3p!F189)-FIND(":",Protokoll_3p!F189))),1,0))</f>
        <v/>
      </c>
      <c r="C223" s="1" t="str">
        <f>IF(Protokoll_3p!G189="","",IF(VALUE(LEFT(Protokoll_3p!G189,FIND(":",Protokoll_3p!G189)-1))&gt;VALUE(RIGHT(Protokoll_3p!G189,LEN(Protokoll_3p!G189)-FIND(":",Protokoll_3p!G189))),1,0))</f>
        <v/>
      </c>
      <c r="D223" s="1" t="str">
        <f>IF(Protokoll_3p!H189="","",IF(VALUE(LEFT(Protokoll_3p!H189,FIND(":",Protokoll_3p!H189)-1))&gt;VALUE(RIGHT(Protokoll_3p!H189,LEN(Protokoll_3p!H189)-FIND(":",Protokoll_3p!H189))),1,0))</f>
        <v/>
      </c>
      <c r="E223" s="1" t="str">
        <f>IF(Protokoll_3p!I189="","",IF(VALUE(LEFT(Protokoll_3p!I189,FIND(":",Protokoll_3p!I189)-1))&gt;VALUE(RIGHT(Protokoll_3p!I189,LEN(Protokoll_3p!I189)-FIND(":",Protokoll_3p!I189))),1,0))</f>
        <v/>
      </c>
      <c r="F223" s="1" t="str">
        <f>IF(Protokoll_3p!J189="","",IF(VALUE(LEFT(Protokoll_3p!J189,FIND(":",Protokoll_3p!J189)-1))&gt;VALUE(RIGHT(Protokoll_3p!J189,LEN(Protokoll_3p!J189)-FIND(":",Protokoll_3p!J189))),1,0))</f>
        <v/>
      </c>
      <c r="G223" s="1" t="str">
        <f t="shared" si="6"/>
        <v/>
      </c>
      <c r="I223" s="1" t="str">
        <f>IF(Protokoll_3p!F189="","",IF(VALUE(LEFT(Protokoll_3p!F189,FIND(":",Protokoll_3p!F189)-1))&gt;VALUE(RIGHT(Protokoll_3p!F189,LEN(Protokoll_3p!F189)-FIND(":",Protokoll_3p!F189))),0,1))</f>
        <v/>
      </c>
      <c r="J223" s="1" t="str">
        <f>IF(Protokoll_3p!G189="","",IF(VALUE(LEFT(Protokoll_3p!G189,FIND(":",Protokoll_3p!G189)-1))&gt;VALUE(RIGHT(Protokoll_3p!G189,LEN(Protokoll_3p!G189)-FIND(":",Protokoll_3p!G189))),0,1))</f>
        <v/>
      </c>
      <c r="K223" s="1" t="str">
        <f>IF(Protokoll_3p!H189="","",IF(VALUE(LEFT(Protokoll_3p!H189,FIND(":",Protokoll_3p!H189)-1))&gt;VALUE(RIGHT(Protokoll_3p!H189,LEN(Protokoll_3p!H189)-FIND(":",Protokoll_3p!H189))),0,1))</f>
        <v/>
      </c>
      <c r="L223" s="1" t="str">
        <f>IF(Protokoll_3p!I189="","",IF(VALUE(LEFT(Protokoll_3p!I189,FIND(":",Protokoll_3p!I189)-1))&gt;VALUE(RIGHT(Protokoll_3p!I189,LEN(Protokoll_3p!I189)-FIND(":",Protokoll_3p!I189))),0,1))</f>
        <v/>
      </c>
      <c r="M223" s="1" t="str">
        <f>IF(Protokoll_3p!J189="","",IF(VALUE(LEFT(Protokoll_3p!J189,FIND(":",Protokoll_3p!J189)-1))&gt;VALUE(RIGHT(Protokoll_3p!J189,LEN(Protokoll_3p!J189)-FIND(":",Protokoll_3p!J189))),0,1))</f>
        <v/>
      </c>
      <c r="N223" s="1" t="str">
        <f t="shared" si="7"/>
        <v/>
      </c>
    </row>
    <row r="224" spans="2:14">
      <c r="B224" s="1" t="str">
        <f>IF(Protokoll_3p!F190="","",IF(VALUE(LEFT(Protokoll_3p!F190,FIND(":",Protokoll_3p!F190)-1))&gt;VALUE(RIGHT(Protokoll_3p!F190,LEN(Protokoll_3p!F190)-FIND(":",Protokoll_3p!F190))),1,0))</f>
        <v/>
      </c>
      <c r="C224" s="1" t="str">
        <f>IF(Protokoll_3p!G190="","",IF(VALUE(LEFT(Protokoll_3p!G190,FIND(":",Protokoll_3p!G190)-1))&gt;VALUE(RIGHT(Protokoll_3p!G190,LEN(Protokoll_3p!G190)-FIND(":",Protokoll_3p!G190))),1,0))</f>
        <v/>
      </c>
      <c r="D224" s="1" t="str">
        <f>IF(Protokoll_3p!H190="","",IF(VALUE(LEFT(Protokoll_3p!H190,FIND(":",Protokoll_3p!H190)-1))&gt;VALUE(RIGHT(Protokoll_3p!H190,LEN(Protokoll_3p!H190)-FIND(":",Protokoll_3p!H190))),1,0))</f>
        <v/>
      </c>
      <c r="E224" s="1" t="str">
        <f>IF(Protokoll_3p!I190="","",IF(VALUE(LEFT(Protokoll_3p!I190,FIND(":",Protokoll_3p!I190)-1))&gt;VALUE(RIGHT(Protokoll_3p!I190,LEN(Protokoll_3p!I190)-FIND(":",Protokoll_3p!I190))),1,0))</f>
        <v/>
      </c>
      <c r="F224" s="1" t="str">
        <f>IF(Protokoll_3p!J190="","",IF(VALUE(LEFT(Protokoll_3p!J190,FIND(":",Protokoll_3p!J190)-1))&gt;VALUE(RIGHT(Protokoll_3p!J190,LEN(Protokoll_3p!J190)-FIND(":",Protokoll_3p!J190))),1,0))</f>
        <v/>
      </c>
      <c r="G224" s="1" t="str">
        <f t="shared" si="6"/>
        <v/>
      </c>
      <c r="I224" s="1" t="str">
        <f>IF(Protokoll_3p!F190="","",IF(VALUE(LEFT(Protokoll_3p!F190,FIND(":",Protokoll_3p!F190)-1))&gt;VALUE(RIGHT(Protokoll_3p!F190,LEN(Protokoll_3p!F190)-FIND(":",Protokoll_3p!F190))),0,1))</f>
        <v/>
      </c>
      <c r="J224" s="1" t="str">
        <f>IF(Protokoll_3p!G190="","",IF(VALUE(LEFT(Protokoll_3p!G190,FIND(":",Protokoll_3p!G190)-1))&gt;VALUE(RIGHT(Protokoll_3p!G190,LEN(Protokoll_3p!G190)-FIND(":",Protokoll_3p!G190))),0,1))</f>
        <v/>
      </c>
      <c r="K224" s="1" t="str">
        <f>IF(Protokoll_3p!H190="","",IF(VALUE(LEFT(Protokoll_3p!H190,FIND(":",Protokoll_3p!H190)-1))&gt;VALUE(RIGHT(Protokoll_3p!H190,LEN(Protokoll_3p!H190)-FIND(":",Protokoll_3p!H190))),0,1))</f>
        <v/>
      </c>
      <c r="L224" s="1" t="str">
        <f>IF(Protokoll_3p!I190="","",IF(VALUE(LEFT(Protokoll_3p!I190,FIND(":",Protokoll_3p!I190)-1))&gt;VALUE(RIGHT(Protokoll_3p!I190,LEN(Protokoll_3p!I190)-FIND(":",Protokoll_3p!I190))),0,1))</f>
        <v/>
      </c>
      <c r="M224" s="1" t="str">
        <f>IF(Protokoll_3p!J190="","",IF(VALUE(LEFT(Protokoll_3p!J190,FIND(":",Protokoll_3p!J190)-1))&gt;VALUE(RIGHT(Protokoll_3p!J190,LEN(Protokoll_3p!J190)-FIND(":",Protokoll_3p!J190))),0,1))</f>
        <v/>
      </c>
      <c r="N224" s="1" t="str">
        <f t="shared" si="7"/>
        <v/>
      </c>
    </row>
    <row r="225" spans="2:14">
      <c r="B225" s="1" t="str">
        <f>IF(Protokoll_3p!F191="","",IF(VALUE(LEFT(Protokoll_3p!F191,FIND(":",Protokoll_3p!F191)-1))&gt;VALUE(RIGHT(Protokoll_3p!F191,LEN(Protokoll_3p!F191)-FIND(":",Protokoll_3p!F191))),1,0))</f>
        <v/>
      </c>
      <c r="C225" s="1" t="str">
        <f>IF(Protokoll_3p!G191="","",IF(VALUE(LEFT(Protokoll_3p!G191,FIND(":",Protokoll_3p!G191)-1))&gt;VALUE(RIGHT(Protokoll_3p!G191,LEN(Protokoll_3p!G191)-FIND(":",Protokoll_3p!G191))),1,0))</f>
        <v/>
      </c>
      <c r="D225" s="1" t="str">
        <f>IF(Protokoll_3p!H191="","",IF(VALUE(LEFT(Protokoll_3p!H191,FIND(":",Protokoll_3p!H191)-1))&gt;VALUE(RIGHT(Protokoll_3p!H191,LEN(Protokoll_3p!H191)-FIND(":",Protokoll_3p!H191))),1,0))</f>
        <v/>
      </c>
      <c r="E225" s="1" t="str">
        <f>IF(Protokoll_3p!I191="","",IF(VALUE(LEFT(Protokoll_3p!I191,FIND(":",Protokoll_3p!I191)-1))&gt;VALUE(RIGHT(Protokoll_3p!I191,LEN(Protokoll_3p!I191)-FIND(":",Protokoll_3p!I191))),1,0))</f>
        <v/>
      </c>
      <c r="F225" s="1" t="str">
        <f>IF(Protokoll_3p!J191="","",IF(VALUE(LEFT(Protokoll_3p!J191,FIND(":",Protokoll_3p!J191)-1))&gt;VALUE(RIGHT(Protokoll_3p!J191,LEN(Protokoll_3p!J191)-FIND(":",Protokoll_3p!J191))),1,0))</f>
        <v/>
      </c>
      <c r="G225" s="1" t="str">
        <f t="shared" si="6"/>
        <v/>
      </c>
      <c r="I225" s="1" t="str">
        <f>IF(Protokoll_3p!F191="","",IF(VALUE(LEFT(Protokoll_3p!F191,FIND(":",Protokoll_3p!F191)-1))&gt;VALUE(RIGHT(Protokoll_3p!F191,LEN(Protokoll_3p!F191)-FIND(":",Protokoll_3p!F191))),0,1))</f>
        <v/>
      </c>
      <c r="J225" s="1" t="str">
        <f>IF(Protokoll_3p!G191="","",IF(VALUE(LEFT(Protokoll_3p!G191,FIND(":",Protokoll_3p!G191)-1))&gt;VALUE(RIGHT(Protokoll_3p!G191,LEN(Protokoll_3p!G191)-FIND(":",Protokoll_3p!G191))),0,1))</f>
        <v/>
      </c>
      <c r="K225" s="1" t="str">
        <f>IF(Protokoll_3p!H191="","",IF(VALUE(LEFT(Protokoll_3p!H191,FIND(":",Protokoll_3p!H191)-1))&gt;VALUE(RIGHT(Protokoll_3p!H191,LEN(Protokoll_3p!H191)-FIND(":",Protokoll_3p!H191))),0,1))</f>
        <v/>
      </c>
      <c r="L225" s="1" t="str">
        <f>IF(Protokoll_3p!I191="","",IF(VALUE(LEFT(Protokoll_3p!I191,FIND(":",Protokoll_3p!I191)-1))&gt;VALUE(RIGHT(Protokoll_3p!I191,LEN(Protokoll_3p!I191)-FIND(":",Protokoll_3p!I191))),0,1))</f>
        <v/>
      </c>
      <c r="M225" s="1" t="str">
        <f>IF(Protokoll_3p!J191="","",IF(VALUE(LEFT(Protokoll_3p!J191,FIND(":",Protokoll_3p!J191)-1))&gt;VALUE(RIGHT(Protokoll_3p!J191,LEN(Protokoll_3p!J191)-FIND(":",Protokoll_3p!J191))),0,1))</f>
        <v/>
      </c>
      <c r="N225" s="1" t="str">
        <f t="shared" si="7"/>
        <v/>
      </c>
    </row>
    <row r="226" spans="2:14">
      <c r="B226" s="1" t="str">
        <f>IF(Protokoll_3p!F192="","",IF(VALUE(LEFT(Protokoll_3p!F192,FIND(":",Protokoll_3p!F192)-1))&gt;VALUE(RIGHT(Protokoll_3p!F192,LEN(Protokoll_3p!F192)-FIND(":",Protokoll_3p!F192))),1,0))</f>
        <v/>
      </c>
      <c r="C226" s="1" t="str">
        <f>IF(Protokoll_3p!G192="","",IF(VALUE(LEFT(Protokoll_3p!G192,FIND(":",Protokoll_3p!G192)-1))&gt;VALUE(RIGHT(Protokoll_3p!G192,LEN(Protokoll_3p!G192)-FIND(":",Protokoll_3p!G192))),1,0))</f>
        <v/>
      </c>
      <c r="D226" s="1" t="str">
        <f>IF(Protokoll_3p!H192="","",IF(VALUE(LEFT(Protokoll_3p!H192,FIND(":",Protokoll_3p!H192)-1))&gt;VALUE(RIGHT(Protokoll_3p!H192,LEN(Protokoll_3p!H192)-FIND(":",Protokoll_3p!H192))),1,0))</f>
        <v/>
      </c>
      <c r="E226" s="1" t="str">
        <f>IF(Protokoll_3p!I192="","",IF(VALUE(LEFT(Protokoll_3p!I192,FIND(":",Protokoll_3p!I192)-1))&gt;VALUE(RIGHT(Protokoll_3p!I192,LEN(Protokoll_3p!I192)-FIND(":",Protokoll_3p!I192))),1,0))</f>
        <v/>
      </c>
      <c r="F226" s="1" t="str">
        <f>IF(Protokoll_3p!J192="","",IF(VALUE(LEFT(Protokoll_3p!J192,FIND(":",Protokoll_3p!J192)-1))&gt;VALUE(RIGHT(Protokoll_3p!J192,LEN(Protokoll_3p!J192)-FIND(":",Protokoll_3p!J192))),1,0))</f>
        <v/>
      </c>
      <c r="G226" s="1" t="str">
        <f t="shared" si="6"/>
        <v/>
      </c>
      <c r="I226" s="1" t="str">
        <f>IF(Protokoll_3p!F192="","",IF(VALUE(LEFT(Protokoll_3p!F192,FIND(":",Protokoll_3p!F192)-1))&gt;VALUE(RIGHT(Protokoll_3p!F192,LEN(Protokoll_3p!F192)-FIND(":",Protokoll_3p!F192))),0,1))</f>
        <v/>
      </c>
      <c r="J226" s="1" t="str">
        <f>IF(Protokoll_3p!G192="","",IF(VALUE(LEFT(Protokoll_3p!G192,FIND(":",Protokoll_3p!G192)-1))&gt;VALUE(RIGHT(Protokoll_3p!G192,LEN(Protokoll_3p!G192)-FIND(":",Protokoll_3p!G192))),0,1))</f>
        <v/>
      </c>
      <c r="K226" s="1" t="str">
        <f>IF(Protokoll_3p!H192="","",IF(VALUE(LEFT(Protokoll_3p!H192,FIND(":",Protokoll_3p!H192)-1))&gt;VALUE(RIGHT(Protokoll_3p!H192,LEN(Protokoll_3p!H192)-FIND(":",Protokoll_3p!H192))),0,1))</f>
        <v/>
      </c>
      <c r="L226" s="1" t="str">
        <f>IF(Protokoll_3p!I192="","",IF(VALUE(LEFT(Protokoll_3p!I192,FIND(":",Protokoll_3p!I192)-1))&gt;VALUE(RIGHT(Protokoll_3p!I192,LEN(Protokoll_3p!I192)-FIND(":",Protokoll_3p!I192))),0,1))</f>
        <v/>
      </c>
      <c r="M226" s="1" t="str">
        <f>IF(Protokoll_3p!J192="","",IF(VALUE(LEFT(Protokoll_3p!J192,FIND(":",Protokoll_3p!J192)-1))&gt;VALUE(RIGHT(Protokoll_3p!J192,LEN(Protokoll_3p!J192)-FIND(":",Protokoll_3p!J192))),0,1))</f>
        <v/>
      </c>
      <c r="N226" s="1" t="str">
        <f t="shared" si="7"/>
        <v/>
      </c>
    </row>
    <row r="227" spans="2:14">
      <c r="B227" s="1" t="str">
        <f>IF(Protokoll_3p!F193="","",IF(VALUE(LEFT(Protokoll_3p!F193,FIND(":",Protokoll_3p!F193)-1))&gt;VALUE(RIGHT(Protokoll_3p!F193,LEN(Protokoll_3p!F193)-FIND(":",Protokoll_3p!F193))),1,0))</f>
        <v/>
      </c>
      <c r="C227" s="1" t="str">
        <f>IF(Protokoll_3p!G193="","",IF(VALUE(LEFT(Protokoll_3p!G193,FIND(":",Protokoll_3p!G193)-1))&gt;VALUE(RIGHT(Protokoll_3p!G193,LEN(Protokoll_3p!G193)-FIND(":",Protokoll_3p!G193))),1,0))</f>
        <v/>
      </c>
      <c r="D227" s="1" t="str">
        <f>IF(Protokoll_3p!H193="","",IF(VALUE(LEFT(Protokoll_3p!H193,FIND(":",Protokoll_3p!H193)-1))&gt;VALUE(RIGHT(Protokoll_3p!H193,LEN(Protokoll_3p!H193)-FIND(":",Protokoll_3p!H193))),1,0))</f>
        <v/>
      </c>
      <c r="E227" s="1" t="str">
        <f>IF(Protokoll_3p!I193="","",IF(VALUE(LEFT(Protokoll_3p!I193,FIND(":",Protokoll_3p!I193)-1))&gt;VALUE(RIGHT(Protokoll_3p!I193,LEN(Protokoll_3p!I193)-FIND(":",Protokoll_3p!I193))),1,0))</f>
        <v/>
      </c>
      <c r="F227" s="1" t="str">
        <f>IF(Protokoll_3p!J193="","",IF(VALUE(LEFT(Protokoll_3p!J193,FIND(":",Protokoll_3p!J193)-1))&gt;VALUE(RIGHT(Protokoll_3p!J193,LEN(Protokoll_3p!J193)-FIND(":",Protokoll_3p!J193))),1,0))</f>
        <v/>
      </c>
      <c r="G227" s="1" t="str">
        <f t="shared" si="6"/>
        <v/>
      </c>
      <c r="I227" s="1" t="str">
        <f>IF(Protokoll_3p!F193="","",IF(VALUE(LEFT(Protokoll_3p!F193,FIND(":",Protokoll_3p!F193)-1))&gt;VALUE(RIGHT(Protokoll_3p!F193,LEN(Protokoll_3p!F193)-FIND(":",Protokoll_3p!F193))),0,1))</f>
        <v/>
      </c>
      <c r="J227" s="1" t="str">
        <f>IF(Protokoll_3p!G193="","",IF(VALUE(LEFT(Protokoll_3p!G193,FIND(":",Protokoll_3p!G193)-1))&gt;VALUE(RIGHT(Protokoll_3p!G193,LEN(Protokoll_3p!G193)-FIND(":",Protokoll_3p!G193))),0,1))</f>
        <v/>
      </c>
      <c r="K227" s="1" t="str">
        <f>IF(Protokoll_3p!H193="","",IF(VALUE(LEFT(Protokoll_3p!H193,FIND(":",Protokoll_3p!H193)-1))&gt;VALUE(RIGHT(Protokoll_3p!H193,LEN(Protokoll_3p!H193)-FIND(":",Protokoll_3p!H193))),0,1))</f>
        <v/>
      </c>
      <c r="L227" s="1" t="str">
        <f>IF(Protokoll_3p!I193="","",IF(VALUE(LEFT(Protokoll_3p!I193,FIND(":",Protokoll_3p!I193)-1))&gt;VALUE(RIGHT(Protokoll_3p!I193,LEN(Protokoll_3p!I193)-FIND(":",Protokoll_3p!I193))),0,1))</f>
        <v/>
      </c>
      <c r="M227" s="1" t="str">
        <f>IF(Protokoll_3p!J193="","",IF(VALUE(LEFT(Protokoll_3p!J193,FIND(":",Protokoll_3p!J193)-1))&gt;VALUE(RIGHT(Protokoll_3p!J193,LEN(Protokoll_3p!J193)-FIND(":",Protokoll_3p!J193))),0,1))</f>
        <v/>
      </c>
      <c r="N227" s="1" t="str">
        <f t="shared" si="7"/>
        <v/>
      </c>
    </row>
    <row r="228" spans="2:14">
      <c r="B228" s="1" t="str">
        <f>IF(Protokoll_3p!F194="","",IF(VALUE(LEFT(Protokoll_3p!F194,FIND(":",Protokoll_3p!F194)-1))&gt;VALUE(RIGHT(Protokoll_3p!F194,LEN(Protokoll_3p!F194)-FIND(":",Protokoll_3p!F194))),1,0))</f>
        <v/>
      </c>
      <c r="C228" s="1" t="str">
        <f>IF(Protokoll_3p!G194="","",IF(VALUE(LEFT(Protokoll_3p!G194,FIND(":",Protokoll_3p!G194)-1))&gt;VALUE(RIGHT(Protokoll_3p!G194,LEN(Protokoll_3p!G194)-FIND(":",Protokoll_3p!G194))),1,0))</f>
        <v/>
      </c>
      <c r="D228" s="1" t="str">
        <f>IF(Protokoll_3p!H194="","",IF(VALUE(LEFT(Protokoll_3p!H194,FIND(":",Protokoll_3p!H194)-1))&gt;VALUE(RIGHT(Protokoll_3p!H194,LEN(Protokoll_3p!H194)-FIND(":",Protokoll_3p!H194))),1,0))</f>
        <v/>
      </c>
      <c r="E228" s="1" t="str">
        <f>IF(Protokoll_3p!I194="","",IF(VALUE(LEFT(Protokoll_3p!I194,FIND(":",Protokoll_3p!I194)-1))&gt;VALUE(RIGHT(Protokoll_3p!I194,LEN(Protokoll_3p!I194)-FIND(":",Protokoll_3p!I194))),1,0))</f>
        <v/>
      </c>
      <c r="F228" s="1" t="str">
        <f>IF(Protokoll_3p!J194="","",IF(VALUE(LEFT(Protokoll_3p!J194,FIND(":",Protokoll_3p!J194)-1))&gt;VALUE(RIGHT(Protokoll_3p!J194,LEN(Protokoll_3p!J194)-FIND(":",Protokoll_3p!J194))),1,0))</f>
        <v/>
      </c>
      <c r="G228" s="1" t="str">
        <f t="shared" si="6"/>
        <v/>
      </c>
      <c r="I228" s="1" t="str">
        <f>IF(Protokoll_3p!F194="","",IF(VALUE(LEFT(Protokoll_3p!F194,FIND(":",Protokoll_3p!F194)-1))&gt;VALUE(RIGHT(Protokoll_3p!F194,LEN(Protokoll_3p!F194)-FIND(":",Protokoll_3p!F194))),0,1))</f>
        <v/>
      </c>
      <c r="J228" s="1" t="str">
        <f>IF(Protokoll_3p!G194="","",IF(VALUE(LEFT(Protokoll_3p!G194,FIND(":",Protokoll_3p!G194)-1))&gt;VALUE(RIGHT(Protokoll_3p!G194,LEN(Protokoll_3p!G194)-FIND(":",Protokoll_3p!G194))),0,1))</f>
        <v/>
      </c>
      <c r="K228" s="1" t="str">
        <f>IF(Protokoll_3p!H194="","",IF(VALUE(LEFT(Protokoll_3p!H194,FIND(":",Protokoll_3p!H194)-1))&gt;VALUE(RIGHT(Protokoll_3p!H194,LEN(Protokoll_3p!H194)-FIND(":",Protokoll_3p!H194))),0,1))</f>
        <v/>
      </c>
      <c r="L228" s="1" t="str">
        <f>IF(Protokoll_3p!I194="","",IF(VALUE(LEFT(Protokoll_3p!I194,FIND(":",Protokoll_3p!I194)-1))&gt;VALUE(RIGHT(Protokoll_3p!I194,LEN(Protokoll_3p!I194)-FIND(":",Protokoll_3p!I194))),0,1))</f>
        <v/>
      </c>
      <c r="M228" s="1" t="str">
        <f>IF(Protokoll_3p!J194="","",IF(VALUE(LEFT(Protokoll_3p!J194,FIND(":",Protokoll_3p!J194)-1))&gt;VALUE(RIGHT(Protokoll_3p!J194,LEN(Protokoll_3p!J194)-FIND(":",Protokoll_3p!J194))),0,1))</f>
        <v/>
      </c>
      <c r="N228" s="1" t="str">
        <f t="shared" si="7"/>
        <v/>
      </c>
    </row>
    <row r="229" spans="2:14">
      <c r="B229" s="1" t="str">
        <f>IF(Protokoll_3p!F195="","",IF(VALUE(LEFT(Protokoll_3p!F195,FIND(":",Protokoll_3p!F195)-1))&gt;VALUE(RIGHT(Protokoll_3p!F195,LEN(Protokoll_3p!F195)-FIND(":",Protokoll_3p!F195))),1,0))</f>
        <v/>
      </c>
      <c r="C229" s="1" t="str">
        <f>IF(Protokoll_3p!G195="","",IF(VALUE(LEFT(Protokoll_3p!G195,FIND(":",Protokoll_3p!G195)-1))&gt;VALUE(RIGHT(Protokoll_3p!G195,LEN(Protokoll_3p!G195)-FIND(":",Protokoll_3p!G195))),1,0))</f>
        <v/>
      </c>
      <c r="D229" s="1" t="str">
        <f>IF(Protokoll_3p!H195="","",IF(VALUE(LEFT(Protokoll_3p!H195,FIND(":",Protokoll_3p!H195)-1))&gt;VALUE(RIGHT(Protokoll_3p!H195,LEN(Protokoll_3p!H195)-FIND(":",Protokoll_3p!H195))),1,0))</f>
        <v/>
      </c>
      <c r="E229" s="1" t="str">
        <f>IF(Protokoll_3p!I195="","",IF(VALUE(LEFT(Protokoll_3p!I195,FIND(":",Protokoll_3p!I195)-1))&gt;VALUE(RIGHT(Protokoll_3p!I195,LEN(Protokoll_3p!I195)-FIND(":",Protokoll_3p!I195))),1,0))</f>
        <v/>
      </c>
      <c r="F229" s="1" t="str">
        <f>IF(Protokoll_3p!J195="","",IF(VALUE(LEFT(Protokoll_3p!J195,FIND(":",Protokoll_3p!J195)-1))&gt;VALUE(RIGHT(Protokoll_3p!J195,LEN(Protokoll_3p!J195)-FIND(":",Protokoll_3p!J195))),1,0))</f>
        <v/>
      </c>
      <c r="G229" s="1" t="str">
        <f t="shared" si="6"/>
        <v/>
      </c>
      <c r="I229" s="1" t="str">
        <f>IF(Protokoll_3p!F195="","",IF(VALUE(LEFT(Protokoll_3p!F195,FIND(":",Protokoll_3p!F195)-1))&gt;VALUE(RIGHT(Protokoll_3p!F195,LEN(Protokoll_3p!F195)-FIND(":",Protokoll_3p!F195))),0,1))</f>
        <v/>
      </c>
      <c r="J229" s="1" t="str">
        <f>IF(Protokoll_3p!G195="","",IF(VALUE(LEFT(Protokoll_3p!G195,FIND(":",Protokoll_3p!G195)-1))&gt;VALUE(RIGHT(Protokoll_3p!G195,LEN(Protokoll_3p!G195)-FIND(":",Protokoll_3p!G195))),0,1))</f>
        <v/>
      </c>
      <c r="K229" s="1" t="str">
        <f>IF(Protokoll_3p!H195="","",IF(VALUE(LEFT(Protokoll_3p!H195,FIND(":",Protokoll_3p!H195)-1))&gt;VALUE(RIGHT(Protokoll_3p!H195,LEN(Protokoll_3p!H195)-FIND(":",Protokoll_3p!H195))),0,1))</f>
        <v/>
      </c>
      <c r="L229" s="1" t="str">
        <f>IF(Protokoll_3p!I195="","",IF(VALUE(LEFT(Protokoll_3p!I195,FIND(":",Protokoll_3p!I195)-1))&gt;VALUE(RIGHT(Protokoll_3p!I195,LEN(Protokoll_3p!I195)-FIND(":",Protokoll_3p!I195))),0,1))</f>
        <v/>
      </c>
      <c r="M229" s="1" t="str">
        <f>IF(Protokoll_3p!J195="","",IF(VALUE(LEFT(Protokoll_3p!J195,FIND(":",Protokoll_3p!J195)-1))&gt;VALUE(RIGHT(Protokoll_3p!J195,LEN(Protokoll_3p!J195)-FIND(":",Protokoll_3p!J195))),0,1))</f>
        <v/>
      </c>
      <c r="N229" s="1" t="str">
        <f t="shared" si="7"/>
        <v/>
      </c>
    </row>
    <row r="230" spans="2:14">
      <c r="B230" s="1" t="str">
        <f>IF(Protokoll_3p!F196="","",IF(VALUE(LEFT(Protokoll_3p!F196,FIND(":",Protokoll_3p!F196)-1))&gt;VALUE(RIGHT(Protokoll_3p!F196,LEN(Protokoll_3p!F196)-FIND(":",Protokoll_3p!F196))),1,0))</f>
        <v/>
      </c>
      <c r="C230" s="1" t="str">
        <f>IF(Protokoll_3p!G196="","",IF(VALUE(LEFT(Protokoll_3p!G196,FIND(":",Protokoll_3p!G196)-1))&gt;VALUE(RIGHT(Protokoll_3p!G196,LEN(Protokoll_3p!G196)-FIND(":",Protokoll_3p!G196))),1,0))</f>
        <v/>
      </c>
      <c r="D230" s="1" t="str">
        <f>IF(Protokoll_3p!H196="","",IF(VALUE(LEFT(Protokoll_3p!H196,FIND(":",Protokoll_3p!H196)-1))&gt;VALUE(RIGHT(Protokoll_3p!H196,LEN(Protokoll_3p!H196)-FIND(":",Protokoll_3p!H196))),1,0))</f>
        <v/>
      </c>
      <c r="E230" s="1" t="str">
        <f>IF(Protokoll_3p!I196="","",IF(VALUE(LEFT(Protokoll_3p!I196,FIND(":",Protokoll_3p!I196)-1))&gt;VALUE(RIGHT(Protokoll_3p!I196,LEN(Protokoll_3p!I196)-FIND(":",Protokoll_3p!I196))),1,0))</f>
        <v/>
      </c>
      <c r="F230" s="1" t="str">
        <f>IF(Protokoll_3p!J196="","",IF(VALUE(LEFT(Protokoll_3p!J196,FIND(":",Protokoll_3p!J196)-1))&gt;VALUE(RIGHT(Protokoll_3p!J196,LEN(Protokoll_3p!J196)-FIND(":",Protokoll_3p!J196))),1,0))</f>
        <v/>
      </c>
      <c r="G230" s="1" t="str">
        <f t="shared" si="6"/>
        <v/>
      </c>
      <c r="I230" s="1" t="str">
        <f>IF(Protokoll_3p!F196="","",IF(VALUE(LEFT(Protokoll_3p!F196,FIND(":",Protokoll_3p!F196)-1))&gt;VALUE(RIGHT(Protokoll_3p!F196,LEN(Protokoll_3p!F196)-FIND(":",Protokoll_3p!F196))),0,1))</f>
        <v/>
      </c>
      <c r="J230" s="1" t="str">
        <f>IF(Protokoll_3p!G196="","",IF(VALUE(LEFT(Protokoll_3p!G196,FIND(":",Protokoll_3p!G196)-1))&gt;VALUE(RIGHT(Protokoll_3p!G196,LEN(Protokoll_3p!G196)-FIND(":",Protokoll_3p!G196))),0,1))</f>
        <v/>
      </c>
      <c r="K230" s="1" t="str">
        <f>IF(Protokoll_3p!H196="","",IF(VALUE(LEFT(Protokoll_3p!H196,FIND(":",Protokoll_3p!H196)-1))&gt;VALUE(RIGHT(Protokoll_3p!H196,LEN(Protokoll_3p!H196)-FIND(":",Protokoll_3p!H196))),0,1))</f>
        <v/>
      </c>
      <c r="L230" s="1" t="str">
        <f>IF(Protokoll_3p!I196="","",IF(VALUE(LEFT(Protokoll_3p!I196,FIND(":",Protokoll_3p!I196)-1))&gt;VALUE(RIGHT(Protokoll_3p!I196,LEN(Protokoll_3p!I196)-FIND(":",Protokoll_3p!I196))),0,1))</f>
        <v/>
      </c>
      <c r="M230" s="1" t="str">
        <f>IF(Protokoll_3p!J196="","",IF(VALUE(LEFT(Protokoll_3p!J196,FIND(":",Protokoll_3p!J196)-1))&gt;VALUE(RIGHT(Protokoll_3p!J196,LEN(Protokoll_3p!J196)-FIND(":",Protokoll_3p!J196))),0,1))</f>
        <v/>
      </c>
      <c r="N230" s="1" t="str">
        <f t="shared" si="7"/>
        <v/>
      </c>
    </row>
    <row r="231" spans="2:14">
      <c r="B231" s="1" t="str">
        <f>IF(Protokoll_3p!F197="","",IF(VALUE(LEFT(Protokoll_3p!F197,FIND(":",Protokoll_3p!F197)-1))&gt;VALUE(RIGHT(Protokoll_3p!F197,LEN(Protokoll_3p!F197)-FIND(":",Protokoll_3p!F197))),1,0))</f>
        <v/>
      </c>
      <c r="C231" s="1" t="str">
        <f>IF(Protokoll_3p!G197="","",IF(VALUE(LEFT(Protokoll_3p!G197,FIND(":",Protokoll_3p!G197)-1))&gt;VALUE(RIGHT(Protokoll_3p!G197,LEN(Protokoll_3p!G197)-FIND(":",Protokoll_3p!G197))),1,0))</f>
        <v/>
      </c>
      <c r="D231" s="1" t="str">
        <f>IF(Protokoll_3p!H197="","",IF(VALUE(LEFT(Protokoll_3p!H197,FIND(":",Protokoll_3p!H197)-1))&gt;VALUE(RIGHT(Protokoll_3p!H197,LEN(Protokoll_3p!H197)-FIND(":",Protokoll_3p!H197))),1,0))</f>
        <v/>
      </c>
      <c r="E231" s="1" t="str">
        <f>IF(Protokoll_3p!I197="","",IF(VALUE(LEFT(Protokoll_3p!I197,FIND(":",Protokoll_3p!I197)-1))&gt;VALUE(RIGHT(Protokoll_3p!I197,LEN(Protokoll_3p!I197)-FIND(":",Protokoll_3p!I197))),1,0))</f>
        <v/>
      </c>
      <c r="F231" s="1" t="str">
        <f>IF(Protokoll_3p!J197="","",IF(VALUE(LEFT(Protokoll_3p!J197,FIND(":",Protokoll_3p!J197)-1))&gt;VALUE(RIGHT(Protokoll_3p!J197,LEN(Protokoll_3p!J197)-FIND(":",Protokoll_3p!J197))),1,0))</f>
        <v/>
      </c>
      <c r="G231" s="1" t="str">
        <f t="shared" si="6"/>
        <v/>
      </c>
      <c r="I231" s="1" t="str">
        <f>IF(Protokoll_3p!F197="","",IF(VALUE(LEFT(Protokoll_3p!F197,FIND(":",Protokoll_3p!F197)-1))&gt;VALUE(RIGHT(Protokoll_3p!F197,LEN(Protokoll_3p!F197)-FIND(":",Protokoll_3p!F197))),0,1))</f>
        <v/>
      </c>
      <c r="J231" s="1" t="str">
        <f>IF(Protokoll_3p!G197="","",IF(VALUE(LEFT(Protokoll_3p!G197,FIND(":",Protokoll_3p!G197)-1))&gt;VALUE(RIGHT(Protokoll_3p!G197,LEN(Protokoll_3p!G197)-FIND(":",Protokoll_3p!G197))),0,1))</f>
        <v/>
      </c>
      <c r="K231" s="1" t="str">
        <f>IF(Protokoll_3p!H197="","",IF(VALUE(LEFT(Protokoll_3p!H197,FIND(":",Protokoll_3p!H197)-1))&gt;VALUE(RIGHT(Protokoll_3p!H197,LEN(Protokoll_3p!H197)-FIND(":",Protokoll_3p!H197))),0,1))</f>
        <v/>
      </c>
      <c r="L231" s="1" t="str">
        <f>IF(Protokoll_3p!I197="","",IF(VALUE(LEFT(Protokoll_3p!I197,FIND(":",Protokoll_3p!I197)-1))&gt;VALUE(RIGHT(Protokoll_3p!I197,LEN(Protokoll_3p!I197)-FIND(":",Protokoll_3p!I197))),0,1))</f>
        <v/>
      </c>
      <c r="M231" s="1" t="str">
        <f>IF(Protokoll_3p!J197="","",IF(VALUE(LEFT(Protokoll_3p!J197,FIND(":",Protokoll_3p!J197)-1))&gt;VALUE(RIGHT(Protokoll_3p!J197,LEN(Protokoll_3p!J197)-FIND(":",Protokoll_3p!J197))),0,1))</f>
        <v/>
      </c>
      <c r="N231" s="1" t="str">
        <f t="shared" si="7"/>
        <v/>
      </c>
    </row>
    <row r="232" spans="2:14">
      <c r="B232" s="1" t="str">
        <f>IF(Protokoll_3p!F198="","",IF(VALUE(LEFT(Protokoll_3p!F198,FIND(":",Protokoll_3p!F198)-1))&gt;VALUE(RIGHT(Protokoll_3p!F198,LEN(Protokoll_3p!F198)-FIND(":",Protokoll_3p!F198))),1,0))</f>
        <v/>
      </c>
      <c r="C232" s="1" t="str">
        <f>IF(Protokoll_3p!G198="","",IF(VALUE(LEFT(Protokoll_3p!G198,FIND(":",Protokoll_3p!G198)-1))&gt;VALUE(RIGHT(Protokoll_3p!G198,LEN(Protokoll_3p!G198)-FIND(":",Protokoll_3p!G198))),1,0))</f>
        <v/>
      </c>
      <c r="D232" s="1" t="str">
        <f>IF(Protokoll_3p!H198="","",IF(VALUE(LEFT(Protokoll_3p!H198,FIND(":",Protokoll_3p!H198)-1))&gt;VALUE(RIGHT(Protokoll_3p!H198,LEN(Protokoll_3p!H198)-FIND(":",Protokoll_3p!H198))),1,0))</f>
        <v/>
      </c>
      <c r="E232" s="1" t="str">
        <f>IF(Protokoll_3p!I198="","",IF(VALUE(LEFT(Protokoll_3p!I198,FIND(":",Protokoll_3p!I198)-1))&gt;VALUE(RIGHT(Protokoll_3p!I198,LEN(Protokoll_3p!I198)-FIND(":",Protokoll_3p!I198))),1,0))</f>
        <v/>
      </c>
      <c r="F232" s="1" t="str">
        <f>IF(Protokoll_3p!J198="","",IF(VALUE(LEFT(Protokoll_3p!J198,FIND(":",Protokoll_3p!J198)-1))&gt;VALUE(RIGHT(Protokoll_3p!J198,LEN(Protokoll_3p!J198)-FIND(":",Protokoll_3p!J198))),1,0))</f>
        <v/>
      </c>
      <c r="G232" s="1" t="str">
        <f t="shared" si="6"/>
        <v/>
      </c>
      <c r="I232" s="1" t="str">
        <f>IF(Protokoll_3p!F198="","",IF(VALUE(LEFT(Protokoll_3p!F198,FIND(":",Protokoll_3p!F198)-1))&gt;VALUE(RIGHT(Protokoll_3p!F198,LEN(Protokoll_3p!F198)-FIND(":",Protokoll_3p!F198))),0,1))</f>
        <v/>
      </c>
      <c r="J232" s="1" t="str">
        <f>IF(Protokoll_3p!G198="","",IF(VALUE(LEFT(Protokoll_3p!G198,FIND(":",Protokoll_3p!G198)-1))&gt;VALUE(RIGHT(Protokoll_3p!G198,LEN(Protokoll_3p!G198)-FIND(":",Protokoll_3p!G198))),0,1))</f>
        <v/>
      </c>
      <c r="K232" s="1" t="str">
        <f>IF(Protokoll_3p!H198="","",IF(VALUE(LEFT(Protokoll_3p!H198,FIND(":",Protokoll_3p!H198)-1))&gt;VALUE(RIGHT(Protokoll_3p!H198,LEN(Protokoll_3p!H198)-FIND(":",Protokoll_3p!H198))),0,1))</f>
        <v/>
      </c>
      <c r="L232" s="1" t="str">
        <f>IF(Protokoll_3p!I198="","",IF(VALUE(LEFT(Protokoll_3p!I198,FIND(":",Protokoll_3p!I198)-1))&gt;VALUE(RIGHT(Protokoll_3p!I198,LEN(Protokoll_3p!I198)-FIND(":",Protokoll_3p!I198))),0,1))</f>
        <v/>
      </c>
      <c r="M232" s="1" t="str">
        <f>IF(Protokoll_3p!J198="","",IF(VALUE(LEFT(Protokoll_3p!J198,FIND(":",Protokoll_3p!J198)-1))&gt;VALUE(RIGHT(Protokoll_3p!J198,LEN(Protokoll_3p!J198)-FIND(":",Protokoll_3p!J198))),0,1))</f>
        <v/>
      </c>
      <c r="N232" s="1" t="str">
        <f t="shared" si="7"/>
        <v/>
      </c>
    </row>
    <row r="233" spans="2:14">
      <c r="B233" s="1" t="str">
        <f>IF(Protokoll_3p!F199="","",IF(VALUE(LEFT(Protokoll_3p!F199,FIND(":",Protokoll_3p!F199)-1))&gt;VALUE(RIGHT(Protokoll_3p!F199,LEN(Protokoll_3p!F199)-FIND(":",Protokoll_3p!F199))),1,0))</f>
        <v/>
      </c>
      <c r="C233" s="1" t="str">
        <f>IF(Protokoll_3p!G199="","",IF(VALUE(LEFT(Protokoll_3p!G199,FIND(":",Protokoll_3p!G199)-1))&gt;VALUE(RIGHT(Protokoll_3p!G199,LEN(Protokoll_3p!G199)-FIND(":",Protokoll_3p!G199))),1,0))</f>
        <v/>
      </c>
      <c r="D233" s="1" t="str">
        <f>IF(Protokoll_3p!H199="","",IF(VALUE(LEFT(Protokoll_3p!H199,FIND(":",Protokoll_3p!H199)-1))&gt;VALUE(RIGHT(Protokoll_3p!H199,LEN(Protokoll_3p!H199)-FIND(":",Protokoll_3p!H199))),1,0))</f>
        <v/>
      </c>
      <c r="E233" s="1" t="str">
        <f>IF(Protokoll_3p!I199="","",IF(VALUE(LEFT(Protokoll_3p!I199,FIND(":",Protokoll_3p!I199)-1))&gt;VALUE(RIGHT(Protokoll_3p!I199,LEN(Protokoll_3p!I199)-FIND(":",Protokoll_3p!I199))),1,0))</f>
        <v/>
      </c>
      <c r="F233" s="1" t="str">
        <f>IF(Protokoll_3p!J199="","",IF(VALUE(LEFT(Protokoll_3p!J199,FIND(":",Protokoll_3p!J199)-1))&gt;VALUE(RIGHT(Protokoll_3p!J199,LEN(Protokoll_3p!J199)-FIND(":",Protokoll_3p!J199))),1,0))</f>
        <v/>
      </c>
      <c r="G233" s="1" t="str">
        <f t="shared" si="6"/>
        <v/>
      </c>
      <c r="I233" s="1" t="str">
        <f>IF(Protokoll_3p!F199="","",IF(VALUE(LEFT(Protokoll_3p!F199,FIND(":",Protokoll_3p!F199)-1))&gt;VALUE(RIGHT(Protokoll_3p!F199,LEN(Protokoll_3p!F199)-FIND(":",Protokoll_3p!F199))),0,1))</f>
        <v/>
      </c>
      <c r="J233" s="1" t="str">
        <f>IF(Protokoll_3p!G199="","",IF(VALUE(LEFT(Protokoll_3p!G199,FIND(":",Protokoll_3p!G199)-1))&gt;VALUE(RIGHT(Protokoll_3p!G199,LEN(Protokoll_3p!G199)-FIND(":",Protokoll_3p!G199))),0,1))</f>
        <v/>
      </c>
      <c r="K233" s="1" t="str">
        <f>IF(Protokoll_3p!H199="","",IF(VALUE(LEFT(Protokoll_3p!H199,FIND(":",Protokoll_3p!H199)-1))&gt;VALUE(RIGHT(Protokoll_3p!H199,LEN(Protokoll_3p!H199)-FIND(":",Protokoll_3p!H199))),0,1))</f>
        <v/>
      </c>
      <c r="L233" s="1" t="str">
        <f>IF(Protokoll_3p!I199="","",IF(VALUE(LEFT(Protokoll_3p!I199,FIND(":",Protokoll_3p!I199)-1))&gt;VALUE(RIGHT(Protokoll_3p!I199,LEN(Protokoll_3p!I199)-FIND(":",Protokoll_3p!I199))),0,1))</f>
        <v/>
      </c>
      <c r="M233" s="1" t="str">
        <f>IF(Protokoll_3p!J199="","",IF(VALUE(LEFT(Protokoll_3p!J199,FIND(":",Protokoll_3p!J199)-1))&gt;VALUE(RIGHT(Protokoll_3p!J199,LEN(Protokoll_3p!J199)-FIND(":",Protokoll_3p!J199))),0,1))</f>
        <v/>
      </c>
      <c r="N233" s="1" t="str">
        <f t="shared" si="7"/>
        <v/>
      </c>
    </row>
    <row r="234" spans="2:14">
      <c r="B234" s="1" t="str">
        <f>IF(Protokoll_3p!F200="","",IF(VALUE(LEFT(Protokoll_3p!F200,FIND(":",Protokoll_3p!F200)-1))&gt;VALUE(RIGHT(Protokoll_3p!F200,LEN(Protokoll_3p!F200)-FIND(":",Protokoll_3p!F200))),1,0))</f>
        <v/>
      </c>
      <c r="C234" s="1" t="str">
        <f>IF(Protokoll_3p!G200="","",IF(VALUE(LEFT(Protokoll_3p!G200,FIND(":",Protokoll_3p!G200)-1))&gt;VALUE(RIGHT(Protokoll_3p!G200,LEN(Protokoll_3p!G200)-FIND(":",Protokoll_3p!G200))),1,0))</f>
        <v/>
      </c>
      <c r="D234" s="1" t="str">
        <f>IF(Protokoll_3p!H200="","",IF(VALUE(LEFT(Protokoll_3p!H200,FIND(":",Protokoll_3p!H200)-1))&gt;VALUE(RIGHT(Protokoll_3p!H200,LEN(Protokoll_3p!H200)-FIND(":",Protokoll_3p!H200))),1,0))</f>
        <v/>
      </c>
      <c r="E234" s="1" t="str">
        <f>IF(Protokoll_3p!I200="","",IF(VALUE(LEFT(Protokoll_3p!I200,FIND(":",Protokoll_3p!I200)-1))&gt;VALUE(RIGHT(Protokoll_3p!I200,LEN(Protokoll_3p!I200)-FIND(":",Protokoll_3p!I200))),1,0))</f>
        <v/>
      </c>
      <c r="F234" s="1" t="str">
        <f>IF(Protokoll_3p!J200="","",IF(VALUE(LEFT(Protokoll_3p!J200,FIND(":",Protokoll_3p!J200)-1))&gt;VALUE(RIGHT(Protokoll_3p!J200,LEN(Protokoll_3p!J200)-FIND(":",Protokoll_3p!J200))),1,0))</f>
        <v/>
      </c>
      <c r="G234" s="1" t="str">
        <f t="shared" si="6"/>
        <v/>
      </c>
      <c r="I234" s="1" t="str">
        <f>IF(Protokoll_3p!F200="","",IF(VALUE(LEFT(Protokoll_3p!F200,FIND(":",Protokoll_3p!F200)-1))&gt;VALUE(RIGHT(Protokoll_3p!F200,LEN(Protokoll_3p!F200)-FIND(":",Protokoll_3p!F200))),0,1))</f>
        <v/>
      </c>
      <c r="J234" s="1" t="str">
        <f>IF(Protokoll_3p!G200="","",IF(VALUE(LEFT(Protokoll_3p!G200,FIND(":",Protokoll_3p!G200)-1))&gt;VALUE(RIGHT(Protokoll_3p!G200,LEN(Protokoll_3p!G200)-FIND(":",Protokoll_3p!G200))),0,1))</f>
        <v/>
      </c>
      <c r="K234" s="1" t="str">
        <f>IF(Protokoll_3p!H200="","",IF(VALUE(LEFT(Protokoll_3p!H200,FIND(":",Protokoll_3p!H200)-1))&gt;VALUE(RIGHT(Protokoll_3p!H200,LEN(Protokoll_3p!H200)-FIND(":",Protokoll_3p!H200))),0,1))</f>
        <v/>
      </c>
      <c r="L234" s="1" t="str">
        <f>IF(Protokoll_3p!I200="","",IF(VALUE(LEFT(Protokoll_3p!I200,FIND(":",Protokoll_3p!I200)-1))&gt;VALUE(RIGHT(Protokoll_3p!I200,LEN(Protokoll_3p!I200)-FIND(":",Protokoll_3p!I200))),0,1))</f>
        <v/>
      </c>
      <c r="M234" s="1" t="str">
        <f>IF(Protokoll_3p!J200="","",IF(VALUE(LEFT(Protokoll_3p!J200,FIND(":",Protokoll_3p!J200)-1))&gt;VALUE(RIGHT(Protokoll_3p!J200,LEN(Protokoll_3p!J200)-FIND(":",Protokoll_3p!J200))),0,1))</f>
        <v/>
      </c>
      <c r="N234" s="1" t="str">
        <f t="shared" si="7"/>
        <v/>
      </c>
    </row>
    <row r="235" spans="2:14">
      <c r="B235" s="1" t="str">
        <f>IF(Protokoll_3p!F201="","",IF(VALUE(LEFT(Protokoll_3p!F201,FIND(":",Protokoll_3p!F201)-1))&gt;VALUE(RIGHT(Protokoll_3p!F201,LEN(Protokoll_3p!F201)-FIND(":",Protokoll_3p!F201))),1,0))</f>
        <v/>
      </c>
      <c r="C235" s="1" t="str">
        <f>IF(Protokoll_3p!G201="","",IF(VALUE(LEFT(Protokoll_3p!G201,FIND(":",Protokoll_3p!G201)-1))&gt;VALUE(RIGHT(Protokoll_3p!G201,LEN(Protokoll_3p!G201)-FIND(":",Protokoll_3p!G201))),1,0))</f>
        <v/>
      </c>
      <c r="D235" s="1" t="str">
        <f>IF(Protokoll_3p!H201="","",IF(VALUE(LEFT(Protokoll_3p!H201,FIND(":",Protokoll_3p!H201)-1))&gt;VALUE(RIGHT(Protokoll_3p!H201,LEN(Protokoll_3p!H201)-FIND(":",Protokoll_3p!H201))),1,0))</f>
        <v/>
      </c>
      <c r="E235" s="1" t="str">
        <f>IF(Protokoll_3p!I201="","",IF(VALUE(LEFT(Protokoll_3p!I201,FIND(":",Protokoll_3p!I201)-1))&gt;VALUE(RIGHT(Protokoll_3p!I201,LEN(Protokoll_3p!I201)-FIND(":",Protokoll_3p!I201))),1,0))</f>
        <v/>
      </c>
      <c r="F235" s="1" t="str">
        <f>IF(Protokoll_3p!J201="","",IF(VALUE(LEFT(Protokoll_3p!J201,FIND(":",Protokoll_3p!J201)-1))&gt;VALUE(RIGHT(Protokoll_3p!J201,LEN(Protokoll_3p!J201)-FIND(":",Protokoll_3p!J201))),1,0))</f>
        <v/>
      </c>
      <c r="G235" s="1" t="str">
        <f t="shared" si="6"/>
        <v/>
      </c>
      <c r="I235" s="1" t="str">
        <f>IF(Protokoll_3p!F201="","",IF(VALUE(LEFT(Protokoll_3p!F201,FIND(":",Protokoll_3p!F201)-1))&gt;VALUE(RIGHT(Protokoll_3p!F201,LEN(Protokoll_3p!F201)-FIND(":",Protokoll_3p!F201))),0,1))</f>
        <v/>
      </c>
      <c r="J235" s="1" t="str">
        <f>IF(Protokoll_3p!G201="","",IF(VALUE(LEFT(Protokoll_3p!G201,FIND(":",Protokoll_3p!G201)-1))&gt;VALUE(RIGHT(Protokoll_3p!G201,LEN(Protokoll_3p!G201)-FIND(":",Protokoll_3p!G201))),0,1))</f>
        <v/>
      </c>
      <c r="K235" s="1" t="str">
        <f>IF(Protokoll_3p!H201="","",IF(VALUE(LEFT(Protokoll_3p!H201,FIND(":",Protokoll_3p!H201)-1))&gt;VALUE(RIGHT(Protokoll_3p!H201,LEN(Protokoll_3p!H201)-FIND(":",Protokoll_3p!H201))),0,1))</f>
        <v/>
      </c>
      <c r="L235" s="1" t="str">
        <f>IF(Protokoll_3p!I201="","",IF(VALUE(LEFT(Protokoll_3p!I201,FIND(":",Protokoll_3p!I201)-1))&gt;VALUE(RIGHT(Protokoll_3p!I201,LEN(Protokoll_3p!I201)-FIND(":",Protokoll_3p!I201))),0,1))</f>
        <v/>
      </c>
      <c r="M235" s="1" t="str">
        <f>IF(Protokoll_3p!J201="","",IF(VALUE(LEFT(Protokoll_3p!J201,FIND(":",Protokoll_3p!J201)-1))&gt;VALUE(RIGHT(Protokoll_3p!J201,LEN(Protokoll_3p!J201)-FIND(":",Protokoll_3p!J201))),0,1))</f>
        <v/>
      </c>
      <c r="N235" s="1" t="str">
        <f t="shared" si="7"/>
        <v/>
      </c>
    </row>
    <row r="236" spans="2:14">
      <c r="B236" s="1" t="str">
        <f>IF(Protokoll_3p!F202="","",IF(VALUE(LEFT(Protokoll_3p!F202,FIND(":",Protokoll_3p!F202)-1))&gt;VALUE(RIGHT(Protokoll_3p!F202,LEN(Protokoll_3p!F202)-FIND(":",Protokoll_3p!F202))),1,0))</f>
        <v/>
      </c>
      <c r="C236" s="1" t="str">
        <f>IF(Protokoll_3p!G202="","",IF(VALUE(LEFT(Protokoll_3p!G202,FIND(":",Protokoll_3p!G202)-1))&gt;VALUE(RIGHT(Protokoll_3p!G202,LEN(Protokoll_3p!G202)-FIND(":",Protokoll_3p!G202))),1,0))</f>
        <v/>
      </c>
      <c r="D236" s="1" t="str">
        <f>IF(Protokoll_3p!H202="","",IF(VALUE(LEFT(Protokoll_3p!H202,FIND(":",Protokoll_3p!H202)-1))&gt;VALUE(RIGHT(Protokoll_3p!H202,LEN(Protokoll_3p!H202)-FIND(":",Protokoll_3p!H202))),1,0))</f>
        <v/>
      </c>
      <c r="E236" s="1" t="str">
        <f>IF(Protokoll_3p!I202="","",IF(VALUE(LEFT(Protokoll_3p!I202,FIND(":",Protokoll_3p!I202)-1))&gt;VALUE(RIGHT(Protokoll_3p!I202,LEN(Protokoll_3p!I202)-FIND(":",Protokoll_3p!I202))),1,0))</f>
        <v/>
      </c>
      <c r="F236" s="1" t="str">
        <f>IF(Protokoll_3p!J202="","",IF(VALUE(LEFT(Protokoll_3p!J202,FIND(":",Protokoll_3p!J202)-1))&gt;VALUE(RIGHT(Protokoll_3p!J202,LEN(Protokoll_3p!J202)-FIND(":",Protokoll_3p!J202))),1,0))</f>
        <v/>
      </c>
      <c r="G236" s="1" t="str">
        <f t="shared" si="6"/>
        <v/>
      </c>
      <c r="I236" s="1" t="str">
        <f>IF(Protokoll_3p!F202="","",IF(VALUE(LEFT(Protokoll_3p!F202,FIND(":",Protokoll_3p!F202)-1))&gt;VALUE(RIGHT(Protokoll_3p!F202,LEN(Protokoll_3p!F202)-FIND(":",Protokoll_3p!F202))),0,1))</f>
        <v/>
      </c>
      <c r="J236" s="1" t="str">
        <f>IF(Protokoll_3p!G202="","",IF(VALUE(LEFT(Protokoll_3p!G202,FIND(":",Protokoll_3p!G202)-1))&gt;VALUE(RIGHT(Protokoll_3p!G202,LEN(Protokoll_3p!G202)-FIND(":",Protokoll_3p!G202))),0,1))</f>
        <v/>
      </c>
      <c r="K236" s="1" t="str">
        <f>IF(Protokoll_3p!H202="","",IF(VALUE(LEFT(Protokoll_3p!H202,FIND(":",Protokoll_3p!H202)-1))&gt;VALUE(RIGHT(Protokoll_3p!H202,LEN(Protokoll_3p!H202)-FIND(":",Protokoll_3p!H202))),0,1))</f>
        <v/>
      </c>
      <c r="L236" s="1" t="str">
        <f>IF(Protokoll_3p!I202="","",IF(VALUE(LEFT(Protokoll_3p!I202,FIND(":",Protokoll_3p!I202)-1))&gt;VALUE(RIGHT(Protokoll_3p!I202,LEN(Protokoll_3p!I202)-FIND(":",Protokoll_3p!I202))),0,1))</f>
        <v/>
      </c>
      <c r="M236" s="1" t="str">
        <f>IF(Protokoll_3p!J202="","",IF(VALUE(LEFT(Protokoll_3p!J202,FIND(":",Protokoll_3p!J202)-1))&gt;VALUE(RIGHT(Protokoll_3p!J202,LEN(Protokoll_3p!J202)-FIND(":",Protokoll_3p!J202))),0,1))</f>
        <v/>
      </c>
      <c r="N236" s="1" t="str">
        <f t="shared" si="7"/>
        <v/>
      </c>
    </row>
    <row r="237" spans="2:14">
      <c r="B237" s="1" t="str">
        <f>IF(Protokoll_3p!F203="","",IF(VALUE(LEFT(Protokoll_3p!F203,FIND(":",Protokoll_3p!F203)-1))&gt;VALUE(RIGHT(Protokoll_3p!F203,LEN(Protokoll_3p!F203)-FIND(":",Protokoll_3p!F203))),1,0))</f>
        <v/>
      </c>
      <c r="C237" s="1" t="str">
        <f>IF(Protokoll_3p!G203="","",IF(VALUE(LEFT(Protokoll_3p!G203,FIND(":",Protokoll_3p!G203)-1))&gt;VALUE(RIGHT(Protokoll_3p!G203,LEN(Protokoll_3p!G203)-FIND(":",Protokoll_3p!G203))),1,0))</f>
        <v/>
      </c>
      <c r="D237" s="1" t="str">
        <f>IF(Protokoll_3p!H203="","",IF(VALUE(LEFT(Protokoll_3p!H203,FIND(":",Protokoll_3p!H203)-1))&gt;VALUE(RIGHT(Protokoll_3p!H203,LEN(Protokoll_3p!H203)-FIND(":",Protokoll_3p!H203))),1,0))</f>
        <v/>
      </c>
      <c r="E237" s="1" t="str">
        <f>IF(Protokoll_3p!I203="","",IF(VALUE(LEFT(Protokoll_3p!I203,FIND(":",Protokoll_3p!I203)-1))&gt;VALUE(RIGHT(Protokoll_3p!I203,LEN(Protokoll_3p!I203)-FIND(":",Protokoll_3p!I203))),1,0))</f>
        <v/>
      </c>
      <c r="F237" s="1" t="str">
        <f>IF(Protokoll_3p!J203="","",IF(VALUE(LEFT(Protokoll_3p!J203,FIND(":",Protokoll_3p!J203)-1))&gt;VALUE(RIGHT(Protokoll_3p!J203,LEN(Protokoll_3p!J203)-FIND(":",Protokoll_3p!J203))),1,0))</f>
        <v/>
      </c>
      <c r="G237" s="1" t="str">
        <f t="shared" si="6"/>
        <v/>
      </c>
      <c r="I237" s="1" t="str">
        <f>IF(Protokoll_3p!F203="","",IF(VALUE(LEFT(Protokoll_3p!F203,FIND(":",Protokoll_3p!F203)-1))&gt;VALUE(RIGHT(Protokoll_3p!F203,LEN(Protokoll_3p!F203)-FIND(":",Protokoll_3p!F203))),0,1))</f>
        <v/>
      </c>
      <c r="J237" s="1" t="str">
        <f>IF(Protokoll_3p!G203="","",IF(VALUE(LEFT(Protokoll_3p!G203,FIND(":",Protokoll_3p!G203)-1))&gt;VALUE(RIGHT(Protokoll_3p!G203,LEN(Protokoll_3p!G203)-FIND(":",Protokoll_3p!G203))),0,1))</f>
        <v/>
      </c>
      <c r="K237" s="1" t="str">
        <f>IF(Protokoll_3p!H203="","",IF(VALUE(LEFT(Protokoll_3p!H203,FIND(":",Protokoll_3p!H203)-1))&gt;VALUE(RIGHT(Protokoll_3p!H203,LEN(Protokoll_3p!H203)-FIND(":",Protokoll_3p!H203))),0,1))</f>
        <v/>
      </c>
      <c r="L237" s="1" t="str">
        <f>IF(Protokoll_3p!I203="","",IF(VALUE(LEFT(Protokoll_3p!I203,FIND(":",Protokoll_3p!I203)-1))&gt;VALUE(RIGHT(Protokoll_3p!I203,LEN(Protokoll_3p!I203)-FIND(":",Protokoll_3p!I203))),0,1))</f>
        <v/>
      </c>
      <c r="M237" s="1" t="str">
        <f>IF(Protokoll_3p!J203="","",IF(VALUE(LEFT(Protokoll_3p!J203,FIND(":",Protokoll_3p!J203)-1))&gt;VALUE(RIGHT(Protokoll_3p!J203,LEN(Protokoll_3p!J203)-FIND(":",Protokoll_3p!J203))),0,1))</f>
        <v/>
      </c>
      <c r="N237" s="1" t="str">
        <f t="shared" si="7"/>
        <v/>
      </c>
    </row>
    <row r="238" spans="2:14">
      <c r="B238" s="1" t="str">
        <f>IF(Protokoll_3p!F204="","",IF(VALUE(LEFT(Protokoll_3p!F204,FIND(":",Protokoll_3p!F204)-1))&gt;VALUE(RIGHT(Protokoll_3p!F204,LEN(Protokoll_3p!F204)-FIND(":",Protokoll_3p!F204))),1,0))</f>
        <v/>
      </c>
      <c r="C238" s="1" t="str">
        <f>IF(Protokoll_3p!G204="","",IF(VALUE(LEFT(Protokoll_3p!G204,FIND(":",Protokoll_3p!G204)-1))&gt;VALUE(RIGHT(Protokoll_3p!G204,LEN(Protokoll_3p!G204)-FIND(":",Protokoll_3p!G204))),1,0))</f>
        <v/>
      </c>
      <c r="D238" s="1" t="str">
        <f>IF(Protokoll_3p!H204="","",IF(VALUE(LEFT(Protokoll_3p!H204,FIND(":",Protokoll_3p!H204)-1))&gt;VALUE(RIGHT(Protokoll_3p!H204,LEN(Protokoll_3p!H204)-FIND(":",Protokoll_3p!H204))),1,0))</f>
        <v/>
      </c>
      <c r="E238" s="1" t="str">
        <f>IF(Protokoll_3p!I204="","",IF(VALUE(LEFT(Protokoll_3p!I204,FIND(":",Protokoll_3p!I204)-1))&gt;VALUE(RIGHT(Protokoll_3p!I204,LEN(Protokoll_3p!I204)-FIND(":",Protokoll_3p!I204))),1,0))</f>
        <v/>
      </c>
      <c r="F238" s="1" t="str">
        <f>IF(Protokoll_3p!J204="","",IF(VALUE(LEFT(Protokoll_3p!J204,FIND(":",Protokoll_3p!J204)-1))&gt;VALUE(RIGHT(Protokoll_3p!J204,LEN(Protokoll_3p!J204)-FIND(":",Protokoll_3p!J204))),1,0))</f>
        <v/>
      </c>
      <c r="G238" s="1" t="str">
        <f t="shared" si="6"/>
        <v/>
      </c>
      <c r="I238" s="1" t="str">
        <f>IF(Protokoll_3p!F204="","",IF(VALUE(LEFT(Protokoll_3p!F204,FIND(":",Protokoll_3p!F204)-1))&gt;VALUE(RIGHT(Protokoll_3p!F204,LEN(Protokoll_3p!F204)-FIND(":",Protokoll_3p!F204))),0,1))</f>
        <v/>
      </c>
      <c r="J238" s="1" t="str">
        <f>IF(Protokoll_3p!G204="","",IF(VALUE(LEFT(Protokoll_3p!G204,FIND(":",Protokoll_3p!G204)-1))&gt;VALUE(RIGHT(Protokoll_3p!G204,LEN(Protokoll_3p!G204)-FIND(":",Protokoll_3p!G204))),0,1))</f>
        <v/>
      </c>
      <c r="K238" s="1" t="str">
        <f>IF(Protokoll_3p!H204="","",IF(VALUE(LEFT(Protokoll_3p!H204,FIND(":",Protokoll_3p!H204)-1))&gt;VALUE(RIGHT(Protokoll_3p!H204,LEN(Protokoll_3p!H204)-FIND(":",Protokoll_3p!H204))),0,1))</f>
        <v/>
      </c>
      <c r="L238" s="1" t="str">
        <f>IF(Protokoll_3p!I204="","",IF(VALUE(LEFT(Protokoll_3p!I204,FIND(":",Protokoll_3p!I204)-1))&gt;VALUE(RIGHT(Protokoll_3p!I204,LEN(Protokoll_3p!I204)-FIND(":",Protokoll_3p!I204))),0,1))</f>
        <v/>
      </c>
      <c r="M238" s="1" t="str">
        <f>IF(Protokoll_3p!J204="","",IF(VALUE(LEFT(Protokoll_3p!J204,FIND(":",Protokoll_3p!J204)-1))&gt;VALUE(RIGHT(Protokoll_3p!J204,LEN(Protokoll_3p!J204)-FIND(":",Protokoll_3p!J204))),0,1))</f>
        <v/>
      </c>
      <c r="N238" s="1" t="str">
        <f t="shared" si="7"/>
        <v/>
      </c>
    </row>
    <row r="239" spans="2:14">
      <c r="B239" s="1" t="str">
        <f>IF(Protokoll_3p!F205="","",IF(VALUE(LEFT(Protokoll_3p!F205,FIND(":",Protokoll_3p!F205)-1))&gt;VALUE(RIGHT(Protokoll_3p!F205,LEN(Protokoll_3p!F205)-FIND(":",Protokoll_3p!F205))),1,0))</f>
        <v/>
      </c>
      <c r="C239" s="1" t="str">
        <f>IF(Protokoll_3p!G205="","",IF(VALUE(LEFT(Protokoll_3p!G205,FIND(":",Protokoll_3p!G205)-1))&gt;VALUE(RIGHT(Protokoll_3p!G205,LEN(Protokoll_3p!G205)-FIND(":",Protokoll_3p!G205))),1,0))</f>
        <v/>
      </c>
      <c r="D239" s="1" t="str">
        <f>IF(Protokoll_3p!H205="","",IF(VALUE(LEFT(Protokoll_3p!H205,FIND(":",Protokoll_3p!H205)-1))&gt;VALUE(RIGHT(Protokoll_3p!H205,LEN(Protokoll_3p!H205)-FIND(":",Protokoll_3p!H205))),1,0))</f>
        <v/>
      </c>
      <c r="E239" s="1" t="str">
        <f>IF(Protokoll_3p!I205="","",IF(VALUE(LEFT(Protokoll_3p!I205,FIND(":",Protokoll_3p!I205)-1))&gt;VALUE(RIGHT(Protokoll_3p!I205,LEN(Protokoll_3p!I205)-FIND(":",Protokoll_3p!I205))),1,0))</f>
        <v/>
      </c>
      <c r="F239" s="1" t="str">
        <f>IF(Protokoll_3p!J205="","",IF(VALUE(LEFT(Protokoll_3p!J205,FIND(":",Protokoll_3p!J205)-1))&gt;VALUE(RIGHT(Protokoll_3p!J205,LEN(Protokoll_3p!J205)-FIND(":",Protokoll_3p!J205))),1,0))</f>
        <v/>
      </c>
      <c r="G239" s="1" t="str">
        <f t="shared" si="6"/>
        <v/>
      </c>
      <c r="I239" s="1" t="str">
        <f>IF(Protokoll_3p!F205="","",IF(VALUE(LEFT(Protokoll_3p!F205,FIND(":",Protokoll_3p!F205)-1))&gt;VALUE(RIGHT(Protokoll_3p!F205,LEN(Protokoll_3p!F205)-FIND(":",Protokoll_3p!F205))),0,1))</f>
        <v/>
      </c>
      <c r="J239" s="1" t="str">
        <f>IF(Protokoll_3p!G205="","",IF(VALUE(LEFT(Protokoll_3p!G205,FIND(":",Protokoll_3p!G205)-1))&gt;VALUE(RIGHT(Protokoll_3p!G205,LEN(Protokoll_3p!G205)-FIND(":",Protokoll_3p!G205))),0,1))</f>
        <v/>
      </c>
      <c r="K239" s="1" t="str">
        <f>IF(Protokoll_3p!H205="","",IF(VALUE(LEFT(Protokoll_3p!H205,FIND(":",Protokoll_3p!H205)-1))&gt;VALUE(RIGHT(Protokoll_3p!H205,LEN(Protokoll_3p!H205)-FIND(":",Protokoll_3p!H205))),0,1))</f>
        <v/>
      </c>
      <c r="L239" s="1" t="str">
        <f>IF(Protokoll_3p!I205="","",IF(VALUE(LEFT(Protokoll_3p!I205,FIND(":",Protokoll_3p!I205)-1))&gt;VALUE(RIGHT(Protokoll_3p!I205,LEN(Protokoll_3p!I205)-FIND(":",Protokoll_3p!I205))),0,1))</f>
        <v/>
      </c>
      <c r="M239" s="1" t="str">
        <f>IF(Protokoll_3p!J205="","",IF(VALUE(LEFT(Protokoll_3p!J205,FIND(":",Protokoll_3p!J205)-1))&gt;VALUE(RIGHT(Protokoll_3p!J205,LEN(Protokoll_3p!J205)-FIND(":",Protokoll_3p!J205))),0,1))</f>
        <v/>
      </c>
      <c r="N239" s="1" t="str">
        <f t="shared" si="7"/>
        <v/>
      </c>
    </row>
    <row r="240" spans="2:14">
      <c r="B240" s="1" t="str">
        <f>IF(Protokoll_3p!F206="","",IF(VALUE(LEFT(Protokoll_3p!F206,FIND(":",Protokoll_3p!F206)-1))&gt;VALUE(RIGHT(Protokoll_3p!F206,LEN(Protokoll_3p!F206)-FIND(":",Protokoll_3p!F206))),1,0))</f>
        <v/>
      </c>
      <c r="C240" s="1" t="str">
        <f>IF(Protokoll_3p!G206="","",IF(VALUE(LEFT(Protokoll_3p!G206,FIND(":",Protokoll_3p!G206)-1))&gt;VALUE(RIGHT(Protokoll_3p!G206,LEN(Protokoll_3p!G206)-FIND(":",Protokoll_3p!G206))),1,0))</f>
        <v/>
      </c>
      <c r="D240" s="1" t="str">
        <f>IF(Protokoll_3p!H206="","",IF(VALUE(LEFT(Protokoll_3p!H206,FIND(":",Protokoll_3p!H206)-1))&gt;VALUE(RIGHT(Protokoll_3p!H206,LEN(Protokoll_3p!H206)-FIND(":",Protokoll_3p!H206))),1,0))</f>
        <v/>
      </c>
      <c r="E240" s="1" t="str">
        <f>IF(Protokoll_3p!I206="","",IF(VALUE(LEFT(Protokoll_3p!I206,FIND(":",Protokoll_3p!I206)-1))&gt;VALUE(RIGHT(Protokoll_3p!I206,LEN(Protokoll_3p!I206)-FIND(":",Protokoll_3p!I206))),1,0))</f>
        <v/>
      </c>
      <c r="F240" s="1" t="str">
        <f>IF(Protokoll_3p!J206="","",IF(VALUE(LEFT(Protokoll_3p!J206,FIND(":",Protokoll_3p!J206)-1))&gt;VALUE(RIGHT(Protokoll_3p!J206,LEN(Protokoll_3p!J206)-FIND(":",Protokoll_3p!J206))),1,0))</f>
        <v/>
      </c>
      <c r="G240" s="1" t="str">
        <f t="shared" si="6"/>
        <v/>
      </c>
      <c r="I240" s="1" t="str">
        <f>IF(Protokoll_3p!F206="","",IF(VALUE(LEFT(Protokoll_3p!F206,FIND(":",Protokoll_3p!F206)-1))&gt;VALUE(RIGHT(Protokoll_3p!F206,LEN(Protokoll_3p!F206)-FIND(":",Protokoll_3p!F206))),0,1))</f>
        <v/>
      </c>
      <c r="J240" s="1" t="str">
        <f>IF(Protokoll_3p!G206="","",IF(VALUE(LEFT(Protokoll_3p!G206,FIND(":",Protokoll_3p!G206)-1))&gt;VALUE(RIGHT(Protokoll_3p!G206,LEN(Protokoll_3p!G206)-FIND(":",Protokoll_3p!G206))),0,1))</f>
        <v/>
      </c>
      <c r="K240" s="1" t="str">
        <f>IF(Protokoll_3p!H206="","",IF(VALUE(LEFT(Protokoll_3p!H206,FIND(":",Protokoll_3p!H206)-1))&gt;VALUE(RIGHT(Protokoll_3p!H206,LEN(Protokoll_3p!H206)-FIND(":",Protokoll_3p!H206))),0,1))</f>
        <v/>
      </c>
      <c r="L240" s="1" t="str">
        <f>IF(Protokoll_3p!I206="","",IF(VALUE(LEFT(Protokoll_3p!I206,FIND(":",Protokoll_3p!I206)-1))&gt;VALUE(RIGHT(Protokoll_3p!I206,LEN(Protokoll_3p!I206)-FIND(":",Protokoll_3p!I206))),0,1))</f>
        <v/>
      </c>
      <c r="M240" s="1" t="str">
        <f>IF(Protokoll_3p!J206="","",IF(VALUE(LEFT(Protokoll_3p!J206,FIND(":",Protokoll_3p!J206)-1))&gt;VALUE(RIGHT(Protokoll_3p!J206,LEN(Protokoll_3p!J206)-FIND(":",Protokoll_3p!J206))),0,1))</f>
        <v/>
      </c>
      <c r="N240" s="1" t="str">
        <f t="shared" si="7"/>
        <v/>
      </c>
    </row>
    <row r="241" spans="2:14">
      <c r="B241" s="1" t="str">
        <f>IF(Protokoll_3p!F207="","",IF(VALUE(LEFT(Protokoll_3p!F207,FIND(":",Protokoll_3p!F207)-1))&gt;VALUE(RIGHT(Protokoll_3p!F207,LEN(Protokoll_3p!F207)-FIND(":",Protokoll_3p!F207))),1,0))</f>
        <v/>
      </c>
      <c r="C241" s="1" t="str">
        <f>IF(Protokoll_3p!G207="","",IF(VALUE(LEFT(Protokoll_3p!G207,FIND(":",Protokoll_3p!G207)-1))&gt;VALUE(RIGHT(Protokoll_3p!G207,LEN(Protokoll_3p!G207)-FIND(":",Protokoll_3p!G207))),1,0))</f>
        <v/>
      </c>
      <c r="D241" s="1" t="str">
        <f>IF(Protokoll_3p!H207="","",IF(VALUE(LEFT(Protokoll_3p!H207,FIND(":",Protokoll_3p!H207)-1))&gt;VALUE(RIGHT(Protokoll_3p!H207,LEN(Protokoll_3p!H207)-FIND(":",Protokoll_3p!H207))),1,0))</f>
        <v/>
      </c>
      <c r="E241" s="1" t="str">
        <f>IF(Protokoll_3p!I207="","",IF(VALUE(LEFT(Protokoll_3p!I207,FIND(":",Protokoll_3p!I207)-1))&gt;VALUE(RIGHT(Protokoll_3p!I207,LEN(Protokoll_3p!I207)-FIND(":",Protokoll_3p!I207))),1,0))</f>
        <v/>
      </c>
      <c r="F241" s="1" t="str">
        <f>IF(Protokoll_3p!J207="","",IF(VALUE(LEFT(Protokoll_3p!J207,FIND(":",Protokoll_3p!J207)-1))&gt;VALUE(RIGHT(Protokoll_3p!J207,LEN(Protokoll_3p!J207)-FIND(":",Protokoll_3p!J207))),1,0))</f>
        <v/>
      </c>
      <c r="G241" s="1" t="str">
        <f t="shared" si="6"/>
        <v/>
      </c>
      <c r="I241" s="1" t="str">
        <f>IF(Protokoll_3p!F207="","",IF(VALUE(LEFT(Protokoll_3p!F207,FIND(":",Protokoll_3p!F207)-1))&gt;VALUE(RIGHT(Protokoll_3p!F207,LEN(Protokoll_3p!F207)-FIND(":",Protokoll_3p!F207))),0,1))</f>
        <v/>
      </c>
      <c r="J241" s="1" t="str">
        <f>IF(Protokoll_3p!G207="","",IF(VALUE(LEFT(Protokoll_3p!G207,FIND(":",Protokoll_3p!G207)-1))&gt;VALUE(RIGHT(Protokoll_3p!G207,LEN(Protokoll_3p!G207)-FIND(":",Protokoll_3p!G207))),0,1))</f>
        <v/>
      </c>
      <c r="K241" s="1" t="str">
        <f>IF(Protokoll_3p!H207="","",IF(VALUE(LEFT(Protokoll_3p!H207,FIND(":",Protokoll_3p!H207)-1))&gt;VALUE(RIGHT(Protokoll_3p!H207,LEN(Protokoll_3p!H207)-FIND(":",Protokoll_3p!H207))),0,1))</f>
        <v/>
      </c>
      <c r="L241" s="1" t="str">
        <f>IF(Protokoll_3p!I207="","",IF(VALUE(LEFT(Protokoll_3p!I207,FIND(":",Protokoll_3p!I207)-1))&gt;VALUE(RIGHT(Protokoll_3p!I207,LEN(Protokoll_3p!I207)-FIND(":",Protokoll_3p!I207))),0,1))</f>
        <v/>
      </c>
      <c r="M241" s="1" t="str">
        <f>IF(Protokoll_3p!J207="","",IF(VALUE(LEFT(Protokoll_3p!J207,FIND(":",Protokoll_3p!J207)-1))&gt;VALUE(RIGHT(Protokoll_3p!J207,LEN(Protokoll_3p!J207)-FIND(":",Protokoll_3p!J207))),0,1))</f>
        <v/>
      </c>
      <c r="N241" s="1" t="str">
        <f t="shared" si="7"/>
        <v/>
      </c>
    </row>
    <row r="242" spans="2:14">
      <c r="B242" s="1" t="str">
        <f>IF(Protokoll_3p!F208="","",IF(VALUE(LEFT(Protokoll_3p!F208,FIND(":",Protokoll_3p!F208)-1))&gt;VALUE(RIGHT(Protokoll_3p!F208,LEN(Protokoll_3p!F208)-FIND(":",Protokoll_3p!F208))),1,0))</f>
        <v/>
      </c>
      <c r="C242" s="1" t="str">
        <f>IF(Protokoll_3p!G208="","",IF(VALUE(LEFT(Protokoll_3p!G208,FIND(":",Protokoll_3p!G208)-1))&gt;VALUE(RIGHT(Protokoll_3p!G208,LEN(Protokoll_3p!G208)-FIND(":",Protokoll_3p!G208))),1,0))</f>
        <v/>
      </c>
      <c r="D242" s="1" t="str">
        <f>IF(Protokoll_3p!H208="","",IF(VALUE(LEFT(Protokoll_3p!H208,FIND(":",Protokoll_3p!H208)-1))&gt;VALUE(RIGHT(Protokoll_3p!H208,LEN(Protokoll_3p!H208)-FIND(":",Protokoll_3p!H208))),1,0))</f>
        <v/>
      </c>
      <c r="E242" s="1" t="str">
        <f>IF(Protokoll_3p!I208="","",IF(VALUE(LEFT(Protokoll_3p!I208,FIND(":",Protokoll_3p!I208)-1))&gt;VALUE(RIGHT(Protokoll_3p!I208,LEN(Protokoll_3p!I208)-FIND(":",Protokoll_3p!I208))),1,0))</f>
        <v/>
      </c>
      <c r="F242" s="1" t="str">
        <f>IF(Protokoll_3p!J208="","",IF(VALUE(LEFT(Protokoll_3p!J208,FIND(":",Protokoll_3p!J208)-1))&gt;VALUE(RIGHT(Protokoll_3p!J208,LEN(Protokoll_3p!J208)-FIND(":",Protokoll_3p!J208))),1,0))</f>
        <v/>
      </c>
      <c r="G242" s="1" t="str">
        <f t="shared" si="6"/>
        <v/>
      </c>
      <c r="I242" s="1" t="str">
        <f>IF(Protokoll_3p!F208="","",IF(VALUE(LEFT(Protokoll_3p!F208,FIND(":",Protokoll_3p!F208)-1))&gt;VALUE(RIGHT(Protokoll_3p!F208,LEN(Protokoll_3p!F208)-FIND(":",Protokoll_3p!F208))),0,1))</f>
        <v/>
      </c>
      <c r="J242" s="1" t="str">
        <f>IF(Protokoll_3p!G208="","",IF(VALUE(LEFT(Protokoll_3p!G208,FIND(":",Protokoll_3p!G208)-1))&gt;VALUE(RIGHT(Protokoll_3p!G208,LEN(Protokoll_3p!G208)-FIND(":",Protokoll_3p!G208))),0,1))</f>
        <v/>
      </c>
      <c r="K242" s="1" t="str">
        <f>IF(Protokoll_3p!H208="","",IF(VALUE(LEFT(Protokoll_3p!H208,FIND(":",Protokoll_3p!H208)-1))&gt;VALUE(RIGHT(Protokoll_3p!H208,LEN(Protokoll_3p!H208)-FIND(":",Protokoll_3p!H208))),0,1))</f>
        <v/>
      </c>
      <c r="L242" s="1" t="str">
        <f>IF(Protokoll_3p!I208="","",IF(VALUE(LEFT(Protokoll_3p!I208,FIND(":",Protokoll_3p!I208)-1))&gt;VALUE(RIGHT(Protokoll_3p!I208,LEN(Protokoll_3p!I208)-FIND(":",Protokoll_3p!I208))),0,1))</f>
        <v/>
      </c>
      <c r="M242" s="1" t="str">
        <f>IF(Protokoll_3p!J208="","",IF(VALUE(LEFT(Protokoll_3p!J208,FIND(":",Protokoll_3p!J208)-1))&gt;VALUE(RIGHT(Protokoll_3p!J208,LEN(Protokoll_3p!J208)-FIND(":",Protokoll_3p!J208))),0,1))</f>
        <v/>
      </c>
      <c r="N242" s="1" t="str">
        <f t="shared" si="7"/>
        <v/>
      </c>
    </row>
    <row r="243" spans="2:14">
      <c r="B243" s="1" t="str">
        <f>IF(Protokoll_3p!F209="","",IF(VALUE(LEFT(Protokoll_3p!F209,FIND(":",Protokoll_3p!F209)-1))&gt;VALUE(RIGHT(Protokoll_3p!F209,LEN(Protokoll_3p!F209)-FIND(":",Protokoll_3p!F209))),1,0))</f>
        <v/>
      </c>
      <c r="C243" s="1" t="str">
        <f>IF(Protokoll_3p!G209="","",IF(VALUE(LEFT(Protokoll_3p!G209,FIND(":",Protokoll_3p!G209)-1))&gt;VALUE(RIGHT(Protokoll_3p!G209,LEN(Protokoll_3p!G209)-FIND(":",Protokoll_3p!G209))),1,0))</f>
        <v/>
      </c>
      <c r="D243" s="1" t="str">
        <f>IF(Protokoll_3p!H209="","",IF(VALUE(LEFT(Protokoll_3p!H209,FIND(":",Protokoll_3p!H209)-1))&gt;VALUE(RIGHT(Protokoll_3p!H209,LEN(Protokoll_3p!H209)-FIND(":",Protokoll_3p!H209))),1,0))</f>
        <v/>
      </c>
      <c r="E243" s="1" t="str">
        <f>IF(Protokoll_3p!I209="","",IF(VALUE(LEFT(Protokoll_3p!I209,FIND(":",Protokoll_3p!I209)-1))&gt;VALUE(RIGHT(Protokoll_3p!I209,LEN(Protokoll_3p!I209)-FIND(":",Protokoll_3p!I209))),1,0))</f>
        <v/>
      </c>
      <c r="F243" s="1" t="str">
        <f>IF(Protokoll_3p!J209="","",IF(VALUE(LEFT(Protokoll_3p!J209,FIND(":",Protokoll_3p!J209)-1))&gt;VALUE(RIGHT(Protokoll_3p!J209,LEN(Protokoll_3p!J209)-FIND(":",Protokoll_3p!J209))),1,0))</f>
        <v/>
      </c>
      <c r="G243" s="1" t="str">
        <f t="shared" si="6"/>
        <v/>
      </c>
      <c r="I243" s="1" t="str">
        <f>IF(Protokoll_3p!F209="","",IF(VALUE(LEFT(Protokoll_3p!F209,FIND(":",Protokoll_3p!F209)-1))&gt;VALUE(RIGHT(Protokoll_3p!F209,LEN(Protokoll_3p!F209)-FIND(":",Protokoll_3p!F209))),0,1))</f>
        <v/>
      </c>
      <c r="J243" s="1" t="str">
        <f>IF(Protokoll_3p!G209="","",IF(VALUE(LEFT(Protokoll_3p!G209,FIND(":",Protokoll_3p!G209)-1))&gt;VALUE(RIGHT(Protokoll_3p!G209,LEN(Protokoll_3p!G209)-FIND(":",Protokoll_3p!G209))),0,1))</f>
        <v/>
      </c>
      <c r="K243" s="1" t="str">
        <f>IF(Protokoll_3p!H209="","",IF(VALUE(LEFT(Protokoll_3p!H209,FIND(":",Protokoll_3p!H209)-1))&gt;VALUE(RIGHT(Protokoll_3p!H209,LEN(Protokoll_3p!H209)-FIND(":",Protokoll_3p!H209))),0,1))</f>
        <v/>
      </c>
      <c r="L243" s="1" t="str">
        <f>IF(Protokoll_3p!I209="","",IF(VALUE(LEFT(Protokoll_3p!I209,FIND(":",Protokoll_3p!I209)-1))&gt;VALUE(RIGHT(Protokoll_3p!I209,LEN(Protokoll_3p!I209)-FIND(":",Protokoll_3p!I209))),0,1))</f>
        <v/>
      </c>
      <c r="M243" s="1" t="str">
        <f>IF(Protokoll_3p!J209="","",IF(VALUE(LEFT(Protokoll_3p!J209,FIND(":",Protokoll_3p!J209)-1))&gt;VALUE(RIGHT(Protokoll_3p!J209,LEN(Protokoll_3p!J209)-FIND(":",Protokoll_3p!J209))),0,1))</f>
        <v/>
      </c>
      <c r="N243" s="1" t="str">
        <f t="shared" si="7"/>
        <v/>
      </c>
    </row>
    <row r="244" spans="2:14">
      <c r="B244" s="1" t="str">
        <f>IF(Protokoll_3p!F210="","",IF(VALUE(LEFT(Protokoll_3p!F210,FIND(":",Protokoll_3p!F210)-1))&gt;VALUE(RIGHT(Protokoll_3p!F210,LEN(Protokoll_3p!F210)-FIND(":",Protokoll_3p!F210))),1,0))</f>
        <v/>
      </c>
      <c r="C244" s="1" t="str">
        <f>IF(Protokoll_3p!G210="","",IF(VALUE(LEFT(Protokoll_3p!G210,FIND(":",Protokoll_3p!G210)-1))&gt;VALUE(RIGHT(Protokoll_3p!G210,LEN(Protokoll_3p!G210)-FIND(":",Protokoll_3p!G210))),1,0))</f>
        <v/>
      </c>
      <c r="D244" s="1" t="str">
        <f>IF(Protokoll_3p!H210="","",IF(VALUE(LEFT(Protokoll_3p!H210,FIND(":",Protokoll_3p!H210)-1))&gt;VALUE(RIGHT(Protokoll_3p!H210,LEN(Protokoll_3p!H210)-FIND(":",Protokoll_3p!H210))),1,0))</f>
        <v/>
      </c>
      <c r="E244" s="1" t="str">
        <f>IF(Protokoll_3p!I210="","",IF(VALUE(LEFT(Protokoll_3p!I210,FIND(":",Protokoll_3p!I210)-1))&gt;VALUE(RIGHT(Protokoll_3p!I210,LEN(Protokoll_3p!I210)-FIND(":",Protokoll_3p!I210))),1,0))</f>
        <v/>
      </c>
      <c r="F244" s="1" t="str">
        <f>IF(Protokoll_3p!J210="","",IF(VALUE(LEFT(Protokoll_3p!J210,FIND(":",Protokoll_3p!J210)-1))&gt;VALUE(RIGHT(Protokoll_3p!J210,LEN(Protokoll_3p!J210)-FIND(":",Protokoll_3p!J210))),1,0))</f>
        <v/>
      </c>
      <c r="G244" s="1" t="str">
        <f t="shared" si="6"/>
        <v/>
      </c>
      <c r="I244" s="1" t="str">
        <f>IF(Protokoll_3p!F210="","",IF(VALUE(LEFT(Protokoll_3p!F210,FIND(":",Protokoll_3p!F210)-1))&gt;VALUE(RIGHT(Protokoll_3p!F210,LEN(Protokoll_3p!F210)-FIND(":",Protokoll_3p!F210))),0,1))</f>
        <v/>
      </c>
      <c r="J244" s="1" t="str">
        <f>IF(Protokoll_3p!G210="","",IF(VALUE(LEFT(Protokoll_3p!G210,FIND(":",Protokoll_3p!G210)-1))&gt;VALUE(RIGHT(Protokoll_3p!G210,LEN(Protokoll_3p!G210)-FIND(":",Protokoll_3p!G210))),0,1))</f>
        <v/>
      </c>
      <c r="K244" s="1" t="str">
        <f>IF(Protokoll_3p!H210="","",IF(VALUE(LEFT(Protokoll_3p!H210,FIND(":",Protokoll_3p!H210)-1))&gt;VALUE(RIGHT(Protokoll_3p!H210,LEN(Protokoll_3p!H210)-FIND(":",Protokoll_3p!H210))),0,1))</f>
        <v/>
      </c>
      <c r="L244" s="1" t="str">
        <f>IF(Protokoll_3p!I210="","",IF(VALUE(LEFT(Protokoll_3p!I210,FIND(":",Protokoll_3p!I210)-1))&gt;VALUE(RIGHT(Protokoll_3p!I210,LEN(Protokoll_3p!I210)-FIND(":",Protokoll_3p!I210))),0,1))</f>
        <v/>
      </c>
      <c r="M244" s="1" t="str">
        <f>IF(Protokoll_3p!J210="","",IF(VALUE(LEFT(Protokoll_3p!J210,FIND(":",Protokoll_3p!J210)-1))&gt;VALUE(RIGHT(Protokoll_3p!J210,LEN(Protokoll_3p!J210)-FIND(":",Protokoll_3p!J210))),0,1))</f>
        <v/>
      </c>
      <c r="N244" s="1" t="str">
        <f t="shared" si="7"/>
        <v/>
      </c>
    </row>
    <row r="245" spans="2:14">
      <c r="B245" s="1" t="str">
        <f>IF(Protokoll_3p!F211="","",IF(VALUE(LEFT(Protokoll_3p!F211,FIND(":",Protokoll_3p!F211)-1))&gt;VALUE(RIGHT(Protokoll_3p!F211,LEN(Protokoll_3p!F211)-FIND(":",Protokoll_3p!F211))),1,0))</f>
        <v/>
      </c>
      <c r="C245" s="1" t="str">
        <f>IF(Protokoll_3p!G211="","",IF(VALUE(LEFT(Protokoll_3p!G211,FIND(":",Protokoll_3p!G211)-1))&gt;VALUE(RIGHT(Protokoll_3p!G211,LEN(Protokoll_3p!G211)-FIND(":",Protokoll_3p!G211))),1,0))</f>
        <v/>
      </c>
      <c r="D245" s="1" t="str">
        <f>IF(Protokoll_3p!H211="","",IF(VALUE(LEFT(Protokoll_3p!H211,FIND(":",Protokoll_3p!H211)-1))&gt;VALUE(RIGHT(Protokoll_3p!H211,LEN(Protokoll_3p!H211)-FIND(":",Protokoll_3p!H211))),1,0))</f>
        <v/>
      </c>
      <c r="E245" s="1" t="str">
        <f>IF(Protokoll_3p!I211="","",IF(VALUE(LEFT(Protokoll_3p!I211,FIND(":",Protokoll_3p!I211)-1))&gt;VALUE(RIGHT(Protokoll_3p!I211,LEN(Protokoll_3p!I211)-FIND(":",Protokoll_3p!I211))),1,0))</f>
        <v/>
      </c>
      <c r="F245" s="1" t="str">
        <f>IF(Protokoll_3p!J211="","",IF(VALUE(LEFT(Protokoll_3p!J211,FIND(":",Protokoll_3p!J211)-1))&gt;VALUE(RIGHT(Protokoll_3p!J211,LEN(Protokoll_3p!J211)-FIND(":",Protokoll_3p!J211))),1,0))</f>
        <v/>
      </c>
      <c r="G245" s="1" t="str">
        <f t="shared" si="6"/>
        <v/>
      </c>
      <c r="I245" s="1" t="str">
        <f>IF(Protokoll_3p!F211="","",IF(VALUE(LEFT(Protokoll_3p!F211,FIND(":",Protokoll_3p!F211)-1))&gt;VALUE(RIGHT(Protokoll_3p!F211,LEN(Protokoll_3p!F211)-FIND(":",Protokoll_3p!F211))),0,1))</f>
        <v/>
      </c>
      <c r="J245" s="1" t="str">
        <f>IF(Protokoll_3p!G211="","",IF(VALUE(LEFT(Protokoll_3p!G211,FIND(":",Protokoll_3p!G211)-1))&gt;VALUE(RIGHT(Protokoll_3p!G211,LEN(Protokoll_3p!G211)-FIND(":",Protokoll_3p!G211))),0,1))</f>
        <v/>
      </c>
      <c r="K245" s="1" t="str">
        <f>IF(Protokoll_3p!H211="","",IF(VALUE(LEFT(Protokoll_3p!H211,FIND(":",Protokoll_3p!H211)-1))&gt;VALUE(RIGHT(Protokoll_3p!H211,LEN(Protokoll_3p!H211)-FIND(":",Protokoll_3p!H211))),0,1))</f>
        <v/>
      </c>
      <c r="L245" s="1" t="str">
        <f>IF(Protokoll_3p!I211="","",IF(VALUE(LEFT(Protokoll_3p!I211,FIND(":",Protokoll_3p!I211)-1))&gt;VALUE(RIGHT(Protokoll_3p!I211,LEN(Protokoll_3p!I211)-FIND(":",Protokoll_3p!I211))),0,1))</f>
        <v/>
      </c>
      <c r="M245" s="1" t="str">
        <f>IF(Protokoll_3p!J211="","",IF(VALUE(LEFT(Protokoll_3p!J211,FIND(":",Protokoll_3p!J211)-1))&gt;VALUE(RIGHT(Protokoll_3p!J211,LEN(Protokoll_3p!J211)-FIND(":",Protokoll_3p!J211))),0,1))</f>
        <v/>
      </c>
      <c r="N245" s="1" t="str">
        <f t="shared" si="7"/>
        <v/>
      </c>
    </row>
    <row r="246" spans="2:14">
      <c r="B246" s="1" t="str">
        <f>IF(Protokoll_3p!F212="","",IF(VALUE(LEFT(Protokoll_3p!F212,FIND(":",Protokoll_3p!F212)-1))&gt;VALUE(RIGHT(Protokoll_3p!F212,LEN(Protokoll_3p!F212)-FIND(":",Protokoll_3p!F212))),1,0))</f>
        <v/>
      </c>
      <c r="C246" s="1" t="str">
        <f>IF(Protokoll_3p!G212="","",IF(VALUE(LEFT(Protokoll_3p!G212,FIND(":",Protokoll_3p!G212)-1))&gt;VALUE(RIGHT(Protokoll_3p!G212,LEN(Protokoll_3p!G212)-FIND(":",Protokoll_3p!G212))),1,0))</f>
        <v/>
      </c>
      <c r="D246" s="1" t="str">
        <f>IF(Protokoll_3p!H212="","",IF(VALUE(LEFT(Protokoll_3p!H212,FIND(":",Protokoll_3p!H212)-1))&gt;VALUE(RIGHT(Protokoll_3p!H212,LEN(Protokoll_3p!H212)-FIND(":",Protokoll_3p!H212))),1,0))</f>
        <v/>
      </c>
      <c r="E246" s="1" t="str">
        <f>IF(Protokoll_3p!I212="","",IF(VALUE(LEFT(Protokoll_3p!I212,FIND(":",Protokoll_3p!I212)-1))&gt;VALUE(RIGHT(Protokoll_3p!I212,LEN(Protokoll_3p!I212)-FIND(":",Protokoll_3p!I212))),1,0))</f>
        <v/>
      </c>
      <c r="F246" s="1" t="str">
        <f>IF(Protokoll_3p!J212="","",IF(VALUE(LEFT(Protokoll_3p!J212,FIND(":",Protokoll_3p!J212)-1))&gt;VALUE(RIGHT(Protokoll_3p!J212,LEN(Protokoll_3p!J212)-FIND(":",Protokoll_3p!J212))),1,0))</f>
        <v/>
      </c>
      <c r="G246" s="1" t="str">
        <f t="shared" si="6"/>
        <v/>
      </c>
      <c r="I246" s="1" t="str">
        <f>IF(Protokoll_3p!F212="","",IF(VALUE(LEFT(Protokoll_3p!F212,FIND(":",Protokoll_3p!F212)-1))&gt;VALUE(RIGHT(Protokoll_3p!F212,LEN(Protokoll_3p!F212)-FIND(":",Protokoll_3p!F212))),0,1))</f>
        <v/>
      </c>
      <c r="J246" s="1" t="str">
        <f>IF(Protokoll_3p!G212="","",IF(VALUE(LEFT(Protokoll_3p!G212,FIND(":",Protokoll_3p!G212)-1))&gt;VALUE(RIGHT(Protokoll_3p!G212,LEN(Protokoll_3p!G212)-FIND(":",Protokoll_3p!G212))),0,1))</f>
        <v/>
      </c>
      <c r="K246" s="1" t="str">
        <f>IF(Protokoll_3p!H212="","",IF(VALUE(LEFT(Protokoll_3p!H212,FIND(":",Protokoll_3p!H212)-1))&gt;VALUE(RIGHT(Protokoll_3p!H212,LEN(Protokoll_3p!H212)-FIND(":",Protokoll_3p!H212))),0,1))</f>
        <v/>
      </c>
      <c r="L246" s="1" t="str">
        <f>IF(Protokoll_3p!I212="","",IF(VALUE(LEFT(Protokoll_3p!I212,FIND(":",Protokoll_3p!I212)-1))&gt;VALUE(RIGHT(Protokoll_3p!I212,LEN(Protokoll_3p!I212)-FIND(":",Protokoll_3p!I212))),0,1))</f>
        <v/>
      </c>
      <c r="M246" s="1" t="str">
        <f>IF(Protokoll_3p!J212="","",IF(VALUE(LEFT(Protokoll_3p!J212,FIND(":",Protokoll_3p!J212)-1))&gt;VALUE(RIGHT(Protokoll_3p!J212,LEN(Protokoll_3p!J212)-FIND(":",Protokoll_3p!J212))),0,1))</f>
        <v/>
      </c>
      <c r="N246" s="1" t="str">
        <f t="shared" si="7"/>
        <v/>
      </c>
    </row>
    <row r="247" spans="2:14">
      <c r="B247" s="1" t="str">
        <f>IF(Protokoll_3p!F213="","",IF(VALUE(LEFT(Protokoll_3p!F213,FIND(":",Protokoll_3p!F213)-1))&gt;VALUE(RIGHT(Protokoll_3p!F213,LEN(Protokoll_3p!F213)-FIND(":",Protokoll_3p!F213))),1,0))</f>
        <v/>
      </c>
      <c r="C247" s="1" t="str">
        <f>IF(Protokoll_3p!G213="","",IF(VALUE(LEFT(Protokoll_3p!G213,FIND(":",Protokoll_3p!G213)-1))&gt;VALUE(RIGHT(Protokoll_3p!G213,LEN(Protokoll_3p!G213)-FIND(":",Protokoll_3p!G213))),1,0))</f>
        <v/>
      </c>
      <c r="D247" s="1" t="str">
        <f>IF(Protokoll_3p!H213="","",IF(VALUE(LEFT(Protokoll_3p!H213,FIND(":",Protokoll_3p!H213)-1))&gt;VALUE(RIGHT(Protokoll_3p!H213,LEN(Protokoll_3p!H213)-FIND(":",Protokoll_3p!H213))),1,0))</f>
        <v/>
      </c>
      <c r="E247" s="1" t="str">
        <f>IF(Protokoll_3p!I213="","",IF(VALUE(LEFT(Protokoll_3p!I213,FIND(":",Protokoll_3p!I213)-1))&gt;VALUE(RIGHT(Protokoll_3p!I213,LEN(Protokoll_3p!I213)-FIND(":",Protokoll_3p!I213))),1,0))</f>
        <v/>
      </c>
      <c r="F247" s="1" t="str">
        <f>IF(Protokoll_3p!J213="","",IF(VALUE(LEFT(Protokoll_3p!J213,FIND(":",Protokoll_3p!J213)-1))&gt;VALUE(RIGHT(Protokoll_3p!J213,LEN(Protokoll_3p!J213)-FIND(":",Protokoll_3p!J213))),1,0))</f>
        <v/>
      </c>
      <c r="G247" s="1" t="str">
        <f t="shared" si="6"/>
        <v/>
      </c>
      <c r="I247" s="1" t="str">
        <f>IF(Protokoll_3p!F213="","",IF(VALUE(LEFT(Protokoll_3p!F213,FIND(":",Protokoll_3p!F213)-1))&gt;VALUE(RIGHT(Protokoll_3p!F213,LEN(Protokoll_3p!F213)-FIND(":",Protokoll_3p!F213))),0,1))</f>
        <v/>
      </c>
      <c r="J247" s="1" t="str">
        <f>IF(Protokoll_3p!G213="","",IF(VALUE(LEFT(Protokoll_3p!G213,FIND(":",Protokoll_3p!G213)-1))&gt;VALUE(RIGHT(Protokoll_3p!G213,LEN(Protokoll_3p!G213)-FIND(":",Protokoll_3p!G213))),0,1))</f>
        <v/>
      </c>
      <c r="K247" s="1" t="str">
        <f>IF(Protokoll_3p!H213="","",IF(VALUE(LEFT(Protokoll_3p!H213,FIND(":",Protokoll_3p!H213)-1))&gt;VALUE(RIGHT(Protokoll_3p!H213,LEN(Protokoll_3p!H213)-FIND(":",Protokoll_3p!H213))),0,1))</f>
        <v/>
      </c>
      <c r="L247" s="1" t="str">
        <f>IF(Protokoll_3p!I213="","",IF(VALUE(LEFT(Protokoll_3p!I213,FIND(":",Protokoll_3p!I213)-1))&gt;VALUE(RIGHT(Protokoll_3p!I213,LEN(Protokoll_3p!I213)-FIND(":",Protokoll_3p!I213))),0,1))</f>
        <v/>
      </c>
      <c r="M247" s="1" t="str">
        <f>IF(Protokoll_3p!J213="","",IF(VALUE(LEFT(Protokoll_3p!J213,FIND(":",Protokoll_3p!J213)-1))&gt;VALUE(RIGHT(Protokoll_3p!J213,LEN(Protokoll_3p!J213)-FIND(":",Protokoll_3p!J213))),0,1))</f>
        <v/>
      </c>
      <c r="N247" s="1" t="str">
        <f t="shared" si="7"/>
        <v/>
      </c>
    </row>
    <row r="248" spans="2:14">
      <c r="B248" s="1" t="str">
        <f>IF(Protokoll_3p!F214="","",IF(VALUE(LEFT(Protokoll_3p!F214,FIND(":",Protokoll_3p!F214)-1))&gt;VALUE(RIGHT(Protokoll_3p!F214,LEN(Protokoll_3p!F214)-FIND(":",Protokoll_3p!F214))),1,0))</f>
        <v/>
      </c>
      <c r="C248" s="1" t="str">
        <f>IF(Protokoll_3p!G214="","",IF(VALUE(LEFT(Protokoll_3p!G214,FIND(":",Protokoll_3p!G214)-1))&gt;VALUE(RIGHT(Protokoll_3p!G214,LEN(Protokoll_3p!G214)-FIND(":",Protokoll_3p!G214))),1,0))</f>
        <v/>
      </c>
      <c r="D248" s="1" t="str">
        <f>IF(Protokoll_3p!H214="","",IF(VALUE(LEFT(Protokoll_3p!H214,FIND(":",Protokoll_3p!H214)-1))&gt;VALUE(RIGHT(Protokoll_3p!H214,LEN(Protokoll_3p!H214)-FIND(":",Protokoll_3p!H214))),1,0))</f>
        <v/>
      </c>
      <c r="E248" s="1" t="str">
        <f>IF(Protokoll_3p!I214="","",IF(VALUE(LEFT(Protokoll_3p!I214,FIND(":",Protokoll_3p!I214)-1))&gt;VALUE(RIGHT(Protokoll_3p!I214,LEN(Protokoll_3p!I214)-FIND(":",Protokoll_3p!I214))),1,0))</f>
        <v/>
      </c>
      <c r="F248" s="1" t="str">
        <f>IF(Protokoll_3p!J214="","",IF(VALUE(LEFT(Protokoll_3p!J214,FIND(":",Protokoll_3p!J214)-1))&gt;VALUE(RIGHT(Protokoll_3p!J214,LEN(Protokoll_3p!J214)-FIND(":",Protokoll_3p!J214))),1,0))</f>
        <v/>
      </c>
      <c r="G248" s="1" t="str">
        <f t="shared" si="6"/>
        <v/>
      </c>
      <c r="I248" s="1" t="str">
        <f>IF(Protokoll_3p!F214="","",IF(VALUE(LEFT(Protokoll_3p!F214,FIND(":",Protokoll_3p!F214)-1))&gt;VALUE(RIGHT(Protokoll_3p!F214,LEN(Protokoll_3p!F214)-FIND(":",Protokoll_3p!F214))),0,1))</f>
        <v/>
      </c>
      <c r="J248" s="1" t="str">
        <f>IF(Protokoll_3p!G214="","",IF(VALUE(LEFT(Protokoll_3p!G214,FIND(":",Protokoll_3p!G214)-1))&gt;VALUE(RIGHT(Protokoll_3p!G214,LEN(Protokoll_3p!G214)-FIND(":",Protokoll_3p!G214))),0,1))</f>
        <v/>
      </c>
      <c r="K248" s="1" t="str">
        <f>IF(Protokoll_3p!H214="","",IF(VALUE(LEFT(Protokoll_3p!H214,FIND(":",Protokoll_3p!H214)-1))&gt;VALUE(RIGHT(Protokoll_3p!H214,LEN(Protokoll_3p!H214)-FIND(":",Protokoll_3p!H214))),0,1))</f>
        <v/>
      </c>
      <c r="L248" s="1" t="str">
        <f>IF(Protokoll_3p!I214="","",IF(VALUE(LEFT(Protokoll_3p!I214,FIND(":",Protokoll_3p!I214)-1))&gt;VALUE(RIGHT(Protokoll_3p!I214,LEN(Protokoll_3p!I214)-FIND(":",Protokoll_3p!I214))),0,1))</f>
        <v/>
      </c>
      <c r="M248" s="1" t="str">
        <f>IF(Protokoll_3p!J214="","",IF(VALUE(LEFT(Protokoll_3p!J214,FIND(":",Protokoll_3p!J214)-1))&gt;VALUE(RIGHT(Protokoll_3p!J214,LEN(Protokoll_3p!J214)-FIND(":",Protokoll_3p!J214))),0,1))</f>
        <v/>
      </c>
      <c r="N248" s="1" t="str">
        <f t="shared" si="7"/>
        <v/>
      </c>
    </row>
    <row r="249" spans="2:14">
      <c r="B249" s="1" t="str">
        <f>IF(Protokoll_3p!F215="","",IF(VALUE(LEFT(Protokoll_3p!F215,FIND(":",Protokoll_3p!F215)-1))&gt;VALUE(RIGHT(Protokoll_3p!F215,LEN(Protokoll_3p!F215)-FIND(":",Protokoll_3p!F215))),1,0))</f>
        <v/>
      </c>
      <c r="C249" s="1" t="str">
        <f>IF(Protokoll_3p!G215="","",IF(VALUE(LEFT(Protokoll_3p!G215,FIND(":",Protokoll_3p!G215)-1))&gt;VALUE(RIGHT(Protokoll_3p!G215,LEN(Protokoll_3p!G215)-FIND(":",Protokoll_3p!G215))),1,0))</f>
        <v/>
      </c>
      <c r="D249" s="1" t="str">
        <f>IF(Protokoll_3p!H215="","",IF(VALUE(LEFT(Protokoll_3p!H215,FIND(":",Protokoll_3p!H215)-1))&gt;VALUE(RIGHT(Protokoll_3p!H215,LEN(Protokoll_3p!H215)-FIND(":",Protokoll_3p!H215))),1,0))</f>
        <v/>
      </c>
      <c r="E249" s="1" t="str">
        <f>IF(Protokoll_3p!I215="","",IF(VALUE(LEFT(Protokoll_3p!I215,FIND(":",Protokoll_3p!I215)-1))&gt;VALUE(RIGHT(Protokoll_3p!I215,LEN(Protokoll_3p!I215)-FIND(":",Protokoll_3p!I215))),1,0))</f>
        <v/>
      </c>
      <c r="F249" s="1" t="str">
        <f>IF(Protokoll_3p!J215="","",IF(VALUE(LEFT(Protokoll_3p!J215,FIND(":",Protokoll_3p!J215)-1))&gt;VALUE(RIGHT(Protokoll_3p!J215,LEN(Protokoll_3p!J215)-FIND(":",Protokoll_3p!J215))),1,0))</f>
        <v/>
      </c>
      <c r="G249" s="1" t="str">
        <f t="shared" si="6"/>
        <v/>
      </c>
      <c r="I249" s="1" t="str">
        <f>IF(Protokoll_3p!F215="","",IF(VALUE(LEFT(Protokoll_3p!F215,FIND(":",Protokoll_3p!F215)-1))&gt;VALUE(RIGHT(Protokoll_3p!F215,LEN(Protokoll_3p!F215)-FIND(":",Protokoll_3p!F215))),0,1))</f>
        <v/>
      </c>
      <c r="J249" s="1" t="str">
        <f>IF(Protokoll_3p!G215="","",IF(VALUE(LEFT(Protokoll_3p!G215,FIND(":",Protokoll_3p!G215)-1))&gt;VALUE(RIGHT(Protokoll_3p!G215,LEN(Protokoll_3p!G215)-FIND(":",Protokoll_3p!G215))),0,1))</f>
        <v/>
      </c>
      <c r="K249" s="1" t="str">
        <f>IF(Protokoll_3p!H215="","",IF(VALUE(LEFT(Protokoll_3p!H215,FIND(":",Protokoll_3p!H215)-1))&gt;VALUE(RIGHT(Protokoll_3p!H215,LEN(Protokoll_3p!H215)-FIND(":",Protokoll_3p!H215))),0,1))</f>
        <v/>
      </c>
      <c r="L249" s="1" t="str">
        <f>IF(Protokoll_3p!I215="","",IF(VALUE(LEFT(Protokoll_3p!I215,FIND(":",Protokoll_3p!I215)-1))&gt;VALUE(RIGHT(Protokoll_3p!I215,LEN(Protokoll_3p!I215)-FIND(":",Protokoll_3p!I215))),0,1))</f>
        <v/>
      </c>
      <c r="M249" s="1" t="str">
        <f>IF(Protokoll_3p!J215="","",IF(VALUE(LEFT(Protokoll_3p!J215,FIND(":",Protokoll_3p!J215)-1))&gt;VALUE(RIGHT(Protokoll_3p!J215,LEN(Protokoll_3p!J215)-FIND(":",Protokoll_3p!J215))),0,1))</f>
        <v/>
      </c>
      <c r="N249" s="1" t="str">
        <f t="shared" si="7"/>
        <v/>
      </c>
    </row>
    <row r="250" spans="2:14">
      <c r="B250" s="1" t="str">
        <f>IF(Protokoll_3p!F216="","",IF(VALUE(LEFT(Protokoll_3p!F216,FIND(":",Protokoll_3p!F216)-1))&gt;VALUE(RIGHT(Protokoll_3p!F216,LEN(Protokoll_3p!F216)-FIND(":",Protokoll_3p!F216))),1,0))</f>
        <v/>
      </c>
      <c r="C250" s="1" t="str">
        <f>IF(Protokoll_3p!G216="","",IF(VALUE(LEFT(Protokoll_3p!G216,FIND(":",Protokoll_3p!G216)-1))&gt;VALUE(RIGHT(Protokoll_3p!G216,LEN(Protokoll_3p!G216)-FIND(":",Protokoll_3p!G216))),1,0))</f>
        <v/>
      </c>
      <c r="D250" s="1" t="str">
        <f>IF(Protokoll_3p!H216="","",IF(VALUE(LEFT(Protokoll_3p!H216,FIND(":",Protokoll_3p!H216)-1))&gt;VALUE(RIGHT(Protokoll_3p!H216,LEN(Protokoll_3p!H216)-FIND(":",Protokoll_3p!H216))),1,0))</f>
        <v/>
      </c>
      <c r="E250" s="1" t="str">
        <f>IF(Protokoll_3p!I216="","",IF(VALUE(LEFT(Protokoll_3p!I216,FIND(":",Protokoll_3p!I216)-1))&gt;VALUE(RIGHT(Protokoll_3p!I216,LEN(Protokoll_3p!I216)-FIND(":",Protokoll_3p!I216))),1,0))</f>
        <v/>
      </c>
      <c r="F250" s="1" t="str">
        <f>IF(Protokoll_3p!J216="","",IF(VALUE(LEFT(Protokoll_3p!J216,FIND(":",Protokoll_3p!J216)-1))&gt;VALUE(RIGHT(Protokoll_3p!J216,LEN(Protokoll_3p!J216)-FIND(":",Protokoll_3p!J216))),1,0))</f>
        <v/>
      </c>
      <c r="G250" s="1" t="str">
        <f t="shared" si="6"/>
        <v/>
      </c>
      <c r="I250" s="1" t="str">
        <f>IF(Protokoll_3p!F216="","",IF(VALUE(LEFT(Protokoll_3p!F216,FIND(":",Protokoll_3p!F216)-1))&gt;VALUE(RIGHT(Protokoll_3p!F216,LEN(Protokoll_3p!F216)-FIND(":",Protokoll_3p!F216))),0,1))</f>
        <v/>
      </c>
      <c r="J250" s="1" t="str">
        <f>IF(Protokoll_3p!G216="","",IF(VALUE(LEFT(Protokoll_3p!G216,FIND(":",Protokoll_3p!G216)-1))&gt;VALUE(RIGHT(Protokoll_3p!G216,LEN(Protokoll_3p!G216)-FIND(":",Protokoll_3p!G216))),0,1))</f>
        <v/>
      </c>
      <c r="K250" s="1" t="str">
        <f>IF(Protokoll_3p!H216="","",IF(VALUE(LEFT(Protokoll_3p!H216,FIND(":",Protokoll_3p!H216)-1))&gt;VALUE(RIGHT(Protokoll_3p!H216,LEN(Protokoll_3p!H216)-FIND(":",Protokoll_3p!H216))),0,1))</f>
        <v/>
      </c>
      <c r="L250" s="1" t="str">
        <f>IF(Protokoll_3p!I216="","",IF(VALUE(LEFT(Protokoll_3p!I216,FIND(":",Protokoll_3p!I216)-1))&gt;VALUE(RIGHT(Protokoll_3p!I216,LEN(Protokoll_3p!I216)-FIND(":",Protokoll_3p!I216))),0,1))</f>
        <v/>
      </c>
      <c r="M250" s="1" t="str">
        <f>IF(Protokoll_3p!J216="","",IF(VALUE(LEFT(Protokoll_3p!J216,FIND(":",Protokoll_3p!J216)-1))&gt;VALUE(RIGHT(Protokoll_3p!J216,LEN(Protokoll_3p!J216)-FIND(":",Protokoll_3p!J216))),0,1))</f>
        <v/>
      </c>
      <c r="N250" s="1" t="str">
        <f t="shared" si="7"/>
        <v/>
      </c>
    </row>
    <row r="251" spans="2:14">
      <c r="B251" s="1" t="str">
        <f>IF(Protokoll_3p!F217="","",IF(VALUE(LEFT(Protokoll_3p!F217,FIND(":",Protokoll_3p!F217)-1))&gt;VALUE(RIGHT(Protokoll_3p!F217,LEN(Protokoll_3p!F217)-FIND(":",Protokoll_3p!F217))),1,0))</f>
        <v/>
      </c>
      <c r="C251" s="1" t="str">
        <f>IF(Protokoll_3p!G217="","",IF(VALUE(LEFT(Protokoll_3p!G217,FIND(":",Protokoll_3p!G217)-1))&gt;VALUE(RIGHT(Protokoll_3p!G217,LEN(Protokoll_3p!G217)-FIND(":",Protokoll_3p!G217))),1,0))</f>
        <v/>
      </c>
      <c r="D251" s="1" t="str">
        <f>IF(Protokoll_3p!H217="","",IF(VALUE(LEFT(Protokoll_3p!H217,FIND(":",Protokoll_3p!H217)-1))&gt;VALUE(RIGHT(Protokoll_3p!H217,LEN(Protokoll_3p!H217)-FIND(":",Protokoll_3p!H217))),1,0))</f>
        <v/>
      </c>
      <c r="E251" s="1" t="str">
        <f>IF(Protokoll_3p!I217="","",IF(VALUE(LEFT(Protokoll_3p!I217,FIND(":",Protokoll_3p!I217)-1))&gt;VALUE(RIGHT(Protokoll_3p!I217,LEN(Protokoll_3p!I217)-FIND(":",Protokoll_3p!I217))),1,0))</f>
        <v/>
      </c>
      <c r="F251" s="1" t="str">
        <f>IF(Protokoll_3p!J217="","",IF(VALUE(LEFT(Protokoll_3p!J217,FIND(":",Protokoll_3p!J217)-1))&gt;VALUE(RIGHT(Protokoll_3p!J217,LEN(Protokoll_3p!J217)-FIND(":",Protokoll_3p!J217))),1,0))</f>
        <v/>
      </c>
      <c r="G251" s="1" t="str">
        <f t="shared" si="6"/>
        <v/>
      </c>
      <c r="I251" s="1" t="str">
        <f>IF(Protokoll_3p!F217="","",IF(VALUE(LEFT(Protokoll_3p!F217,FIND(":",Protokoll_3p!F217)-1))&gt;VALUE(RIGHT(Protokoll_3p!F217,LEN(Protokoll_3p!F217)-FIND(":",Protokoll_3p!F217))),0,1))</f>
        <v/>
      </c>
      <c r="J251" s="1" t="str">
        <f>IF(Protokoll_3p!G217="","",IF(VALUE(LEFT(Protokoll_3p!G217,FIND(":",Protokoll_3p!G217)-1))&gt;VALUE(RIGHT(Protokoll_3p!G217,LEN(Protokoll_3p!G217)-FIND(":",Protokoll_3p!G217))),0,1))</f>
        <v/>
      </c>
      <c r="K251" s="1" t="str">
        <f>IF(Protokoll_3p!H217="","",IF(VALUE(LEFT(Protokoll_3p!H217,FIND(":",Protokoll_3p!H217)-1))&gt;VALUE(RIGHT(Protokoll_3p!H217,LEN(Protokoll_3p!H217)-FIND(":",Protokoll_3p!H217))),0,1))</f>
        <v/>
      </c>
      <c r="L251" s="1" t="str">
        <f>IF(Protokoll_3p!I217="","",IF(VALUE(LEFT(Protokoll_3p!I217,FIND(":",Protokoll_3p!I217)-1))&gt;VALUE(RIGHT(Protokoll_3p!I217,LEN(Protokoll_3p!I217)-FIND(":",Protokoll_3p!I217))),0,1))</f>
        <v/>
      </c>
      <c r="M251" s="1" t="str">
        <f>IF(Protokoll_3p!J217="","",IF(VALUE(LEFT(Protokoll_3p!J217,FIND(":",Protokoll_3p!J217)-1))&gt;VALUE(RIGHT(Protokoll_3p!J217,LEN(Protokoll_3p!J217)-FIND(":",Protokoll_3p!J217))),0,1))</f>
        <v/>
      </c>
      <c r="N251" s="1" t="str">
        <f t="shared" si="7"/>
        <v/>
      </c>
    </row>
    <row r="252" spans="2:14">
      <c r="B252" s="1" t="str">
        <f>IF(Protokoll_3p!F218="","",IF(VALUE(LEFT(Protokoll_3p!F218,FIND(":",Protokoll_3p!F218)-1))&gt;VALUE(RIGHT(Protokoll_3p!F218,LEN(Protokoll_3p!F218)-FIND(":",Protokoll_3p!F218))),1,0))</f>
        <v/>
      </c>
      <c r="C252" s="1" t="str">
        <f>IF(Protokoll_3p!G218="","",IF(VALUE(LEFT(Protokoll_3p!G218,FIND(":",Protokoll_3p!G218)-1))&gt;VALUE(RIGHT(Protokoll_3p!G218,LEN(Protokoll_3p!G218)-FIND(":",Protokoll_3p!G218))),1,0))</f>
        <v/>
      </c>
      <c r="D252" s="1" t="str">
        <f>IF(Protokoll_3p!H218="","",IF(VALUE(LEFT(Protokoll_3p!H218,FIND(":",Protokoll_3p!H218)-1))&gt;VALUE(RIGHT(Protokoll_3p!H218,LEN(Protokoll_3p!H218)-FIND(":",Protokoll_3p!H218))),1,0))</f>
        <v/>
      </c>
      <c r="E252" s="1" t="str">
        <f>IF(Protokoll_3p!I218="","",IF(VALUE(LEFT(Protokoll_3p!I218,FIND(":",Protokoll_3p!I218)-1))&gt;VALUE(RIGHT(Protokoll_3p!I218,LEN(Protokoll_3p!I218)-FIND(":",Protokoll_3p!I218))),1,0))</f>
        <v/>
      </c>
      <c r="F252" s="1" t="str">
        <f>IF(Protokoll_3p!J218="","",IF(VALUE(LEFT(Protokoll_3p!J218,FIND(":",Protokoll_3p!J218)-1))&gt;VALUE(RIGHT(Protokoll_3p!J218,LEN(Protokoll_3p!J218)-FIND(":",Protokoll_3p!J218))),1,0))</f>
        <v/>
      </c>
      <c r="G252" s="1" t="str">
        <f t="shared" si="6"/>
        <v/>
      </c>
      <c r="I252" s="1" t="str">
        <f>IF(Protokoll_3p!F218="","",IF(VALUE(LEFT(Protokoll_3p!F218,FIND(":",Protokoll_3p!F218)-1))&gt;VALUE(RIGHT(Protokoll_3p!F218,LEN(Protokoll_3p!F218)-FIND(":",Protokoll_3p!F218))),0,1))</f>
        <v/>
      </c>
      <c r="J252" s="1" t="str">
        <f>IF(Protokoll_3p!G218="","",IF(VALUE(LEFT(Protokoll_3p!G218,FIND(":",Protokoll_3p!G218)-1))&gt;VALUE(RIGHT(Protokoll_3p!G218,LEN(Protokoll_3p!G218)-FIND(":",Protokoll_3p!G218))),0,1))</f>
        <v/>
      </c>
      <c r="K252" s="1" t="str">
        <f>IF(Protokoll_3p!H218="","",IF(VALUE(LEFT(Protokoll_3p!H218,FIND(":",Protokoll_3p!H218)-1))&gt;VALUE(RIGHT(Protokoll_3p!H218,LEN(Protokoll_3p!H218)-FIND(":",Protokoll_3p!H218))),0,1))</f>
        <v/>
      </c>
      <c r="L252" s="1" t="str">
        <f>IF(Protokoll_3p!I218="","",IF(VALUE(LEFT(Protokoll_3p!I218,FIND(":",Protokoll_3p!I218)-1))&gt;VALUE(RIGHT(Protokoll_3p!I218,LEN(Protokoll_3p!I218)-FIND(":",Protokoll_3p!I218))),0,1))</f>
        <v/>
      </c>
      <c r="M252" s="1" t="str">
        <f>IF(Protokoll_3p!J218="","",IF(VALUE(LEFT(Protokoll_3p!J218,FIND(":",Protokoll_3p!J218)-1))&gt;VALUE(RIGHT(Protokoll_3p!J218,LEN(Protokoll_3p!J218)-FIND(":",Protokoll_3p!J218))),0,1))</f>
        <v/>
      </c>
      <c r="N252" s="1" t="str">
        <f t="shared" si="7"/>
        <v/>
      </c>
    </row>
    <row r="253" spans="2:14">
      <c r="B253" s="1" t="str">
        <f>IF(Protokoll_3p!F219="","",IF(VALUE(LEFT(Protokoll_3p!F219,FIND(":",Protokoll_3p!F219)-1))&gt;VALUE(RIGHT(Protokoll_3p!F219,LEN(Protokoll_3p!F219)-FIND(":",Protokoll_3p!F219))),1,0))</f>
        <v/>
      </c>
      <c r="C253" s="1" t="str">
        <f>IF(Protokoll_3p!G219="","",IF(VALUE(LEFT(Protokoll_3p!G219,FIND(":",Protokoll_3p!G219)-1))&gt;VALUE(RIGHT(Protokoll_3p!G219,LEN(Protokoll_3p!G219)-FIND(":",Protokoll_3p!G219))),1,0))</f>
        <v/>
      </c>
      <c r="D253" s="1" t="str">
        <f>IF(Protokoll_3p!H219="","",IF(VALUE(LEFT(Protokoll_3p!H219,FIND(":",Protokoll_3p!H219)-1))&gt;VALUE(RIGHT(Protokoll_3p!H219,LEN(Protokoll_3p!H219)-FIND(":",Protokoll_3p!H219))),1,0))</f>
        <v/>
      </c>
      <c r="E253" s="1" t="str">
        <f>IF(Protokoll_3p!I219="","",IF(VALUE(LEFT(Protokoll_3p!I219,FIND(":",Protokoll_3p!I219)-1))&gt;VALUE(RIGHT(Protokoll_3p!I219,LEN(Protokoll_3p!I219)-FIND(":",Protokoll_3p!I219))),1,0))</f>
        <v/>
      </c>
      <c r="F253" s="1" t="str">
        <f>IF(Protokoll_3p!J219="","",IF(VALUE(LEFT(Protokoll_3p!J219,FIND(":",Protokoll_3p!J219)-1))&gt;VALUE(RIGHT(Protokoll_3p!J219,LEN(Protokoll_3p!J219)-FIND(":",Protokoll_3p!J219))),1,0))</f>
        <v/>
      </c>
      <c r="G253" s="1" t="str">
        <f t="shared" si="6"/>
        <v/>
      </c>
      <c r="I253" s="1" t="str">
        <f>IF(Protokoll_3p!F219="","",IF(VALUE(LEFT(Protokoll_3p!F219,FIND(":",Protokoll_3p!F219)-1))&gt;VALUE(RIGHT(Protokoll_3p!F219,LEN(Protokoll_3p!F219)-FIND(":",Protokoll_3p!F219))),0,1))</f>
        <v/>
      </c>
      <c r="J253" s="1" t="str">
        <f>IF(Protokoll_3p!G219="","",IF(VALUE(LEFT(Protokoll_3p!G219,FIND(":",Protokoll_3p!G219)-1))&gt;VALUE(RIGHT(Protokoll_3p!G219,LEN(Protokoll_3p!G219)-FIND(":",Protokoll_3p!G219))),0,1))</f>
        <v/>
      </c>
      <c r="K253" s="1" t="str">
        <f>IF(Protokoll_3p!H219="","",IF(VALUE(LEFT(Protokoll_3p!H219,FIND(":",Protokoll_3p!H219)-1))&gt;VALUE(RIGHT(Protokoll_3p!H219,LEN(Protokoll_3p!H219)-FIND(":",Protokoll_3p!H219))),0,1))</f>
        <v/>
      </c>
      <c r="L253" s="1" t="str">
        <f>IF(Protokoll_3p!I219="","",IF(VALUE(LEFT(Protokoll_3p!I219,FIND(":",Protokoll_3p!I219)-1))&gt;VALUE(RIGHT(Protokoll_3p!I219,LEN(Protokoll_3p!I219)-FIND(":",Protokoll_3p!I219))),0,1))</f>
        <v/>
      </c>
      <c r="M253" s="1" t="str">
        <f>IF(Protokoll_3p!J219="","",IF(VALUE(LEFT(Protokoll_3p!J219,FIND(":",Protokoll_3p!J219)-1))&gt;VALUE(RIGHT(Protokoll_3p!J219,LEN(Protokoll_3p!J219)-FIND(":",Protokoll_3p!J219))),0,1))</f>
        <v/>
      </c>
      <c r="N253" s="1" t="str">
        <f t="shared" si="7"/>
        <v/>
      </c>
    </row>
    <row r="254" spans="2:14">
      <c r="B254" s="1" t="str">
        <f>IF(Protokoll_3p!F220="","",IF(VALUE(LEFT(Protokoll_3p!F220,FIND(":",Protokoll_3p!F220)-1))&gt;VALUE(RIGHT(Protokoll_3p!F220,LEN(Protokoll_3p!F220)-FIND(":",Protokoll_3p!F220))),1,0))</f>
        <v/>
      </c>
      <c r="C254" s="1" t="str">
        <f>IF(Protokoll_3p!G220="","",IF(VALUE(LEFT(Protokoll_3p!G220,FIND(":",Protokoll_3p!G220)-1))&gt;VALUE(RIGHT(Protokoll_3p!G220,LEN(Protokoll_3p!G220)-FIND(":",Protokoll_3p!G220))),1,0))</f>
        <v/>
      </c>
      <c r="D254" s="1" t="str">
        <f>IF(Protokoll_3p!H220="","",IF(VALUE(LEFT(Protokoll_3p!H220,FIND(":",Protokoll_3p!H220)-1))&gt;VALUE(RIGHT(Protokoll_3p!H220,LEN(Protokoll_3p!H220)-FIND(":",Protokoll_3p!H220))),1,0))</f>
        <v/>
      </c>
      <c r="E254" s="1" t="str">
        <f>IF(Protokoll_3p!I220="","",IF(VALUE(LEFT(Protokoll_3p!I220,FIND(":",Protokoll_3p!I220)-1))&gt;VALUE(RIGHT(Protokoll_3p!I220,LEN(Protokoll_3p!I220)-FIND(":",Protokoll_3p!I220))),1,0))</f>
        <v/>
      </c>
      <c r="F254" s="1" t="str">
        <f>IF(Protokoll_3p!J220="","",IF(VALUE(LEFT(Protokoll_3p!J220,FIND(":",Protokoll_3p!J220)-1))&gt;VALUE(RIGHT(Protokoll_3p!J220,LEN(Protokoll_3p!J220)-FIND(":",Protokoll_3p!J220))),1,0))</f>
        <v/>
      </c>
      <c r="G254" s="1" t="str">
        <f t="shared" si="6"/>
        <v/>
      </c>
      <c r="I254" s="1" t="str">
        <f>IF(Protokoll_3p!F220="","",IF(VALUE(LEFT(Protokoll_3p!F220,FIND(":",Protokoll_3p!F220)-1))&gt;VALUE(RIGHT(Protokoll_3p!F220,LEN(Protokoll_3p!F220)-FIND(":",Protokoll_3p!F220))),0,1))</f>
        <v/>
      </c>
      <c r="J254" s="1" t="str">
        <f>IF(Protokoll_3p!G220="","",IF(VALUE(LEFT(Protokoll_3p!G220,FIND(":",Protokoll_3p!G220)-1))&gt;VALUE(RIGHT(Protokoll_3p!G220,LEN(Protokoll_3p!G220)-FIND(":",Protokoll_3p!G220))),0,1))</f>
        <v/>
      </c>
      <c r="K254" s="1" t="str">
        <f>IF(Protokoll_3p!H220="","",IF(VALUE(LEFT(Protokoll_3p!H220,FIND(":",Protokoll_3p!H220)-1))&gt;VALUE(RIGHT(Protokoll_3p!H220,LEN(Protokoll_3p!H220)-FIND(":",Protokoll_3p!H220))),0,1))</f>
        <v/>
      </c>
      <c r="L254" s="1" t="str">
        <f>IF(Protokoll_3p!I220="","",IF(VALUE(LEFT(Protokoll_3p!I220,FIND(":",Protokoll_3p!I220)-1))&gt;VALUE(RIGHT(Protokoll_3p!I220,LEN(Protokoll_3p!I220)-FIND(":",Protokoll_3p!I220))),0,1))</f>
        <v/>
      </c>
      <c r="M254" s="1" t="str">
        <f>IF(Protokoll_3p!J220="","",IF(VALUE(LEFT(Protokoll_3p!J220,FIND(":",Protokoll_3p!J220)-1))&gt;VALUE(RIGHT(Protokoll_3p!J220,LEN(Protokoll_3p!J220)-FIND(":",Protokoll_3p!J220))),0,1))</f>
        <v/>
      </c>
      <c r="N254" s="1" t="str">
        <f t="shared" si="7"/>
        <v/>
      </c>
    </row>
    <row r="255" spans="2:14">
      <c r="B255" s="1" t="str">
        <f>IF(Protokoll_3p!F221="","",IF(VALUE(LEFT(Protokoll_3p!F221,FIND(":",Protokoll_3p!F221)-1))&gt;VALUE(RIGHT(Protokoll_3p!F221,LEN(Protokoll_3p!F221)-FIND(":",Protokoll_3p!F221))),1,0))</f>
        <v/>
      </c>
      <c r="C255" s="1" t="str">
        <f>IF(Protokoll_3p!G221="","",IF(VALUE(LEFT(Protokoll_3p!G221,FIND(":",Protokoll_3p!G221)-1))&gt;VALUE(RIGHT(Protokoll_3p!G221,LEN(Protokoll_3p!G221)-FIND(":",Protokoll_3p!G221))),1,0))</f>
        <v/>
      </c>
      <c r="D255" s="1" t="str">
        <f>IF(Protokoll_3p!H221="","",IF(VALUE(LEFT(Protokoll_3p!H221,FIND(":",Protokoll_3p!H221)-1))&gt;VALUE(RIGHT(Protokoll_3p!H221,LEN(Protokoll_3p!H221)-FIND(":",Protokoll_3p!H221))),1,0))</f>
        <v/>
      </c>
      <c r="E255" s="1" t="str">
        <f>IF(Protokoll_3p!I221="","",IF(VALUE(LEFT(Protokoll_3p!I221,FIND(":",Protokoll_3p!I221)-1))&gt;VALUE(RIGHT(Protokoll_3p!I221,LEN(Protokoll_3p!I221)-FIND(":",Protokoll_3p!I221))),1,0))</f>
        <v/>
      </c>
      <c r="F255" s="1" t="str">
        <f>IF(Protokoll_3p!J221="","",IF(VALUE(LEFT(Protokoll_3p!J221,FIND(":",Protokoll_3p!J221)-1))&gt;VALUE(RIGHT(Protokoll_3p!J221,LEN(Protokoll_3p!J221)-FIND(":",Protokoll_3p!J221))),1,0))</f>
        <v/>
      </c>
      <c r="G255" s="1" t="str">
        <f t="shared" si="6"/>
        <v/>
      </c>
      <c r="I255" s="1" t="str">
        <f>IF(Protokoll_3p!F221="","",IF(VALUE(LEFT(Protokoll_3p!F221,FIND(":",Protokoll_3p!F221)-1))&gt;VALUE(RIGHT(Protokoll_3p!F221,LEN(Protokoll_3p!F221)-FIND(":",Protokoll_3p!F221))),0,1))</f>
        <v/>
      </c>
      <c r="J255" s="1" t="str">
        <f>IF(Protokoll_3p!G221="","",IF(VALUE(LEFT(Protokoll_3p!G221,FIND(":",Protokoll_3p!G221)-1))&gt;VALUE(RIGHT(Protokoll_3p!G221,LEN(Protokoll_3p!G221)-FIND(":",Protokoll_3p!G221))),0,1))</f>
        <v/>
      </c>
      <c r="K255" s="1" t="str">
        <f>IF(Protokoll_3p!H221="","",IF(VALUE(LEFT(Protokoll_3p!H221,FIND(":",Protokoll_3p!H221)-1))&gt;VALUE(RIGHT(Protokoll_3p!H221,LEN(Protokoll_3p!H221)-FIND(":",Protokoll_3p!H221))),0,1))</f>
        <v/>
      </c>
      <c r="L255" s="1" t="str">
        <f>IF(Protokoll_3p!I221="","",IF(VALUE(LEFT(Protokoll_3p!I221,FIND(":",Protokoll_3p!I221)-1))&gt;VALUE(RIGHT(Protokoll_3p!I221,LEN(Protokoll_3p!I221)-FIND(":",Protokoll_3p!I221))),0,1))</f>
        <v/>
      </c>
      <c r="M255" s="1" t="str">
        <f>IF(Protokoll_3p!J221="","",IF(VALUE(LEFT(Protokoll_3p!J221,FIND(":",Protokoll_3p!J221)-1))&gt;VALUE(RIGHT(Protokoll_3p!J221,LEN(Protokoll_3p!J221)-FIND(":",Protokoll_3p!J221))),0,1))</f>
        <v/>
      </c>
      <c r="N255" s="1" t="str">
        <f t="shared" si="7"/>
        <v/>
      </c>
    </row>
    <row r="256" spans="2:14">
      <c r="B256" s="1" t="str">
        <f>IF(Protokoll_3p!F222="","",IF(VALUE(LEFT(Protokoll_3p!F222,FIND(":",Protokoll_3p!F222)-1))&gt;VALUE(RIGHT(Protokoll_3p!F222,LEN(Protokoll_3p!F222)-FIND(":",Protokoll_3p!F222))),1,0))</f>
        <v/>
      </c>
      <c r="C256" s="1" t="str">
        <f>IF(Protokoll_3p!G222="","",IF(VALUE(LEFT(Protokoll_3p!G222,FIND(":",Protokoll_3p!G222)-1))&gt;VALUE(RIGHT(Protokoll_3p!G222,LEN(Protokoll_3p!G222)-FIND(":",Protokoll_3p!G222))),1,0))</f>
        <v/>
      </c>
      <c r="D256" s="1" t="str">
        <f>IF(Protokoll_3p!H222="","",IF(VALUE(LEFT(Protokoll_3p!H222,FIND(":",Protokoll_3p!H222)-1))&gt;VALUE(RIGHT(Protokoll_3p!H222,LEN(Protokoll_3p!H222)-FIND(":",Protokoll_3p!H222))),1,0))</f>
        <v/>
      </c>
      <c r="E256" s="1" t="str">
        <f>IF(Protokoll_3p!I222="","",IF(VALUE(LEFT(Protokoll_3p!I222,FIND(":",Protokoll_3p!I222)-1))&gt;VALUE(RIGHT(Protokoll_3p!I222,LEN(Protokoll_3p!I222)-FIND(":",Protokoll_3p!I222))),1,0))</f>
        <v/>
      </c>
      <c r="F256" s="1" t="str">
        <f>IF(Protokoll_3p!J222="","",IF(VALUE(LEFT(Protokoll_3p!J222,FIND(":",Protokoll_3p!J222)-1))&gt;VALUE(RIGHT(Protokoll_3p!J222,LEN(Protokoll_3p!J222)-FIND(":",Protokoll_3p!J222))),1,0))</f>
        <v/>
      </c>
      <c r="G256" s="1" t="str">
        <f t="shared" si="6"/>
        <v/>
      </c>
      <c r="I256" s="1" t="str">
        <f>IF(Protokoll_3p!F222="","",IF(VALUE(LEFT(Protokoll_3p!F222,FIND(":",Protokoll_3p!F222)-1))&gt;VALUE(RIGHT(Protokoll_3p!F222,LEN(Protokoll_3p!F222)-FIND(":",Protokoll_3p!F222))),0,1))</f>
        <v/>
      </c>
      <c r="J256" s="1" t="str">
        <f>IF(Protokoll_3p!G222="","",IF(VALUE(LEFT(Protokoll_3p!G222,FIND(":",Protokoll_3p!G222)-1))&gt;VALUE(RIGHT(Protokoll_3p!G222,LEN(Protokoll_3p!G222)-FIND(":",Protokoll_3p!G222))),0,1))</f>
        <v/>
      </c>
      <c r="K256" s="1" t="str">
        <f>IF(Protokoll_3p!H222="","",IF(VALUE(LEFT(Protokoll_3p!H222,FIND(":",Protokoll_3p!H222)-1))&gt;VALUE(RIGHT(Protokoll_3p!H222,LEN(Protokoll_3p!H222)-FIND(":",Protokoll_3p!H222))),0,1))</f>
        <v/>
      </c>
      <c r="L256" s="1" t="str">
        <f>IF(Protokoll_3p!I222="","",IF(VALUE(LEFT(Protokoll_3p!I222,FIND(":",Protokoll_3p!I222)-1))&gt;VALUE(RIGHT(Protokoll_3p!I222,LEN(Protokoll_3p!I222)-FIND(":",Protokoll_3p!I222))),0,1))</f>
        <v/>
      </c>
      <c r="M256" s="1" t="str">
        <f>IF(Protokoll_3p!J222="","",IF(VALUE(LEFT(Protokoll_3p!J222,FIND(":",Protokoll_3p!J222)-1))&gt;VALUE(RIGHT(Protokoll_3p!J222,LEN(Protokoll_3p!J222)-FIND(":",Protokoll_3p!J222))),0,1))</f>
        <v/>
      </c>
      <c r="N256" s="1" t="str">
        <f t="shared" si="7"/>
        <v/>
      </c>
    </row>
    <row r="257" spans="2:14">
      <c r="B257" s="1" t="str">
        <f>IF(Protokoll_3p!F223="","",IF(VALUE(LEFT(Protokoll_3p!F223,FIND(":",Protokoll_3p!F223)-1))&gt;VALUE(RIGHT(Protokoll_3p!F223,LEN(Protokoll_3p!F223)-FIND(":",Protokoll_3p!F223))),1,0))</f>
        <v/>
      </c>
      <c r="C257" s="1" t="str">
        <f>IF(Protokoll_3p!G223="","",IF(VALUE(LEFT(Protokoll_3p!G223,FIND(":",Protokoll_3p!G223)-1))&gt;VALUE(RIGHT(Protokoll_3p!G223,LEN(Protokoll_3p!G223)-FIND(":",Protokoll_3p!G223))),1,0))</f>
        <v/>
      </c>
      <c r="D257" s="1" t="str">
        <f>IF(Protokoll_3p!H223="","",IF(VALUE(LEFT(Protokoll_3p!H223,FIND(":",Protokoll_3p!H223)-1))&gt;VALUE(RIGHT(Protokoll_3p!H223,LEN(Protokoll_3p!H223)-FIND(":",Protokoll_3p!H223))),1,0))</f>
        <v/>
      </c>
      <c r="E257" s="1" t="str">
        <f>IF(Protokoll_3p!I223="","",IF(VALUE(LEFT(Protokoll_3p!I223,FIND(":",Protokoll_3p!I223)-1))&gt;VALUE(RIGHT(Protokoll_3p!I223,LEN(Protokoll_3p!I223)-FIND(":",Protokoll_3p!I223))),1,0))</f>
        <v/>
      </c>
      <c r="F257" s="1" t="str">
        <f>IF(Protokoll_3p!J223="","",IF(VALUE(LEFT(Protokoll_3p!J223,FIND(":",Protokoll_3p!J223)-1))&gt;VALUE(RIGHT(Protokoll_3p!J223,LEN(Protokoll_3p!J223)-FIND(":",Protokoll_3p!J223))),1,0))</f>
        <v/>
      </c>
      <c r="G257" s="1" t="str">
        <f t="shared" si="6"/>
        <v/>
      </c>
      <c r="I257" s="1" t="str">
        <f>IF(Protokoll_3p!F223="","",IF(VALUE(LEFT(Protokoll_3p!F223,FIND(":",Protokoll_3p!F223)-1))&gt;VALUE(RIGHT(Protokoll_3p!F223,LEN(Protokoll_3p!F223)-FIND(":",Protokoll_3p!F223))),0,1))</f>
        <v/>
      </c>
      <c r="J257" s="1" t="str">
        <f>IF(Protokoll_3p!G223="","",IF(VALUE(LEFT(Protokoll_3p!G223,FIND(":",Protokoll_3p!G223)-1))&gt;VALUE(RIGHT(Protokoll_3p!G223,LEN(Protokoll_3p!G223)-FIND(":",Protokoll_3p!G223))),0,1))</f>
        <v/>
      </c>
      <c r="K257" s="1" t="str">
        <f>IF(Protokoll_3p!H223="","",IF(VALUE(LEFT(Protokoll_3p!H223,FIND(":",Protokoll_3p!H223)-1))&gt;VALUE(RIGHT(Protokoll_3p!H223,LEN(Protokoll_3p!H223)-FIND(":",Protokoll_3p!H223))),0,1))</f>
        <v/>
      </c>
      <c r="L257" s="1" t="str">
        <f>IF(Protokoll_3p!I223="","",IF(VALUE(LEFT(Protokoll_3p!I223,FIND(":",Protokoll_3p!I223)-1))&gt;VALUE(RIGHT(Protokoll_3p!I223,LEN(Protokoll_3p!I223)-FIND(":",Protokoll_3p!I223))),0,1))</f>
        <v/>
      </c>
      <c r="M257" s="1" t="str">
        <f>IF(Protokoll_3p!J223="","",IF(VALUE(LEFT(Protokoll_3p!J223,FIND(":",Protokoll_3p!J223)-1))&gt;VALUE(RIGHT(Protokoll_3p!J223,LEN(Protokoll_3p!J223)-FIND(":",Protokoll_3p!J223))),0,1))</f>
        <v/>
      </c>
      <c r="N257" s="1" t="str">
        <f t="shared" si="7"/>
        <v/>
      </c>
    </row>
    <row r="258" spans="2:14">
      <c r="B258" s="1" t="str">
        <f>IF(Protokoll_3p!F224="","",IF(VALUE(LEFT(Protokoll_3p!F224,FIND(":",Protokoll_3p!F224)-1))&gt;VALUE(RIGHT(Protokoll_3p!F224,LEN(Protokoll_3p!F224)-FIND(":",Protokoll_3p!F224))),1,0))</f>
        <v/>
      </c>
      <c r="C258" s="1" t="str">
        <f>IF(Protokoll_3p!G224="","",IF(VALUE(LEFT(Protokoll_3p!G224,FIND(":",Protokoll_3p!G224)-1))&gt;VALUE(RIGHT(Protokoll_3p!G224,LEN(Protokoll_3p!G224)-FIND(":",Protokoll_3p!G224))),1,0))</f>
        <v/>
      </c>
      <c r="D258" s="1" t="str">
        <f>IF(Protokoll_3p!H224="","",IF(VALUE(LEFT(Protokoll_3p!H224,FIND(":",Protokoll_3p!H224)-1))&gt;VALUE(RIGHT(Protokoll_3p!H224,LEN(Protokoll_3p!H224)-FIND(":",Protokoll_3p!H224))),1,0))</f>
        <v/>
      </c>
      <c r="E258" s="1" t="str">
        <f>IF(Protokoll_3p!I224="","",IF(VALUE(LEFT(Protokoll_3p!I224,FIND(":",Protokoll_3p!I224)-1))&gt;VALUE(RIGHT(Protokoll_3p!I224,LEN(Protokoll_3p!I224)-FIND(":",Protokoll_3p!I224))),1,0))</f>
        <v/>
      </c>
      <c r="F258" s="1" t="str">
        <f>IF(Protokoll_3p!J224="","",IF(VALUE(LEFT(Protokoll_3p!J224,FIND(":",Protokoll_3p!J224)-1))&gt;VALUE(RIGHT(Protokoll_3p!J224,LEN(Protokoll_3p!J224)-FIND(":",Protokoll_3p!J224))),1,0))</f>
        <v/>
      </c>
      <c r="G258" s="1" t="str">
        <f t="shared" si="6"/>
        <v/>
      </c>
      <c r="I258" s="1" t="str">
        <f>IF(Protokoll_3p!F224="","",IF(VALUE(LEFT(Protokoll_3p!F224,FIND(":",Protokoll_3p!F224)-1))&gt;VALUE(RIGHT(Protokoll_3p!F224,LEN(Protokoll_3p!F224)-FIND(":",Protokoll_3p!F224))),0,1))</f>
        <v/>
      </c>
      <c r="J258" s="1" t="str">
        <f>IF(Protokoll_3p!G224="","",IF(VALUE(LEFT(Protokoll_3p!G224,FIND(":",Protokoll_3p!G224)-1))&gt;VALUE(RIGHT(Protokoll_3p!G224,LEN(Protokoll_3p!G224)-FIND(":",Protokoll_3p!G224))),0,1))</f>
        <v/>
      </c>
      <c r="K258" s="1" t="str">
        <f>IF(Protokoll_3p!H224="","",IF(VALUE(LEFT(Protokoll_3p!H224,FIND(":",Protokoll_3p!H224)-1))&gt;VALUE(RIGHT(Protokoll_3p!H224,LEN(Protokoll_3p!H224)-FIND(":",Protokoll_3p!H224))),0,1))</f>
        <v/>
      </c>
      <c r="L258" s="1" t="str">
        <f>IF(Protokoll_3p!I224="","",IF(VALUE(LEFT(Protokoll_3p!I224,FIND(":",Protokoll_3p!I224)-1))&gt;VALUE(RIGHT(Protokoll_3p!I224,LEN(Protokoll_3p!I224)-FIND(":",Protokoll_3p!I224))),0,1))</f>
        <v/>
      </c>
      <c r="M258" s="1" t="str">
        <f>IF(Protokoll_3p!J224="","",IF(VALUE(LEFT(Protokoll_3p!J224,FIND(":",Protokoll_3p!J224)-1))&gt;VALUE(RIGHT(Protokoll_3p!J224,LEN(Protokoll_3p!J224)-FIND(":",Protokoll_3p!J224))),0,1))</f>
        <v/>
      </c>
      <c r="N258" s="1" t="str">
        <f t="shared" si="7"/>
        <v/>
      </c>
    </row>
    <row r="259" spans="2:14">
      <c r="B259" s="1" t="str">
        <f>IF(Protokoll_3p!F225="","",IF(VALUE(LEFT(Protokoll_3p!F225,FIND(":",Protokoll_3p!F225)-1))&gt;VALUE(RIGHT(Protokoll_3p!F225,LEN(Protokoll_3p!F225)-FIND(":",Protokoll_3p!F225))),1,0))</f>
        <v/>
      </c>
      <c r="C259" s="1" t="str">
        <f>IF(Protokoll_3p!G225="","",IF(VALUE(LEFT(Protokoll_3p!G225,FIND(":",Protokoll_3p!G225)-1))&gt;VALUE(RIGHT(Protokoll_3p!G225,LEN(Protokoll_3p!G225)-FIND(":",Protokoll_3p!G225))),1,0))</f>
        <v/>
      </c>
      <c r="D259" s="1" t="str">
        <f>IF(Protokoll_3p!H225="","",IF(VALUE(LEFT(Protokoll_3p!H225,FIND(":",Protokoll_3p!H225)-1))&gt;VALUE(RIGHT(Protokoll_3p!H225,LEN(Protokoll_3p!H225)-FIND(":",Protokoll_3p!H225))),1,0))</f>
        <v/>
      </c>
      <c r="E259" s="1" t="str">
        <f>IF(Protokoll_3p!I225="","",IF(VALUE(LEFT(Protokoll_3p!I225,FIND(":",Protokoll_3p!I225)-1))&gt;VALUE(RIGHT(Protokoll_3p!I225,LEN(Protokoll_3p!I225)-FIND(":",Protokoll_3p!I225))),1,0))</f>
        <v/>
      </c>
      <c r="F259" s="1" t="str">
        <f>IF(Protokoll_3p!J225="","",IF(VALUE(LEFT(Protokoll_3p!J225,FIND(":",Protokoll_3p!J225)-1))&gt;VALUE(RIGHT(Protokoll_3p!J225,LEN(Protokoll_3p!J225)-FIND(":",Protokoll_3p!J225))),1,0))</f>
        <v/>
      </c>
      <c r="G259" s="1" t="str">
        <f t="shared" ref="G259:G286" si="8">IF(B259="","",SUM(B259:F259))</f>
        <v/>
      </c>
      <c r="I259" s="1" t="str">
        <f>IF(Protokoll_3p!F225="","",IF(VALUE(LEFT(Protokoll_3p!F225,FIND(":",Protokoll_3p!F225)-1))&gt;VALUE(RIGHT(Protokoll_3p!F225,LEN(Protokoll_3p!F225)-FIND(":",Protokoll_3p!F225))),0,1))</f>
        <v/>
      </c>
      <c r="J259" s="1" t="str">
        <f>IF(Protokoll_3p!G225="","",IF(VALUE(LEFT(Protokoll_3p!G225,FIND(":",Protokoll_3p!G225)-1))&gt;VALUE(RIGHT(Protokoll_3p!G225,LEN(Protokoll_3p!G225)-FIND(":",Protokoll_3p!G225))),0,1))</f>
        <v/>
      </c>
      <c r="K259" s="1" t="str">
        <f>IF(Protokoll_3p!H225="","",IF(VALUE(LEFT(Protokoll_3p!H225,FIND(":",Protokoll_3p!H225)-1))&gt;VALUE(RIGHT(Protokoll_3p!H225,LEN(Protokoll_3p!H225)-FIND(":",Protokoll_3p!H225))),0,1))</f>
        <v/>
      </c>
      <c r="L259" s="1" t="str">
        <f>IF(Protokoll_3p!I225="","",IF(VALUE(LEFT(Protokoll_3p!I225,FIND(":",Protokoll_3p!I225)-1))&gt;VALUE(RIGHT(Protokoll_3p!I225,LEN(Protokoll_3p!I225)-FIND(":",Protokoll_3p!I225))),0,1))</f>
        <v/>
      </c>
      <c r="M259" s="1" t="str">
        <f>IF(Protokoll_3p!J225="","",IF(VALUE(LEFT(Protokoll_3p!J225,FIND(":",Protokoll_3p!J225)-1))&gt;VALUE(RIGHT(Protokoll_3p!J225,LEN(Protokoll_3p!J225)-FIND(":",Protokoll_3p!J225))),0,1))</f>
        <v/>
      </c>
      <c r="N259" s="1" t="str">
        <f t="shared" ref="N259:N286" si="9">IF(I259="","",SUM(I259:M259))</f>
        <v/>
      </c>
    </row>
    <row r="260" spans="2:14">
      <c r="B260" s="1" t="str">
        <f>IF(Protokoll_3p!F226="","",IF(VALUE(LEFT(Protokoll_3p!F226,FIND(":",Protokoll_3p!F226)-1))&gt;VALUE(RIGHT(Protokoll_3p!F226,LEN(Protokoll_3p!F226)-FIND(":",Protokoll_3p!F226))),1,0))</f>
        <v/>
      </c>
      <c r="C260" s="1" t="str">
        <f>IF(Protokoll_3p!G226="","",IF(VALUE(LEFT(Protokoll_3p!G226,FIND(":",Protokoll_3p!G226)-1))&gt;VALUE(RIGHT(Protokoll_3p!G226,LEN(Protokoll_3p!G226)-FIND(":",Protokoll_3p!G226))),1,0))</f>
        <v/>
      </c>
      <c r="D260" s="1" t="str">
        <f>IF(Protokoll_3p!H226="","",IF(VALUE(LEFT(Protokoll_3p!H226,FIND(":",Protokoll_3p!H226)-1))&gt;VALUE(RIGHT(Protokoll_3p!H226,LEN(Protokoll_3p!H226)-FIND(":",Protokoll_3p!H226))),1,0))</f>
        <v/>
      </c>
      <c r="E260" s="1" t="str">
        <f>IF(Protokoll_3p!I226="","",IF(VALUE(LEFT(Protokoll_3p!I226,FIND(":",Protokoll_3p!I226)-1))&gt;VALUE(RIGHT(Protokoll_3p!I226,LEN(Protokoll_3p!I226)-FIND(":",Protokoll_3p!I226))),1,0))</f>
        <v/>
      </c>
      <c r="F260" s="1" t="str">
        <f>IF(Protokoll_3p!J226="","",IF(VALUE(LEFT(Protokoll_3p!J226,FIND(":",Protokoll_3p!J226)-1))&gt;VALUE(RIGHT(Protokoll_3p!J226,LEN(Protokoll_3p!J226)-FIND(":",Protokoll_3p!J226))),1,0))</f>
        <v/>
      </c>
      <c r="G260" s="1" t="str">
        <f t="shared" si="8"/>
        <v/>
      </c>
      <c r="I260" s="1" t="str">
        <f>IF(Protokoll_3p!F226="","",IF(VALUE(LEFT(Protokoll_3p!F226,FIND(":",Protokoll_3p!F226)-1))&gt;VALUE(RIGHT(Protokoll_3p!F226,LEN(Protokoll_3p!F226)-FIND(":",Protokoll_3p!F226))),0,1))</f>
        <v/>
      </c>
      <c r="J260" s="1" t="str">
        <f>IF(Protokoll_3p!G226="","",IF(VALUE(LEFT(Protokoll_3p!G226,FIND(":",Protokoll_3p!G226)-1))&gt;VALUE(RIGHT(Protokoll_3p!G226,LEN(Protokoll_3p!G226)-FIND(":",Protokoll_3p!G226))),0,1))</f>
        <v/>
      </c>
      <c r="K260" s="1" t="str">
        <f>IF(Protokoll_3p!H226="","",IF(VALUE(LEFT(Protokoll_3p!H226,FIND(":",Protokoll_3p!H226)-1))&gt;VALUE(RIGHT(Protokoll_3p!H226,LEN(Protokoll_3p!H226)-FIND(":",Protokoll_3p!H226))),0,1))</f>
        <v/>
      </c>
      <c r="L260" s="1" t="str">
        <f>IF(Protokoll_3p!I226="","",IF(VALUE(LEFT(Protokoll_3p!I226,FIND(":",Protokoll_3p!I226)-1))&gt;VALUE(RIGHT(Protokoll_3p!I226,LEN(Protokoll_3p!I226)-FIND(":",Protokoll_3p!I226))),0,1))</f>
        <v/>
      </c>
      <c r="M260" s="1" t="str">
        <f>IF(Protokoll_3p!J226="","",IF(VALUE(LEFT(Protokoll_3p!J226,FIND(":",Protokoll_3p!J226)-1))&gt;VALUE(RIGHT(Protokoll_3p!J226,LEN(Protokoll_3p!J226)-FIND(":",Protokoll_3p!J226))),0,1))</f>
        <v/>
      </c>
      <c r="N260" s="1" t="str">
        <f t="shared" si="9"/>
        <v/>
      </c>
    </row>
    <row r="261" spans="2:14">
      <c r="B261" s="1" t="str">
        <f>IF(Protokoll_3p!F227="","",IF(VALUE(LEFT(Protokoll_3p!F227,FIND(":",Protokoll_3p!F227)-1))&gt;VALUE(RIGHT(Protokoll_3p!F227,LEN(Protokoll_3p!F227)-FIND(":",Protokoll_3p!F227))),1,0))</f>
        <v/>
      </c>
      <c r="C261" s="1" t="str">
        <f>IF(Protokoll_3p!G227="","",IF(VALUE(LEFT(Protokoll_3p!G227,FIND(":",Protokoll_3p!G227)-1))&gt;VALUE(RIGHT(Protokoll_3p!G227,LEN(Protokoll_3p!G227)-FIND(":",Protokoll_3p!G227))),1,0))</f>
        <v/>
      </c>
      <c r="D261" s="1" t="str">
        <f>IF(Protokoll_3p!H227="","",IF(VALUE(LEFT(Protokoll_3p!H227,FIND(":",Protokoll_3p!H227)-1))&gt;VALUE(RIGHT(Protokoll_3p!H227,LEN(Protokoll_3p!H227)-FIND(":",Protokoll_3p!H227))),1,0))</f>
        <v/>
      </c>
      <c r="E261" s="1" t="str">
        <f>IF(Protokoll_3p!I227="","",IF(VALUE(LEFT(Protokoll_3p!I227,FIND(":",Protokoll_3p!I227)-1))&gt;VALUE(RIGHT(Protokoll_3p!I227,LEN(Protokoll_3p!I227)-FIND(":",Protokoll_3p!I227))),1,0))</f>
        <v/>
      </c>
      <c r="F261" s="1" t="str">
        <f>IF(Protokoll_3p!J227="","",IF(VALUE(LEFT(Protokoll_3p!J227,FIND(":",Protokoll_3p!J227)-1))&gt;VALUE(RIGHT(Protokoll_3p!J227,LEN(Protokoll_3p!J227)-FIND(":",Protokoll_3p!J227))),1,0))</f>
        <v/>
      </c>
      <c r="G261" s="1" t="str">
        <f t="shared" si="8"/>
        <v/>
      </c>
      <c r="I261" s="1" t="str">
        <f>IF(Protokoll_3p!F227="","",IF(VALUE(LEFT(Protokoll_3p!F227,FIND(":",Protokoll_3p!F227)-1))&gt;VALUE(RIGHT(Protokoll_3p!F227,LEN(Protokoll_3p!F227)-FIND(":",Protokoll_3p!F227))),0,1))</f>
        <v/>
      </c>
      <c r="J261" s="1" t="str">
        <f>IF(Protokoll_3p!G227="","",IF(VALUE(LEFT(Protokoll_3p!G227,FIND(":",Protokoll_3p!G227)-1))&gt;VALUE(RIGHT(Protokoll_3p!G227,LEN(Protokoll_3p!G227)-FIND(":",Protokoll_3p!G227))),0,1))</f>
        <v/>
      </c>
      <c r="K261" s="1" t="str">
        <f>IF(Protokoll_3p!H227="","",IF(VALUE(LEFT(Protokoll_3p!H227,FIND(":",Protokoll_3p!H227)-1))&gt;VALUE(RIGHT(Protokoll_3p!H227,LEN(Protokoll_3p!H227)-FIND(":",Protokoll_3p!H227))),0,1))</f>
        <v/>
      </c>
      <c r="L261" s="1" t="str">
        <f>IF(Protokoll_3p!I227="","",IF(VALUE(LEFT(Protokoll_3p!I227,FIND(":",Protokoll_3p!I227)-1))&gt;VALUE(RIGHT(Protokoll_3p!I227,LEN(Protokoll_3p!I227)-FIND(":",Protokoll_3p!I227))),0,1))</f>
        <v/>
      </c>
      <c r="M261" s="1" t="str">
        <f>IF(Protokoll_3p!J227="","",IF(VALUE(LEFT(Protokoll_3p!J227,FIND(":",Protokoll_3p!J227)-1))&gt;VALUE(RIGHT(Protokoll_3p!J227,LEN(Protokoll_3p!J227)-FIND(":",Protokoll_3p!J227))),0,1))</f>
        <v/>
      </c>
      <c r="N261" s="1" t="str">
        <f t="shared" si="9"/>
        <v/>
      </c>
    </row>
    <row r="262" spans="2:14">
      <c r="B262" s="1" t="str">
        <f>IF(Protokoll_3p!F228="","",IF(VALUE(LEFT(Protokoll_3p!F228,FIND(":",Protokoll_3p!F228)-1))&gt;VALUE(RIGHT(Protokoll_3p!F228,LEN(Protokoll_3p!F228)-FIND(":",Protokoll_3p!F228))),1,0))</f>
        <v/>
      </c>
      <c r="C262" s="1" t="str">
        <f>IF(Protokoll_3p!G228="","",IF(VALUE(LEFT(Protokoll_3p!G228,FIND(":",Protokoll_3p!G228)-1))&gt;VALUE(RIGHT(Protokoll_3p!G228,LEN(Protokoll_3p!G228)-FIND(":",Protokoll_3p!G228))),1,0))</f>
        <v/>
      </c>
      <c r="D262" s="1" t="str">
        <f>IF(Protokoll_3p!H228="","",IF(VALUE(LEFT(Protokoll_3p!H228,FIND(":",Protokoll_3p!H228)-1))&gt;VALUE(RIGHT(Protokoll_3p!H228,LEN(Protokoll_3p!H228)-FIND(":",Protokoll_3p!H228))),1,0))</f>
        <v/>
      </c>
      <c r="E262" s="1" t="str">
        <f>IF(Protokoll_3p!I228="","",IF(VALUE(LEFT(Protokoll_3p!I228,FIND(":",Protokoll_3p!I228)-1))&gt;VALUE(RIGHT(Protokoll_3p!I228,LEN(Protokoll_3p!I228)-FIND(":",Protokoll_3p!I228))),1,0))</f>
        <v/>
      </c>
      <c r="F262" s="1" t="str">
        <f>IF(Protokoll_3p!J228="","",IF(VALUE(LEFT(Protokoll_3p!J228,FIND(":",Protokoll_3p!J228)-1))&gt;VALUE(RIGHT(Protokoll_3p!J228,LEN(Protokoll_3p!J228)-FIND(":",Protokoll_3p!J228))),1,0))</f>
        <v/>
      </c>
      <c r="G262" s="1" t="str">
        <f t="shared" si="8"/>
        <v/>
      </c>
      <c r="I262" s="1" t="str">
        <f>IF(Protokoll_3p!F228="","",IF(VALUE(LEFT(Protokoll_3p!F228,FIND(":",Protokoll_3p!F228)-1))&gt;VALUE(RIGHT(Protokoll_3p!F228,LEN(Protokoll_3p!F228)-FIND(":",Protokoll_3p!F228))),0,1))</f>
        <v/>
      </c>
      <c r="J262" s="1" t="str">
        <f>IF(Protokoll_3p!G228="","",IF(VALUE(LEFT(Protokoll_3p!G228,FIND(":",Protokoll_3p!G228)-1))&gt;VALUE(RIGHT(Protokoll_3p!G228,LEN(Protokoll_3p!G228)-FIND(":",Protokoll_3p!G228))),0,1))</f>
        <v/>
      </c>
      <c r="K262" s="1" t="str">
        <f>IF(Protokoll_3p!H228="","",IF(VALUE(LEFT(Protokoll_3p!H228,FIND(":",Protokoll_3p!H228)-1))&gt;VALUE(RIGHT(Protokoll_3p!H228,LEN(Protokoll_3p!H228)-FIND(":",Protokoll_3p!H228))),0,1))</f>
        <v/>
      </c>
      <c r="L262" s="1" t="str">
        <f>IF(Protokoll_3p!I228="","",IF(VALUE(LEFT(Protokoll_3p!I228,FIND(":",Protokoll_3p!I228)-1))&gt;VALUE(RIGHT(Protokoll_3p!I228,LEN(Protokoll_3p!I228)-FIND(":",Protokoll_3p!I228))),0,1))</f>
        <v/>
      </c>
      <c r="M262" s="1" t="str">
        <f>IF(Protokoll_3p!J228="","",IF(VALUE(LEFT(Protokoll_3p!J228,FIND(":",Protokoll_3p!J228)-1))&gt;VALUE(RIGHT(Protokoll_3p!J228,LEN(Protokoll_3p!J228)-FIND(":",Protokoll_3p!J228))),0,1))</f>
        <v/>
      </c>
      <c r="N262" s="1" t="str">
        <f t="shared" si="9"/>
        <v/>
      </c>
    </row>
    <row r="263" spans="2:14">
      <c r="B263" s="1" t="str">
        <f>IF(Protokoll_3p!F229="","",IF(VALUE(LEFT(Protokoll_3p!F229,FIND(":",Protokoll_3p!F229)-1))&gt;VALUE(RIGHT(Protokoll_3p!F229,LEN(Protokoll_3p!F229)-FIND(":",Protokoll_3p!F229))),1,0))</f>
        <v/>
      </c>
      <c r="C263" s="1" t="str">
        <f>IF(Protokoll_3p!G229="","",IF(VALUE(LEFT(Protokoll_3p!G229,FIND(":",Protokoll_3p!G229)-1))&gt;VALUE(RIGHT(Protokoll_3p!G229,LEN(Protokoll_3p!G229)-FIND(":",Protokoll_3p!G229))),1,0))</f>
        <v/>
      </c>
      <c r="D263" s="1" t="str">
        <f>IF(Protokoll_3p!H229="","",IF(VALUE(LEFT(Protokoll_3p!H229,FIND(":",Protokoll_3p!H229)-1))&gt;VALUE(RIGHT(Protokoll_3p!H229,LEN(Protokoll_3p!H229)-FIND(":",Protokoll_3p!H229))),1,0))</f>
        <v/>
      </c>
      <c r="E263" s="1" t="str">
        <f>IF(Protokoll_3p!I229="","",IF(VALUE(LEFT(Protokoll_3p!I229,FIND(":",Protokoll_3p!I229)-1))&gt;VALUE(RIGHT(Protokoll_3p!I229,LEN(Protokoll_3p!I229)-FIND(":",Protokoll_3p!I229))),1,0))</f>
        <v/>
      </c>
      <c r="F263" s="1" t="str">
        <f>IF(Protokoll_3p!J229="","",IF(VALUE(LEFT(Protokoll_3p!J229,FIND(":",Protokoll_3p!J229)-1))&gt;VALUE(RIGHT(Protokoll_3p!J229,LEN(Protokoll_3p!J229)-FIND(":",Protokoll_3p!J229))),1,0))</f>
        <v/>
      </c>
      <c r="G263" s="1" t="str">
        <f t="shared" si="8"/>
        <v/>
      </c>
      <c r="I263" s="1" t="str">
        <f>IF(Protokoll_3p!F229="","",IF(VALUE(LEFT(Protokoll_3p!F229,FIND(":",Protokoll_3p!F229)-1))&gt;VALUE(RIGHT(Protokoll_3p!F229,LEN(Protokoll_3p!F229)-FIND(":",Protokoll_3p!F229))),0,1))</f>
        <v/>
      </c>
      <c r="J263" s="1" t="str">
        <f>IF(Protokoll_3p!G229="","",IF(VALUE(LEFT(Protokoll_3p!G229,FIND(":",Protokoll_3p!G229)-1))&gt;VALUE(RIGHT(Protokoll_3p!G229,LEN(Protokoll_3p!G229)-FIND(":",Protokoll_3p!G229))),0,1))</f>
        <v/>
      </c>
      <c r="K263" s="1" t="str">
        <f>IF(Protokoll_3p!H229="","",IF(VALUE(LEFT(Protokoll_3p!H229,FIND(":",Protokoll_3p!H229)-1))&gt;VALUE(RIGHT(Protokoll_3p!H229,LEN(Protokoll_3p!H229)-FIND(":",Protokoll_3p!H229))),0,1))</f>
        <v/>
      </c>
      <c r="L263" s="1" t="str">
        <f>IF(Protokoll_3p!I229="","",IF(VALUE(LEFT(Protokoll_3p!I229,FIND(":",Protokoll_3p!I229)-1))&gt;VALUE(RIGHT(Protokoll_3p!I229,LEN(Protokoll_3p!I229)-FIND(":",Protokoll_3p!I229))),0,1))</f>
        <v/>
      </c>
      <c r="M263" s="1" t="str">
        <f>IF(Protokoll_3p!J229="","",IF(VALUE(LEFT(Protokoll_3p!J229,FIND(":",Protokoll_3p!J229)-1))&gt;VALUE(RIGHT(Protokoll_3p!J229,LEN(Protokoll_3p!J229)-FIND(":",Protokoll_3p!J229))),0,1))</f>
        <v/>
      </c>
      <c r="N263" s="1" t="str">
        <f t="shared" si="9"/>
        <v/>
      </c>
    </row>
    <row r="264" spans="2:14">
      <c r="B264" s="1" t="str">
        <f>IF(Protokoll_3p!F230="","",IF(VALUE(LEFT(Protokoll_3p!F230,FIND(":",Protokoll_3p!F230)-1))&gt;VALUE(RIGHT(Protokoll_3p!F230,LEN(Protokoll_3p!F230)-FIND(":",Protokoll_3p!F230))),1,0))</f>
        <v/>
      </c>
      <c r="C264" s="1" t="str">
        <f>IF(Protokoll_3p!G230="","",IF(VALUE(LEFT(Protokoll_3p!G230,FIND(":",Protokoll_3p!G230)-1))&gt;VALUE(RIGHT(Protokoll_3p!G230,LEN(Protokoll_3p!G230)-FIND(":",Protokoll_3p!G230))),1,0))</f>
        <v/>
      </c>
      <c r="D264" s="1" t="str">
        <f>IF(Protokoll_3p!H230="","",IF(VALUE(LEFT(Protokoll_3p!H230,FIND(":",Protokoll_3p!H230)-1))&gt;VALUE(RIGHT(Protokoll_3p!H230,LEN(Protokoll_3p!H230)-FIND(":",Protokoll_3p!H230))),1,0))</f>
        <v/>
      </c>
      <c r="E264" s="1" t="str">
        <f>IF(Protokoll_3p!I230="","",IF(VALUE(LEFT(Protokoll_3p!I230,FIND(":",Protokoll_3p!I230)-1))&gt;VALUE(RIGHT(Protokoll_3p!I230,LEN(Protokoll_3p!I230)-FIND(":",Protokoll_3p!I230))),1,0))</f>
        <v/>
      </c>
      <c r="F264" s="1" t="str">
        <f>IF(Protokoll_3p!J230="","",IF(VALUE(LEFT(Protokoll_3p!J230,FIND(":",Protokoll_3p!J230)-1))&gt;VALUE(RIGHT(Protokoll_3p!J230,LEN(Protokoll_3p!J230)-FIND(":",Protokoll_3p!J230))),1,0))</f>
        <v/>
      </c>
      <c r="G264" s="1" t="str">
        <f t="shared" si="8"/>
        <v/>
      </c>
      <c r="I264" s="1" t="str">
        <f>IF(Protokoll_3p!F230="","",IF(VALUE(LEFT(Protokoll_3p!F230,FIND(":",Protokoll_3p!F230)-1))&gt;VALUE(RIGHT(Protokoll_3p!F230,LEN(Protokoll_3p!F230)-FIND(":",Protokoll_3p!F230))),0,1))</f>
        <v/>
      </c>
      <c r="J264" s="1" t="str">
        <f>IF(Protokoll_3p!G230="","",IF(VALUE(LEFT(Protokoll_3p!G230,FIND(":",Protokoll_3p!G230)-1))&gt;VALUE(RIGHT(Protokoll_3p!G230,LEN(Protokoll_3p!G230)-FIND(":",Protokoll_3p!G230))),0,1))</f>
        <v/>
      </c>
      <c r="K264" s="1" t="str">
        <f>IF(Protokoll_3p!H230="","",IF(VALUE(LEFT(Protokoll_3p!H230,FIND(":",Protokoll_3p!H230)-1))&gt;VALUE(RIGHT(Protokoll_3p!H230,LEN(Protokoll_3p!H230)-FIND(":",Protokoll_3p!H230))),0,1))</f>
        <v/>
      </c>
      <c r="L264" s="1" t="str">
        <f>IF(Protokoll_3p!I230="","",IF(VALUE(LEFT(Protokoll_3p!I230,FIND(":",Protokoll_3p!I230)-1))&gt;VALUE(RIGHT(Protokoll_3p!I230,LEN(Protokoll_3p!I230)-FIND(":",Protokoll_3p!I230))),0,1))</f>
        <v/>
      </c>
      <c r="M264" s="1" t="str">
        <f>IF(Protokoll_3p!J230="","",IF(VALUE(LEFT(Protokoll_3p!J230,FIND(":",Protokoll_3p!J230)-1))&gt;VALUE(RIGHT(Protokoll_3p!J230,LEN(Protokoll_3p!J230)-FIND(":",Protokoll_3p!J230))),0,1))</f>
        <v/>
      </c>
      <c r="N264" s="1" t="str">
        <f t="shared" si="9"/>
        <v/>
      </c>
    </row>
    <row r="265" spans="2:14">
      <c r="B265" s="1" t="str">
        <f>IF(Protokoll_3p!F231="","",IF(VALUE(LEFT(Protokoll_3p!F231,FIND(":",Protokoll_3p!F231)-1))&gt;VALUE(RIGHT(Protokoll_3p!F231,LEN(Protokoll_3p!F231)-FIND(":",Protokoll_3p!F231))),1,0))</f>
        <v/>
      </c>
      <c r="C265" s="1" t="str">
        <f>IF(Protokoll_3p!G231="","",IF(VALUE(LEFT(Protokoll_3p!G231,FIND(":",Protokoll_3p!G231)-1))&gt;VALUE(RIGHT(Protokoll_3p!G231,LEN(Protokoll_3p!G231)-FIND(":",Protokoll_3p!G231))),1,0))</f>
        <v/>
      </c>
      <c r="D265" s="1" t="str">
        <f>IF(Protokoll_3p!H231="","",IF(VALUE(LEFT(Protokoll_3p!H231,FIND(":",Protokoll_3p!H231)-1))&gt;VALUE(RIGHT(Protokoll_3p!H231,LEN(Protokoll_3p!H231)-FIND(":",Protokoll_3p!H231))),1,0))</f>
        <v/>
      </c>
      <c r="E265" s="1" t="str">
        <f>IF(Protokoll_3p!I231="","",IF(VALUE(LEFT(Protokoll_3p!I231,FIND(":",Protokoll_3p!I231)-1))&gt;VALUE(RIGHT(Protokoll_3p!I231,LEN(Protokoll_3p!I231)-FIND(":",Protokoll_3p!I231))),1,0))</f>
        <v/>
      </c>
      <c r="F265" s="1" t="str">
        <f>IF(Protokoll_3p!J231="","",IF(VALUE(LEFT(Protokoll_3p!J231,FIND(":",Protokoll_3p!J231)-1))&gt;VALUE(RIGHT(Protokoll_3p!J231,LEN(Protokoll_3p!J231)-FIND(":",Protokoll_3p!J231))),1,0))</f>
        <v/>
      </c>
      <c r="G265" s="1" t="str">
        <f t="shared" si="8"/>
        <v/>
      </c>
      <c r="I265" s="1" t="str">
        <f>IF(Protokoll_3p!F231="","",IF(VALUE(LEFT(Protokoll_3p!F231,FIND(":",Protokoll_3p!F231)-1))&gt;VALUE(RIGHT(Protokoll_3p!F231,LEN(Protokoll_3p!F231)-FIND(":",Protokoll_3p!F231))),0,1))</f>
        <v/>
      </c>
      <c r="J265" s="1" t="str">
        <f>IF(Protokoll_3p!G231="","",IF(VALUE(LEFT(Protokoll_3p!G231,FIND(":",Protokoll_3p!G231)-1))&gt;VALUE(RIGHT(Protokoll_3p!G231,LEN(Protokoll_3p!G231)-FIND(":",Protokoll_3p!G231))),0,1))</f>
        <v/>
      </c>
      <c r="K265" s="1" t="str">
        <f>IF(Protokoll_3p!H231="","",IF(VALUE(LEFT(Protokoll_3p!H231,FIND(":",Protokoll_3p!H231)-1))&gt;VALUE(RIGHT(Protokoll_3p!H231,LEN(Protokoll_3p!H231)-FIND(":",Protokoll_3p!H231))),0,1))</f>
        <v/>
      </c>
      <c r="L265" s="1" t="str">
        <f>IF(Protokoll_3p!I231="","",IF(VALUE(LEFT(Protokoll_3p!I231,FIND(":",Protokoll_3p!I231)-1))&gt;VALUE(RIGHT(Protokoll_3p!I231,LEN(Protokoll_3p!I231)-FIND(":",Protokoll_3p!I231))),0,1))</f>
        <v/>
      </c>
      <c r="M265" s="1" t="str">
        <f>IF(Protokoll_3p!J231="","",IF(VALUE(LEFT(Protokoll_3p!J231,FIND(":",Protokoll_3p!J231)-1))&gt;VALUE(RIGHT(Protokoll_3p!J231,LEN(Protokoll_3p!J231)-FIND(":",Protokoll_3p!J231))),0,1))</f>
        <v/>
      </c>
      <c r="N265" s="1" t="str">
        <f t="shared" si="9"/>
        <v/>
      </c>
    </row>
    <row r="266" spans="2:14">
      <c r="B266" s="1" t="str">
        <f>IF(Protokoll_3p!F232="","",IF(VALUE(LEFT(Protokoll_3p!F232,FIND(":",Protokoll_3p!F232)-1))&gt;VALUE(RIGHT(Protokoll_3p!F232,LEN(Protokoll_3p!F232)-FIND(":",Protokoll_3p!F232))),1,0))</f>
        <v/>
      </c>
      <c r="C266" s="1" t="str">
        <f>IF(Protokoll_3p!G232="","",IF(VALUE(LEFT(Protokoll_3p!G232,FIND(":",Protokoll_3p!G232)-1))&gt;VALUE(RIGHT(Protokoll_3p!G232,LEN(Protokoll_3p!G232)-FIND(":",Protokoll_3p!G232))),1,0))</f>
        <v/>
      </c>
      <c r="D266" s="1" t="str">
        <f>IF(Protokoll_3p!H232="","",IF(VALUE(LEFT(Protokoll_3p!H232,FIND(":",Protokoll_3p!H232)-1))&gt;VALUE(RIGHT(Protokoll_3p!H232,LEN(Protokoll_3p!H232)-FIND(":",Protokoll_3p!H232))),1,0))</f>
        <v/>
      </c>
      <c r="E266" s="1" t="str">
        <f>IF(Protokoll_3p!I232="","",IF(VALUE(LEFT(Protokoll_3p!I232,FIND(":",Protokoll_3p!I232)-1))&gt;VALUE(RIGHT(Protokoll_3p!I232,LEN(Protokoll_3p!I232)-FIND(":",Protokoll_3p!I232))),1,0))</f>
        <v/>
      </c>
      <c r="F266" s="1" t="str">
        <f>IF(Protokoll_3p!J232="","",IF(VALUE(LEFT(Protokoll_3p!J232,FIND(":",Protokoll_3p!J232)-1))&gt;VALUE(RIGHT(Protokoll_3p!J232,LEN(Protokoll_3p!J232)-FIND(":",Protokoll_3p!J232))),1,0))</f>
        <v/>
      </c>
      <c r="G266" s="1" t="str">
        <f t="shared" si="8"/>
        <v/>
      </c>
      <c r="I266" s="1" t="str">
        <f>IF(Protokoll_3p!F232="","",IF(VALUE(LEFT(Protokoll_3p!F232,FIND(":",Protokoll_3p!F232)-1))&gt;VALUE(RIGHT(Protokoll_3p!F232,LEN(Protokoll_3p!F232)-FIND(":",Protokoll_3p!F232))),0,1))</f>
        <v/>
      </c>
      <c r="J266" s="1" t="str">
        <f>IF(Protokoll_3p!G232="","",IF(VALUE(LEFT(Protokoll_3p!G232,FIND(":",Protokoll_3p!G232)-1))&gt;VALUE(RIGHT(Protokoll_3p!G232,LEN(Protokoll_3p!G232)-FIND(":",Protokoll_3p!G232))),0,1))</f>
        <v/>
      </c>
      <c r="K266" s="1" t="str">
        <f>IF(Protokoll_3p!H232="","",IF(VALUE(LEFT(Protokoll_3p!H232,FIND(":",Protokoll_3p!H232)-1))&gt;VALUE(RIGHT(Protokoll_3p!H232,LEN(Protokoll_3p!H232)-FIND(":",Protokoll_3p!H232))),0,1))</f>
        <v/>
      </c>
      <c r="L266" s="1" t="str">
        <f>IF(Protokoll_3p!I232="","",IF(VALUE(LEFT(Protokoll_3p!I232,FIND(":",Protokoll_3p!I232)-1))&gt;VALUE(RIGHT(Protokoll_3p!I232,LEN(Protokoll_3p!I232)-FIND(":",Protokoll_3p!I232))),0,1))</f>
        <v/>
      </c>
      <c r="M266" s="1" t="str">
        <f>IF(Protokoll_3p!J232="","",IF(VALUE(LEFT(Protokoll_3p!J232,FIND(":",Protokoll_3p!J232)-1))&gt;VALUE(RIGHT(Protokoll_3p!J232,LEN(Protokoll_3p!J232)-FIND(":",Protokoll_3p!J232))),0,1))</f>
        <v/>
      </c>
      <c r="N266" s="1" t="str">
        <f t="shared" si="9"/>
        <v/>
      </c>
    </row>
    <row r="267" spans="2:14">
      <c r="B267" s="1" t="str">
        <f>IF(Protokoll_3p!F233="","",IF(VALUE(LEFT(Protokoll_3p!F233,FIND(":",Protokoll_3p!F233)-1))&gt;VALUE(RIGHT(Protokoll_3p!F233,LEN(Protokoll_3p!F233)-FIND(":",Protokoll_3p!F233))),1,0))</f>
        <v/>
      </c>
      <c r="C267" s="1" t="str">
        <f>IF(Protokoll_3p!G233="","",IF(VALUE(LEFT(Protokoll_3p!G233,FIND(":",Protokoll_3p!G233)-1))&gt;VALUE(RIGHT(Protokoll_3p!G233,LEN(Protokoll_3p!G233)-FIND(":",Protokoll_3p!G233))),1,0))</f>
        <v/>
      </c>
      <c r="D267" s="1" t="str">
        <f>IF(Protokoll_3p!H233="","",IF(VALUE(LEFT(Protokoll_3p!H233,FIND(":",Protokoll_3p!H233)-1))&gt;VALUE(RIGHT(Protokoll_3p!H233,LEN(Protokoll_3p!H233)-FIND(":",Protokoll_3p!H233))),1,0))</f>
        <v/>
      </c>
      <c r="E267" s="1" t="str">
        <f>IF(Protokoll_3p!I233="","",IF(VALUE(LEFT(Protokoll_3p!I233,FIND(":",Protokoll_3p!I233)-1))&gt;VALUE(RIGHT(Protokoll_3p!I233,LEN(Protokoll_3p!I233)-FIND(":",Protokoll_3p!I233))),1,0))</f>
        <v/>
      </c>
      <c r="F267" s="1" t="str">
        <f>IF(Protokoll_3p!J233="","",IF(VALUE(LEFT(Protokoll_3p!J233,FIND(":",Protokoll_3p!J233)-1))&gt;VALUE(RIGHT(Protokoll_3p!J233,LEN(Protokoll_3p!J233)-FIND(":",Protokoll_3p!J233))),1,0))</f>
        <v/>
      </c>
      <c r="G267" s="1" t="str">
        <f t="shared" si="8"/>
        <v/>
      </c>
      <c r="I267" s="1" t="str">
        <f>IF(Protokoll_3p!F233="","",IF(VALUE(LEFT(Protokoll_3p!F233,FIND(":",Protokoll_3p!F233)-1))&gt;VALUE(RIGHT(Protokoll_3p!F233,LEN(Protokoll_3p!F233)-FIND(":",Protokoll_3p!F233))),0,1))</f>
        <v/>
      </c>
      <c r="J267" s="1" t="str">
        <f>IF(Protokoll_3p!G233="","",IF(VALUE(LEFT(Protokoll_3p!G233,FIND(":",Protokoll_3p!G233)-1))&gt;VALUE(RIGHT(Protokoll_3p!G233,LEN(Protokoll_3p!G233)-FIND(":",Protokoll_3p!G233))),0,1))</f>
        <v/>
      </c>
      <c r="K267" s="1" t="str">
        <f>IF(Protokoll_3p!H233="","",IF(VALUE(LEFT(Protokoll_3p!H233,FIND(":",Protokoll_3p!H233)-1))&gt;VALUE(RIGHT(Protokoll_3p!H233,LEN(Protokoll_3p!H233)-FIND(":",Protokoll_3p!H233))),0,1))</f>
        <v/>
      </c>
      <c r="L267" s="1" t="str">
        <f>IF(Protokoll_3p!I233="","",IF(VALUE(LEFT(Protokoll_3p!I233,FIND(":",Protokoll_3p!I233)-1))&gt;VALUE(RIGHT(Protokoll_3p!I233,LEN(Protokoll_3p!I233)-FIND(":",Protokoll_3p!I233))),0,1))</f>
        <v/>
      </c>
      <c r="M267" s="1" t="str">
        <f>IF(Protokoll_3p!J233="","",IF(VALUE(LEFT(Protokoll_3p!J233,FIND(":",Protokoll_3p!J233)-1))&gt;VALUE(RIGHT(Protokoll_3p!J233,LEN(Protokoll_3p!J233)-FIND(":",Protokoll_3p!J233))),0,1))</f>
        <v/>
      </c>
      <c r="N267" s="1" t="str">
        <f t="shared" si="9"/>
        <v/>
      </c>
    </row>
    <row r="268" spans="2:14">
      <c r="B268" s="1" t="str">
        <f>IF(Protokoll_3p!F234="","",IF(VALUE(LEFT(Protokoll_3p!F234,FIND(":",Protokoll_3p!F234)-1))&gt;VALUE(RIGHT(Protokoll_3p!F234,LEN(Protokoll_3p!F234)-FIND(":",Protokoll_3p!F234))),1,0))</f>
        <v/>
      </c>
      <c r="C268" s="1" t="str">
        <f>IF(Protokoll_3p!G234="","",IF(VALUE(LEFT(Protokoll_3p!G234,FIND(":",Protokoll_3p!G234)-1))&gt;VALUE(RIGHT(Protokoll_3p!G234,LEN(Protokoll_3p!G234)-FIND(":",Protokoll_3p!G234))),1,0))</f>
        <v/>
      </c>
      <c r="D268" s="1" t="str">
        <f>IF(Protokoll_3p!H234="","",IF(VALUE(LEFT(Protokoll_3p!H234,FIND(":",Protokoll_3p!H234)-1))&gt;VALUE(RIGHT(Protokoll_3p!H234,LEN(Protokoll_3p!H234)-FIND(":",Protokoll_3p!H234))),1,0))</f>
        <v/>
      </c>
      <c r="E268" s="1" t="str">
        <f>IF(Protokoll_3p!I234="","",IF(VALUE(LEFT(Protokoll_3p!I234,FIND(":",Protokoll_3p!I234)-1))&gt;VALUE(RIGHT(Protokoll_3p!I234,LEN(Protokoll_3p!I234)-FIND(":",Protokoll_3p!I234))),1,0))</f>
        <v/>
      </c>
      <c r="F268" s="1" t="str">
        <f>IF(Protokoll_3p!J234="","",IF(VALUE(LEFT(Protokoll_3p!J234,FIND(":",Protokoll_3p!J234)-1))&gt;VALUE(RIGHT(Protokoll_3p!J234,LEN(Protokoll_3p!J234)-FIND(":",Protokoll_3p!J234))),1,0))</f>
        <v/>
      </c>
      <c r="G268" s="1" t="str">
        <f t="shared" si="8"/>
        <v/>
      </c>
      <c r="I268" s="1" t="str">
        <f>IF(Protokoll_3p!F234="","",IF(VALUE(LEFT(Protokoll_3p!F234,FIND(":",Protokoll_3p!F234)-1))&gt;VALUE(RIGHT(Protokoll_3p!F234,LEN(Protokoll_3p!F234)-FIND(":",Protokoll_3p!F234))),0,1))</f>
        <v/>
      </c>
      <c r="J268" s="1" t="str">
        <f>IF(Protokoll_3p!G234="","",IF(VALUE(LEFT(Protokoll_3p!G234,FIND(":",Protokoll_3p!G234)-1))&gt;VALUE(RIGHT(Protokoll_3p!G234,LEN(Protokoll_3p!G234)-FIND(":",Protokoll_3p!G234))),0,1))</f>
        <v/>
      </c>
      <c r="K268" s="1" t="str">
        <f>IF(Protokoll_3p!H234="","",IF(VALUE(LEFT(Protokoll_3p!H234,FIND(":",Protokoll_3p!H234)-1))&gt;VALUE(RIGHT(Protokoll_3p!H234,LEN(Protokoll_3p!H234)-FIND(":",Protokoll_3p!H234))),0,1))</f>
        <v/>
      </c>
      <c r="L268" s="1" t="str">
        <f>IF(Protokoll_3p!I234="","",IF(VALUE(LEFT(Protokoll_3p!I234,FIND(":",Protokoll_3p!I234)-1))&gt;VALUE(RIGHT(Protokoll_3p!I234,LEN(Protokoll_3p!I234)-FIND(":",Protokoll_3p!I234))),0,1))</f>
        <v/>
      </c>
      <c r="M268" s="1" t="str">
        <f>IF(Protokoll_3p!J234="","",IF(VALUE(LEFT(Protokoll_3p!J234,FIND(":",Protokoll_3p!J234)-1))&gt;VALUE(RIGHT(Protokoll_3p!J234,LEN(Protokoll_3p!J234)-FIND(":",Protokoll_3p!J234))),0,1))</f>
        <v/>
      </c>
      <c r="N268" s="1" t="str">
        <f t="shared" si="9"/>
        <v/>
      </c>
    </row>
    <row r="269" spans="2:14">
      <c r="B269" s="1" t="str">
        <f>IF(Protokoll_3p!F235="","",IF(VALUE(LEFT(Protokoll_3p!F235,FIND(":",Protokoll_3p!F235)-1))&gt;VALUE(RIGHT(Protokoll_3p!F235,LEN(Protokoll_3p!F235)-FIND(":",Protokoll_3p!F235))),1,0))</f>
        <v/>
      </c>
      <c r="C269" s="1" t="str">
        <f>IF(Protokoll_3p!G235="","",IF(VALUE(LEFT(Protokoll_3p!G235,FIND(":",Protokoll_3p!G235)-1))&gt;VALUE(RIGHT(Protokoll_3p!G235,LEN(Protokoll_3p!G235)-FIND(":",Protokoll_3p!G235))),1,0))</f>
        <v/>
      </c>
      <c r="D269" s="1" t="str">
        <f>IF(Protokoll_3p!H235="","",IF(VALUE(LEFT(Protokoll_3p!H235,FIND(":",Protokoll_3p!H235)-1))&gt;VALUE(RIGHT(Protokoll_3p!H235,LEN(Protokoll_3p!H235)-FIND(":",Protokoll_3p!H235))),1,0))</f>
        <v/>
      </c>
      <c r="E269" s="1" t="str">
        <f>IF(Protokoll_3p!I235="","",IF(VALUE(LEFT(Protokoll_3p!I235,FIND(":",Protokoll_3p!I235)-1))&gt;VALUE(RIGHT(Protokoll_3p!I235,LEN(Protokoll_3p!I235)-FIND(":",Protokoll_3p!I235))),1,0))</f>
        <v/>
      </c>
      <c r="F269" s="1" t="str">
        <f>IF(Protokoll_3p!J235="","",IF(VALUE(LEFT(Protokoll_3p!J235,FIND(":",Protokoll_3p!J235)-1))&gt;VALUE(RIGHT(Protokoll_3p!J235,LEN(Protokoll_3p!J235)-FIND(":",Protokoll_3p!J235))),1,0))</f>
        <v/>
      </c>
      <c r="G269" s="1" t="str">
        <f t="shared" si="8"/>
        <v/>
      </c>
      <c r="I269" s="1" t="str">
        <f>IF(Protokoll_3p!F235="","",IF(VALUE(LEFT(Protokoll_3p!F235,FIND(":",Protokoll_3p!F235)-1))&gt;VALUE(RIGHT(Protokoll_3p!F235,LEN(Protokoll_3p!F235)-FIND(":",Protokoll_3p!F235))),0,1))</f>
        <v/>
      </c>
      <c r="J269" s="1" t="str">
        <f>IF(Protokoll_3p!G235="","",IF(VALUE(LEFT(Protokoll_3p!G235,FIND(":",Protokoll_3p!G235)-1))&gt;VALUE(RIGHT(Protokoll_3p!G235,LEN(Protokoll_3p!G235)-FIND(":",Protokoll_3p!G235))),0,1))</f>
        <v/>
      </c>
      <c r="K269" s="1" t="str">
        <f>IF(Protokoll_3p!H235="","",IF(VALUE(LEFT(Protokoll_3p!H235,FIND(":",Protokoll_3p!H235)-1))&gt;VALUE(RIGHT(Protokoll_3p!H235,LEN(Protokoll_3p!H235)-FIND(":",Protokoll_3p!H235))),0,1))</f>
        <v/>
      </c>
      <c r="L269" s="1" t="str">
        <f>IF(Protokoll_3p!I235="","",IF(VALUE(LEFT(Protokoll_3p!I235,FIND(":",Protokoll_3p!I235)-1))&gt;VALUE(RIGHT(Protokoll_3p!I235,LEN(Protokoll_3p!I235)-FIND(":",Protokoll_3p!I235))),0,1))</f>
        <v/>
      </c>
      <c r="M269" s="1" t="str">
        <f>IF(Protokoll_3p!J235="","",IF(VALUE(LEFT(Protokoll_3p!J235,FIND(":",Protokoll_3p!J235)-1))&gt;VALUE(RIGHT(Protokoll_3p!J235,LEN(Protokoll_3p!J235)-FIND(":",Protokoll_3p!J235))),0,1))</f>
        <v/>
      </c>
      <c r="N269" s="1" t="str">
        <f t="shared" si="9"/>
        <v/>
      </c>
    </row>
    <row r="270" spans="2:14">
      <c r="B270" s="1" t="str">
        <f>IF(Protokoll_3p!F236="","",IF(VALUE(LEFT(Protokoll_3p!F236,FIND(":",Protokoll_3p!F236)-1))&gt;VALUE(RIGHT(Protokoll_3p!F236,LEN(Protokoll_3p!F236)-FIND(":",Protokoll_3p!F236))),1,0))</f>
        <v/>
      </c>
      <c r="C270" s="1" t="str">
        <f>IF(Protokoll_3p!G236="","",IF(VALUE(LEFT(Protokoll_3p!G236,FIND(":",Protokoll_3p!G236)-1))&gt;VALUE(RIGHT(Protokoll_3p!G236,LEN(Protokoll_3p!G236)-FIND(":",Protokoll_3p!G236))),1,0))</f>
        <v/>
      </c>
      <c r="D270" s="1" t="str">
        <f>IF(Protokoll_3p!H236="","",IF(VALUE(LEFT(Protokoll_3p!H236,FIND(":",Protokoll_3p!H236)-1))&gt;VALUE(RIGHT(Protokoll_3p!H236,LEN(Protokoll_3p!H236)-FIND(":",Protokoll_3p!H236))),1,0))</f>
        <v/>
      </c>
      <c r="E270" s="1" t="str">
        <f>IF(Protokoll_3p!I236="","",IF(VALUE(LEFT(Protokoll_3p!I236,FIND(":",Protokoll_3p!I236)-1))&gt;VALUE(RIGHT(Protokoll_3p!I236,LEN(Protokoll_3p!I236)-FIND(":",Protokoll_3p!I236))),1,0))</f>
        <v/>
      </c>
      <c r="F270" s="1" t="str">
        <f>IF(Protokoll_3p!J236="","",IF(VALUE(LEFT(Protokoll_3p!J236,FIND(":",Protokoll_3p!J236)-1))&gt;VALUE(RIGHT(Protokoll_3p!J236,LEN(Protokoll_3p!J236)-FIND(":",Protokoll_3p!J236))),1,0))</f>
        <v/>
      </c>
      <c r="G270" s="1" t="str">
        <f t="shared" si="8"/>
        <v/>
      </c>
      <c r="I270" s="1" t="str">
        <f>IF(Protokoll_3p!F236="","",IF(VALUE(LEFT(Protokoll_3p!F236,FIND(":",Protokoll_3p!F236)-1))&gt;VALUE(RIGHT(Protokoll_3p!F236,LEN(Protokoll_3p!F236)-FIND(":",Protokoll_3p!F236))),0,1))</f>
        <v/>
      </c>
      <c r="J270" s="1" t="str">
        <f>IF(Protokoll_3p!G236="","",IF(VALUE(LEFT(Protokoll_3p!G236,FIND(":",Protokoll_3p!G236)-1))&gt;VALUE(RIGHT(Protokoll_3p!G236,LEN(Protokoll_3p!G236)-FIND(":",Protokoll_3p!G236))),0,1))</f>
        <v/>
      </c>
      <c r="K270" s="1" t="str">
        <f>IF(Protokoll_3p!H236="","",IF(VALUE(LEFT(Protokoll_3p!H236,FIND(":",Protokoll_3p!H236)-1))&gt;VALUE(RIGHT(Protokoll_3p!H236,LEN(Protokoll_3p!H236)-FIND(":",Protokoll_3p!H236))),0,1))</f>
        <v/>
      </c>
      <c r="L270" s="1" t="str">
        <f>IF(Protokoll_3p!I236="","",IF(VALUE(LEFT(Protokoll_3p!I236,FIND(":",Protokoll_3p!I236)-1))&gt;VALUE(RIGHT(Protokoll_3p!I236,LEN(Protokoll_3p!I236)-FIND(":",Protokoll_3p!I236))),0,1))</f>
        <v/>
      </c>
      <c r="M270" s="1" t="str">
        <f>IF(Protokoll_3p!J236="","",IF(VALUE(LEFT(Protokoll_3p!J236,FIND(":",Protokoll_3p!J236)-1))&gt;VALUE(RIGHT(Protokoll_3p!J236,LEN(Protokoll_3p!J236)-FIND(":",Protokoll_3p!J236))),0,1))</f>
        <v/>
      </c>
      <c r="N270" s="1" t="str">
        <f t="shared" si="9"/>
        <v/>
      </c>
    </row>
    <row r="271" spans="2:14">
      <c r="B271" s="1" t="str">
        <f>IF(Protokoll_3p!F237="","",IF(VALUE(LEFT(Protokoll_3p!F237,FIND(":",Protokoll_3p!F237)-1))&gt;VALUE(RIGHT(Protokoll_3p!F237,LEN(Protokoll_3p!F237)-FIND(":",Protokoll_3p!F237))),1,0))</f>
        <v/>
      </c>
      <c r="C271" s="1" t="str">
        <f>IF(Protokoll_3p!G237="","",IF(VALUE(LEFT(Protokoll_3p!G237,FIND(":",Protokoll_3p!G237)-1))&gt;VALUE(RIGHT(Protokoll_3p!G237,LEN(Protokoll_3p!G237)-FIND(":",Protokoll_3p!G237))),1,0))</f>
        <v/>
      </c>
      <c r="D271" s="1" t="str">
        <f>IF(Protokoll_3p!H237="","",IF(VALUE(LEFT(Protokoll_3p!H237,FIND(":",Protokoll_3p!H237)-1))&gt;VALUE(RIGHT(Protokoll_3p!H237,LEN(Protokoll_3p!H237)-FIND(":",Protokoll_3p!H237))),1,0))</f>
        <v/>
      </c>
      <c r="E271" s="1" t="str">
        <f>IF(Protokoll_3p!I237="","",IF(VALUE(LEFT(Protokoll_3p!I237,FIND(":",Protokoll_3p!I237)-1))&gt;VALUE(RIGHT(Protokoll_3p!I237,LEN(Protokoll_3p!I237)-FIND(":",Protokoll_3p!I237))),1,0))</f>
        <v/>
      </c>
      <c r="F271" s="1" t="str">
        <f>IF(Protokoll_3p!J237="","",IF(VALUE(LEFT(Protokoll_3p!J237,FIND(":",Protokoll_3p!J237)-1))&gt;VALUE(RIGHT(Protokoll_3p!J237,LEN(Protokoll_3p!J237)-FIND(":",Protokoll_3p!J237))),1,0))</f>
        <v/>
      </c>
      <c r="G271" s="1" t="str">
        <f t="shared" si="8"/>
        <v/>
      </c>
      <c r="I271" s="1" t="str">
        <f>IF(Protokoll_3p!F237="","",IF(VALUE(LEFT(Protokoll_3p!F237,FIND(":",Protokoll_3p!F237)-1))&gt;VALUE(RIGHT(Protokoll_3p!F237,LEN(Protokoll_3p!F237)-FIND(":",Protokoll_3p!F237))),0,1))</f>
        <v/>
      </c>
      <c r="J271" s="1" t="str">
        <f>IF(Protokoll_3p!G237="","",IF(VALUE(LEFT(Protokoll_3p!G237,FIND(":",Protokoll_3p!G237)-1))&gt;VALUE(RIGHT(Protokoll_3p!G237,LEN(Protokoll_3p!G237)-FIND(":",Protokoll_3p!G237))),0,1))</f>
        <v/>
      </c>
      <c r="K271" s="1" t="str">
        <f>IF(Protokoll_3p!H237="","",IF(VALUE(LEFT(Protokoll_3p!H237,FIND(":",Protokoll_3p!H237)-1))&gt;VALUE(RIGHT(Protokoll_3p!H237,LEN(Protokoll_3p!H237)-FIND(":",Protokoll_3p!H237))),0,1))</f>
        <v/>
      </c>
      <c r="L271" s="1" t="str">
        <f>IF(Protokoll_3p!I237="","",IF(VALUE(LEFT(Protokoll_3p!I237,FIND(":",Protokoll_3p!I237)-1))&gt;VALUE(RIGHT(Protokoll_3p!I237,LEN(Protokoll_3p!I237)-FIND(":",Protokoll_3p!I237))),0,1))</f>
        <v/>
      </c>
      <c r="M271" s="1" t="str">
        <f>IF(Protokoll_3p!J237="","",IF(VALUE(LEFT(Protokoll_3p!J237,FIND(":",Protokoll_3p!J237)-1))&gt;VALUE(RIGHT(Protokoll_3p!J237,LEN(Protokoll_3p!J237)-FIND(":",Protokoll_3p!J237))),0,1))</f>
        <v/>
      </c>
      <c r="N271" s="1" t="str">
        <f t="shared" si="9"/>
        <v/>
      </c>
    </row>
    <row r="272" spans="2:14">
      <c r="B272" s="1" t="str">
        <f>IF(Protokoll_3p!F238="","",IF(VALUE(LEFT(Protokoll_3p!F238,FIND(":",Protokoll_3p!F238)-1))&gt;VALUE(RIGHT(Protokoll_3p!F238,LEN(Protokoll_3p!F238)-FIND(":",Protokoll_3p!F238))),1,0))</f>
        <v/>
      </c>
      <c r="C272" s="1" t="str">
        <f>IF(Protokoll_3p!G238="","",IF(VALUE(LEFT(Protokoll_3p!G238,FIND(":",Protokoll_3p!G238)-1))&gt;VALUE(RIGHT(Protokoll_3p!G238,LEN(Protokoll_3p!G238)-FIND(":",Protokoll_3p!G238))),1,0))</f>
        <v/>
      </c>
      <c r="D272" s="1" t="str">
        <f>IF(Protokoll_3p!H238="","",IF(VALUE(LEFT(Protokoll_3p!H238,FIND(":",Protokoll_3p!H238)-1))&gt;VALUE(RIGHT(Protokoll_3p!H238,LEN(Protokoll_3p!H238)-FIND(":",Protokoll_3p!H238))),1,0))</f>
        <v/>
      </c>
      <c r="E272" s="1" t="str">
        <f>IF(Protokoll_3p!I238="","",IF(VALUE(LEFT(Protokoll_3p!I238,FIND(":",Protokoll_3p!I238)-1))&gt;VALUE(RIGHT(Protokoll_3p!I238,LEN(Protokoll_3p!I238)-FIND(":",Protokoll_3p!I238))),1,0))</f>
        <v/>
      </c>
      <c r="F272" s="1" t="str">
        <f>IF(Protokoll_3p!J238="","",IF(VALUE(LEFT(Protokoll_3p!J238,FIND(":",Protokoll_3p!J238)-1))&gt;VALUE(RIGHT(Protokoll_3p!J238,LEN(Protokoll_3p!J238)-FIND(":",Protokoll_3p!J238))),1,0))</f>
        <v/>
      </c>
      <c r="G272" s="1" t="str">
        <f t="shared" si="8"/>
        <v/>
      </c>
      <c r="I272" s="1" t="str">
        <f>IF(Protokoll_3p!F238="","",IF(VALUE(LEFT(Protokoll_3p!F238,FIND(":",Protokoll_3p!F238)-1))&gt;VALUE(RIGHT(Protokoll_3p!F238,LEN(Protokoll_3p!F238)-FIND(":",Protokoll_3p!F238))),0,1))</f>
        <v/>
      </c>
      <c r="J272" s="1" t="str">
        <f>IF(Protokoll_3p!G238="","",IF(VALUE(LEFT(Protokoll_3p!G238,FIND(":",Protokoll_3p!G238)-1))&gt;VALUE(RIGHT(Protokoll_3p!G238,LEN(Protokoll_3p!G238)-FIND(":",Protokoll_3p!G238))),0,1))</f>
        <v/>
      </c>
      <c r="K272" s="1" t="str">
        <f>IF(Protokoll_3p!H238="","",IF(VALUE(LEFT(Protokoll_3p!H238,FIND(":",Protokoll_3p!H238)-1))&gt;VALUE(RIGHT(Protokoll_3p!H238,LEN(Protokoll_3p!H238)-FIND(":",Protokoll_3p!H238))),0,1))</f>
        <v/>
      </c>
      <c r="L272" s="1" t="str">
        <f>IF(Protokoll_3p!I238="","",IF(VALUE(LEFT(Protokoll_3p!I238,FIND(":",Protokoll_3p!I238)-1))&gt;VALUE(RIGHT(Protokoll_3p!I238,LEN(Protokoll_3p!I238)-FIND(":",Protokoll_3p!I238))),0,1))</f>
        <v/>
      </c>
      <c r="M272" s="1" t="str">
        <f>IF(Protokoll_3p!J238="","",IF(VALUE(LEFT(Protokoll_3p!J238,FIND(":",Protokoll_3p!J238)-1))&gt;VALUE(RIGHT(Protokoll_3p!J238,LEN(Protokoll_3p!J238)-FIND(":",Protokoll_3p!J238))),0,1))</f>
        <v/>
      </c>
      <c r="N272" s="1" t="str">
        <f t="shared" si="9"/>
        <v/>
      </c>
    </row>
    <row r="273" spans="2:14">
      <c r="B273" s="1" t="str">
        <f>IF(Protokoll_3p!F239="","",IF(VALUE(LEFT(Protokoll_3p!F239,FIND(":",Protokoll_3p!F239)-1))&gt;VALUE(RIGHT(Protokoll_3p!F239,LEN(Protokoll_3p!F239)-FIND(":",Protokoll_3p!F239))),1,0))</f>
        <v/>
      </c>
      <c r="C273" s="1" t="str">
        <f>IF(Protokoll_3p!G239="","",IF(VALUE(LEFT(Protokoll_3p!G239,FIND(":",Protokoll_3p!G239)-1))&gt;VALUE(RIGHT(Protokoll_3p!G239,LEN(Protokoll_3p!G239)-FIND(":",Protokoll_3p!G239))),1,0))</f>
        <v/>
      </c>
      <c r="D273" s="1" t="str">
        <f>IF(Protokoll_3p!H239="","",IF(VALUE(LEFT(Protokoll_3p!H239,FIND(":",Protokoll_3p!H239)-1))&gt;VALUE(RIGHT(Protokoll_3p!H239,LEN(Protokoll_3p!H239)-FIND(":",Protokoll_3p!H239))),1,0))</f>
        <v/>
      </c>
      <c r="E273" s="1" t="str">
        <f>IF(Protokoll_3p!I239="","",IF(VALUE(LEFT(Protokoll_3p!I239,FIND(":",Protokoll_3p!I239)-1))&gt;VALUE(RIGHT(Protokoll_3p!I239,LEN(Protokoll_3p!I239)-FIND(":",Protokoll_3p!I239))),1,0))</f>
        <v/>
      </c>
      <c r="F273" s="1" t="str">
        <f>IF(Protokoll_3p!J239="","",IF(VALUE(LEFT(Protokoll_3p!J239,FIND(":",Protokoll_3p!J239)-1))&gt;VALUE(RIGHT(Protokoll_3p!J239,LEN(Protokoll_3p!J239)-FIND(":",Protokoll_3p!J239))),1,0))</f>
        <v/>
      </c>
      <c r="G273" s="1" t="str">
        <f t="shared" si="8"/>
        <v/>
      </c>
      <c r="I273" s="1" t="str">
        <f>IF(Protokoll_3p!F239="","",IF(VALUE(LEFT(Protokoll_3p!F239,FIND(":",Protokoll_3p!F239)-1))&gt;VALUE(RIGHT(Protokoll_3p!F239,LEN(Protokoll_3p!F239)-FIND(":",Protokoll_3p!F239))),0,1))</f>
        <v/>
      </c>
      <c r="J273" s="1" t="str">
        <f>IF(Protokoll_3p!G239="","",IF(VALUE(LEFT(Protokoll_3p!G239,FIND(":",Protokoll_3p!G239)-1))&gt;VALUE(RIGHT(Protokoll_3p!G239,LEN(Protokoll_3p!G239)-FIND(":",Protokoll_3p!G239))),0,1))</f>
        <v/>
      </c>
      <c r="K273" s="1" t="str">
        <f>IF(Protokoll_3p!H239="","",IF(VALUE(LEFT(Protokoll_3p!H239,FIND(":",Protokoll_3p!H239)-1))&gt;VALUE(RIGHT(Protokoll_3p!H239,LEN(Protokoll_3p!H239)-FIND(":",Protokoll_3p!H239))),0,1))</f>
        <v/>
      </c>
      <c r="L273" s="1" t="str">
        <f>IF(Protokoll_3p!I239="","",IF(VALUE(LEFT(Protokoll_3p!I239,FIND(":",Protokoll_3p!I239)-1))&gt;VALUE(RIGHT(Protokoll_3p!I239,LEN(Protokoll_3p!I239)-FIND(":",Protokoll_3p!I239))),0,1))</f>
        <v/>
      </c>
      <c r="M273" s="1" t="str">
        <f>IF(Protokoll_3p!J239="","",IF(VALUE(LEFT(Protokoll_3p!J239,FIND(":",Protokoll_3p!J239)-1))&gt;VALUE(RIGHT(Protokoll_3p!J239,LEN(Protokoll_3p!J239)-FIND(":",Protokoll_3p!J239))),0,1))</f>
        <v/>
      </c>
      <c r="N273" s="1" t="str">
        <f t="shared" si="9"/>
        <v/>
      </c>
    </row>
    <row r="274" spans="2:14">
      <c r="B274" s="1" t="str">
        <f>IF(Protokoll_3p!F240="","",IF(VALUE(LEFT(Protokoll_3p!F240,FIND(":",Protokoll_3p!F240)-1))&gt;VALUE(RIGHT(Protokoll_3p!F240,LEN(Protokoll_3p!F240)-FIND(":",Protokoll_3p!F240))),1,0))</f>
        <v/>
      </c>
      <c r="C274" s="1" t="str">
        <f>IF(Protokoll_3p!G240="","",IF(VALUE(LEFT(Protokoll_3p!G240,FIND(":",Protokoll_3p!G240)-1))&gt;VALUE(RIGHT(Protokoll_3p!G240,LEN(Protokoll_3p!G240)-FIND(":",Protokoll_3p!G240))),1,0))</f>
        <v/>
      </c>
      <c r="D274" s="1" t="str">
        <f>IF(Protokoll_3p!H240="","",IF(VALUE(LEFT(Protokoll_3p!H240,FIND(":",Protokoll_3p!H240)-1))&gt;VALUE(RIGHT(Protokoll_3p!H240,LEN(Protokoll_3p!H240)-FIND(":",Protokoll_3p!H240))),1,0))</f>
        <v/>
      </c>
      <c r="E274" s="1" t="str">
        <f>IF(Protokoll_3p!I240="","",IF(VALUE(LEFT(Protokoll_3p!I240,FIND(":",Protokoll_3p!I240)-1))&gt;VALUE(RIGHT(Protokoll_3p!I240,LEN(Protokoll_3p!I240)-FIND(":",Protokoll_3p!I240))),1,0))</f>
        <v/>
      </c>
      <c r="F274" s="1" t="str">
        <f>IF(Protokoll_3p!J240="","",IF(VALUE(LEFT(Protokoll_3p!J240,FIND(":",Protokoll_3p!J240)-1))&gt;VALUE(RIGHT(Protokoll_3p!J240,LEN(Protokoll_3p!J240)-FIND(":",Protokoll_3p!J240))),1,0))</f>
        <v/>
      </c>
      <c r="G274" s="1" t="str">
        <f t="shared" si="8"/>
        <v/>
      </c>
      <c r="I274" s="1" t="str">
        <f>IF(Protokoll_3p!F240="","",IF(VALUE(LEFT(Protokoll_3p!F240,FIND(":",Protokoll_3p!F240)-1))&gt;VALUE(RIGHT(Protokoll_3p!F240,LEN(Protokoll_3p!F240)-FIND(":",Protokoll_3p!F240))),0,1))</f>
        <v/>
      </c>
      <c r="J274" s="1" t="str">
        <f>IF(Protokoll_3p!G240="","",IF(VALUE(LEFT(Protokoll_3p!G240,FIND(":",Protokoll_3p!G240)-1))&gt;VALUE(RIGHT(Protokoll_3p!G240,LEN(Protokoll_3p!G240)-FIND(":",Protokoll_3p!G240))),0,1))</f>
        <v/>
      </c>
      <c r="K274" s="1" t="str">
        <f>IF(Protokoll_3p!H240="","",IF(VALUE(LEFT(Protokoll_3p!H240,FIND(":",Protokoll_3p!H240)-1))&gt;VALUE(RIGHT(Protokoll_3p!H240,LEN(Protokoll_3p!H240)-FIND(":",Protokoll_3p!H240))),0,1))</f>
        <v/>
      </c>
      <c r="L274" s="1" t="str">
        <f>IF(Protokoll_3p!I240="","",IF(VALUE(LEFT(Protokoll_3p!I240,FIND(":",Protokoll_3p!I240)-1))&gt;VALUE(RIGHT(Protokoll_3p!I240,LEN(Protokoll_3p!I240)-FIND(":",Protokoll_3p!I240))),0,1))</f>
        <v/>
      </c>
      <c r="M274" s="1" t="str">
        <f>IF(Protokoll_3p!J240="","",IF(VALUE(LEFT(Protokoll_3p!J240,FIND(":",Protokoll_3p!J240)-1))&gt;VALUE(RIGHT(Protokoll_3p!J240,LEN(Protokoll_3p!J240)-FIND(":",Protokoll_3p!J240))),0,1))</f>
        <v/>
      </c>
      <c r="N274" s="1" t="str">
        <f t="shared" si="9"/>
        <v/>
      </c>
    </row>
    <row r="275" spans="2:14">
      <c r="B275" s="1" t="str">
        <f>IF(Protokoll_3p!F241="","",IF(VALUE(LEFT(Protokoll_3p!F241,FIND(":",Protokoll_3p!F241)-1))&gt;VALUE(RIGHT(Protokoll_3p!F241,LEN(Protokoll_3p!F241)-FIND(":",Protokoll_3p!F241))),1,0))</f>
        <v/>
      </c>
      <c r="C275" s="1" t="str">
        <f>IF(Protokoll_3p!G241="","",IF(VALUE(LEFT(Protokoll_3p!G241,FIND(":",Protokoll_3p!G241)-1))&gt;VALUE(RIGHT(Protokoll_3p!G241,LEN(Protokoll_3p!G241)-FIND(":",Protokoll_3p!G241))),1,0))</f>
        <v/>
      </c>
      <c r="D275" s="1" t="str">
        <f>IF(Protokoll_3p!H241="","",IF(VALUE(LEFT(Protokoll_3p!H241,FIND(":",Protokoll_3p!H241)-1))&gt;VALUE(RIGHT(Protokoll_3p!H241,LEN(Protokoll_3p!H241)-FIND(":",Protokoll_3p!H241))),1,0))</f>
        <v/>
      </c>
      <c r="E275" s="1" t="str">
        <f>IF(Protokoll_3p!I241="","",IF(VALUE(LEFT(Protokoll_3p!I241,FIND(":",Protokoll_3p!I241)-1))&gt;VALUE(RIGHT(Protokoll_3p!I241,LEN(Protokoll_3p!I241)-FIND(":",Protokoll_3p!I241))),1,0))</f>
        <v/>
      </c>
      <c r="F275" s="1" t="str">
        <f>IF(Protokoll_3p!J241="","",IF(VALUE(LEFT(Protokoll_3p!J241,FIND(":",Protokoll_3p!J241)-1))&gt;VALUE(RIGHT(Protokoll_3p!J241,LEN(Protokoll_3p!J241)-FIND(":",Protokoll_3p!J241))),1,0))</f>
        <v/>
      </c>
      <c r="G275" s="1" t="str">
        <f t="shared" si="8"/>
        <v/>
      </c>
      <c r="I275" s="1" t="str">
        <f>IF(Protokoll_3p!F241="","",IF(VALUE(LEFT(Protokoll_3p!F241,FIND(":",Protokoll_3p!F241)-1))&gt;VALUE(RIGHT(Protokoll_3p!F241,LEN(Protokoll_3p!F241)-FIND(":",Protokoll_3p!F241))),0,1))</f>
        <v/>
      </c>
      <c r="J275" s="1" t="str">
        <f>IF(Protokoll_3p!G241="","",IF(VALUE(LEFT(Protokoll_3p!G241,FIND(":",Protokoll_3p!G241)-1))&gt;VALUE(RIGHT(Protokoll_3p!G241,LEN(Protokoll_3p!G241)-FIND(":",Protokoll_3p!G241))),0,1))</f>
        <v/>
      </c>
      <c r="K275" s="1" t="str">
        <f>IF(Protokoll_3p!H241="","",IF(VALUE(LEFT(Protokoll_3p!H241,FIND(":",Protokoll_3p!H241)-1))&gt;VALUE(RIGHT(Protokoll_3p!H241,LEN(Protokoll_3p!H241)-FIND(":",Protokoll_3p!H241))),0,1))</f>
        <v/>
      </c>
      <c r="L275" s="1" t="str">
        <f>IF(Protokoll_3p!I241="","",IF(VALUE(LEFT(Protokoll_3p!I241,FIND(":",Protokoll_3p!I241)-1))&gt;VALUE(RIGHT(Protokoll_3p!I241,LEN(Protokoll_3p!I241)-FIND(":",Protokoll_3p!I241))),0,1))</f>
        <v/>
      </c>
      <c r="M275" s="1" t="str">
        <f>IF(Protokoll_3p!J241="","",IF(VALUE(LEFT(Protokoll_3p!J241,FIND(":",Protokoll_3p!J241)-1))&gt;VALUE(RIGHT(Protokoll_3p!J241,LEN(Protokoll_3p!J241)-FIND(":",Protokoll_3p!J241))),0,1))</f>
        <v/>
      </c>
      <c r="N275" s="1" t="str">
        <f t="shared" si="9"/>
        <v/>
      </c>
    </row>
    <row r="276" spans="2:14">
      <c r="B276" s="1" t="str">
        <f>IF(Protokoll_3p!F242="","",IF(VALUE(LEFT(Protokoll_3p!F242,FIND(":",Protokoll_3p!F242)-1))&gt;VALUE(RIGHT(Protokoll_3p!F242,LEN(Protokoll_3p!F242)-FIND(":",Protokoll_3p!F242))),1,0))</f>
        <v/>
      </c>
      <c r="C276" s="1" t="str">
        <f>IF(Protokoll_3p!G242="","",IF(VALUE(LEFT(Protokoll_3p!G242,FIND(":",Protokoll_3p!G242)-1))&gt;VALUE(RIGHT(Protokoll_3p!G242,LEN(Protokoll_3p!G242)-FIND(":",Protokoll_3p!G242))),1,0))</f>
        <v/>
      </c>
      <c r="D276" s="1" t="str">
        <f>IF(Protokoll_3p!H242="","",IF(VALUE(LEFT(Protokoll_3p!H242,FIND(":",Protokoll_3p!H242)-1))&gt;VALUE(RIGHT(Protokoll_3p!H242,LEN(Protokoll_3p!H242)-FIND(":",Protokoll_3p!H242))),1,0))</f>
        <v/>
      </c>
      <c r="E276" s="1" t="str">
        <f>IF(Protokoll_3p!I242="","",IF(VALUE(LEFT(Protokoll_3p!I242,FIND(":",Protokoll_3p!I242)-1))&gt;VALUE(RIGHT(Protokoll_3p!I242,LEN(Protokoll_3p!I242)-FIND(":",Protokoll_3p!I242))),1,0))</f>
        <v/>
      </c>
      <c r="F276" s="1" t="str">
        <f>IF(Protokoll_3p!J242="","",IF(VALUE(LEFT(Protokoll_3p!J242,FIND(":",Protokoll_3p!J242)-1))&gt;VALUE(RIGHT(Protokoll_3p!J242,LEN(Protokoll_3p!J242)-FIND(":",Protokoll_3p!J242))),1,0))</f>
        <v/>
      </c>
      <c r="G276" s="1" t="str">
        <f t="shared" si="8"/>
        <v/>
      </c>
      <c r="I276" s="1" t="str">
        <f>IF(Protokoll_3p!F242="","",IF(VALUE(LEFT(Protokoll_3p!F242,FIND(":",Protokoll_3p!F242)-1))&gt;VALUE(RIGHT(Protokoll_3p!F242,LEN(Protokoll_3p!F242)-FIND(":",Protokoll_3p!F242))),0,1))</f>
        <v/>
      </c>
      <c r="J276" s="1" t="str">
        <f>IF(Protokoll_3p!G242="","",IF(VALUE(LEFT(Protokoll_3p!G242,FIND(":",Protokoll_3p!G242)-1))&gt;VALUE(RIGHT(Protokoll_3p!G242,LEN(Protokoll_3p!G242)-FIND(":",Protokoll_3p!G242))),0,1))</f>
        <v/>
      </c>
      <c r="K276" s="1" t="str">
        <f>IF(Protokoll_3p!H242="","",IF(VALUE(LEFT(Protokoll_3p!H242,FIND(":",Protokoll_3p!H242)-1))&gt;VALUE(RIGHT(Protokoll_3p!H242,LEN(Protokoll_3p!H242)-FIND(":",Protokoll_3p!H242))),0,1))</f>
        <v/>
      </c>
      <c r="L276" s="1" t="str">
        <f>IF(Protokoll_3p!I242="","",IF(VALUE(LEFT(Protokoll_3p!I242,FIND(":",Protokoll_3p!I242)-1))&gt;VALUE(RIGHT(Protokoll_3p!I242,LEN(Protokoll_3p!I242)-FIND(":",Protokoll_3p!I242))),0,1))</f>
        <v/>
      </c>
      <c r="M276" s="1" t="str">
        <f>IF(Protokoll_3p!J242="","",IF(VALUE(LEFT(Protokoll_3p!J242,FIND(":",Protokoll_3p!J242)-1))&gt;VALUE(RIGHT(Protokoll_3p!J242,LEN(Protokoll_3p!J242)-FIND(":",Protokoll_3p!J242))),0,1))</f>
        <v/>
      </c>
      <c r="N276" s="1" t="str">
        <f t="shared" si="9"/>
        <v/>
      </c>
    </row>
    <row r="277" spans="2:14">
      <c r="B277" s="1" t="str">
        <f>IF(Protokoll_3p!F243="","",IF(VALUE(LEFT(Protokoll_3p!F243,FIND(":",Protokoll_3p!F243)-1))&gt;VALUE(RIGHT(Protokoll_3p!F243,LEN(Protokoll_3p!F243)-FIND(":",Protokoll_3p!F243))),1,0))</f>
        <v/>
      </c>
      <c r="C277" s="1" t="str">
        <f>IF(Protokoll_3p!G243="","",IF(VALUE(LEFT(Protokoll_3p!G243,FIND(":",Protokoll_3p!G243)-1))&gt;VALUE(RIGHT(Protokoll_3p!G243,LEN(Protokoll_3p!G243)-FIND(":",Protokoll_3p!G243))),1,0))</f>
        <v/>
      </c>
      <c r="D277" s="1" t="str">
        <f>IF(Protokoll_3p!H243="","",IF(VALUE(LEFT(Protokoll_3p!H243,FIND(":",Protokoll_3p!H243)-1))&gt;VALUE(RIGHT(Protokoll_3p!H243,LEN(Protokoll_3p!H243)-FIND(":",Protokoll_3p!H243))),1,0))</f>
        <v/>
      </c>
      <c r="E277" s="1" t="str">
        <f>IF(Protokoll_3p!I243="","",IF(VALUE(LEFT(Protokoll_3p!I243,FIND(":",Protokoll_3p!I243)-1))&gt;VALUE(RIGHT(Protokoll_3p!I243,LEN(Protokoll_3p!I243)-FIND(":",Protokoll_3p!I243))),1,0))</f>
        <v/>
      </c>
      <c r="F277" s="1" t="str">
        <f>IF(Protokoll_3p!J243="","",IF(VALUE(LEFT(Protokoll_3p!J243,FIND(":",Protokoll_3p!J243)-1))&gt;VALUE(RIGHT(Protokoll_3p!J243,LEN(Protokoll_3p!J243)-FIND(":",Protokoll_3p!J243))),1,0))</f>
        <v/>
      </c>
      <c r="G277" s="1" t="str">
        <f t="shared" si="8"/>
        <v/>
      </c>
      <c r="I277" s="1" t="str">
        <f>IF(Protokoll_3p!F243="","",IF(VALUE(LEFT(Protokoll_3p!F243,FIND(":",Protokoll_3p!F243)-1))&gt;VALUE(RIGHT(Protokoll_3p!F243,LEN(Protokoll_3p!F243)-FIND(":",Protokoll_3p!F243))),0,1))</f>
        <v/>
      </c>
      <c r="J277" s="1" t="str">
        <f>IF(Protokoll_3p!G243="","",IF(VALUE(LEFT(Protokoll_3p!G243,FIND(":",Protokoll_3p!G243)-1))&gt;VALUE(RIGHT(Protokoll_3p!G243,LEN(Protokoll_3p!G243)-FIND(":",Protokoll_3p!G243))),0,1))</f>
        <v/>
      </c>
      <c r="K277" s="1" t="str">
        <f>IF(Protokoll_3p!H243="","",IF(VALUE(LEFT(Protokoll_3p!H243,FIND(":",Protokoll_3p!H243)-1))&gt;VALUE(RIGHT(Protokoll_3p!H243,LEN(Protokoll_3p!H243)-FIND(":",Protokoll_3p!H243))),0,1))</f>
        <v/>
      </c>
      <c r="L277" s="1" t="str">
        <f>IF(Protokoll_3p!I243="","",IF(VALUE(LEFT(Protokoll_3p!I243,FIND(":",Protokoll_3p!I243)-1))&gt;VALUE(RIGHT(Protokoll_3p!I243,LEN(Protokoll_3p!I243)-FIND(":",Protokoll_3p!I243))),0,1))</f>
        <v/>
      </c>
      <c r="M277" s="1" t="str">
        <f>IF(Protokoll_3p!J243="","",IF(VALUE(LEFT(Protokoll_3p!J243,FIND(":",Protokoll_3p!J243)-1))&gt;VALUE(RIGHT(Protokoll_3p!J243,LEN(Protokoll_3p!J243)-FIND(":",Protokoll_3p!J243))),0,1))</f>
        <v/>
      </c>
      <c r="N277" s="1" t="str">
        <f t="shared" si="9"/>
        <v/>
      </c>
    </row>
    <row r="278" spans="2:14">
      <c r="B278" s="1" t="str">
        <f>IF(Protokoll_3p!F244="","",IF(VALUE(LEFT(Protokoll_3p!F244,FIND(":",Protokoll_3p!F244)-1))&gt;VALUE(RIGHT(Protokoll_3p!F244,LEN(Protokoll_3p!F244)-FIND(":",Protokoll_3p!F244))),1,0))</f>
        <v/>
      </c>
      <c r="C278" s="1" t="str">
        <f>IF(Protokoll_3p!G244="","",IF(VALUE(LEFT(Protokoll_3p!G244,FIND(":",Protokoll_3p!G244)-1))&gt;VALUE(RIGHT(Protokoll_3p!G244,LEN(Protokoll_3p!G244)-FIND(":",Protokoll_3p!G244))),1,0))</f>
        <v/>
      </c>
      <c r="D278" s="1" t="str">
        <f>IF(Protokoll_3p!H244="","",IF(VALUE(LEFT(Protokoll_3p!H244,FIND(":",Protokoll_3p!H244)-1))&gt;VALUE(RIGHT(Protokoll_3p!H244,LEN(Protokoll_3p!H244)-FIND(":",Protokoll_3p!H244))),1,0))</f>
        <v/>
      </c>
      <c r="E278" s="1" t="str">
        <f>IF(Protokoll_3p!I244="","",IF(VALUE(LEFT(Protokoll_3p!I244,FIND(":",Protokoll_3p!I244)-1))&gt;VALUE(RIGHT(Protokoll_3p!I244,LEN(Protokoll_3p!I244)-FIND(":",Protokoll_3p!I244))),1,0))</f>
        <v/>
      </c>
      <c r="F278" s="1" t="str">
        <f>IF(Protokoll_3p!J244="","",IF(VALUE(LEFT(Protokoll_3p!J244,FIND(":",Protokoll_3p!J244)-1))&gt;VALUE(RIGHT(Protokoll_3p!J244,LEN(Protokoll_3p!J244)-FIND(":",Protokoll_3p!J244))),1,0))</f>
        <v/>
      </c>
      <c r="G278" s="1" t="str">
        <f t="shared" si="8"/>
        <v/>
      </c>
      <c r="I278" s="1" t="str">
        <f>IF(Protokoll_3p!F244="","",IF(VALUE(LEFT(Protokoll_3p!F244,FIND(":",Protokoll_3p!F244)-1))&gt;VALUE(RIGHT(Protokoll_3p!F244,LEN(Protokoll_3p!F244)-FIND(":",Protokoll_3p!F244))),0,1))</f>
        <v/>
      </c>
      <c r="J278" s="1" t="str">
        <f>IF(Protokoll_3p!G244="","",IF(VALUE(LEFT(Protokoll_3p!G244,FIND(":",Protokoll_3p!G244)-1))&gt;VALUE(RIGHT(Protokoll_3p!G244,LEN(Protokoll_3p!G244)-FIND(":",Protokoll_3p!G244))),0,1))</f>
        <v/>
      </c>
      <c r="K278" s="1" t="str">
        <f>IF(Protokoll_3p!H244="","",IF(VALUE(LEFT(Protokoll_3p!H244,FIND(":",Protokoll_3p!H244)-1))&gt;VALUE(RIGHT(Protokoll_3p!H244,LEN(Protokoll_3p!H244)-FIND(":",Protokoll_3p!H244))),0,1))</f>
        <v/>
      </c>
      <c r="L278" s="1" t="str">
        <f>IF(Protokoll_3p!I244="","",IF(VALUE(LEFT(Protokoll_3p!I244,FIND(":",Protokoll_3p!I244)-1))&gt;VALUE(RIGHT(Protokoll_3p!I244,LEN(Protokoll_3p!I244)-FIND(":",Protokoll_3p!I244))),0,1))</f>
        <v/>
      </c>
      <c r="M278" s="1" t="str">
        <f>IF(Protokoll_3p!J244="","",IF(VALUE(LEFT(Protokoll_3p!J244,FIND(":",Protokoll_3p!J244)-1))&gt;VALUE(RIGHT(Protokoll_3p!J244,LEN(Protokoll_3p!J244)-FIND(":",Protokoll_3p!J244))),0,1))</f>
        <v/>
      </c>
      <c r="N278" s="1" t="str">
        <f t="shared" si="9"/>
        <v/>
      </c>
    </row>
    <row r="279" spans="2:14">
      <c r="B279" s="1" t="str">
        <f>IF(Protokoll_3p!F245="","",IF(VALUE(LEFT(Protokoll_3p!F245,FIND(":",Protokoll_3p!F245)-1))&gt;VALUE(RIGHT(Protokoll_3p!F245,LEN(Protokoll_3p!F245)-FIND(":",Protokoll_3p!F245))),1,0))</f>
        <v/>
      </c>
      <c r="C279" s="1" t="str">
        <f>IF(Protokoll_3p!G245="","",IF(VALUE(LEFT(Protokoll_3p!G245,FIND(":",Protokoll_3p!G245)-1))&gt;VALUE(RIGHT(Protokoll_3p!G245,LEN(Protokoll_3p!G245)-FIND(":",Protokoll_3p!G245))),1,0))</f>
        <v/>
      </c>
      <c r="D279" s="1" t="str">
        <f>IF(Protokoll_3p!H245="","",IF(VALUE(LEFT(Protokoll_3p!H245,FIND(":",Protokoll_3p!H245)-1))&gt;VALUE(RIGHT(Protokoll_3p!H245,LEN(Protokoll_3p!H245)-FIND(":",Protokoll_3p!H245))),1,0))</f>
        <v/>
      </c>
      <c r="E279" s="1" t="str">
        <f>IF(Protokoll_3p!I245="","",IF(VALUE(LEFT(Protokoll_3p!I245,FIND(":",Protokoll_3p!I245)-1))&gt;VALUE(RIGHT(Protokoll_3p!I245,LEN(Protokoll_3p!I245)-FIND(":",Protokoll_3p!I245))),1,0))</f>
        <v/>
      </c>
      <c r="F279" s="1" t="str">
        <f>IF(Protokoll_3p!J245="","",IF(VALUE(LEFT(Protokoll_3p!J245,FIND(":",Protokoll_3p!J245)-1))&gt;VALUE(RIGHT(Protokoll_3p!J245,LEN(Protokoll_3p!J245)-FIND(":",Protokoll_3p!J245))),1,0))</f>
        <v/>
      </c>
      <c r="G279" s="1" t="str">
        <f t="shared" si="8"/>
        <v/>
      </c>
      <c r="I279" s="1" t="str">
        <f>IF(Protokoll_3p!F245="","",IF(VALUE(LEFT(Protokoll_3p!F245,FIND(":",Protokoll_3p!F245)-1))&gt;VALUE(RIGHT(Protokoll_3p!F245,LEN(Protokoll_3p!F245)-FIND(":",Protokoll_3p!F245))),0,1))</f>
        <v/>
      </c>
      <c r="J279" s="1" t="str">
        <f>IF(Protokoll_3p!G245="","",IF(VALUE(LEFT(Protokoll_3p!G245,FIND(":",Protokoll_3p!G245)-1))&gt;VALUE(RIGHT(Protokoll_3p!G245,LEN(Protokoll_3p!G245)-FIND(":",Protokoll_3p!G245))),0,1))</f>
        <v/>
      </c>
      <c r="K279" s="1" t="str">
        <f>IF(Protokoll_3p!H245="","",IF(VALUE(LEFT(Protokoll_3p!H245,FIND(":",Protokoll_3p!H245)-1))&gt;VALUE(RIGHT(Protokoll_3p!H245,LEN(Protokoll_3p!H245)-FIND(":",Protokoll_3p!H245))),0,1))</f>
        <v/>
      </c>
      <c r="L279" s="1" t="str">
        <f>IF(Protokoll_3p!I245="","",IF(VALUE(LEFT(Protokoll_3p!I245,FIND(":",Protokoll_3p!I245)-1))&gt;VALUE(RIGHT(Protokoll_3p!I245,LEN(Protokoll_3p!I245)-FIND(":",Protokoll_3p!I245))),0,1))</f>
        <v/>
      </c>
      <c r="M279" s="1" t="str">
        <f>IF(Protokoll_3p!J245="","",IF(VALUE(LEFT(Protokoll_3p!J245,FIND(":",Protokoll_3p!J245)-1))&gt;VALUE(RIGHT(Protokoll_3p!J245,LEN(Protokoll_3p!J245)-FIND(":",Protokoll_3p!J245))),0,1))</f>
        <v/>
      </c>
      <c r="N279" s="1" t="str">
        <f t="shared" si="9"/>
        <v/>
      </c>
    </row>
    <row r="280" spans="2:14">
      <c r="B280" s="1" t="str">
        <f>IF(Protokoll_3p!F246="","",IF(VALUE(LEFT(Protokoll_3p!F246,FIND(":",Protokoll_3p!F246)-1))&gt;VALUE(RIGHT(Protokoll_3p!F246,LEN(Protokoll_3p!F246)-FIND(":",Protokoll_3p!F246))),1,0))</f>
        <v/>
      </c>
      <c r="C280" s="1" t="str">
        <f>IF(Protokoll_3p!G246="","",IF(VALUE(LEFT(Protokoll_3p!G246,FIND(":",Protokoll_3p!G246)-1))&gt;VALUE(RIGHT(Protokoll_3p!G246,LEN(Protokoll_3p!G246)-FIND(":",Protokoll_3p!G246))),1,0))</f>
        <v/>
      </c>
      <c r="D280" s="1" t="str">
        <f>IF(Protokoll_3p!H246="","",IF(VALUE(LEFT(Protokoll_3p!H246,FIND(":",Protokoll_3p!H246)-1))&gt;VALUE(RIGHT(Protokoll_3p!H246,LEN(Protokoll_3p!H246)-FIND(":",Protokoll_3p!H246))),1,0))</f>
        <v/>
      </c>
      <c r="E280" s="1" t="str">
        <f>IF(Protokoll_3p!I246="","",IF(VALUE(LEFT(Protokoll_3p!I246,FIND(":",Protokoll_3p!I246)-1))&gt;VALUE(RIGHT(Protokoll_3p!I246,LEN(Protokoll_3p!I246)-FIND(":",Protokoll_3p!I246))),1,0))</f>
        <v/>
      </c>
      <c r="F280" s="1" t="str">
        <f>IF(Protokoll_3p!J246="","",IF(VALUE(LEFT(Protokoll_3p!J246,FIND(":",Protokoll_3p!J246)-1))&gt;VALUE(RIGHT(Protokoll_3p!J246,LEN(Protokoll_3p!J246)-FIND(":",Protokoll_3p!J246))),1,0))</f>
        <v/>
      </c>
      <c r="G280" s="1" t="str">
        <f t="shared" si="8"/>
        <v/>
      </c>
      <c r="I280" s="1" t="str">
        <f>IF(Protokoll_3p!F246="","",IF(VALUE(LEFT(Protokoll_3p!F246,FIND(":",Protokoll_3p!F246)-1))&gt;VALUE(RIGHT(Protokoll_3p!F246,LEN(Protokoll_3p!F246)-FIND(":",Protokoll_3p!F246))),0,1))</f>
        <v/>
      </c>
      <c r="J280" s="1" t="str">
        <f>IF(Protokoll_3p!G246="","",IF(VALUE(LEFT(Protokoll_3p!G246,FIND(":",Protokoll_3p!G246)-1))&gt;VALUE(RIGHT(Protokoll_3p!G246,LEN(Protokoll_3p!G246)-FIND(":",Protokoll_3p!G246))),0,1))</f>
        <v/>
      </c>
      <c r="K280" s="1" t="str">
        <f>IF(Protokoll_3p!H246="","",IF(VALUE(LEFT(Protokoll_3p!H246,FIND(":",Protokoll_3p!H246)-1))&gt;VALUE(RIGHT(Protokoll_3p!H246,LEN(Protokoll_3p!H246)-FIND(":",Protokoll_3p!H246))),0,1))</f>
        <v/>
      </c>
      <c r="L280" s="1" t="str">
        <f>IF(Protokoll_3p!I246="","",IF(VALUE(LEFT(Protokoll_3p!I246,FIND(":",Protokoll_3p!I246)-1))&gt;VALUE(RIGHT(Protokoll_3p!I246,LEN(Protokoll_3p!I246)-FIND(":",Protokoll_3p!I246))),0,1))</f>
        <v/>
      </c>
      <c r="M280" s="1" t="str">
        <f>IF(Protokoll_3p!J246="","",IF(VALUE(LEFT(Protokoll_3p!J246,FIND(":",Protokoll_3p!J246)-1))&gt;VALUE(RIGHT(Protokoll_3p!J246,LEN(Protokoll_3p!J246)-FIND(":",Protokoll_3p!J246))),0,1))</f>
        <v/>
      </c>
      <c r="N280" s="1" t="str">
        <f t="shared" si="9"/>
        <v/>
      </c>
    </row>
    <row r="281" spans="2:14">
      <c r="B281" s="1" t="str">
        <f>IF(Protokoll_3p!F247="","",IF(VALUE(LEFT(Protokoll_3p!F247,FIND(":",Protokoll_3p!F247)-1))&gt;VALUE(RIGHT(Protokoll_3p!F247,LEN(Protokoll_3p!F247)-FIND(":",Protokoll_3p!F247))),1,0))</f>
        <v/>
      </c>
      <c r="C281" s="1" t="str">
        <f>IF(Protokoll_3p!G247="","",IF(VALUE(LEFT(Protokoll_3p!G247,FIND(":",Protokoll_3p!G247)-1))&gt;VALUE(RIGHT(Protokoll_3p!G247,LEN(Protokoll_3p!G247)-FIND(":",Protokoll_3p!G247))),1,0))</f>
        <v/>
      </c>
      <c r="D281" s="1" t="str">
        <f>IF(Protokoll_3p!H247="","",IF(VALUE(LEFT(Protokoll_3p!H247,FIND(":",Protokoll_3p!H247)-1))&gt;VALUE(RIGHT(Protokoll_3p!H247,LEN(Protokoll_3p!H247)-FIND(":",Protokoll_3p!H247))),1,0))</f>
        <v/>
      </c>
      <c r="E281" s="1" t="str">
        <f>IF(Protokoll_3p!I247="","",IF(VALUE(LEFT(Protokoll_3p!I247,FIND(":",Protokoll_3p!I247)-1))&gt;VALUE(RIGHT(Protokoll_3p!I247,LEN(Protokoll_3p!I247)-FIND(":",Protokoll_3p!I247))),1,0))</f>
        <v/>
      </c>
      <c r="F281" s="1" t="str">
        <f>IF(Protokoll_3p!J247="","",IF(VALUE(LEFT(Protokoll_3p!J247,FIND(":",Protokoll_3p!J247)-1))&gt;VALUE(RIGHT(Protokoll_3p!J247,LEN(Protokoll_3p!J247)-FIND(":",Protokoll_3p!J247))),1,0))</f>
        <v/>
      </c>
      <c r="G281" s="1" t="str">
        <f t="shared" si="8"/>
        <v/>
      </c>
      <c r="I281" s="1" t="str">
        <f>IF(Protokoll_3p!F247="","",IF(VALUE(LEFT(Protokoll_3p!F247,FIND(":",Protokoll_3p!F247)-1))&gt;VALUE(RIGHT(Protokoll_3p!F247,LEN(Protokoll_3p!F247)-FIND(":",Protokoll_3p!F247))),0,1))</f>
        <v/>
      </c>
      <c r="J281" s="1" t="str">
        <f>IF(Protokoll_3p!G247="","",IF(VALUE(LEFT(Protokoll_3p!G247,FIND(":",Protokoll_3p!G247)-1))&gt;VALUE(RIGHT(Protokoll_3p!G247,LEN(Protokoll_3p!G247)-FIND(":",Protokoll_3p!G247))),0,1))</f>
        <v/>
      </c>
      <c r="K281" s="1" t="str">
        <f>IF(Protokoll_3p!H247="","",IF(VALUE(LEFT(Protokoll_3p!H247,FIND(":",Protokoll_3p!H247)-1))&gt;VALUE(RIGHT(Protokoll_3p!H247,LEN(Protokoll_3p!H247)-FIND(":",Protokoll_3p!H247))),0,1))</f>
        <v/>
      </c>
      <c r="L281" s="1" t="str">
        <f>IF(Protokoll_3p!I247="","",IF(VALUE(LEFT(Protokoll_3p!I247,FIND(":",Protokoll_3p!I247)-1))&gt;VALUE(RIGHT(Protokoll_3p!I247,LEN(Protokoll_3p!I247)-FIND(":",Protokoll_3p!I247))),0,1))</f>
        <v/>
      </c>
      <c r="M281" s="1" t="str">
        <f>IF(Protokoll_3p!J247="","",IF(VALUE(LEFT(Protokoll_3p!J247,FIND(":",Protokoll_3p!J247)-1))&gt;VALUE(RIGHT(Protokoll_3p!J247,LEN(Protokoll_3p!J247)-FIND(":",Protokoll_3p!J247))),0,1))</f>
        <v/>
      </c>
      <c r="N281" s="1" t="str">
        <f t="shared" si="9"/>
        <v/>
      </c>
    </row>
    <row r="282" spans="2:14">
      <c r="B282" s="1" t="str">
        <f>IF(Protokoll_3p!F248="","",IF(VALUE(LEFT(Protokoll_3p!F248,FIND(":",Protokoll_3p!F248)-1))&gt;VALUE(RIGHT(Protokoll_3p!F248,LEN(Protokoll_3p!F248)-FIND(":",Protokoll_3p!F248))),1,0))</f>
        <v/>
      </c>
      <c r="C282" s="1" t="str">
        <f>IF(Protokoll_3p!G248="","",IF(VALUE(LEFT(Protokoll_3p!G248,FIND(":",Protokoll_3p!G248)-1))&gt;VALUE(RIGHT(Protokoll_3p!G248,LEN(Protokoll_3p!G248)-FIND(":",Protokoll_3p!G248))),1,0))</f>
        <v/>
      </c>
      <c r="D282" s="1" t="str">
        <f>IF(Protokoll_3p!H248="","",IF(VALUE(LEFT(Protokoll_3p!H248,FIND(":",Protokoll_3p!H248)-1))&gt;VALUE(RIGHT(Protokoll_3p!H248,LEN(Protokoll_3p!H248)-FIND(":",Protokoll_3p!H248))),1,0))</f>
        <v/>
      </c>
      <c r="E282" s="1" t="str">
        <f>IF(Protokoll_3p!I248="","",IF(VALUE(LEFT(Protokoll_3p!I248,FIND(":",Protokoll_3p!I248)-1))&gt;VALUE(RIGHT(Protokoll_3p!I248,LEN(Protokoll_3p!I248)-FIND(":",Protokoll_3p!I248))),1,0))</f>
        <v/>
      </c>
      <c r="F282" s="1" t="str">
        <f>IF(Protokoll_3p!J248="","",IF(VALUE(LEFT(Protokoll_3p!J248,FIND(":",Protokoll_3p!J248)-1))&gt;VALUE(RIGHT(Protokoll_3p!J248,LEN(Protokoll_3p!J248)-FIND(":",Protokoll_3p!J248))),1,0))</f>
        <v/>
      </c>
      <c r="G282" s="1" t="str">
        <f t="shared" si="8"/>
        <v/>
      </c>
      <c r="I282" s="1" t="str">
        <f>IF(Protokoll_3p!F248="","",IF(VALUE(LEFT(Protokoll_3p!F248,FIND(":",Protokoll_3p!F248)-1))&gt;VALUE(RIGHT(Protokoll_3p!F248,LEN(Protokoll_3p!F248)-FIND(":",Protokoll_3p!F248))),0,1))</f>
        <v/>
      </c>
      <c r="J282" s="1" t="str">
        <f>IF(Protokoll_3p!G248="","",IF(VALUE(LEFT(Protokoll_3p!G248,FIND(":",Protokoll_3p!G248)-1))&gt;VALUE(RIGHT(Protokoll_3p!G248,LEN(Protokoll_3p!G248)-FIND(":",Protokoll_3p!G248))),0,1))</f>
        <v/>
      </c>
      <c r="K282" s="1" t="str">
        <f>IF(Protokoll_3p!H248="","",IF(VALUE(LEFT(Protokoll_3p!H248,FIND(":",Protokoll_3p!H248)-1))&gt;VALUE(RIGHT(Protokoll_3p!H248,LEN(Protokoll_3p!H248)-FIND(":",Protokoll_3p!H248))),0,1))</f>
        <v/>
      </c>
      <c r="L282" s="1" t="str">
        <f>IF(Protokoll_3p!I248="","",IF(VALUE(LEFT(Protokoll_3p!I248,FIND(":",Protokoll_3p!I248)-1))&gt;VALUE(RIGHT(Protokoll_3p!I248,LEN(Protokoll_3p!I248)-FIND(":",Protokoll_3p!I248))),0,1))</f>
        <v/>
      </c>
      <c r="M282" s="1" t="str">
        <f>IF(Protokoll_3p!J248="","",IF(VALUE(LEFT(Protokoll_3p!J248,FIND(":",Protokoll_3p!J248)-1))&gt;VALUE(RIGHT(Protokoll_3p!J248,LEN(Protokoll_3p!J248)-FIND(":",Protokoll_3p!J248))),0,1))</f>
        <v/>
      </c>
      <c r="N282" s="1" t="str">
        <f t="shared" si="9"/>
        <v/>
      </c>
    </row>
    <row r="283" spans="2:14">
      <c r="B283" s="1" t="str">
        <f>IF(Protokoll_3p!F249="","",IF(VALUE(LEFT(Protokoll_3p!F249,FIND(":",Protokoll_3p!F249)-1))&gt;VALUE(RIGHT(Protokoll_3p!F249,LEN(Protokoll_3p!F249)-FIND(":",Protokoll_3p!F249))),1,0))</f>
        <v/>
      </c>
      <c r="C283" s="1" t="str">
        <f>IF(Protokoll_3p!G249="","",IF(VALUE(LEFT(Protokoll_3p!G249,FIND(":",Protokoll_3p!G249)-1))&gt;VALUE(RIGHT(Protokoll_3p!G249,LEN(Protokoll_3p!G249)-FIND(":",Protokoll_3p!G249))),1,0))</f>
        <v/>
      </c>
      <c r="D283" s="1" t="str">
        <f>IF(Protokoll_3p!H249="","",IF(VALUE(LEFT(Protokoll_3p!H249,FIND(":",Protokoll_3p!H249)-1))&gt;VALUE(RIGHT(Protokoll_3p!H249,LEN(Protokoll_3p!H249)-FIND(":",Protokoll_3p!H249))),1,0))</f>
        <v/>
      </c>
      <c r="E283" s="1" t="str">
        <f>IF(Protokoll_3p!I249="","",IF(VALUE(LEFT(Protokoll_3p!I249,FIND(":",Protokoll_3p!I249)-1))&gt;VALUE(RIGHT(Protokoll_3p!I249,LEN(Protokoll_3p!I249)-FIND(":",Protokoll_3p!I249))),1,0))</f>
        <v/>
      </c>
      <c r="F283" s="1" t="str">
        <f>IF(Protokoll_3p!J249="","",IF(VALUE(LEFT(Protokoll_3p!J249,FIND(":",Protokoll_3p!J249)-1))&gt;VALUE(RIGHT(Protokoll_3p!J249,LEN(Protokoll_3p!J249)-FIND(":",Protokoll_3p!J249))),1,0))</f>
        <v/>
      </c>
      <c r="G283" s="1" t="str">
        <f t="shared" si="8"/>
        <v/>
      </c>
      <c r="I283" s="1" t="str">
        <f>IF(Protokoll_3p!F249="","",IF(VALUE(LEFT(Protokoll_3p!F249,FIND(":",Protokoll_3p!F249)-1))&gt;VALUE(RIGHT(Protokoll_3p!F249,LEN(Protokoll_3p!F249)-FIND(":",Protokoll_3p!F249))),0,1))</f>
        <v/>
      </c>
      <c r="J283" s="1" t="str">
        <f>IF(Protokoll_3p!G249="","",IF(VALUE(LEFT(Protokoll_3p!G249,FIND(":",Protokoll_3p!G249)-1))&gt;VALUE(RIGHT(Protokoll_3p!G249,LEN(Protokoll_3p!G249)-FIND(":",Protokoll_3p!G249))),0,1))</f>
        <v/>
      </c>
      <c r="K283" s="1" t="str">
        <f>IF(Protokoll_3p!H249="","",IF(VALUE(LEFT(Protokoll_3p!H249,FIND(":",Protokoll_3p!H249)-1))&gt;VALUE(RIGHT(Protokoll_3p!H249,LEN(Protokoll_3p!H249)-FIND(":",Protokoll_3p!H249))),0,1))</f>
        <v/>
      </c>
      <c r="L283" s="1" t="str">
        <f>IF(Protokoll_3p!I249="","",IF(VALUE(LEFT(Protokoll_3p!I249,FIND(":",Protokoll_3p!I249)-1))&gt;VALUE(RIGHT(Protokoll_3p!I249,LEN(Protokoll_3p!I249)-FIND(":",Protokoll_3p!I249))),0,1))</f>
        <v/>
      </c>
      <c r="M283" s="1" t="str">
        <f>IF(Protokoll_3p!J249="","",IF(VALUE(LEFT(Protokoll_3p!J249,FIND(":",Protokoll_3p!J249)-1))&gt;VALUE(RIGHT(Protokoll_3p!J249,LEN(Protokoll_3p!J249)-FIND(":",Protokoll_3p!J249))),0,1))</f>
        <v/>
      </c>
      <c r="N283" s="1" t="str">
        <f t="shared" si="9"/>
        <v/>
      </c>
    </row>
    <row r="284" spans="2:14">
      <c r="B284" s="1" t="str">
        <f>IF(Protokoll_3p!F250="","",IF(VALUE(LEFT(Protokoll_3p!F250,FIND(":",Protokoll_3p!F250)-1))&gt;VALUE(RIGHT(Protokoll_3p!F250,LEN(Protokoll_3p!F250)-FIND(":",Protokoll_3p!F250))),1,0))</f>
        <v/>
      </c>
      <c r="C284" s="1" t="str">
        <f>IF(Protokoll_3p!G250="","",IF(VALUE(LEFT(Protokoll_3p!G250,FIND(":",Protokoll_3p!G250)-1))&gt;VALUE(RIGHT(Protokoll_3p!G250,LEN(Protokoll_3p!G250)-FIND(":",Protokoll_3p!G250))),1,0))</f>
        <v/>
      </c>
      <c r="D284" s="1" t="str">
        <f>IF(Protokoll_3p!H250="","",IF(VALUE(LEFT(Protokoll_3p!H250,FIND(":",Protokoll_3p!H250)-1))&gt;VALUE(RIGHT(Protokoll_3p!H250,LEN(Protokoll_3p!H250)-FIND(":",Protokoll_3p!H250))),1,0))</f>
        <v/>
      </c>
      <c r="E284" s="1" t="str">
        <f>IF(Protokoll_3p!I250="","",IF(VALUE(LEFT(Protokoll_3p!I250,FIND(":",Protokoll_3p!I250)-1))&gt;VALUE(RIGHT(Protokoll_3p!I250,LEN(Protokoll_3p!I250)-FIND(":",Protokoll_3p!I250))),1,0))</f>
        <v/>
      </c>
      <c r="F284" s="1" t="str">
        <f>IF(Protokoll_3p!J250="","",IF(VALUE(LEFT(Protokoll_3p!J250,FIND(":",Protokoll_3p!J250)-1))&gt;VALUE(RIGHT(Protokoll_3p!J250,LEN(Protokoll_3p!J250)-FIND(":",Protokoll_3p!J250))),1,0))</f>
        <v/>
      </c>
      <c r="G284" s="1" t="str">
        <f t="shared" si="8"/>
        <v/>
      </c>
      <c r="I284" s="1" t="str">
        <f>IF(Protokoll_3p!F250="","",IF(VALUE(LEFT(Protokoll_3p!F250,FIND(":",Protokoll_3p!F250)-1))&gt;VALUE(RIGHT(Protokoll_3p!F250,LEN(Protokoll_3p!F250)-FIND(":",Protokoll_3p!F250))),0,1))</f>
        <v/>
      </c>
      <c r="J284" s="1" t="str">
        <f>IF(Protokoll_3p!G250="","",IF(VALUE(LEFT(Protokoll_3p!G250,FIND(":",Protokoll_3p!G250)-1))&gt;VALUE(RIGHT(Protokoll_3p!G250,LEN(Protokoll_3p!G250)-FIND(":",Protokoll_3p!G250))),0,1))</f>
        <v/>
      </c>
      <c r="K284" s="1" t="str">
        <f>IF(Protokoll_3p!H250="","",IF(VALUE(LEFT(Protokoll_3p!H250,FIND(":",Protokoll_3p!H250)-1))&gt;VALUE(RIGHT(Protokoll_3p!H250,LEN(Protokoll_3p!H250)-FIND(":",Protokoll_3p!H250))),0,1))</f>
        <v/>
      </c>
      <c r="L284" s="1" t="str">
        <f>IF(Protokoll_3p!I250="","",IF(VALUE(LEFT(Protokoll_3p!I250,FIND(":",Protokoll_3p!I250)-1))&gt;VALUE(RIGHT(Protokoll_3p!I250,LEN(Protokoll_3p!I250)-FIND(":",Protokoll_3p!I250))),0,1))</f>
        <v/>
      </c>
      <c r="M284" s="1" t="str">
        <f>IF(Protokoll_3p!J250="","",IF(VALUE(LEFT(Protokoll_3p!J250,FIND(":",Protokoll_3p!J250)-1))&gt;VALUE(RIGHT(Protokoll_3p!J250,LEN(Protokoll_3p!J250)-FIND(":",Protokoll_3p!J250))),0,1))</f>
        <v/>
      </c>
      <c r="N284" s="1" t="str">
        <f t="shared" si="9"/>
        <v/>
      </c>
    </row>
    <row r="285" spans="2:14">
      <c r="B285" s="1" t="str">
        <f>IF(Protokoll_3p!F251="","",IF(VALUE(LEFT(Protokoll_3p!F251,FIND(":",Protokoll_3p!F251)-1))&gt;VALUE(RIGHT(Protokoll_3p!F251,LEN(Protokoll_3p!F251)-FIND(":",Protokoll_3p!F251))),1,0))</f>
        <v/>
      </c>
      <c r="C285" s="1" t="str">
        <f>IF(Protokoll_3p!G251="","",IF(VALUE(LEFT(Protokoll_3p!G251,FIND(":",Protokoll_3p!G251)-1))&gt;VALUE(RIGHT(Protokoll_3p!G251,LEN(Protokoll_3p!G251)-FIND(":",Protokoll_3p!G251))),1,0))</f>
        <v/>
      </c>
      <c r="D285" s="1" t="str">
        <f>IF(Protokoll_3p!H251="","",IF(VALUE(LEFT(Protokoll_3p!H251,FIND(":",Protokoll_3p!H251)-1))&gt;VALUE(RIGHT(Protokoll_3p!H251,LEN(Protokoll_3p!H251)-FIND(":",Protokoll_3p!H251))),1,0))</f>
        <v/>
      </c>
      <c r="E285" s="1" t="str">
        <f>IF(Protokoll_3p!I251="","",IF(VALUE(LEFT(Protokoll_3p!I251,FIND(":",Protokoll_3p!I251)-1))&gt;VALUE(RIGHT(Protokoll_3p!I251,LEN(Protokoll_3p!I251)-FIND(":",Protokoll_3p!I251))),1,0))</f>
        <v/>
      </c>
      <c r="F285" s="1" t="str">
        <f>IF(Protokoll_3p!J251="","",IF(VALUE(LEFT(Protokoll_3p!J251,FIND(":",Protokoll_3p!J251)-1))&gt;VALUE(RIGHT(Protokoll_3p!J251,LEN(Protokoll_3p!J251)-FIND(":",Protokoll_3p!J251))),1,0))</f>
        <v/>
      </c>
      <c r="G285" s="1" t="str">
        <f t="shared" si="8"/>
        <v/>
      </c>
      <c r="I285" s="1" t="str">
        <f>IF(Protokoll_3p!F251="","",IF(VALUE(LEFT(Protokoll_3p!F251,FIND(":",Protokoll_3p!F251)-1))&gt;VALUE(RIGHT(Protokoll_3p!F251,LEN(Protokoll_3p!F251)-FIND(":",Protokoll_3p!F251))),0,1))</f>
        <v/>
      </c>
      <c r="J285" s="1" t="str">
        <f>IF(Protokoll_3p!G251="","",IF(VALUE(LEFT(Protokoll_3p!G251,FIND(":",Protokoll_3p!G251)-1))&gt;VALUE(RIGHT(Protokoll_3p!G251,LEN(Protokoll_3p!G251)-FIND(":",Protokoll_3p!G251))),0,1))</f>
        <v/>
      </c>
      <c r="K285" s="1" t="str">
        <f>IF(Protokoll_3p!H251="","",IF(VALUE(LEFT(Protokoll_3p!H251,FIND(":",Protokoll_3p!H251)-1))&gt;VALUE(RIGHT(Protokoll_3p!H251,LEN(Protokoll_3p!H251)-FIND(":",Protokoll_3p!H251))),0,1))</f>
        <v/>
      </c>
      <c r="L285" s="1" t="str">
        <f>IF(Protokoll_3p!I251="","",IF(VALUE(LEFT(Protokoll_3p!I251,FIND(":",Protokoll_3p!I251)-1))&gt;VALUE(RIGHT(Protokoll_3p!I251,LEN(Protokoll_3p!I251)-FIND(":",Protokoll_3p!I251))),0,1))</f>
        <v/>
      </c>
      <c r="M285" s="1" t="str">
        <f>IF(Protokoll_3p!J251="","",IF(VALUE(LEFT(Protokoll_3p!J251,FIND(":",Protokoll_3p!J251)-1))&gt;VALUE(RIGHT(Protokoll_3p!J251,LEN(Protokoll_3p!J251)-FIND(":",Protokoll_3p!J251))),0,1))</f>
        <v/>
      </c>
      <c r="N285" s="1" t="str">
        <f t="shared" si="9"/>
        <v/>
      </c>
    </row>
    <row r="286" spans="2:14">
      <c r="B286" s="1" t="str">
        <f>IF(Protokoll_3p!F257="","",IF(VALUE(LEFT(Protokoll_3p!F257,FIND(":",Protokoll_3p!F257)-1))&gt;VALUE(RIGHT(Protokoll_3p!F257,LEN(Protokoll_3p!F257)-FIND(":",Protokoll_3p!F257))),1,0))</f>
        <v/>
      </c>
      <c r="C286" s="1" t="str">
        <f>IF(Protokoll_3p!G257="","",IF(VALUE(LEFT(Protokoll_3p!G257,FIND(":",Protokoll_3p!G257)-1))&gt;VALUE(RIGHT(Protokoll_3p!G257,LEN(Protokoll_3p!G257)-FIND(":",Protokoll_3p!G257))),1,0))</f>
        <v/>
      </c>
      <c r="D286" s="1" t="str">
        <f>IF(Protokoll_3p!H257="","",IF(VALUE(LEFT(Protokoll_3p!H257,FIND(":",Protokoll_3p!H257)-1))&gt;VALUE(RIGHT(Protokoll_3p!H257,LEN(Protokoll_3p!H257)-FIND(":",Protokoll_3p!H257))),1,0))</f>
        <v/>
      </c>
      <c r="E286" s="1" t="str">
        <f>IF(Protokoll_3p!I257="","",IF(VALUE(LEFT(Protokoll_3p!I257,FIND(":",Protokoll_3p!I257)-1))&gt;VALUE(RIGHT(Protokoll_3p!I257,LEN(Protokoll_3p!I257)-FIND(":",Protokoll_3p!I257))),1,0))</f>
        <v/>
      </c>
      <c r="F286" s="1" t="str">
        <f>IF(Protokoll_3p!J257="","",IF(VALUE(LEFT(Protokoll_3p!J257,FIND(":",Protokoll_3p!J257)-1))&gt;VALUE(RIGHT(Protokoll_3p!J257,LEN(Protokoll_3p!J257)-FIND(":",Protokoll_3p!J257))),1,0))</f>
        <v/>
      </c>
      <c r="G286" s="1" t="str">
        <f t="shared" si="8"/>
        <v/>
      </c>
      <c r="I286" s="1" t="str">
        <f>IF(Protokoll_3p!F257="","",IF(VALUE(LEFT(Protokoll_3p!F257,FIND(":",Protokoll_3p!F257)-1))&gt;VALUE(RIGHT(Protokoll_3p!F257,LEN(Protokoll_3p!F257)-FIND(":",Protokoll_3p!F257))),0,1))</f>
        <v/>
      </c>
      <c r="J286" s="1" t="str">
        <f>IF(Protokoll_3p!G257="","",IF(VALUE(LEFT(Protokoll_3p!G257,FIND(":",Protokoll_3p!G257)-1))&gt;VALUE(RIGHT(Protokoll_3p!G257,LEN(Protokoll_3p!G257)-FIND(":",Protokoll_3p!G257))),0,1))</f>
        <v/>
      </c>
      <c r="K286" s="1" t="str">
        <f>IF(Protokoll_3p!H257="","",IF(VALUE(LEFT(Protokoll_3p!H257,FIND(":",Protokoll_3p!H257)-1))&gt;VALUE(RIGHT(Protokoll_3p!H257,LEN(Protokoll_3p!H257)-FIND(":",Protokoll_3p!H257))),0,1))</f>
        <v/>
      </c>
      <c r="L286" s="1" t="str">
        <f>IF(Protokoll_3p!I257="","",IF(VALUE(LEFT(Protokoll_3p!I257,FIND(":",Protokoll_3p!I257)-1))&gt;VALUE(RIGHT(Protokoll_3p!I257,LEN(Protokoll_3p!I257)-FIND(":",Protokoll_3p!I257))),0,1))</f>
        <v/>
      </c>
      <c r="M286" s="1" t="str">
        <f>IF(Protokoll_3p!J257="","",IF(VALUE(LEFT(Protokoll_3p!J257,FIND(":",Protokoll_3p!J257)-1))&gt;VALUE(RIGHT(Protokoll_3p!J257,LEN(Protokoll_3p!J257)-FIND(":",Protokoll_3p!J257))),0,1))</f>
        <v/>
      </c>
      <c r="N286" s="1" t="str">
        <f t="shared" si="9"/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1488B-B250-490D-9BD1-64E4CF4AAFCE}">
  <dimension ref="B1:N286"/>
  <sheetViews>
    <sheetView topLeftCell="A52" workbookViewId="0">
      <selection activeCell="N63" sqref="N63"/>
    </sheetView>
  </sheetViews>
  <sheetFormatPr defaultColWidth="3.28515625" defaultRowHeight="15"/>
  <cols>
    <col min="2" max="4" width="8.5703125" customWidth="1"/>
    <col min="5" max="6" width="8.5703125" style="52" customWidth="1"/>
    <col min="7" max="7" width="8.42578125" bestFit="1" customWidth="1"/>
    <col min="9" max="14" width="8.42578125" bestFit="1" customWidth="1"/>
    <col min="15" max="15" width="1.5703125" customWidth="1"/>
  </cols>
  <sheetData>
    <row r="1" spans="2:14">
      <c r="B1" s="50"/>
      <c r="G1" t="s">
        <v>143</v>
      </c>
      <c r="N1" t="s">
        <v>144</v>
      </c>
    </row>
    <row r="2" spans="2:14">
      <c r="B2" s="1">
        <f>IF(Protokoll_4p!F8="","",IF(VALUE(LEFT(Protokoll_4p!F8,FIND(":",Protokoll_4p!F8)-1))&gt;VALUE(RIGHT(Protokoll_4p!F8,LEN(Protokoll_4p!F8)-FIND(":",Protokoll_4p!F8))),1,0))</f>
        <v>0</v>
      </c>
      <c r="C2" s="1">
        <f>IF(Protokoll_4p!G8="","",IF(VALUE(LEFT(Protokoll_4p!G8,FIND(":",Protokoll_4p!G8)-1))&gt;VALUE(RIGHT(Protokoll_4p!G8,LEN(Protokoll_4p!G8)-FIND(":",Protokoll_4p!G8))),1,0))</f>
        <v>0</v>
      </c>
      <c r="D2" s="1">
        <f>IF(Protokoll_4p!H8="","",IF(VALUE(LEFT(Protokoll_4p!H8,FIND(":",Protokoll_4p!H8)-1))&gt;VALUE(RIGHT(Protokoll_4p!H8,LEN(Protokoll_4p!H8)-FIND(":",Protokoll_4p!H8))),1,0))</f>
        <v>0</v>
      </c>
      <c r="E2" s="1" t="str">
        <f>IF(Protokoll_4p!I8="","",IF(VALUE(LEFT(Protokoll_4p!I8,FIND(":",Protokoll_4p!I8)-1))&gt;VALUE(RIGHT(Protokoll_4p!I8,LEN(Protokoll_4p!I8)-FIND(":",Protokoll_4p!I8))),1,0))</f>
        <v/>
      </c>
      <c r="F2" s="1" t="str">
        <f>IF(Protokoll_4p!J8="","",IF(VALUE(LEFT(Protokoll_4p!J8,FIND(":",Protokoll_4p!J8)-1))&gt;VALUE(RIGHT(Protokoll_4p!J8,LEN(Protokoll_4p!J8)-FIND(":",Protokoll_4p!J8))),1,0))</f>
        <v/>
      </c>
      <c r="G2" s="1">
        <f>IF(B2="","",SUM(B2:F2))</f>
        <v>0</v>
      </c>
      <c r="I2" s="1">
        <f>IF(Protokoll_4p!F8="","",IF(VALUE(LEFT(Protokoll_4p!F8,FIND(":",Protokoll_4p!F8)-1))&gt;VALUE(RIGHT(Protokoll_4p!F8,LEN(Protokoll_4p!F8)-FIND(":",Protokoll_4p!F8))),0,1))</f>
        <v>1</v>
      </c>
      <c r="J2" s="1">
        <f>IF(Protokoll_4p!G8="","",IF(VALUE(LEFT(Protokoll_4p!G8,FIND(":",Protokoll_4p!G8)-1))&gt;VALUE(RIGHT(Protokoll_4p!G8,LEN(Protokoll_4p!G8)-FIND(":",Protokoll_4p!G8))),0,1))</f>
        <v>1</v>
      </c>
      <c r="K2" s="1">
        <f>IF(Protokoll_4p!H8="","",IF(VALUE(LEFT(Protokoll_4p!H8,FIND(":",Protokoll_4p!H8)-1))&gt;VALUE(RIGHT(Protokoll_4p!H8,LEN(Protokoll_4p!H8)-FIND(":",Protokoll_4p!H8))),0,1))</f>
        <v>1</v>
      </c>
      <c r="L2" s="1" t="str">
        <f>IF(Protokoll_4p!I8="","",IF(VALUE(LEFT(Protokoll_4p!I8,FIND(":",Protokoll_4p!I8)-1))&gt;VALUE(RIGHT(Protokoll_4p!I8,LEN(Protokoll_4p!I8)-FIND(":",Protokoll_4p!I8))),0,1))</f>
        <v/>
      </c>
      <c r="M2" s="1" t="str">
        <f>IF(Protokoll_4p!J8="","",IF(VALUE(LEFT(Protokoll_4p!J8,FIND(":",Protokoll_4p!J8)-1))&gt;VALUE(RIGHT(Protokoll_4p!J8,LEN(Protokoll_4p!J8)-FIND(":",Protokoll_4p!J8))),0,1))</f>
        <v/>
      </c>
      <c r="N2" s="1">
        <f>IF(I2="","",SUM(I2:M2))</f>
        <v>3</v>
      </c>
    </row>
    <row r="3" spans="2:14">
      <c r="B3" s="1">
        <f>IF(Protokoll_4p!F9="","",IF(VALUE(LEFT(Protokoll_4p!F9,FIND(":",Protokoll_4p!F9)-1))&gt;VALUE(RIGHT(Protokoll_4p!F9,LEN(Protokoll_4p!F9)-FIND(":",Protokoll_4p!F9))),1,0))</f>
        <v>0</v>
      </c>
      <c r="C3" s="1">
        <f>IF(Protokoll_4p!G9="","",IF(VALUE(LEFT(Protokoll_4p!G9,FIND(":",Protokoll_4p!G9)-1))&gt;VALUE(RIGHT(Protokoll_4p!G9,LEN(Protokoll_4p!G9)-FIND(":",Protokoll_4p!G9))),1,0))</f>
        <v>0</v>
      </c>
      <c r="D3" s="1">
        <f>IF(Protokoll_4p!H9="","",IF(VALUE(LEFT(Protokoll_4p!H9,FIND(":",Protokoll_4p!H9)-1))&gt;VALUE(RIGHT(Protokoll_4p!H9,LEN(Protokoll_4p!H9)-FIND(":",Protokoll_4p!H9))),1,0))</f>
        <v>0</v>
      </c>
      <c r="E3" s="1" t="str">
        <f>IF(Protokoll_4p!I9="","",IF(VALUE(LEFT(Protokoll_4p!I9,FIND(":",Protokoll_4p!I9)-1))&gt;VALUE(RIGHT(Protokoll_4p!I9,LEN(Protokoll_4p!I9)-FIND(":",Protokoll_4p!I9))),1,0))</f>
        <v/>
      </c>
      <c r="F3" s="1" t="str">
        <f>IF(Protokoll_4p!J9="","",IF(VALUE(LEFT(Protokoll_4p!J9,FIND(":",Protokoll_4p!J9)-1))&gt;VALUE(RIGHT(Protokoll_4p!J9,LEN(Protokoll_4p!J9)-FIND(":",Protokoll_4p!J9))),1,0))</f>
        <v/>
      </c>
      <c r="G3" s="1">
        <f t="shared" ref="G3:G66" si="0">IF(B3="","",SUM(B3:F3))</f>
        <v>0</v>
      </c>
      <c r="I3" s="1">
        <f>IF(Protokoll_4p!F9="","",IF(VALUE(LEFT(Protokoll_4p!F9,FIND(":",Protokoll_4p!F9)-1))&gt;VALUE(RIGHT(Protokoll_4p!F9,LEN(Protokoll_4p!F9)-FIND(":",Protokoll_4p!F9))),0,1))</f>
        <v>1</v>
      </c>
      <c r="J3" s="1">
        <f>IF(Protokoll_4p!G9="","",IF(VALUE(LEFT(Protokoll_4p!G9,FIND(":",Protokoll_4p!G9)-1))&gt;VALUE(RIGHT(Protokoll_4p!G9,LEN(Protokoll_4p!G9)-FIND(":",Protokoll_4p!G9))),0,1))</f>
        <v>1</v>
      </c>
      <c r="K3" s="1">
        <f>IF(Protokoll_4p!H9="","",IF(VALUE(LEFT(Protokoll_4p!H9,FIND(":",Protokoll_4p!H9)-1))&gt;VALUE(RIGHT(Protokoll_4p!H9,LEN(Protokoll_4p!H9)-FIND(":",Protokoll_4p!H9))),0,1))</f>
        <v>1</v>
      </c>
      <c r="L3" s="1" t="str">
        <f>IF(Protokoll_4p!I9="","",IF(VALUE(LEFT(Protokoll_4p!I9,FIND(":",Protokoll_4p!I9)-1))&gt;VALUE(RIGHT(Protokoll_4p!I9,LEN(Protokoll_4p!I9)-FIND(":",Protokoll_4p!I9))),0,1))</f>
        <v/>
      </c>
      <c r="M3" s="1" t="str">
        <f>IF(Protokoll_4p!J9="","",IF(VALUE(LEFT(Protokoll_4p!J9,FIND(":",Protokoll_4p!J9)-1))&gt;VALUE(RIGHT(Protokoll_4p!J9,LEN(Protokoll_4p!J9)-FIND(":",Protokoll_4p!J9))),0,1))</f>
        <v/>
      </c>
      <c r="N3" s="1">
        <f t="shared" ref="N3:N66" si="1">IF(I3="","",SUM(I3:M3))</f>
        <v>3</v>
      </c>
    </row>
    <row r="4" spans="2:14">
      <c r="B4" s="1">
        <f>IF(Protokoll_4p!F10="","",IF(VALUE(LEFT(Protokoll_4p!F10,FIND(":",Protokoll_4p!F10)-1))&gt;VALUE(RIGHT(Protokoll_4p!F10,LEN(Protokoll_4p!F10)-FIND(":",Protokoll_4p!F10))),1,0))</f>
        <v>0</v>
      </c>
      <c r="C4" s="1">
        <f>IF(Protokoll_4p!G10="","",IF(VALUE(LEFT(Protokoll_4p!G10,FIND(":",Protokoll_4p!G10)-1))&gt;VALUE(RIGHT(Protokoll_4p!G10,LEN(Protokoll_4p!G10)-FIND(":",Protokoll_4p!G10))),1,0))</f>
        <v>0</v>
      </c>
      <c r="D4" s="1">
        <f>IF(Protokoll_4p!H10="","",IF(VALUE(LEFT(Protokoll_4p!H10,FIND(":",Protokoll_4p!H10)-1))&gt;VALUE(RIGHT(Protokoll_4p!H10,LEN(Protokoll_4p!H10)-FIND(":",Protokoll_4p!H10))),1,0))</f>
        <v>1</v>
      </c>
      <c r="E4" s="1">
        <f>IF(Protokoll_4p!I10="","",IF(VALUE(LEFT(Protokoll_4p!I10,FIND(":",Protokoll_4p!I10)-1))&gt;VALUE(RIGHT(Protokoll_4p!I10,LEN(Protokoll_4p!I10)-FIND(":",Protokoll_4p!I10))),1,0))</f>
        <v>0</v>
      </c>
      <c r="F4" s="1" t="str">
        <f>IF(Protokoll_4p!J10="","",IF(VALUE(LEFT(Protokoll_4p!J10,FIND(":",Protokoll_4p!J10)-1))&gt;VALUE(RIGHT(Protokoll_4p!J10,LEN(Protokoll_4p!J10)-FIND(":",Protokoll_4p!J10))),1,0))</f>
        <v/>
      </c>
      <c r="G4" s="1">
        <f t="shared" si="0"/>
        <v>1</v>
      </c>
      <c r="I4" s="1">
        <f>IF(Protokoll_4p!F10="","",IF(VALUE(LEFT(Protokoll_4p!F10,FIND(":",Protokoll_4p!F10)-1))&gt;VALUE(RIGHT(Protokoll_4p!F10,LEN(Protokoll_4p!F10)-FIND(":",Protokoll_4p!F10))),0,1))</f>
        <v>1</v>
      </c>
      <c r="J4" s="1">
        <f>IF(Protokoll_4p!G10="","",IF(VALUE(LEFT(Protokoll_4p!G10,FIND(":",Protokoll_4p!G10)-1))&gt;VALUE(RIGHT(Protokoll_4p!G10,LEN(Protokoll_4p!G10)-FIND(":",Protokoll_4p!G10))),0,1))</f>
        <v>1</v>
      </c>
      <c r="K4" s="1">
        <f>IF(Protokoll_4p!H10="","",IF(VALUE(LEFT(Protokoll_4p!H10,FIND(":",Protokoll_4p!H10)-1))&gt;VALUE(RIGHT(Protokoll_4p!H10,LEN(Protokoll_4p!H10)-FIND(":",Protokoll_4p!H10))),0,1))</f>
        <v>0</v>
      </c>
      <c r="L4" s="1">
        <f>IF(Protokoll_4p!I10="","",IF(VALUE(LEFT(Protokoll_4p!I10,FIND(":",Protokoll_4p!I10)-1))&gt;VALUE(RIGHT(Protokoll_4p!I10,LEN(Protokoll_4p!I10)-FIND(":",Protokoll_4p!I10))),0,1))</f>
        <v>1</v>
      </c>
      <c r="M4" s="1" t="str">
        <f>IF(Protokoll_4p!J10="","",IF(VALUE(LEFT(Protokoll_4p!J10,FIND(":",Protokoll_4p!J10)-1))&gt;VALUE(RIGHT(Protokoll_4p!J10,LEN(Protokoll_4p!J10)-FIND(":",Protokoll_4p!J10))),0,1))</f>
        <v/>
      </c>
      <c r="N4" s="1">
        <f t="shared" si="1"/>
        <v>3</v>
      </c>
    </row>
    <row r="5" spans="2:14">
      <c r="B5" s="1">
        <f>IF(Protokoll_4p!F11="","",IF(VALUE(LEFT(Protokoll_4p!F11,FIND(":",Protokoll_4p!F11)-1))&gt;VALUE(RIGHT(Protokoll_4p!F11,LEN(Protokoll_4p!F11)-FIND(":",Protokoll_4p!F11))),1,0))</f>
        <v>0</v>
      </c>
      <c r="C5" s="1">
        <f>IF(Protokoll_4p!G11="","",IF(VALUE(LEFT(Protokoll_4p!G11,FIND(":",Protokoll_4p!G11)-1))&gt;VALUE(RIGHT(Protokoll_4p!G11,LEN(Protokoll_4p!G11)-FIND(":",Protokoll_4p!G11))),1,0))</f>
        <v>0</v>
      </c>
      <c r="D5" s="1">
        <f>IF(Protokoll_4p!H11="","",IF(VALUE(LEFT(Protokoll_4p!H11,FIND(":",Protokoll_4p!H11)-1))&gt;VALUE(RIGHT(Protokoll_4p!H11,LEN(Protokoll_4p!H11)-FIND(":",Protokoll_4p!H11))),1,0))</f>
        <v>0</v>
      </c>
      <c r="E5" s="1" t="str">
        <f>IF(Protokoll_4p!I11="","",IF(VALUE(LEFT(Protokoll_4p!I11,FIND(":",Protokoll_4p!I11)-1))&gt;VALUE(RIGHT(Protokoll_4p!I11,LEN(Protokoll_4p!I11)-FIND(":",Protokoll_4p!I11))),1,0))</f>
        <v/>
      </c>
      <c r="F5" s="1" t="str">
        <f>IF(Protokoll_4p!J11="","",IF(VALUE(LEFT(Protokoll_4p!J11,FIND(":",Protokoll_4p!J11)-1))&gt;VALUE(RIGHT(Protokoll_4p!J11,LEN(Protokoll_4p!J11)-FIND(":",Protokoll_4p!J11))),1,0))</f>
        <v/>
      </c>
      <c r="G5" s="1">
        <f t="shared" si="0"/>
        <v>0</v>
      </c>
      <c r="I5" s="1">
        <f>IF(Protokoll_4p!F11="","",IF(VALUE(LEFT(Protokoll_4p!F11,FIND(":",Protokoll_4p!F11)-1))&gt;VALUE(RIGHT(Protokoll_4p!F11,LEN(Protokoll_4p!F11)-FIND(":",Protokoll_4p!F11))),0,1))</f>
        <v>1</v>
      </c>
      <c r="J5" s="1">
        <f>IF(Protokoll_4p!G11="","",IF(VALUE(LEFT(Protokoll_4p!G11,FIND(":",Protokoll_4p!G11)-1))&gt;VALUE(RIGHT(Protokoll_4p!G11,LEN(Protokoll_4p!G11)-FIND(":",Protokoll_4p!G11))),0,1))</f>
        <v>1</v>
      </c>
      <c r="K5" s="1">
        <f>IF(Protokoll_4p!H11="","",IF(VALUE(LEFT(Protokoll_4p!H11,FIND(":",Protokoll_4p!H11)-1))&gt;VALUE(RIGHT(Protokoll_4p!H11,LEN(Protokoll_4p!H11)-FIND(":",Protokoll_4p!H11))),0,1))</f>
        <v>1</v>
      </c>
      <c r="L5" s="1" t="str">
        <f>IF(Protokoll_4p!I11="","",IF(VALUE(LEFT(Protokoll_4p!I11,FIND(":",Protokoll_4p!I11)-1))&gt;VALUE(RIGHT(Protokoll_4p!I11,LEN(Protokoll_4p!I11)-FIND(":",Protokoll_4p!I11))),0,1))</f>
        <v/>
      </c>
      <c r="M5" s="1" t="str">
        <f>IF(Protokoll_4p!J11="","",IF(VALUE(LEFT(Protokoll_4p!J11,FIND(":",Protokoll_4p!J11)-1))&gt;VALUE(RIGHT(Protokoll_4p!J11,LEN(Protokoll_4p!J11)-FIND(":",Protokoll_4p!J11))),0,1))</f>
        <v/>
      </c>
      <c r="N5" s="1">
        <f t="shared" si="1"/>
        <v>3</v>
      </c>
    </row>
    <row r="6" spans="2:14">
      <c r="B6" s="1" t="str">
        <f>IF(Protokoll_4p!F12="","",IF(VALUE(LEFT(Protokoll_4p!F12,FIND(":",Protokoll_4p!F12)-1))&gt;VALUE(RIGHT(Protokoll_4p!F12,LEN(Protokoll_4p!F12)-FIND(":",Protokoll_4p!F12))),1,0))</f>
        <v/>
      </c>
      <c r="C6" s="1" t="str">
        <f>IF(Protokoll_4p!G12="","",IF(VALUE(LEFT(Protokoll_4p!G12,FIND(":",Protokoll_4p!G12)-1))&gt;VALUE(RIGHT(Protokoll_4p!G12,LEN(Protokoll_4p!G12)-FIND(":",Protokoll_4p!G12))),1,0))</f>
        <v/>
      </c>
      <c r="D6" s="1" t="str">
        <f>IF(Protokoll_4p!H12="","",IF(VALUE(LEFT(Protokoll_4p!H12,FIND(":",Protokoll_4p!H12)-1))&gt;VALUE(RIGHT(Protokoll_4p!H12,LEN(Protokoll_4p!H12)-FIND(":",Protokoll_4p!H12))),1,0))</f>
        <v/>
      </c>
      <c r="E6" s="1" t="str">
        <f>IF(Protokoll_4p!I12="","",IF(VALUE(LEFT(Protokoll_4p!I12,FIND(":",Protokoll_4p!I12)-1))&gt;VALUE(RIGHT(Protokoll_4p!I12,LEN(Protokoll_4p!I12)-FIND(":",Protokoll_4p!I12))),1,0))</f>
        <v/>
      </c>
      <c r="F6" s="1" t="str">
        <f>IF(Protokoll_4p!J12="","",IF(VALUE(LEFT(Protokoll_4p!J12,FIND(":",Protokoll_4p!J12)-1))&gt;VALUE(RIGHT(Protokoll_4p!J12,LEN(Protokoll_4p!J12)-FIND(":",Protokoll_4p!J12))),1,0))</f>
        <v/>
      </c>
      <c r="G6" s="1" t="str">
        <f t="shared" si="0"/>
        <v/>
      </c>
      <c r="I6" s="1" t="str">
        <f>IF(Protokoll_4p!F12="","",IF(VALUE(LEFT(Protokoll_4p!F12,FIND(":",Protokoll_4p!F12)-1))&gt;VALUE(RIGHT(Protokoll_4p!F12,LEN(Protokoll_4p!F12)-FIND(":",Protokoll_4p!F12))),0,1))</f>
        <v/>
      </c>
      <c r="J6" s="1" t="str">
        <f>IF(Protokoll_4p!G12="","",IF(VALUE(LEFT(Protokoll_4p!G12,FIND(":",Protokoll_4p!G12)-1))&gt;VALUE(RIGHT(Protokoll_4p!G12,LEN(Protokoll_4p!G12)-FIND(":",Protokoll_4p!G12))),0,1))</f>
        <v/>
      </c>
      <c r="K6" s="1" t="str">
        <f>IF(Protokoll_4p!H12="","",IF(VALUE(LEFT(Protokoll_4p!H12,FIND(":",Protokoll_4p!H12)-1))&gt;VALUE(RIGHT(Protokoll_4p!H12,LEN(Protokoll_4p!H12)-FIND(":",Protokoll_4p!H12))),0,1))</f>
        <v/>
      </c>
      <c r="L6" s="1" t="str">
        <f>IF(Protokoll_4p!I12="","",IF(VALUE(LEFT(Protokoll_4p!I12,FIND(":",Protokoll_4p!I12)-1))&gt;VALUE(RIGHT(Protokoll_4p!I12,LEN(Protokoll_4p!I12)-FIND(":",Protokoll_4p!I12))),0,1))</f>
        <v/>
      </c>
      <c r="M6" s="1" t="str">
        <f>IF(Protokoll_4p!J12="","",IF(VALUE(LEFT(Protokoll_4p!J12,FIND(":",Protokoll_4p!J12)-1))&gt;VALUE(RIGHT(Protokoll_4p!J12,LEN(Protokoll_4p!J12)-FIND(":",Protokoll_4p!J12))),0,1))</f>
        <v/>
      </c>
      <c r="N6" s="1" t="str">
        <f t="shared" si="1"/>
        <v/>
      </c>
    </row>
    <row r="7" spans="2:14">
      <c r="B7" s="1" t="str">
        <f>IF(Protokoll_4p!F13="","",IF(VALUE(LEFT(Protokoll_4p!F13,FIND(":",Protokoll_4p!F13)-1))&gt;VALUE(RIGHT(Protokoll_4p!F13,LEN(Protokoll_4p!F13)-FIND(":",Protokoll_4p!F13))),1,0))</f>
        <v/>
      </c>
      <c r="C7" s="1" t="str">
        <f>IF(Protokoll_4p!G13="","",IF(VALUE(LEFT(Protokoll_4p!G13,FIND(":",Protokoll_4p!G13)-1))&gt;VALUE(RIGHT(Protokoll_4p!G13,LEN(Protokoll_4p!G13)-FIND(":",Protokoll_4p!G13))),1,0))</f>
        <v/>
      </c>
      <c r="D7" s="1" t="str">
        <f>IF(Protokoll_4p!H13="","",IF(VALUE(LEFT(Protokoll_4p!H13,FIND(":",Protokoll_4p!H13)-1))&gt;VALUE(RIGHT(Protokoll_4p!H13,LEN(Protokoll_4p!H13)-FIND(":",Protokoll_4p!H13))),1,0))</f>
        <v/>
      </c>
      <c r="E7" s="1" t="str">
        <f>IF(Protokoll_4p!I13="","",IF(VALUE(LEFT(Protokoll_4p!I13,FIND(":",Protokoll_4p!I13)-1))&gt;VALUE(RIGHT(Protokoll_4p!I13,LEN(Protokoll_4p!I13)-FIND(":",Protokoll_4p!I13))),1,0))</f>
        <v/>
      </c>
      <c r="F7" s="1" t="str">
        <f>IF(Protokoll_4p!J13="","",IF(VALUE(LEFT(Protokoll_4p!J13,FIND(":",Protokoll_4p!J13)-1))&gt;VALUE(RIGHT(Protokoll_4p!J13,LEN(Protokoll_4p!J13)-FIND(":",Protokoll_4p!J13))),1,0))</f>
        <v/>
      </c>
      <c r="G7" s="1" t="str">
        <f t="shared" si="0"/>
        <v/>
      </c>
      <c r="I7" s="1" t="str">
        <f>IF(Protokoll_4p!F13="","",IF(VALUE(LEFT(Protokoll_4p!F13,FIND(":",Protokoll_4p!F13)-1))&gt;VALUE(RIGHT(Protokoll_4p!F13,LEN(Protokoll_4p!F13)-FIND(":",Protokoll_4p!F13))),0,1))</f>
        <v/>
      </c>
      <c r="J7" s="1" t="str">
        <f>IF(Protokoll_4p!G13="","",IF(VALUE(LEFT(Protokoll_4p!G13,FIND(":",Protokoll_4p!G13)-1))&gt;VALUE(RIGHT(Protokoll_4p!G13,LEN(Protokoll_4p!G13)-FIND(":",Protokoll_4p!G13))),0,1))</f>
        <v/>
      </c>
      <c r="K7" s="1" t="str">
        <f>IF(Protokoll_4p!H13="","",IF(VALUE(LEFT(Protokoll_4p!H13,FIND(":",Protokoll_4p!H13)-1))&gt;VALUE(RIGHT(Protokoll_4p!H13,LEN(Protokoll_4p!H13)-FIND(":",Protokoll_4p!H13))),0,1))</f>
        <v/>
      </c>
      <c r="L7" s="1" t="str">
        <f>IF(Protokoll_4p!I13="","",IF(VALUE(LEFT(Protokoll_4p!I13,FIND(":",Protokoll_4p!I13)-1))&gt;VALUE(RIGHT(Protokoll_4p!I13,LEN(Protokoll_4p!I13)-FIND(":",Protokoll_4p!I13))),0,1))</f>
        <v/>
      </c>
      <c r="M7" s="1" t="str">
        <f>IF(Protokoll_4p!J13="","",IF(VALUE(LEFT(Protokoll_4p!J13,FIND(":",Protokoll_4p!J13)-1))&gt;VALUE(RIGHT(Protokoll_4p!J13,LEN(Protokoll_4p!J13)-FIND(":",Protokoll_4p!J13))),0,1))</f>
        <v/>
      </c>
      <c r="N7" s="1" t="str">
        <f t="shared" si="1"/>
        <v/>
      </c>
    </row>
    <row r="8" spans="2:14">
      <c r="B8" s="1" t="str">
        <f>IF(Protokoll_4p!F14="","",IF(VALUE(LEFT(Protokoll_4p!F14,FIND(":",Protokoll_4p!F14)-1))&gt;VALUE(RIGHT(Protokoll_4p!F14,LEN(Protokoll_4p!F14)-FIND(":",Protokoll_4p!F14))),1,0))</f>
        <v/>
      </c>
      <c r="C8" s="1" t="str">
        <f>IF(Protokoll_4p!G14="","",IF(VALUE(LEFT(Protokoll_4p!G14,FIND(":",Protokoll_4p!G14)-1))&gt;VALUE(RIGHT(Protokoll_4p!G14,LEN(Protokoll_4p!G14)-FIND(":",Protokoll_4p!G14))),1,0))</f>
        <v/>
      </c>
      <c r="D8" s="1" t="str">
        <f>IF(Protokoll_4p!H14="","",IF(VALUE(LEFT(Protokoll_4p!H14,FIND(":",Protokoll_4p!H14)-1))&gt;VALUE(RIGHT(Protokoll_4p!H14,LEN(Protokoll_4p!H14)-FIND(":",Protokoll_4p!H14))),1,0))</f>
        <v/>
      </c>
      <c r="E8" s="1" t="str">
        <f>IF(Protokoll_4p!I14="","",IF(VALUE(LEFT(Protokoll_4p!I14,FIND(":",Protokoll_4p!I14)-1))&gt;VALUE(RIGHT(Protokoll_4p!I14,LEN(Protokoll_4p!I14)-FIND(":",Protokoll_4p!I14))),1,0))</f>
        <v/>
      </c>
      <c r="F8" s="1" t="str">
        <f>IF(Protokoll_4p!J14="","",IF(VALUE(LEFT(Protokoll_4p!J14,FIND(":",Protokoll_4p!J14)-1))&gt;VALUE(RIGHT(Protokoll_4p!J14,LEN(Protokoll_4p!J14)-FIND(":",Protokoll_4p!J14))),1,0))</f>
        <v/>
      </c>
      <c r="G8" s="1" t="str">
        <f t="shared" si="0"/>
        <v/>
      </c>
      <c r="I8" s="1" t="str">
        <f>IF(Protokoll_4p!F14="","",IF(VALUE(LEFT(Protokoll_4p!F14,FIND(":",Protokoll_4p!F14)-1))&gt;VALUE(RIGHT(Protokoll_4p!F14,LEN(Protokoll_4p!F14)-FIND(":",Protokoll_4p!F14))),0,1))</f>
        <v/>
      </c>
      <c r="J8" s="1" t="str">
        <f>IF(Protokoll_4p!G14="","",IF(VALUE(LEFT(Protokoll_4p!G14,FIND(":",Protokoll_4p!G14)-1))&gt;VALUE(RIGHT(Protokoll_4p!G14,LEN(Protokoll_4p!G14)-FIND(":",Protokoll_4p!G14))),0,1))</f>
        <v/>
      </c>
      <c r="K8" s="1" t="str">
        <f>IF(Protokoll_4p!H14="","",IF(VALUE(LEFT(Protokoll_4p!H14,FIND(":",Protokoll_4p!H14)-1))&gt;VALUE(RIGHT(Protokoll_4p!H14,LEN(Protokoll_4p!H14)-FIND(":",Protokoll_4p!H14))),0,1))</f>
        <v/>
      </c>
      <c r="L8" s="1" t="str">
        <f>IF(Protokoll_4p!I14="","",IF(VALUE(LEFT(Protokoll_4p!I14,FIND(":",Protokoll_4p!I14)-1))&gt;VALUE(RIGHT(Protokoll_4p!I14,LEN(Protokoll_4p!I14)-FIND(":",Protokoll_4p!I14))),0,1))</f>
        <v/>
      </c>
      <c r="M8" s="1" t="str">
        <f>IF(Protokoll_4p!J14="","",IF(VALUE(LEFT(Protokoll_4p!J14,FIND(":",Protokoll_4p!J14)-1))&gt;VALUE(RIGHT(Protokoll_4p!J14,LEN(Protokoll_4p!J14)-FIND(":",Protokoll_4p!J14))),0,1))</f>
        <v/>
      </c>
      <c r="N8" s="1" t="str">
        <f t="shared" si="1"/>
        <v/>
      </c>
    </row>
    <row r="9" spans="2:14">
      <c r="B9" s="1" t="str">
        <f>IF(Protokoll_4p!F15="","",IF(VALUE(LEFT(Protokoll_4p!F15,FIND(":",Protokoll_4p!F15)-1))&gt;VALUE(RIGHT(Protokoll_4p!F15,LEN(Protokoll_4p!F15)-FIND(":",Protokoll_4p!F15))),1,0))</f>
        <v/>
      </c>
      <c r="C9" s="1" t="str">
        <f>IF(Protokoll_4p!G15="","",IF(VALUE(LEFT(Protokoll_4p!G15,FIND(":",Protokoll_4p!G15)-1))&gt;VALUE(RIGHT(Protokoll_4p!G15,LEN(Protokoll_4p!G15)-FIND(":",Protokoll_4p!G15))),1,0))</f>
        <v/>
      </c>
      <c r="D9" s="1" t="str">
        <f>IF(Protokoll_4p!H15="","",IF(VALUE(LEFT(Protokoll_4p!H15,FIND(":",Protokoll_4p!H15)-1))&gt;VALUE(RIGHT(Protokoll_4p!H15,LEN(Protokoll_4p!H15)-FIND(":",Protokoll_4p!H15))),1,0))</f>
        <v/>
      </c>
      <c r="E9" s="1" t="str">
        <f>IF(Protokoll_4p!I15="","",IF(VALUE(LEFT(Protokoll_4p!I15,FIND(":",Protokoll_4p!I15)-1))&gt;VALUE(RIGHT(Protokoll_4p!I15,LEN(Protokoll_4p!I15)-FIND(":",Protokoll_4p!I15))),1,0))</f>
        <v/>
      </c>
      <c r="F9" s="1" t="str">
        <f>IF(Protokoll_4p!J15="","",IF(VALUE(LEFT(Protokoll_4p!J15,FIND(":",Protokoll_4p!J15)-1))&gt;VALUE(RIGHT(Protokoll_4p!J15,LEN(Protokoll_4p!J15)-FIND(":",Protokoll_4p!J15))),1,0))</f>
        <v/>
      </c>
      <c r="G9" s="1" t="str">
        <f t="shared" si="0"/>
        <v/>
      </c>
      <c r="I9" s="1" t="str">
        <f>IF(Protokoll_4p!F15="","",IF(VALUE(LEFT(Protokoll_4p!F15,FIND(":",Protokoll_4p!F15)-1))&gt;VALUE(RIGHT(Protokoll_4p!F15,LEN(Protokoll_4p!F15)-FIND(":",Protokoll_4p!F15))),0,1))</f>
        <v/>
      </c>
      <c r="J9" s="1" t="str">
        <f>IF(Protokoll_4p!G15="","",IF(VALUE(LEFT(Protokoll_4p!G15,FIND(":",Protokoll_4p!G15)-1))&gt;VALUE(RIGHT(Protokoll_4p!G15,LEN(Protokoll_4p!G15)-FIND(":",Protokoll_4p!G15))),0,1))</f>
        <v/>
      </c>
      <c r="K9" s="1" t="str">
        <f>IF(Protokoll_4p!H15="","",IF(VALUE(LEFT(Protokoll_4p!H15,FIND(":",Protokoll_4p!H15)-1))&gt;VALUE(RIGHT(Protokoll_4p!H15,LEN(Protokoll_4p!H15)-FIND(":",Protokoll_4p!H15))),0,1))</f>
        <v/>
      </c>
      <c r="L9" s="1" t="str">
        <f>IF(Protokoll_4p!I15="","",IF(VALUE(LEFT(Protokoll_4p!I15,FIND(":",Protokoll_4p!I15)-1))&gt;VALUE(RIGHT(Protokoll_4p!I15,LEN(Protokoll_4p!I15)-FIND(":",Protokoll_4p!I15))),0,1))</f>
        <v/>
      </c>
      <c r="M9" s="1" t="str">
        <f>IF(Protokoll_4p!J15="","",IF(VALUE(LEFT(Protokoll_4p!J15,FIND(":",Protokoll_4p!J15)-1))&gt;VALUE(RIGHT(Protokoll_4p!J15,LEN(Protokoll_4p!J15)-FIND(":",Protokoll_4p!J15))),0,1))</f>
        <v/>
      </c>
      <c r="N9" s="1" t="str">
        <f t="shared" si="1"/>
        <v/>
      </c>
    </row>
    <row r="10" spans="2:14">
      <c r="B10" s="1" t="str">
        <f>IF(Protokoll_4p!F16="","",IF(VALUE(LEFT(Protokoll_4p!F16,FIND(":",Protokoll_4p!F16)-1))&gt;VALUE(RIGHT(Protokoll_4p!F16,LEN(Protokoll_4p!F16)-FIND(":",Protokoll_4p!F16))),1,0))</f>
        <v/>
      </c>
      <c r="C10" s="1" t="str">
        <f>IF(Protokoll_4p!G16="","",IF(VALUE(LEFT(Protokoll_4p!G16,FIND(":",Protokoll_4p!G16)-1))&gt;VALUE(RIGHT(Protokoll_4p!G16,LEN(Protokoll_4p!G16)-FIND(":",Protokoll_4p!G16))),1,0))</f>
        <v/>
      </c>
      <c r="D10" s="1" t="str">
        <f>IF(Protokoll_4p!H16="","",IF(VALUE(LEFT(Protokoll_4p!H16,FIND(":",Protokoll_4p!H16)-1))&gt;VALUE(RIGHT(Protokoll_4p!H16,LEN(Protokoll_4p!H16)-FIND(":",Protokoll_4p!H16))),1,0))</f>
        <v/>
      </c>
      <c r="E10" s="1" t="str">
        <f>IF(Protokoll_4p!I16="","",IF(VALUE(LEFT(Protokoll_4p!I16,FIND(":",Protokoll_4p!I16)-1))&gt;VALUE(RIGHT(Protokoll_4p!I16,LEN(Protokoll_4p!I16)-FIND(":",Protokoll_4p!I16))),1,0))</f>
        <v/>
      </c>
      <c r="F10" s="1" t="str">
        <f>IF(Protokoll_4p!J16="","",IF(VALUE(LEFT(Protokoll_4p!J16,FIND(":",Protokoll_4p!J16)-1))&gt;VALUE(RIGHT(Protokoll_4p!J16,LEN(Protokoll_4p!J16)-FIND(":",Protokoll_4p!J16))),1,0))</f>
        <v/>
      </c>
      <c r="G10" s="1" t="str">
        <f t="shared" si="0"/>
        <v/>
      </c>
      <c r="I10" s="1" t="str">
        <f>IF(Protokoll_4p!F16="","",IF(VALUE(LEFT(Protokoll_4p!F16,FIND(":",Protokoll_4p!F16)-1))&gt;VALUE(RIGHT(Protokoll_4p!F16,LEN(Protokoll_4p!F16)-FIND(":",Protokoll_4p!F16))),0,1))</f>
        <v/>
      </c>
      <c r="J10" s="1" t="str">
        <f>IF(Protokoll_4p!G16="","",IF(VALUE(LEFT(Protokoll_4p!G16,FIND(":",Protokoll_4p!G16)-1))&gt;VALUE(RIGHT(Protokoll_4p!G16,LEN(Protokoll_4p!G16)-FIND(":",Protokoll_4p!G16))),0,1))</f>
        <v/>
      </c>
      <c r="K10" s="1" t="str">
        <f>IF(Protokoll_4p!H16="","",IF(VALUE(LEFT(Protokoll_4p!H16,FIND(":",Protokoll_4p!H16)-1))&gt;VALUE(RIGHT(Protokoll_4p!H16,LEN(Protokoll_4p!H16)-FIND(":",Protokoll_4p!H16))),0,1))</f>
        <v/>
      </c>
      <c r="L10" s="1" t="str">
        <f>IF(Protokoll_4p!I16="","",IF(VALUE(LEFT(Protokoll_4p!I16,FIND(":",Protokoll_4p!I16)-1))&gt;VALUE(RIGHT(Protokoll_4p!I16,LEN(Protokoll_4p!I16)-FIND(":",Protokoll_4p!I16))),0,1))</f>
        <v/>
      </c>
      <c r="M10" s="1" t="str">
        <f>IF(Protokoll_4p!J16="","",IF(VALUE(LEFT(Protokoll_4p!J16,FIND(":",Protokoll_4p!J16)-1))&gt;VALUE(RIGHT(Protokoll_4p!J16,LEN(Protokoll_4p!J16)-FIND(":",Protokoll_4p!J16))),0,1))</f>
        <v/>
      </c>
      <c r="N10" s="1" t="str">
        <f t="shared" si="1"/>
        <v/>
      </c>
    </row>
    <row r="11" spans="2:14">
      <c r="B11" s="1" t="e">
        <f>IF(Protokoll_4p!F17="","",IF(VALUE(LEFT(Protokoll_4p!F17,FIND(":",Protokoll_4p!F17)-1))&gt;VALUE(RIGHT(Protokoll_4p!F17,LEN(Protokoll_4p!F17)-FIND(":",Protokoll_4p!F17))),1,0))</f>
        <v>#VALUE!</v>
      </c>
      <c r="C11" s="1" t="e">
        <f>IF(Protokoll_4p!G17="","",IF(VALUE(LEFT(Protokoll_4p!G17,FIND(":",Protokoll_4p!G17)-1))&gt;VALUE(RIGHT(Protokoll_4p!G17,LEN(Protokoll_4p!G17)-FIND(":",Protokoll_4p!G17))),1,0))</f>
        <v>#VALUE!</v>
      </c>
      <c r="D11" s="1" t="e">
        <f>IF(Protokoll_4p!H17="","",IF(VALUE(LEFT(Protokoll_4p!H17,FIND(":",Protokoll_4p!H17)-1))&gt;VALUE(RIGHT(Protokoll_4p!H17,LEN(Protokoll_4p!H17)-FIND(":",Protokoll_4p!H17))),1,0))</f>
        <v>#VALUE!</v>
      </c>
      <c r="E11" s="1" t="e">
        <f>IF(Protokoll_4p!I17="","",IF(VALUE(LEFT(Protokoll_4p!I17,FIND(":",Protokoll_4p!I17)-1))&gt;VALUE(RIGHT(Protokoll_4p!I17,LEN(Protokoll_4p!I17)-FIND(":",Protokoll_4p!I17))),1,0))</f>
        <v>#VALUE!</v>
      </c>
      <c r="F11" s="1" t="e">
        <f>IF(Protokoll_4p!J17="","",IF(VALUE(LEFT(Protokoll_4p!J17,FIND(":",Protokoll_4p!J17)-1))&gt;VALUE(RIGHT(Protokoll_4p!J17,LEN(Protokoll_4p!J17)-FIND(":",Protokoll_4p!J17))),1,0))</f>
        <v>#VALUE!</v>
      </c>
      <c r="G11" s="1" t="e">
        <f t="shared" si="0"/>
        <v>#VALUE!</v>
      </c>
      <c r="I11" s="1" t="e">
        <f>IF(Protokoll_4p!F17="","",IF(VALUE(LEFT(Protokoll_4p!F17,FIND(":",Protokoll_4p!F17)-1))&gt;VALUE(RIGHT(Protokoll_4p!F17,LEN(Protokoll_4p!F17)-FIND(":",Protokoll_4p!F17))),0,1))</f>
        <v>#VALUE!</v>
      </c>
      <c r="J11" s="1" t="e">
        <f>IF(Protokoll_4p!G17="","",IF(VALUE(LEFT(Protokoll_4p!G17,FIND(":",Protokoll_4p!G17)-1))&gt;VALUE(RIGHT(Protokoll_4p!G17,LEN(Protokoll_4p!G17)-FIND(":",Protokoll_4p!G17))),0,1))</f>
        <v>#VALUE!</v>
      </c>
      <c r="K11" s="1" t="e">
        <f>IF(Protokoll_4p!H17="","",IF(VALUE(LEFT(Protokoll_4p!H17,FIND(":",Protokoll_4p!H17)-1))&gt;VALUE(RIGHT(Protokoll_4p!H17,LEN(Protokoll_4p!H17)-FIND(":",Protokoll_4p!H17))),0,1))</f>
        <v>#VALUE!</v>
      </c>
      <c r="L11" s="1" t="e">
        <f>IF(Protokoll_4p!I17="","",IF(VALUE(LEFT(Protokoll_4p!I17,FIND(":",Protokoll_4p!I17)-1))&gt;VALUE(RIGHT(Protokoll_4p!I17,LEN(Protokoll_4p!I17)-FIND(":",Protokoll_4p!I17))),0,1))</f>
        <v>#VALUE!</v>
      </c>
      <c r="M11" s="1" t="e">
        <f>IF(Protokoll_4p!J17="","",IF(VALUE(LEFT(Protokoll_4p!J17,FIND(":",Protokoll_4p!J17)-1))&gt;VALUE(RIGHT(Protokoll_4p!J17,LEN(Protokoll_4p!J17)-FIND(":",Protokoll_4p!J17))),0,1))</f>
        <v>#VALUE!</v>
      </c>
      <c r="N11" s="1" t="e">
        <f t="shared" si="1"/>
        <v>#VALUE!</v>
      </c>
    </row>
    <row r="12" spans="2:14">
      <c r="B12" s="1">
        <f>IF(Protokoll_4p!F18="","",IF(VALUE(LEFT(Protokoll_4p!F18,FIND(":",Protokoll_4p!F18)-1))&gt;VALUE(RIGHT(Protokoll_4p!F18,LEN(Protokoll_4p!F18)-FIND(":",Protokoll_4p!F18))),1,0))</f>
        <v>1</v>
      </c>
      <c r="C12" s="1">
        <f>IF(Protokoll_4p!G18="","",IF(VALUE(LEFT(Protokoll_4p!G18,FIND(":",Protokoll_4p!G18)-1))&gt;VALUE(RIGHT(Protokoll_4p!G18,LEN(Protokoll_4p!G18)-FIND(":",Protokoll_4p!G18))),1,0))</f>
        <v>0</v>
      </c>
      <c r="D12" s="1">
        <f>IF(Protokoll_4p!H18="","",IF(VALUE(LEFT(Protokoll_4p!H18,FIND(":",Protokoll_4p!H18)-1))&gt;VALUE(RIGHT(Protokoll_4p!H18,LEN(Protokoll_4p!H18)-FIND(":",Protokoll_4p!H18))),1,0))</f>
        <v>0</v>
      </c>
      <c r="E12" s="1">
        <f>IF(Protokoll_4p!I18="","",IF(VALUE(LEFT(Protokoll_4p!I18,FIND(":",Protokoll_4p!I18)-1))&gt;VALUE(RIGHT(Protokoll_4p!I18,LEN(Protokoll_4p!I18)-FIND(":",Protokoll_4p!I18))),1,0))</f>
        <v>1</v>
      </c>
      <c r="F12" s="1">
        <f>IF(Protokoll_4p!J18="","",IF(VALUE(LEFT(Protokoll_4p!J18,FIND(":",Protokoll_4p!J18)-1))&gt;VALUE(RIGHT(Protokoll_4p!J18,LEN(Protokoll_4p!J18)-FIND(":",Protokoll_4p!J18))),1,0))</f>
        <v>1</v>
      </c>
      <c r="G12" s="1">
        <f t="shared" si="0"/>
        <v>3</v>
      </c>
      <c r="I12" s="1">
        <f>IF(Protokoll_4p!F18="","",IF(VALUE(LEFT(Protokoll_4p!F18,FIND(":",Protokoll_4p!F18)-1))&gt;VALUE(RIGHT(Protokoll_4p!F18,LEN(Protokoll_4p!F18)-FIND(":",Protokoll_4p!F18))),0,1))</f>
        <v>0</v>
      </c>
      <c r="J12" s="1">
        <f>IF(Protokoll_4p!G18="","",IF(VALUE(LEFT(Protokoll_4p!G18,FIND(":",Protokoll_4p!G18)-1))&gt;VALUE(RIGHT(Protokoll_4p!G18,LEN(Protokoll_4p!G18)-FIND(":",Protokoll_4p!G18))),0,1))</f>
        <v>1</v>
      </c>
      <c r="K12" s="1">
        <f>IF(Protokoll_4p!H18="","",IF(VALUE(LEFT(Protokoll_4p!H18,FIND(":",Protokoll_4p!H18)-1))&gt;VALUE(RIGHT(Protokoll_4p!H18,LEN(Protokoll_4p!H18)-FIND(":",Protokoll_4p!H18))),0,1))</f>
        <v>1</v>
      </c>
      <c r="L12" s="1">
        <f>IF(Protokoll_4p!I18="","",IF(VALUE(LEFT(Protokoll_4p!I18,FIND(":",Protokoll_4p!I18)-1))&gt;VALUE(RIGHT(Protokoll_4p!I18,LEN(Protokoll_4p!I18)-FIND(":",Protokoll_4p!I18))),0,1))</f>
        <v>0</v>
      </c>
      <c r="M12" s="1">
        <f>IF(Protokoll_4p!J18="","",IF(VALUE(LEFT(Protokoll_4p!J18,FIND(":",Protokoll_4p!J18)-1))&gt;VALUE(RIGHT(Protokoll_4p!J18,LEN(Protokoll_4p!J18)-FIND(":",Protokoll_4p!J18))),0,1))</f>
        <v>0</v>
      </c>
      <c r="N12" s="1">
        <f t="shared" si="1"/>
        <v>2</v>
      </c>
    </row>
    <row r="13" spans="2:14">
      <c r="B13" s="1">
        <f>IF(Protokoll_4p!F19="","",IF(VALUE(LEFT(Protokoll_4p!F19,FIND(":",Protokoll_4p!F19)-1))&gt;VALUE(RIGHT(Protokoll_4p!F19,LEN(Protokoll_4p!F19)-FIND(":",Protokoll_4p!F19))),1,0))</f>
        <v>1</v>
      </c>
      <c r="C13" s="1">
        <f>IF(Protokoll_4p!G19="","",IF(VALUE(LEFT(Protokoll_4p!G19,FIND(":",Protokoll_4p!G19)-1))&gt;VALUE(RIGHT(Protokoll_4p!G19,LEN(Protokoll_4p!G19)-FIND(":",Protokoll_4p!G19))),1,0))</f>
        <v>1</v>
      </c>
      <c r="D13" s="1">
        <f>IF(Protokoll_4p!H19="","",IF(VALUE(LEFT(Protokoll_4p!H19,FIND(":",Protokoll_4p!H19)-1))&gt;VALUE(RIGHT(Protokoll_4p!H19,LEN(Protokoll_4p!H19)-FIND(":",Protokoll_4p!H19))),1,0))</f>
        <v>1</v>
      </c>
      <c r="E13" s="1" t="str">
        <f>IF(Protokoll_4p!I19="","",IF(VALUE(LEFT(Protokoll_4p!I19,FIND(":",Protokoll_4p!I19)-1))&gt;VALUE(RIGHT(Protokoll_4p!I19,LEN(Protokoll_4p!I19)-FIND(":",Protokoll_4p!I19))),1,0))</f>
        <v/>
      </c>
      <c r="F13" s="1" t="str">
        <f>IF(Protokoll_4p!J19="","",IF(VALUE(LEFT(Protokoll_4p!J19,FIND(":",Protokoll_4p!J19)-1))&gt;VALUE(RIGHT(Protokoll_4p!J19,LEN(Protokoll_4p!J19)-FIND(":",Protokoll_4p!J19))),1,0))</f>
        <v/>
      </c>
      <c r="G13" s="1">
        <f t="shared" si="0"/>
        <v>3</v>
      </c>
      <c r="I13" s="1">
        <f>IF(Protokoll_4p!F19="","",IF(VALUE(LEFT(Protokoll_4p!F19,FIND(":",Protokoll_4p!F19)-1))&gt;VALUE(RIGHT(Protokoll_4p!F19,LEN(Protokoll_4p!F19)-FIND(":",Protokoll_4p!F19))),0,1))</f>
        <v>0</v>
      </c>
      <c r="J13" s="1">
        <f>IF(Protokoll_4p!G19="","",IF(VALUE(LEFT(Protokoll_4p!G19,FIND(":",Protokoll_4p!G19)-1))&gt;VALUE(RIGHT(Protokoll_4p!G19,LEN(Protokoll_4p!G19)-FIND(":",Protokoll_4p!G19))),0,1))</f>
        <v>0</v>
      </c>
      <c r="K13" s="1">
        <f>IF(Protokoll_4p!H19="","",IF(VALUE(LEFT(Protokoll_4p!H19,FIND(":",Protokoll_4p!H19)-1))&gt;VALUE(RIGHT(Protokoll_4p!H19,LEN(Protokoll_4p!H19)-FIND(":",Protokoll_4p!H19))),0,1))</f>
        <v>0</v>
      </c>
      <c r="L13" s="1" t="str">
        <f>IF(Protokoll_4p!I19="","",IF(VALUE(LEFT(Protokoll_4p!I19,FIND(":",Protokoll_4p!I19)-1))&gt;VALUE(RIGHT(Protokoll_4p!I19,LEN(Protokoll_4p!I19)-FIND(":",Protokoll_4p!I19))),0,1))</f>
        <v/>
      </c>
      <c r="M13" s="1" t="str">
        <f>IF(Protokoll_4p!J19="","",IF(VALUE(LEFT(Protokoll_4p!J19,FIND(":",Protokoll_4p!J19)-1))&gt;VALUE(RIGHT(Protokoll_4p!J19,LEN(Protokoll_4p!J19)-FIND(":",Protokoll_4p!J19))),0,1))</f>
        <v/>
      </c>
      <c r="N13" s="1">
        <f t="shared" si="1"/>
        <v>0</v>
      </c>
    </row>
    <row r="14" spans="2:14">
      <c r="B14" s="1">
        <f>IF(Protokoll_4p!F20="","",IF(VALUE(LEFT(Protokoll_4p!F20,FIND(":",Protokoll_4p!F20)-1))&gt;VALUE(RIGHT(Protokoll_4p!F20,LEN(Protokoll_4p!F20)-FIND(":",Protokoll_4p!F20))),1,0))</f>
        <v>0</v>
      </c>
      <c r="C14" s="1">
        <f>IF(Protokoll_4p!G20="","",IF(VALUE(LEFT(Protokoll_4p!G20,FIND(":",Protokoll_4p!G20)-1))&gt;VALUE(RIGHT(Protokoll_4p!G20,LEN(Protokoll_4p!G20)-FIND(":",Protokoll_4p!G20))),1,0))</f>
        <v>1</v>
      </c>
      <c r="D14" s="1">
        <f>IF(Protokoll_4p!H20="","",IF(VALUE(LEFT(Protokoll_4p!H20,FIND(":",Protokoll_4p!H20)-1))&gt;VALUE(RIGHT(Protokoll_4p!H20,LEN(Protokoll_4p!H20)-FIND(":",Protokoll_4p!H20))),1,0))</f>
        <v>1</v>
      </c>
      <c r="E14" s="1">
        <f>IF(Protokoll_4p!I20="","",IF(VALUE(LEFT(Protokoll_4p!I20,FIND(":",Protokoll_4p!I20)-1))&gt;VALUE(RIGHT(Protokoll_4p!I20,LEN(Protokoll_4p!I20)-FIND(":",Protokoll_4p!I20))),1,0))</f>
        <v>1</v>
      </c>
      <c r="F14" s="1" t="str">
        <f>IF(Protokoll_4p!J20="","",IF(VALUE(LEFT(Protokoll_4p!J20,FIND(":",Protokoll_4p!J20)-1))&gt;VALUE(RIGHT(Protokoll_4p!J20,LEN(Protokoll_4p!J20)-FIND(":",Protokoll_4p!J20))),1,0))</f>
        <v/>
      </c>
      <c r="G14" s="1">
        <f t="shared" si="0"/>
        <v>3</v>
      </c>
      <c r="I14" s="1">
        <f>IF(Protokoll_4p!F20="","",IF(VALUE(LEFT(Protokoll_4p!F20,FIND(":",Protokoll_4p!F20)-1))&gt;VALUE(RIGHT(Protokoll_4p!F20,LEN(Protokoll_4p!F20)-FIND(":",Protokoll_4p!F20))),0,1))</f>
        <v>1</v>
      </c>
      <c r="J14" s="1">
        <f>IF(Protokoll_4p!G20="","",IF(VALUE(LEFT(Protokoll_4p!G20,FIND(":",Protokoll_4p!G20)-1))&gt;VALUE(RIGHT(Protokoll_4p!G20,LEN(Protokoll_4p!G20)-FIND(":",Protokoll_4p!G20))),0,1))</f>
        <v>0</v>
      </c>
      <c r="K14" s="1">
        <f>IF(Protokoll_4p!H20="","",IF(VALUE(LEFT(Protokoll_4p!H20,FIND(":",Protokoll_4p!H20)-1))&gt;VALUE(RIGHT(Protokoll_4p!H20,LEN(Protokoll_4p!H20)-FIND(":",Protokoll_4p!H20))),0,1))</f>
        <v>0</v>
      </c>
      <c r="L14" s="1">
        <f>IF(Protokoll_4p!I20="","",IF(VALUE(LEFT(Protokoll_4p!I20,FIND(":",Protokoll_4p!I20)-1))&gt;VALUE(RIGHT(Protokoll_4p!I20,LEN(Protokoll_4p!I20)-FIND(":",Protokoll_4p!I20))),0,1))</f>
        <v>0</v>
      </c>
      <c r="M14" s="1" t="str">
        <f>IF(Protokoll_4p!J20="","",IF(VALUE(LEFT(Protokoll_4p!J20,FIND(":",Protokoll_4p!J20)-1))&gt;VALUE(RIGHT(Protokoll_4p!J20,LEN(Protokoll_4p!J20)-FIND(":",Protokoll_4p!J20))),0,1))</f>
        <v/>
      </c>
      <c r="N14" s="1">
        <f t="shared" si="1"/>
        <v>1</v>
      </c>
    </row>
    <row r="15" spans="2:14">
      <c r="B15" s="1">
        <f>IF(Protokoll_4p!F21="","",IF(VALUE(LEFT(Protokoll_4p!F21,FIND(":",Protokoll_4p!F21)-1))&gt;VALUE(RIGHT(Protokoll_4p!F21,LEN(Protokoll_4p!F21)-FIND(":",Protokoll_4p!F21))),1,0))</f>
        <v>1</v>
      </c>
      <c r="C15" s="1">
        <f>IF(Protokoll_4p!G21="","",IF(VALUE(LEFT(Protokoll_4p!G21,FIND(":",Protokoll_4p!G21)-1))&gt;VALUE(RIGHT(Protokoll_4p!G21,LEN(Protokoll_4p!G21)-FIND(":",Protokoll_4p!G21))),1,0))</f>
        <v>1</v>
      </c>
      <c r="D15" s="1">
        <f>IF(Protokoll_4p!H21="","",IF(VALUE(LEFT(Protokoll_4p!H21,FIND(":",Protokoll_4p!H21)-1))&gt;VALUE(RIGHT(Protokoll_4p!H21,LEN(Protokoll_4p!H21)-FIND(":",Protokoll_4p!H21))),1,0))</f>
        <v>1</v>
      </c>
      <c r="E15" s="1" t="str">
        <f>IF(Protokoll_4p!I21="","",IF(VALUE(LEFT(Protokoll_4p!I21,FIND(":",Protokoll_4p!I21)-1))&gt;VALUE(RIGHT(Protokoll_4p!I21,LEN(Protokoll_4p!I21)-FIND(":",Protokoll_4p!I21))),1,0))</f>
        <v/>
      </c>
      <c r="F15" s="1" t="str">
        <f>IF(Protokoll_4p!J21="","",IF(VALUE(LEFT(Protokoll_4p!J21,FIND(":",Protokoll_4p!J21)-1))&gt;VALUE(RIGHT(Protokoll_4p!J21,LEN(Protokoll_4p!J21)-FIND(":",Protokoll_4p!J21))),1,0))</f>
        <v/>
      </c>
      <c r="G15" s="1">
        <f t="shared" si="0"/>
        <v>3</v>
      </c>
      <c r="I15" s="1">
        <f>IF(Protokoll_4p!F21="","",IF(VALUE(LEFT(Protokoll_4p!F21,FIND(":",Protokoll_4p!F21)-1))&gt;VALUE(RIGHT(Protokoll_4p!F21,LEN(Protokoll_4p!F21)-FIND(":",Protokoll_4p!F21))),0,1))</f>
        <v>0</v>
      </c>
      <c r="J15" s="1">
        <f>IF(Protokoll_4p!G21="","",IF(VALUE(LEFT(Protokoll_4p!G21,FIND(":",Protokoll_4p!G21)-1))&gt;VALUE(RIGHT(Protokoll_4p!G21,LEN(Protokoll_4p!G21)-FIND(":",Protokoll_4p!G21))),0,1))</f>
        <v>0</v>
      </c>
      <c r="K15" s="1">
        <f>IF(Protokoll_4p!H21="","",IF(VALUE(LEFT(Protokoll_4p!H21,FIND(":",Protokoll_4p!H21)-1))&gt;VALUE(RIGHT(Protokoll_4p!H21,LEN(Protokoll_4p!H21)-FIND(":",Protokoll_4p!H21))),0,1))</f>
        <v>0</v>
      </c>
      <c r="L15" s="1" t="str">
        <f>IF(Protokoll_4p!I21="","",IF(VALUE(LEFT(Protokoll_4p!I21,FIND(":",Protokoll_4p!I21)-1))&gt;VALUE(RIGHT(Protokoll_4p!I21,LEN(Protokoll_4p!I21)-FIND(":",Protokoll_4p!I21))),0,1))</f>
        <v/>
      </c>
      <c r="M15" s="1" t="str">
        <f>IF(Protokoll_4p!J21="","",IF(VALUE(LEFT(Protokoll_4p!J21,FIND(":",Protokoll_4p!J21)-1))&gt;VALUE(RIGHT(Protokoll_4p!J21,LEN(Protokoll_4p!J21)-FIND(":",Protokoll_4p!J21))),0,1))</f>
        <v/>
      </c>
      <c r="N15" s="1">
        <f t="shared" si="1"/>
        <v>0</v>
      </c>
    </row>
    <row r="16" spans="2:14">
      <c r="B16" s="1" t="str">
        <f>IF(Protokoll_4p!F22="","",IF(VALUE(LEFT(Protokoll_4p!F22,FIND(":",Protokoll_4p!F22)-1))&gt;VALUE(RIGHT(Protokoll_4p!F22,LEN(Protokoll_4p!F22)-FIND(":",Protokoll_4p!F22))),1,0))</f>
        <v/>
      </c>
      <c r="C16" s="1" t="str">
        <f>IF(Protokoll_4p!G22="","",IF(VALUE(LEFT(Protokoll_4p!G22,FIND(":",Protokoll_4p!G22)-1))&gt;VALUE(RIGHT(Protokoll_4p!G22,LEN(Protokoll_4p!G22)-FIND(":",Protokoll_4p!G22))),1,0))</f>
        <v/>
      </c>
      <c r="D16" s="1" t="str">
        <f>IF(Protokoll_4p!H22="","",IF(VALUE(LEFT(Protokoll_4p!H22,FIND(":",Protokoll_4p!H22)-1))&gt;VALUE(RIGHT(Protokoll_4p!H22,LEN(Protokoll_4p!H22)-FIND(":",Protokoll_4p!H22))),1,0))</f>
        <v/>
      </c>
      <c r="E16" s="1" t="str">
        <f>IF(Protokoll_4p!I22="","",IF(VALUE(LEFT(Protokoll_4p!I22,FIND(":",Protokoll_4p!I22)-1))&gt;VALUE(RIGHT(Protokoll_4p!I22,LEN(Protokoll_4p!I22)-FIND(":",Protokoll_4p!I22))),1,0))</f>
        <v/>
      </c>
      <c r="F16" s="1" t="str">
        <f>IF(Protokoll_4p!J22="","",IF(VALUE(LEFT(Protokoll_4p!J22,FIND(":",Protokoll_4p!J22)-1))&gt;VALUE(RIGHT(Protokoll_4p!J22,LEN(Protokoll_4p!J22)-FIND(":",Protokoll_4p!J22))),1,0))</f>
        <v/>
      </c>
      <c r="G16" s="1" t="str">
        <f t="shared" si="0"/>
        <v/>
      </c>
      <c r="I16" s="1" t="str">
        <f>IF(Protokoll_4p!F22="","",IF(VALUE(LEFT(Protokoll_4p!F22,FIND(":",Protokoll_4p!F22)-1))&gt;VALUE(RIGHT(Protokoll_4p!F22,LEN(Protokoll_4p!F22)-FIND(":",Protokoll_4p!F22))),0,1))</f>
        <v/>
      </c>
      <c r="J16" s="1" t="str">
        <f>IF(Protokoll_4p!G22="","",IF(VALUE(LEFT(Protokoll_4p!G22,FIND(":",Protokoll_4p!G22)-1))&gt;VALUE(RIGHT(Protokoll_4p!G22,LEN(Protokoll_4p!G22)-FIND(":",Protokoll_4p!G22))),0,1))</f>
        <v/>
      </c>
      <c r="K16" s="1" t="str">
        <f>IF(Protokoll_4p!H22="","",IF(VALUE(LEFT(Protokoll_4p!H22,FIND(":",Protokoll_4p!H22)-1))&gt;VALUE(RIGHT(Protokoll_4p!H22,LEN(Protokoll_4p!H22)-FIND(":",Protokoll_4p!H22))),0,1))</f>
        <v/>
      </c>
      <c r="L16" s="1" t="str">
        <f>IF(Protokoll_4p!I22="","",IF(VALUE(LEFT(Protokoll_4p!I22,FIND(":",Protokoll_4p!I22)-1))&gt;VALUE(RIGHT(Protokoll_4p!I22,LEN(Protokoll_4p!I22)-FIND(":",Protokoll_4p!I22))),0,1))</f>
        <v/>
      </c>
      <c r="M16" s="1" t="str">
        <f>IF(Protokoll_4p!J22="","",IF(VALUE(LEFT(Protokoll_4p!J22,FIND(":",Protokoll_4p!J22)-1))&gt;VALUE(RIGHT(Protokoll_4p!J22,LEN(Protokoll_4p!J22)-FIND(":",Protokoll_4p!J22))),0,1))</f>
        <v/>
      </c>
      <c r="N16" s="1" t="str">
        <f t="shared" si="1"/>
        <v/>
      </c>
    </row>
    <row r="17" spans="2:14">
      <c r="B17" s="1" t="str">
        <f>IF(Protokoll_4p!F23="","",IF(VALUE(LEFT(Protokoll_4p!F23,FIND(":",Protokoll_4p!F23)-1))&gt;VALUE(RIGHT(Protokoll_4p!F23,LEN(Protokoll_4p!F23)-FIND(":",Protokoll_4p!F23))),1,0))</f>
        <v/>
      </c>
      <c r="C17" s="1" t="str">
        <f>IF(Protokoll_4p!G23="","",IF(VALUE(LEFT(Protokoll_4p!G23,FIND(":",Protokoll_4p!G23)-1))&gt;VALUE(RIGHT(Protokoll_4p!G23,LEN(Protokoll_4p!G23)-FIND(":",Protokoll_4p!G23))),1,0))</f>
        <v/>
      </c>
      <c r="D17" s="1" t="str">
        <f>IF(Protokoll_4p!H23="","",IF(VALUE(LEFT(Protokoll_4p!H23,FIND(":",Protokoll_4p!H23)-1))&gt;VALUE(RIGHT(Protokoll_4p!H23,LEN(Protokoll_4p!H23)-FIND(":",Protokoll_4p!H23))),1,0))</f>
        <v/>
      </c>
      <c r="E17" s="1" t="str">
        <f>IF(Protokoll_4p!I23="","",IF(VALUE(LEFT(Protokoll_4p!I23,FIND(":",Protokoll_4p!I23)-1))&gt;VALUE(RIGHT(Protokoll_4p!I23,LEN(Protokoll_4p!I23)-FIND(":",Protokoll_4p!I23))),1,0))</f>
        <v/>
      </c>
      <c r="F17" s="1" t="str">
        <f>IF(Protokoll_4p!J23="","",IF(VALUE(LEFT(Protokoll_4p!J23,FIND(":",Protokoll_4p!J23)-1))&gt;VALUE(RIGHT(Protokoll_4p!J23,LEN(Protokoll_4p!J23)-FIND(":",Protokoll_4p!J23))),1,0))</f>
        <v/>
      </c>
      <c r="G17" s="1" t="str">
        <f t="shared" si="0"/>
        <v/>
      </c>
      <c r="I17" s="1" t="str">
        <f>IF(Protokoll_4p!F23="","",IF(VALUE(LEFT(Protokoll_4p!F23,FIND(":",Protokoll_4p!F23)-1))&gt;VALUE(RIGHT(Protokoll_4p!F23,LEN(Protokoll_4p!F23)-FIND(":",Protokoll_4p!F23))),0,1))</f>
        <v/>
      </c>
      <c r="J17" s="1" t="str">
        <f>IF(Protokoll_4p!G23="","",IF(VALUE(LEFT(Protokoll_4p!G23,FIND(":",Protokoll_4p!G23)-1))&gt;VALUE(RIGHT(Protokoll_4p!G23,LEN(Protokoll_4p!G23)-FIND(":",Protokoll_4p!G23))),0,1))</f>
        <v/>
      </c>
      <c r="K17" s="1" t="str">
        <f>IF(Protokoll_4p!H23="","",IF(VALUE(LEFT(Protokoll_4p!H23,FIND(":",Protokoll_4p!H23)-1))&gt;VALUE(RIGHT(Protokoll_4p!H23,LEN(Protokoll_4p!H23)-FIND(":",Protokoll_4p!H23))),0,1))</f>
        <v/>
      </c>
      <c r="L17" s="1" t="str">
        <f>IF(Protokoll_4p!I23="","",IF(VALUE(LEFT(Protokoll_4p!I23,FIND(":",Protokoll_4p!I23)-1))&gt;VALUE(RIGHT(Protokoll_4p!I23,LEN(Protokoll_4p!I23)-FIND(":",Protokoll_4p!I23))),0,1))</f>
        <v/>
      </c>
      <c r="M17" s="1" t="str">
        <f>IF(Protokoll_4p!J23="","",IF(VALUE(LEFT(Protokoll_4p!J23,FIND(":",Protokoll_4p!J23)-1))&gt;VALUE(RIGHT(Protokoll_4p!J23,LEN(Protokoll_4p!J23)-FIND(":",Protokoll_4p!J23))),0,1))</f>
        <v/>
      </c>
      <c r="N17" s="1" t="str">
        <f t="shared" si="1"/>
        <v/>
      </c>
    </row>
    <row r="18" spans="2:14">
      <c r="B18" s="1" t="str">
        <f>IF(Protokoll_4p!F24="","",IF(VALUE(LEFT(Protokoll_4p!F24,FIND(":",Protokoll_4p!F24)-1))&gt;VALUE(RIGHT(Protokoll_4p!F24,LEN(Protokoll_4p!F24)-FIND(":",Protokoll_4p!F24))),1,0))</f>
        <v/>
      </c>
      <c r="C18" s="1" t="str">
        <f>IF(Protokoll_4p!G24="","",IF(VALUE(LEFT(Protokoll_4p!G24,FIND(":",Protokoll_4p!G24)-1))&gt;VALUE(RIGHT(Protokoll_4p!G24,LEN(Protokoll_4p!G24)-FIND(":",Protokoll_4p!G24))),1,0))</f>
        <v/>
      </c>
      <c r="D18" s="1" t="str">
        <f>IF(Protokoll_4p!H24="","",IF(VALUE(LEFT(Protokoll_4p!H24,FIND(":",Protokoll_4p!H24)-1))&gt;VALUE(RIGHT(Protokoll_4p!H24,LEN(Protokoll_4p!H24)-FIND(":",Protokoll_4p!H24))),1,0))</f>
        <v/>
      </c>
      <c r="E18" s="1" t="str">
        <f>IF(Protokoll_4p!I24="","",IF(VALUE(LEFT(Protokoll_4p!I24,FIND(":",Protokoll_4p!I24)-1))&gt;VALUE(RIGHT(Protokoll_4p!I24,LEN(Protokoll_4p!I24)-FIND(":",Protokoll_4p!I24))),1,0))</f>
        <v/>
      </c>
      <c r="F18" s="1" t="str">
        <f>IF(Protokoll_4p!J24="","",IF(VALUE(LEFT(Protokoll_4p!J24,FIND(":",Protokoll_4p!J24)-1))&gt;VALUE(RIGHT(Protokoll_4p!J24,LEN(Protokoll_4p!J24)-FIND(":",Protokoll_4p!J24))),1,0))</f>
        <v/>
      </c>
      <c r="G18" s="1" t="str">
        <f t="shared" si="0"/>
        <v/>
      </c>
      <c r="I18" s="1" t="str">
        <f>IF(Protokoll_4p!F24="","",IF(VALUE(LEFT(Protokoll_4p!F24,FIND(":",Protokoll_4p!F24)-1))&gt;VALUE(RIGHT(Protokoll_4p!F24,LEN(Protokoll_4p!F24)-FIND(":",Protokoll_4p!F24))),0,1))</f>
        <v/>
      </c>
      <c r="J18" s="1" t="str">
        <f>IF(Protokoll_4p!G24="","",IF(VALUE(LEFT(Protokoll_4p!G24,FIND(":",Protokoll_4p!G24)-1))&gt;VALUE(RIGHT(Protokoll_4p!G24,LEN(Protokoll_4p!G24)-FIND(":",Protokoll_4p!G24))),0,1))</f>
        <v/>
      </c>
      <c r="K18" s="1" t="str">
        <f>IF(Protokoll_4p!H24="","",IF(VALUE(LEFT(Protokoll_4p!H24,FIND(":",Protokoll_4p!H24)-1))&gt;VALUE(RIGHT(Protokoll_4p!H24,LEN(Protokoll_4p!H24)-FIND(":",Protokoll_4p!H24))),0,1))</f>
        <v/>
      </c>
      <c r="L18" s="1" t="str">
        <f>IF(Protokoll_4p!I24="","",IF(VALUE(LEFT(Protokoll_4p!I24,FIND(":",Protokoll_4p!I24)-1))&gt;VALUE(RIGHT(Protokoll_4p!I24,LEN(Protokoll_4p!I24)-FIND(":",Protokoll_4p!I24))),0,1))</f>
        <v/>
      </c>
      <c r="M18" s="1" t="str">
        <f>IF(Protokoll_4p!J24="","",IF(VALUE(LEFT(Protokoll_4p!J24,FIND(":",Protokoll_4p!J24)-1))&gt;VALUE(RIGHT(Protokoll_4p!J24,LEN(Protokoll_4p!J24)-FIND(":",Protokoll_4p!J24))),0,1))</f>
        <v/>
      </c>
      <c r="N18" s="1" t="str">
        <f t="shared" si="1"/>
        <v/>
      </c>
    </row>
    <row r="19" spans="2:14">
      <c r="B19" s="1" t="str">
        <f>IF(Protokoll_4p!F25="","",IF(VALUE(LEFT(Protokoll_4p!F25,FIND(":",Protokoll_4p!F25)-1))&gt;VALUE(RIGHT(Protokoll_4p!F25,LEN(Protokoll_4p!F25)-FIND(":",Protokoll_4p!F25))),1,0))</f>
        <v/>
      </c>
      <c r="C19" s="1" t="str">
        <f>IF(Protokoll_4p!G25="","",IF(VALUE(LEFT(Protokoll_4p!G25,FIND(":",Protokoll_4p!G25)-1))&gt;VALUE(RIGHT(Protokoll_4p!G25,LEN(Protokoll_4p!G25)-FIND(":",Protokoll_4p!G25))),1,0))</f>
        <v/>
      </c>
      <c r="D19" s="1" t="str">
        <f>IF(Protokoll_4p!H25="","",IF(VALUE(LEFT(Protokoll_4p!H25,FIND(":",Protokoll_4p!H25)-1))&gt;VALUE(RIGHT(Protokoll_4p!H25,LEN(Protokoll_4p!H25)-FIND(":",Protokoll_4p!H25))),1,0))</f>
        <v/>
      </c>
      <c r="E19" s="1" t="str">
        <f>IF(Protokoll_4p!I25="","",IF(VALUE(LEFT(Protokoll_4p!I25,FIND(":",Protokoll_4p!I25)-1))&gt;VALUE(RIGHT(Protokoll_4p!I25,LEN(Protokoll_4p!I25)-FIND(":",Protokoll_4p!I25))),1,0))</f>
        <v/>
      </c>
      <c r="F19" s="1" t="str">
        <f>IF(Protokoll_4p!J25="","",IF(VALUE(LEFT(Protokoll_4p!J25,FIND(":",Protokoll_4p!J25)-1))&gt;VALUE(RIGHT(Protokoll_4p!J25,LEN(Protokoll_4p!J25)-FIND(":",Protokoll_4p!J25))),1,0))</f>
        <v/>
      </c>
      <c r="G19" s="1" t="str">
        <f t="shared" si="0"/>
        <v/>
      </c>
      <c r="I19" s="1" t="str">
        <f>IF(Protokoll_4p!F25="","",IF(VALUE(LEFT(Protokoll_4p!F25,FIND(":",Protokoll_4p!F25)-1))&gt;VALUE(RIGHT(Protokoll_4p!F25,LEN(Protokoll_4p!F25)-FIND(":",Protokoll_4p!F25))),0,1))</f>
        <v/>
      </c>
      <c r="J19" s="1" t="str">
        <f>IF(Protokoll_4p!G25="","",IF(VALUE(LEFT(Protokoll_4p!G25,FIND(":",Protokoll_4p!G25)-1))&gt;VALUE(RIGHT(Protokoll_4p!G25,LEN(Protokoll_4p!G25)-FIND(":",Protokoll_4p!G25))),0,1))</f>
        <v/>
      </c>
      <c r="K19" s="1" t="str">
        <f>IF(Protokoll_4p!H25="","",IF(VALUE(LEFT(Protokoll_4p!H25,FIND(":",Protokoll_4p!H25)-1))&gt;VALUE(RIGHT(Protokoll_4p!H25,LEN(Protokoll_4p!H25)-FIND(":",Protokoll_4p!H25))),0,1))</f>
        <v/>
      </c>
      <c r="L19" s="1" t="str">
        <f>IF(Protokoll_4p!I25="","",IF(VALUE(LEFT(Protokoll_4p!I25,FIND(":",Protokoll_4p!I25)-1))&gt;VALUE(RIGHT(Protokoll_4p!I25,LEN(Protokoll_4p!I25)-FIND(":",Protokoll_4p!I25))),0,1))</f>
        <v/>
      </c>
      <c r="M19" s="1" t="str">
        <f>IF(Protokoll_4p!J25="","",IF(VALUE(LEFT(Protokoll_4p!J25,FIND(":",Protokoll_4p!J25)-1))&gt;VALUE(RIGHT(Protokoll_4p!J25,LEN(Protokoll_4p!J25)-FIND(":",Protokoll_4p!J25))),0,1))</f>
        <v/>
      </c>
      <c r="N19" s="1" t="str">
        <f t="shared" si="1"/>
        <v/>
      </c>
    </row>
    <row r="20" spans="2:14">
      <c r="B20" s="1" t="str">
        <f>IF(Protokoll_4p!F26="","",IF(VALUE(LEFT(Protokoll_4p!F26,FIND(":",Protokoll_4p!F26)-1))&gt;VALUE(RIGHT(Protokoll_4p!F26,LEN(Protokoll_4p!F26)-FIND(":",Protokoll_4p!F26))),1,0))</f>
        <v/>
      </c>
      <c r="C20" s="1" t="str">
        <f>IF(Protokoll_4p!G26="","",IF(VALUE(LEFT(Protokoll_4p!G26,FIND(":",Protokoll_4p!G26)-1))&gt;VALUE(RIGHT(Protokoll_4p!G26,LEN(Protokoll_4p!G26)-FIND(":",Protokoll_4p!G26))),1,0))</f>
        <v/>
      </c>
      <c r="D20" s="1" t="str">
        <f>IF(Protokoll_4p!H26="","",IF(VALUE(LEFT(Protokoll_4p!H26,FIND(":",Protokoll_4p!H26)-1))&gt;VALUE(RIGHT(Protokoll_4p!H26,LEN(Protokoll_4p!H26)-FIND(":",Protokoll_4p!H26))),1,0))</f>
        <v/>
      </c>
      <c r="E20" s="1" t="str">
        <f>IF(Protokoll_4p!I26="","",IF(VALUE(LEFT(Protokoll_4p!I26,FIND(":",Protokoll_4p!I26)-1))&gt;VALUE(RIGHT(Protokoll_4p!I26,LEN(Protokoll_4p!I26)-FIND(":",Protokoll_4p!I26))),1,0))</f>
        <v/>
      </c>
      <c r="F20" s="1" t="str">
        <f>IF(Protokoll_4p!J26="","",IF(VALUE(LEFT(Protokoll_4p!J26,FIND(":",Protokoll_4p!J26)-1))&gt;VALUE(RIGHT(Protokoll_4p!J26,LEN(Protokoll_4p!J26)-FIND(":",Protokoll_4p!J26))),1,0))</f>
        <v/>
      </c>
      <c r="G20" s="1" t="str">
        <f t="shared" si="0"/>
        <v/>
      </c>
      <c r="I20" s="1" t="str">
        <f>IF(Protokoll_4p!F26="","",IF(VALUE(LEFT(Protokoll_4p!F26,FIND(":",Protokoll_4p!F26)-1))&gt;VALUE(RIGHT(Protokoll_4p!F26,LEN(Protokoll_4p!F26)-FIND(":",Protokoll_4p!F26))),0,1))</f>
        <v/>
      </c>
      <c r="J20" s="1" t="str">
        <f>IF(Protokoll_4p!G26="","",IF(VALUE(LEFT(Protokoll_4p!G26,FIND(":",Protokoll_4p!G26)-1))&gt;VALUE(RIGHT(Protokoll_4p!G26,LEN(Protokoll_4p!G26)-FIND(":",Protokoll_4p!G26))),0,1))</f>
        <v/>
      </c>
      <c r="K20" s="1" t="str">
        <f>IF(Protokoll_4p!H26="","",IF(VALUE(LEFT(Protokoll_4p!H26,FIND(":",Protokoll_4p!H26)-1))&gt;VALUE(RIGHT(Protokoll_4p!H26,LEN(Protokoll_4p!H26)-FIND(":",Protokoll_4p!H26))),0,1))</f>
        <v/>
      </c>
      <c r="L20" s="1" t="str">
        <f>IF(Protokoll_4p!I26="","",IF(VALUE(LEFT(Protokoll_4p!I26,FIND(":",Protokoll_4p!I26)-1))&gt;VALUE(RIGHT(Protokoll_4p!I26,LEN(Protokoll_4p!I26)-FIND(":",Protokoll_4p!I26))),0,1))</f>
        <v/>
      </c>
      <c r="M20" s="1" t="str">
        <f>IF(Protokoll_4p!J26="","",IF(VALUE(LEFT(Protokoll_4p!J26,FIND(":",Protokoll_4p!J26)-1))&gt;VALUE(RIGHT(Protokoll_4p!J26,LEN(Protokoll_4p!J26)-FIND(":",Protokoll_4p!J26))),0,1))</f>
        <v/>
      </c>
      <c r="N20" s="1" t="str">
        <f t="shared" si="1"/>
        <v/>
      </c>
    </row>
    <row r="21" spans="2:14">
      <c r="B21" s="1" t="e">
        <f>IF(Protokoll_4p!F27="","",IF(VALUE(LEFT(Protokoll_4p!F27,FIND(":",Protokoll_4p!F27)-1))&gt;VALUE(RIGHT(Protokoll_4p!F27,LEN(Protokoll_4p!F27)-FIND(":",Protokoll_4p!F27))),1,0))</f>
        <v>#VALUE!</v>
      </c>
      <c r="C21" s="1" t="e">
        <f>IF(Protokoll_4p!G27="","",IF(VALUE(LEFT(Protokoll_4p!G27,FIND(":",Protokoll_4p!G27)-1))&gt;VALUE(RIGHT(Protokoll_4p!G27,LEN(Protokoll_4p!G27)-FIND(":",Protokoll_4p!G27))),1,0))</f>
        <v>#VALUE!</v>
      </c>
      <c r="D21" s="1" t="e">
        <f>IF(Protokoll_4p!H27="","",IF(VALUE(LEFT(Protokoll_4p!H27,FIND(":",Protokoll_4p!H27)-1))&gt;VALUE(RIGHT(Protokoll_4p!H27,LEN(Protokoll_4p!H27)-FIND(":",Protokoll_4p!H27))),1,0))</f>
        <v>#VALUE!</v>
      </c>
      <c r="E21" s="1" t="e">
        <f>IF(Protokoll_4p!I27="","",IF(VALUE(LEFT(Protokoll_4p!I27,FIND(":",Protokoll_4p!I27)-1))&gt;VALUE(RIGHT(Protokoll_4p!I27,LEN(Protokoll_4p!I27)-FIND(":",Protokoll_4p!I27))),1,0))</f>
        <v>#VALUE!</v>
      </c>
      <c r="F21" s="1" t="e">
        <f>IF(Protokoll_4p!J27="","",IF(VALUE(LEFT(Protokoll_4p!J27,FIND(":",Protokoll_4p!J27)-1))&gt;VALUE(RIGHT(Protokoll_4p!J27,LEN(Protokoll_4p!J27)-FIND(":",Protokoll_4p!J27))),1,0))</f>
        <v>#VALUE!</v>
      </c>
      <c r="G21" s="1" t="e">
        <f t="shared" si="0"/>
        <v>#VALUE!</v>
      </c>
      <c r="I21" s="1" t="e">
        <f>IF(Protokoll_4p!F27="","",IF(VALUE(LEFT(Protokoll_4p!F27,FIND(":",Protokoll_4p!F27)-1))&gt;VALUE(RIGHT(Protokoll_4p!F27,LEN(Protokoll_4p!F27)-FIND(":",Protokoll_4p!F27))),0,1))</f>
        <v>#VALUE!</v>
      </c>
      <c r="J21" s="1" t="e">
        <f>IF(Protokoll_4p!G27="","",IF(VALUE(LEFT(Protokoll_4p!G27,FIND(":",Protokoll_4p!G27)-1))&gt;VALUE(RIGHT(Protokoll_4p!G27,LEN(Protokoll_4p!G27)-FIND(":",Protokoll_4p!G27))),0,1))</f>
        <v>#VALUE!</v>
      </c>
      <c r="K21" s="1" t="e">
        <f>IF(Protokoll_4p!H27="","",IF(VALUE(LEFT(Protokoll_4p!H27,FIND(":",Protokoll_4p!H27)-1))&gt;VALUE(RIGHT(Protokoll_4p!H27,LEN(Protokoll_4p!H27)-FIND(":",Protokoll_4p!H27))),0,1))</f>
        <v>#VALUE!</v>
      </c>
      <c r="L21" s="1" t="e">
        <f>IF(Protokoll_4p!I27="","",IF(VALUE(LEFT(Protokoll_4p!I27,FIND(":",Protokoll_4p!I27)-1))&gt;VALUE(RIGHT(Protokoll_4p!I27,LEN(Protokoll_4p!I27)-FIND(":",Protokoll_4p!I27))),0,1))</f>
        <v>#VALUE!</v>
      </c>
      <c r="M21" s="1" t="e">
        <f>IF(Protokoll_4p!J27="","",IF(VALUE(LEFT(Protokoll_4p!J27,FIND(":",Protokoll_4p!J27)-1))&gt;VALUE(RIGHT(Protokoll_4p!J27,LEN(Protokoll_4p!J27)-FIND(":",Protokoll_4p!J27))),0,1))</f>
        <v>#VALUE!</v>
      </c>
      <c r="N21" s="1" t="e">
        <f t="shared" si="1"/>
        <v>#VALUE!</v>
      </c>
    </row>
    <row r="22" spans="2:14">
      <c r="B22" s="1">
        <f>IF(Protokoll_4p!F28="","",IF(VALUE(LEFT(Protokoll_4p!F28,FIND(":",Protokoll_4p!F28)-1))&gt;VALUE(RIGHT(Protokoll_4p!F28,LEN(Protokoll_4p!F28)-FIND(":",Protokoll_4p!F28))),1,0))</f>
        <v>1</v>
      </c>
      <c r="C22" s="1">
        <f>IF(Protokoll_4p!G28="","",IF(VALUE(LEFT(Protokoll_4p!G28,FIND(":",Protokoll_4p!G28)-1))&gt;VALUE(RIGHT(Protokoll_4p!G28,LEN(Protokoll_4p!G28)-FIND(":",Protokoll_4p!G28))),1,0))</f>
        <v>1</v>
      </c>
      <c r="D22" s="1">
        <f>IF(Protokoll_4p!H28="","",IF(VALUE(LEFT(Protokoll_4p!H28,FIND(":",Protokoll_4p!H28)-1))&gt;VALUE(RIGHT(Protokoll_4p!H28,LEN(Protokoll_4p!H28)-FIND(":",Protokoll_4p!H28))),1,0))</f>
        <v>1</v>
      </c>
      <c r="E22" s="1" t="str">
        <f>IF(Protokoll_4p!I28="","",IF(VALUE(LEFT(Protokoll_4p!I28,FIND(":",Protokoll_4p!I28)-1))&gt;VALUE(RIGHT(Protokoll_4p!I28,LEN(Protokoll_4p!I28)-FIND(":",Protokoll_4p!I28))),1,0))</f>
        <v/>
      </c>
      <c r="F22" s="1" t="str">
        <f>IF(Protokoll_4p!J28="","",IF(VALUE(LEFT(Protokoll_4p!J28,FIND(":",Protokoll_4p!J28)-1))&gt;VALUE(RIGHT(Protokoll_4p!J28,LEN(Protokoll_4p!J28)-FIND(":",Protokoll_4p!J28))),1,0))</f>
        <v/>
      </c>
      <c r="G22" s="1">
        <f t="shared" si="0"/>
        <v>3</v>
      </c>
      <c r="I22" s="1">
        <f>IF(Protokoll_4p!F28="","",IF(VALUE(LEFT(Protokoll_4p!F28,FIND(":",Protokoll_4p!F28)-1))&gt;VALUE(RIGHT(Protokoll_4p!F28,LEN(Protokoll_4p!F28)-FIND(":",Protokoll_4p!F28))),0,1))</f>
        <v>0</v>
      </c>
      <c r="J22" s="1">
        <f>IF(Protokoll_4p!G28="","",IF(VALUE(LEFT(Protokoll_4p!G28,FIND(":",Protokoll_4p!G28)-1))&gt;VALUE(RIGHT(Protokoll_4p!G28,LEN(Protokoll_4p!G28)-FIND(":",Protokoll_4p!G28))),0,1))</f>
        <v>0</v>
      </c>
      <c r="K22" s="1">
        <f>IF(Protokoll_4p!H28="","",IF(VALUE(LEFT(Protokoll_4p!H28,FIND(":",Protokoll_4p!H28)-1))&gt;VALUE(RIGHT(Protokoll_4p!H28,LEN(Protokoll_4p!H28)-FIND(":",Protokoll_4p!H28))),0,1))</f>
        <v>0</v>
      </c>
      <c r="L22" s="1" t="str">
        <f>IF(Protokoll_4p!I28="","",IF(VALUE(LEFT(Protokoll_4p!I28,FIND(":",Protokoll_4p!I28)-1))&gt;VALUE(RIGHT(Protokoll_4p!I28,LEN(Protokoll_4p!I28)-FIND(":",Protokoll_4p!I28))),0,1))</f>
        <v/>
      </c>
      <c r="M22" s="1" t="str">
        <f>IF(Protokoll_4p!J28="","",IF(VALUE(LEFT(Protokoll_4p!J28,FIND(":",Protokoll_4p!J28)-1))&gt;VALUE(RIGHT(Protokoll_4p!J28,LEN(Protokoll_4p!J28)-FIND(":",Protokoll_4p!J28))),0,1))</f>
        <v/>
      </c>
      <c r="N22" s="1">
        <f t="shared" si="1"/>
        <v>0</v>
      </c>
    </row>
    <row r="23" spans="2:14">
      <c r="B23" s="1">
        <f>IF(Protokoll_4p!F29="","",IF(VALUE(LEFT(Protokoll_4p!F29,FIND(":",Protokoll_4p!F29)-1))&gt;VALUE(RIGHT(Protokoll_4p!F29,LEN(Protokoll_4p!F29)-FIND(":",Protokoll_4p!F29))),1,0))</f>
        <v>0</v>
      </c>
      <c r="C23" s="1">
        <f>IF(Protokoll_4p!G29="","",IF(VALUE(LEFT(Protokoll_4p!G29,FIND(":",Protokoll_4p!G29)-1))&gt;VALUE(RIGHT(Protokoll_4p!G29,LEN(Protokoll_4p!G29)-FIND(":",Protokoll_4p!G29))),1,0))</f>
        <v>1</v>
      </c>
      <c r="D23" s="1">
        <f>IF(Protokoll_4p!H29="","",IF(VALUE(LEFT(Protokoll_4p!H29,FIND(":",Protokoll_4p!H29)-1))&gt;VALUE(RIGHT(Protokoll_4p!H29,LEN(Protokoll_4p!H29)-FIND(":",Protokoll_4p!H29))),1,0))</f>
        <v>0</v>
      </c>
      <c r="E23" s="1">
        <f>IF(Protokoll_4p!I29="","",IF(VALUE(LEFT(Protokoll_4p!I29,FIND(":",Protokoll_4p!I29)-1))&gt;VALUE(RIGHT(Protokoll_4p!I29,LEN(Protokoll_4p!I29)-FIND(":",Protokoll_4p!I29))),1,0))</f>
        <v>0</v>
      </c>
      <c r="F23" s="1" t="str">
        <f>IF(Protokoll_4p!J29="","",IF(VALUE(LEFT(Protokoll_4p!J29,FIND(":",Protokoll_4p!J29)-1))&gt;VALUE(RIGHT(Protokoll_4p!J29,LEN(Protokoll_4p!J29)-FIND(":",Protokoll_4p!J29))),1,0))</f>
        <v/>
      </c>
      <c r="G23" s="1">
        <f t="shared" si="0"/>
        <v>1</v>
      </c>
      <c r="I23" s="1">
        <f>IF(Protokoll_4p!F29="","",IF(VALUE(LEFT(Protokoll_4p!F29,FIND(":",Protokoll_4p!F29)-1))&gt;VALUE(RIGHT(Protokoll_4p!F29,LEN(Protokoll_4p!F29)-FIND(":",Protokoll_4p!F29))),0,1))</f>
        <v>1</v>
      </c>
      <c r="J23" s="1">
        <f>IF(Protokoll_4p!G29="","",IF(VALUE(LEFT(Protokoll_4p!G29,FIND(":",Protokoll_4p!G29)-1))&gt;VALUE(RIGHT(Protokoll_4p!G29,LEN(Protokoll_4p!G29)-FIND(":",Protokoll_4p!G29))),0,1))</f>
        <v>0</v>
      </c>
      <c r="K23" s="1">
        <f>IF(Protokoll_4p!H29="","",IF(VALUE(LEFT(Protokoll_4p!H29,FIND(":",Protokoll_4p!H29)-1))&gt;VALUE(RIGHT(Protokoll_4p!H29,LEN(Protokoll_4p!H29)-FIND(":",Protokoll_4p!H29))),0,1))</f>
        <v>1</v>
      </c>
      <c r="L23" s="1">
        <f>IF(Protokoll_4p!I29="","",IF(VALUE(LEFT(Protokoll_4p!I29,FIND(":",Protokoll_4p!I29)-1))&gt;VALUE(RIGHT(Protokoll_4p!I29,LEN(Protokoll_4p!I29)-FIND(":",Protokoll_4p!I29))),0,1))</f>
        <v>1</v>
      </c>
      <c r="M23" s="1" t="str">
        <f>IF(Protokoll_4p!J29="","",IF(VALUE(LEFT(Protokoll_4p!J29,FIND(":",Protokoll_4p!J29)-1))&gt;VALUE(RIGHT(Protokoll_4p!J29,LEN(Protokoll_4p!J29)-FIND(":",Protokoll_4p!J29))),0,1))</f>
        <v/>
      </c>
      <c r="N23" s="1">
        <f t="shared" si="1"/>
        <v>3</v>
      </c>
    </row>
    <row r="24" spans="2:14">
      <c r="B24" s="1">
        <f>IF(Protokoll_4p!F30="","",IF(VALUE(LEFT(Protokoll_4p!F30,FIND(":",Protokoll_4p!F30)-1))&gt;VALUE(RIGHT(Protokoll_4p!F30,LEN(Protokoll_4p!F30)-FIND(":",Protokoll_4p!F30))),1,0))</f>
        <v>0</v>
      </c>
      <c r="C24" s="1">
        <f>IF(Protokoll_4p!G30="","",IF(VALUE(LEFT(Protokoll_4p!G30,FIND(":",Protokoll_4p!G30)-1))&gt;VALUE(RIGHT(Protokoll_4p!G30,LEN(Protokoll_4p!G30)-FIND(":",Protokoll_4p!G30))),1,0))</f>
        <v>0</v>
      </c>
      <c r="D24" s="1">
        <f>IF(Protokoll_4p!H30="","",IF(VALUE(LEFT(Protokoll_4p!H30,FIND(":",Protokoll_4p!H30)-1))&gt;VALUE(RIGHT(Protokoll_4p!H30,LEN(Protokoll_4p!H30)-FIND(":",Protokoll_4p!H30))),1,0))</f>
        <v>0</v>
      </c>
      <c r="E24" s="1" t="str">
        <f>IF(Protokoll_4p!I30="","",IF(VALUE(LEFT(Protokoll_4p!I30,FIND(":",Protokoll_4p!I30)-1))&gt;VALUE(RIGHT(Protokoll_4p!I30,LEN(Protokoll_4p!I30)-FIND(":",Protokoll_4p!I30))),1,0))</f>
        <v/>
      </c>
      <c r="F24" s="1" t="str">
        <f>IF(Protokoll_4p!J30="","",IF(VALUE(LEFT(Protokoll_4p!J30,FIND(":",Protokoll_4p!J30)-1))&gt;VALUE(RIGHT(Protokoll_4p!J30,LEN(Protokoll_4p!J30)-FIND(":",Protokoll_4p!J30))),1,0))</f>
        <v/>
      </c>
      <c r="G24" s="1">
        <f t="shared" si="0"/>
        <v>0</v>
      </c>
      <c r="I24" s="1">
        <f>IF(Protokoll_4p!F30="","",IF(VALUE(LEFT(Protokoll_4p!F30,FIND(":",Protokoll_4p!F30)-1))&gt;VALUE(RIGHT(Protokoll_4p!F30,LEN(Protokoll_4p!F30)-FIND(":",Protokoll_4p!F30))),0,1))</f>
        <v>1</v>
      </c>
      <c r="J24" s="1">
        <f>IF(Protokoll_4p!G30="","",IF(VALUE(LEFT(Protokoll_4p!G30,FIND(":",Protokoll_4p!G30)-1))&gt;VALUE(RIGHT(Protokoll_4p!G30,LEN(Protokoll_4p!G30)-FIND(":",Protokoll_4p!G30))),0,1))</f>
        <v>1</v>
      </c>
      <c r="K24" s="1">
        <f>IF(Protokoll_4p!H30="","",IF(VALUE(LEFT(Protokoll_4p!H30,FIND(":",Protokoll_4p!H30)-1))&gt;VALUE(RIGHT(Protokoll_4p!H30,LEN(Protokoll_4p!H30)-FIND(":",Protokoll_4p!H30))),0,1))</f>
        <v>1</v>
      </c>
      <c r="L24" s="1" t="str">
        <f>IF(Protokoll_4p!I30="","",IF(VALUE(LEFT(Protokoll_4p!I30,FIND(":",Protokoll_4p!I30)-1))&gt;VALUE(RIGHT(Protokoll_4p!I30,LEN(Protokoll_4p!I30)-FIND(":",Protokoll_4p!I30))),0,1))</f>
        <v/>
      </c>
      <c r="M24" s="1" t="str">
        <f>IF(Protokoll_4p!J30="","",IF(VALUE(LEFT(Protokoll_4p!J30,FIND(":",Protokoll_4p!J30)-1))&gt;VALUE(RIGHT(Protokoll_4p!J30,LEN(Protokoll_4p!J30)-FIND(":",Protokoll_4p!J30))),0,1))</f>
        <v/>
      </c>
      <c r="N24" s="1">
        <f t="shared" si="1"/>
        <v>3</v>
      </c>
    </row>
    <row r="25" spans="2:14">
      <c r="B25" s="1">
        <f>IF(Protokoll_4p!F31="","",IF(VALUE(LEFT(Protokoll_4p!F31,FIND(":",Protokoll_4p!F31)-1))&gt;VALUE(RIGHT(Protokoll_4p!F31,LEN(Protokoll_4p!F31)-FIND(":",Protokoll_4p!F31))),1,0))</f>
        <v>0</v>
      </c>
      <c r="C25" s="1">
        <f>IF(Protokoll_4p!G31="","",IF(VALUE(LEFT(Protokoll_4p!G31,FIND(":",Protokoll_4p!G31)-1))&gt;VALUE(RIGHT(Protokoll_4p!G31,LEN(Protokoll_4p!G31)-FIND(":",Protokoll_4p!G31))),1,0))</f>
        <v>1</v>
      </c>
      <c r="D25" s="1">
        <f>IF(Protokoll_4p!H31="","",IF(VALUE(LEFT(Protokoll_4p!H31,FIND(":",Protokoll_4p!H31)-1))&gt;VALUE(RIGHT(Protokoll_4p!H31,LEN(Protokoll_4p!H31)-FIND(":",Protokoll_4p!H31))),1,0))</f>
        <v>1</v>
      </c>
      <c r="E25" s="1">
        <f>IF(Protokoll_4p!I31="","",IF(VALUE(LEFT(Protokoll_4p!I31,FIND(":",Protokoll_4p!I31)-1))&gt;VALUE(RIGHT(Protokoll_4p!I31,LEN(Protokoll_4p!I31)-FIND(":",Protokoll_4p!I31))),1,0))</f>
        <v>1</v>
      </c>
      <c r="F25" s="1" t="str">
        <f>IF(Protokoll_4p!J31="","",IF(VALUE(LEFT(Protokoll_4p!J31,FIND(":",Protokoll_4p!J31)-1))&gt;VALUE(RIGHT(Protokoll_4p!J31,LEN(Protokoll_4p!J31)-FIND(":",Protokoll_4p!J31))),1,0))</f>
        <v/>
      </c>
      <c r="G25" s="1">
        <f t="shared" si="0"/>
        <v>3</v>
      </c>
      <c r="I25" s="1">
        <f>IF(Protokoll_4p!F31="","",IF(VALUE(LEFT(Protokoll_4p!F31,FIND(":",Protokoll_4p!F31)-1))&gt;VALUE(RIGHT(Protokoll_4p!F31,LEN(Protokoll_4p!F31)-FIND(":",Protokoll_4p!F31))),0,1))</f>
        <v>1</v>
      </c>
      <c r="J25" s="1">
        <f>IF(Protokoll_4p!G31="","",IF(VALUE(LEFT(Protokoll_4p!G31,FIND(":",Protokoll_4p!G31)-1))&gt;VALUE(RIGHT(Protokoll_4p!G31,LEN(Protokoll_4p!G31)-FIND(":",Protokoll_4p!G31))),0,1))</f>
        <v>0</v>
      </c>
      <c r="K25" s="1">
        <f>IF(Protokoll_4p!H31="","",IF(VALUE(LEFT(Protokoll_4p!H31,FIND(":",Protokoll_4p!H31)-1))&gt;VALUE(RIGHT(Protokoll_4p!H31,LEN(Protokoll_4p!H31)-FIND(":",Protokoll_4p!H31))),0,1))</f>
        <v>0</v>
      </c>
      <c r="L25" s="1">
        <f>IF(Protokoll_4p!I31="","",IF(VALUE(LEFT(Protokoll_4p!I31,FIND(":",Protokoll_4p!I31)-1))&gt;VALUE(RIGHT(Protokoll_4p!I31,LEN(Protokoll_4p!I31)-FIND(":",Protokoll_4p!I31))),0,1))</f>
        <v>0</v>
      </c>
      <c r="M25" s="1" t="str">
        <f>IF(Protokoll_4p!J31="","",IF(VALUE(LEFT(Protokoll_4p!J31,FIND(":",Protokoll_4p!J31)-1))&gt;VALUE(RIGHT(Protokoll_4p!J31,LEN(Protokoll_4p!J31)-FIND(":",Protokoll_4p!J31))),0,1))</f>
        <v/>
      </c>
      <c r="N25" s="1">
        <f t="shared" si="1"/>
        <v>1</v>
      </c>
    </row>
    <row r="26" spans="2:14">
      <c r="B26" s="1" t="str">
        <f>IF(Protokoll_4p!F32="","",IF(VALUE(LEFT(Protokoll_4p!F32,FIND(":",Protokoll_4p!F32)-1))&gt;VALUE(RIGHT(Protokoll_4p!F32,LEN(Protokoll_4p!F32)-FIND(":",Protokoll_4p!F32))),1,0))</f>
        <v/>
      </c>
      <c r="C26" s="1" t="str">
        <f>IF(Protokoll_4p!G32="","",IF(VALUE(LEFT(Protokoll_4p!G32,FIND(":",Protokoll_4p!G32)-1))&gt;VALUE(RIGHT(Protokoll_4p!G32,LEN(Protokoll_4p!G32)-FIND(":",Protokoll_4p!G32))),1,0))</f>
        <v/>
      </c>
      <c r="D26" s="1" t="str">
        <f>IF(Protokoll_4p!H32="","",IF(VALUE(LEFT(Protokoll_4p!H32,FIND(":",Protokoll_4p!H32)-1))&gt;VALUE(RIGHT(Protokoll_4p!H32,LEN(Protokoll_4p!H32)-FIND(":",Protokoll_4p!H32))),1,0))</f>
        <v/>
      </c>
      <c r="E26" s="1" t="str">
        <f>IF(Protokoll_4p!I32="","",IF(VALUE(LEFT(Protokoll_4p!I32,FIND(":",Protokoll_4p!I32)-1))&gt;VALUE(RIGHT(Protokoll_4p!I32,LEN(Protokoll_4p!I32)-FIND(":",Protokoll_4p!I32))),1,0))</f>
        <v/>
      </c>
      <c r="F26" s="1" t="str">
        <f>IF(Protokoll_4p!J32="","",IF(VALUE(LEFT(Protokoll_4p!J32,FIND(":",Protokoll_4p!J32)-1))&gt;VALUE(RIGHT(Protokoll_4p!J32,LEN(Protokoll_4p!J32)-FIND(":",Protokoll_4p!J32))),1,0))</f>
        <v/>
      </c>
      <c r="G26" s="1" t="str">
        <f t="shared" si="0"/>
        <v/>
      </c>
      <c r="I26" s="1" t="str">
        <f>IF(Protokoll_4p!F32="","",IF(VALUE(LEFT(Protokoll_4p!F32,FIND(":",Protokoll_4p!F32)-1))&gt;VALUE(RIGHT(Protokoll_4p!F32,LEN(Protokoll_4p!F32)-FIND(":",Protokoll_4p!F32))),0,1))</f>
        <v/>
      </c>
      <c r="J26" s="1" t="str">
        <f>IF(Protokoll_4p!G32="","",IF(VALUE(LEFT(Protokoll_4p!G32,FIND(":",Protokoll_4p!G32)-1))&gt;VALUE(RIGHT(Protokoll_4p!G32,LEN(Protokoll_4p!G32)-FIND(":",Protokoll_4p!G32))),0,1))</f>
        <v/>
      </c>
      <c r="K26" s="1" t="str">
        <f>IF(Protokoll_4p!H32="","",IF(VALUE(LEFT(Protokoll_4p!H32,FIND(":",Protokoll_4p!H32)-1))&gt;VALUE(RIGHT(Protokoll_4p!H32,LEN(Protokoll_4p!H32)-FIND(":",Protokoll_4p!H32))),0,1))</f>
        <v/>
      </c>
      <c r="L26" s="1" t="str">
        <f>IF(Protokoll_4p!I32="","",IF(VALUE(LEFT(Protokoll_4p!I32,FIND(":",Protokoll_4p!I32)-1))&gt;VALUE(RIGHT(Protokoll_4p!I32,LEN(Protokoll_4p!I32)-FIND(":",Protokoll_4p!I32))),0,1))</f>
        <v/>
      </c>
      <c r="M26" s="1" t="str">
        <f>IF(Protokoll_4p!J32="","",IF(VALUE(LEFT(Protokoll_4p!J32,FIND(":",Protokoll_4p!J32)-1))&gt;VALUE(RIGHT(Protokoll_4p!J32,LEN(Protokoll_4p!J32)-FIND(":",Protokoll_4p!J32))),0,1))</f>
        <v/>
      </c>
      <c r="N26" s="1" t="str">
        <f t="shared" si="1"/>
        <v/>
      </c>
    </row>
    <row r="27" spans="2:14">
      <c r="B27" s="1">
        <f>IF(Protokoll_4p!F33="","",IF(VALUE(LEFT(Protokoll_4p!F33,FIND(":",Protokoll_4p!F33)-1))&gt;VALUE(RIGHT(Protokoll_4p!F33,LEN(Protokoll_4p!F33)-FIND(":",Protokoll_4p!F33))),1,0))</f>
        <v>1</v>
      </c>
      <c r="C27" s="1">
        <f>IF(Protokoll_4p!G33="","",IF(VALUE(LEFT(Protokoll_4p!G33,FIND(":",Protokoll_4p!G33)-1))&gt;VALUE(RIGHT(Protokoll_4p!G33,LEN(Protokoll_4p!G33)-FIND(":",Protokoll_4p!G33))),1,0))</f>
        <v>1</v>
      </c>
      <c r="D27" s="1">
        <f>IF(Protokoll_4p!H33="","",IF(VALUE(LEFT(Protokoll_4p!H33,FIND(":",Protokoll_4p!H33)-1))&gt;VALUE(RIGHT(Protokoll_4p!H33,LEN(Protokoll_4p!H33)-FIND(":",Protokoll_4p!H33))),1,0))</f>
        <v>1</v>
      </c>
      <c r="E27" s="1" t="str">
        <f>IF(Protokoll_4p!I33="","",IF(VALUE(LEFT(Protokoll_4p!I33,FIND(":",Protokoll_4p!I33)-1))&gt;VALUE(RIGHT(Protokoll_4p!I33,LEN(Protokoll_4p!I33)-FIND(":",Protokoll_4p!I33))),1,0))</f>
        <v/>
      </c>
      <c r="F27" s="1" t="str">
        <f>IF(Protokoll_4p!J33="","",IF(VALUE(LEFT(Protokoll_4p!J33,FIND(":",Protokoll_4p!J33)-1))&gt;VALUE(RIGHT(Protokoll_4p!J33,LEN(Protokoll_4p!J33)-FIND(":",Protokoll_4p!J33))),1,0))</f>
        <v/>
      </c>
      <c r="G27" s="1">
        <f t="shared" si="0"/>
        <v>3</v>
      </c>
      <c r="I27" s="1">
        <f>IF(Protokoll_4p!F33="","",IF(VALUE(LEFT(Protokoll_4p!F33,FIND(":",Protokoll_4p!F33)-1))&gt;VALUE(RIGHT(Protokoll_4p!F33,LEN(Protokoll_4p!F33)-FIND(":",Protokoll_4p!F33))),0,1))</f>
        <v>0</v>
      </c>
      <c r="J27" s="1">
        <f>IF(Protokoll_4p!G33="","",IF(VALUE(LEFT(Protokoll_4p!G33,FIND(":",Protokoll_4p!G33)-1))&gt;VALUE(RIGHT(Protokoll_4p!G33,LEN(Protokoll_4p!G33)-FIND(":",Protokoll_4p!G33))),0,1))</f>
        <v>0</v>
      </c>
      <c r="K27" s="1">
        <f>IF(Protokoll_4p!H33="","",IF(VALUE(LEFT(Protokoll_4p!H33,FIND(":",Protokoll_4p!H33)-1))&gt;VALUE(RIGHT(Protokoll_4p!H33,LEN(Protokoll_4p!H33)-FIND(":",Protokoll_4p!H33))),0,1))</f>
        <v>0</v>
      </c>
      <c r="L27" s="1" t="str">
        <f>IF(Protokoll_4p!I33="","",IF(VALUE(LEFT(Protokoll_4p!I33,FIND(":",Protokoll_4p!I33)-1))&gt;VALUE(RIGHT(Protokoll_4p!I33,LEN(Protokoll_4p!I33)-FIND(":",Protokoll_4p!I33))),0,1))</f>
        <v/>
      </c>
      <c r="M27" s="1" t="str">
        <f>IF(Protokoll_4p!J33="","",IF(VALUE(LEFT(Protokoll_4p!J33,FIND(":",Protokoll_4p!J33)-1))&gt;VALUE(RIGHT(Protokoll_4p!J33,LEN(Protokoll_4p!J33)-FIND(":",Protokoll_4p!J33))),0,1))</f>
        <v/>
      </c>
      <c r="N27" s="1">
        <f t="shared" si="1"/>
        <v>0</v>
      </c>
    </row>
    <row r="28" spans="2:14">
      <c r="B28" s="1">
        <f>IF(Protokoll_4p!F34="","",IF(VALUE(LEFT(Protokoll_4p!F34,FIND(":",Protokoll_4p!F34)-1))&gt;VALUE(RIGHT(Protokoll_4p!F34,LEN(Protokoll_4p!F34)-FIND(":",Protokoll_4p!F34))),1,0))</f>
        <v>1</v>
      </c>
      <c r="C28" s="1">
        <f>IF(Protokoll_4p!G34="","",IF(VALUE(LEFT(Protokoll_4p!G34,FIND(":",Protokoll_4p!G34)-1))&gt;VALUE(RIGHT(Protokoll_4p!G34,LEN(Protokoll_4p!G34)-FIND(":",Protokoll_4p!G34))),1,0))</f>
        <v>1</v>
      </c>
      <c r="D28" s="1">
        <f>IF(Protokoll_4p!H34="","",IF(VALUE(LEFT(Protokoll_4p!H34,FIND(":",Protokoll_4p!H34)-1))&gt;VALUE(RIGHT(Protokoll_4p!H34,LEN(Protokoll_4p!H34)-FIND(":",Protokoll_4p!H34))),1,0))</f>
        <v>0</v>
      </c>
      <c r="E28" s="1">
        <f>IF(Protokoll_4p!I34="","",IF(VALUE(LEFT(Protokoll_4p!I34,FIND(":",Protokoll_4p!I34)-1))&gt;VALUE(RIGHT(Protokoll_4p!I34,LEN(Protokoll_4p!I34)-FIND(":",Protokoll_4p!I34))),1,0))</f>
        <v>0</v>
      </c>
      <c r="F28" s="1">
        <f>IF(Protokoll_4p!J34="","",IF(VALUE(LEFT(Protokoll_4p!J34,FIND(":",Protokoll_4p!J34)-1))&gt;VALUE(RIGHT(Protokoll_4p!J34,LEN(Protokoll_4p!J34)-FIND(":",Protokoll_4p!J34))),1,0))</f>
        <v>0</v>
      </c>
      <c r="G28" s="1">
        <f t="shared" si="0"/>
        <v>2</v>
      </c>
      <c r="I28" s="1">
        <f>IF(Protokoll_4p!F34="","",IF(VALUE(LEFT(Protokoll_4p!F34,FIND(":",Protokoll_4p!F34)-1))&gt;VALUE(RIGHT(Protokoll_4p!F34,LEN(Protokoll_4p!F34)-FIND(":",Protokoll_4p!F34))),0,1))</f>
        <v>0</v>
      </c>
      <c r="J28" s="1">
        <f>IF(Protokoll_4p!G34="","",IF(VALUE(LEFT(Protokoll_4p!G34,FIND(":",Protokoll_4p!G34)-1))&gt;VALUE(RIGHT(Protokoll_4p!G34,LEN(Protokoll_4p!G34)-FIND(":",Protokoll_4p!G34))),0,1))</f>
        <v>0</v>
      </c>
      <c r="K28" s="1">
        <f>IF(Protokoll_4p!H34="","",IF(VALUE(LEFT(Protokoll_4p!H34,FIND(":",Protokoll_4p!H34)-1))&gt;VALUE(RIGHT(Protokoll_4p!H34,LEN(Protokoll_4p!H34)-FIND(":",Protokoll_4p!H34))),0,1))</f>
        <v>1</v>
      </c>
      <c r="L28" s="1">
        <f>IF(Protokoll_4p!I34="","",IF(VALUE(LEFT(Protokoll_4p!I34,FIND(":",Protokoll_4p!I34)-1))&gt;VALUE(RIGHT(Protokoll_4p!I34,LEN(Protokoll_4p!I34)-FIND(":",Protokoll_4p!I34))),0,1))</f>
        <v>1</v>
      </c>
      <c r="M28" s="1">
        <f>IF(Protokoll_4p!J34="","",IF(VALUE(LEFT(Protokoll_4p!J34,FIND(":",Protokoll_4p!J34)-1))&gt;VALUE(RIGHT(Protokoll_4p!J34,LEN(Protokoll_4p!J34)-FIND(":",Protokoll_4p!J34))),0,1))</f>
        <v>1</v>
      </c>
      <c r="N28" s="1">
        <f t="shared" si="1"/>
        <v>3</v>
      </c>
    </row>
    <row r="29" spans="2:14">
      <c r="B29" s="1">
        <f>IF(Protokoll_4p!F35="","",IF(VALUE(LEFT(Protokoll_4p!F35,FIND(":",Protokoll_4p!F35)-1))&gt;VALUE(RIGHT(Protokoll_4p!F35,LEN(Protokoll_4p!F35)-FIND(":",Protokoll_4p!F35))),1,0))</f>
        <v>0</v>
      </c>
      <c r="C29" s="1">
        <f>IF(Protokoll_4p!G35="","",IF(VALUE(LEFT(Protokoll_4p!G35,FIND(":",Protokoll_4p!G35)-1))&gt;VALUE(RIGHT(Protokoll_4p!G35,LEN(Protokoll_4p!G35)-FIND(":",Protokoll_4p!G35))),1,0))</f>
        <v>1</v>
      </c>
      <c r="D29" s="1">
        <f>IF(Protokoll_4p!H35="","",IF(VALUE(LEFT(Protokoll_4p!H35,FIND(":",Protokoll_4p!H35)-1))&gt;VALUE(RIGHT(Protokoll_4p!H35,LEN(Protokoll_4p!H35)-FIND(":",Protokoll_4p!H35))),1,0))</f>
        <v>0</v>
      </c>
      <c r="E29" s="1">
        <f>IF(Protokoll_4p!I35="","",IF(VALUE(LEFT(Protokoll_4p!I35,FIND(":",Protokoll_4p!I35)-1))&gt;VALUE(RIGHT(Protokoll_4p!I35,LEN(Protokoll_4p!I35)-FIND(":",Protokoll_4p!I35))),1,0))</f>
        <v>1</v>
      </c>
      <c r="F29" s="1">
        <f>IF(Protokoll_4p!J35="","",IF(VALUE(LEFT(Protokoll_4p!J35,FIND(":",Protokoll_4p!J35)-1))&gt;VALUE(RIGHT(Protokoll_4p!J35,LEN(Protokoll_4p!J35)-FIND(":",Protokoll_4p!J35))),1,0))</f>
        <v>0</v>
      </c>
      <c r="G29" s="1">
        <f t="shared" si="0"/>
        <v>2</v>
      </c>
      <c r="I29" s="1">
        <f>IF(Protokoll_4p!F35="","",IF(VALUE(LEFT(Protokoll_4p!F35,FIND(":",Protokoll_4p!F35)-1))&gt;VALUE(RIGHT(Protokoll_4p!F35,LEN(Protokoll_4p!F35)-FIND(":",Protokoll_4p!F35))),0,1))</f>
        <v>1</v>
      </c>
      <c r="J29" s="1">
        <f>IF(Protokoll_4p!G35="","",IF(VALUE(LEFT(Protokoll_4p!G35,FIND(":",Protokoll_4p!G35)-1))&gt;VALUE(RIGHT(Protokoll_4p!G35,LEN(Protokoll_4p!G35)-FIND(":",Protokoll_4p!G35))),0,1))</f>
        <v>0</v>
      </c>
      <c r="K29" s="1">
        <f>IF(Protokoll_4p!H35="","",IF(VALUE(LEFT(Protokoll_4p!H35,FIND(":",Protokoll_4p!H35)-1))&gt;VALUE(RIGHT(Protokoll_4p!H35,LEN(Protokoll_4p!H35)-FIND(":",Protokoll_4p!H35))),0,1))</f>
        <v>1</v>
      </c>
      <c r="L29" s="1">
        <f>IF(Protokoll_4p!I35="","",IF(VALUE(LEFT(Protokoll_4p!I35,FIND(":",Protokoll_4p!I35)-1))&gt;VALUE(RIGHT(Protokoll_4p!I35,LEN(Protokoll_4p!I35)-FIND(":",Protokoll_4p!I35))),0,1))</f>
        <v>0</v>
      </c>
      <c r="M29" s="1">
        <f>IF(Protokoll_4p!J35="","",IF(VALUE(LEFT(Protokoll_4p!J35,FIND(":",Protokoll_4p!J35)-1))&gt;VALUE(RIGHT(Protokoll_4p!J35,LEN(Protokoll_4p!J35)-FIND(":",Protokoll_4p!J35))),0,1))</f>
        <v>1</v>
      </c>
      <c r="N29" s="1">
        <f t="shared" si="1"/>
        <v>3</v>
      </c>
    </row>
    <row r="30" spans="2:14">
      <c r="B30" s="1" t="str">
        <f>IF(Protokoll_4p!F36="","",IF(VALUE(LEFT(Protokoll_4p!F36,FIND(":",Protokoll_4p!F36)-1))&gt;VALUE(RIGHT(Protokoll_4p!F36,LEN(Protokoll_4p!F36)-FIND(":",Protokoll_4p!F36))),1,0))</f>
        <v/>
      </c>
      <c r="C30" s="1" t="str">
        <f>IF(Protokoll_4p!G36="","",IF(VALUE(LEFT(Protokoll_4p!G36,FIND(":",Protokoll_4p!G36)-1))&gt;VALUE(RIGHT(Protokoll_4p!G36,LEN(Protokoll_4p!G36)-FIND(":",Protokoll_4p!G36))),1,0))</f>
        <v/>
      </c>
      <c r="D30" s="1" t="str">
        <f>IF(Protokoll_4p!H36="","",IF(VALUE(LEFT(Protokoll_4p!H36,FIND(":",Protokoll_4p!H36)-1))&gt;VALUE(RIGHT(Protokoll_4p!H36,LEN(Protokoll_4p!H36)-FIND(":",Protokoll_4p!H36))),1,0))</f>
        <v/>
      </c>
      <c r="E30" s="1" t="str">
        <f>IF(Protokoll_4p!I36="","",IF(VALUE(LEFT(Protokoll_4p!I36,FIND(":",Protokoll_4p!I36)-1))&gt;VALUE(RIGHT(Protokoll_4p!I36,LEN(Protokoll_4p!I36)-FIND(":",Protokoll_4p!I36))),1,0))</f>
        <v/>
      </c>
      <c r="F30" s="1" t="str">
        <f>IF(Protokoll_4p!J36="","",IF(VALUE(LEFT(Protokoll_4p!J36,FIND(":",Protokoll_4p!J36)-1))&gt;VALUE(RIGHT(Protokoll_4p!J36,LEN(Protokoll_4p!J36)-FIND(":",Protokoll_4p!J36))),1,0))</f>
        <v/>
      </c>
      <c r="G30" s="1" t="str">
        <f t="shared" si="0"/>
        <v/>
      </c>
      <c r="I30" s="1" t="str">
        <f>IF(Protokoll_4p!F36="","",IF(VALUE(LEFT(Protokoll_4p!F36,FIND(":",Protokoll_4p!F36)-1))&gt;VALUE(RIGHT(Protokoll_4p!F36,LEN(Protokoll_4p!F36)-FIND(":",Protokoll_4p!F36))),0,1))</f>
        <v/>
      </c>
      <c r="J30" s="1" t="str">
        <f>IF(Protokoll_4p!G36="","",IF(VALUE(LEFT(Protokoll_4p!G36,FIND(":",Protokoll_4p!G36)-1))&gt;VALUE(RIGHT(Protokoll_4p!G36,LEN(Protokoll_4p!G36)-FIND(":",Protokoll_4p!G36))),0,1))</f>
        <v/>
      </c>
      <c r="K30" s="1" t="str">
        <f>IF(Protokoll_4p!H36="","",IF(VALUE(LEFT(Protokoll_4p!H36,FIND(":",Protokoll_4p!H36)-1))&gt;VALUE(RIGHT(Protokoll_4p!H36,LEN(Protokoll_4p!H36)-FIND(":",Protokoll_4p!H36))),0,1))</f>
        <v/>
      </c>
      <c r="L30" s="1" t="str">
        <f>IF(Protokoll_4p!I36="","",IF(VALUE(LEFT(Protokoll_4p!I36,FIND(":",Protokoll_4p!I36)-1))&gt;VALUE(RIGHT(Protokoll_4p!I36,LEN(Protokoll_4p!I36)-FIND(":",Protokoll_4p!I36))),0,1))</f>
        <v/>
      </c>
      <c r="M30" s="1" t="str">
        <f>IF(Protokoll_4p!J36="","",IF(VALUE(LEFT(Protokoll_4p!J36,FIND(":",Protokoll_4p!J36)-1))&gt;VALUE(RIGHT(Protokoll_4p!J36,LEN(Protokoll_4p!J36)-FIND(":",Protokoll_4p!J36))),0,1))</f>
        <v/>
      </c>
      <c r="N30" s="1" t="str">
        <f t="shared" si="1"/>
        <v/>
      </c>
    </row>
    <row r="31" spans="2:14">
      <c r="B31" s="1" t="e">
        <f>IF(Protokoll_4p!F37="","",IF(VALUE(LEFT(Protokoll_4p!F37,FIND(":",Protokoll_4p!F37)-1))&gt;VALUE(RIGHT(Protokoll_4p!F37,LEN(Protokoll_4p!F37)-FIND(":",Protokoll_4p!F37))),1,0))</f>
        <v>#VALUE!</v>
      </c>
      <c r="C31" s="1" t="e">
        <f>IF(Protokoll_4p!G37="","",IF(VALUE(LEFT(Protokoll_4p!G37,FIND(":",Protokoll_4p!G37)-1))&gt;VALUE(RIGHT(Protokoll_4p!G37,LEN(Protokoll_4p!G37)-FIND(":",Protokoll_4p!G37))),1,0))</f>
        <v>#VALUE!</v>
      </c>
      <c r="D31" s="1" t="e">
        <f>IF(Protokoll_4p!H37="","",IF(VALUE(LEFT(Protokoll_4p!H37,FIND(":",Protokoll_4p!H37)-1))&gt;VALUE(RIGHT(Protokoll_4p!H37,LEN(Protokoll_4p!H37)-FIND(":",Protokoll_4p!H37))),1,0))</f>
        <v>#VALUE!</v>
      </c>
      <c r="E31" s="1" t="e">
        <f>IF(Protokoll_4p!I37="","",IF(VALUE(LEFT(Protokoll_4p!I37,FIND(":",Protokoll_4p!I37)-1))&gt;VALUE(RIGHT(Protokoll_4p!I37,LEN(Protokoll_4p!I37)-FIND(":",Protokoll_4p!I37))),1,0))</f>
        <v>#VALUE!</v>
      </c>
      <c r="F31" s="1" t="e">
        <f>IF(Protokoll_4p!J37="","",IF(VALUE(LEFT(Protokoll_4p!J37,FIND(":",Protokoll_4p!J37)-1))&gt;VALUE(RIGHT(Protokoll_4p!J37,LEN(Protokoll_4p!J37)-FIND(":",Protokoll_4p!J37))),1,0))</f>
        <v>#VALUE!</v>
      </c>
      <c r="G31" s="1" t="e">
        <f t="shared" si="0"/>
        <v>#VALUE!</v>
      </c>
      <c r="I31" s="1" t="e">
        <f>IF(Protokoll_4p!F37="","",IF(VALUE(LEFT(Protokoll_4p!F37,FIND(":",Protokoll_4p!F37)-1))&gt;VALUE(RIGHT(Protokoll_4p!F37,LEN(Protokoll_4p!F37)-FIND(":",Protokoll_4p!F37))),0,1))</f>
        <v>#VALUE!</v>
      </c>
      <c r="J31" s="1" t="e">
        <f>IF(Protokoll_4p!G37="","",IF(VALUE(LEFT(Protokoll_4p!G37,FIND(":",Protokoll_4p!G37)-1))&gt;VALUE(RIGHT(Protokoll_4p!G37,LEN(Protokoll_4p!G37)-FIND(":",Protokoll_4p!G37))),0,1))</f>
        <v>#VALUE!</v>
      </c>
      <c r="K31" s="1" t="e">
        <f>IF(Protokoll_4p!H37="","",IF(VALUE(LEFT(Protokoll_4p!H37,FIND(":",Protokoll_4p!H37)-1))&gt;VALUE(RIGHT(Protokoll_4p!H37,LEN(Protokoll_4p!H37)-FIND(":",Protokoll_4p!H37))),0,1))</f>
        <v>#VALUE!</v>
      </c>
      <c r="L31" s="1" t="e">
        <f>IF(Protokoll_4p!I37="","",IF(VALUE(LEFT(Protokoll_4p!I37,FIND(":",Protokoll_4p!I37)-1))&gt;VALUE(RIGHT(Protokoll_4p!I37,LEN(Protokoll_4p!I37)-FIND(":",Protokoll_4p!I37))),0,1))</f>
        <v>#VALUE!</v>
      </c>
      <c r="M31" s="1" t="e">
        <f>IF(Protokoll_4p!J37="","",IF(VALUE(LEFT(Protokoll_4p!J37,FIND(":",Protokoll_4p!J37)-1))&gt;VALUE(RIGHT(Protokoll_4p!J37,LEN(Protokoll_4p!J37)-FIND(":",Protokoll_4p!J37))),0,1))</f>
        <v>#VALUE!</v>
      </c>
      <c r="N31" s="1" t="e">
        <f t="shared" si="1"/>
        <v>#VALUE!</v>
      </c>
    </row>
    <row r="32" spans="2:14">
      <c r="B32" s="1">
        <f>IF(Protokoll_4p!F38="","",IF(VALUE(LEFT(Protokoll_4p!F38,FIND(":",Protokoll_4p!F38)-1))&gt;VALUE(RIGHT(Protokoll_4p!F38,LEN(Protokoll_4p!F38)-FIND(":",Protokoll_4p!F38))),1,0))</f>
        <v>0</v>
      </c>
      <c r="C32" s="1">
        <f>IF(Protokoll_4p!G38="","",IF(VALUE(LEFT(Protokoll_4p!G38,FIND(":",Protokoll_4p!G38)-1))&gt;VALUE(RIGHT(Protokoll_4p!G38,LEN(Protokoll_4p!G38)-FIND(":",Protokoll_4p!G38))),1,0))</f>
        <v>1</v>
      </c>
      <c r="D32" s="1">
        <f>IF(Protokoll_4p!H38="","",IF(VALUE(LEFT(Protokoll_4p!H38,FIND(":",Protokoll_4p!H38)-1))&gt;VALUE(RIGHT(Protokoll_4p!H38,LEN(Protokoll_4p!H38)-FIND(":",Protokoll_4p!H38))),1,0))</f>
        <v>0</v>
      </c>
      <c r="E32" s="1">
        <f>IF(Protokoll_4p!I38="","",IF(VALUE(LEFT(Protokoll_4p!I38,FIND(":",Protokoll_4p!I38)-1))&gt;VALUE(RIGHT(Protokoll_4p!I38,LEN(Protokoll_4p!I38)-FIND(":",Protokoll_4p!I38))),1,0))</f>
        <v>0</v>
      </c>
      <c r="F32" s="1" t="str">
        <f>IF(Protokoll_4p!J38="","",IF(VALUE(LEFT(Protokoll_4p!J38,FIND(":",Protokoll_4p!J38)-1))&gt;VALUE(RIGHT(Protokoll_4p!J38,LEN(Protokoll_4p!J38)-FIND(":",Protokoll_4p!J38))),1,0))</f>
        <v/>
      </c>
      <c r="G32" s="1">
        <f t="shared" si="0"/>
        <v>1</v>
      </c>
      <c r="I32" s="1">
        <f>IF(Protokoll_4p!F38="","",IF(VALUE(LEFT(Protokoll_4p!F38,FIND(":",Protokoll_4p!F38)-1))&gt;VALUE(RIGHT(Protokoll_4p!F38,LEN(Protokoll_4p!F38)-FIND(":",Protokoll_4p!F38))),0,1))</f>
        <v>1</v>
      </c>
      <c r="J32" s="1">
        <f>IF(Protokoll_4p!G38="","",IF(VALUE(LEFT(Protokoll_4p!G38,FIND(":",Protokoll_4p!G38)-1))&gt;VALUE(RIGHT(Protokoll_4p!G38,LEN(Protokoll_4p!G38)-FIND(":",Protokoll_4p!G38))),0,1))</f>
        <v>0</v>
      </c>
      <c r="K32" s="1">
        <f>IF(Protokoll_4p!H38="","",IF(VALUE(LEFT(Protokoll_4p!H38,FIND(":",Protokoll_4p!H38)-1))&gt;VALUE(RIGHT(Protokoll_4p!H38,LEN(Protokoll_4p!H38)-FIND(":",Protokoll_4p!H38))),0,1))</f>
        <v>1</v>
      </c>
      <c r="L32" s="1">
        <f>IF(Protokoll_4p!I38="","",IF(VALUE(LEFT(Protokoll_4p!I38,FIND(":",Protokoll_4p!I38)-1))&gt;VALUE(RIGHT(Protokoll_4p!I38,LEN(Protokoll_4p!I38)-FIND(":",Protokoll_4p!I38))),0,1))</f>
        <v>1</v>
      </c>
      <c r="M32" s="1" t="str">
        <f>IF(Protokoll_4p!J38="","",IF(VALUE(LEFT(Protokoll_4p!J38,FIND(":",Protokoll_4p!J38)-1))&gt;VALUE(RIGHT(Protokoll_4p!J38,LEN(Protokoll_4p!J38)-FIND(":",Protokoll_4p!J38))),0,1))</f>
        <v/>
      </c>
      <c r="N32" s="1">
        <f t="shared" si="1"/>
        <v>3</v>
      </c>
    </row>
    <row r="33" spans="2:14">
      <c r="B33" s="1">
        <f>IF(Protokoll_4p!F39="","",IF(VALUE(LEFT(Protokoll_4p!F39,FIND(":",Protokoll_4p!F39)-1))&gt;VALUE(RIGHT(Protokoll_4p!F39,LEN(Protokoll_4p!F39)-FIND(":",Protokoll_4p!F39))),1,0))</f>
        <v>1</v>
      </c>
      <c r="C33" s="1">
        <f>IF(Protokoll_4p!G39="","",IF(VALUE(LEFT(Protokoll_4p!G39,FIND(":",Protokoll_4p!G39)-1))&gt;VALUE(RIGHT(Protokoll_4p!G39,LEN(Protokoll_4p!G39)-FIND(":",Protokoll_4p!G39))),1,0))</f>
        <v>0</v>
      </c>
      <c r="D33" s="1">
        <f>IF(Protokoll_4p!H39="","",IF(VALUE(LEFT(Protokoll_4p!H39,FIND(":",Protokoll_4p!H39)-1))&gt;VALUE(RIGHT(Protokoll_4p!H39,LEN(Protokoll_4p!H39)-FIND(":",Protokoll_4p!H39))),1,0))</f>
        <v>0</v>
      </c>
      <c r="E33" s="1">
        <f>IF(Protokoll_4p!I39="","",IF(VALUE(LEFT(Protokoll_4p!I39,FIND(":",Protokoll_4p!I39)-1))&gt;VALUE(RIGHT(Protokoll_4p!I39,LEN(Protokoll_4p!I39)-FIND(":",Protokoll_4p!I39))),1,0))</f>
        <v>0</v>
      </c>
      <c r="F33" s="1" t="str">
        <f>IF(Protokoll_4p!J39="","",IF(VALUE(LEFT(Protokoll_4p!J39,FIND(":",Protokoll_4p!J39)-1))&gt;VALUE(RIGHT(Protokoll_4p!J39,LEN(Protokoll_4p!J39)-FIND(":",Protokoll_4p!J39))),1,0))</f>
        <v/>
      </c>
      <c r="G33" s="1">
        <f t="shared" si="0"/>
        <v>1</v>
      </c>
      <c r="I33" s="1">
        <f>IF(Protokoll_4p!F39="","",IF(VALUE(LEFT(Protokoll_4p!F39,FIND(":",Protokoll_4p!F39)-1))&gt;VALUE(RIGHT(Protokoll_4p!F39,LEN(Protokoll_4p!F39)-FIND(":",Protokoll_4p!F39))),0,1))</f>
        <v>0</v>
      </c>
      <c r="J33" s="1">
        <f>IF(Protokoll_4p!G39="","",IF(VALUE(LEFT(Protokoll_4p!G39,FIND(":",Protokoll_4p!G39)-1))&gt;VALUE(RIGHT(Protokoll_4p!G39,LEN(Protokoll_4p!G39)-FIND(":",Protokoll_4p!G39))),0,1))</f>
        <v>1</v>
      </c>
      <c r="K33" s="1">
        <f>IF(Protokoll_4p!H39="","",IF(VALUE(LEFT(Protokoll_4p!H39,FIND(":",Protokoll_4p!H39)-1))&gt;VALUE(RIGHT(Protokoll_4p!H39,LEN(Protokoll_4p!H39)-FIND(":",Protokoll_4p!H39))),0,1))</f>
        <v>1</v>
      </c>
      <c r="L33" s="1">
        <f>IF(Protokoll_4p!I39="","",IF(VALUE(LEFT(Protokoll_4p!I39,FIND(":",Protokoll_4p!I39)-1))&gt;VALUE(RIGHT(Protokoll_4p!I39,LEN(Protokoll_4p!I39)-FIND(":",Protokoll_4p!I39))),0,1))</f>
        <v>1</v>
      </c>
      <c r="M33" s="1" t="str">
        <f>IF(Protokoll_4p!J39="","",IF(VALUE(LEFT(Protokoll_4p!J39,FIND(":",Protokoll_4p!J39)-1))&gt;VALUE(RIGHT(Protokoll_4p!J39,LEN(Protokoll_4p!J39)-FIND(":",Protokoll_4p!J39))),0,1))</f>
        <v/>
      </c>
      <c r="N33" s="1">
        <f t="shared" si="1"/>
        <v>3</v>
      </c>
    </row>
    <row r="34" spans="2:14">
      <c r="B34" s="1">
        <f>IF(Protokoll_4p!F40="","",IF(VALUE(LEFT(Protokoll_4p!F40,FIND(":",Protokoll_4p!F40)-1))&gt;VALUE(RIGHT(Protokoll_4p!F40,LEN(Protokoll_4p!F40)-FIND(":",Protokoll_4p!F40))),1,0))</f>
        <v>1</v>
      </c>
      <c r="C34" s="1">
        <f>IF(Protokoll_4p!G40="","",IF(VALUE(LEFT(Protokoll_4p!G40,FIND(":",Protokoll_4p!G40)-1))&gt;VALUE(RIGHT(Protokoll_4p!G40,LEN(Protokoll_4p!G40)-FIND(":",Protokoll_4p!G40))),1,0))</f>
        <v>0</v>
      </c>
      <c r="D34" s="1">
        <f>IF(Protokoll_4p!H40="","",IF(VALUE(LEFT(Protokoll_4p!H40,FIND(":",Protokoll_4p!H40)-1))&gt;VALUE(RIGHT(Protokoll_4p!H40,LEN(Protokoll_4p!H40)-FIND(":",Protokoll_4p!H40))),1,0))</f>
        <v>1</v>
      </c>
      <c r="E34" s="1">
        <f>IF(Protokoll_4p!I40="","",IF(VALUE(LEFT(Protokoll_4p!I40,FIND(":",Protokoll_4p!I40)-1))&gt;VALUE(RIGHT(Protokoll_4p!I40,LEN(Protokoll_4p!I40)-FIND(":",Protokoll_4p!I40))),1,0))</f>
        <v>1</v>
      </c>
      <c r="F34" s="1" t="str">
        <f>IF(Protokoll_4p!J40="","",IF(VALUE(LEFT(Protokoll_4p!J40,FIND(":",Protokoll_4p!J40)-1))&gt;VALUE(RIGHT(Protokoll_4p!J40,LEN(Protokoll_4p!J40)-FIND(":",Protokoll_4p!J40))),1,0))</f>
        <v/>
      </c>
      <c r="G34" s="1">
        <f t="shared" si="0"/>
        <v>3</v>
      </c>
      <c r="I34" s="1">
        <f>IF(Protokoll_4p!F40="","",IF(VALUE(LEFT(Protokoll_4p!F40,FIND(":",Protokoll_4p!F40)-1))&gt;VALUE(RIGHT(Protokoll_4p!F40,LEN(Protokoll_4p!F40)-FIND(":",Protokoll_4p!F40))),0,1))</f>
        <v>0</v>
      </c>
      <c r="J34" s="1">
        <f>IF(Protokoll_4p!G40="","",IF(VALUE(LEFT(Protokoll_4p!G40,FIND(":",Protokoll_4p!G40)-1))&gt;VALUE(RIGHT(Protokoll_4p!G40,LEN(Protokoll_4p!G40)-FIND(":",Protokoll_4p!G40))),0,1))</f>
        <v>1</v>
      </c>
      <c r="K34" s="1">
        <f>IF(Protokoll_4p!H40="","",IF(VALUE(LEFT(Protokoll_4p!H40,FIND(":",Protokoll_4p!H40)-1))&gt;VALUE(RIGHT(Protokoll_4p!H40,LEN(Protokoll_4p!H40)-FIND(":",Protokoll_4p!H40))),0,1))</f>
        <v>0</v>
      </c>
      <c r="L34" s="1">
        <f>IF(Protokoll_4p!I40="","",IF(VALUE(LEFT(Protokoll_4p!I40,FIND(":",Protokoll_4p!I40)-1))&gt;VALUE(RIGHT(Protokoll_4p!I40,LEN(Protokoll_4p!I40)-FIND(":",Protokoll_4p!I40))),0,1))</f>
        <v>0</v>
      </c>
      <c r="M34" s="1" t="str">
        <f>IF(Protokoll_4p!J40="","",IF(VALUE(LEFT(Protokoll_4p!J40,FIND(":",Protokoll_4p!J40)-1))&gt;VALUE(RIGHT(Protokoll_4p!J40,LEN(Protokoll_4p!J40)-FIND(":",Protokoll_4p!J40))),0,1))</f>
        <v/>
      </c>
      <c r="N34" s="1">
        <f t="shared" si="1"/>
        <v>1</v>
      </c>
    </row>
    <row r="35" spans="2:14">
      <c r="B35" s="1">
        <f>IF(Protokoll_4p!F41="","",IF(VALUE(LEFT(Protokoll_4p!F41,FIND(":",Protokoll_4p!F41)-1))&gt;VALUE(RIGHT(Protokoll_4p!F41,LEN(Protokoll_4p!F41)-FIND(":",Protokoll_4p!F41))),1,0))</f>
        <v>0</v>
      </c>
      <c r="C35" s="1">
        <f>IF(Protokoll_4p!G41="","",IF(VALUE(LEFT(Protokoll_4p!G41,FIND(":",Protokoll_4p!G41)-1))&gt;VALUE(RIGHT(Protokoll_4p!G41,LEN(Protokoll_4p!G41)-FIND(":",Protokoll_4p!G41))),1,0))</f>
        <v>1</v>
      </c>
      <c r="D35" s="1">
        <f>IF(Protokoll_4p!H41="","",IF(VALUE(LEFT(Protokoll_4p!H41,FIND(":",Protokoll_4p!H41)-1))&gt;VALUE(RIGHT(Protokoll_4p!H41,LEN(Protokoll_4p!H41)-FIND(":",Protokoll_4p!H41))),1,0))</f>
        <v>0</v>
      </c>
      <c r="E35" s="1">
        <f>IF(Protokoll_4p!I41="","",IF(VALUE(LEFT(Protokoll_4p!I41,FIND(":",Protokoll_4p!I41)-1))&gt;VALUE(RIGHT(Protokoll_4p!I41,LEN(Protokoll_4p!I41)-FIND(":",Protokoll_4p!I41))),1,0))</f>
        <v>1</v>
      </c>
      <c r="F35" s="1">
        <f>IF(Protokoll_4p!J41="","",IF(VALUE(LEFT(Protokoll_4p!J41,FIND(":",Protokoll_4p!J41)-1))&gt;VALUE(RIGHT(Protokoll_4p!J41,LEN(Protokoll_4p!J41)-FIND(":",Protokoll_4p!J41))),1,0))</f>
        <v>0</v>
      </c>
      <c r="G35" s="1">
        <f t="shared" si="0"/>
        <v>2</v>
      </c>
      <c r="I35" s="1">
        <f>IF(Protokoll_4p!F41="","",IF(VALUE(LEFT(Protokoll_4p!F41,FIND(":",Protokoll_4p!F41)-1))&gt;VALUE(RIGHT(Protokoll_4p!F41,LEN(Protokoll_4p!F41)-FIND(":",Protokoll_4p!F41))),0,1))</f>
        <v>1</v>
      </c>
      <c r="J35" s="1">
        <f>IF(Protokoll_4p!G41="","",IF(VALUE(LEFT(Protokoll_4p!G41,FIND(":",Protokoll_4p!G41)-1))&gt;VALUE(RIGHT(Protokoll_4p!G41,LEN(Protokoll_4p!G41)-FIND(":",Protokoll_4p!G41))),0,1))</f>
        <v>0</v>
      </c>
      <c r="K35" s="1">
        <f>IF(Protokoll_4p!H41="","",IF(VALUE(LEFT(Protokoll_4p!H41,FIND(":",Protokoll_4p!H41)-1))&gt;VALUE(RIGHT(Protokoll_4p!H41,LEN(Protokoll_4p!H41)-FIND(":",Protokoll_4p!H41))),0,1))</f>
        <v>1</v>
      </c>
      <c r="L35" s="1">
        <f>IF(Protokoll_4p!I41="","",IF(VALUE(LEFT(Protokoll_4p!I41,FIND(":",Protokoll_4p!I41)-1))&gt;VALUE(RIGHT(Protokoll_4p!I41,LEN(Protokoll_4p!I41)-FIND(":",Protokoll_4p!I41))),0,1))</f>
        <v>0</v>
      </c>
      <c r="M35" s="1">
        <f>IF(Protokoll_4p!J41="","",IF(VALUE(LEFT(Protokoll_4p!J41,FIND(":",Protokoll_4p!J41)-1))&gt;VALUE(RIGHT(Protokoll_4p!J41,LEN(Protokoll_4p!J41)-FIND(":",Protokoll_4p!J41))),0,1))</f>
        <v>1</v>
      </c>
      <c r="N35" s="1">
        <f t="shared" si="1"/>
        <v>3</v>
      </c>
    </row>
    <row r="36" spans="2:14">
      <c r="B36" s="1" t="str">
        <f>IF(Protokoll_4p!F42="","",IF(VALUE(LEFT(Protokoll_4p!F42,FIND(":",Protokoll_4p!F42)-1))&gt;VALUE(RIGHT(Protokoll_4p!F42,LEN(Protokoll_4p!F42)-FIND(":",Protokoll_4p!F42))),1,0))</f>
        <v/>
      </c>
      <c r="C36" s="1" t="str">
        <f>IF(Protokoll_4p!G42="","",IF(VALUE(LEFT(Protokoll_4p!G42,FIND(":",Protokoll_4p!G42)-1))&gt;VALUE(RIGHT(Protokoll_4p!G42,LEN(Protokoll_4p!G42)-FIND(":",Protokoll_4p!G42))),1,0))</f>
        <v/>
      </c>
      <c r="D36" s="1" t="str">
        <f>IF(Protokoll_4p!H42="","",IF(VALUE(LEFT(Protokoll_4p!H42,FIND(":",Protokoll_4p!H42)-1))&gt;VALUE(RIGHT(Protokoll_4p!H42,LEN(Protokoll_4p!H42)-FIND(":",Protokoll_4p!H42))),1,0))</f>
        <v/>
      </c>
      <c r="E36" s="1" t="str">
        <f>IF(Protokoll_4p!I42="","",IF(VALUE(LEFT(Protokoll_4p!I42,FIND(":",Protokoll_4p!I42)-1))&gt;VALUE(RIGHT(Protokoll_4p!I42,LEN(Protokoll_4p!I42)-FIND(":",Protokoll_4p!I42))),1,0))</f>
        <v/>
      </c>
      <c r="F36" s="1" t="str">
        <f>IF(Protokoll_4p!J42="","",IF(VALUE(LEFT(Protokoll_4p!J42,FIND(":",Protokoll_4p!J42)-1))&gt;VALUE(RIGHT(Protokoll_4p!J42,LEN(Protokoll_4p!J42)-FIND(":",Protokoll_4p!J42))),1,0))</f>
        <v/>
      </c>
      <c r="G36" s="1" t="str">
        <f t="shared" si="0"/>
        <v/>
      </c>
      <c r="I36" s="1" t="str">
        <f>IF(Protokoll_4p!F42="","",IF(VALUE(LEFT(Protokoll_4p!F42,FIND(":",Protokoll_4p!F42)-1))&gt;VALUE(RIGHT(Protokoll_4p!F42,LEN(Protokoll_4p!F42)-FIND(":",Protokoll_4p!F42))),0,1))</f>
        <v/>
      </c>
      <c r="J36" s="1" t="str">
        <f>IF(Protokoll_4p!G42="","",IF(VALUE(LEFT(Protokoll_4p!G42,FIND(":",Protokoll_4p!G42)-1))&gt;VALUE(RIGHT(Protokoll_4p!G42,LEN(Protokoll_4p!G42)-FIND(":",Protokoll_4p!G42))),0,1))</f>
        <v/>
      </c>
      <c r="K36" s="1" t="str">
        <f>IF(Protokoll_4p!H42="","",IF(VALUE(LEFT(Protokoll_4p!H42,FIND(":",Protokoll_4p!H42)-1))&gt;VALUE(RIGHT(Protokoll_4p!H42,LEN(Protokoll_4p!H42)-FIND(":",Protokoll_4p!H42))),0,1))</f>
        <v/>
      </c>
      <c r="L36" s="1" t="str">
        <f>IF(Protokoll_4p!I42="","",IF(VALUE(LEFT(Protokoll_4p!I42,FIND(":",Protokoll_4p!I42)-1))&gt;VALUE(RIGHT(Protokoll_4p!I42,LEN(Protokoll_4p!I42)-FIND(":",Protokoll_4p!I42))),0,1))</f>
        <v/>
      </c>
      <c r="M36" s="1" t="str">
        <f>IF(Protokoll_4p!J42="","",IF(VALUE(LEFT(Protokoll_4p!J42,FIND(":",Protokoll_4p!J42)-1))&gt;VALUE(RIGHT(Protokoll_4p!J42,LEN(Protokoll_4p!J42)-FIND(":",Protokoll_4p!J42))),0,1))</f>
        <v/>
      </c>
      <c r="N36" s="1" t="str">
        <f t="shared" si="1"/>
        <v/>
      </c>
    </row>
    <row r="37" spans="2:14">
      <c r="B37" s="1">
        <f>IF(Protokoll_4p!F43="","",IF(VALUE(LEFT(Protokoll_4p!F43,FIND(":",Protokoll_4p!F43)-1))&gt;VALUE(RIGHT(Protokoll_4p!F43,LEN(Protokoll_4p!F43)-FIND(":",Protokoll_4p!F43))),1,0))</f>
        <v>0</v>
      </c>
      <c r="C37" s="1">
        <f>IF(Protokoll_4p!G43="","",IF(VALUE(LEFT(Protokoll_4p!G43,FIND(":",Protokoll_4p!G43)-1))&gt;VALUE(RIGHT(Protokoll_4p!G43,LEN(Protokoll_4p!G43)-FIND(":",Protokoll_4p!G43))),1,0))</f>
        <v>0</v>
      </c>
      <c r="D37" s="1">
        <f>IF(Protokoll_4p!H43="","",IF(VALUE(LEFT(Protokoll_4p!H43,FIND(":",Protokoll_4p!H43)-1))&gt;VALUE(RIGHT(Protokoll_4p!H43,LEN(Protokoll_4p!H43)-FIND(":",Protokoll_4p!H43))),1,0))</f>
        <v>1</v>
      </c>
      <c r="E37" s="1">
        <f>IF(Protokoll_4p!I43="","",IF(VALUE(LEFT(Protokoll_4p!I43,FIND(":",Protokoll_4p!I43)-1))&gt;VALUE(RIGHT(Protokoll_4p!I43,LEN(Protokoll_4p!I43)-FIND(":",Protokoll_4p!I43))),1,0))</f>
        <v>1</v>
      </c>
      <c r="F37" s="1">
        <f>IF(Protokoll_4p!J43="","",IF(VALUE(LEFT(Protokoll_4p!J43,FIND(":",Protokoll_4p!J43)-1))&gt;VALUE(RIGHT(Protokoll_4p!J43,LEN(Protokoll_4p!J43)-FIND(":",Protokoll_4p!J43))),1,0))</f>
        <v>1</v>
      </c>
      <c r="G37" s="1">
        <f t="shared" si="0"/>
        <v>3</v>
      </c>
      <c r="I37" s="1">
        <f>IF(Protokoll_4p!F43="","",IF(VALUE(LEFT(Protokoll_4p!F43,FIND(":",Protokoll_4p!F43)-1))&gt;VALUE(RIGHT(Protokoll_4p!F43,LEN(Protokoll_4p!F43)-FIND(":",Protokoll_4p!F43))),0,1))</f>
        <v>1</v>
      </c>
      <c r="J37" s="1">
        <f>IF(Protokoll_4p!G43="","",IF(VALUE(LEFT(Protokoll_4p!G43,FIND(":",Protokoll_4p!G43)-1))&gt;VALUE(RIGHT(Protokoll_4p!G43,LEN(Protokoll_4p!G43)-FIND(":",Protokoll_4p!G43))),0,1))</f>
        <v>1</v>
      </c>
      <c r="K37" s="1">
        <f>IF(Protokoll_4p!H43="","",IF(VALUE(LEFT(Protokoll_4p!H43,FIND(":",Protokoll_4p!H43)-1))&gt;VALUE(RIGHT(Protokoll_4p!H43,LEN(Protokoll_4p!H43)-FIND(":",Protokoll_4p!H43))),0,1))</f>
        <v>0</v>
      </c>
      <c r="L37" s="1">
        <f>IF(Protokoll_4p!I43="","",IF(VALUE(LEFT(Protokoll_4p!I43,FIND(":",Protokoll_4p!I43)-1))&gt;VALUE(RIGHT(Protokoll_4p!I43,LEN(Protokoll_4p!I43)-FIND(":",Protokoll_4p!I43))),0,1))</f>
        <v>0</v>
      </c>
      <c r="M37" s="1">
        <f>IF(Protokoll_4p!J43="","",IF(VALUE(LEFT(Protokoll_4p!J43,FIND(":",Protokoll_4p!J43)-1))&gt;VALUE(RIGHT(Protokoll_4p!J43,LEN(Protokoll_4p!J43)-FIND(":",Protokoll_4p!J43))),0,1))</f>
        <v>0</v>
      </c>
      <c r="N37" s="1">
        <f t="shared" si="1"/>
        <v>2</v>
      </c>
    </row>
    <row r="38" spans="2:14">
      <c r="B38" s="1">
        <f>IF(Protokoll_4p!F44="","",IF(VALUE(LEFT(Protokoll_4p!F44,FIND(":",Protokoll_4p!F44)-1))&gt;VALUE(RIGHT(Protokoll_4p!F44,LEN(Protokoll_4p!F44)-FIND(":",Protokoll_4p!F44))),1,0))</f>
        <v>0</v>
      </c>
      <c r="C38" s="1">
        <f>IF(Protokoll_4p!G44="","",IF(VALUE(LEFT(Protokoll_4p!G44,FIND(":",Protokoll_4p!G44)-1))&gt;VALUE(RIGHT(Protokoll_4p!G44,LEN(Protokoll_4p!G44)-FIND(":",Protokoll_4p!G44))),1,0))</f>
        <v>0</v>
      </c>
      <c r="D38" s="1">
        <f>IF(Protokoll_4p!H44="","",IF(VALUE(LEFT(Protokoll_4p!H44,FIND(":",Protokoll_4p!H44)-1))&gt;VALUE(RIGHT(Protokoll_4p!H44,LEN(Protokoll_4p!H44)-FIND(":",Protokoll_4p!H44))),1,0))</f>
        <v>0</v>
      </c>
      <c r="E38" s="1" t="str">
        <f>IF(Protokoll_4p!I44="","",IF(VALUE(LEFT(Protokoll_4p!I44,FIND(":",Protokoll_4p!I44)-1))&gt;VALUE(RIGHT(Protokoll_4p!I44,LEN(Protokoll_4p!I44)-FIND(":",Protokoll_4p!I44))),1,0))</f>
        <v/>
      </c>
      <c r="F38" s="1" t="str">
        <f>IF(Protokoll_4p!J44="","",IF(VALUE(LEFT(Protokoll_4p!J44,FIND(":",Protokoll_4p!J44)-1))&gt;VALUE(RIGHT(Protokoll_4p!J44,LEN(Protokoll_4p!J44)-FIND(":",Protokoll_4p!J44))),1,0))</f>
        <v/>
      </c>
      <c r="G38" s="1">
        <f t="shared" si="0"/>
        <v>0</v>
      </c>
      <c r="I38" s="1">
        <f>IF(Protokoll_4p!F44="","",IF(VALUE(LEFT(Protokoll_4p!F44,FIND(":",Protokoll_4p!F44)-1))&gt;VALUE(RIGHT(Protokoll_4p!F44,LEN(Protokoll_4p!F44)-FIND(":",Protokoll_4p!F44))),0,1))</f>
        <v>1</v>
      </c>
      <c r="J38" s="1">
        <f>IF(Protokoll_4p!G44="","",IF(VALUE(LEFT(Protokoll_4p!G44,FIND(":",Protokoll_4p!G44)-1))&gt;VALUE(RIGHT(Protokoll_4p!G44,LEN(Protokoll_4p!G44)-FIND(":",Protokoll_4p!G44))),0,1))</f>
        <v>1</v>
      </c>
      <c r="K38" s="1">
        <f>IF(Protokoll_4p!H44="","",IF(VALUE(LEFT(Protokoll_4p!H44,FIND(":",Protokoll_4p!H44)-1))&gt;VALUE(RIGHT(Protokoll_4p!H44,LEN(Protokoll_4p!H44)-FIND(":",Protokoll_4p!H44))),0,1))</f>
        <v>1</v>
      </c>
      <c r="L38" s="1" t="str">
        <f>IF(Protokoll_4p!I44="","",IF(VALUE(LEFT(Protokoll_4p!I44,FIND(":",Protokoll_4p!I44)-1))&gt;VALUE(RIGHT(Protokoll_4p!I44,LEN(Protokoll_4p!I44)-FIND(":",Protokoll_4p!I44))),0,1))</f>
        <v/>
      </c>
      <c r="M38" s="1" t="str">
        <f>IF(Protokoll_4p!J44="","",IF(VALUE(LEFT(Protokoll_4p!J44,FIND(":",Protokoll_4p!J44)-1))&gt;VALUE(RIGHT(Protokoll_4p!J44,LEN(Protokoll_4p!J44)-FIND(":",Protokoll_4p!J44))),0,1))</f>
        <v/>
      </c>
      <c r="N38" s="1">
        <f t="shared" si="1"/>
        <v>3</v>
      </c>
    </row>
    <row r="39" spans="2:14">
      <c r="B39" s="1" t="str">
        <f>IF(Protokoll_4p!F45="","",IF(VALUE(LEFT(Protokoll_4p!F45,FIND(":",Protokoll_4p!F45)-1))&gt;VALUE(RIGHT(Protokoll_4p!F45,LEN(Protokoll_4p!F45)-FIND(":",Protokoll_4p!F45))),1,0))</f>
        <v/>
      </c>
      <c r="C39" s="1" t="str">
        <f>IF(Protokoll_4p!G45="","",IF(VALUE(LEFT(Protokoll_4p!G45,FIND(":",Protokoll_4p!G45)-1))&gt;VALUE(RIGHT(Protokoll_4p!G45,LEN(Protokoll_4p!G45)-FIND(":",Protokoll_4p!G45))),1,0))</f>
        <v/>
      </c>
      <c r="D39" s="1" t="str">
        <f>IF(Protokoll_4p!H45="","",IF(VALUE(LEFT(Protokoll_4p!H45,FIND(":",Protokoll_4p!H45)-1))&gt;VALUE(RIGHT(Protokoll_4p!H45,LEN(Protokoll_4p!H45)-FIND(":",Protokoll_4p!H45))),1,0))</f>
        <v/>
      </c>
      <c r="E39" s="1" t="str">
        <f>IF(Protokoll_4p!I45="","",IF(VALUE(LEFT(Protokoll_4p!I45,FIND(":",Protokoll_4p!I45)-1))&gt;VALUE(RIGHT(Protokoll_4p!I45,LEN(Protokoll_4p!I45)-FIND(":",Protokoll_4p!I45))),1,0))</f>
        <v/>
      </c>
      <c r="F39" s="1" t="str">
        <f>IF(Protokoll_4p!J45="","",IF(VALUE(LEFT(Protokoll_4p!J45,FIND(":",Protokoll_4p!J45)-1))&gt;VALUE(RIGHT(Protokoll_4p!J45,LEN(Protokoll_4p!J45)-FIND(":",Protokoll_4p!J45))),1,0))</f>
        <v/>
      </c>
      <c r="G39" s="1" t="str">
        <f t="shared" si="0"/>
        <v/>
      </c>
      <c r="I39" s="1" t="str">
        <f>IF(Protokoll_4p!F45="","",IF(VALUE(LEFT(Protokoll_4p!F45,FIND(":",Protokoll_4p!F45)-1))&gt;VALUE(RIGHT(Protokoll_4p!F45,LEN(Protokoll_4p!F45)-FIND(":",Protokoll_4p!F45))),0,1))</f>
        <v/>
      </c>
      <c r="J39" s="1" t="str">
        <f>IF(Protokoll_4p!G45="","",IF(VALUE(LEFT(Protokoll_4p!G45,FIND(":",Protokoll_4p!G45)-1))&gt;VALUE(RIGHT(Protokoll_4p!G45,LEN(Protokoll_4p!G45)-FIND(":",Protokoll_4p!G45))),0,1))</f>
        <v/>
      </c>
      <c r="K39" s="1" t="str">
        <f>IF(Protokoll_4p!H45="","",IF(VALUE(LEFT(Protokoll_4p!H45,FIND(":",Protokoll_4p!H45)-1))&gt;VALUE(RIGHT(Protokoll_4p!H45,LEN(Protokoll_4p!H45)-FIND(":",Protokoll_4p!H45))),0,1))</f>
        <v/>
      </c>
      <c r="L39" s="1" t="str">
        <f>IF(Protokoll_4p!I45="","",IF(VALUE(LEFT(Protokoll_4p!I45,FIND(":",Protokoll_4p!I45)-1))&gt;VALUE(RIGHT(Protokoll_4p!I45,LEN(Protokoll_4p!I45)-FIND(":",Protokoll_4p!I45))),0,1))</f>
        <v/>
      </c>
      <c r="M39" s="1" t="str">
        <f>IF(Protokoll_4p!J45="","",IF(VALUE(LEFT(Protokoll_4p!J45,FIND(":",Protokoll_4p!J45)-1))&gt;VALUE(RIGHT(Protokoll_4p!J45,LEN(Protokoll_4p!J45)-FIND(":",Protokoll_4p!J45))),0,1))</f>
        <v/>
      </c>
      <c r="N39" s="1" t="str">
        <f t="shared" si="1"/>
        <v/>
      </c>
    </row>
    <row r="40" spans="2:14">
      <c r="B40" s="1" t="str">
        <f>IF(Protokoll_4p!F46="","",IF(VALUE(LEFT(Protokoll_4p!F46,FIND(":",Protokoll_4p!F46)-1))&gt;VALUE(RIGHT(Protokoll_4p!F46,LEN(Protokoll_4p!F46)-FIND(":",Protokoll_4p!F46))),1,0))</f>
        <v/>
      </c>
      <c r="C40" s="1" t="str">
        <f>IF(Protokoll_4p!G46="","",IF(VALUE(LEFT(Protokoll_4p!G46,FIND(":",Protokoll_4p!G46)-1))&gt;VALUE(RIGHT(Protokoll_4p!G46,LEN(Protokoll_4p!G46)-FIND(":",Protokoll_4p!G46))),1,0))</f>
        <v/>
      </c>
      <c r="D40" s="1" t="str">
        <f>IF(Protokoll_4p!H46="","",IF(VALUE(LEFT(Protokoll_4p!H46,FIND(":",Protokoll_4p!H46)-1))&gt;VALUE(RIGHT(Protokoll_4p!H46,LEN(Protokoll_4p!H46)-FIND(":",Protokoll_4p!H46))),1,0))</f>
        <v/>
      </c>
      <c r="E40" s="1" t="str">
        <f>IF(Protokoll_4p!I46="","",IF(VALUE(LEFT(Protokoll_4p!I46,FIND(":",Protokoll_4p!I46)-1))&gt;VALUE(RIGHT(Protokoll_4p!I46,LEN(Protokoll_4p!I46)-FIND(":",Protokoll_4p!I46))),1,0))</f>
        <v/>
      </c>
      <c r="F40" s="1" t="str">
        <f>IF(Protokoll_4p!J46="","",IF(VALUE(LEFT(Protokoll_4p!J46,FIND(":",Protokoll_4p!J46)-1))&gt;VALUE(RIGHT(Protokoll_4p!J46,LEN(Protokoll_4p!J46)-FIND(":",Protokoll_4p!J46))),1,0))</f>
        <v/>
      </c>
      <c r="G40" s="1" t="str">
        <f t="shared" si="0"/>
        <v/>
      </c>
      <c r="I40" s="1" t="str">
        <f>IF(Protokoll_4p!F46="","",IF(VALUE(LEFT(Protokoll_4p!F46,FIND(":",Protokoll_4p!F46)-1))&gt;VALUE(RIGHT(Protokoll_4p!F46,LEN(Protokoll_4p!F46)-FIND(":",Protokoll_4p!F46))),0,1))</f>
        <v/>
      </c>
      <c r="J40" s="1" t="str">
        <f>IF(Protokoll_4p!G46="","",IF(VALUE(LEFT(Protokoll_4p!G46,FIND(":",Protokoll_4p!G46)-1))&gt;VALUE(RIGHT(Protokoll_4p!G46,LEN(Protokoll_4p!G46)-FIND(":",Protokoll_4p!G46))),0,1))</f>
        <v/>
      </c>
      <c r="K40" s="1" t="str">
        <f>IF(Protokoll_4p!H46="","",IF(VALUE(LEFT(Protokoll_4p!H46,FIND(":",Protokoll_4p!H46)-1))&gt;VALUE(RIGHT(Protokoll_4p!H46,LEN(Protokoll_4p!H46)-FIND(":",Protokoll_4p!H46))),0,1))</f>
        <v/>
      </c>
      <c r="L40" s="1" t="str">
        <f>IF(Protokoll_4p!I46="","",IF(VALUE(LEFT(Protokoll_4p!I46,FIND(":",Protokoll_4p!I46)-1))&gt;VALUE(RIGHT(Protokoll_4p!I46,LEN(Protokoll_4p!I46)-FIND(":",Protokoll_4p!I46))),0,1))</f>
        <v/>
      </c>
      <c r="M40" s="1" t="str">
        <f>IF(Protokoll_4p!J46="","",IF(VALUE(LEFT(Protokoll_4p!J46,FIND(":",Protokoll_4p!J46)-1))&gt;VALUE(RIGHT(Protokoll_4p!J46,LEN(Protokoll_4p!J46)-FIND(":",Protokoll_4p!J46))),0,1))</f>
        <v/>
      </c>
      <c r="N40" s="1" t="str">
        <f t="shared" si="1"/>
        <v/>
      </c>
    </row>
    <row r="41" spans="2:14">
      <c r="B41" s="1" t="e">
        <f>IF(Protokoll_4p!F47="","",IF(VALUE(LEFT(Protokoll_4p!F47,FIND(":",Protokoll_4p!F47)-1))&gt;VALUE(RIGHT(Protokoll_4p!F47,LEN(Protokoll_4p!F47)-FIND(":",Protokoll_4p!F47))),1,0))</f>
        <v>#VALUE!</v>
      </c>
      <c r="C41" s="1" t="e">
        <f>IF(Protokoll_4p!G47="","",IF(VALUE(LEFT(Protokoll_4p!G47,FIND(":",Protokoll_4p!G47)-1))&gt;VALUE(RIGHT(Protokoll_4p!G47,LEN(Protokoll_4p!G47)-FIND(":",Protokoll_4p!G47))),1,0))</f>
        <v>#VALUE!</v>
      </c>
      <c r="D41" s="1" t="e">
        <f>IF(Protokoll_4p!H47="","",IF(VALUE(LEFT(Protokoll_4p!H47,FIND(":",Protokoll_4p!H47)-1))&gt;VALUE(RIGHT(Protokoll_4p!H47,LEN(Protokoll_4p!H47)-FIND(":",Protokoll_4p!H47))),1,0))</f>
        <v>#VALUE!</v>
      </c>
      <c r="E41" s="1" t="e">
        <f>IF(Protokoll_4p!I47="","",IF(VALUE(LEFT(Protokoll_4p!I47,FIND(":",Protokoll_4p!I47)-1))&gt;VALUE(RIGHT(Protokoll_4p!I47,LEN(Protokoll_4p!I47)-FIND(":",Protokoll_4p!I47))),1,0))</f>
        <v>#VALUE!</v>
      </c>
      <c r="F41" s="1" t="e">
        <f>IF(Protokoll_4p!J47="","",IF(VALUE(LEFT(Protokoll_4p!J47,FIND(":",Protokoll_4p!J47)-1))&gt;VALUE(RIGHT(Protokoll_4p!J47,LEN(Protokoll_4p!J47)-FIND(":",Protokoll_4p!J47))),1,0))</f>
        <v>#VALUE!</v>
      </c>
      <c r="G41" s="1" t="e">
        <f t="shared" si="0"/>
        <v>#VALUE!</v>
      </c>
      <c r="I41" s="1" t="e">
        <f>IF(Protokoll_4p!F47="","",IF(VALUE(LEFT(Protokoll_4p!F47,FIND(":",Protokoll_4p!F47)-1))&gt;VALUE(RIGHT(Protokoll_4p!F47,LEN(Protokoll_4p!F47)-FIND(":",Protokoll_4p!F47))),0,1))</f>
        <v>#VALUE!</v>
      </c>
      <c r="J41" s="1" t="e">
        <f>IF(Protokoll_4p!G47="","",IF(VALUE(LEFT(Protokoll_4p!G47,FIND(":",Protokoll_4p!G47)-1))&gt;VALUE(RIGHT(Protokoll_4p!G47,LEN(Protokoll_4p!G47)-FIND(":",Protokoll_4p!G47))),0,1))</f>
        <v>#VALUE!</v>
      </c>
      <c r="K41" s="1" t="e">
        <f>IF(Protokoll_4p!H47="","",IF(VALUE(LEFT(Protokoll_4p!H47,FIND(":",Protokoll_4p!H47)-1))&gt;VALUE(RIGHT(Protokoll_4p!H47,LEN(Protokoll_4p!H47)-FIND(":",Protokoll_4p!H47))),0,1))</f>
        <v>#VALUE!</v>
      </c>
      <c r="L41" s="1" t="e">
        <f>IF(Protokoll_4p!I47="","",IF(VALUE(LEFT(Protokoll_4p!I47,FIND(":",Protokoll_4p!I47)-1))&gt;VALUE(RIGHT(Protokoll_4p!I47,LEN(Protokoll_4p!I47)-FIND(":",Protokoll_4p!I47))),0,1))</f>
        <v>#VALUE!</v>
      </c>
      <c r="M41" s="1" t="e">
        <f>IF(Protokoll_4p!J47="","",IF(VALUE(LEFT(Protokoll_4p!J47,FIND(":",Protokoll_4p!J47)-1))&gt;VALUE(RIGHT(Protokoll_4p!J47,LEN(Protokoll_4p!J47)-FIND(":",Protokoll_4p!J47))),0,1))</f>
        <v>#VALUE!</v>
      </c>
      <c r="N41" s="1" t="e">
        <f t="shared" si="1"/>
        <v>#VALUE!</v>
      </c>
    </row>
    <row r="42" spans="2:14">
      <c r="B42" s="1">
        <f>IF(Protokoll_4p!F48="","",IF(VALUE(LEFT(Protokoll_4p!F48,FIND(":",Protokoll_4p!F48)-1))&gt;VALUE(RIGHT(Protokoll_4p!F48,LEN(Protokoll_4p!F48)-FIND(":",Protokoll_4p!F48))),1,0))</f>
        <v>1</v>
      </c>
      <c r="C42" s="1">
        <f>IF(Protokoll_4p!G48="","",IF(VALUE(LEFT(Protokoll_4p!G48,FIND(":",Protokoll_4p!G48)-1))&gt;VALUE(RIGHT(Protokoll_4p!G48,LEN(Protokoll_4p!G48)-FIND(":",Protokoll_4p!G48))),1,0))</f>
        <v>1</v>
      </c>
      <c r="D42" s="1">
        <f>IF(Protokoll_4p!H48="","",IF(VALUE(LEFT(Protokoll_4p!H48,FIND(":",Protokoll_4p!H48)-1))&gt;VALUE(RIGHT(Protokoll_4p!H48,LEN(Protokoll_4p!H48)-FIND(":",Protokoll_4p!H48))),1,0))</f>
        <v>1</v>
      </c>
      <c r="E42" s="1" t="str">
        <f>IF(Protokoll_4p!I48="","",IF(VALUE(LEFT(Protokoll_4p!I48,FIND(":",Protokoll_4p!I48)-1))&gt;VALUE(RIGHT(Protokoll_4p!I48,LEN(Protokoll_4p!I48)-FIND(":",Protokoll_4p!I48))),1,0))</f>
        <v/>
      </c>
      <c r="F42" s="1" t="str">
        <f>IF(Protokoll_4p!J48="","",IF(VALUE(LEFT(Protokoll_4p!J48,FIND(":",Protokoll_4p!J48)-1))&gt;VALUE(RIGHT(Protokoll_4p!J48,LEN(Protokoll_4p!J48)-FIND(":",Protokoll_4p!J48))),1,0))</f>
        <v/>
      </c>
      <c r="G42" s="1">
        <f t="shared" si="0"/>
        <v>3</v>
      </c>
      <c r="I42" s="1">
        <f>IF(Protokoll_4p!F48="","",IF(VALUE(LEFT(Protokoll_4p!F48,FIND(":",Protokoll_4p!F48)-1))&gt;VALUE(RIGHT(Protokoll_4p!F48,LEN(Protokoll_4p!F48)-FIND(":",Protokoll_4p!F48))),0,1))</f>
        <v>0</v>
      </c>
      <c r="J42" s="1">
        <f>IF(Protokoll_4p!G48="","",IF(VALUE(LEFT(Protokoll_4p!G48,FIND(":",Protokoll_4p!G48)-1))&gt;VALUE(RIGHT(Protokoll_4p!G48,LEN(Protokoll_4p!G48)-FIND(":",Protokoll_4p!G48))),0,1))</f>
        <v>0</v>
      </c>
      <c r="K42" s="1">
        <f>IF(Protokoll_4p!H48="","",IF(VALUE(LEFT(Protokoll_4p!H48,FIND(":",Protokoll_4p!H48)-1))&gt;VALUE(RIGHT(Protokoll_4p!H48,LEN(Protokoll_4p!H48)-FIND(":",Protokoll_4p!H48))),0,1))</f>
        <v>0</v>
      </c>
      <c r="L42" s="1" t="str">
        <f>IF(Protokoll_4p!I48="","",IF(VALUE(LEFT(Protokoll_4p!I48,FIND(":",Protokoll_4p!I48)-1))&gt;VALUE(RIGHT(Protokoll_4p!I48,LEN(Protokoll_4p!I48)-FIND(":",Protokoll_4p!I48))),0,1))</f>
        <v/>
      </c>
      <c r="M42" s="1" t="str">
        <f>IF(Protokoll_4p!J48="","",IF(VALUE(LEFT(Protokoll_4p!J48,FIND(":",Protokoll_4p!J48)-1))&gt;VALUE(RIGHT(Protokoll_4p!J48,LEN(Protokoll_4p!J48)-FIND(":",Protokoll_4p!J48))),0,1))</f>
        <v/>
      </c>
      <c r="N42" s="1">
        <f t="shared" si="1"/>
        <v>0</v>
      </c>
    </row>
    <row r="43" spans="2:14">
      <c r="B43" s="1">
        <f>IF(Protokoll_4p!F49="","",IF(VALUE(LEFT(Protokoll_4p!F49,FIND(":",Protokoll_4p!F49)-1))&gt;VALUE(RIGHT(Protokoll_4p!F49,LEN(Protokoll_4p!F49)-FIND(":",Protokoll_4p!F49))),1,0))</f>
        <v>1</v>
      </c>
      <c r="C43" s="1">
        <f>IF(Protokoll_4p!G49="","",IF(VALUE(LEFT(Protokoll_4p!G49,FIND(":",Protokoll_4p!G49)-1))&gt;VALUE(RIGHT(Protokoll_4p!G49,LEN(Protokoll_4p!G49)-FIND(":",Protokoll_4p!G49))),1,0))</f>
        <v>0</v>
      </c>
      <c r="D43" s="1">
        <f>IF(Protokoll_4p!H49="","",IF(VALUE(LEFT(Protokoll_4p!H49,FIND(":",Protokoll_4p!H49)-1))&gt;VALUE(RIGHT(Protokoll_4p!H49,LEN(Protokoll_4p!H49)-FIND(":",Protokoll_4p!H49))),1,0))</f>
        <v>1</v>
      </c>
      <c r="E43" s="1">
        <f>IF(Protokoll_4p!I49="","",IF(VALUE(LEFT(Protokoll_4p!I49,FIND(":",Protokoll_4p!I49)-1))&gt;VALUE(RIGHT(Protokoll_4p!I49,LEN(Protokoll_4p!I49)-FIND(":",Protokoll_4p!I49))),1,0))</f>
        <v>1</v>
      </c>
      <c r="F43" s="1" t="str">
        <f>IF(Protokoll_4p!J49="","",IF(VALUE(LEFT(Protokoll_4p!J49,FIND(":",Protokoll_4p!J49)-1))&gt;VALUE(RIGHT(Protokoll_4p!J49,LEN(Protokoll_4p!J49)-FIND(":",Protokoll_4p!J49))),1,0))</f>
        <v/>
      </c>
      <c r="G43" s="1">
        <f t="shared" si="0"/>
        <v>3</v>
      </c>
      <c r="I43" s="1">
        <f>IF(Protokoll_4p!F49="","",IF(VALUE(LEFT(Protokoll_4p!F49,FIND(":",Protokoll_4p!F49)-1))&gt;VALUE(RIGHT(Protokoll_4p!F49,LEN(Protokoll_4p!F49)-FIND(":",Protokoll_4p!F49))),0,1))</f>
        <v>0</v>
      </c>
      <c r="J43" s="1">
        <f>IF(Protokoll_4p!G49="","",IF(VALUE(LEFT(Protokoll_4p!G49,FIND(":",Protokoll_4p!G49)-1))&gt;VALUE(RIGHT(Protokoll_4p!G49,LEN(Protokoll_4p!G49)-FIND(":",Protokoll_4p!G49))),0,1))</f>
        <v>1</v>
      </c>
      <c r="K43" s="1">
        <f>IF(Protokoll_4p!H49="","",IF(VALUE(LEFT(Protokoll_4p!H49,FIND(":",Protokoll_4p!H49)-1))&gt;VALUE(RIGHT(Protokoll_4p!H49,LEN(Protokoll_4p!H49)-FIND(":",Protokoll_4p!H49))),0,1))</f>
        <v>0</v>
      </c>
      <c r="L43" s="1">
        <f>IF(Protokoll_4p!I49="","",IF(VALUE(LEFT(Protokoll_4p!I49,FIND(":",Protokoll_4p!I49)-1))&gt;VALUE(RIGHT(Protokoll_4p!I49,LEN(Protokoll_4p!I49)-FIND(":",Protokoll_4p!I49))),0,1))</f>
        <v>0</v>
      </c>
      <c r="M43" s="1" t="str">
        <f>IF(Protokoll_4p!J49="","",IF(VALUE(LEFT(Protokoll_4p!J49,FIND(":",Protokoll_4p!J49)-1))&gt;VALUE(RIGHT(Protokoll_4p!J49,LEN(Protokoll_4p!J49)-FIND(":",Protokoll_4p!J49))),0,1))</f>
        <v/>
      </c>
      <c r="N43" s="1">
        <f t="shared" si="1"/>
        <v>1</v>
      </c>
    </row>
    <row r="44" spans="2:14">
      <c r="B44" s="1" t="str">
        <f>IF(Protokoll_4p!F50="","",IF(VALUE(LEFT(Protokoll_4p!F50,FIND(":",Protokoll_4p!F50)-1))&gt;VALUE(RIGHT(Protokoll_4p!F50,LEN(Protokoll_4p!F50)-FIND(":",Protokoll_4p!F50))),1,0))</f>
        <v/>
      </c>
      <c r="C44" s="1" t="str">
        <f>IF(Protokoll_4p!G50="","",IF(VALUE(LEFT(Protokoll_4p!G50,FIND(":",Protokoll_4p!G50)-1))&gt;VALUE(RIGHT(Protokoll_4p!G50,LEN(Protokoll_4p!G50)-FIND(":",Protokoll_4p!G50))),1,0))</f>
        <v/>
      </c>
      <c r="D44" s="1" t="str">
        <f>IF(Protokoll_4p!H50="","",IF(VALUE(LEFT(Protokoll_4p!H50,FIND(":",Protokoll_4p!H50)-1))&gt;VALUE(RIGHT(Protokoll_4p!H50,LEN(Protokoll_4p!H50)-FIND(":",Protokoll_4p!H50))),1,0))</f>
        <v/>
      </c>
      <c r="E44" s="1" t="str">
        <f>IF(Protokoll_4p!I50="","",IF(VALUE(LEFT(Protokoll_4p!I50,FIND(":",Protokoll_4p!I50)-1))&gt;VALUE(RIGHT(Protokoll_4p!I50,LEN(Protokoll_4p!I50)-FIND(":",Protokoll_4p!I50))),1,0))</f>
        <v/>
      </c>
      <c r="F44" s="1" t="str">
        <f>IF(Protokoll_4p!J50="","",IF(VALUE(LEFT(Protokoll_4p!J50,FIND(":",Protokoll_4p!J50)-1))&gt;VALUE(RIGHT(Protokoll_4p!J50,LEN(Protokoll_4p!J50)-FIND(":",Protokoll_4p!J50))),1,0))</f>
        <v/>
      </c>
      <c r="G44" s="1" t="str">
        <f t="shared" si="0"/>
        <v/>
      </c>
      <c r="I44" s="1" t="str">
        <f>IF(Protokoll_4p!F50="","",IF(VALUE(LEFT(Protokoll_4p!F50,FIND(":",Protokoll_4p!F50)-1))&gt;VALUE(RIGHT(Protokoll_4p!F50,LEN(Protokoll_4p!F50)-FIND(":",Protokoll_4p!F50))),0,1))</f>
        <v/>
      </c>
      <c r="J44" s="1" t="str">
        <f>IF(Protokoll_4p!G50="","",IF(VALUE(LEFT(Protokoll_4p!G50,FIND(":",Protokoll_4p!G50)-1))&gt;VALUE(RIGHT(Protokoll_4p!G50,LEN(Protokoll_4p!G50)-FIND(":",Protokoll_4p!G50))),0,1))</f>
        <v/>
      </c>
      <c r="K44" s="1" t="str">
        <f>IF(Protokoll_4p!H50="","",IF(VALUE(LEFT(Protokoll_4p!H50,FIND(":",Protokoll_4p!H50)-1))&gt;VALUE(RIGHT(Protokoll_4p!H50,LEN(Protokoll_4p!H50)-FIND(":",Protokoll_4p!H50))),0,1))</f>
        <v/>
      </c>
      <c r="L44" s="1" t="str">
        <f>IF(Protokoll_4p!I50="","",IF(VALUE(LEFT(Protokoll_4p!I50,FIND(":",Protokoll_4p!I50)-1))&gt;VALUE(RIGHT(Protokoll_4p!I50,LEN(Protokoll_4p!I50)-FIND(":",Protokoll_4p!I50))),0,1))</f>
        <v/>
      </c>
      <c r="M44" s="1" t="str">
        <f>IF(Protokoll_4p!J50="","",IF(VALUE(LEFT(Protokoll_4p!J50,FIND(":",Protokoll_4p!J50)-1))&gt;VALUE(RIGHT(Protokoll_4p!J50,LEN(Protokoll_4p!J50)-FIND(":",Protokoll_4p!J50))),0,1))</f>
        <v/>
      </c>
      <c r="N44" s="1" t="str">
        <f t="shared" si="1"/>
        <v/>
      </c>
    </row>
    <row r="45" spans="2:14">
      <c r="B45" s="1">
        <f>IF(Protokoll_4p!F51="","",IF(VALUE(LEFT(Protokoll_4p!F51,FIND(":",Protokoll_4p!F51)-1))&gt;VALUE(RIGHT(Protokoll_4p!F51,LEN(Protokoll_4p!F51)-FIND(":",Protokoll_4p!F51))),1,0))</f>
        <v>1</v>
      </c>
      <c r="C45" s="1">
        <f>IF(Protokoll_4p!G51="","",IF(VALUE(LEFT(Protokoll_4p!G51,FIND(":",Protokoll_4p!G51)-1))&gt;VALUE(RIGHT(Protokoll_4p!G51,LEN(Protokoll_4p!G51)-FIND(":",Protokoll_4p!G51))),1,0))</f>
        <v>1</v>
      </c>
      <c r="D45" s="1">
        <f>IF(Protokoll_4p!H51="","",IF(VALUE(LEFT(Protokoll_4p!H51,FIND(":",Protokoll_4p!H51)-1))&gt;VALUE(RIGHT(Protokoll_4p!H51,LEN(Protokoll_4p!H51)-FIND(":",Protokoll_4p!H51))),1,0))</f>
        <v>1</v>
      </c>
      <c r="E45" s="1" t="str">
        <f>IF(Protokoll_4p!I51="","",IF(VALUE(LEFT(Protokoll_4p!I51,FIND(":",Protokoll_4p!I51)-1))&gt;VALUE(RIGHT(Protokoll_4p!I51,LEN(Protokoll_4p!I51)-FIND(":",Protokoll_4p!I51))),1,0))</f>
        <v/>
      </c>
      <c r="F45" s="1" t="str">
        <f>IF(Protokoll_4p!J51="","",IF(VALUE(LEFT(Protokoll_4p!J51,FIND(":",Protokoll_4p!J51)-1))&gt;VALUE(RIGHT(Protokoll_4p!J51,LEN(Protokoll_4p!J51)-FIND(":",Protokoll_4p!J51))),1,0))</f>
        <v/>
      </c>
      <c r="G45" s="1">
        <f t="shared" si="0"/>
        <v>3</v>
      </c>
      <c r="I45" s="1">
        <f>IF(Protokoll_4p!F51="","",IF(VALUE(LEFT(Protokoll_4p!F51,FIND(":",Protokoll_4p!F51)-1))&gt;VALUE(RIGHT(Protokoll_4p!F51,LEN(Protokoll_4p!F51)-FIND(":",Protokoll_4p!F51))),0,1))</f>
        <v>0</v>
      </c>
      <c r="J45" s="1">
        <f>IF(Protokoll_4p!G51="","",IF(VALUE(LEFT(Protokoll_4p!G51,FIND(":",Protokoll_4p!G51)-1))&gt;VALUE(RIGHT(Protokoll_4p!G51,LEN(Protokoll_4p!G51)-FIND(":",Protokoll_4p!G51))),0,1))</f>
        <v>0</v>
      </c>
      <c r="K45" s="1">
        <f>IF(Protokoll_4p!H51="","",IF(VALUE(LEFT(Protokoll_4p!H51,FIND(":",Protokoll_4p!H51)-1))&gt;VALUE(RIGHT(Protokoll_4p!H51,LEN(Protokoll_4p!H51)-FIND(":",Protokoll_4p!H51))),0,1))</f>
        <v>0</v>
      </c>
      <c r="L45" s="1" t="str">
        <f>IF(Protokoll_4p!I51="","",IF(VALUE(LEFT(Protokoll_4p!I51,FIND(":",Protokoll_4p!I51)-1))&gt;VALUE(RIGHT(Protokoll_4p!I51,LEN(Protokoll_4p!I51)-FIND(":",Protokoll_4p!I51))),0,1))</f>
        <v/>
      </c>
      <c r="M45" s="1" t="str">
        <f>IF(Protokoll_4p!J51="","",IF(VALUE(LEFT(Protokoll_4p!J51,FIND(":",Protokoll_4p!J51)-1))&gt;VALUE(RIGHT(Protokoll_4p!J51,LEN(Protokoll_4p!J51)-FIND(":",Protokoll_4p!J51))),0,1))</f>
        <v/>
      </c>
      <c r="N45" s="1">
        <f t="shared" si="1"/>
        <v>0</v>
      </c>
    </row>
    <row r="46" spans="2:14">
      <c r="B46" s="1" t="str">
        <f>IF(Protokoll_4p!F52="","",IF(VALUE(LEFT(Protokoll_4p!F52,FIND(":",Protokoll_4p!F52)-1))&gt;VALUE(RIGHT(Protokoll_4p!F52,LEN(Protokoll_4p!F52)-FIND(":",Protokoll_4p!F52))),1,0))</f>
        <v/>
      </c>
      <c r="C46" s="1" t="str">
        <f>IF(Protokoll_4p!G52="","",IF(VALUE(LEFT(Protokoll_4p!G52,FIND(":",Protokoll_4p!G52)-1))&gt;VALUE(RIGHT(Protokoll_4p!G52,LEN(Protokoll_4p!G52)-FIND(":",Protokoll_4p!G52))),1,0))</f>
        <v/>
      </c>
      <c r="D46" s="1" t="str">
        <f>IF(Protokoll_4p!H52="","",IF(VALUE(LEFT(Protokoll_4p!H52,FIND(":",Protokoll_4p!H52)-1))&gt;VALUE(RIGHT(Protokoll_4p!H52,LEN(Protokoll_4p!H52)-FIND(":",Protokoll_4p!H52))),1,0))</f>
        <v/>
      </c>
      <c r="E46" s="1" t="str">
        <f>IF(Protokoll_4p!I52="","",IF(VALUE(LEFT(Protokoll_4p!I52,FIND(":",Protokoll_4p!I52)-1))&gt;VALUE(RIGHT(Protokoll_4p!I52,LEN(Protokoll_4p!I52)-FIND(":",Protokoll_4p!I52))),1,0))</f>
        <v/>
      </c>
      <c r="F46" s="1" t="str">
        <f>IF(Protokoll_4p!J52="","",IF(VALUE(LEFT(Protokoll_4p!J52,FIND(":",Protokoll_4p!J52)-1))&gt;VALUE(RIGHT(Protokoll_4p!J52,LEN(Protokoll_4p!J52)-FIND(":",Protokoll_4p!J52))),1,0))</f>
        <v/>
      </c>
      <c r="G46" s="1" t="str">
        <f t="shared" si="0"/>
        <v/>
      </c>
      <c r="I46" s="1" t="str">
        <f>IF(Protokoll_4p!F52="","",IF(VALUE(LEFT(Protokoll_4p!F52,FIND(":",Protokoll_4p!F52)-1))&gt;VALUE(RIGHT(Protokoll_4p!F52,LEN(Protokoll_4p!F52)-FIND(":",Protokoll_4p!F52))),0,1))</f>
        <v/>
      </c>
      <c r="J46" s="1" t="str">
        <f>IF(Protokoll_4p!G52="","",IF(VALUE(LEFT(Protokoll_4p!G52,FIND(":",Protokoll_4p!G52)-1))&gt;VALUE(RIGHT(Protokoll_4p!G52,LEN(Protokoll_4p!G52)-FIND(":",Protokoll_4p!G52))),0,1))</f>
        <v/>
      </c>
      <c r="K46" s="1" t="str">
        <f>IF(Protokoll_4p!H52="","",IF(VALUE(LEFT(Protokoll_4p!H52,FIND(":",Protokoll_4p!H52)-1))&gt;VALUE(RIGHT(Protokoll_4p!H52,LEN(Protokoll_4p!H52)-FIND(":",Protokoll_4p!H52))),0,1))</f>
        <v/>
      </c>
      <c r="L46" s="1" t="str">
        <f>IF(Protokoll_4p!I52="","",IF(VALUE(LEFT(Protokoll_4p!I52,FIND(":",Protokoll_4p!I52)-1))&gt;VALUE(RIGHT(Protokoll_4p!I52,LEN(Protokoll_4p!I52)-FIND(":",Protokoll_4p!I52))),0,1))</f>
        <v/>
      </c>
      <c r="M46" s="1" t="str">
        <f>IF(Protokoll_4p!J52="","",IF(VALUE(LEFT(Protokoll_4p!J52,FIND(":",Protokoll_4p!J52)-1))&gt;VALUE(RIGHT(Protokoll_4p!J52,LEN(Protokoll_4p!J52)-FIND(":",Protokoll_4p!J52))),0,1))</f>
        <v/>
      </c>
      <c r="N46" s="1" t="str">
        <f t="shared" si="1"/>
        <v/>
      </c>
    </row>
    <row r="47" spans="2:14">
      <c r="B47" s="1" t="str">
        <f>IF(Protokoll_4p!F53="","",IF(VALUE(LEFT(Protokoll_4p!F53,FIND(":",Protokoll_4p!F53)-1))&gt;VALUE(RIGHT(Protokoll_4p!F53,LEN(Protokoll_4p!F53)-FIND(":",Protokoll_4p!F53))),1,0))</f>
        <v/>
      </c>
      <c r="C47" s="1" t="str">
        <f>IF(Protokoll_4p!G53="","",IF(VALUE(LEFT(Protokoll_4p!G53,FIND(":",Protokoll_4p!G53)-1))&gt;VALUE(RIGHT(Protokoll_4p!G53,LEN(Protokoll_4p!G53)-FIND(":",Protokoll_4p!G53))),1,0))</f>
        <v/>
      </c>
      <c r="D47" s="1" t="str">
        <f>IF(Protokoll_4p!H53="","",IF(VALUE(LEFT(Protokoll_4p!H53,FIND(":",Protokoll_4p!H53)-1))&gt;VALUE(RIGHT(Protokoll_4p!H53,LEN(Protokoll_4p!H53)-FIND(":",Protokoll_4p!H53))),1,0))</f>
        <v/>
      </c>
      <c r="E47" s="1" t="str">
        <f>IF(Protokoll_4p!I53="","",IF(VALUE(LEFT(Protokoll_4p!I53,FIND(":",Protokoll_4p!I53)-1))&gt;VALUE(RIGHT(Protokoll_4p!I53,LEN(Protokoll_4p!I53)-FIND(":",Protokoll_4p!I53))),1,0))</f>
        <v/>
      </c>
      <c r="F47" s="1" t="str">
        <f>IF(Protokoll_4p!J53="","",IF(VALUE(LEFT(Protokoll_4p!J53,FIND(":",Protokoll_4p!J53)-1))&gt;VALUE(RIGHT(Protokoll_4p!J53,LEN(Protokoll_4p!J53)-FIND(":",Protokoll_4p!J53))),1,0))</f>
        <v/>
      </c>
      <c r="G47" s="1" t="str">
        <f t="shared" si="0"/>
        <v/>
      </c>
      <c r="I47" s="1" t="str">
        <f>IF(Protokoll_4p!F53="","",IF(VALUE(LEFT(Protokoll_4p!F53,FIND(":",Protokoll_4p!F53)-1))&gt;VALUE(RIGHT(Protokoll_4p!F53,LEN(Protokoll_4p!F53)-FIND(":",Protokoll_4p!F53))),0,1))</f>
        <v/>
      </c>
      <c r="J47" s="1" t="str">
        <f>IF(Protokoll_4p!G53="","",IF(VALUE(LEFT(Protokoll_4p!G53,FIND(":",Protokoll_4p!G53)-1))&gt;VALUE(RIGHT(Protokoll_4p!G53,LEN(Protokoll_4p!G53)-FIND(":",Protokoll_4p!G53))),0,1))</f>
        <v/>
      </c>
      <c r="K47" s="1" t="str">
        <f>IF(Protokoll_4p!H53="","",IF(VALUE(LEFT(Protokoll_4p!H53,FIND(":",Protokoll_4p!H53)-1))&gt;VALUE(RIGHT(Protokoll_4p!H53,LEN(Protokoll_4p!H53)-FIND(":",Protokoll_4p!H53))),0,1))</f>
        <v/>
      </c>
      <c r="L47" s="1" t="str">
        <f>IF(Protokoll_4p!I53="","",IF(VALUE(LEFT(Protokoll_4p!I53,FIND(":",Protokoll_4p!I53)-1))&gt;VALUE(RIGHT(Protokoll_4p!I53,LEN(Protokoll_4p!I53)-FIND(":",Protokoll_4p!I53))),0,1))</f>
        <v/>
      </c>
      <c r="M47" s="1" t="str">
        <f>IF(Protokoll_4p!J53="","",IF(VALUE(LEFT(Protokoll_4p!J53,FIND(":",Protokoll_4p!J53)-1))&gt;VALUE(RIGHT(Protokoll_4p!J53,LEN(Protokoll_4p!J53)-FIND(":",Protokoll_4p!J53))),0,1))</f>
        <v/>
      </c>
      <c r="N47" s="1" t="str">
        <f t="shared" si="1"/>
        <v/>
      </c>
    </row>
    <row r="48" spans="2:14">
      <c r="B48" s="1" t="str">
        <f>IF(Protokoll_4p!F54="","",IF(VALUE(LEFT(Protokoll_4p!F54,FIND(":",Protokoll_4p!F54)-1))&gt;VALUE(RIGHT(Protokoll_4p!F54,LEN(Protokoll_4p!F54)-FIND(":",Protokoll_4p!F54))),1,0))</f>
        <v/>
      </c>
      <c r="C48" s="1" t="str">
        <f>IF(Protokoll_4p!G54="","",IF(VALUE(LEFT(Protokoll_4p!G54,FIND(":",Protokoll_4p!G54)-1))&gt;VALUE(RIGHT(Protokoll_4p!G54,LEN(Protokoll_4p!G54)-FIND(":",Protokoll_4p!G54))),1,0))</f>
        <v/>
      </c>
      <c r="D48" s="1" t="str">
        <f>IF(Protokoll_4p!H54="","",IF(VALUE(LEFT(Protokoll_4p!H54,FIND(":",Protokoll_4p!H54)-1))&gt;VALUE(RIGHT(Protokoll_4p!H54,LEN(Protokoll_4p!H54)-FIND(":",Protokoll_4p!H54))),1,0))</f>
        <v/>
      </c>
      <c r="E48" s="1" t="str">
        <f>IF(Protokoll_4p!I54="","",IF(VALUE(LEFT(Protokoll_4p!I54,FIND(":",Protokoll_4p!I54)-1))&gt;VALUE(RIGHT(Protokoll_4p!I54,LEN(Protokoll_4p!I54)-FIND(":",Protokoll_4p!I54))),1,0))</f>
        <v/>
      </c>
      <c r="F48" s="1" t="str">
        <f>IF(Protokoll_4p!J54="","",IF(VALUE(LEFT(Protokoll_4p!J54,FIND(":",Protokoll_4p!J54)-1))&gt;VALUE(RIGHT(Protokoll_4p!J54,LEN(Protokoll_4p!J54)-FIND(":",Protokoll_4p!J54))),1,0))</f>
        <v/>
      </c>
      <c r="G48" s="1" t="str">
        <f t="shared" si="0"/>
        <v/>
      </c>
      <c r="I48" s="1" t="str">
        <f>IF(Protokoll_4p!F54="","",IF(VALUE(LEFT(Protokoll_4p!F54,FIND(":",Protokoll_4p!F54)-1))&gt;VALUE(RIGHT(Protokoll_4p!F54,LEN(Protokoll_4p!F54)-FIND(":",Protokoll_4p!F54))),0,1))</f>
        <v/>
      </c>
      <c r="J48" s="1" t="str">
        <f>IF(Protokoll_4p!G54="","",IF(VALUE(LEFT(Protokoll_4p!G54,FIND(":",Protokoll_4p!G54)-1))&gt;VALUE(RIGHT(Protokoll_4p!G54,LEN(Protokoll_4p!G54)-FIND(":",Protokoll_4p!G54))),0,1))</f>
        <v/>
      </c>
      <c r="K48" s="1" t="str">
        <f>IF(Protokoll_4p!H54="","",IF(VALUE(LEFT(Protokoll_4p!H54,FIND(":",Protokoll_4p!H54)-1))&gt;VALUE(RIGHT(Protokoll_4p!H54,LEN(Protokoll_4p!H54)-FIND(":",Protokoll_4p!H54))),0,1))</f>
        <v/>
      </c>
      <c r="L48" s="1" t="str">
        <f>IF(Protokoll_4p!I54="","",IF(VALUE(LEFT(Protokoll_4p!I54,FIND(":",Protokoll_4p!I54)-1))&gt;VALUE(RIGHT(Protokoll_4p!I54,LEN(Protokoll_4p!I54)-FIND(":",Protokoll_4p!I54))),0,1))</f>
        <v/>
      </c>
      <c r="M48" s="1" t="str">
        <f>IF(Protokoll_4p!J54="","",IF(VALUE(LEFT(Protokoll_4p!J54,FIND(":",Protokoll_4p!J54)-1))&gt;VALUE(RIGHT(Protokoll_4p!J54,LEN(Protokoll_4p!J54)-FIND(":",Protokoll_4p!J54))),0,1))</f>
        <v/>
      </c>
      <c r="N48" s="1" t="str">
        <f t="shared" si="1"/>
        <v/>
      </c>
    </row>
    <row r="49" spans="2:14">
      <c r="B49" s="1" t="str">
        <f>IF(Protokoll_4p!F55="","",IF(VALUE(LEFT(Protokoll_4p!F55,FIND(":",Protokoll_4p!F55)-1))&gt;VALUE(RIGHT(Protokoll_4p!F55,LEN(Protokoll_4p!F55)-FIND(":",Protokoll_4p!F55))),1,0))</f>
        <v/>
      </c>
      <c r="C49" s="1" t="str">
        <f>IF(Protokoll_4p!G55="","",IF(VALUE(LEFT(Protokoll_4p!G55,FIND(":",Protokoll_4p!G55)-1))&gt;VALUE(RIGHT(Protokoll_4p!G55,LEN(Protokoll_4p!G55)-FIND(":",Protokoll_4p!G55))),1,0))</f>
        <v/>
      </c>
      <c r="D49" s="1" t="str">
        <f>IF(Protokoll_4p!H55="","",IF(VALUE(LEFT(Protokoll_4p!H55,FIND(":",Protokoll_4p!H55)-1))&gt;VALUE(RIGHT(Protokoll_4p!H55,LEN(Protokoll_4p!H55)-FIND(":",Protokoll_4p!H55))),1,0))</f>
        <v/>
      </c>
      <c r="E49" s="1" t="str">
        <f>IF(Protokoll_4p!I55="","",IF(VALUE(LEFT(Protokoll_4p!I55,FIND(":",Protokoll_4p!I55)-1))&gt;VALUE(RIGHT(Protokoll_4p!I55,LEN(Protokoll_4p!I55)-FIND(":",Protokoll_4p!I55))),1,0))</f>
        <v/>
      </c>
      <c r="F49" s="1" t="str">
        <f>IF(Protokoll_4p!J55="","",IF(VALUE(LEFT(Protokoll_4p!J55,FIND(":",Protokoll_4p!J55)-1))&gt;VALUE(RIGHT(Protokoll_4p!J55,LEN(Protokoll_4p!J55)-FIND(":",Protokoll_4p!J55))),1,0))</f>
        <v/>
      </c>
      <c r="G49" s="1" t="str">
        <f t="shared" si="0"/>
        <v/>
      </c>
      <c r="I49" s="1" t="str">
        <f>IF(Protokoll_4p!F55="","",IF(VALUE(LEFT(Protokoll_4p!F55,FIND(":",Protokoll_4p!F55)-1))&gt;VALUE(RIGHT(Protokoll_4p!F55,LEN(Protokoll_4p!F55)-FIND(":",Protokoll_4p!F55))),0,1))</f>
        <v/>
      </c>
      <c r="J49" s="1" t="str">
        <f>IF(Protokoll_4p!G55="","",IF(VALUE(LEFT(Protokoll_4p!G55,FIND(":",Protokoll_4p!G55)-1))&gt;VALUE(RIGHT(Protokoll_4p!G55,LEN(Protokoll_4p!G55)-FIND(":",Protokoll_4p!G55))),0,1))</f>
        <v/>
      </c>
      <c r="K49" s="1" t="str">
        <f>IF(Protokoll_4p!H55="","",IF(VALUE(LEFT(Protokoll_4p!H55,FIND(":",Protokoll_4p!H55)-1))&gt;VALUE(RIGHT(Protokoll_4p!H55,LEN(Protokoll_4p!H55)-FIND(":",Protokoll_4p!H55))),0,1))</f>
        <v/>
      </c>
      <c r="L49" s="1" t="str">
        <f>IF(Protokoll_4p!I55="","",IF(VALUE(LEFT(Protokoll_4p!I55,FIND(":",Protokoll_4p!I55)-1))&gt;VALUE(RIGHT(Protokoll_4p!I55,LEN(Protokoll_4p!I55)-FIND(":",Protokoll_4p!I55))),0,1))</f>
        <v/>
      </c>
      <c r="M49" s="1" t="str">
        <f>IF(Protokoll_4p!J55="","",IF(VALUE(LEFT(Protokoll_4p!J55,FIND(":",Protokoll_4p!J55)-1))&gt;VALUE(RIGHT(Protokoll_4p!J55,LEN(Protokoll_4p!J55)-FIND(":",Protokoll_4p!J55))),0,1))</f>
        <v/>
      </c>
      <c r="N49" s="1" t="str">
        <f t="shared" si="1"/>
        <v/>
      </c>
    </row>
    <row r="50" spans="2:14">
      <c r="B50" s="1" t="str">
        <f>IF(Protokoll_4p!F56="","",IF(VALUE(LEFT(Protokoll_4p!F56,FIND(":",Protokoll_4p!F56)-1))&gt;VALUE(RIGHT(Protokoll_4p!F56,LEN(Protokoll_4p!F56)-FIND(":",Protokoll_4p!F56))),1,0))</f>
        <v/>
      </c>
      <c r="C50" s="1" t="str">
        <f>IF(Protokoll_4p!G56="","",IF(VALUE(LEFT(Protokoll_4p!G56,FIND(":",Protokoll_4p!G56)-1))&gt;VALUE(RIGHT(Protokoll_4p!G56,LEN(Protokoll_4p!G56)-FIND(":",Protokoll_4p!G56))),1,0))</f>
        <v/>
      </c>
      <c r="D50" s="1" t="str">
        <f>IF(Protokoll_4p!H56="","",IF(VALUE(LEFT(Protokoll_4p!H56,FIND(":",Protokoll_4p!H56)-1))&gt;VALUE(RIGHT(Protokoll_4p!H56,LEN(Protokoll_4p!H56)-FIND(":",Protokoll_4p!H56))),1,0))</f>
        <v/>
      </c>
      <c r="E50" s="1" t="str">
        <f>IF(Protokoll_4p!I56="","",IF(VALUE(LEFT(Protokoll_4p!I56,FIND(":",Protokoll_4p!I56)-1))&gt;VALUE(RIGHT(Protokoll_4p!I56,LEN(Protokoll_4p!I56)-FIND(":",Protokoll_4p!I56))),1,0))</f>
        <v/>
      </c>
      <c r="F50" s="1" t="str">
        <f>IF(Protokoll_4p!J56="","",IF(VALUE(LEFT(Protokoll_4p!J56,FIND(":",Protokoll_4p!J56)-1))&gt;VALUE(RIGHT(Protokoll_4p!J56,LEN(Protokoll_4p!J56)-FIND(":",Protokoll_4p!J56))),1,0))</f>
        <v/>
      </c>
      <c r="G50" s="1" t="str">
        <f t="shared" si="0"/>
        <v/>
      </c>
      <c r="I50" s="1" t="str">
        <f>IF(Protokoll_4p!F56="","",IF(VALUE(LEFT(Protokoll_4p!F56,FIND(":",Protokoll_4p!F56)-1))&gt;VALUE(RIGHT(Protokoll_4p!F56,LEN(Protokoll_4p!F56)-FIND(":",Protokoll_4p!F56))),0,1))</f>
        <v/>
      </c>
      <c r="J50" s="1" t="str">
        <f>IF(Protokoll_4p!G56="","",IF(VALUE(LEFT(Protokoll_4p!G56,FIND(":",Protokoll_4p!G56)-1))&gt;VALUE(RIGHT(Protokoll_4p!G56,LEN(Protokoll_4p!G56)-FIND(":",Protokoll_4p!G56))),0,1))</f>
        <v/>
      </c>
      <c r="K50" s="1" t="str">
        <f>IF(Protokoll_4p!H56="","",IF(VALUE(LEFT(Protokoll_4p!H56,FIND(":",Protokoll_4p!H56)-1))&gt;VALUE(RIGHT(Protokoll_4p!H56,LEN(Protokoll_4p!H56)-FIND(":",Protokoll_4p!H56))),0,1))</f>
        <v/>
      </c>
      <c r="L50" s="1" t="str">
        <f>IF(Protokoll_4p!I56="","",IF(VALUE(LEFT(Protokoll_4p!I56,FIND(":",Protokoll_4p!I56)-1))&gt;VALUE(RIGHT(Protokoll_4p!I56,LEN(Protokoll_4p!I56)-FIND(":",Protokoll_4p!I56))),0,1))</f>
        <v/>
      </c>
      <c r="M50" s="1" t="str">
        <f>IF(Protokoll_4p!J56="","",IF(VALUE(LEFT(Protokoll_4p!J56,FIND(":",Protokoll_4p!J56)-1))&gt;VALUE(RIGHT(Protokoll_4p!J56,LEN(Protokoll_4p!J56)-FIND(":",Protokoll_4p!J56))),0,1))</f>
        <v/>
      </c>
      <c r="N50" s="1" t="str">
        <f t="shared" si="1"/>
        <v/>
      </c>
    </row>
    <row r="51" spans="2:14">
      <c r="B51" s="1" t="e">
        <f>IF(Protokoll_4p!F57="","",IF(VALUE(LEFT(Protokoll_4p!F57,FIND(":",Protokoll_4p!F57)-1))&gt;VALUE(RIGHT(Protokoll_4p!F57,LEN(Protokoll_4p!F57)-FIND(":",Protokoll_4p!F57))),1,0))</f>
        <v>#VALUE!</v>
      </c>
      <c r="C51" s="1" t="e">
        <f>IF(Protokoll_4p!G57="","",IF(VALUE(LEFT(Protokoll_4p!G57,FIND(":",Protokoll_4p!G57)-1))&gt;VALUE(RIGHT(Protokoll_4p!G57,LEN(Protokoll_4p!G57)-FIND(":",Protokoll_4p!G57))),1,0))</f>
        <v>#VALUE!</v>
      </c>
      <c r="D51" s="1" t="e">
        <f>IF(Protokoll_4p!H57="","",IF(VALUE(LEFT(Protokoll_4p!H57,FIND(":",Protokoll_4p!H57)-1))&gt;VALUE(RIGHT(Protokoll_4p!H57,LEN(Protokoll_4p!H57)-FIND(":",Protokoll_4p!H57))),1,0))</f>
        <v>#VALUE!</v>
      </c>
      <c r="E51" s="1" t="e">
        <f>IF(Protokoll_4p!I57="","",IF(VALUE(LEFT(Protokoll_4p!I57,FIND(":",Protokoll_4p!I57)-1))&gt;VALUE(RIGHT(Protokoll_4p!I57,LEN(Protokoll_4p!I57)-FIND(":",Protokoll_4p!I57))),1,0))</f>
        <v>#VALUE!</v>
      </c>
      <c r="F51" s="1" t="e">
        <f>IF(Protokoll_4p!J57="","",IF(VALUE(LEFT(Protokoll_4p!J57,FIND(":",Protokoll_4p!J57)-1))&gt;VALUE(RIGHT(Protokoll_4p!J57,LEN(Protokoll_4p!J57)-FIND(":",Protokoll_4p!J57))),1,0))</f>
        <v>#VALUE!</v>
      </c>
      <c r="G51" s="1" t="e">
        <f t="shared" si="0"/>
        <v>#VALUE!</v>
      </c>
      <c r="I51" s="1" t="e">
        <f>IF(Protokoll_4p!F57="","",IF(VALUE(LEFT(Protokoll_4p!F57,FIND(":",Protokoll_4p!F57)-1))&gt;VALUE(RIGHT(Protokoll_4p!F57,LEN(Protokoll_4p!F57)-FIND(":",Protokoll_4p!F57))),0,1))</f>
        <v>#VALUE!</v>
      </c>
      <c r="J51" s="1" t="e">
        <f>IF(Protokoll_4p!G57="","",IF(VALUE(LEFT(Protokoll_4p!G57,FIND(":",Protokoll_4p!G57)-1))&gt;VALUE(RIGHT(Protokoll_4p!G57,LEN(Protokoll_4p!G57)-FIND(":",Protokoll_4p!G57))),0,1))</f>
        <v>#VALUE!</v>
      </c>
      <c r="K51" s="1" t="e">
        <f>IF(Protokoll_4p!H57="","",IF(VALUE(LEFT(Protokoll_4p!H57,FIND(":",Protokoll_4p!H57)-1))&gt;VALUE(RIGHT(Protokoll_4p!H57,LEN(Protokoll_4p!H57)-FIND(":",Protokoll_4p!H57))),0,1))</f>
        <v>#VALUE!</v>
      </c>
      <c r="L51" s="1" t="e">
        <f>IF(Protokoll_4p!I57="","",IF(VALUE(LEFT(Protokoll_4p!I57,FIND(":",Protokoll_4p!I57)-1))&gt;VALUE(RIGHT(Protokoll_4p!I57,LEN(Protokoll_4p!I57)-FIND(":",Protokoll_4p!I57))),0,1))</f>
        <v>#VALUE!</v>
      </c>
      <c r="M51" s="1" t="e">
        <f>IF(Protokoll_4p!J57="","",IF(VALUE(LEFT(Protokoll_4p!J57,FIND(":",Protokoll_4p!J57)-1))&gt;VALUE(RIGHT(Protokoll_4p!J57,LEN(Protokoll_4p!J57)-FIND(":",Protokoll_4p!J57))),0,1))</f>
        <v>#VALUE!</v>
      </c>
      <c r="N51" s="1" t="e">
        <f t="shared" si="1"/>
        <v>#VALUE!</v>
      </c>
    </row>
    <row r="52" spans="2:14">
      <c r="B52" s="1">
        <f>IF(Protokoll_4p!F58="","",IF(VALUE(LEFT(Protokoll_4p!F58,FIND(":",Protokoll_4p!F58)-1))&gt;VALUE(RIGHT(Protokoll_4p!F58,LEN(Protokoll_4p!F58)-FIND(":",Protokoll_4p!F58))),1,0))</f>
        <v>0</v>
      </c>
      <c r="C52" s="1">
        <f>IF(Protokoll_4p!G58="","",IF(VALUE(LEFT(Protokoll_4p!G58,FIND(":",Protokoll_4p!G58)-1))&gt;VALUE(RIGHT(Protokoll_4p!G58,LEN(Protokoll_4p!G58)-FIND(":",Protokoll_4p!G58))),1,0))</f>
        <v>0</v>
      </c>
      <c r="D52" s="1">
        <f>IF(Protokoll_4p!H58="","",IF(VALUE(LEFT(Protokoll_4p!H58,FIND(":",Protokoll_4p!H58)-1))&gt;VALUE(RIGHT(Protokoll_4p!H58,LEN(Protokoll_4p!H58)-FIND(":",Protokoll_4p!H58))),1,0))</f>
        <v>1</v>
      </c>
      <c r="E52" s="1">
        <f>IF(Protokoll_4p!I58="","",IF(VALUE(LEFT(Protokoll_4p!I58,FIND(":",Protokoll_4p!I58)-1))&gt;VALUE(RIGHT(Protokoll_4p!I58,LEN(Protokoll_4p!I58)-FIND(":",Protokoll_4p!I58))),1,0))</f>
        <v>1</v>
      </c>
      <c r="F52" s="1">
        <f>IF(Protokoll_4p!J58="","",IF(VALUE(LEFT(Protokoll_4p!J58,FIND(":",Protokoll_4p!J58)-1))&gt;VALUE(RIGHT(Protokoll_4p!J58,LEN(Protokoll_4p!J58)-FIND(":",Protokoll_4p!J58))),1,0))</f>
        <v>1</v>
      </c>
      <c r="G52" s="1">
        <f t="shared" si="0"/>
        <v>3</v>
      </c>
      <c r="I52" s="1">
        <f>IF(Protokoll_4p!F58="","",IF(VALUE(LEFT(Protokoll_4p!F58,FIND(":",Protokoll_4p!F58)-1))&gt;VALUE(RIGHT(Protokoll_4p!F58,LEN(Protokoll_4p!F58)-FIND(":",Protokoll_4p!F58))),0,1))</f>
        <v>1</v>
      </c>
      <c r="J52" s="1">
        <f>IF(Protokoll_4p!G58="","",IF(VALUE(LEFT(Protokoll_4p!G58,FIND(":",Protokoll_4p!G58)-1))&gt;VALUE(RIGHT(Protokoll_4p!G58,LEN(Protokoll_4p!G58)-FIND(":",Protokoll_4p!G58))),0,1))</f>
        <v>1</v>
      </c>
      <c r="K52" s="1">
        <f>IF(Protokoll_4p!H58="","",IF(VALUE(LEFT(Protokoll_4p!H58,FIND(":",Protokoll_4p!H58)-1))&gt;VALUE(RIGHT(Protokoll_4p!H58,LEN(Protokoll_4p!H58)-FIND(":",Protokoll_4p!H58))),0,1))</f>
        <v>0</v>
      </c>
      <c r="L52" s="1">
        <f>IF(Protokoll_4p!I58="","",IF(VALUE(LEFT(Protokoll_4p!I58,FIND(":",Protokoll_4p!I58)-1))&gt;VALUE(RIGHT(Protokoll_4p!I58,LEN(Protokoll_4p!I58)-FIND(":",Protokoll_4p!I58))),0,1))</f>
        <v>0</v>
      </c>
      <c r="M52" s="1">
        <f>IF(Protokoll_4p!J58="","",IF(VALUE(LEFT(Protokoll_4p!J58,FIND(":",Protokoll_4p!J58)-1))&gt;VALUE(RIGHT(Protokoll_4p!J58,LEN(Protokoll_4p!J58)-FIND(":",Protokoll_4p!J58))),0,1))</f>
        <v>0</v>
      </c>
      <c r="N52" s="1">
        <f t="shared" si="1"/>
        <v>2</v>
      </c>
    </row>
    <row r="53" spans="2:14">
      <c r="B53" s="1">
        <f>IF(Protokoll_4p!F59="","",IF(VALUE(LEFT(Protokoll_4p!F59,FIND(":",Protokoll_4p!F59)-1))&gt;VALUE(RIGHT(Protokoll_4p!F59,LEN(Protokoll_4p!F59)-FIND(":",Protokoll_4p!F59))),1,0))</f>
        <v>0</v>
      </c>
      <c r="C53" s="1">
        <f>IF(Protokoll_4p!G59="","",IF(VALUE(LEFT(Protokoll_4p!G59,FIND(":",Protokoll_4p!G59)-1))&gt;VALUE(RIGHT(Protokoll_4p!G59,LEN(Protokoll_4p!G59)-FIND(":",Protokoll_4p!G59))),1,0))</f>
        <v>1</v>
      </c>
      <c r="D53" s="1">
        <f>IF(Protokoll_4p!H59="","",IF(VALUE(LEFT(Protokoll_4p!H59,FIND(":",Protokoll_4p!H59)-1))&gt;VALUE(RIGHT(Protokoll_4p!H59,LEN(Protokoll_4p!H59)-FIND(":",Protokoll_4p!H59))),1,0))</f>
        <v>1</v>
      </c>
      <c r="E53" s="1">
        <f>IF(Protokoll_4p!I59="","",IF(VALUE(LEFT(Protokoll_4p!I59,FIND(":",Protokoll_4p!I59)-1))&gt;VALUE(RIGHT(Protokoll_4p!I59,LEN(Protokoll_4p!I59)-FIND(":",Protokoll_4p!I59))),1,0))</f>
        <v>1</v>
      </c>
      <c r="F53" s="1" t="str">
        <f>IF(Protokoll_4p!J59="","",IF(VALUE(LEFT(Protokoll_4p!J59,FIND(":",Protokoll_4p!J59)-1))&gt;VALUE(RIGHT(Protokoll_4p!J59,LEN(Protokoll_4p!J59)-FIND(":",Protokoll_4p!J59))),1,0))</f>
        <v/>
      </c>
      <c r="G53" s="1">
        <f t="shared" si="0"/>
        <v>3</v>
      </c>
      <c r="I53" s="1">
        <f>IF(Protokoll_4p!F59="","",IF(VALUE(LEFT(Protokoll_4p!F59,FIND(":",Protokoll_4p!F59)-1))&gt;VALUE(RIGHT(Protokoll_4p!F59,LEN(Protokoll_4p!F59)-FIND(":",Protokoll_4p!F59))),0,1))</f>
        <v>1</v>
      </c>
      <c r="J53" s="1">
        <f>IF(Protokoll_4p!G59="","",IF(VALUE(LEFT(Protokoll_4p!G59,FIND(":",Protokoll_4p!G59)-1))&gt;VALUE(RIGHT(Protokoll_4p!G59,LEN(Protokoll_4p!G59)-FIND(":",Protokoll_4p!G59))),0,1))</f>
        <v>0</v>
      </c>
      <c r="K53" s="1">
        <f>IF(Protokoll_4p!H59="","",IF(VALUE(LEFT(Protokoll_4p!H59,FIND(":",Protokoll_4p!H59)-1))&gt;VALUE(RIGHT(Protokoll_4p!H59,LEN(Protokoll_4p!H59)-FIND(":",Protokoll_4p!H59))),0,1))</f>
        <v>0</v>
      </c>
      <c r="L53" s="1">
        <f>IF(Protokoll_4p!I59="","",IF(VALUE(LEFT(Protokoll_4p!I59,FIND(":",Protokoll_4p!I59)-1))&gt;VALUE(RIGHT(Protokoll_4p!I59,LEN(Protokoll_4p!I59)-FIND(":",Protokoll_4p!I59))),0,1))</f>
        <v>0</v>
      </c>
      <c r="M53" s="1" t="str">
        <f>IF(Protokoll_4p!J59="","",IF(VALUE(LEFT(Protokoll_4p!J59,FIND(":",Protokoll_4p!J59)-1))&gt;VALUE(RIGHT(Protokoll_4p!J59,LEN(Protokoll_4p!J59)-FIND(":",Protokoll_4p!J59))),0,1))</f>
        <v/>
      </c>
      <c r="N53" s="1">
        <f t="shared" si="1"/>
        <v>1</v>
      </c>
    </row>
    <row r="54" spans="2:14">
      <c r="B54" s="1">
        <f>IF(Protokoll_4p!F60="","",IF(VALUE(LEFT(Protokoll_4p!F60,FIND(":",Protokoll_4p!F60)-1))&gt;VALUE(RIGHT(Protokoll_4p!F60,LEN(Protokoll_4p!F60)-FIND(":",Protokoll_4p!F60))),1,0))</f>
        <v>1</v>
      </c>
      <c r="C54" s="1">
        <f>IF(Protokoll_4p!G60="","",IF(VALUE(LEFT(Protokoll_4p!G60,FIND(":",Protokoll_4p!G60)-1))&gt;VALUE(RIGHT(Protokoll_4p!G60,LEN(Protokoll_4p!G60)-FIND(":",Protokoll_4p!G60))),1,0))</f>
        <v>0</v>
      </c>
      <c r="D54" s="1">
        <f>IF(Protokoll_4p!H60="","",IF(VALUE(LEFT(Protokoll_4p!H60,FIND(":",Protokoll_4p!H60)-1))&gt;VALUE(RIGHT(Protokoll_4p!H60,LEN(Protokoll_4p!H60)-FIND(":",Protokoll_4p!H60))),1,0))</f>
        <v>0</v>
      </c>
      <c r="E54" s="1">
        <f>IF(Protokoll_4p!I60="","",IF(VALUE(LEFT(Protokoll_4p!I60,FIND(":",Protokoll_4p!I60)-1))&gt;VALUE(RIGHT(Protokoll_4p!I60,LEN(Protokoll_4p!I60)-FIND(":",Protokoll_4p!I60))),1,0))</f>
        <v>0</v>
      </c>
      <c r="F54" s="1" t="str">
        <f>IF(Protokoll_4p!J60="","",IF(VALUE(LEFT(Protokoll_4p!J60,FIND(":",Protokoll_4p!J60)-1))&gt;VALUE(RIGHT(Protokoll_4p!J60,LEN(Protokoll_4p!J60)-FIND(":",Protokoll_4p!J60))),1,0))</f>
        <v/>
      </c>
      <c r="G54" s="1">
        <f t="shared" si="0"/>
        <v>1</v>
      </c>
      <c r="I54" s="1">
        <f>IF(Protokoll_4p!F60="","",IF(VALUE(LEFT(Protokoll_4p!F60,FIND(":",Protokoll_4p!F60)-1))&gt;VALUE(RIGHT(Protokoll_4p!F60,LEN(Protokoll_4p!F60)-FIND(":",Protokoll_4p!F60))),0,1))</f>
        <v>0</v>
      </c>
      <c r="J54" s="1">
        <f>IF(Protokoll_4p!G60="","",IF(VALUE(LEFT(Protokoll_4p!G60,FIND(":",Protokoll_4p!G60)-1))&gt;VALUE(RIGHT(Protokoll_4p!G60,LEN(Protokoll_4p!G60)-FIND(":",Protokoll_4p!G60))),0,1))</f>
        <v>1</v>
      </c>
      <c r="K54" s="1">
        <f>IF(Protokoll_4p!H60="","",IF(VALUE(LEFT(Protokoll_4p!H60,FIND(":",Protokoll_4p!H60)-1))&gt;VALUE(RIGHT(Protokoll_4p!H60,LEN(Protokoll_4p!H60)-FIND(":",Protokoll_4p!H60))),0,1))</f>
        <v>1</v>
      </c>
      <c r="L54" s="1">
        <f>IF(Protokoll_4p!I60="","",IF(VALUE(LEFT(Protokoll_4p!I60,FIND(":",Protokoll_4p!I60)-1))&gt;VALUE(RIGHT(Protokoll_4p!I60,LEN(Protokoll_4p!I60)-FIND(":",Protokoll_4p!I60))),0,1))</f>
        <v>1</v>
      </c>
      <c r="M54" s="1" t="str">
        <f>IF(Protokoll_4p!J60="","",IF(VALUE(LEFT(Protokoll_4p!J60,FIND(":",Protokoll_4p!J60)-1))&gt;VALUE(RIGHT(Protokoll_4p!J60,LEN(Protokoll_4p!J60)-FIND(":",Protokoll_4p!J60))),0,1))</f>
        <v/>
      </c>
      <c r="N54" s="1">
        <f t="shared" si="1"/>
        <v>3</v>
      </c>
    </row>
    <row r="55" spans="2:14">
      <c r="B55" s="1">
        <f>IF(Protokoll_4p!F61="","",IF(VALUE(LEFT(Protokoll_4p!F61,FIND(":",Protokoll_4p!F61)-1))&gt;VALUE(RIGHT(Protokoll_4p!F61,LEN(Protokoll_4p!F61)-FIND(":",Protokoll_4p!F61))),1,0))</f>
        <v>0</v>
      </c>
      <c r="C55" s="1">
        <f>IF(Protokoll_4p!G61="","",IF(VALUE(LEFT(Protokoll_4p!G61,FIND(":",Protokoll_4p!G61)-1))&gt;VALUE(RIGHT(Protokoll_4p!G61,LEN(Protokoll_4p!G61)-FIND(":",Protokoll_4p!G61))),1,0))</f>
        <v>0</v>
      </c>
      <c r="D55" s="1">
        <f>IF(Protokoll_4p!H61="","",IF(VALUE(LEFT(Protokoll_4p!H61,FIND(":",Protokoll_4p!H61)-1))&gt;VALUE(RIGHT(Protokoll_4p!H61,LEN(Protokoll_4p!H61)-FIND(":",Protokoll_4p!H61))),1,0))</f>
        <v>1</v>
      </c>
      <c r="E55" s="1">
        <f>IF(Protokoll_4p!I61="","",IF(VALUE(LEFT(Protokoll_4p!I61,FIND(":",Protokoll_4p!I61)-1))&gt;VALUE(RIGHT(Protokoll_4p!I61,LEN(Protokoll_4p!I61)-FIND(":",Protokoll_4p!I61))),1,0))</f>
        <v>1</v>
      </c>
      <c r="F55" s="1">
        <f>IF(Protokoll_4p!J61="","",IF(VALUE(LEFT(Protokoll_4p!J61,FIND(":",Protokoll_4p!J61)-1))&gt;VALUE(RIGHT(Protokoll_4p!J61,LEN(Protokoll_4p!J61)-FIND(":",Protokoll_4p!J61))),1,0))</f>
        <v>1</v>
      </c>
      <c r="G55" s="1">
        <f t="shared" si="0"/>
        <v>3</v>
      </c>
      <c r="I55" s="1">
        <f>IF(Protokoll_4p!F61="","",IF(VALUE(LEFT(Protokoll_4p!F61,FIND(":",Protokoll_4p!F61)-1))&gt;VALUE(RIGHT(Protokoll_4p!F61,LEN(Protokoll_4p!F61)-FIND(":",Protokoll_4p!F61))),0,1))</f>
        <v>1</v>
      </c>
      <c r="J55" s="1">
        <f>IF(Protokoll_4p!G61="","",IF(VALUE(LEFT(Protokoll_4p!G61,FIND(":",Protokoll_4p!G61)-1))&gt;VALUE(RIGHT(Protokoll_4p!G61,LEN(Protokoll_4p!G61)-FIND(":",Protokoll_4p!G61))),0,1))</f>
        <v>1</v>
      </c>
      <c r="K55" s="1">
        <f>IF(Protokoll_4p!H61="","",IF(VALUE(LEFT(Protokoll_4p!H61,FIND(":",Protokoll_4p!H61)-1))&gt;VALUE(RIGHT(Protokoll_4p!H61,LEN(Protokoll_4p!H61)-FIND(":",Protokoll_4p!H61))),0,1))</f>
        <v>0</v>
      </c>
      <c r="L55" s="1">
        <f>IF(Protokoll_4p!I61="","",IF(VALUE(LEFT(Protokoll_4p!I61,FIND(":",Protokoll_4p!I61)-1))&gt;VALUE(RIGHT(Protokoll_4p!I61,LEN(Protokoll_4p!I61)-FIND(":",Protokoll_4p!I61))),0,1))</f>
        <v>0</v>
      </c>
      <c r="M55" s="1">
        <f>IF(Protokoll_4p!J61="","",IF(VALUE(LEFT(Protokoll_4p!J61,FIND(":",Protokoll_4p!J61)-1))&gt;VALUE(RIGHT(Protokoll_4p!J61,LEN(Protokoll_4p!J61)-FIND(":",Protokoll_4p!J61))),0,1))</f>
        <v>0</v>
      </c>
      <c r="N55" s="1">
        <f t="shared" si="1"/>
        <v>2</v>
      </c>
    </row>
    <row r="56" spans="2:14">
      <c r="B56" s="1" t="str">
        <f>IF(Protokoll_4p!F62="","",IF(VALUE(LEFT(Protokoll_4p!F62,FIND(":",Protokoll_4p!F62)-1))&gt;VALUE(RIGHT(Protokoll_4p!F62,LEN(Protokoll_4p!F62)-FIND(":",Protokoll_4p!F62))),1,0))</f>
        <v/>
      </c>
      <c r="C56" s="1" t="str">
        <f>IF(Protokoll_4p!G62="","",IF(VALUE(LEFT(Protokoll_4p!G62,FIND(":",Protokoll_4p!G62)-1))&gt;VALUE(RIGHT(Protokoll_4p!G62,LEN(Protokoll_4p!G62)-FIND(":",Protokoll_4p!G62))),1,0))</f>
        <v/>
      </c>
      <c r="D56" s="1" t="str">
        <f>IF(Protokoll_4p!H62="","",IF(VALUE(LEFT(Protokoll_4p!H62,FIND(":",Protokoll_4p!H62)-1))&gt;VALUE(RIGHT(Protokoll_4p!H62,LEN(Protokoll_4p!H62)-FIND(":",Protokoll_4p!H62))),1,0))</f>
        <v/>
      </c>
      <c r="E56" s="1" t="str">
        <f>IF(Protokoll_4p!I62="","",IF(VALUE(LEFT(Protokoll_4p!I62,FIND(":",Protokoll_4p!I62)-1))&gt;VALUE(RIGHT(Protokoll_4p!I62,LEN(Protokoll_4p!I62)-FIND(":",Protokoll_4p!I62))),1,0))</f>
        <v/>
      </c>
      <c r="F56" s="1" t="str">
        <f>IF(Protokoll_4p!J62="","",IF(VALUE(LEFT(Protokoll_4p!J62,FIND(":",Protokoll_4p!J62)-1))&gt;VALUE(RIGHT(Protokoll_4p!J62,LEN(Protokoll_4p!J62)-FIND(":",Protokoll_4p!J62))),1,0))</f>
        <v/>
      </c>
      <c r="G56" s="1" t="str">
        <f t="shared" si="0"/>
        <v/>
      </c>
      <c r="I56" s="1" t="str">
        <f>IF(Protokoll_4p!F62="","",IF(VALUE(LEFT(Protokoll_4p!F62,FIND(":",Protokoll_4p!F62)-1))&gt;VALUE(RIGHT(Protokoll_4p!F62,LEN(Protokoll_4p!F62)-FIND(":",Protokoll_4p!F62))),0,1))</f>
        <v/>
      </c>
      <c r="J56" s="1" t="str">
        <f>IF(Protokoll_4p!G62="","",IF(VALUE(LEFT(Protokoll_4p!G62,FIND(":",Protokoll_4p!G62)-1))&gt;VALUE(RIGHT(Protokoll_4p!G62,LEN(Protokoll_4p!G62)-FIND(":",Protokoll_4p!G62))),0,1))</f>
        <v/>
      </c>
      <c r="K56" s="1" t="str">
        <f>IF(Protokoll_4p!H62="","",IF(VALUE(LEFT(Protokoll_4p!H62,FIND(":",Protokoll_4p!H62)-1))&gt;VALUE(RIGHT(Protokoll_4p!H62,LEN(Protokoll_4p!H62)-FIND(":",Protokoll_4p!H62))),0,1))</f>
        <v/>
      </c>
      <c r="L56" s="1" t="str">
        <f>IF(Protokoll_4p!I62="","",IF(VALUE(LEFT(Protokoll_4p!I62,FIND(":",Protokoll_4p!I62)-1))&gt;VALUE(RIGHT(Protokoll_4p!I62,LEN(Protokoll_4p!I62)-FIND(":",Protokoll_4p!I62))),0,1))</f>
        <v/>
      </c>
      <c r="M56" s="1" t="str">
        <f>IF(Protokoll_4p!J62="","",IF(VALUE(LEFT(Protokoll_4p!J62,FIND(":",Protokoll_4p!J62)-1))&gt;VALUE(RIGHT(Protokoll_4p!J62,LEN(Protokoll_4p!J62)-FIND(":",Protokoll_4p!J62))),0,1))</f>
        <v/>
      </c>
      <c r="N56" s="1" t="str">
        <f t="shared" si="1"/>
        <v/>
      </c>
    </row>
    <row r="57" spans="2:14">
      <c r="B57" s="1">
        <f>IF(Protokoll_4p!F63="","",IF(VALUE(LEFT(Protokoll_4p!F63,FIND(":",Protokoll_4p!F63)-1))&gt;VALUE(RIGHT(Protokoll_4p!F63,LEN(Protokoll_4p!F63)-FIND(":",Protokoll_4p!F63))),1,0))</f>
        <v>1</v>
      </c>
      <c r="C57" s="1">
        <f>IF(Protokoll_4p!G63="","",IF(VALUE(LEFT(Protokoll_4p!G63,FIND(":",Protokoll_4p!G63)-1))&gt;VALUE(RIGHT(Protokoll_4p!G63,LEN(Protokoll_4p!G63)-FIND(":",Protokoll_4p!G63))),1,0))</f>
        <v>1</v>
      </c>
      <c r="D57" s="1">
        <f>IF(Protokoll_4p!H63="","",IF(VALUE(LEFT(Protokoll_4p!H63,FIND(":",Protokoll_4p!H63)-1))&gt;VALUE(RIGHT(Protokoll_4p!H63,LEN(Protokoll_4p!H63)-FIND(":",Protokoll_4p!H63))),1,0))</f>
        <v>1</v>
      </c>
      <c r="E57" s="1" t="str">
        <f>IF(Protokoll_4p!I63="","",IF(VALUE(LEFT(Protokoll_4p!I63,FIND(":",Protokoll_4p!I63)-1))&gt;VALUE(RIGHT(Protokoll_4p!I63,LEN(Protokoll_4p!I63)-FIND(":",Protokoll_4p!I63))),1,0))</f>
        <v/>
      </c>
      <c r="F57" s="1" t="str">
        <f>IF(Protokoll_4p!J63="","",IF(VALUE(LEFT(Protokoll_4p!J63,FIND(":",Protokoll_4p!J63)-1))&gt;VALUE(RIGHT(Protokoll_4p!J63,LEN(Protokoll_4p!J63)-FIND(":",Protokoll_4p!J63))),1,0))</f>
        <v/>
      </c>
      <c r="G57" s="1">
        <f t="shared" si="0"/>
        <v>3</v>
      </c>
      <c r="I57" s="1">
        <f>IF(Protokoll_4p!F63="","",IF(VALUE(LEFT(Protokoll_4p!F63,FIND(":",Protokoll_4p!F63)-1))&gt;VALUE(RIGHT(Protokoll_4p!F63,LEN(Protokoll_4p!F63)-FIND(":",Protokoll_4p!F63))),0,1))</f>
        <v>0</v>
      </c>
      <c r="J57" s="1">
        <f>IF(Protokoll_4p!G63="","",IF(VALUE(LEFT(Protokoll_4p!G63,FIND(":",Protokoll_4p!G63)-1))&gt;VALUE(RIGHT(Protokoll_4p!G63,LEN(Protokoll_4p!G63)-FIND(":",Protokoll_4p!G63))),0,1))</f>
        <v>0</v>
      </c>
      <c r="K57" s="1">
        <f>IF(Protokoll_4p!H63="","",IF(VALUE(LEFT(Protokoll_4p!H63,FIND(":",Protokoll_4p!H63)-1))&gt;VALUE(RIGHT(Protokoll_4p!H63,LEN(Protokoll_4p!H63)-FIND(":",Protokoll_4p!H63))),0,1))</f>
        <v>0</v>
      </c>
      <c r="L57" s="1" t="str">
        <f>IF(Protokoll_4p!I63="","",IF(VALUE(LEFT(Protokoll_4p!I63,FIND(":",Protokoll_4p!I63)-1))&gt;VALUE(RIGHT(Protokoll_4p!I63,LEN(Protokoll_4p!I63)-FIND(":",Protokoll_4p!I63))),0,1))</f>
        <v/>
      </c>
      <c r="M57" s="1" t="str">
        <f>IF(Protokoll_4p!J63="","",IF(VALUE(LEFT(Protokoll_4p!J63,FIND(":",Protokoll_4p!J63)-1))&gt;VALUE(RIGHT(Protokoll_4p!J63,LEN(Protokoll_4p!J63)-FIND(":",Protokoll_4p!J63))),0,1))</f>
        <v/>
      </c>
      <c r="N57" s="1">
        <f t="shared" si="1"/>
        <v>0</v>
      </c>
    </row>
    <row r="58" spans="2:14">
      <c r="B58" s="1" t="str">
        <f>IF(Protokoll_4p!F64="","",IF(VALUE(LEFT(Protokoll_4p!F64,FIND(":",Protokoll_4p!F64)-1))&gt;VALUE(RIGHT(Protokoll_4p!F64,LEN(Protokoll_4p!F64)-FIND(":",Protokoll_4p!F64))),1,0))</f>
        <v/>
      </c>
      <c r="C58" s="1" t="str">
        <f>IF(Protokoll_4p!G64="","",IF(VALUE(LEFT(Protokoll_4p!G64,FIND(":",Protokoll_4p!G64)-1))&gt;VALUE(RIGHT(Protokoll_4p!G64,LEN(Protokoll_4p!G64)-FIND(":",Protokoll_4p!G64))),1,0))</f>
        <v/>
      </c>
      <c r="D58" s="1" t="str">
        <f>IF(Protokoll_4p!H64="","",IF(VALUE(LEFT(Protokoll_4p!H64,FIND(":",Protokoll_4p!H64)-1))&gt;VALUE(RIGHT(Protokoll_4p!H64,LEN(Protokoll_4p!H64)-FIND(":",Protokoll_4p!H64))),1,0))</f>
        <v/>
      </c>
      <c r="E58" s="1" t="str">
        <f>IF(Protokoll_4p!I64="","",IF(VALUE(LEFT(Protokoll_4p!I64,FIND(":",Protokoll_4p!I64)-1))&gt;VALUE(RIGHT(Protokoll_4p!I64,LEN(Protokoll_4p!I64)-FIND(":",Protokoll_4p!I64))),1,0))</f>
        <v/>
      </c>
      <c r="F58" s="1" t="str">
        <f>IF(Protokoll_4p!J64="","",IF(VALUE(LEFT(Protokoll_4p!J64,FIND(":",Protokoll_4p!J64)-1))&gt;VALUE(RIGHT(Protokoll_4p!J64,LEN(Protokoll_4p!J64)-FIND(":",Protokoll_4p!J64))),1,0))</f>
        <v/>
      </c>
      <c r="G58" s="1" t="str">
        <f t="shared" si="0"/>
        <v/>
      </c>
      <c r="I58" s="1" t="str">
        <f>IF(Protokoll_4p!F64="","",IF(VALUE(LEFT(Protokoll_4p!F64,FIND(":",Protokoll_4p!F64)-1))&gt;VALUE(RIGHT(Protokoll_4p!F64,LEN(Protokoll_4p!F64)-FIND(":",Protokoll_4p!F64))),0,1))</f>
        <v/>
      </c>
      <c r="J58" s="1" t="str">
        <f>IF(Protokoll_4p!G64="","",IF(VALUE(LEFT(Protokoll_4p!G64,FIND(":",Protokoll_4p!G64)-1))&gt;VALUE(RIGHT(Protokoll_4p!G64,LEN(Protokoll_4p!G64)-FIND(":",Protokoll_4p!G64))),0,1))</f>
        <v/>
      </c>
      <c r="K58" s="1" t="str">
        <f>IF(Protokoll_4p!H64="","",IF(VALUE(LEFT(Protokoll_4p!H64,FIND(":",Protokoll_4p!H64)-1))&gt;VALUE(RIGHT(Protokoll_4p!H64,LEN(Protokoll_4p!H64)-FIND(":",Protokoll_4p!H64))),0,1))</f>
        <v/>
      </c>
      <c r="L58" s="1" t="str">
        <f>IF(Protokoll_4p!I64="","",IF(VALUE(LEFT(Protokoll_4p!I64,FIND(":",Protokoll_4p!I64)-1))&gt;VALUE(RIGHT(Protokoll_4p!I64,LEN(Protokoll_4p!I64)-FIND(":",Protokoll_4p!I64))),0,1))</f>
        <v/>
      </c>
      <c r="M58" s="1" t="str">
        <f>IF(Protokoll_4p!J64="","",IF(VALUE(LEFT(Protokoll_4p!J64,FIND(":",Protokoll_4p!J64)-1))&gt;VALUE(RIGHT(Protokoll_4p!J64,LEN(Protokoll_4p!J64)-FIND(":",Protokoll_4p!J64))),0,1))</f>
        <v/>
      </c>
      <c r="N58" s="1" t="str">
        <f t="shared" si="1"/>
        <v/>
      </c>
    </row>
    <row r="59" spans="2:14">
      <c r="B59" s="1" t="str">
        <f>IF(Protokoll_4p!F65="","",IF(VALUE(LEFT(Protokoll_4p!F65,FIND(":",Protokoll_4p!F65)-1))&gt;VALUE(RIGHT(Protokoll_4p!F65,LEN(Protokoll_4p!F65)-FIND(":",Protokoll_4p!F65))),1,0))</f>
        <v/>
      </c>
      <c r="C59" s="1" t="str">
        <f>IF(Protokoll_4p!G65="","",IF(VALUE(LEFT(Protokoll_4p!G65,FIND(":",Protokoll_4p!G65)-1))&gt;VALUE(RIGHT(Protokoll_4p!G65,LEN(Protokoll_4p!G65)-FIND(":",Protokoll_4p!G65))),1,0))</f>
        <v/>
      </c>
      <c r="D59" s="1" t="str">
        <f>IF(Protokoll_4p!H65="","",IF(VALUE(LEFT(Protokoll_4p!H65,FIND(":",Protokoll_4p!H65)-1))&gt;VALUE(RIGHT(Protokoll_4p!H65,LEN(Protokoll_4p!H65)-FIND(":",Protokoll_4p!H65))),1,0))</f>
        <v/>
      </c>
      <c r="E59" s="1" t="str">
        <f>IF(Protokoll_4p!I65="","",IF(VALUE(LEFT(Protokoll_4p!I65,FIND(":",Protokoll_4p!I65)-1))&gt;VALUE(RIGHT(Protokoll_4p!I65,LEN(Protokoll_4p!I65)-FIND(":",Protokoll_4p!I65))),1,0))</f>
        <v/>
      </c>
      <c r="F59" s="1" t="str">
        <f>IF(Protokoll_4p!J65="","",IF(VALUE(LEFT(Protokoll_4p!J65,FIND(":",Protokoll_4p!J65)-1))&gt;VALUE(RIGHT(Protokoll_4p!J65,LEN(Protokoll_4p!J65)-FIND(":",Protokoll_4p!J65))),1,0))</f>
        <v/>
      </c>
      <c r="G59" s="1" t="str">
        <f t="shared" si="0"/>
        <v/>
      </c>
      <c r="I59" s="1" t="str">
        <f>IF(Protokoll_4p!F65="","",IF(VALUE(LEFT(Protokoll_4p!F65,FIND(":",Protokoll_4p!F65)-1))&gt;VALUE(RIGHT(Protokoll_4p!F65,LEN(Protokoll_4p!F65)-FIND(":",Protokoll_4p!F65))),0,1))</f>
        <v/>
      </c>
      <c r="J59" s="1" t="str">
        <f>IF(Protokoll_4p!G65="","",IF(VALUE(LEFT(Protokoll_4p!G65,FIND(":",Protokoll_4p!G65)-1))&gt;VALUE(RIGHT(Protokoll_4p!G65,LEN(Protokoll_4p!G65)-FIND(":",Protokoll_4p!G65))),0,1))</f>
        <v/>
      </c>
      <c r="K59" s="1" t="str">
        <f>IF(Protokoll_4p!H65="","",IF(VALUE(LEFT(Protokoll_4p!H65,FIND(":",Protokoll_4p!H65)-1))&gt;VALUE(RIGHT(Protokoll_4p!H65,LEN(Protokoll_4p!H65)-FIND(":",Protokoll_4p!H65))),0,1))</f>
        <v/>
      </c>
      <c r="L59" s="1" t="str">
        <f>IF(Protokoll_4p!I65="","",IF(VALUE(LEFT(Protokoll_4p!I65,FIND(":",Protokoll_4p!I65)-1))&gt;VALUE(RIGHT(Protokoll_4p!I65,LEN(Protokoll_4p!I65)-FIND(":",Protokoll_4p!I65))),0,1))</f>
        <v/>
      </c>
      <c r="M59" s="1" t="str">
        <f>IF(Protokoll_4p!J65="","",IF(VALUE(LEFT(Protokoll_4p!J65,FIND(":",Protokoll_4p!J65)-1))&gt;VALUE(RIGHT(Protokoll_4p!J65,LEN(Protokoll_4p!J65)-FIND(":",Protokoll_4p!J65))),0,1))</f>
        <v/>
      </c>
      <c r="N59" s="1" t="str">
        <f t="shared" si="1"/>
        <v/>
      </c>
    </row>
    <row r="60" spans="2:14">
      <c r="B60" s="1" t="str">
        <f>IF(Protokoll_4p!F66="","",IF(VALUE(LEFT(Protokoll_4p!F66,FIND(":",Protokoll_4p!F66)-1))&gt;VALUE(RIGHT(Protokoll_4p!F66,LEN(Protokoll_4p!F66)-FIND(":",Protokoll_4p!F66))),1,0))</f>
        <v/>
      </c>
      <c r="C60" s="1" t="str">
        <f>IF(Protokoll_4p!G66="","",IF(VALUE(LEFT(Protokoll_4p!G66,FIND(":",Protokoll_4p!G66)-1))&gt;VALUE(RIGHT(Protokoll_4p!G66,LEN(Protokoll_4p!G66)-FIND(":",Protokoll_4p!G66))),1,0))</f>
        <v/>
      </c>
      <c r="D60" s="1" t="str">
        <f>IF(Protokoll_4p!H66="","",IF(VALUE(LEFT(Protokoll_4p!H66,FIND(":",Protokoll_4p!H66)-1))&gt;VALUE(RIGHT(Protokoll_4p!H66,LEN(Protokoll_4p!H66)-FIND(":",Protokoll_4p!H66))),1,0))</f>
        <v/>
      </c>
      <c r="E60" s="1" t="str">
        <f>IF(Protokoll_4p!I66="","",IF(VALUE(LEFT(Protokoll_4p!I66,FIND(":",Protokoll_4p!I66)-1))&gt;VALUE(RIGHT(Protokoll_4p!I66,LEN(Protokoll_4p!I66)-FIND(":",Protokoll_4p!I66))),1,0))</f>
        <v/>
      </c>
      <c r="F60" s="1" t="str">
        <f>IF(Protokoll_4p!J66="","",IF(VALUE(LEFT(Protokoll_4p!J66,FIND(":",Protokoll_4p!J66)-1))&gt;VALUE(RIGHT(Protokoll_4p!J66,LEN(Protokoll_4p!J66)-FIND(":",Protokoll_4p!J66))),1,0))</f>
        <v/>
      </c>
      <c r="G60" s="1" t="str">
        <f t="shared" si="0"/>
        <v/>
      </c>
      <c r="I60" s="1" t="str">
        <f>IF(Protokoll_4p!F66="","",IF(VALUE(LEFT(Protokoll_4p!F66,FIND(":",Protokoll_4p!F66)-1))&gt;VALUE(RIGHT(Protokoll_4p!F66,LEN(Protokoll_4p!F66)-FIND(":",Protokoll_4p!F66))),0,1))</f>
        <v/>
      </c>
      <c r="J60" s="1" t="str">
        <f>IF(Protokoll_4p!G66="","",IF(VALUE(LEFT(Protokoll_4p!G66,FIND(":",Protokoll_4p!G66)-1))&gt;VALUE(RIGHT(Protokoll_4p!G66,LEN(Protokoll_4p!G66)-FIND(":",Protokoll_4p!G66))),0,1))</f>
        <v/>
      </c>
      <c r="K60" s="1" t="str">
        <f>IF(Protokoll_4p!H66="","",IF(VALUE(LEFT(Protokoll_4p!H66,FIND(":",Protokoll_4p!H66)-1))&gt;VALUE(RIGHT(Protokoll_4p!H66,LEN(Protokoll_4p!H66)-FIND(":",Protokoll_4p!H66))),0,1))</f>
        <v/>
      </c>
      <c r="L60" s="1" t="str">
        <f>IF(Protokoll_4p!I66="","",IF(VALUE(LEFT(Protokoll_4p!I66,FIND(":",Protokoll_4p!I66)-1))&gt;VALUE(RIGHT(Protokoll_4p!I66,LEN(Protokoll_4p!I66)-FIND(":",Protokoll_4p!I66))),0,1))</f>
        <v/>
      </c>
      <c r="M60" s="1" t="str">
        <f>IF(Protokoll_4p!J66="","",IF(VALUE(LEFT(Protokoll_4p!J66,FIND(":",Protokoll_4p!J66)-1))&gt;VALUE(RIGHT(Protokoll_4p!J66,LEN(Protokoll_4p!J66)-FIND(":",Protokoll_4p!J66))),0,1))</f>
        <v/>
      </c>
      <c r="N60" s="1" t="str">
        <f t="shared" si="1"/>
        <v/>
      </c>
    </row>
    <row r="61" spans="2:14">
      <c r="B61" s="1" t="e">
        <f>IF(Protokoll_4p!F67="","",IF(VALUE(LEFT(Protokoll_4p!F67,FIND(":",Protokoll_4p!F67)-1))&gt;VALUE(RIGHT(Protokoll_4p!F67,LEN(Protokoll_4p!F67)-FIND(":",Protokoll_4p!F67))),1,0))</f>
        <v>#VALUE!</v>
      </c>
      <c r="C61" s="1" t="e">
        <f>IF(Protokoll_4p!G67="","",IF(VALUE(LEFT(Protokoll_4p!G67,FIND(":",Protokoll_4p!G67)-1))&gt;VALUE(RIGHT(Protokoll_4p!G67,LEN(Protokoll_4p!G67)-FIND(":",Protokoll_4p!G67))),1,0))</f>
        <v>#VALUE!</v>
      </c>
      <c r="D61" s="1" t="e">
        <f>IF(Protokoll_4p!H67="","",IF(VALUE(LEFT(Protokoll_4p!H67,FIND(":",Protokoll_4p!H67)-1))&gt;VALUE(RIGHT(Protokoll_4p!H67,LEN(Protokoll_4p!H67)-FIND(":",Protokoll_4p!H67))),1,0))</f>
        <v>#VALUE!</v>
      </c>
      <c r="E61" s="1" t="e">
        <f>IF(Protokoll_4p!I67="","",IF(VALUE(LEFT(Protokoll_4p!I67,FIND(":",Protokoll_4p!I67)-1))&gt;VALUE(RIGHT(Protokoll_4p!I67,LEN(Protokoll_4p!I67)-FIND(":",Protokoll_4p!I67))),1,0))</f>
        <v>#VALUE!</v>
      </c>
      <c r="F61" s="1" t="e">
        <f>IF(Protokoll_4p!J67="","",IF(VALUE(LEFT(Protokoll_4p!J67,FIND(":",Protokoll_4p!J67)-1))&gt;VALUE(RIGHT(Protokoll_4p!J67,LEN(Protokoll_4p!J67)-FIND(":",Protokoll_4p!J67))),1,0))</f>
        <v>#VALUE!</v>
      </c>
      <c r="G61" s="1" t="e">
        <f t="shared" si="0"/>
        <v>#VALUE!</v>
      </c>
      <c r="I61" s="1" t="e">
        <f>IF(Protokoll_4p!F67="","",IF(VALUE(LEFT(Protokoll_4p!F67,FIND(":",Protokoll_4p!F67)-1))&gt;VALUE(RIGHT(Protokoll_4p!F67,LEN(Protokoll_4p!F67)-FIND(":",Protokoll_4p!F67))),0,1))</f>
        <v>#VALUE!</v>
      </c>
      <c r="J61" s="1" t="e">
        <f>IF(Protokoll_4p!G67="","",IF(VALUE(LEFT(Protokoll_4p!G67,FIND(":",Protokoll_4p!G67)-1))&gt;VALUE(RIGHT(Protokoll_4p!G67,LEN(Protokoll_4p!G67)-FIND(":",Protokoll_4p!G67))),0,1))</f>
        <v>#VALUE!</v>
      </c>
      <c r="K61" s="1" t="e">
        <f>IF(Protokoll_4p!H67="","",IF(VALUE(LEFT(Protokoll_4p!H67,FIND(":",Protokoll_4p!H67)-1))&gt;VALUE(RIGHT(Protokoll_4p!H67,LEN(Protokoll_4p!H67)-FIND(":",Protokoll_4p!H67))),0,1))</f>
        <v>#VALUE!</v>
      </c>
      <c r="L61" s="1" t="e">
        <f>IF(Protokoll_4p!I67="","",IF(VALUE(LEFT(Protokoll_4p!I67,FIND(":",Protokoll_4p!I67)-1))&gt;VALUE(RIGHT(Protokoll_4p!I67,LEN(Protokoll_4p!I67)-FIND(":",Protokoll_4p!I67))),0,1))</f>
        <v>#VALUE!</v>
      </c>
      <c r="M61" s="1" t="e">
        <f>IF(Protokoll_4p!J67="","",IF(VALUE(LEFT(Protokoll_4p!J67,FIND(":",Protokoll_4p!J67)-1))&gt;VALUE(RIGHT(Protokoll_4p!J67,LEN(Protokoll_4p!J67)-FIND(":",Protokoll_4p!J67))),0,1))</f>
        <v>#VALUE!</v>
      </c>
      <c r="N61" s="1" t="e">
        <f t="shared" si="1"/>
        <v>#VALUE!</v>
      </c>
    </row>
    <row r="62" spans="2:14">
      <c r="B62" s="1">
        <f>IF(Protokoll_4p!F68="","",IF(VALUE(LEFT(Protokoll_4p!F68,FIND(":",Protokoll_4p!F68)-1))&gt;VALUE(RIGHT(Protokoll_4p!F68,LEN(Protokoll_4p!F68)-FIND(":",Protokoll_4p!F68))),1,0))</f>
        <v>0</v>
      </c>
      <c r="C62" s="1">
        <f>IF(Protokoll_4p!G68="","",IF(VALUE(LEFT(Protokoll_4p!G68,FIND(":",Protokoll_4p!G68)-1))&gt;VALUE(RIGHT(Protokoll_4p!G68,LEN(Protokoll_4p!G68)-FIND(":",Protokoll_4p!G68))),1,0))</f>
        <v>0</v>
      </c>
      <c r="D62" s="1">
        <f>IF(Protokoll_4p!H68="","",IF(VALUE(LEFT(Protokoll_4p!H68,FIND(":",Protokoll_4p!H68)-1))&gt;VALUE(RIGHT(Protokoll_4p!H68,LEN(Protokoll_4p!H68)-FIND(":",Protokoll_4p!H68))),1,0))</f>
        <v>0</v>
      </c>
      <c r="E62" s="1" t="str">
        <f>IF(Protokoll_4p!I68="","",IF(VALUE(LEFT(Protokoll_4p!I68,FIND(":",Protokoll_4p!I68)-1))&gt;VALUE(RIGHT(Protokoll_4p!I68,LEN(Protokoll_4p!I68)-FIND(":",Protokoll_4p!I68))),1,0))</f>
        <v/>
      </c>
      <c r="F62" s="1" t="str">
        <f>IF(Protokoll_4p!J68="","",IF(VALUE(LEFT(Protokoll_4p!J68,FIND(":",Protokoll_4p!J68)-1))&gt;VALUE(RIGHT(Protokoll_4p!J68,LEN(Protokoll_4p!J68)-FIND(":",Protokoll_4p!J68))),1,0))</f>
        <v/>
      </c>
      <c r="G62" s="1">
        <f t="shared" si="0"/>
        <v>0</v>
      </c>
      <c r="I62" s="1">
        <f>IF(Protokoll_4p!F68="","",IF(VALUE(LEFT(Protokoll_4p!F68,FIND(":",Protokoll_4p!F68)-1))&gt;VALUE(RIGHT(Protokoll_4p!F68,LEN(Protokoll_4p!F68)-FIND(":",Protokoll_4p!F68))),0,1))</f>
        <v>1</v>
      </c>
      <c r="J62" s="1">
        <f>IF(Protokoll_4p!G68="","",IF(VALUE(LEFT(Protokoll_4p!G68,FIND(":",Protokoll_4p!G68)-1))&gt;VALUE(RIGHT(Protokoll_4p!G68,LEN(Protokoll_4p!G68)-FIND(":",Protokoll_4p!G68))),0,1))</f>
        <v>1</v>
      </c>
      <c r="K62" s="1">
        <f>IF(Protokoll_4p!H68="","",IF(VALUE(LEFT(Protokoll_4p!H68,FIND(":",Protokoll_4p!H68)-1))&gt;VALUE(RIGHT(Protokoll_4p!H68,LEN(Protokoll_4p!H68)-FIND(":",Protokoll_4p!H68))),0,1))</f>
        <v>1</v>
      </c>
      <c r="L62" s="1" t="str">
        <f>IF(Protokoll_4p!I68="","",IF(VALUE(LEFT(Protokoll_4p!I68,FIND(":",Protokoll_4p!I68)-1))&gt;VALUE(RIGHT(Protokoll_4p!I68,LEN(Protokoll_4p!I68)-FIND(":",Protokoll_4p!I68))),0,1))</f>
        <v/>
      </c>
      <c r="M62" s="1" t="str">
        <f>IF(Protokoll_4p!J68="","",IF(VALUE(LEFT(Protokoll_4p!J68,FIND(":",Protokoll_4p!J68)-1))&gt;VALUE(RIGHT(Protokoll_4p!J68,LEN(Protokoll_4p!J68)-FIND(":",Protokoll_4p!J68))),0,1))</f>
        <v/>
      </c>
      <c r="N62" s="1">
        <f t="shared" si="1"/>
        <v>3</v>
      </c>
    </row>
    <row r="63" spans="2:14">
      <c r="B63" s="1" t="str">
        <f>IF(Protokoll_4p!F69="","",IF(VALUE(LEFT(Protokoll_4p!F69,FIND(":",Protokoll_4p!F69)-1))&gt;VALUE(RIGHT(Protokoll_4p!F69,LEN(Protokoll_4p!F69)-FIND(":",Protokoll_4p!F69))),1,0))</f>
        <v/>
      </c>
      <c r="C63" s="1" t="str">
        <f>IF(Protokoll_4p!G69="","",IF(VALUE(LEFT(Protokoll_4p!G69,FIND(":",Protokoll_4p!G69)-1))&gt;VALUE(RIGHT(Protokoll_4p!G69,LEN(Protokoll_4p!G69)-FIND(":",Protokoll_4p!G69))),1,0))</f>
        <v/>
      </c>
      <c r="D63" s="1" t="str">
        <f>IF(Protokoll_4p!H69="","",IF(VALUE(LEFT(Protokoll_4p!H69,FIND(":",Protokoll_4p!H69)-1))&gt;VALUE(RIGHT(Protokoll_4p!H69,LEN(Protokoll_4p!H69)-FIND(":",Protokoll_4p!H69))),1,0))</f>
        <v/>
      </c>
      <c r="E63" s="1" t="str">
        <f>IF(Protokoll_4p!I69="","",IF(VALUE(LEFT(Protokoll_4p!I69,FIND(":",Protokoll_4p!I69)-1))&gt;VALUE(RIGHT(Protokoll_4p!I69,LEN(Protokoll_4p!I69)-FIND(":",Protokoll_4p!I69))),1,0))</f>
        <v/>
      </c>
      <c r="F63" s="1" t="str">
        <f>IF(Protokoll_4p!J69="","",IF(VALUE(LEFT(Protokoll_4p!J69,FIND(":",Protokoll_4p!J69)-1))&gt;VALUE(RIGHT(Protokoll_4p!J69,LEN(Protokoll_4p!J69)-FIND(":",Protokoll_4p!J69))),1,0))</f>
        <v/>
      </c>
      <c r="G63" s="1" t="str">
        <f t="shared" si="0"/>
        <v/>
      </c>
      <c r="I63" s="1" t="str">
        <f>IF(Protokoll_4p!F69="","",IF(VALUE(LEFT(Protokoll_4p!F69,FIND(":",Protokoll_4p!F69)-1))&gt;VALUE(RIGHT(Protokoll_4p!F69,LEN(Protokoll_4p!F69)-FIND(":",Protokoll_4p!F69))),0,1))</f>
        <v/>
      </c>
      <c r="J63" s="1" t="str">
        <f>IF(Protokoll_4p!G69="","",IF(VALUE(LEFT(Protokoll_4p!G69,FIND(":",Protokoll_4p!G69)-1))&gt;VALUE(RIGHT(Protokoll_4p!G69,LEN(Protokoll_4p!G69)-FIND(":",Protokoll_4p!G69))),0,1))</f>
        <v/>
      </c>
      <c r="K63" s="1" t="str">
        <f>IF(Protokoll_4p!H69="","",IF(VALUE(LEFT(Protokoll_4p!H69,FIND(":",Protokoll_4p!H69)-1))&gt;VALUE(RIGHT(Protokoll_4p!H69,LEN(Protokoll_4p!H69)-FIND(":",Protokoll_4p!H69))),0,1))</f>
        <v/>
      </c>
      <c r="L63" s="1" t="str">
        <f>IF(Protokoll_4p!I69="","",IF(VALUE(LEFT(Protokoll_4p!I69,FIND(":",Protokoll_4p!I69)-1))&gt;VALUE(RIGHT(Protokoll_4p!I69,LEN(Protokoll_4p!I69)-FIND(":",Protokoll_4p!I69))),0,1))</f>
        <v/>
      </c>
      <c r="M63" s="1" t="str">
        <f>IF(Protokoll_4p!J69="","",IF(VALUE(LEFT(Protokoll_4p!J69,FIND(":",Protokoll_4p!J69)-1))&gt;VALUE(RIGHT(Protokoll_4p!J69,LEN(Protokoll_4p!J69)-FIND(":",Protokoll_4p!J69))),0,1))</f>
        <v/>
      </c>
      <c r="N63" s="1" t="str">
        <f t="shared" si="1"/>
        <v/>
      </c>
    </row>
    <row r="64" spans="2:14">
      <c r="B64" s="1">
        <f>IF(Protokoll_4p!F70="","",IF(VALUE(LEFT(Protokoll_4p!F70,FIND(":",Protokoll_4p!F70)-1))&gt;VALUE(RIGHT(Protokoll_4p!F70,LEN(Protokoll_4p!F70)-FIND(":",Protokoll_4p!F70))),1,0))</f>
        <v>0</v>
      </c>
      <c r="C64" s="1">
        <f>IF(Protokoll_4p!G70="","",IF(VALUE(LEFT(Protokoll_4p!G70,FIND(":",Protokoll_4p!G70)-1))&gt;VALUE(RIGHT(Protokoll_4p!G70,LEN(Protokoll_4p!G70)-FIND(":",Protokoll_4p!G70))),1,0))</f>
        <v>0</v>
      </c>
      <c r="D64" s="1">
        <f>IF(Protokoll_4p!H70="","",IF(VALUE(LEFT(Protokoll_4p!H70,FIND(":",Protokoll_4p!H70)-1))&gt;VALUE(RIGHT(Protokoll_4p!H70,LEN(Protokoll_4p!H70)-FIND(":",Protokoll_4p!H70))),1,0))</f>
        <v>0</v>
      </c>
      <c r="E64" s="1" t="str">
        <f>IF(Protokoll_4p!I70="","",IF(VALUE(LEFT(Protokoll_4p!I70,FIND(":",Protokoll_4p!I70)-1))&gt;VALUE(RIGHT(Protokoll_4p!I70,LEN(Protokoll_4p!I70)-FIND(":",Protokoll_4p!I70))),1,0))</f>
        <v/>
      </c>
      <c r="F64" s="1" t="str">
        <f>IF(Protokoll_4p!J70="","",IF(VALUE(LEFT(Protokoll_4p!J70,FIND(":",Protokoll_4p!J70)-1))&gt;VALUE(RIGHT(Protokoll_4p!J70,LEN(Protokoll_4p!J70)-FIND(":",Protokoll_4p!J70))),1,0))</f>
        <v/>
      </c>
      <c r="G64" s="1">
        <f t="shared" si="0"/>
        <v>0</v>
      </c>
      <c r="I64" s="1">
        <f>IF(Protokoll_4p!F70="","",IF(VALUE(LEFT(Protokoll_4p!F70,FIND(":",Protokoll_4p!F70)-1))&gt;VALUE(RIGHT(Protokoll_4p!F70,LEN(Protokoll_4p!F70)-FIND(":",Protokoll_4p!F70))),0,1))</f>
        <v>1</v>
      </c>
      <c r="J64" s="1">
        <f>IF(Protokoll_4p!G70="","",IF(VALUE(LEFT(Protokoll_4p!G70,FIND(":",Protokoll_4p!G70)-1))&gt;VALUE(RIGHT(Protokoll_4p!G70,LEN(Protokoll_4p!G70)-FIND(":",Protokoll_4p!G70))),0,1))</f>
        <v>1</v>
      </c>
      <c r="K64" s="1">
        <f>IF(Protokoll_4p!H70="","",IF(VALUE(LEFT(Protokoll_4p!H70,FIND(":",Protokoll_4p!H70)-1))&gt;VALUE(RIGHT(Protokoll_4p!H70,LEN(Protokoll_4p!H70)-FIND(":",Protokoll_4p!H70))),0,1))</f>
        <v>1</v>
      </c>
      <c r="L64" s="1" t="str">
        <f>IF(Protokoll_4p!I70="","",IF(VALUE(LEFT(Protokoll_4p!I70,FIND(":",Protokoll_4p!I70)-1))&gt;VALUE(RIGHT(Protokoll_4p!I70,LEN(Protokoll_4p!I70)-FIND(":",Protokoll_4p!I70))),0,1))</f>
        <v/>
      </c>
      <c r="M64" s="1" t="str">
        <f>IF(Protokoll_4p!J70="","",IF(VALUE(LEFT(Protokoll_4p!J70,FIND(":",Protokoll_4p!J70)-1))&gt;VALUE(RIGHT(Protokoll_4p!J70,LEN(Protokoll_4p!J70)-FIND(":",Protokoll_4p!J70))),0,1))</f>
        <v/>
      </c>
      <c r="N64" s="1">
        <f t="shared" si="1"/>
        <v>3</v>
      </c>
    </row>
    <row r="65" spans="2:14">
      <c r="B65" s="1">
        <f>IF(Protokoll_4p!F71="","",IF(VALUE(LEFT(Protokoll_4p!F71,FIND(":",Protokoll_4p!F71)-1))&gt;VALUE(RIGHT(Protokoll_4p!F71,LEN(Protokoll_4p!F71)-FIND(":",Protokoll_4p!F71))),1,0))</f>
        <v>0</v>
      </c>
      <c r="C65" s="1">
        <f>IF(Protokoll_4p!G71="","",IF(VALUE(LEFT(Protokoll_4p!G71,FIND(":",Protokoll_4p!G71)-1))&gt;VALUE(RIGHT(Protokoll_4p!G71,LEN(Protokoll_4p!G71)-FIND(":",Protokoll_4p!G71))),1,0))</f>
        <v>0</v>
      </c>
      <c r="D65" s="1">
        <f>IF(Protokoll_4p!H71="","",IF(VALUE(LEFT(Protokoll_4p!H71,FIND(":",Protokoll_4p!H71)-1))&gt;VALUE(RIGHT(Protokoll_4p!H71,LEN(Protokoll_4p!H71)-FIND(":",Protokoll_4p!H71))),1,0))</f>
        <v>0</v>
      </c>
      <c r="E65" s="1" t="str">
        <f>IF(Protokoll_4p!I71="","",IF(VALUE(LEFT(Protokoll_4p!I71,FIND(":",Protokoll_4p!I71)-1))&gt;VALUE(RIGHT(Protokoll_4p!I71,LEN(Protokoll_4p!I71)-FIND(":",Protokoll_4p!I71))),1,0))</f>
        <v/>
      </c>
      <c r="F65" s="1" t="str">
        <f>IF(Protokoll_4p!J71="","",IF(VALUE(LEFT(Protokoll_4p!J71,FIND(":",Protokoll_4p!J71)-1))&gt;VALUE(RIGHT(Protokoll_4p!J71,LEN(Protokoll_4p!J71)-FIND(":",Protokoll_4p!J71))),1,0))</f>
        <v/>
      </c>
      <c r="G65" s="1">
        <f t="shared" si="0"/>
        <v>0</v>
      </c>
      <c r="I65" s="1">
        <f>IF(Protokoll_4p!F71="","",IF(VALUE(LEFT(Protokoll_4p!F71,FIND(":",Protokoll_4p!F71)-1))&gt;VALUE(RIGHT(Protokoll_4p!F71,LEN(Protokoll_4p!F71)-FIND(":",Protokoll_4p!F71))),0,1))</f>
        <v>1</v>
      </c>
      <c r="J65" s="1">
        <f>IF(Protokoll_4p!G71="","",IF(VALUE(LEFT(Protokoll_4p!G71,FIND(":",Protokoll_4p!G71)-1))&gt;VALUE(RIGHT(Protokoll_4p!G71,LEN(Protokoll_4p!G71)-FIND(":",Protokoll_4p!G71))),0,1))</f>
        <v>1</v>
      </c>
      <c r="K65" s="1">
        <f>IF(Protokoll_4p!H71="","",IF(VALUE(LEFT(Protokoll_4p!H71,FIND(":",Protokoll_4p!H71)-1))&gt;VALUE(RIGHT(Protokoll_4p!H71,LEN(Protokoll_4p!H71)-FIND(":",Protokoll_4p!H71))),0,1))</f>
        <v>1</v>
      </c>
      <c r="L65" s="1" t="str">
        <f>IF(Protokoll_4p!I71="","",IF(VALUE(LEFT(Protokoll_4p!I71,FIND(":",Protokoll_4p!I71)-1))&gt;VALUE(RIGHT(Protokoll_4p!I71,LEN(Protokoll_4p!I71)-FIND(":",Protokoll_4p!I71))),0,1))</f>
        <v/>
      </c>
      <c r="M65" s="1" t="str">
        <f>IF(Protokoll_4p!J71="","",IF(VALUE(LEFT(Protokoll_4p!J71,FIND(":",Protokoll_4p!J71)-1))&gt;VALUE(RIGHT(Protokoll_4p!J71,LEN(Protokoll_4p!J71)-FIND(":",Protokoll_4p!J71))),0,1))</f>
        <v/>
      </c>
      <c r="N65" s="1">
        <f t="shared" si="1"/>
        <v>3</v>
      </c>
    </row>
    <row r="66" spans="2:14">
      <c r="B66" s="1" t="str">
        <f>IF(Protokoll_4p!F72="","",IF(VALUE(LEFT(Protokoll_4p!F72,FIND(":",Protokoll_4p!F72)-1))&gt;VALUE(RIGHT(Protokoll_4p!F72,LEN(Protokoll_4p!F72)-FIND(":",Protokoll_4p!F72))),1,0))</f>
        <v/>
      </c>
      <c r="C66" s="1" t="str">
        <f>IF(Protokoll_4p!G72="","",IF(VALUE(LEFT(Protokoll_4p!G72,FIND(":",Protokoll_4p!G72)-1))&gt;VALUE(RIGHT(Protokoll_4p!G72,LEN(Protokoll_4p!G72)-FIND(":",Protokoll_4p!G72))),1,0))</f>
        <v/>
      </c>
      <c r="D66" s="1" t="str">
        <f>IF(Protokoll_4p!H72="","",IF(VALUE(LEFT(Protokoll_4p!H72,FIND(":",Protokoll_4p!H72)-1))&gt;VALUE(RIGHT(Protokoll_4p!H72,LEN(Protokoll_4p!H72)-FIND(":",Protokoll_4p!H72))),1,0))</f>
        <v/>
      </c>
      <c r="E66" s="1" t="str">
        <f>IF(Protokoll_4p!I72="","",IF(VALUE(LEFT(Protokoll_4p!I72,FIND(":",Protokoll_4p!I72)-1))&gt;VALUE(RIGHT(Protokoll_4p!I72,LEN(Protokoll_4p!I72)-FIND(":",Protokoll_4p!I72))),1,0))</f>
        <v/>
      </c>
      <c r="F66" s="1" t="str">
        <f>IF(Protokoll_4p!J72="","",IF(VALUE(LEFT(Protokoll_4p!J72,FIND(":",Protokoll_4p!J72)-1))&gt;VALUE(RIGHT(Protokoll_4p!J72,LEN(Protokoll_4p!J72)-FIND(":",Protokoll_4p!J72))),1,0))</f>
        <v/>
      </c>
      <c r="G66" s="1" t="str">
        <f t="shared" si="0"/>
        <v/>
      </c>
      <c r="I66" s="1" t="str">
        <f>IF(Protokoll_4p!F72="","",IF(VALUE(LEFT(Protokoll_4p!F72,FIND(":",Protokoll_4p!F72)-1))&gt;VALUE(RIGHT(Protokoll_4p!F72,LEN(Protokoll_4p!F72)-FIND(":",Protokoll_4p!F72))),0,1))</f>
        <v/>
      </c>
      <c r="J66" s="1" t="str">
        <f>IF(Protokoll_4p!G72="","",IF(VALUE(LEFT(Protokoll_4p!G72,FIND(":",Protokoll_4p!G72)-1))&gt;VALUE(RIGHT(Protokoll_4p!G72,LEN(Protokoll_4p!G72)-FIND(":",Protokoll_4p!G72))),0,1))</f>
        <v/>
      </c>
      <c r="K66" s="1" t="str">
        <f>IF(Protokoll_4p!H72="","",IF(VALUE(LEFT(Protokoll_4p!H72,FIND(":",Protokoll_4p!H72)-1))&gt;VALUE(RIGHT(Protokoll_4p!H72,LEN(Protokoll_4p!H72)-FIND(":",Protokoll_4p!H72))),0,1))</f>
        <v/>
      </c>
      <c r="L66" s="1" t="str">
        <f>IF(Protokoll_4p!I72="","",IF(VALUE(LEFT(Protokoll_4p!I72,FIND(":",Protokoll_4p!I72)-1))&gt;VALUE(RIGHT(Protokoll_4p!I72,LEN(Protokoll_4p!I72)-FIND(":",Protokoll_4p!I72))),0,1))</f>
        <v/>
      </c>
      <c r="M66" s="1" t="str">
        <f>IF(Protokoll_4p!J72="","",IF(VALUE(LEFT(Protokoll_4p!J72,FIND(":",Protokoll_4p!J72)-1))&gt;VALUE(RIGHT(Protokoll_4p!J72,LEN(Protokoll_4p!J72)-FIND(":",Protokoll_4p!J72))),0,1))</f>
        <v/>
      </c>
      <c r="N66" s="1" t="str">
        <f t="shared" si="1"/>
        <v/>
      </c>
    </row>
    <row r="67" spans="2:14">
      <c r="B67" s="1" t="str">
        <f>IF(Protokoll_4p!F73="","",IF(VALUE(LEFT(Protokoll_4p!F73,FIND(":",Protokoll_4p!F73)-1))&gt;VALUE(RIGHT(Protokoll_4p!F73,LEN(Protokoll_4p!F73)-FIND(":",Protokoll_4p!F73))),1,0))</f>
        <v/>
      </c>
      <c r="C67" s="1" t="str">
        <f>IF(Protokoll_4p!G73="","",IF(VALUE(LEFT(Protokoll_4p!G73,FIND(":",Protokoll_4p!G73)-1))&gt;VALUE(RIGHT(Protokoll_4p!G73,LEN(Protokoll_4p!G73)-FIND(":",Protokoll_4p!G73))),1,0))</f>
        <v/>
      </c>
      <c r="D67" s="1" t="str">
        <f>IF(Protokoll_4p!H73="","",IF(VALUE(LEFT(Protokoll_4p!H73,FIND(":",Protokoll_4p!H73)-1))&gt;VALUE(RIGHT(Protokoll_4p!H73,LEN(Protokoll_4p!H73)-FIND(":",Protokoll_4p!H73))),1,0))</f>
        <v/>
      </c>
      <c r="E67" s="1" t="str">
        <f>IF(Protokoll_4p!I73="","",IF(VALUE(LEFT(Protokoll_4p!I73,FIND(":",Protokoll_4p!I73)-1))&gt;VALUE(RIGHT(Protokoll_4p!I73,LEN(Protokoll_4p!I73)-FIND(":",Protokoll_4p!I73))),1,0))</f>
        <v/>
      </c>
      <c r="F67" s="1" t="str">
        <f>IF(Protokoll_4p!J73="","",IF(VALUE(LEFT(Protokoll_4p!J73,FIND(":",Protokoll_4p!J73)-1))&gt;VALUE(RIGHT(Protokoll_4p!J73,LEN(Protokoll_4p!J73)-FIND(":",Protokoll_4p!J73))),1,0))</f>
        <v/>
      </c>
      <c r="G67" s="1" t="str">
        <f t="shared" ref="G67:G130" si="2">IF(B67="","",SUM(B67:F67))</f>
        <v/>
      </c>
      <c r="I67" s="1" t="str">
        <f>IF(Protokoll_4p!F73="","",IF(VALUE(LEFT(Protokoll_4p!F73,FIND(":",Protokoll_4p!F73)-1))&gt;VALUE(RIGHT(Protokoll_4p!F73,LEN(Protokoll_4p!F73)-FIND(":",Protokoll_4p!F73))),0,1))</f>
        <v/>
      </c>
      <c r="J67" s="1" t="str">
        <f>IF(Protokoll_4p!G73="","",IF(VALUE(LEFT(Protokoll_4p!G73,FIND(":",Protokoll_4p!G73)-1))&gt;VALUE(RIGHT(Protokoll_4p!G73,LEN(Protokoll_4p!G73)-FIND(":",Protokoll_4p!G73))),0,1))</f>
        <v/>
      </c>
      <c r="K67" s="1" t="str">
        <f>IF(Protokoll_4p!H73="","",IF(VALUE(LEFT(Protokoll_4p!H73,FIND(":",Protokoll_4p!H73)-1))&gt;VALUE(RIGHT(Protokoll_4p!H73,LEN(Protokoll_4p!H73)-FIND(":",Protokoll_4p!H73))),0,1))</f>
        <v/>
      </c>
      <c r="L67" s="1" t="str">
        <f>IF(Protokoll_4p!I73="","",IF(VALUE(LEFT(Protokoll_4p!I73,FIND(":",Protokoll_4p!I73)-1))&gt;VALUE(RIGHT(Protokoll_4p!I73,LEN(Protokoll_4p!I73)-FIND(":",Protokoll_4p!I73))),0,1))</f>
        <v/>
      </c>
      <c r="M67" s="1" t="str">
        <f>IF(Protokoll_4p!J73="","",IF(VALUE(LEFT(Protokoll_4p!J73,FIND(":",Protokoll_4p!J73)-1))&gt;VALUE(RIGHT(Protokoll_4p!J73,LEN(Protokoll_4p!J73)-FIND(":",Protokoll_4p!J73))),0,1))</f>
        <v/>
      </c>
      <c r="N67" s="1" t="str">
        <f t="shared" ref="N67:N130" si="3">IF(I67="","",SUM(I67:M67))</f>
        <v/>
      </c>
    </row>
    <row r="68" spans="2:14">
      <c r="B68" s="1" t="str">
        <f>IF(Protokoll_4p!F74="","",IF(VALUE(LEFT(Protokoll_4p!F74,FIND(":",Protokoll_4p!F74)-1))&gt;VALUE(RIGHT(Protokoll_4p!F74,LEN(Protokoll_4p!F74)-FIND(":",Protokoll_4p!F74))),1,0))</f>
        <v/>
      </c>
      <c r="C68" s="1" t="str">
        <f>IF(Protokoll_4p!G74="","",IF(VALUE(LEFT(Protokoll_4p!G74,FIND(":",Protokoll_4p!G74)-1))&gt;VALUE(RIGHT(Protokoll_4p!G74,LEN(Protokoll_4p!G74)-FIND(":",Protokoll_4p!G74))),1,0))</f>
        <v/>
      </c>
      <c r="D68" s="1" t="str">
        <f>IF(Protokoll_4p!H74="","",IF(VALUE(LEFT(Protokoll_4p!H74,FIND(":",Protokoll_4p!H74)-1))&gt;VALUE(RIGHT(Protokoll_4p!H74,LEN(Protokoll_4p!H74)-FIND(":",Protokoll_4p!H74))),1,0))</f>
        <v/>
      </c>
      <c r="E68" s="1" t="str">
        <f>IF(Protokoll_4p!I74="","",IF(VALUE(LEFT(Protokoll_4p!I74,FIND(":",Protokoll_4p!I74)-1))&gt;VALUE(RIGHT(Protokoll_4p!I74,LEN(Protokoll_4p!I74)-FIND(":",Protokoll_4p!I74))),1,0))</f>
        <v/>
      </c>
      <c r="F68" s="1" t="str">
        <f>IF(Protokoll_4p!J74="","",IF(VALUE(LEFT(Protokoll_4p!J74,FIND(":",Protokoll_4p!J74)-1))&gt;VALUE(RIGHT(Protokoll_4p!J74,LEN(Protokoll_4p!J74)-FIND(":",Protokoll_4p!J74))),1,0))</f>
        <v/>
      </c>
      <c r="G68" s="1" t="str">
        <f t="shared" si="2"/>
        <v/>
      </c>
      <c r="I68" s="1" t="str">
        <f>IF(Protokoll_4p!F74="","",IF(VALUE(LEFT(Protokoll_4p!F74,FIND(":",Protokoll_4p!F74)-1))&gt;VALUE(RIGHT(Protokoll_4p!F74,LEN(Protokoll_4p!F74)-FIND(":",Protokoll_4p!F74))),0,1))</f>
        <v/>
      </c>
      <c r="J68" s="1" t="str">
        <f>IF(Protokoll_4p!G74="","",IF(VALUE(LEFT(Protokoll_4p!G74,FIND(":",Protokoll_4p!G74)-1))&gt;VALUE(RIGHT(Protokoll_4p!G74,LEN(Protokoll_4p!G74)-FIND(":",Protokoll_4p!G74))),0,1))</f>
        <v/>
      </c>
      <c r="K68" s="1" t="str">
        <f>IF(Protokoll_4p!H74="","",IF(VALUE(LEFT(Protokoll_4p!H74,FIND(":",Protokoll_4p!H74)-1))&gt;VALUE(RIGHT(Protokoll_4p!H74,LEN(Protokoll_4p!H74)-FIND(":",Protokoll_4p!H74))),0,1))</f>
        <v/>
      </c>
      <c r="L68" s="1" t="str">
        <f>IF(Protokoll_4p!I74="","",IF(VALUE(LEFT(Protokoll_4p!I74,FIND(":",Protokoll_4p!I74)-1))&gt;VALUE(RIGHT(Protokoll_4p!I74,LEN(Protokoll_4p!I74)-FIND(":",Protokoll_4p!I74))),0,1))</f>
        <v/>
      </c>
      <c r="M68" s="1" t="str">
        <f>IF(Protokoll_4p!J74="","",IF(VALUE(LEFT(Protokoll_4p!J74,FIND(":",Protokoll_4p!J74)-1))&gt;VALUE(RIGHT(Protokoll_4p!J74,LEN(Protokoll_4p!J74)-FIND(":",Protokoll_4p!J74))),0,1))</f>
        <v/>
      </c>
      <c r="N68" s="1" t="str">
        <f t="shared" si="3"/>
        <v/>
      </c>
    </row>
    <row r="69" spans="2:14">
      <c r="B69" s="1" t="str">
        <f>IF(Protokoll_4p!F75="","",IF(VALUE(LEFT(Protokoll_4p!F75,FIND(":",Protokoll_4p!F75)-1))&gt;VALUE(RIGHT(Protokoll_4p!F75,LEN(Protokoll_4p!F75)-FIND(":",Protokoll_4p!F75))),1,0))</f>
        <v/>
      </c>
      <c r="C69" s="1" t="str">
        <f>IF(Protokoll_4p!G75="","",IF(VALUE(LEFT(Protokoll_4p!G75,FIND(":",Protokoll_4p!G75)-1))&gt;VALUE(RIGHT(Protokoll_4p!G75,LEN(Protokoll_4p!G75)-FIND(":",Protokoll_4p!G75))),1,0))</f>
        <v/>
      </c>
      <c r="D69" s="1" t="str">
        <f>IF(Protokoll_4p!H75="","",IF(VALUE(LEFT(Protokoll_4p!H75,FIND(":",Protokoll_4p!H75)-1))&gt;VALUE(RIGHT(Protokoll_4p!H75,LEN(Protokoll_4p!H75)-FIND(":",Protokoll_4p!H75))),1,0))</f>
        <v/>
      </c>
      <c r="E69" s="1" t="str">
        <f>IF(Protokoll_4p!I75="","",IF(VALUE(LEFT(Protokoll_4p!I75,FIND(":",Protokoll_4p!I75)-1))&gt;VALUE(RIGHT(Protokoll_4p!I75,LEN(Protokoll_4p!I75)-FIND(":",Protokoll_4p!I75))),1,0))</f>
        <v/>
      </c>
      <c r="F69" s="1" t="str">
        <f>IF(Protokoll_4p!J75="","",IF(VALUE(LEFT(Protokoll_4p!J75,FIND(":",Protokoll_4p!J75)-1))&gt;VALUE(RIGHT(Protokoll_4p!J75,LEN(Protokoll_4p!J75)-FIND(":",Protokoll_4p!J75))),1,0))</f>
        <v/>
      </c>
      <c r="G69" s="1" t="str">
        <f t="shared" si="2"/>
        <v/>
      </c>
      <c r="I69" s="1" t="str">
        <f>IF(Protokoll_4p!F75="","",IF(VALUE(LEFT(Protokoll_4p!F75,FIND(":",Protokoll_4p!F75)-1))&gt;VALUE(RIGHT(Protokoll_4p!F75,LEN(Protokoll_4p!F75)-FIND(":",Protokoll_4p!F75))),0,1))</f>
        <v/>
      </c>
      <c r="J69" s="1" t="str">
        <f>IF(Protokoll_4p!G75="","",IF(VALUE(LEFT(Protokoll_4p!G75,FIND(":",Protokoll_4p!G75)-1))&gt;VALUE(RIGHT(Protokoll_4p!G75,LEN(Protokoll_4p!G75)-FIND(":",Protokoll_4p!G75))),0,1))</f>
        <v/>
      </c>
      <c r="K69" s="1" t="str">
        <f>IF(Protokoll_4p!H75="","",IF(VALUE(LEFT(Protokoll_4p!H75,FIND(":",Protokoll_4p!H75)-1))&gt;VALUE(RIGHT(Protokoll_4p!H75,LEN(Protokoll_4p!H75)-FIND(":",Protokoll_4p!H75))),0,1))</f>
        <v/>
      </c>
      <c r="L69" s="1" t="str">
        <f>IF(Protokoll_4p!I75="","",IF(VALUE(LEFT(Protokoll_4p!I75,FIND(":",Protokoll_4p!I75)-1))&gt;VALUE(RIGHT(Protokoll_4p!I75,LEN(Protokoll_4p!I75)-FIND(":",Protokoll_4p!I75))),0,1))</f>
        <v/>
      </c>
      <c r="M69" s="1" t="str">
        <f>IF(Protokoll_4p!J75="","",IF(VALUE(LEFT(Protokoll_4p!J75,FIND(":",Protokoll_4p!J75)-1))&gt;VALUE(RIGHT(Protokoll_4p!J75,LEN(Protokoll_4p!J75)-FIND(":",Protokoll_4p!J75))),0,1))</f>
        <v/>
      </c>
      <c r="N69" s="1" t="str">
        <f t="shared" si="3"/>
        <v/>
      </c>
    </row>
    <row r="70" spans="2:14">
      <c r="B70" s="1" t="str">
        <f>IF(Protokoll_4p!F76="","",IF(VALUE(LEFT(Protokoll_4p!F76,FIND(":",Protokoll_4p!F76)-1))&gt;VALUE(RIGHT(Protokoll_4p!F76,LEN(Protokoll_4p!F76)-FIND(":",Protokoll_4p!F76))),1,0))</f>
        <v/>
      </c>
      <c r="C70" s="1" t="str">
        <f>IF(Protokoll_4p!G76="","",IF(VALUE(LEFT(Protokoll_4p!G76,FIND(":",Protokoll_4p!G76)-1))&gt;VALUE(RIGHT(Protokoll_4p!G76,LEN(Protokoll_4p!G76)-FIND(":",Protokoll_4p!G76))),1,0))</f>
        <v/>
      </c>
      <c r="D70" s="1" t="str">
        <f>IF(Protokoll_4p!H76="","",IF(VALUE(LEFT(Protokoll_4p!H76,FIND(":",Protokoll_4p!H76)-1))&gt;VALUE(RIGHT(Protokoll_4p!H76,LEN(Protokoll_4p!H76)-FIND(":",Protokoll_4p!H76))),1,0))</f>
        <v/>
      </c>
      <c r="E70" s="1" t="str">
        <f>IF(Protokoll_4p!I76="","",IF(VALUE(LEFT(Protokoll_4p!I76,FIND(":",Protokoll_4p!I76)-1))&gt;VALUE(RIGHT(Protokoll_4p!I76,LEN(Protokoll_4p!I76)-FIND(":",Protokoll_4p!I76))),1,0))</f>
        <v/>
      </c>
      <c r="F70" s="1" t="str">
        <f>IF(Protokoll_4p!J76="","",IF(VALUE(LEFT(Protokoll_4p!J76,FIND(":",Protokoll_4p!J76)-1))&gt;VALUE(RIGHT(Protokoll_4p!J76,LEN(Protokoll_4p!J76)-FIND(":",Protokoll_4p!J76))),1,0))</f>
        <v/>
      </c>
      <c r="G70" s="1" t="str">
        <f t="shared" si="2"/>
        <v/>
      </c>
      <c r="I70" s="1" t="str">
        <f>IF(Protokoll_4p!F76="","",IF(VALUE(LEFT(Protokoll_4p!F76,FIND(":",Protokoll_4p!F76)-1))&gt;VALUE(RIGHT(Protokoll_4p!F76,LEN(Protokoll_4p!F76)-FIND(":",Protokoll_4p!F76))),0,1))</f>
        <v/>
      </c>
      <c r="J70" s="1" t="str">
        <f>IF(Protokoll_4p!G76="","",IF(VALUE(LEFT(Protokoll_4p!G76,FIND(":",Protokoll_4p!G76)-1))&gt;VALUE(RIGHT(Protokoll_4p!G76,LEN(Protokoll_4p!G76)-FIND(":",Protokoll_4p!G76))),0,1))</f>
        <v/>
      </c>
      <c r="K70" s="1" t="str">
        <f>IF(Protokoll_4p!H76="","",IF(VALUE(LEFT(Protokoll_4p!H76,FIND(":",Protokoll_4p!H76)-1))&gt;VALUE(RIGHT(Protokoll_4p!H76,LEN(Protokoll_4p!H76)-FIND(":",Protokoll_4p!H76))),0,1))</f>
        <v/>
      </c>
      <c r="L70" s="1" t="str">
        <f>IF(Protokoll_4p!I76="","",IF(VALUE(LEFT(Protokoll_4p!I76,FIND(":",Protokoll_4p!I76)-1))&gt;VALUE(RIGHT(Protokoll_4p!I76,LEN(Protokoll_4p!I76)-FIND(":",Protokoll_4p!I76))),0,1))</f>
        <v/>
      </c>
      <c r="M70" s="1" t="str">
        <f>IF(Protokoll_4p!J76="","",IF(VALUE(LEFT(Protokoll_4p!J76,FIND(":",Protokoll_4p!J76)-1))&gt;VALUE(RIGHT(Protokoll_4p!J76,LEN(Protokoll_4p!J76)-FIND(":",Protokoll_4p!J76))),0,1))</f>
        <v/>
      </c>
      <c r="N70" s="1" t="str">
        <f t="shared" si="3"/>
        <v/>
      </c>
    </row>
    <row r="71" spans="2:14">
      <c r="B71" s="1" t="e">
        <f>IF(Protokoll_4p!F77="","",IF(VALUE(LEFT(Protokoll_4p!F77,FIND(":",Protokoll_4p!F77)-1))&gt;VALUE(RIGHT(Protokoll_4p!F77,LEN(Protokoll_4p!F77)-FIND(":",Protokoll_4p!F77))),1,0))</f>
        <v>#VALUE!</v>
      </c>
      <c r="C71" s="1" t="e">
        <f>IF(Protokoll_4p!G77="","",IF(VALUE(LEFT(Protokoll_4p!G77,FIND(":",Protokoll_4p!G77)-1))&gt;VALUE(RIGHT(Protokoll_4p!G77,LEN(Protokoll_4p!G77)-FIND(":",Protokoll_4p!G77))),1,0))</f>
        <v>#VALUE!</v>
      </c>
      <c r="D71" s="1" t="e">
        <f>IF(Protokoll_4p!H77="","",IF(VALUE(LEFT(Protokoll_4p!H77,FIND(":",Protokoll_4p!H77)-1))&gt;VALUE(RIGHT(Protokoll_4p!H77,LEN(Protokoll_4p!H77)-FIND(":",Protokoll_4p!H77))),1,0))</f>
        <v>#VALUE!</v>
      </c>
      <c r="E71" s="1" t="e">
        <f>IF(Protokoll_4p!I77="","",IF(VALUE(LEFT(Protokoll_4p!I77,FIND(":",Protokoll_4p!I77)-1))&gt;VALUE(RIGHT(Protokoll_4p!I77,LEN(Protokoll_4p!I77)-FIND(":",Protokoll_4p!I77))),1,0))</f>
        <v>#VALUE!</v>
      </c>
      <c r="F71" s="1" t="e">
        <f>IF(Protokoll_4p!J77="","",IF(VALUE(LEFT(Protokoll_4p!J77,FIND(":",Protokoll_4p!J77)-1))&gt;VALUE(RIGHT(Protokoll_4p!J77,LEN(Protokoll_4p!J77)-FIND(":",Protokoll_4p!J77))),1,0))</f>
        <v>#VALUE!</v>
      </c>
      <c r="G71" s="1" t="e">
        <f t="shared" si="2"/>
        <v>#VALUE!</v>
      </c>
      <c r="I71" s="1" t="e">
        <f>IF(Protokoll_4p!F77="","",IF(VALUE(LEFT(Protokoll_4p!F77,FIND(":",Protokoll_4p!F77)-1))&gt;VALUE(RIGHT(Protokoll_4p!F77,LEN(Protokoll_4p!F77)-FIND(":",Protokoll_4p!F77))),0,1))</f>
        <v>#VALUE!</v>
      </c>
      <c r="J71" s="1" t="e">
        <f>IF(Protokoll_4p!G77="","",IF(VALUE(LEFT(Protokoll_4p!G77,FIND(":",Protokoll_4p!G77)-1))&gt;VALUE(RIGHT(Protokoll_4p!G77,LEN(Protokoll_4p!G77)-FIND(":",Protokoll_4p!G77))),0,1))</f>
        <v>#VALUE!</v>
      </c>
      <c r="K71" s="1" t="e">
        <f>IF(Protokoll_4p!H77="","",IF(VALUE(LEFT(Protokoll_4p!H77,FIND(":",Protokoll_4p!H77)-1))&gt;VALUE(RIGHT(Protokoll_4p!H77,LEN(Protokoll_4p!H77)-FIND(":",Protokoll_4p!H77))),0,1))</f>
        <v>#VALUE!</v>
      </c>
      <c r="L71" s="1" t="e">
        <f>IF(Protokoll_4p!I77="","",IF(VALUE(LEFT(Protokoll_4p!I77,FIND(":",Protokoll_4p!I77)-1))&gt;VALUE(RIGHT(Protokoll_4p!I77,LEN(Protokoll_4p!I77)-FIND(":",Protokoll_4p!I77))),0,1))</f>
        <v>#VALUE!</v>
      </c>
      <c r="M71" s="1" t="e">
        <f>IF(Protokoll_4p!J77="","",IF(VALUE(LEFT(Protokoll_4p!J77,FIND(":",Protokoll_4p!J77)-1))&gt;VALUE(RIGHT(Protokoll_4p!J77,LEN(Protokoll_4p!J77)-FIND(":",Protokoll_4p!J77))),0,1))</f>
        <v>#VALUE!</v>
      </c>
      <c r="N71" s="1" t="e">
        <f t="shared" si="3"/>
        <v>#VALUE!</v>
      </c>
    </row>
    <row r="72" spans="2:14">
      <c r="B72" s="1">
        <f>IF(Protokoll_4p!F78="","",IF(VALUE(LEFT(Protokoll_4p!F78,FIND(":",Protokoll_4p!F78)-1))&gt;VALUE(RIGHT(Protokoll_4p!F78,LEN(Protokoll_4p!F78)-FIND(":",Protokoll_4p!F78))),1,0))</f>
        <v>0</v>
      </c>
      <c r="C72" s="1">
        <f>IF(Protokoll_4p!G78="","",IF(VALUE(LEFT(Protokoll_4p!G78,FIND(":",Protokoll_4p!G78)-1))&gt;VALUE(RIGHT(Protokoll_4p!G78,LEN(Protokoll_4p!G78)-FIND(":",Protokoll_4p!G78))),1,0))</f>
        <v>1</v>
      </c>
      <c r="D72" s="1">
        <f>IF(Protokoll_4p!H78="","",IF(VALUE(LEFT(Protokoll_4p!H78,FIND(":",Protokoll_4p!H78)-1))&gt;VALUE(RIGHT(Protokoll_4p!H78,LEN(Protokoll_4p!H78)-FIND(":",Protokoll_4p!H78))),1,0))</f>
        <v>0</v>
      </c>
      <c r="E72" s="1">
        <f>IF(Protokoll_4p!I78="","",IF(VALUE(LEFT(Protokoll_4p!I78,FIND(":",Protokoll_4p!I78)-1))&gt;VALUE(RIGHT(Protokoll_4p!I78,LEN(Protokoll_4p!I78)-FIND(":",Protokoll_4p!I78))),1,0))</f>
        <v>1</v>
      </c>
      <c r="F72" s="1">
        <f>IF(Protokoll_4p!J78="","",IF(VALUE(LEFT(Protokoll_4p!J78,FIND(":",Protokoll_4p!J78)-1))&gt;VALUE(RIGHT(Protokoll_4p!J78,LEN(Protokoll_4p!J78)-FIND(":",Protokoll_4p!J78))),1,0))</f>
        <v>1</v>
      </c>
      <c r="G72" s="1">
        <f t="shared" si="2"/>
        <v>3</v>
      </c>
      <c r="I72" s="1">
        <f>IF(Protokoll_4p!F78="","",IF(VALUE(LEFT(Protokoll_4p!F78,FIND(":",Protokoll_4p!F78)-1))&gt;VALUE(RIGHT(Protokoll_4p!F78,LEN(Protokoll_4p!F78)-FIND(":",Protokoll_4p!F78))),0,1))</f>
        <v>1</v>
      </c>
      <c r="J72" s="1">
        <f>IF(Protokoll_4p!G78="","",IF(VALUE(LEFT(Protokoll_4p!G78,FIND(":",Protokoll_4p!G78)-1))&gt;VALUE(RIGHT(Protokoll_4p!G78,LEN(Protokoll_4p!G78)-FIND(":",Protokoll_4p!G78))),0,1))</f>
        <v>0</v>
      </c>
      <c r="K72" s="1">
        <f>IF(Protokoll_4p!H78="","",IF(VALUE(LEFT(Protokoll_4p!H78,FIND(":",Protokoll_4p!H78)-1))&gt;VALUE(RIGHT(Protokoll_4p!H78,LEN(Protokoll_4p!H78)-FIND(":",Protokoll_4p!H78))),0,1))</f>
        <v>1</v>
      </c>
      <c r="L72" s="1">
        <f>IF(Protokoll_4p!I78="","",IF(VALUE(LEFT(Protokoll_4p!I78,FIND(":",Protokoll_4p!I78)-1))&gt;VALUE(RIGHT(Protokoll_4p!I78,LEN(Protokoll_4p!I78)-FIND(":",Protokoll_4p!I78))),0,1))</f>
        <v>0</v>
      </c>
      <c r="M72" s="1">
        <f>IF(Protokoll_4p!J78="","",IF(VALUE(LEFT(Protokoll_4p!J78,FIND(":",Protokoll_4p!J78)-1))&gt;VALUE(RIGHT(Protokoll_4p!J78,LEN(Protokoll_4p!J78)-FIND(":",Protokoll_4p!J78))),0,1))</f>
        <v>0</v>
      </c>
      <c r="N72" s="1">
        <f t="shared" si="3"/>
        <v>2</v>
      </c>
    </row>
    <row r="73" spans="2:14">
      <c r="B73" s="1">
        <f>IF(Protokoll_4p!F79="","",IF(VALUE(LEFT(Protokoll_4p!F79,FIND(":",Protokoll_4p!F79)-1))&gt;VALUE(RIGHT(Protokoll_4p!F79,LEN(Protokoll_4p!F79)-FIND(":",Protokoll_4p!F79))),1,0))</f>
        <v>0</v>
      </c>
      <c r="C73" s="1">
        <f>IF(Protokoll_4p!G79="","",IF(VALUE(LEFT(Protokoll_4p!G79,FIND(":",Protokoll_4p!G79)-1))&gt;VALUE(RIGHT(Protokoll_4p!G79,LEN(Protokoll_4p!G79)-FIND(":",Protokoll_4p!G79))),1,0))</f>
        <v>0</v>
      </c>
      <c r="D73" s="1">
        <f>IF(Protokoll_4p!H79="","",IF(VALUE(LEFT(Protokoll_4p!H79,FIND(":",Protokoll_4p!H79)-1))&gt;VALUE(RIGHT(Protokoll_4p!H79,LEN(Protokoll_4p!H79)-FIND(":",Protokoll_4p!H79))),1,0))</f>
        <v>1</v>
      </c>
      <c r="E73" s="1">
        <f>IF(Protokoll_4p!I79="","",IF(VALUE(LEFT(Protokoll_4p!I79,FIND(":",Protokoll_4p!I79)-1))&gt;VALUE(RIGHT(Protokoll_4p!I79,LEN(Protokoll_4p!I79)-FIND(":",Protokoll_4p!I79))),1,0))</f>
        <v>0</v>
      </c>
      <c r="F73" s="1" t="str">
        <f>IF(Protokoll_4p!J79="","",IF(VALUE(LEFT(Protokoll_4p!J79,FIND(":",Protokoll_4p!J79)-1))&gt;VALUE(RIGHT(Protokoll_4p!J79,LEN(Protokoll_4p!J79)-FIND(":",Protokoll_4p!J79))),1,0))</f>
        <v/>
      </c>
      <c r="G73" s="1">
        <f t="shared" si="2"/>
        <v>1</v>
      </c>
      <c r="I73" s="1">
        <f>IF(Protokoll_4p!F79="","",IF(VALUE(LEFT(Protokoll_4p!F79,FIND(":",Protokoll_4p!F79)-1))&gt;VALUE(RIGHT(Protokoll_4p!F79,LEN(Protokoll_4p!F79)-FIND(":",Protokoll_4p!F79))),0,1))</f>
        <v>1</v>
      </c>
      <c r="J73" s="1">
        <f>IF(Protokoll_4p!G79="","",IF(VALUE(LEFT(Protokoll_4p!G79,FIND(":",Protokoll_4p!G79)-1))&gt;VALUE(RIGHT(Protokoll_4p!G79,LEN(Protokoll_4p!G79)-FIND(":",Protokoll_4p!G79))),0,1))</f>
        <v>1</v>
      </c>
      <c r="K73" s="1">
        <f>IF(Protokoll_4p!H79="","",IF(VALUE(LEFT(Protokoll_4p!H79,FIND(":",Protokoll_4p!H79)-1))&gt;VALUE(RIGHT(Protokoll_4p!H79,LEN(Protokoll_4p!H79)-FIND(":",Protokoll_4p!H79))),0,1))</f>
        <v>0</v>
      </c>
      <c r="L73" s="1">
        <f>IF(Protokoll_4p!I79="","",IF(VALUE(LEFT(Protokoll_4p!I79,FIND(":",Protokoll_4p!I79)-1))&gt;VALUE(RIGHT(Protokoll_4p!I79,LEN(Protokoll_4p!I79)-FIND(":",Protokoll_4p!I79))),0,1))</f>
        <v>1</v>
      </c>
      <c r="M73" s="1" t="str">
        <f>IF(Protokoll_4p!J79="","",IF(VALUE(LEFT(Protokoll_4p!J79,FIND(":",Protokoll_4p!J79)-1))&gt;VALUE(RIGHT(Protokoll_4p!J79,LEN(Protokoll_4p!J79)-FIND(":",Protokoll_4p!J79))),0,1))</f>
        <v/>
      </c>
      <c r="N73" s="1">
        <f t="shared" si="3"/>
        <v>3</v>
      </c>
    </row>
    <row r="74" spans="2:14">
      <c r="B74" s="1">
        <f>IF(Protokoll_4p!F80="","",IF(VALUE(LEFT(Protokoll_4p!F80,FIND(":",Protokoll_4p!F80)-1))&gt;VALUE(RIGHT(Protokoll_4p!F80,LEN(Protokoll_4p!F80)-FIND(":",Protokoll_4p!F80))),1,0))</f>
        <v>1</v>
      </c>
      <c r="C74" s="1">
        <f>IF(Protokoll_4p!G80="","",IF(VALUE(LEFT(Protokoll_4p!G80,FIND(":",Protokoll_4p!G80)-1))&gt;VALUE(RIGHT(Protokoll_4p!G80,LEN(Protokoll_4p!G80)-FIND(":",Protokoll_4p!G80))),1,0))</f>
        <v>1</v>
      </c>
      <c r="D74" s="1">
        <f>IF(Protokoll_4p!H80="","",IF(VALUE(LEFT(Protokoll_4p!H80,FIND(":",Protokoll_4p!H80)-1))&gt;VALUE(RIGHT(Protokoll_4p!H80,LEN(Protokoll_4p!H80)-FIND(":",Protokoll_4p!H80))),1,0))</f>
        <v>1</v>
      </c>
      <c r="E74" s="1" t="str">
        <f>IF(Protokoll_4p!I80="","",IF(VALUE(LEFT(Protokoll_4p!I80,FIND(":",Protokoll_4p!I80)-1))&gt;VALUE(RIGHT(Protokoll_4p!I80,LEN(Protokoll_4p!I80)-FIND(":",Protokoll_4p!I80))),1,0))</f>
        <v/>
      </c>
      <c r="F74" s="1" t="str">
        <f>IF(Protokoll_4p!J80="","",IF(VALUE(LEFT(Protokoll_4p!J80,FIND(":",Protokoll_4p!J80)-1))&gt;VALUE(RIGHT(Protokoll_4p!J80,LEN(Protokoll_4p!J80)-FIND(":",Protokoll_4p!J80))),1,0))</f>
        <v/>
      </c>
      <c r="G74" s="1">
        <f t="shared" si="2"/>
        <v>3</v>
      </c>
      <c r="I74" s="1">
        <f>IF(Protokoll_4p!F80="","",IF(VALUE(LEFT(Protokoll_4p!F80,FIND(":",Protokoll_4p!F80)-1))&gt;VALUE(RIGHT(Protokoll_4p!F80,LEN(Protokoll_4p!F80)-FIND(":",Protokoll_4p!F80))),0,1))</f>
        <v>0</v>
      </c>
      <c r="J74" s="1">
        <f>IF(Protokoll_4p!G80="","",IF(VALUE(LEFT(Protokoll_4p!G80,FIND(":",Protokoll_4p!G80)-1))&gt;VALUE(RIGHT(Protokoll_4p!G80,LEN(Protokoll_4p!G80)-FIND(":",Protokoll_4p!G80))),0,1))</f>
        <v>0</v>
      </c>
      <c r="K74" s="1">
        <f>IF(Protokoll_4p!H80="","",IF(VALUE(LEFT(Protokoll_4p!H80,FIND(":",Protokoll_4p!H80)-1))&gt;VALUE(RIGHT(Protokoll_4p!H80,LEN(Protokoll_4p!H80)-FIND(":",Protokoll_4p!H80))),0,1))</f>
        <v>0</v>
      </c>
      <c r="L74" s="1" t="str">
        <f>IF(Protokoll_4p!I80="","",IF(VALUE(LEFT(Protokoll_4p!I80,FIND(":",Protokoll_4p!I80)-1))&gt;VALUE(RIGHT(Protokoll_4p!I80,LEN(Protokoll_4p!I80)-FIND(":",Protokoll_4p!I80))),0,1))</f>
        <v/>
      </c>
      <c r="M74" s="1" t="str">
        <f>IF(Protokoll_4p!J80="","",IF(VALUE(LEFT(Protokoll_4p!J80,FIND(":",Protokoll_4p!J80)-1))&gt;VALUE(RIGHT(Protokoll_4p!J80,LEN(Protokoll_4p!J80)-FIND(":",Protokoll_4p!J80))),0,1))</f>
        <v/>
      </c>
      <c r="N74" s="1">
        <f t="shared" si="3"/>
        <v>0</v>
      </c>
    </row>
    <row r="75" spans="2:14">
      <c r="B75" s="1">
        <f>IF(Protokoll_4p!F81="","",IF(VALUE(LEFT(Protokoll_4p!F81,FIND(":",Protokoll_4p!F81)-1))&gt;VALUE(RIGHT(Protokoll_4p!F81,LEN(Protokoll_4p!F81)-FIND(":",Protokoll_4p!F81))),1,0))</f>
        <v>0</v>
      </c>
      <c r="C75" s="1">
        <f>IF(Protokoll_4p!G81="","",IF(VALUE(LEFT(Protokoll_4p!G81,FIND(":",Protokoll_4p!G81)-1))&gt;VALUE(RIGHT(Protokoll_4p!G81,LEN(Protokoll_4p!G81)-FIND(":",Protokoll_4p!G81))),1,0))</f>
        <v>0</v>
      </c>
      <c r="D75" s="1">
        <f>IF(Protokoll_4p!H81="","",IF(VALUE(LEFT(Protokoll_4p!H81,FIND(":",Protokoll_4p!H81)-1))&gt;VALUE(RIGHT(Protokoll_4p!H81,LEN(Protokoll_4p!H81)-FIND(":",Protokoll_4p!H81))),1,0))</f>
        <v>1</v>
      </c>
      <c r="E75" s="1">
        <f>IF(Protokoll_4p!I81="","",IF(VALUE(LEFT(Protokoll_4p!I81,FIND(":",Protokoll_4p!I81)-1))&gt;VALUE(RIGHT(Protokoll_4p!I81,LEN(Protokoll_4p!I81)-FIND(":",Protokoll_4p!I81))),1,0))</f>
        <v>1</v>
      </c>
      <c r="F75" s="1">
        <f>IF(Protokoll_4p!J81="","",IF(VALUE(LEFT(Protokoll_4p!J81,FIND(":",Protokoll_4p!J81)-1))&gt;VALUE(RIGHT(Protokoll_4p!J81,LEN(Protokoll_4p!J81)-FIND(":",Protokoll_4p!J81))),1,0))</f>
        <v>0</v>
      </c>
      <c r="G75" s="1">
        <f t="shared" si="2"/>
        <v>2</v>
      </c>
      <c r="I75" s="1">
        <f>IF(Protokoll_4p!F81="","",IF(VALUE(LEFT(Protokoll_4p!F81,FIND(":",Protokoll_4p!F81)-1))&gt;VALUE(RIGHT(Protokoll_4p!F81,LEN(Protokoll_4p!F81)-FIND(":",Protokoll_4p!F81))),0,1))</f>
        <v>1</v>
      </c>
      <c r="J75" s="1">
        <f>IF(Protokoll_4p!G81="","",IF(VALUE(LEFT(Protokoll_4p!G81,FIND(":",Protokoll_4p!G81)-1))&gt;VALUE(RIGHT(Protokoll_4p!G81,LEN(Protokoll_4p!G81)-FIND(":",Protokoll_4p!G81))),0,1))</f>
        <v>1</v>
      </c>
      <c r="K75" s="1">
        <f>IF(Protokoll_4p!H81="","",IF(VALUE(LEFT(Protokoll_4p!H81,FIND(":",Protokoll_4p!H81)-1))&gt;VALUE(RIGHT(Protokoll_4p!H81,LEN(Protokoll_4p!H81)-FIND(":",Protokoll_4p!H81))),0,1))</f>
        <v>0</v>
      </c>
      <c r="L75" s="1">
        <f>IF(Protokoll_4p!I81="","",IF(VALUE(LEFT(Protokoll_4p!I81,FIND(":",Protokoll_4p!I81)-1))&gt;VALUE(RIGHT(Protokoll_4p!I81,LEN(Protokoll_4p!I81)-FIND(":",Protokoll_4p!I81))),0,1))</f>
        <v>0</v>
      </c>
      <c r="M75" s="1">
        <f>IF(Protokoll_4p!J81="","",IF(VALUE(LEFT(Protokoll_4p!J81,FIND(":",Protokoll_4p!J81)-1))&gt;VALUE(RIGHT(Protokoll_4p!J81,LEN(Protokoll_4p!J81)-FIND(":",Protokoll_4p!J81))),0,1))</f>
        <v>1</v>
      </c>
      <c r="N75" s="1">
        <f t="shared" si="3"/>
        <v>3</v>
      </c>
    </row>
    <row r="76" spans="2:14">
      <c r="B76" s="1" t="str">
        <f>IF(Protokoll_4p!F82="","",IF(VALUE(LEFT(Protokoll_4p!F82,FIND(":",Protokoll_4p!F82)-1))&gt;VALUE(RIGHT(Protokoll_4p!F82,LEN(Protokoll_4p!F82)-FIND(":",Protokoll_4p!F82))),1,0))</f>
        <v/>
      </c>
      <c r="C76" s="1" t="str">
        <f>IF(Protokoll_4p!G82="","",IF(VALUE(LEFT(Protokoll_4p!G82,FIND(":",Protokoll_4p!G82)-1))&gt;VALUE(RIGHT(Protokoll_4p!G82,LEN(Protokoll_4p!G82)-FIND(":",Protokoll_4p!G82))),1,0))</f>
        <v/>
      </c>
      <c r="D76" s="1" t="str">
        <f>IF(Protokoll_4p!H82="","",IF(VALUE(LEFT(Protokoll_4p!H82,FIND(":",Protokoll_4p!H82)-1))&gt;VALUE(RIGHT(Protokoll_4p!H82,LEN(Protokoll_4p!H82)-FIND(":",Protokoll_4p!H82))),1,0))</f>
        <v/>
      </c>
      <c r="E76" s="1" t="str">
        <f>IF(Protokoll_4p!I82="","",IF(VALUE(LEFT(Protokoll_4p!I82,FIND(":",Protokoll_4p!I82)-1))&gt;VALUE(RIGHT(Protokoll_4p!I82,LEN(Protokoll_4p!I82)-FIND(":",Protokoll_4p!I82))),1,0))</f>
        <v/>
      </c>
      <c r="F76" s="1" t="str">
        <f>IF(Protokoll_4p!J82="","",IF(VALUE(LEFT(Protokoll_4p!J82,FIND(":",Protokoll_4p!J82)-1))&gt;VALUE(RIGHT(Protokoll_4p!J82,LEN(Protokoll_4p!J82)-FIND(":",Protokoll_4p!J82))),1,0))</f>
        <v/>
      </c>
      <c r="G76" s="1" t="str">
        <f t="shared" si="2"/>
        <v/>
      </c>
      <c r="I76" s="1" t="str">
        <f>IF(Protokoll_4p!F82="","",IF(VALUE(LEFT(Protokoll_4p!F82,FIND(":",Protokoll_4p!F82)-1))&gt;VALUE(RIGHT(Protokoll_4p!F82,LEN(Protokoll_4p!F82)-FIND(":",Protokoll_4p!F82))),0,1))</f>
        <v/>
      </c>
      <c r="J76" s="1" t="str">
        <f>IF(Protokoll_4p!G82="","",IF(VALUE(LEFT(Protokoll_4p!G82,FIND(":",Protokoll_4p!G82)-1))&gt;VALUE(RIGHT(Protokoll_4p!G82,LEN(Protokoll_4p!G82)-FIND(":",Protokoll_4p!G82))),0,1))</f>
        <v/>
      </c>
      <c r="K76" s="1" t="str">
        <f>IF(Protokoll_4p!H82="","",IF(VALUE(LEFT(Protokoll_4p!H82,FIND(":",Protokoll_4p!H82)-1))&gt;VALUE(RIGHT(Protokoll_4p!H82,LEN(Protokoll_4p!H82)-FIND(":",Protokoll_4p!H82))),0,1))</f>
        <v/>
      </c>
      <c r="L76" s="1" t="str">
        <f>IF(Protokoll_4p!I82="","",IF(VALUE(LEFT(Protokoll_4p!I82,FIND(":",Protokoll_4p!I82)-1))&gt;VALUE(RIGHT(Protokoll_4p!I82,LEN(Protokoll_4p!I82)-FIND(":",Protokoll_4p!I82))),0,1))</f>
        <v/>
      </c>
      <c r="M76" s="1" t="str">
        <f>IF(Protokoll_4p!J82="","",IF(VALUE(LEFT(Protokoll_4p!J82,FIND(":",Protokoll_4p!J82)-1))&gt;VALUE(RIGHT(Protokoll_4p!J82,LEN(Protokoll_4p!J82)-FIND(":",Protokoll_4p!J82))),0,1))</f>
        <v/>
      </c>
      <c r="N76" s="1" t="str">
        <f t="shared" si="3"/>
        <v/>
      </c>
    </row>
    <row r="77" spans="2:14">
      <c r="B77" s="1">
        <f>IF(Protokoll_4p!F83="","",IF(VALUE(LEFT(Protokoll_4p!F83,FIND(":",Protokoll_4p!F83)-1))&gt;VALUE(RIGHT(Protokoll_4p!F83,LEN(Protokoll_4p!F83)-FIND(":",Protokoll_4p!F83))),1,0))</f>
        <v>1</v>
      </c>
      <c r="C77" s="1">
        <f>IF(Protokoll_4p!G83="","",IF(VALUE(LEFT(Protokoll_4p!G83,FIND(":",Protokoll_4p!G83)-1))&gt;VALUE(RIGHT(Protokoll_4p!G83,LEN(Protokoll_4p!G83)-FIND(":",Protokoll_4p!G83))),1,0))</f>
        <v>1</v>
      </c>
      <c r="D77" s="1">
        <f>IF(Protokoll_4p!H83="","",IF(VALUE(LEFT(Protokoll_4p!H83,FIND(":",Protokoll_4p!H83)-1))&gt;VALUE(RIGHT(Protokoll_4p!H83,LEN(Protokoll_4p!H83)-FIND(":",Protokoll_4p!H83))),1,0))</f>
        <v>0</v>
      </c>
      <c r="E77" s="1">
        <f>IF(Protokoll_4p!I83="","",IF(VALUE(LEFT(Protokoll_4p!I83,FIND(":",Protokoll_4p!I83)-1))&gt;VALUE(RIGHT(Protokoll_4p!I83,LEN(Protokoll_4p!I83)-FIND(":",Protokoll_4p!I83))),1,0))</f>
        <v>1</v>
      </c>
      <c r="F77" s="1" t="str">
        <f>IF(Protokoll_4p!J83="","",IF(VALUE(LEFT(Protokoll_4p!J83,FIND(":",Protokoll_4p!J83)-1))&gt;VALUE(RIGHT(Protokoll_4p!J83,LEN(Protokoll_4p!J83)-FIND(":",Protokoll_4p!J83))),1,0))</f>
        <v/>
      </c>
      <c r="G77" s="1">
        <f t="shared" si="2"/>
        <v>3</v>
      </c>
      <c r="I77" s="1">
        <f>IF(Protokoll_4p!F83="","",IF(VALUE(LEFT(Protokoll_4p!F83,FIND(":",Protokoll_4p!F83)-1))&gt;VALUE(RIGHT(Protokoll_4p!F83,LEN(Protokoll_4p!F83)-FIND(":",Protokoll_4p!F83))),0,1))</f>
        <v>0</v>
      </c>
      <c r="J77" s="1">
        <f>IF(Protokoll_4p!G83="","",IF(VALUE(LEFT(Protokoll_4p!G83,FIND(":",Protokoll_4p!G83)-1))&gt;VALUE(RIGHT(Protokoll_4p!G83,LEN(Protokoll_4p!G83)-FIND(":",Protokoll_4p!G83))),0,1))</f>
        <v>0</v>
      </c>
      <c r="K77" s="1">
        <f>IF(Protokoll_4p!H83="","",IF(VALUE(LEFT(Protokoll_4p!H83,FIND(":",Protokoll_4p!H83)-1))&gt;VALUE(RIGHT(Protokoll_4p!H83,LEN(Protokoll_4p!H83)-FIND(":",Protokoll_4p!H83))),0,1))</f>
        <v>1</v>
      </c>
      <c r="L77" s="1">
        <f>IF(Protokoll_4p!I83="","",IF(VALUE(LEFT(Protokoll_4p!I83,FIND(":",Protokoll_4p!I83)-1))&gt;VALUE(RIGHT(Protokoll_4p!I83,LEN(Protokoll_4p!I83)-FIND(":",Protokoll_4p!I83))),0,1))</f>
        <v>0</v>
      </c>
      <c r="M77" s="1" t="str">
        <f>IF(Protokoll_4p!J83="","",IF(VALUE(LEFT(Protokoll_4p!J83,FIND(":",Protokoll_4p!J83)-1))&gt;VALUE(RIGHT(Protokoll_4p!J83,LEN(Protokoll_4p!J83)-FIND(":",Protokoll_4p!J83))),0,1))</f>
        <v/>
      </c>
      <c r="N77" s="1">
        <f t="shared" si="3"/>
        <v>1</v>
      </c>
    </row>
    <row r="78" spans="2:14">
      <c r="B78" s="1">
        <f>IF(Protokoll_4p!F84="","",IF(VALUE(LEFT(Protokoll_4p!F84,FIND(":",Protokoll_4p!F84)-1))&gt;VALUE(RIGHT(Protokoll_4p!F84,LEN(Protokoll_4p!F84)-FIND(":",Protokoll_4p!F84))),1,0))</f>
        <v>1</v>
      </c>
      <c r="C78" s="1">
        <f>IF(Protokoll_4p!G84="","",IF(VALUE(LEFT(Protokoll_4p!G84,FIND(":",Protokoll_4p!G84)-1))&gt;VALUE(RIGHT(Protokoll_4p!G84,LEN(Protokoll_4p!G84)-FIND(":",Protokoll_4p!G84))),1,0))</f>
        <v>0</v>
      </c>
      <c r="D78" s="1">
        <f>IF(Protokoll_4p!H84="","",IF(VALUE(LEFT(Protokoll_4p!H84,FIND(":",Protokoll_4p!H84)-1))&gt;VALUE(RIGHT(Protokoll_4p!H84,LEN(Protokoll_4p!H84)-FIND(":",Protokoll_4p!H84))),1,0))</f>
        <v>1</v>
      </c>
      <c r="E78" s="1">
        <f>IF(Protokoll_4p!I84="","",IF(VALUE(LEFT(Protokoll_4p!I84,FIND(":",Protokoll_4p!I84)-1))&gt;VALUE(RIGHT(Protokoll_4p!I84,LEN(Protokoll_4p!I84)-FIND(":",Protokoll_4p!I84))),1,0))</f>
        <v>1</v>
      </c>
      <c r="F78" s="1" t="str">
        <f>IF(Protokoll_4p!J84="","",IF(VALUE(LEFT(Protokoll_4p!J84,FIND(":",Protokoll_4p!J84)-1))&gt;VALUE(RIGHT(Protokoll_4p!J84,LEN(Protokoll_4p!J84)-FIND(":",Protokoll_4p!J84))),1,0))</f>
        <v/>
      </c>
      <c r="G78" s="1">
        <f t="shared" si="2"/>
        <v>3</v>
      </c>
      <c r="I78" s="1">
        <f>IF(Protokoll_4p!F84="","",IF(VALUE(LEFT(Protokoll_4p!F84,FIND(":",Protokoll_4p!F84)-1))&gt;VALUE(RIGHT(Protokoll_4p!F84,LEN(Protokoll_4p!F84)-FIND(":",Protokoll_4p!F84))),0,1))</f>
        <v>0</v>
      </c>
      <c r="J78" s="1">
        <f>IF(Protokoll_4p!G84="","",IF(VALUE(LEFT(Protokoll_4p!G84,FIND(":",Protokoll_4p!G84)-1))&gt;VALUE(RIGHT(Protokoll_4p!G84,LEN(Protokoll_4p!G84)-FIND(":",Protokoll_4p!G84))),0,1))</f>
        <v>1</v>
      </c>
      <c r="K78" s="1">
        <f>IF(Protokoll_4p!H84="","",IF(VALUE(LEFT(Protokoll_4p!H84,FIND(":",Protokoll_4p!H84)-1))&gt;VALUE(RIGHT(Protokoll_4p!H84,LEN(Protokoll_4p!H84)-FIND(":",Protokoll_4p!H84))),0,1))</f>
        <v>0</v>
      </c>
      <c r="L78" s="1">
        <f>IF(Protokoll_4p!I84="","",IF(VALUE(LEFT(Protokoll_4p!I84,FIND(":",Protokoll_4p!I84)-1))&gt;VALUE(RIGHT(Protokoll_4p!I84,LEN(Protokoll_4p!I84)-FIND(":",Protokoll_4p!I84))),0,1))</f>
        <v>0</v>
      </c>
      <c r="M78" s="1" t="str">
        <f>IF(Protokoll_4p!J84="","",IF(VALUE(LEFT(Protokoll_4p!J84,FIND(":",Protokoll_4p!J84)-1))&gt;VALUE(RIGHT(Protokoll_4p!J84,LEN(Protokoll_4p!J84)-FIND(":",Protokoll_4p!J84))),0,1))</f>
        <v/>
      </c>
      <c r="N78" s="1">
        <f t="shared" si="3"/>
        <v>1</v>
      </c>
    </row>
    <row r="79" spans="2:14">
      <c r="B79" s="1" t="str">
        <f>IF(Protokoll_4p!F85="","",IF(VALUE(LEFT(Protokoll_4p!F85,FIND(":",Protokoll_4p!F85)-1))&gt;VALUE(RIGHT(Protokoll_4p!F85,LEN(Protokoll_4p!F85)-FIND(":",Protokoll_4p!F85))),1,0))</f>
        <v/>
      </c>
      <c r="C79" s="1" t="str">
        <f>IF(Protokoll_4p!G85="","",IF(VALUE(LEFT(Protokoll_4p!G85,FIND(":",Protokoll_4p!G85)-1))&gt;VALUE(RIGHT(Protokoll_4p!G85,LEN(Protokoll_4p!G85)-FIND(":",Protokoll_4p!G85))),1,0))</f>
        <v/>
      </c>
      <c r="D79" s="1" t="str">
        <f>IF(Protokoll_4p!H85="","",IF(VALUE(LEFT(Protokoll_4p!H85,FIND(":",Protokoll_4p!H85)-1))&gt;VALUE(RIGHT(Protokoll_4p!H85,LEN(Protokoll_4p!H85)-FIND(":",Protokoll_4p!H85))),1,0))</f>
        <v/>
      </c>
      <c r="E79" s="1" t="str">
        <f>IF(Protokoll_4p!I85="","",IF(VALUE(LEFT(Protokoll_4p!I85,FIND(":",Protokoll_4p!I85)-1))&gt;VALUE(RIGHT(Protokoll_4p!I85,LEN(Protokoll_4p!I85)-FIND(":",Protokoll_4p!I85))),1,0))</f>
        <v/>
      </c>
      <c r="F79" s="1" t="str">
        <f>IF(Protokoll_4p!J85="","",IF(VALUE(LEFT(Protokoll_4p!J85,FIND(":",Protokoll_4p!J85)-1))&gt;VALUE(RIGHT(Protokoll_4p!J85,LEN(Protokoll_4p!J85)-FIND(":",Protokoll_4p!J85))),1,0))</f>
        <v/>
      </c>
      <c r="G79" s="1" t="str">
        <f t="shared" si="2"/>
        <v/>
      </c>
      <c r="I79" s="1" t="str">
        <f>IF(Protokoll_4p!F85="","",IF(VALUE(LEFT(Protokoll_4p!F85,FIND(":",Protokoll_4p!F85)-1))&gt;VALUE(RIGHT(Protokoll_4p!F85,LEN(Protokoll_4p!F85)-FIND(":",Protokoll_4p!F85))),0,1))</f>
        <v/>
      </c>
      <c r="J79" s="1" t="str">
        <f>IF(Protokoll_4p!G85="","",IF(VALUE(LEFT(Protokoll_4p!G85,FIND(":",Protokoll_4p!G85)-1))&gt;VALUE(RIGHT(Protokoll_4p!G85,LEN(Protokoll_4p!G85)-FIND(":",Protokoll_4p!G85))),0,1))</f>
        <v/>
      </c>
      <c r="K79" s="1" t="str">
        <f>IF(Protokoll_4p!H85="","",IF(VALUE(LEFT(Protokoll_4p!H85,FIND(":",Protokoll_4p!H85)-1))&gt;VALUE(RIGHT(Protokoll_4p!H85,LEN(Protokoll_4p!H85)-FIND(":",Protokoll_4p!H85))),0,1))</f>
        <v/>
      </c>
      <c r="L79" s="1" t="str">
        <f>IF(Protokoll_4p!I85="","",IF(VALUE(LEFT(Protokoll_4p!I85,FIND(":",Protokoll_4p!I85)-1))&gt;VALUE(RIGHT(Protokoll_4p!I85,LEN(Protokoll_4p!I85)-FIND(":",Protokoll_4p!I85))),0,1))</f>
        <v/>
      </c>
      <c r="M79" s="1" t="str">
        <f>IF(Protokoll_4p!J85="","",IF(VALUE(LEFT(Protokoll_4p!J85,FIND(":",Protokoll_4p!J85)-1))&gt;VALUE(RIGHT(Protokoll_4p!J85,LEN(Protokoll_4p!J85)-FIND(":",Protokoll_4p!J85))),0,1))</f>
        <v/>
      </c>
      <c r="N79" s="1" t="str">
        <f t="shared" si="3"/>
        <v/>
      </c>
    </row>
    <row r="80" spans="2:14">
      <c r="B80" s="1" t="str">
        <f>IF(Protokoll_4p!F86="","",IF(VALUE(LEFT(Protokoll_4p!F86,FIND(":",Protokoll_4p!F86)-1))&gt;VALUE(RIGHT(Protokoll_4p!F86,LEN(Protokoll_4p!F86)-FIND(":",Protokoll_4p!F86))),1,0))</f>
        <v/>
      </c>
      <c r="C80" s="1" t="str">
        <f>IF(Protokoll_4p!G86="","",IF(VALUE(LEFT(Protokoll_4p!G86,FIND(":",Protokoll_4p!G86)-1))&gt;VALUE(RIGHT(Protokoll_4p!G86,LEN(Protokoll_4p!G86)-FIND(":",Protokoll_4p!G86))),1,0))</f>
        <v/>
      </c>
      <c r="D80" s="1" t="str">
        <f>IF(Protokoll_4p!H86="","",IF(VALUE(LEFT(Protokoll_4p!H86,FIND(":",Protokoll_4p!H86)-1))&gt;VALUE(RIGHT(Protokoll_4p!H86,LEN(Protokoll_4p!H86)-FIND(":",Protokoll_4p!H86))),1,0))</f>
        <v/>
      </c>
      <c r="E80" s="1" t="str">
        <f>IF(Protokoll_4p!I86="","",IF(VALUE(LEFT(Protokoll_4p!I86,FIND(":",Protokoll_4p!I86)-1))&gt;VALUE(RIGHT(Protokoll_4p!I86,LEN(Protokoll_4p!I86)-FIND(":",Protokoll_4p!I86))),1,0))</f>
        <v/>
      </c>
      <c r="F80" s="1" t="str">
        <f>IF(Protokoll_4p!J86="","",IF(VALUE(LEFT(Protokoll_4p!J86,FIND(":",Protokoll_4p!J86)-1))&gt;VALUE(RIGHT(Protokoll_4p!J86,LEN(Protokoll_4p!J86)-FIND(":",Protokoll_4p!J86))),1,0))</f>
        <v/>
      </c>
      <c r="G80" s="1" t="str">
        <f t="shared" si="2"/>
        <v/>
      </c>
      <c r="I80" s="1" t="str">
        <f>IF(Protokoll_4p!F86="","",IF(VALUE(LEFT(Protokoll_4p!F86,FIND(":",Protokoll_4p!F86)-1))&gt;VALUE(RIGHT(Protokoll_4p!F86,LEN(Protokoll_4p!F86)-FIND(":",Protokoll_4p!F86))),0,1))</f>
        <v/>
      </c>
      <c r="J80" s="1" t="str">
        <f>IF(Protokoll_4p!G86="","",IF(VALUE(LEFT(Protokoll_4p!G86,FIND(":",Protokoll_4p!G86)-1))&gt;VALUE(RIGHT(Protokoll_4p!G86,LEN(Protokoll_4p!G86)-FIND(":",Protokoll_4p!G86))),0,1))</f>
        <v/>
      </c>
      <c r="K80" s="1" t="str">
        <f>IF(Protokoll_4p!H86="","",IF(VALUE(LEFT(Protokoll_4p!H86,FIND(":",Protokoll_4p!H86)-1))&gt;VALUE(RIGHT(Protokoll_4p!H86,LEN(Protokoll_4p!H86)-FIND(":",Protokoll_4p!H86))),0,1))</f>
        <v/>
      </c>
      <c r="L80" s="1" t="str">
        <f>IF(Protokoll_4p!I86="","",IF(VALUE(LEFT(Protokoll_4p!I86,FIND(":",Protokoll_4p!I86)-1))&gt;VALUE(RIGHT(Protokoll_4p!I86,LEN(Protokoll_4p!I86)-FIND(":",Protokoll_4p!I86))),0,1))</f>
        <v/>
      </c>
      <c r="M80" s="1" t="str">
        <f>IF(Protokoll_4p!J86="","",IF(VALUE(LEFT(Protokoll_4p!J86,FIND(":",Protokoll_4p!J86)-1))&gt;VALUE(RIGHT(Protokoll_4p!J86,LEN(Protokoll_4p!J86)-FIND(":",Protokoll_4p!J86))),0,1))</f>
        <v/>
      </c>
      <c r="N80" s="1" t="str">
        <f t="shared" si="3"/>
        <v/>
      </c>
    </row>
    <row r="81" spans="2:14">
      <c r="B81" s="1" t="e">
        <f>IF(Protokoll_4p!F87="","",IF(VALUE(LEFT(Protokoll_4p!F87,FIND(":",Protokoll_4p!F87)-1))&gt;VALUE(RIGHT(Protokoll_4p!F87,LEN(Protokoll_4p!F87)-FIND(":",Protokoll_4p!F87))),1,0))</f>
        <v>#VALUE!</v>
      </c>
      <c r="C81" s="1" t="e">
        <f>IF(Protokoll_4p!G87="","",IF(VALUE(LEFT(Protokoll_4p!G87,FIND(":",Protokoll_4p!G87)-1))&gt;VALUE(RIGHT(Protokoll_4p!G87,LEN(Protokoll_4p!G87)-FIND(":",Protokoll_4p!G87))),1,0))</f>
        <v>#VALUE!</v>
      </c>
      <c r="D81" s="1" t="e">
        <f>IF(Protokoll_4p!H87="","",IF(VALUE(LEFT(Protokoll_4p!H87,FIND(":",Protokoll_4p!H87)-1))&gt;VALUE(RIGHT(Protokoll_4p!H87,LEN(Protokoll_4p!H87)-FIND(":",Protokoll_4p!H87))),1,0))</f>
        <v>#VALUE!</v>
      </c>
      <c r="E81" s="1" t="e">
        <f>IF(Protokoll_4p!I87="","",IF(VALUE(LEFT(Protokoll_4p!I87,FIND(":",Protokoll_4p!I87)-1))&gt;VALUE(RIGHT(Protokoll_4p!I87,LEN(Protokoll_4p!I87)-FIND(":",Protokoll_4p!I87))),1,0))</f>
        <v>#VALUE!</v>
      </c>
      <c r="F81" s="1" t="e">
        <f>IF(Protokoll_4p!J87="","",IF(VALUE(LEFT(Protokoll_4p!J87,FIND(":",Protokoll_4p!J87)-1))&gt;VALUE(RIGHT(Protokoll_4p!J87,LEN(Protokoll_4p!J87)-FIND(":",Protokoll_4p!J87))),1,0))</f>
        <v>#VALUE!</v>
      </c>
      <c r="G81" s="1" t="e">
        <f t="shared" si="2"/>
        <v>#VALUE!</v>
      </c>
      <c r="I81" s="1" t="e">
        <f>IF(Protokoll_4p!F87="","",IF(VALUE(LEFT(Protokoll_4p!F87,FIND(":",Protokoll_4p!F87)-1))&gt;VALUE(RIGHT(Protokoll_4p!F87,LEN(Protokoll_4p!F87)-FIND(":",Protokoll_4p!F87))),0,1))</f>
        <v>#VALUE!</v>
      </c>
      <c r="J81" s="1" t="e">
        <f>IF(Protokoll_4p!G87="","",IF(VALUE(LEFT(Protokoll_4p!G87,FIND(":",Protokoll_4p!G87)-1))&gt;VALUE(RIGHT(Protokoll_4p!G87,LEN(Protokoll_4p!G87)-FIND(":",Protokoll_4p!G87))),0,1))</f>
        <v>#VALUE!</v>
      </c>
      <c r="K81" s="1" t="e">
        <f>IF(Protokoll_4p!H87="","",IF(VALUE(LEFT(Protokoll_4p!H87,FIND(":",Protokoll_4p!H87)-1))&gt;VALUE(RIGHT(Protokoll_4p!H87,LEN(Protokoll_4p!H87)-FIND(":",Protokoll_4p!H87))),0,1))</f>
        <v>#VALUE!</v>
      </c>
      <c r="L81" s="1" t="e">
        <f>IF(Protokoll_4p!I87="","",IF(VALUE(LEFT(Protokoll_4p!I87,FIND(":",Protokoll_4p!I87)-1))&gt;VALUE(RIGHT(Protokoll_4p!I87,LEN(Protokoll_4p!I87)-FIND(":",Protokoll_4p!I87))),0,1))</f>
        <v>#VALUE!</v>
      </c>
      <c r="M81" s="1" t="e">
        <f>IF(Protokoll_4p!J87="","",IF(VALUE(LEFT(Protokoll_4p!J87,FIND(":",Protokoll_4p!J87)-1))&gt;VALUE(RIGHT(Protokoll_4p!J87,LEN(Protokoll_4p!J87)-FIND(":",Protokoll_4p!J87))),0,1))</f>
        <v>#VALUE!</v>
      </c>
      <c r="N81" s="1" t="e">
        <f t="shared" si="3"/>
        <v>#VALUE!</v>
      </c>
    </row>
    <row r="82" spans="2:14">
      <c r="B82" s="1">
        <f>IF(Protokoll_4p!F88="","",IF(VALUE(LEFT(Protokoll_4p!F88,FIND(":",Protokoll_4p!F88)-1))&gt;VALUE(RIGHT(Protokoll_4p!F88,LEN(Protokoll_4p!F88)-FIND(":",Protokoll_4p!F88))),1,0))</f>
        <v>0</v>
      </c>
      <c r="C82" s="1">
        <f>IF(Protokoll_4p!G88="","",IF(VALUE(LEFT(Protokoll_4p!G88,FIND(":",Protokoll_4p!G88)-1))&gt;VALUE(RIGHT(Protokoll_4p!G88,LEN(Protokoll_4p!G88)-FIND(":",Protokoll_4p!G88))),1,0))</f>
        <v>1</v>
      </c>
      <c r="D82" s="1">
        <f>IF(Protokoll_4p!H88="","",IF(VALUE(LEFT(Protokoll_4p!H88,FIND(":",Protokoll_4p!H88)-1))&gt;VALUE(RIGHT(Protokoll_4p!H88,LEN(Protokoll_4p!H88)-FIND(":",Protokoll_4p!H88))),1,0))</f>
        <v>1</v>
      </c>
      <c r="E82" s="1">
        <f>IF(Protokoll_4p!I88="","",IF(VALUE(LEFT(Protokoll_4p!I88,FIND(":",Protokoll_4p!I88)-1))&gt;VALUE(RIGHT(Protokoll_4p!I88,LEN(Protokoll_4p!I88)-FIND(":",Protokoll_4p!I88))),1,0))</f>
        <v>0</v>
      </c>
      <c r="F82" s="1">
        <f>IF(Protokoll_4p!J88="","",IF(VALUE(LEFT(Protokoll_4p!J88,FIND(":",Protokoll_4p!J88)-1))&gt;VALUE(RIGHT(Protokoll_4p!J88,LEN(Protokoll_4p!J88)-FIND(":",Protokoll_4p!J88))),1,0))</f>
        <v>0</v>
      </c>
      <c r="G82" s="1">
        <f t="shared" si="2"/>
        <v>2</v>
      </c>
      <c r="I82" s="1">
        <f>IF(Protokoll_4p!F88="","",IF(VALUE(LEFT(Protokoll_4p!F88,FIND(":",Protokoll_4p!F88)-1))&gt;VALUE(RIGHT(Protokoll_4p!F88,LEN(Protokoll_4p!F88)-FIND(":",Protokoll_4p!F88))),0,1))</f>
        <v>1</v>
      </c>
      <c r="J82" s="1">
        <f>IF(Protokoll_4p!G88="","",IF(VALUE(LEFT(Protokoll_4p!G88,FIND(":",Protokoll_4p!G88)-1))&gt;VALUE(RIGHT(Protokoll_4p!G88,LEN(Protokoll_4p!G88)-FIND(":",Protokoll_4p!G88))),0,1))</f>
        <v>0</v>
      </c>
      <c r="K82" s="1">
        <f>IF(Protokoll_4p!H88="","",IF(VALUE(LEFT(Protokoll_4p!H88,FIND(":",Protokoll_4p!H88)-1))&gt;VALUE(RIGHT(Protokoll_4p!H88,LEN(Protokoll_4p!H88)-FIND(":",Protokoll_4p!H88))),0,1))</f>
        <v>0</v>
      </c>
      <c r="L82" s="1">
        <f>IF(Protokoll_4p!I88="","",IF(VALUE(LEFT(Protokoll_4p!I88,FIND(":",Protokoll_4p!I88)-1))&gt;VALUE(RIGHT(Protokoll_4p!I88,LEN(Protokoll_4p!I88)-FIND(":",Protokoll_4p!I88))),0,1))</f>
        <v>1</v>
      </c>
      <c r="M82" s="1">
        <f>IF(Protokoll_4p!J88="","",IF(VALUE(LEFT(Protokoll_4p!J88,FIND(":",Protokoll_4p!J88)-1))&gt;VALUE(RIGHT(Protokoll_4p!J88,LEN(Protokoll_4p!J88)-FIND(":",Protokoll_4p!J88))),0,1))</f>
        <v>1</v>
      </c>
      <c r="N82" s="1">
        <f t="shared" si="3"/>
        <v>3</v>
      </c>
    </row>
    <row r="83" spans="2:14">
      <c r="B83" s="1">
        <f>IF(Protokoll_4p!F89="","",IF(VALUE(LEFT(Protokoll_4p!F89,FIND(":",Protokoll_4p!F89)-1))&gt;VALUE(RIGHT(Protokoll_4p!F89,LEN(Protokoll_4p!F89)-FIND(":",Protokoll_4p!F89))),1,0))</f>
        <v>1</v>
      </c>
      <c r="C83" s="1">
        <f>IF(Protokoll_4p!G89="","",IF(VALUE(LEFT(Protokoll_4p!G89,FIND(":",Protokoll_4p!G89)-1))&gt;VALUE(RIGHT(Protokoll_4p!G89,LEN(Protokoll_4p!G89)-FIND(":",Protokoll_4p!G89))),1,0))</f>
        <v>1</v>
      </c>
      <c r="D83" s="1">
        <f>IF(Protokoll_4p!H89="","",IF(VALUE(LEFT(Protokoll_4p!H89,FIND(":",Protokoll_4p!H89)-1))&gt;VALUE(RIGHT(Protokoll_4p!H89,LEN(Protokoll_4p!H89)-FIND(":",Protokoll_4p!H89))),1,0))</f>
        <v>1</v>
      </c>
      <c r="E83" s="1" t="str">
        <f>IF(Protokoll_4p!I89="","",IF(VALUE(LEFT(Protokoll_4p!I89,FIND(":",Protokoll_4p!I89)-1))&gt;VALUE(RIGHT(Protokoll_4p!I89,LEN(Protokoll_4p!I89)-FIND(":",Protokoll_4p!I89))),1,0))</f>
        <v/>
      </c>
      <c r="F83" s="1" t="str">
        <f>IF(Protokoll_4p!J89="","",IF(VALUE(LEFT(Protokoll_4p!J89,FIND(":",Protokoll_4p!J89)-1))&gt;VALUE(RIGHT(Protokoll_4p!J89,LEN(Protokoll_4p!J89)-FIND(":",Protokoll_4p!J89))),1,0))</f>
        <v/>
      </c>
      <c r="G83" s="1">
        <f t="shared" si="2"/>
        <v>3</v>
      </c>
      <c r="I83" s="1">
        <f>IF(Protokoll_4p!F89="","",IF(VALUE(LEFT(Protokoll_4p!F89,FIND(":",Protokoll_4p!F89)-1))&gt;VALUE(RIGHT(Protokoll_4p!F89,LEN(Protokoll_4p!F89)-FIND(":",Protokoll_4p!F89))),0,1))</f>
        <v>0</v>
      </c>
      <c r="J83" s="1">
        <f>IF(Protokoll_4p!G89="","",IF(VALUE(LEFT(Protokoll_4p!G89,FIND(":",Protokoll_4p!G89)-1))&gt;VALUE(RIGHT(Protokoll_4p!G89,LEN(Protokoll_4p!G89)-FIND(":",Protokoll_4p!G89))),0,1))</f>
        <v>0</v>
      </c>
      <c r="K83" s="1">
        <f>IF(Protokoll_4p!H89="","",IF(VALUE(LEFT(Protokoll_4p!H89,FIND(":",Protokoll_4p!H89)-1))&gt;VALUE(RIGHT(Protokoll_4p!H89,LEN(Protokoll_4p!H89)-FIND(":",Protokoll_4p!H89))),0,1))</f>
        <v>0</v>
      </c>
      <c r="L83" s="1" t="str">
        <f>IF(Protokoll_4p!I89="","",IF(VALUE(LEFT(Protokoll_4p!I89,FIND(":",Protokoll_4p!I89)-1))&gt;VALUE(RIGHT(Protokoll_4p!I89,LEN(Protokoll_4p!I89)-FIND(":",Protokoll_4p!I89))),0,1))</f>
        <v/>
      </c>
      <c r="M83" s="1" t="str">
        <f>IF(Protokoll_4p!J89="","",IF(VALUE(LEFT(Protokoll_4p!J89,FIND(":",Protokoll_4p!J89)-1))&gt;VALUE(RIGHT(Protokoll_4p!J89,LEN(Protokoll_4p!J89)-FIND(":",Protokoll_4p!J89))),0,1))</f>
        <v/>
      </c>
      <c r="N83" s="1">
        <f t="shared" si="3"/>
        <v>0</v>
      </c>
    </row>
    <row r="84" spans="2:14">
      <c r="B84" s="1">
        <f>IF(Protokoll_4p!F90="","",IF(VALUE(LEFT(Protokoll_4p!F90,FIND(":",Protokoll_4p!F90)-1))&gt;VALUE(RIGHT(Protokoll_4p!F90,LEN(Protokoll_4p!F90)-FIND(":",Protokoll_4p!F90))),1,0))</f>
        <v>1</v>
      </c>
      <c r="C84" s="1">
        <f>IF(Protokoll_4p!G90="","",IF(VALUE(LEFT(Protokoll_4p!G90,FIND(":",Protokoll_4p!G90)-1))&gt;VALUE(RIGHT(Protokoll_4p!G90,LEN(Protokoll_4p!G90)-FIND(":",Protokoll_4p!G90))),1,0))</f>
        <v>1</v>
      </c>
      <c r="D84" s="1">
        <f>IF(Protokoll_4p!H90="","",IF(VALUE(LEFT(Protokoll_4p!H90,FIND(":",Protokoll_4p!H90)-1))&gt;VALUE(RIGHT(Protokoll_4p!H90,LEN(Protokoll_4p!H90)-FIND(":",Protokoll_4p!H90))),1,0))</f>
        <v>1</v>
      </c>
      <c r="E84" s="1" t="str">
        <f>IF(Protokoll_4p!I90="","",IF(VALUE(LEFT(Protokoll_4p!I90,FIND(":",Protokoll_4p!I90)-1))&gt;VALUE(RIGHT(Protokoll_4p!I90,LEN(Protokoll_4p!I90)-FIND(":",Protokoll_4p!I90))),1,0))</f>
        <v/>
      </c>
      <c r="F84" s="1" t="str">
        <f>IF(Protokoll_4p!J90="","",IF(VALUE(LEFT(Protokoll_4p!J90,FIND(":",Protokoll_4p!J90)-1))&gt;VALUE(RIGHT(Protokoll_4p!J90,LEN(Protokoll_4p!J90)-FIND(":",Protokoll_4p!J90))),1,0))</f>
        <v/>
      </c>
      <c r="G84" s="1">
        <f t="shared" si="2"/>
        <v>3</v>
      </c>
      <c r="I84" s="1">
        <f>IF(Protokoll_4p!F90="","",IF(VALUE(LEFT(Protokoll_4p!F90,FIND(":",Protokoll_4p!F90)-1))&gt;VALUE(RIGHT(Protokoll_4p!F90,LEN(Protokoll_4p!F90)-FIND(":",Protokoll_4p!F90))),0,1))</f>
        <v>0</v>
      </c>
      <c r="J84" s="1">
        <f>IF(Protokoll_4p!G90="","",IF(VALUE(LEFT(Protokoll_4p!G90,FIND(":",Protokoll_4p!G90)-1))&gt;VALUE(RIGHT(Protokoll_4p!G90,LEN(Protokoll_4p!G90)-FIND(":",Protokoll_4p!G90))),0,1))</f>
        <v>0</v>
      </c>
      <c r="K84" s="1">
        <f>IF(Protokoll_4p!H90="","",IF(VALUE(LEFT(Protokoll_4p!H90,FIND(":",Protokoll_4p!H90)-1))&gt;VALUE(RIGHT(Protokoll_4p!H90,LEN(Protokoll_4p!H90)-FIND(":",Protokoll_4p!H90))),0,1))</f>
        <v>0</v>
      </c>
      <c r="L84" s="1" t="str">
        <f>IF(Protokoll_4p!I90="","",IF(VALUE(LEFT(Protokoll_4p!I90,FIND(":",Protokoll_4p!I90)-1))&gt;VALUE(RIGHT(Protokoll_4p!I90,LEN(Protokoll_4p!I90)-FIND(":",Protokoll_4p!I90))),0,1))</f>
        <v/>
      </c>
      <c r="M84" s="1" t="str">
        <f>IF(Protokoll_4p!J90="","",IF(VALUE(LEFT(Protokoll_4p!J90,FIND(":",Protokoll_4p!J90)-1))&gt;VALUE(RIGHT(Protokoll_4p!J90,LEN(Protokoll_4p!J90)-FIND(":",Protokoll_4p!J90))),0,1))</f>
        <v/>
      </c>
      <c r="N84" s="1">
        <f t="shared" si="3"/>
        <v>0</v>
      </c>
    </row>
    <row r="85" spans="2:14">
      <c r="B85" s="1">
        <f>IF(Protokoll_4p!F91="","",IF(VALUE(LEFT(Protokoll_4p!F91,FIND(":",Protokoll_4p!F91)-1))&gt;VALUE(RIGHT(Protokoll_4p!F91,LEN(Protokoll_4p!F91)-FIND(":",Protokoll_4p!F91))),1,0))</f>
        <v>1</v>
      </c>
      <c r="C85" s="1">
        <f>IF(Protokoll_4p!G91="","",IF(VALUE(LEFT(Protokoll_4p!G91,FIND(":",Protokoll_4p!G91)-1))&gt;VALUE(RIGHT(Protokoll_4p!G91,LEN(Protokoll_4p!G91)-FIND(":",Protokoll_4p!G91))),1,0))</f>
        <v>1</v>
      </c>
      <c r="D85" s="1">
        <f>IF(Protokoll_4p!H91="","",IF(VALUE(LEFT(Protokoll_4p!H91,FIND(":",Protokoll_4p!H91)-1))&gt;VALUE(RIGHT(Protokoll_4p!H91,LEN(Protokoll_4p!H91)-FIND(":",Protokoll_4p!H91))),1,0))</f>
        <v>0</v>
      </c>
      <c r="E85" s="1">
        <f>IF(Protokoll_4p!I91="","",IF(VALUE(LEFT(Protokoll_4p!I91,FIND(":",Protokoll_4p!I91)-1))&gt;VALUE(RIGHT(Protokoll_4p!I91,LEN(Protokoll_4p!I91)-FIND(":",Protokoll_4p!I91))),1,0))</f>
        <v>0</v>
      </c>
      <c r="F85" s="1">
        <f>IF(Protokoll_4p!J91="","",IF(VALUE(LEFT(Protokoll_4p!J91,FIND(":",Protokoll_4p!J91)-1))&gt;VALUE(RIGHT(Protokoll_4p!J91,LEN(Protokoll_4p!J91)-FIND(":",Protokoll_4p!J91))),1,0))</f>
        <v>1</v>
      </c>
      <c r="G85" s="1">
        <f t="shared" si="2"/>
        <v>3</v>
      </c>
      <c r="I85" s="1">
        <f>IF(Protokoll_4p!F91="","",IF(VALUE(LEFT(Protokoll_4p!F91,FIND(":",Protokoll_4p!F91)-1))&gt;VALUE(RIGHT(Protokoll_4p!F91,LEN(Protokoll_4p!F91)-FIND(":",Protokoll_4p!F91))),0,1))</f>
        <v>0</v>
      </c>
      <c r="J85" s="1">
        <f>IF(Protokoll_4p!G91="","",IF(VALUE(LEFT(Protokoll_4p!G91,FIND(":",Protokoll_4p!G91)-1))&gt;VALUE(RIGHT(Protokoll_4p!G91,LEN(Protokoll_4p!G91)-FIND(":",Protokoll_4p!G91))),0,1))</f>
        <v>0</v>
      </c>
      <c r="K85" s="1">
        <f>IF(Protokoll_4p!H91="","",IF(VALUE(LEFT(Protokoll_4p!H91,FIND(":",Protokoll_4p!H91)-1))&gt;VALUE(RIGHT(Protokoll_4p!H91,LEN(Protokoll_4p!H91)-FIND(":",Protokoll_4p!H91))),0,1))</f>
        <v>1</v>
      </c>
      <c r="L85" s="1">
        <f>IF(Protokoll_4p!I91="","",IF(VALUE(LEFT(Protokoll_4p!I91,FIND(":",Protokoll_4p!I91)-1))&gt;VALUE(RIGHT(Protokoll_4p!I91,LEN(Protokoll_4p!I91)-FIND(":",Protokoll_4p!I91))),0,1))</f>
        <v>1</v>
      </c>
      <c r="M85" s="1">
        <f>IF(Protokoll_4p!J91="","",IF(VALUE(LEFT(Protokoll_4p!J91,FIND(":",Protokoll_4p!J91)-1))&gt;VALUE(RIGHT(Protokoll_4p!J91,LEN(Protokoll_4p!J91)-FIND(":",Protokoll_4p!J91))),0,1))</f>
        <v>0</v>
      </c>
      <c r="N85" s="1">
        <f t="shared" si="3"/>
        <v>2</v>
      </c>
    </row>
    <row r="86" spans="2:14">
      <c r="B86" s="1" t="str">
        <f>IF(Protokoll_4p!F92="","",IF(VALUE(LEFT(Protokoll_4p!F92,FIND(":",Protokoll_4p!F92)-1))&gt;VALUE(RIGHT(Protokoll_4p!F92,LEN(Protokoll_4p!F92)-FIND(":",Protokoll_4p!F92))),1,0))</f>
        <v/>
      </c>
      <c r="C86" s="1" t="str">
        <f>IF(Protokoll_4p!G92="","",IF(VALUE(LEFT(Protokoll_4p!G92,FIND(":",Protokoll_4p!G92)-1))&gt;VALUE(RIGHT(Protokoll_4p!G92,LEN(Protokoll_4p!G92)-FIND(":",Protokoll_4p!G92))),1,0))</f>
        <v/>
      </c>
      <c r="D86" s="1" t="str">
        <f>IF(Protokoll_4p!H92="","",IF(VALUE(LEFT(Protokoll_4p!H92,FIND(":",Protokoll_4p!H92)-1))&gt;VALUE(RIGHT(Protokoll_4p!H92,LEN(Protokoll_4p!H92)-FIND(":",Protokoll_4p!H92))),1,0))</f>
        <v/>
      </c>
      <c r="E86" s="1" t="str">
        <f>IF(Protokoll_4p!I92="","",IF(VALUE(LEFT(Protokoll_4p!I92,FIND(":",Protokoll_4p!I92)-1))&gt;VALUE(RIGHT(Protokoll_4p!I92,LEN(Protokoll_4p!I92)-FIND(":",Protokoll_4p!I92))),1,0))</f>
        <v/>
      </c>
      <c r="F86" s="1" t="str">
        <f>IF(Protokoll_4p!J92="","",IF(VALUE(LEFT(Protokoll_4p!J92,FIND(":",Protokoll_4p!J92)-1))&gt;VALUE(RIGHT(Protokoll_4p!J92,LEN(Protokoll_4p!J92)-FIND(":",Protokoll_4p!J92))),1,0))</f>
        <v/>
      </c>
      <c r="G86" s="1" t="str">
        <f t="shared" si="2"/>
        <v/>
      </c>
      <c r="I86" s="1" t="str">
        <f>IF(Protokoll_4p!F92="","",IF(VALUE(LEFT(Protokoll_4p!F92,FIND(":",Protokoll_4p!F92)-1))&gt;VALUE(RIGHT(Protokoll_4p!F92,LEN(Protokoll_4p!F92)-FIND(":",Protokoll_4p!F92))),0,1))</f>
        <v/>
      </c>
      <c r="J86" s="1" t="str">
        <f>IF(Protokoll_4p!G92="","",IF(VALUE(LEFT(Protokoll_4p!G92,FIND(":",Protokoll_4p!G92)-1))&gt;VALUE(RIGHT(Protokoll_4p!G92,LEN(Protokoll_4p!G92)-FIND(":",Protokoll_4p!G92))),0,1))</f>
        <v/>
      </c>
      <c r="K86" s="1" t="str">
        <f>IF(Protokoll_4p!H92="","",IF(VALUE(LEFT(Protokoll_4p!H92,FIND(":",Protokoll_4p!H92)-1))&gt;VALUE(RIGHT(Protokoll_4p!H92,LEN(Protokoll_4p!H92)-FIND(":",Protokoll_4p!H92))),0,1))</f>
        <v/>
      </c>
      <c r="L86" s="1" t="str">
        <f>IF(Protokoll_4p!I92="","",IF(VALUE(LEFT(Protokoll_4p!I92,FIND(":",Protokoll_4p!I92)-1))&gt;VALUE(RIGHT(Protokoll_4p!I92,LEN(Protokoll_4p!I92)-FIND(":",Protokoll_4p!I92))),0,1))</f>
        <v/>
      </c>
      <c r="M86" s="1" t="str">
        <f>IF(Protokoll_4p!J92="","",IF(VALUE(LEFT(Protokoll_4p!J92,FIND(":",Protokoll_4p!J92)-1))&gt;VALUE(RIGHT(Protokoll_4p!J92,LEN(Protokoll_4p!J92)-FIND(":",Protokoll_4p!J92))),0,1))</f>
        <v/>
      </c>
      <c r="N86" s="1" t="str">
        <f t="shared" si="3"/>
        <v/>
      </c>
    </row>
    <row r="87" spans="2:14">
      <c r="B87" s="1">
        <f>IF(Protokoll_4p!F93="","",IF(VALUE(LEFT(Protokoll_4p!F93,FIND(":",Protokoll_4p!F93)-1))&gt;VALUE(RIGHT(Protokoll_4p!F93,LEN(Protokoll_4p!F93)-FIND(":",Protokoll_4p!F93))),1,0))</f>
        <v>1</v>
      </c>
      <c r="C87" s="1">
        <f>IF(Protokoll_4p!G93="","",IF(VALUE(LEFT(Protokoll_4p!G93,FIND(":",Protokoll_4p!G93)-1))&gt;VALUE(RIGHT(Protokoll_4p!G93,LEN(Protokoll_4p!G93)-FIND(":",Protokoll_4p!G93))),1,0))</f>
        <v>1</v>
      </c>
      <c r="D87" s="1">
        <f>IF(Protokoll_4p!H93="","",IF(VALUE(LEFT(Protokoll_4p!H93,FIND(":",Protokoll_4p!H93)-1))&gt;VALUE(RIGHT(Protokoll_4p!H93,LEN(Protokoll_4p!H93)-FIND(":",Protokoll_4p!H93))),1,0))</f>
        <v>1</v>
      </c>
      <c r="E87" s="1" t="str">
        <f>IF(Protokoll_4p!I93="","",IF(VALUE(LEFT(Protokoll_4p!I93,FIND(":",Protokoll_4p!I93)-1))&gt;VALUE(RIGHT(Protokoll_4p!I93,LEN(Protokoll_4p!I93)-FIND(":",Protokoll_4p!I93))),1,0))</f>
        <v/>
      </c>
      <c r="F87" s="1" t="str">
        <f>IF(Protokoll_4p!J93="","",IF(VALUE(LEFT(Protokoll_4p!J93,FIND(":",Protokoll_4p!J93)-1))&gt;VALUE(RIGHT(Protokoll_4p!J93,LEN(Protokoll_4p!J93)-FIND(":",Protokoll_4p!J93))),1,0))</f>
        <v/>
      </c>
      <c r="G87" s="1">
        <f t="shared" si="2"/>
        <v>3</v>
      </c>
      <c r="I87" s="1">
        <f>IF(Protokoll_4p!F93="","",IF(VALUE(LEFT(Protokoll_4p!F93,FIND(":",Protokoll_4p!F93)-1))&gt;VALUE(RIGHT(Protokoll_4p!F93,LEN(Protokoll_4p!F93)-FIND(":",Protokoll_4p!F93))),0,1))</f>
        <v>0</v>
      </c>
      <c r="J87" s="1">
        <f>IF(Protokoll_4p!G93="","",IF(VALUE(LEFT(Protokoll_4p!G93,FIND(":",Protokoll_4p!G93)-1))&gt;VALUE(RIGHT(Protokoll_4p!G93,LEN(Protokoll_4p!G93)-FIND(":",Protokoll_4p!G93))),0,1))</f>
        <v>0</v>
      </c>
      <c r="K87" s="1">
        <f>IF(Protokoll_4p!H93="","",IF(VALUE(LEFT(Protokoll_4p!H93,FIND(":",Protokoll_4p!H93)-1))&gt;VALUE(RIGHT(Protokoll_4p!H93,LEN(Protokoll_4p!H93)-FIND(":",Protokoll_4p!H93))),0,1))</f>
        <v>0</v>
      </c>
      <c r="L87" s="1" t="str">
        <f>IF(Protokoll_4p!I93="","",IF(VALUE(LEFT(Protokoll_4p!I93,FIND(":",Protokoll_4p!I93)-1))&gt;VALUE(RIGHT(Protokoll_4p!I93,LEN(Protokoll_4p!I93)-FIND(":",Protokoll_4p!I93))),0,1))</f>
        <v/>
      </c>
      <c r="M87" s="1" t="str">
        <f>IF(Protokoll_4p!J93="","",IF(VALUE(LEFT(Protokoll_4p!J93,FIND(":",Protokoll_4p!J93)-1))&gt;VALUE(RIGHT(Protokoll_4p!J93,LEN(Protokoll_4p!J93)-FIND(":",Protokoll_4p!J93))),0,1))</f>
        <v/>
      </c>
      <c r="N87" s="1">
        <f t="shared" si="3"/>
        <v>0</v>
      </c>
    </row>
    <row r="88" spans="2:14">
      <c r="B88" s="1" t="str">
        <f>IF(Protokoll_4p!F94="","",IF(VALUE(LEFT(Protokoll_4p!F94,FIND(":",Protokoll_4p!F94)-1))&gt;VALUE(RIGHT(Protokoll_4p!F94,LEN(Protokoll_4p!F94)-FIND(":",Protokoll_4p!F94))),1,0))</f>
        <v/>
      </c>
      <c r="C88" s="1" t="str">
        <f>IF(Protokoll_4p!G94="","",IF(VALUE(LEFT(Protokoll_4p!G94,FIND(":",Protokoll_4p!G94)-1))&gt;VALUE(RIGHT(Protokoll_4p!G94,LEN(Protokoll_4p!G94)-FIND(":",Protokoll_4p!G94))),1,0))</f>
        <v/>
      </c>
      <c r="D88" s="1" t="str">
        <f>IF(Protokoll_4p!H94="","",IF(VALUE(LEFT(Protokoll_4p!H94,FIND(":",Protokoll_4p!H94)-1))&gt;VALUE(RIGHT(Protokoll_4p!H94,LEN(Protokoll_4p!H94)-FIND(":",Protokoll_4p!H94))),1,0))</f>
        <v/>
      </c>
      <c r="E88" s="1" t="str">
        <f>IF(Protokoll_4p!I94="","",IF(VALUE(LEFT(Protokoll_4p!I94,FIND(":",Protokoll_4p!I94)-1))&gt;VALUE(RIGHT(Protokoll_4p!I94,LEN(Protokoll_4p!I94)-FIND(":",Protokoll_4p!I94))),1,0))</f>
        <v/>
      </c>
      <c r="F88" s="1" t="str">
        <f>IF(Protokoll_4p!J94="","",IF(VALUE(LEFT(Protokoll_4p!J94,FIND(":",Protokoll_4p!J94)-1))&gt;VALUE(RIGHT(Protokoll_4p!J94,LEN(Protokoll_4p!J94)-FIND(":",Protokoll_4p!J94))),1,0))</f>
        <v/>
      </c>
      <c r="G88" s="1" t="str">
        <f t="shared" si="2"/>
        <v/>
      </c>
      <c r="I88" s="1" t="str">
        <f>IF(Protokoll_4p!F94="","",IF(VALUE(LEFT(Protokoll_4p!F94,FIND(":",Protokoll_4p!F94)-1))&gt;VALUE(RIGHT(Protokoll_4p!F94,LEN(Protokoll_4p!F94)-FIND(":",Protokoll_4p!F94))),0,1))</f>
        <v/>
      </c>
      <c r="J88" s="1" t="str">
        <f>IF(Protokoll_4p!G94="","",IF(VALUE(LEFT(Protokoll_4p!G94,FIND(":",Protokoll_4p!G94)-1))&gt;VALUE(RIGHT(Protokoll_4p!G94,LEN(Protokoll_4p!G94)-FIND(":",Protokoll_4p!G94))),0,1))</f>
        <v/>
      </c>
      <c r="K88" s="1" t="str">
        <f>IF(Protokoll_4p!H94="","",IF(VALUE(LEFT(Protokoll_4p!H94,FIND(":",Protokoll_4p!H94)-1))&gt;VALUE(RIGHT(Protokoll_4p!H94,LEN(Protokoll_4p!H94)-FIND(":",Protokoll_4p!H94))),0,1))</f>
        <v/>
      </c>
      <c r="L88" s="1" t="str">
        <f>IF(Protokoll_4p!I94="","",IF(VALUE(LEFT(Protokoll_4p!I94,FIND(":",Protokoll_4p!I94)-1))&gt;VALUE(RIGHT(Protokoll_4p!I94,LEN(Protokoll_4p!I94)-FIND(":",Protokoll_4p!I94))),0,1))</f>
        <v/>
      </c>
      <c r="M88" s="1" t="str">
        <f>IF(Protokoll_4p!J94="","",IF(VALUE(LEFT(Protokoll_4p!J94,FIND(":",Protokoll_4p!J94)-1))&gt;VALUE(RIGHT(Protokoll_4p!J94,LEN(Protokoll_4p!J94)-FIND(":",Protokoll_4p!J94))),0,1))</f>
        <v/>
      </c>
      <c r="N88" s="1" t="str">
        <f t="shared" si="3"/>
        <v/>
      </c>
    </row>
    <row r="89" spans="2:14">
      <c r="B89" s="1" t="str">
        <f>IF(Protokoll_4p!F95="","",IF(VALUE(LEFT(Protokoll_4p!F95,FIND(":",Protokoll_4p!F95)-1))&gt;VALUE(RIGHT(Protokoll_4p!F95,LEN(Protokoll_4p!F95)-FIND(":",Protokoll_4p!F95))),1,0))</f>
        <v/>
      </c>
      <c r="C89" s="1" t="str">
        <f>IF(Protokoll_4p!G95="","",IF(VALUE(LEFT(Protokoll_4p!G95,FIND(":",Protokoll_4p!G95)-1))&gt;VALUE(RIGHT(Protokoll_4p!G95,LEN(Protokoll_4p!G95)-FIND(":",Protokoll_4p!G95))),1,0))</f>
        <v/>
      </c>
      <c r="D89" s="1" t="str">
        <f>IF(Protokoll_4p!H95="","",IF(VALUE(LEFT(Protokoll_4p!H95,FIND(":",Protokoll_4p!H95)-1))&gt;VALUE(RIGHT(Protokoll_4p!H95,LEN(Protokoll_4p!H95)-FIND(":",Protokoll_4p!H95))),1,0))</f>
        <v/>
      </c>
      <c r="E89" s="1" t="str">
        <f>IF(Protokoll_4p!I95="","",IF(VALUE(LEFT(Protokoll_4p!I95,FIND(":",Protokoll_4p!I95)-1))&gt;VALUE(RIGHT(Protokoll_4p!I95,LEN(Protokoll_4p!I95)-FIND(":",Protokoll_4p!I95))),1,0))</f>
        <v/>
      </c>
      <c r="F89" s="1" t="str">
        <f>IF(Protokoll_4p!J95="","",IF(VALUE(LEFT(Protokoll_4p!J95,FIND(":",Protokoll_4p!J95)-1))&gt;VALUE(RIGHT(Protokoll_4p!J95,LEN(Protokoll_4p!J95)-FIND(":",Protokoll_4p!J95))),1,0))</f>
        <v/>
      </c>
      <c r="G89" s="1" t="str">
        <f t="shared" si="2"/>
        <v/>
      </c>
      <c r="I89" s="1" t="str">
        <f>IF(Protokoll_4p!F95="","",IF(VALUE(LEFT(Protokoll_4p!F95,FIND(":",Protokoll_4p!F95)-1))&gt;VALUE(RIGHT(Protokoll_4p!F95,LEN(Protokoll_4p!F95)-FIND(":",Protokoll_4p!F95))),0,1))</f>
        <v/>
      </c>
      <c r="J89" s="1" t="str">
        <f>IF(Protokoll_4p!G95="","",IF(VALUE(LEFT(Protokoll_4p!G95,FIND(":",Protokoll_4p!G95)-1))&gt;VALUE(RIGHT(Protokoll_4p!G95,LEN(Protokoll_4p!G95)-FIND(":",Protokoll_4p!G95))),0,1))</f>
        <v/>
      </c>
      <c r="K89" s="1" t="str">
        <f>IF(Protokoll_4p!H95="","",IF(VALUE(LEFT(Protokoll_4p!H95,FIND(":",Protokoll_4p!H95)-1))&gt;VALUE(RIGHT(Protokoll_4p!H95,LEN(Protokoll_4p!H95)-FIND(":",Protokoll_4p!H95))),0,1))</f>
        <v/>
      </c>
      <c r="L89" s="1" t="str">
        <f>IF(Protokoll_4p!I95="","",IF(VALUE(LEFT(Protokoll_4p!I95,FIND(":",Protokoll_4p!I95)-1))&gt;VALUE(RIGHT(Protokoll_4p!I95,LEN(Protokoll_4p!I95)-FIND(":",Protokoll_4p!I95))),0,1))</f>
        <v/>
      </c>
      <c r="M89" s="1" t="str">
        <f>IF(Protokoll_4p!J95="","",IF(VALUE(LEFT(Protokoll_4p!J95,FIND(":",Protokoll_4p!J95)-1))&gt;VALUE(RIGHT(Protokoll_4p!J95,LEN(Protokoll_4p!J95)-FIND(":",Protokoll_4p!J95))),0,1))</f>
        <v/>
      </c>
      <c r="N89" s="1" t="str">
        <f t="shared" si="3"/>
        <v/>
      </c>
    </row>
    <row r="90" spans="2:14">
      <c r="B90" s="1" t="str">
        <f>IF(Protokoll_4p!F96="","",IF(VALUE(LEFT(Protokoll_4p!F96,FIND(":",Protokoll_4p!F96)-1))&gt;VALUE(RIGHT(Protokoll_4p!F96,LEN(Protokoll_4p!F96)-FIND(":",Protokoll_4p!F96))),1,0))</f>
        <v/>
      </c>
      <c r="C90" s="1" t="str">
        <f>IF(Protokoll_4p!G96="","",IF(VALUE(LEFT(Protokoll_4p!G96,FIND(":",Protokoll_4p!G96)-1))&gt;VALUE(RIGHT(Protokoll_4p!G96,LEN(Protokoll_4p!G96)-FIND(":",Protokoll_4p!G96))),1,0))</f>
        <v/>
      </c>
      <c r="D90" s="1" t="str">
        <f>IF(Protokoll_4p!H96="","",IF(VALUE(LEFT(Protokoll_4p!H96,FIND(":",Protokoll_4p!H96)-1))&gt;VALUE(RIGHT(Protokoll_4p!H96,LEN(Protokoll_4p!H96)-FIND(":",Protokoll_4p!H96))),1,0))</f>
        <v/>
      </c>
      <c r="E90" s="1" t="str">
        <f>IF(Protokoll_4p!I96="","",IF(VALUE(LEFT(Protokoll_4p!I96,FIND(":",Protokoll_4p!I96)-1))&gt;VALUE(RIGHT(Protokoll_4p!I96,LEN(Protokoll_4p!I96)-FIND(":",Protokoll_4p!I96))),1,0))</f>
        <v/>
      </c>
      <c r="F90" s="1" t="str">
        <f>IF(Protokoll_4p!J96="","",IF(VALUE(LEFT(Protokoll_4p!J96,FIND(":",Protokoll_4p!J96)-1))&gt;VALUE(RIGHT(Protokoll_4p!J96,LEN(Protokoll_4p!J96)-FIND(":",Protokoll_4p!J96))),1,0))</f>
        <v/>
      </c>
      <c r="G90" s="1" t="str">
        <f t="shared" si="2"/>
        <v/>
      </c>
      <c r="I90" s="1" t="str">
        <f>IF(Protokoll_4p!F96="","",IF(VALUE(LEFT(Protokoll_4p!F96,FIND(":",Protokoll_4p!F96)-1))&gt;VALUE(RIGHT(Protokoll_4p!F96,LEN(Protokoll_4p!F96)-FIND(":",Protokoll_4p!F96))),0,1))</f>
        <v/>
      </c>
      <c r="J90" s="1" t="str">
        <f>IF(Protokoll_4p!G96="","",IF(VALUE(LEFT(Protokoll_4p!G96,FIND(":",Protokoll_4p!G96)-1))&gt;VALUE(RIGHT(Protokoll_4p!G96,LEN(Protokoll_4p!G96)-FIND(":",Protokoll_4p!G96))),0,1))</f>
        <v/>
      </c>
      <c r="K90" s="1" t="str">
        <f>IF(Protokoll_4p!H96="","",IF(VALUE(LEFT(Protokoll_4p!H96,FIND(":",Protokoll_4p!H96)-1))&gt;VALUE(RIGHT(Protokoll_4p!H96,LEN(Protokoll_4p!H96)-FIND(":",Protokoll_4p!H96))),0,1))</f>
        <v/>
      </c>
      <c r="L90" s="1" t="str">
        <f>IF(Protokoll_4p!I96="","",IF(VALUE(LEFT(Protokoll_4p!I96,FIND(":",Protokoll_4p!I96)-1))&gt;VALUE(RIGHT(Protokoll_4p!I96,LEN(Protokoll_4p!I96)-FIND(":",Protokoll_4p!I96))),0,1))</f>
        <v/>
      </c>
      <c r="M90" s="1" t="str">
        <f>IF(Protokoll_4p!J96="","",IF(VALUE(LEFT(Protokoll_4p!J96,FIND(":",Protokoll_4p!J96)-1))&gt;VALUE(RIGHT(Protokoll_4p!J96,LEN(Protokoll_4p!J96)-FIND(":",Protokoll_4p!J96))),0,1))</f>
        <v/>
      </c>
      <c r="N90" s="1" t="str">
        <f t="shared" si="3"/>
        <v/>
      </c>
    </row>
    <row r="91" spans="2:14">
      <c r="B91" s="1" t="e">
        <f>IF(Protokoll_4p!F97="","",IF(VALUE(LEFT(Protokoll_4p!F97,FIND(":",Protokoll_4p!F97)-1))&gt;VALUE(RIGHT(Protokoll_4p!F97,LEN(Protokoll_4p!F97)-FIND(":",Protokoll_4p!F97))),1,0))</f>
        <v>#VALUE!</v>
      </c>
      <c r="C91" s="1" t="e">
        <f>IF(Protokoll_4p!G97="","",IF(VALUE(LEFT(Protokoll_4p!G97,FIND(":",Protokoll_4p!G97)-1))&gt;VALUE(RIGHT(Protokoll_4p!G97,LEN(Protokoll_4p!G97)-FIND(":",Protokoll_4p!G97))),1,0))</f>
        <v>#VALUE!</v>
      </c>
      <c r="D91" s="1" t="e">
        <f>IF(Protokoll_4p!H97="","",IF(VALUE(LEFT(Protokoll_4p!H97,FIND(":",Protokoll_4p!H97)-1))&gt;VALUE(RIGHT(Protokoll_4p!H97,LEN(Protokoll_4p!H97)-FIND(":",Protokoll_4p!H97))),1,0))</f>
        <v>#VALUE!</v>
      </c>
      <c r="E91" s="1" t="e">
        <f>IF(Protokoll_4p!I97="","",IF(VALUE(LEFT(Protokoll_4p!I97,FIND(":",Protokoll_4p!I97)-1))&gt;VALUE(RIGHT(Protokoll_4p!I97,LEN(Protokoll_4p!I97)-FIND(":",Protokoll_4p!I97))),1,0))</f>
        <v>#VALUE!</v>
      </c>
      <c r="F91" s="1" t="e">
        <f>IF(Protokoll_4p!J97="","",IF(VALUE(LEFT(Protokoll_4p!J97,FIND(":",Protokoll_4p!J97)-1))&gt;VALUE(RIGHT(Protokoll_4p!J97,LEN(Protokoll_4p!J97)-FIND(":",Protokoll_4p!J97))),1,0))</f>
        <v>#VALUE!</v>
      </c>
      <c r="G91" s="1" t="e">
        <f t="shared" si="2"/>
        <v>#VALUE!</v>
      </c>
      <c r="I91" s="1" t="e">
        <f>IF(Protokoll_4p!F97="","",IF(VALUE(LEFT(Protokoll_4p!F97,FIND(":",Protokoll_4p!F97)-1))&gt;VALUE(RIGHT(Protokoll_4p!F97,LEN(Protokoll_4p!F97)-FIND(":",Protokoll_4p!F97))),0,1))</f>
        <v>#VALUE!</v>
      </c>
      <c r="J91" s="1" t="e">
        <f>IF(Protokoll_4p!G97="","",IF(VALUE(LEFT(Protokoll_4p!G97,FIND(":",Protokoll_4p!G97)-1))&gt;VALUE(RIGHT(Protokoll_4p!G97,LEN(Protokoll_4p!G97)-FIND(":",Protokoll_4p!G97))),0,1))</f>
        <v>#VALUE!</v>
      </c>
      <c r="K91" s="1" t="e">
        <f>IF(Protokoll_4p!H97="","",IF(VALUE(LEFT(Protokoll_4p!H97,FIND(":",Protokoll_4p!H97)-1))&gt;VALUE(RIGHT(Protokoll_4p!H97,LEN(Protokoll_4p!H97)-FIND(":",Protokoll_4p!H97))),0,1))</f>
        <v>#VALUE!</v>
      </c>
      <c r="L91" s="1" t="e">
        <f>IF(Protokoll_4p!I97="","",IF(VALUE(LEFT(Protokoll_4p!I97,FIND(":",Protokoll_4p!I97)-1))&gt;VALUE(RIGHT(Protokoll_4p!I97,LEN(Protokoll_4p!I97)-FIND(":",Protokoll_4p!I97))),0,1))</f>
        <v>#VALUE!</v>
      </c>
      <c r="M91" s="1" t="e">
        <f>IF(Protokoll_4p!J97="","",IF(VALUE(LEFT(Protokoll_4p!J97,FIND(":",Protokoll_4p!J97)-1))&gt;VALUE(RIGHT(Protokoll_4p!J97,LEN(Protokoll_4p!J97)-FIND(":",Protokoll_4p!J97))),0,1))</f>
        <v>#VALUE!</v>
      </c>
      <c r="N91" s="1" t="e">
        <f t="shared" si="3"/>
        <v>#VALUE!</v>
      </c>
    </row>
    <row r="92" spans="2:14">
      <c r="B92" s="1">
        <f>IF(Protokoll_4p!F98="","",IF(VALUE(LEFT(Protokoll_4p!F98,FIND(":",Protokoll_4p!F98)-1))&gt;VALUE(RIGHT(Protokoll_4p!F98,LEN(Protokoll_4p!F98)-FIND(":",Protokoll_4p!F98))),1,0))</f>
        <v>0</v>
      </c>
      <c r="C92" s="1">
        <f>IF(Protokoll_4p!G98="","",IF(VALUE(LEFT(Protokoll_4p!G98,FIND(":",Protokoll_4p!G98)-1))&gt;VALUE(RIGHT(Protokoll_4p!G98,LEN(Protokoll_4p!G98)-FIND(":",Protokoll_4p!G98))),1,0))</f>
        <v>0</v>
      </c>
      <c r="D92" s="1">
        <f>IF(Protokoll_4p!H98="","",IF(VALUE(LEFT(Protokoll_4p!H98,FIND(":",Protokoll_4p!H98)-1))&gt;VALUE(RIGHT(Protokoll_4p!H98,LEN(Protokoll_4p!H98)-FIND(":",Protokoll_4p!H98))),1,0))</f>
        <v>0</v>
      </c>
      <c r="E92" s="1" t="str">
        <f>IF(Protokoll_4p!I98="","",IF(VALUE(LEFT(Protokoll_4p!I98,FIND(":",Protokoll_4p!I98)-1))&gt;VALUE(RIGHT(Protokoll_4p!I98,LEN(Protokoll_4p!I98)-FIND(":",Protokoll_4p!I98))),1,0))</f>
        <v/>
      </c>
      <c r="F92" s="1" t="str">
        <f>IF(Protokoll_4p!J98="","",IF(VALUE(LEFT(Protokoll_4p!J98,FIND(":",Protokoll_4p!J98)-1))&gt;VALUE(RIGHT(Protokoll_4p!J98,LEN(Protokoll_4p!J98)-FIND(":",Protokoll_4p!J98))),1,0))</f>
        <v/>
      </c>
      <c r="G92" s="1">
        <f t="shared" si="2"/>
        <v>0</v>
      </c>
      <c r="I92" s="1">
        <f>IF(Protokoll_4p!F98="","",IF(VALUE(LEFT(Protokoll_4p!F98,FIND(":",Protokoll_4p!F98)-1))&gt;VALUE(RIGHT(Protokoll_4p!F98,LEN(Protokoll_4p!F98)-FIND(":",Protokoll_4p!F98))),0,1))</f>
        <v>1</v>
      </c>
      <c r="J92" s="1">
        <f>IF(Protokoll_4p!G98="","",IF(VALUE(LEFT(Protokoll_4p!G98,FIND(":",Protokoll_4p!G98)-1))&gt;VALUE(RIGHT(Protokoll_4p!G98,LEN(Protokoll_4p!G98)-FIND(":",Protokoll_4p!G98))),0,1))</f>
        <v>1</v>
      </c>
      <c r="K92" s="1">
        <f>IF(Protokoll_4p!H98="","",IF(VALUE(LEFT(Protokoll_4p!H98,FIND(":",Protokoll_4p!H98)-1))&gt;VALUE(RIGHT(Protokoll_4p!H98,LEN(Protokoll_4p!H98)-FIND(":",Protokoll_4p!H98))),0,1))</f>
        <v>1</v>
      </c>
      <c r="L92" s="1" t="str">
        <f>IF(Protokoll_4p!I98="","",IF(VALUE(LEFT(Protokoll_4p!I98,FIND(":",Protokoll_4p!I98)-1))&gt;VALUE(RIGHT(Protokoll_4p!I98,LEN(Protokoll_4p!I98)-FIND(":",Protokoll_4p!I98))),0,1))</f>
        <v/>
      </c>
      <c r="M92" s="1" t="str">
        <f>IF(Protokoll_4p!J98="","",IF(VALUE(LEFT(Protokoll_4p!J98,FIND(":",Protokoll_4p!J98)-1))&gt;VALUE(RIGHT(Protokoll_4p!J98,LEN(Protokoll_4p!J98)-FIND(":",Protokoll_4p!J98))),0,1))</f>
        <v/>
      </c>
      <c r="N92" s="1">
        <f t="shared" si="3"/>
        <v>3</v>
      </c>
    </row>
    <row r="93" spans="2:14">
      <c r="B93" s="1">
        <f>IF(Protokoll_4p!F99="","",IF(VALUE(LEFT(Protokoll_4p!F99,FIND(":",Protokoll_4p!F99)-1))&gt;VALUE(RIGHT(Protokoll_4p!F99,LEN(Protokoll_4p!F99)-FIND(":",Protokoll_4p!F99))),1,0))</f>
        <v>0</v>
      </c>
      <c r="C93" s="1">
        <f>IF(Protokoll_4p!G99="","",IF(VALUE(LEFT(Protokoll_4p!G99,FIND(":",Protokoll_4p!G99)-1))&gt;VALUE(RIGHT(Protokoll_4p!G99,LEN(Protokoll_4p!G99)-FIND(":",Protokoll_4p!G99))),1,0))</f>
        <v>0</v>
      </c>
      <c r="D93" s="1">
        <f>IF(Protokoll_4p!H99="","",IF(VALUE(LEFT(Protokoll_4p!H99,FIND(":",Protokoll_4p!H99)-1))&gt;VALUE(RIGHT(Protokoll_4p!H99,LEN(Protokoll_4p!H99)-FIND(":",Protokoll_4p!H99))),1,0))</f>
        <v>1</v>
      </c>
      <c r="E93" s="1">
        <f>IF(Protokoll_4p!I99="","",IF(VALUE(LEFT(Protokoll_4p!I99,FIND(":",Protokoll_4p!I99)-1))&gt;VALUE(RIGHT(Protokoll_4p!I99,LEN(Protokoll_4p!I99)-FIND(":",Protokoll_4p!I99))),1,0))</f>
        <v>0</v>
      </c>
      <c r="F93" s="1" t="str">
        <f>IF(Protokoll_4p!J99="","",IF(VALUE(LEFT(Protokoll_4p!J99,FIND(":",Protokoll_4p!J99)-1))&gt;VALUE(RIGHT(Protokoll_4p!J99,LEN(Protokoll_4p!J99)-FIND(":",Protokoll_4p!J99))),1,0))</f>
        <v/>
      </c>
      <c r="G93" s="1">
        <f t="shared" si="2"/>
        <v>1</v>
      </c>
      <c r="I93" s="1">
        <f>IF(Protokoll_4p!F99="","",IF(VALUE(LEFT(Protokoll_4p!F99,FIND(":",Protokoll_4p!F99)-1))&gt;VALUE(RIGHT(Protokoll_4p!F99,LEN(Protokoll_4p!F99)-FIND(":",Protokoll_4p!F99))),0,1))</f>
        <v>1</v>
      </c>
      <c r="J93" s="1">
        <f>IF(Protokoll_4p!G99="","",IF(VALUE(LEFT(Protokoll_4p!G99,FIND(":",Protokoll_4p!G99)-1))&gt;VALUE(RIGHT(Protokoll_4p!G99,LEN(Protokoll_4p!G99)-FIND(":",Protokoll_4p!G99))),0,1))</f>
        <v>1</v>
      </c>
      <c r="K93" s="1">
        <f>IF(Protokoll_4p!H99="","",IF(VALUE(LEFT(Protokoll_4p!H99,FIND(":",Protokoll_4p!H99)-1))&gt;VALUE(RIGHT(Protokoll_4p!H99,LEN(Protokoll_4p!H99)-FIND(":",Protokoll_4p!H99))),0,1))</f>
        <v>0</v>
      </c>
      <c r="L93" s="1">
        <f>IF(Protokoll_4p!I99="","",IF(VALUE(LEFT(Protokoll_4p!I99,FIND(":",Protokoll_4p!I99)-1))&gt;VALUE(RIGHT(Protokoll_4p!I99,LEN(Protokoll_4p!I99)-FIND(":",Protokoll_4p!I99))),0,1))</f>
        <v>1</v>
      </c>
      <c r="M93" s="1" t="str">
        <f>IF(Protokoll_4p!J99="","",IF(VALUE(LEFT(Protokoll_4p!J99,FIND(":",Protokoll_4p!J99)-1))&gt;VALUE(RIGHT(Protokoll_4p!J99,LEN(Protokoll_4p!J99)-FIND(":",Protokoll_4p!J99))),0,1))</f>
        <v/>
      </c>
      <c r="N93" s="1">
        <f t="shared" si="3"/>
        <v>3</v>
      </c>
    </row>
    <row r="94" spans="2:14">
      <c r="B94" s="1">
        <f>IF(Protokoll_4p!F100="","",IF(VALUE(LEFT(Protokoll_4p!F100,FIND(":",Protokoll_4p!F100)-1))&gt;VALUE(RIGHT(Protokoll_4p!F100,LEN(Protokoll_4p!F100)-FIND(":",Protokoll_4p!F100))),1,0))</f>
        <v>1</v>
      </c>
      <c r="C94" s="1">
        <f>IF(Protokoll_4p!G100="","",IF(VALUE(LEFT(Protokoll_4p!G100,FIND(":",Protokoll_4p!G100)-1))&gt;VALUE(RIGHT(Protokoll_4p!G100,LEN(Protokoll_4p!G100)-FIND(":",Protokoll_4p!G100))),1,0))</f>
        <v>1</v>
      </c>
      <c r="D94" s="1">
        <f>IF(Protokoll_4p!H100="","",IF(VALUE(LEFT(Protokoll_4p!H100,FIND(":",Protokoll_4p!H100)-1))&gt;VALUE(RIGHT(Protokoll_4p!H100,LEN(Protokoll_4p!H100)-FIND(":",Protokoll_4p!H100))),1,0))</f>
        <v>1</v>
      </c>
      <c r="E94" s="1" t="str">
        <f>IF(Protokoll_4p!I100="","",IF(VALUE(LEFT(Protokoll_4p!I100,FIND(":",Protokoll_4p!I100)-1))&gt;VALUE(RIGHT(Protokoll_4p!I100,LEN(Protokoll_4p!I100)-FIND(":",Protokoll_4p!I100))),1,0))</f>
        <v/>
      </c>
      <c r="F94" s="1" t="str">
        <f>IF(Protokoll_4p!J100="","",IF(VALUE(LEFT(Protokoll_4p!J100,FIND(":",Protokoll_4p!J100)-1))&gt;VALUE(RIGHT(Protokoll_4p!J100,LEN(Protokoll_4p!J100)-FIND(":",Protokoll_4p!J100))),1,0))</f>
        <v/>
      </c>
      <c r="G94" s="1">
        <f t="shared" si="2"/>
        <v>3</v>
      </c>
      <c r="I94" s="1">
        <f>IF(Protokoll_4p!F100="","",IF(VALUE(LEFT(Protokoll_4p!F100,FIND(":",Protokoll_4p!F100)-1))&gt;VALUE(RIGHT(Protokoll_4p!F100,LEN(Protokoll_4p!F100)-FIND(":",Protokoll_4p!F100))),0,1))</f>
        <v>0</v>
      </c>
      <c r="J94" s="1">
        <f>IF(Protokoll_4p!G100="","",IF(VALUE(LEFT(Protokoll_4p!G100,FIND(":",Protokoll_4p!G100)-1))&gt;VALUE(RIGHT(Protokoll_4p!G100,LEN(Protokoll_4p!G100)-FIND(":",Protokoll_4p!G100))),0,1))</f>
        <v>0</v>
      </c>
      <c r="K94" s="1">
        <f>IF(Protokoll_4p!H100="","",IF(VALUE(LEFT(Protokoll_4p!H100,FIND(":",Protokoll_4p!H100)-1))&gt;VALUE(RIGHT(Protokoll_4p!H100,LEN(Protokoll_4p!H100)-FIND(":",Protokoll_4p!H100))),0,1))</f>
        <v>0</v>
      </c>
      <c r="L94" s="1" t="str">
        <f>IF(Protokoll_4p!I100="","",IF(VALUE(LEFT(Protokoll_4p!I100,FIND(":",Protokoll_4p!I100)-1))&gt;VALUE(RIGHT(Protokoll_4p!I100,LEN(Protokoll_4p!I100)-FIND(":",Protokoll_4p!I100))),0,1))</f>
        <v/>
      </c>
      <c r="M94" s="1" t="str">
        <f>IF(Protokoll_4p!J100="","",IF(VALUE(LEFT(Protokoll_4p!J100,FIND(":",Protokoll_4p!J100)-1))&gt;VALUE(RIGHT(Protokoll_4p!J100,LEN(Protokoll_4p!J100)-FIND(":",Protokoll_4p!J100))),0,1))</f>
        <v/>
      </c>
      <c r="N94" s="1">
        <f t="shared" si="3"/>
        <v>0</v>
      </c>
    </row>
    <row r="95" spans="2:14">
      <c r="B95" s="1">
        <f>IF(Protokoll_4p!F101="","",IF(VALUE(LEFT(Protokoll_4p!F101,FIND(":",Protokoll_4p!F101)-1))&gt;VALUE(RIGHT(Protokoll_4p!F101,LEN(Protokoll_4p!F101)-FIND(":",Protokoll_4p!F101))),1,0))</f>
        <v>0</v>
      </c>
      <c r="C95" s="1">
        <f>IF(Protokoll_4p!G101="","",IF(VALUE(LEFT(Protokoll_4p!G101,FIND(":",Protokoll_4p!G101)-1))&gt;VALUE(RIGHT(Protokoll_4p!G101,LEN(Protokoll_4p!G101)-FIND(":",Protokoll_4p!G101))),1,0))</f>
        <v>1</v>
      </c>
      <c r="D95" s="1">
        <f>IF(Protokoll_4p!H101="","",IF(VALUE(LEFT(Protokoll_4p!H101,FIND(":",Protokoll_4p!H101)-1))&gt;VALUE(RIGHT(Protokoll_4p!H101,LEN(Protokoll_4p!H101)-FIND(":",Protokoll_4p!H101))),1,0))</f>
        <v>0</v>
      </c>
      <c r="E95" s="1">
        <f>IF(Protokoll_4p!I101="","",IF(VALUE(LEFT(Protokoll_4p!I101,FIND(":",Protokoll_4p!I101)-1))&gt;VALUE(RIGHT(Protokoll_4p!I101,LEN(Protokoll_4p!I101)-FIND(":",Protokoll_4p!I101))),1,0))</f>
        <v>1</v>
      </c>
      <c r="F95" s="1">
        <f>IF(Protokoll_4p!J101="","",IF(VALUE(LEFT(Protokoll_4p!J101,FIND(":",Protokoll_4p!J101)-1))&gt;VALUE(RIGHT(Protokoll_4p!J101,LEN(Protokoll_4p!J101)-FIND(":",Protokoll_4p!J101))),1,0))</f>
        <v>0</v>
      </c>
      <c r="G95" s="1">
        <f t="shared" si="2"/>
        <v>2</v>
      </c>
      <c r="I95" s="1">
        <f>IF(Protokoll_4p!F101="","",IF(VALUE(LEFT(Protokoll_4p!F101,FIND(":",Protokoll_4p!F101)-1))&gt;VALUE(RIGHT(Protokoll_4p!F101,LEN(Protokoll_4p!F101)-FIND(":",Protokoll_4p!F101))),0,1))</f>
        <v>1</v>
      </c>
      <c r="J95" s="1">
        <f>IF(Protokoll_4p!G101="","",IF(VALUE(LEFT(Protokoll_4p!G101,FIND(":",Protokoll_4p!G101)-1))&gt;VALUE(RIGHT(Protokoll_4p!G101,LEN(Protokoll_4p!G101)-FIND(":",Protokoll_4p!G101))),0,1))</f>
        <v>0</v>
      </c>
      <c r="K95" s="1">
        <f>IF(Protokoll_4p!H101="","",IF(VALUE(LEFT(Protokoll_4p!H101,FIND(":",Protokoll_4p!H101)-1))&gt;VALUE(RIGHT(Protokoll_4p!H101,LEN(Protokoll_4p!H101)-FIND(":",Protokoll_4p!H101))),0,1))</f>
        <v>1</v>
      </c>
      <c r="L95" s="1">
        <f>IF(Protokoll_4p!I101="","",IF(VALUE(LEFT(Protokoll_4p!I101,FIND(":",Protokoll_4p!I101)-1))&gt;VALUE(RIGHT(Protokoll_4p!I101,LEN(Protokoll_4p!I101)-FIND(":",Protokoll_4p!I101))),0,1))</f>
        <v>0</v>
      </c>
      <c r="M95" s="1">
        <f>IF(Protokoll_4p!J101="","",IF(VALUE(LEFT(Protokoll_4p!J101,FIND(":",Protokoll_4p!J101)-1))&gt;VALUE(RIGHT(Protokoll_4p!J101,LEN(Protokoll_4p!J101)-FIND(":",Protokoll_4p!J101))),0,1))</f>
        <v>1</v>
      </c>
      <c r="N95" s="1">
        <f t="shared" si="3"/>
        <v>3</v>
      </c>
    </row>
    <row r="96" spans="2:14">
      <c r="B96" s="1" t="str">
        <f>IF(Protokoll_4p!F102="","",IF(VALUE(LEFT(Protokoll_4p!F102,FIND(":",Protokoll_4p!F102)-1))&gt;VALUE(RIGHT(Protokoll_4p!F102,LEN(Protokoll_4p!F102)-FIND(":",Protokoll_4p!F102))),1,0))</f>
        <v/>
      </c>
      <c r="C96" s="1" t="str">
        <f>IF(Protokoll_4p!G102="","",IF(VALUE(LEFT(Protokoll_4p!G102,FIND(":",Protokoll_4p!G102)-1))&gt;VALUE(RIGHT(Protokoll_4p!G102,LEN(Protokoll_4p!G102)-FIND(":",Protokoll_4p!G102))),1,0))</f>
        <v/>
      </c>
      <c r="D96" s="1" t="str">
        <f>IF(Protokoll_4p!H102="","",IF(VALUE(LEFT(Protokoll_4p!H102,FIND(":",Protokoll_4p!H102)-1))&gt;VALUE(RIGHT(Protokoll_4p!H102,LEN(Protokoll_4p!H102)-FIND(":",Protokoll_4p!H102))),1,0))</f>
        <v/>
      </c>
      <c r="E96" s="1" t="str">
        <f>IF(Protokoll_4p!I102="","",IF(VALUE(LEFT(Protokoll_4p!I102,FIND(":",Protokoll_4p!I102)-1))&gt;VALUE(RIGHT(Protokoll_4p!I102,LEN(Protokoll_4p!I102)-FIND(":",Protokoll_4p!I102))),1,0))</f>
        <v/>
      </c>
      <c r="F96" s="1" t="str">
        <f>IF(Protokoll_4p!J102="","",IF(VALUE(LEFT(Protokoll_4p!J102,FIND(":",Protokoll_4p!J102)-1))&gt;VALUE(RIGHT(Protokoll_4p!J102,LEN(Protokoll_4p!J102)-FIND(":",Protokoll_4p!J102))),1,0))</f>
        <v/>
      </c>
      <c r="G96" s="1" t="str">
        <f t="shared" si="2"/>
        <v/>
      </c>
      <c r="I96" s="1" t="str">
        <f>IF(Protokoll_4p!F102="","",IF(VALUE(LEFT(Protokoll_4p!F102,FIND(":",Protokoll_4p!F102)-1))&gt;VALUE(RIGHT(Protokoll_4p!F102,LEN(Protokoll_4p!F102)-FIND(":",Protokoll_4p!F102))),0,1))</f>
        <v/>
      </c>
      <c r="J96" s="1" t="str">
        <f>IF(Protokoll_4p!G102="","",IF(VALUE(LEFT(Protokoll_4p!G102,FIND(":",Protokoll_4p!G102)-1))&gt;VALUE(RIGHT(Protokoll_4p!G102,LEN(Protokoll_4p!G102)-FIND(":",Protokoll_4p!G102))),0,1))</f>
        <v/>
      </c>
      <c r="K96" s="1" t="str">
        <f>IF(Protokoll_4p!H102="","",IF(VALUE(LEFT(Protokoll_4p!H102,FIND(":",Protokoll_4p!H102)-1))&gt;VALUE(RIGHT(Protokoll_4p!H102,LEN(Protokoll_4p!H102)-FIND(":",Protokoll_4p!H102))),0,1))</f>
        <v/>
      </c>
      <c r="L96" s="1" t="str">
        <f>IF(Protokoll_4p!I102="","",IF(VALUE(LEFT(Protokoll_4p!I102,FIND(":",Protokoll_4p!I102)-1))&gt;VALUE(RIGHT(Protokoll_4p!I102,LEN(Protokoll_4p!I102)-FIND(":",Protokoll_4p!I102))),0,1))</f>
        <v/>
      </c>
      <c r="M96" s="1" t="str">
        <f>IF(Protokoll_4p!J102="","",IF(VALUE(LEFT(Protokoll_4p!J102,FIND(":",Protokoll_4p!J102)-1))&gt;VALUE(RIGHT(Protokoll_4p!J102,LEN(Protokoll_4p!J102)-FIND(":",Protokoll_4p!J102))),0,1))</f>
        <v/>
      </c>
      <c r="N96" s="1" t="str">
        <f t="shared" si="3"/>
        <v/>
      </c>
    </row>
    <row r="97" spans="2:14">
      <c r="B97" s="1">
        <f>IF(Protokoll_4p!F103="","",IF(VALUE(LEFT(Protokoll_4p!F103,FIND(":",Protokoll_4p!F103)-1))&gt;VALUE(RIGHT(Protokoll_4p!F103,LEN(Protokoll_4p!F103)-FIND(":",Protokoll_4p!F103))),1,0))</f>
        <v>0</v>
      </c>
      <c r="C97" s="1">
        <f>IF(Protokoll_4p!G103="","",IF(VALUE(LEFT(Protokoll_4p!G103,FIND(":",Protokoll_4p!G103)-1))&gt;VALUE(RIGHT(Protokoll_4p!G103,LEN(Protokoll_4p!G103)-FIND(":",Protokoll_4p!G103))),1,0))</f>
        <v>0</v>
      </c>
      <c r="D97" s="1">
        <f>IF(Protokoll_4p!H103="","",IF(VALUE(LEFT(Protokoll_4p!H103,FIND(":",Protokoll_4p!H103)-1))&gt;VALUE(RIGHT(Protokoll_4p!H103,LEN(Protokoll_4p!H103)-FIND(":",Protokoll_4p!H103))),1,0))</f>
        <v>0</v>
      </c>
      <c r="E97" s="1" t="str">
        <f>IF(Protokoll_4p!I103="","",IF(VALUE(LEFT(Protokoll_4p!I103,FIND(":",Protokoll_4p!I103)-1))&gt;VALUE(RIGHT(Protokoll_4p!I103,LEN(Protokoll_4p!I103)-FIND(":",Protokoll_4p!I103))),1,0))</f>
        <v/>
      </c>
      <c r="F97" s="1" t="str">
        <f>IF(Protokoll_4p!J103="","",IF(VALUE(LEFT(Protokoll_4p!J103,FIND(":",Protokoll_4p!J103)-1))&gt;VALUE(RIGHT(Protokoll_4p!J103,LEN(Protokoll_4p!J103)-FIND(":",Protokoll_4p!J103))),1,0))</f>
        <v/>
      </c>
      <c r="G97" s="1">
        <f t="shared" si="2"/>
        <v>0</v>
      </c>
      <c r="I97" s="1">
        <f>IF(Protokoll_4p!F103="","",IF(VALUE(LEFT(Protokoll_4p!F103,FIND(":",Protokoll_4p!F103)-1))&gt;VALUE(RIGHT(Protokoll_4p!F103,LEN(Protokoll_4p!F103)-FIND(":",Protokoll_4p!F103))),0,1))</f>
        <v>1</v>
      </c>
      <c r="J97" s="1">
        <f>IF(Protokoll_4p!G103="","",IF(VALUE(LEFT(Protokoll_4p!G103,FIND(":",Protokoll_4p!G103)-1))&gt;VALUE(RIGHT(Protokoll_4p!G103,LEN(Protokoll_4p!G103)-FIND(":",Protokoll_4p!G103))),0,1))</f>
        <v>1</v>
      </c>
      <c r="K97" s="1">
        <f>IF(Protokoll_4p!H103="","",IF(VALUE(LEFT(Protokoll_4p!H103,FIND(":",Protokoll_4p!H103)-1))&gt;VALUE(RIGHT(Protokoll_4p!H103,LEN(Protokoll_4p!H103)-FIND(":",Protokoll_4p!H103))),0,1))</f>
        <v>1</v>
      </c>
      <c r="L97" s="1" t="str">
        <f>IF(Protokoll_4p!I103="","",IF(VALUE(LEFT(Protokoll_4p!I103,FIND(":",Protokoll_4p!I103)-1))&gt;VALUE(RIGHT(Protokoll_4p!I103,LEN(Protokoll_4p!I103)-FIND(":",Protokoll_4p!I103))),0,1))</f>
        <v/>
      </c>
      <c r="M97" s="1" t="str">
        <f>IF(Protokoll_4p!J103="","",IF(VALUE(LEFT(Protokoll_4p!J103,FIND(":",Protokoll_4p!J103)-1))&gt;VALUE(RIGHT(Protokoll_4p!J103,LEN(Protokoll_4p!J103)-FIND(":",Protokoll_4p!J103))),0,1))</f>
        <v/>
      </c>
      <c r="N97" s="1">
        <f t="shared" si="3"/>
        <v>3</v>
      </c>
    </row>
    <row r="98" spans="2:14">
      <c r="B98" s="1" t="str">
        <f>IF(Protokoll_4p!F104="","",IF(VALUE(LEFT(Protokoll_4p!F104,FIND(":",Protokoll_4p!F104)-1))&gt;VALUE(RIGHT(Protokoll_4p!F104,LEN(Protokoll_4p!F104)-FIND(":",Protokoll_4p!F104))),1,0))</f>
        <v/>
      </c>
      <c r="C98" s="1" t="str">
        <f>IF(Protokoll_4p!G104="","",IF(VALUE(LEFT(Protokoll_4p!G104,FIND(":",Protokoll_4p!G104)-1))&gt;VALUE(RIGHT(Protokoll_4p!G104,LEN(Protokoll_4p!G104)-FIND(":",Protokoll_4p!G104))),1,0))</f>
        <v/>
      </c>
      <c r="D98" s="1" t="str">
        <f>IF(Protokoll_4p!H104="","",IF(VALUE(LEFT(Protokoll_4p!H104,FIND(":",Protokoll_4p!H104)-1))&gt;VALUE(RIGHT(Protokoll_4p!H104,LEN(Protokoll_4p!H104)-FIND(":",Protokoll_4p!H104))),1,0))</f>
        <v/>
      </c>
      <c r="E98" s="1" t="str">
        <f>IF(Protokoll_4p!I104="","",IF(VALUE(LEFT(Protokoll_4p!I104,FIND(":",Protokoll_4p!I104)-1))&gt;VALUE(RIGHT(Protokoll_4p!I104,LEN(Protokoll_4p!I104)-FIND(":",Protokoll_4p!I104))),1,0))</f>
        <v/>
      </c>
      <c r="F98" s="1" t="str">
        <f>IF(Protokoll_4p!J104="","",IF(VALUE(LEFT(Protokoll_4p!J104,FIND(":",Protokoll_4p!J104)-1))&gt;VALUE(RIGHT(Protokoll_4p!J104,LEN(Protokoll_4p!J104)-FIND(":",Protokoll_4p!J104))),1,0))</f>
        <v/>
      </c>
      <c r="G98" s="1" t="str">
        <f t="shared" si="2"/>
        <v/>
      </c>
      <c r="I98" s="1" t="str">
        <f>IF(Protokoll_4p!F104="","",IF(VALUE(LEFT(Protokoll_4p!F104,FIND(":",Protokoll_4p!F104)-1))&gt;VALUE(RIGHT(Protokoll_4p!F104,LEN(Protokoll_4p!F104)-FIND(":",Protokoll_4p!F104))),0,1))</f>
        <v/>
      </c>
      <c r="J98" s="1" t="str">
        <f>IF(Protokoll_4p!G104="","",IF(VALUE(LEFT(Protokoll_4p!G104,FIND(":",Protokoll_4p!G104)-1))&gt;VALUE(RIGHT(Protokoll_4p!G104,LEN(Protokoll_4p!G104)-FIND(":",Protokoll_4p!G104))),0,1))</f>
        <v/>
      </c>
      <c r="K98" s="1" t="str">
        <f>IF(Protokoll_4p!H104="","",IF(VALUE(LEFT(Protokoll_4p!H104,FIND(":",Protokoll_4p!H104)-1))&gt;VALUE(RIGHT(Protokoll_4p!H104,LEN(Protokoll_4p!H104)-FIND(":",Protokoll_4p!H104))),0,1))</f>
        <v/>
      </c>
      <c r="L98" s="1" t="str">
        <f>IF(Protokoll_4p!I104="","",IF(VALUE(LEFT(Protokoll_4p!I104,FIND(":",Protokoll_4p!I104)-1))&gt;VALUE(RIGHT(Protokoll_4p!I104,LEN(Protokoll_4p!I104)-FIND(":",Protokoll_4p!I104))),0,1))</f>
        <v/>
      </c>
      <c r="M98" s="1" t="str">
        <f>IF(Protokoll_4p!J104="","",IF(VALUE(LEFT(Protokoll_4p!J104,FIND(":",Protokoll_4p!J104)-1))&gt;VALUE(RIGHT(Protokoll_4p!J104,LEN(Protokoll_4p!J104)-FIND(":",Protokoll_4p!J104))),0,1))</f>
        <v/>
      </c>
      <c r="N98" s="1" t="str">
        <f t="shared" si="3"/>
        <v/>
      </c>
    </row>
    <row r="99" spans="2:14">
      <c r="B99" s="1" t="str">
        <f>IF(Protokoll_4p!F105="","",IF(VALUE(LEFT(Protokoll_4p!F105,FIND(":",Protokoll_4p!F105)-1))&gt;VALUE(RIGHT(Protokoll_4p!F105,LEN(Protokoll_4p!F105)-FIND(":",Protokoll_4p!F105))),1,0))</f>
        <v/>
      </c>
      <c r="C99" s="1" t="str">
        <f>IF(Protokoll_4p!G105="","",IF(VALUE(LEFT(Protokoll_4p!G105,FIND(":",Protokoll_4p!G105)-1))&gt;VALUE(RIGHT(Protokoll_4p!G105,LEN(Protokoll_4p!G105)-FIND(":",Protokoll_4p!G105))),1,0))</f>
        <v/>
      </c>
      <c r="D99" s="1" t="str">
        <f>IF(Protokoll_4p!H105="","",IF(VALUE(LEFT(Protokoll_4p!H105,FIND(":",Protokoll_4p!H105)-1))&gt;VALUE(RIGHT(Protokoll_4p!H105,LEN(Protokoll_4p!H105)-FIND(":",Protokoll_4p!H105))),1,0))</f>
        <v/>
      </c>
      <c r="E99" s="1" t="str">
        <f>IF(Protokoll_4p!I105="","",IF(VALUE(LEFT(Protokoll_4p!I105,FIND(":",Protokoll_4p!I105)-1))&gt;VALUE(RIGHT(Protokoll_4p!I105,LEN(Protokoll_4p!I105)-FIND(":",Protokoll_4p!I105))),1,0))</f>
        <v/>
      </c>
      <c r="F99" s="1" t="str">
        <f>IF(Protokoll_4p!J105="","",IF(VALUE(LEFT(Protokoll_4p!J105,FIND(":",Protokoll_4p!J105)-1))&gt;VALUE(RIGHT(Protokoll_4p!J105,LEN(Protokoll_4p!J105)-FIND(":",Protokoll_4p!J105))),1,0))</f>
        <v/>
      </c>
      <c r="G99" s="1" t="str">
        <f t="shared" si="2"/>
        <v/>
      </c>
      <c r="I99" s="1" t="str">
        <f>IF(Protokoll_4p!F105="","",IF(VALUE(LEFT(Protokoll_4p!F105,FIND(":",Protokoll_4p!F105)-1))&gt;VALUE(RIGHT(Protokoll_4p!F105,LEN(Protokoll_4p!F105)-FIND(":",Protokoll_4p!F105))),0,1))</f>
        <v/>
      </c>
      <c r="J99" s="1" t="str">
        <f>IF(Protokoll_4p!G105="","",IF(VALUE(LEFT(Protokoll_4p!G105,FIND(":",Protokoll_4p!G105)-1))&gt;VALUE(RIGHT(Protokoll_4p!G105,LEN(Protokoll_4p!G105)-FIND(":",Protokoll_4p!G105))),0,1))</f>
        <v/>
      </c>
      <c r="K99" s="1" t="str">
        <f>IF(Protokoll_4p!H105="","",IF(VALUE(LEFT(Protokoll_4p!H105,FIND(":",Protokoll_4p!H105)-1))&gt;VALUE(RIGHT(Protokoll_4p!H105,LEN(Protokoll_4p!H105)-FIND(":",Protokoll_4p!H105))),0,1))</f>
        <v/>
      </c>
      <c r="L99" s="1" t="str">
        <f>IF(Protokoll_4p!I105="","",IF(VALUE(LEFT(Protokoll_4p!I105,FIND(":",Protokoll_4p!I105)-1))&gt;VALUE(RIGHT(Protokoll_4p!I105,LEN(Protokoll_4p!I105)-FIND(":",Protokoll_4p!I105))),0,1))</f>
        <v/>
      </c>
      <c r="M99" s="1" t="str">
        <f>IF(Protokoll_4p!J105="","",IF(VALUE(LEFT(Protokoll_4p!J105,FIND(":",Protokoll_4p!J105)-1))&gt;VALUE(RIGHT(Protokoll_4p!J105,LEN(Protokoll_4p!J105)-FIND(":",Protokoll_4p!J105))),0,1))</f>
        <v/>
      </c>
      <c r="N99" s="1" t="str">
        <f t="shared" si="3"/>
        <v/>
      </c>
    </row>
    <row r="100" spans="2:14">
      <c r="B100" s="1" t="str">
        <f>IF(Protokoll_4p!F106="","",IF(VALUE(LEFT(Protokoll_4p!F106,FIND(":",Protokoll_4p!F106)-1))&gt;VALUE(RIGHT(Protokoll_4p!F106,LEN(Protokoll_4p!F106)-FIND(":",Protokoll_4p!F106))),1,0))</f>
        <v/>
      </c>
      <c r="C100" s="1" t="str">
        <f>IF(Protokoll_4p!G106="","",IF(VALUE(LEFT(Protokoll_4p!G106,FIND(":",Protokoll_4p!G106)-1))&gt;VALUE(RIGHT(Protokoll_4p!G106,LEN(Protokoll_4p!G106)-FIND(":",Protokoll_4p!G106))),1,0))</f>
        <v/>
      </c>
      <c r="D100" s="1" t="str">
        <f>IF(Protokoll_4p!H106="","",IF(VALUE(LEFT(Protokoll_4p!H106,FIND(":",Protokoll_4p!H106)-1))&gt;VALUE(RIGHT(Protokoll_4p!H106,LEN(Protokoll_4p!H106)-FIND(":",Protokoll_4p!H106))),1,0))</f>
        <v/>
      </c>
      <c r="E100" s="1" t="str">
        <f>IF(Protokoll_4p!I106="","",IF(VALUE(LEFT(Protokoll_4p!I106,FIND(":",Protokoll_4p!I106)-1))&gt;VALUE(RIGHT(Protokoll_4p!I106,LEN(Protokoll_4p!I106)-FIND(":",Protokoll_4p!I106))),1,0))</f>
        <v/>
      </c>
      <c r="F100" s="1" t="str">
        <f>IF(Protokoll_4p!J106="","",IF(VALUE(LEFT(Protokoll_4p!J106,FIND(":",Protokoll_4p!J106)-1))&gt;VALUE(RIGHT(Protokoll_4p!J106,LEN(Protokoll_4p!J106)-FIND(":",Protokoll_4p!J106))),1,0))</f>
        <v/>
      </c>
      <c r="G100" s="1" t="str">
        <f t="shared" si="2"/>
        <v/>
      </c>
      <c r="I100" s="1" t="str">
        <f>IF(Protokoll_4p!F106="","",IF(VALUE(LEFT(Protokoll_4p!F106,FIND(":",Protokoll_4p!F106)-1))&gt;VALUE(RIGHT(Protokoll_4p!F106,LEN(Protokoll_4p!F106)-FIND(":",Protokoll_4p!F106))),0,1))</f>
        <v/>
      </c>
      <c r="J100" s="1" t="str">
        <f>IF(Protokoll_4p!G106="","",IF(VALUE(LEFT(Protokoll_4p!G106,FIND(":",Protokoll_4p!G106)-1))&gt;VALUE(RIGHT(Protokoll_4p!G106,LEN(Protokoll_4p!G106)-FIND(":",Protokoll_4p!G106))),0,1))</f>
        <v/>
      </c>
      <c r="K100" s="1" t="str">
        <f>IF(Protokoll_4p!H106="","",IF(VALUE(LEFT(Protokoll_4p!H106,FIND(":",Protokoll_4p!H106)-1))&gt;VALUE(RIGHT(Protokoll_4p!H106,LEN(Protokoll_4p!H106)-FIND(":",Protokoll_4p!H106))),0,1))</f>
        <v/>
      </c>
      <c r="L100" s="1" t="str">
        <f>IF(Protokoll_4p!I106="","",IF(VALUE(LEFT(Protokoll_4p!I106,FIND(":",Protokoll_4p!I106)-1))&gt;VALUE(RIGHT(Protokoll_4p!I106,LEN(Protokoll_4p!I106)-FIND(":",Protokoll_4p!I106))),0,1))</f>
        <v/>
      </c>
      <c r="M100" s="1" t="str">
        <f>IF(Protokoll_4p!J106="","",IF(VALUE(LEFT(Protokoll_4p!J106,FIND(":",Protokoll_4p!J106)-1))&gt;VALUE(RIGHT(Protokoll_4p!J106,LEN(Protokoll_4p!J106)-FIND(":",Protokoll_4p!J106))),0,1))</f>
        <v/>
      </c>
      <c r="N100" s="1" t="str">
        <f t="shared" si="3"/>
        <v/>
      </c>
    </row>
    <row r="101" spans="2:14">
      <c r="B101" s="1" t="e">
        <f>IF(Protokoll_4p!F107="","",IF(VALUE(LEFT(Protokoll_4p!F107,FIND(":",Protokoll_4p!F107)-1))&gt;VALUE(RIGHT(Protokoll_4p!F107,LEN(Protokoll_4p!F107)-FIND(":",Protokoll_4p!F107))),1,0))</f>
        <v>#VALUE!</v>
      </c>
      <c r="C101" s="1" t="e">
        <f>IF(Protokoll_4p!G107="","",IF(VALUE(LEFT(Protokoll_4p!G107,FIND(":",Protokoll_4p!G107)-1))&gt;VALUE(RIGHT(Protokoll_4p!G107,LEN(Protokoll_4p!G107)-FIND(":",Protokoll_4p!G107))),1,0))</f>
        <v>#VALUE!</v>
      </c>
      <c r="D101" s="1" t="e">
        <f>IF(Protokoll_4p!H107="","",IF(VALUE(LEFT(Protokoll_4p!H107,FIND(":",Protokoll_4p!H107)-1))&gt;VALUE(RIGHT(Protokoll_4p!H107,LEN(Protokoll_4p!H107)-FIND(":",Protokoll_4p!H107))),1,0))</f>
        <v>#VALUE!</v>
      </c>
      <c r="E101" s="1" t="e">
        <f>IF(Protokoll_4p!I107="","",IF(VALUE(LEFT(Protokoll_4p!I107,FIND(":",Protokoll_4p!I107)-1))&gt;VALUE(RIGHT(Protokoll_4p!I107,LEN(Protokoll_4p!I107)-FIND(":",Protokoll_4p!I107))),1,0))</f>
        <v>#VALUE!</v>
      </c>
      <c r="F101" s="1" t="e">
        <f>IF(Protokoll_4p!J107="","",IF(VALUE(LEFT(Protokoll_4p!J107,FIND(":",Protokoll_4p!J107)-1))&gt;VALUE(RIGHT(Protokoll_4p!J107,LEN(Protokoll_4p!J107)-FIND(":",Protokoll_4p!J107))),1,0))</f>
        <v>#VALUE!</v>
      </c>
      <c r="G101" s="1" t="e">
        <f t="shared" si="2"/>
        <v>#VALUE!</v>
      </c>
      <c r="I101" s="1" t="e">
        <f>IF(Protokoll_4p!F107="","",IF(VALUE(LEFT(Protokoll_4p!F107,FIND(":",Protokoll_4p!F107)-1))&gt;VALUE(RIGHT(Protokoll_4p!F107,LEN(Protokoll_4p!F107)-FIND(":",Protokoll_4p!F107))),0,1))</f>
        <v>#VALUE!</v>
      </c>
      <c r="J101" s="1" t="e">
        <f>IF(Protokoll_4p!G107="","",IF(VALUE(LEFT(Protokoll_4p!G107,FIND(":",Protokoll_4p!G107)-1))&gt;VALUE(RIGHT(Protokoll_4p!G107,LEN(Protokoll_4p!G107)-FIND(":",Protokoll_4p!G107))),0,1))</f>
        <v>#VALUE!</v>
      </c>
      <c r="K101" s="1" t="e">
        <f>IF(Protokoll_4p!H107="","",IF(VALUE(LEFT(Protokoll_4p!H107,FIND(":",Protokoll_4p!H107)-1))&gt;VALUE(RIGHT(Protokoll_4p!H107,LEN(Protokoll_4p!H107)-FIND(":",Protokoll_4p!H107))),0,1))</f>
        <v>#VALUE!</v>
      </c>
      <c r="L101" s="1" t="e">
        <f>IF(Protokoll_4p!I107="","",IF(VALUE(LEFT(Protokoll_4p!I107,FIND(":",Protokoll_4p!I107)-1))&gt;VALUE(RIGHT(Protokoll_4p!I107,LEN(Protokoll_4p!I107)-FIND(":",Protokoll_4p!I107))),0,1))</f>
        <v>#VALUE!</v>
      </c>
      <c r="M101" s="1" t="e">
        <f>IF(Protokoll_4p!J107="","",IF(VALUE(LEFT(Protokoll_4p!J107,FIND(":",Protokoll_4p!J107)-1))&gt;VALUE(RIGHT(Protokoll_4p!J107,LEN(Protokoll_4p!J107)-FIND(":",Protokoll_4p!J107))),0,1))</f>
        <v>#VALUE!</v>
      </c>
      <c r="N101" s="1" t="e">
        <f t="shared" si="3"/>
        <v>#VALUE!</v>
      </c>
    </row>
    <row r="102" spans="2:14">
      <c r="B102" s="1">
        <f>IF(Protokoll_4p!F108="","",IF(VALUE(LEFT(Protokoll_4p!F108,FIND(":",Protokoll_4p!F108)-1))&gt;VALUE(RIGHT(Protokoll_4p!F108,LEN(Protokoll_4p!F108)-FIND(":",Protokoll_4p!F108))),1,0))</f>
        <v>0</v>
      </c>
      <c r="C102" s="1">
        <f>IF(Protokoll_4p!G108="","",IF(VALUE(LEFT(Protokoll_4p!G108,FIND(":",Protokoll_4p!G108)-1))&gt;VALUE(RIGHT(Protokoll_4p!G108,LEN(Protokoll_4p!G108)-FIND(":",Protokoll_4p!G108))),1,0))</f>
        <v>0</v>
      </c>
      <c r="D102" s="1">
        <f>IF(Protokoll_4p!H108="","",IF(VALUE(LEFT(Protokoll_4p!H108,FIND(":",Protokoll_4p!H108)-1))&gt;VALUE(RIGHT(Protokoll_4p!H108,LEN(Protokoll_4p!H108)-FIND(":",Protokoll_4p!H108))),1,0))</f>
        <v>1</v>
      </c>
      <c r="E102" s="1">
        <f>IF(Protokoll_4p!I108="","",IF(VALUE(LEFT(Protokoll_4p!I108,FIND(":",Protokoll_4p!I108)-1))&gt;VALUE(RIGHT(Protokoll_4p!I108,LEN(Protokoll_4p!I108)-FIND(":",Protokoll_4p!I108))),1,0))</f>
        <v>0</v>
      </c>
      <c r="F102" s="1" t="str">
        <f>IF(Protokoll_4p!J108="","",IF(VALUE(LEFT(Protokoll_4p!J108,FIND(":",Protokoll_4p!J108)-1))&gt;VALUE(RIGHT(Protokoll_4p!J108,LEN(Protokoll_4p!J108)-FIND(":",Protokoll_4p!J108))),1,0))</f>
        <v/>
      </c>
      <c r="G102" s="1">
        <f t="shared" si="2"/>
        <v>1</v>
      </c>
      <c r="I102" s="1">
        <f>IF(Protokoll_4p!F108="","",IF(VALUE(LEFT(Protokoll_4p!F108,FIND(":",Protokoll_4p!F108)-1))&gt;VALUE(RIGHT(Protokoll_4p!F108,LEN(Protokoll_4p!F108)-FIND(":",Protokoll_4p!F108))),0,1))</f>
        <v>1</v>
      </c>
      <c r="J102" s="1">
        <f>IF(Protokoll_4p!G108="","",IF(VALUE(LEFT(Protokoll_4p!G108,FIND(":",Protokoll_4p!G108)-1))&gt;VALUE(RIGHT(Protokoll_4p!G108,LEN(Protokoll_4p!G108)-FIND(":",Protokoll_4p!G108))),0,1))</f>
        <v>1</v>
      </c>
      <c r="K102" s="1">
        <f>IF(Protokoll_4p!H108="","",IF(VALUE(LEFT(Protokoll_4p!H108,FIND(":",Protokoll_4p!H108)-1))&gt;VALUE(RIGHT(Protokoll_4p!H108,LEN(Protokoll_4p!H108)-FIND(":",Protokoll_4p!H108))),0,1))</f>
        <v>0</v>
      </c>
      <c r="L102" s="1">
        <f>IF(Protokoll_4p!I108="","",IF(VALUE(LEFT(Protokoll_4p!I108,FIND(":",Protokoll_4p!I108)-1))&gt;VALUE(RIGHT(Protokoll_4p!I108,LEN(Protokoll_4p!I108)-FIND(":",Protokoll_4p!I108))),0,1))</f>
        <v>1</v>
      </c>
      <c r="M102" s="1" t="str">
        <f>IF(Protokoll_4p!J108="","",IF(VALUE(LEFT(Protokoll_4p!J108,FIND(":",Protokoll_4p!J108)-1))&gt;VALUE(RIGHT(Protokoll_4p!J108,LEN(Protokoll_4p!J108)-FIND(":",Protokoll_4p!J108))),0,1))</f>
        <v/>
      </c>
      <c r="N102" s="1">
        <f t="shared" si="3"/>
        <v>3</v>
      </c>
    </row>
    <row r="103" spans="2:14">
      <c r="B103" s="1">
        <f>IF(Protokoll_4p!F109="","",IF(VALUE(LEFT(Protokoll_4p!F109,FIND(":",Protokoll_4p!F109)-1))&gt;VALUE(RIGHT(Protokoll_4p!F109,LEN(Protokoll_4p!F109)-FIND(":",Protokoll_4p!F109))),1,0))</f>
        <v>0</v>
      </c>
      <c r="C103" s="1">
        <f>IF(Protokoll_4p!G109="","",IF(VALUE(LEFT(Protokoll_4p!G109,FIND(":",Protokoll_4p!G109)-1))&gt;VALUE(RIGHT(Protokoll_4p!G109,LEN(Protokoll_4p!G109)-FIND(":",Protokoll_4p!G109))),1,0))</f>
        <v>1</v>
      </c>
      <c r="D103" s="1">
        <f>IF(Protokoll_4p!H109="","",IF(VALUE(LEFT(Protokoll_4p!H109,FIND(":",Protokoll_4p!H109)-1))&gt;VALUE(RIGHT(Protokoll_4p!H109,LEN(Protokoll_4p!H109)-FIND(":",Protokoll_4p!H109))),1,0))</f>
        <v>1</v>
      </c>
      <c r="E103" s="1">
        <f>IF(Protokoll_4p!I109="","",IF(VALUE(LEFT(Protokoll_4p!I109,FIND(":",Protokoll_4p!I109)-1))&gt;VALUE(RIGHT(Protokoll_4p!I109,LEN(Protokoll_4p!I109)-FIND(":",Protokoll_4p!I109))),1,0))</f>
        <v>0</v>
      </c>
      <c r="F103" s="1">
        <f>IF(Protokoll_4p!J109="","",IF(VALUE(LEFT(Protokoll_4p!J109,FIND(":",Protokoll_4p!J109)-1))&gt;VALUE(RIGHT(Protokoll_4p!J109,LEN(Protokoll_4p!J109)-FIND(":",Protokoll_4p!J109))),1,0))</f>
        <v>0</v>
      </c>
      <c r="G103" s="1">
        <f t="shared" si="2"/>
        <v>2</v>
      </c>
      <c r="I103" s="1">
        <f>IF(Protokoll_4p!F109="","",IF(VALUE(LEFT(Protokoll_4p!F109,FIND(":",Protokoll_4p!F109)-1))&gt;VALUE(RIGHT(Protokoll_4p!F109,LEN(Protokoll_4p!F109)-FIND(":",Protokoll_4p!F109))),0,1))</f>
        <v>1</v>
      </c>
      <c r="J103" s="1">
        <f>IF(Protokoll_4p!G109="","",IF(VALUE(LEFT(Protokoll_4p!G109,FIND(":",Protokoll_4p!G109)-1))&gt;VALUE(RIGHT(Protokoll_4p!G109,LEN(Protokoll_4p!G109)-FIND(":",Protokoll_4p!G109))),0,1))</f>
        <v>0</v>
      </c>
      <c r="K103" s="1">
        <f>IF(Protokoll_4p!H109="","",IF(VALUE(LEFT(Protokoll_4p!H109,FIND(":",Protokoll_4p!H109)-1))&gt;VALUE(RIGHT(Protokoll_4p!H109,LEN(Protokoll_4p!H109)-FIND(":",Protokoll_4p!H109))),0,1))</f>
        <v>0</v>
      </c>
      <c r="L103" s="1">
        <f>IF(Protokoll_4p!I109="","",IF(VALUE(LEFT(Protokoll_4p!I109,FIND(":",Protokoll_4p!I109)-1))&gt;VALUE(RIGHT(Protokoll_4p!I109,LEN(Protokoll_4p!I109)-FIND(":",Protokoll_4p!I109))),0,1))</f>
        <v>1</v>
      </c>
      <c r="M103" s="1">
        <f>IF(Protokoll_4p!J109="","",IF(VALUE(LEFT(Protokoll_4p!J109,FIND(":",Protokoll_4p!J109)-1))&gt;VALUE(RIGHT(Protokoll_4p!J109,LEN(Protokoll_4p!J109)-FIND(":",Protokoll_4p!J109))),0,1))</f>
        <v>1</v>
      </c>
      <c r="N103" s="1">
        <f t="shared" si="3"/>
        <v>3</v>
      </c>
    </row>
    <row r="104" spans="2:14">
      <c r="B104" s="1">
        <f>IF(Protokoll_4p!F110="","",IF(VALUE(LEFT(Protokoll_4p!F110,FIND(":",Protokoll_4p!F110)-1))&gt;VALUE(RIGHT(Protokoll_4p!F110,LEN(Protokoll_4p!F110)-FIND(":",Protokoll_4p!F110))),1,0))</f>
        <v>0</v>
      </c>
      <c r="C104" s="1">
        <f>IF(Protokoll_4p!G110="","",IF(VALUE(LEFT(Protokoll_4p!G110,FIND(":",Protokoll_4p!G110)-1))&gt;VALUE(RIGHT(Protokoll_4p!G110,LEN(Protokoll_4p!G110)-FIND(":",Protokoll_4p!G110))),1,0))</f>
        <v>0</v>
      </c>
      <c r="D104" s="1">
        <f>IF(Protokoll_4p!H110="","",IF(VALUE(LEFT(Protokoll_4p!H110,FIND(":",Protokoll_4p!H110)-1))&gt;VALUE(RIGHT(Protokoll_4p!H110,LEN(Protokoll_4p!H110)-FIND(":",Protokoll_4p!H110))),1,0))</f>
        <v>0</v>
      </c>
      <c r="E104" s="1" t="str">
        <f>IF(Protokoll_4p!I110="","",IF(VALUE(LEFT(Protokoll_4p!I110,FIND(":",Protokoll_4p!I110)-1))&gt;VALUE(RIGHT(Protokoll_4p!I110,LEN(Protokoll_4p!I110)-FIND(":",Protokoll_4p!I110))),1,0))</f>
        <v/>
      </c>
      <c r="F104" s="1" t="str">
        <f>IF(Protokoll_4p!J110="","",IF(VALUE(LEFT(Protokoll_4p!J110,FIND(":",Protokoll_4p!J110)-1))&gt;VALUE(RIGHT(Protokoll_4p!J110,LEN(Protokoll_4p!J110)-FIND(":",Protokoll_4p!J110))),1,0))</f>
        <v/>
      </c>
      <c r="G104" s="1">
        <f t="shared" si="2"/>
        <v>0</v>
      </c>
      <c r="I104" s="1">
        <f>IF(Protokoll_4p!F110="","",IF(VALUE(LEFT(Protokoll_4p!F110,FIND(":",Protokoll_4p!F110)-1))&gt;VALUE(RIGHT(Protokoll_4p!F110,LEN(Protokoll_4p!F110)-FIND(":",Protokoll_4p!F110))),0,1))</f>
        <v>1</v>
      </c>
      <c r="J104" s="1">
        <f>IF(Protokoll_4p!G110="","",IF(VALUE(LEFT(Protokoll_4p!G110,FIND(":",Protokoll_4p!G110)-1))&gt;VALUE(RIGHT(Protokoll_4p!G110,LEN(Protokoll_4p!G110)-FIND(":",Protokoll_4p!G110))),0,1))</f>
        <v>1</v>
      </c>
      <c r="K104" s="1">
        <f>IF(Protokoll_4p!H110="","",IF(VALUE(LEFT(Protokoll_4p!H110,FIND(":",Protokoll_4p!H110)-1))&gt;VALUE(RIGHT(Protokoll_4p!H110,LEN(Protokoll_4p!H110)-FIND(":",Protokoll_4p!H110))),0,1))</f>
        <v>1</v>
      </c>
      <c r="L104" s="1" t="str">
        <f>IF(Protokoll_4p!I110="","",IF(VALUE(LEFT(Protokoll_4p!I110,FIND(":",Protokoll_4p!I110)-1))&gt;VALUE(RIGHT(Protokoll_4p!I110,LEN(Protokoll_4p!I110)-FIND(":",Protokoll_4p!I110))),0,1))</f>
        <v/>
      </c>
      <c r="M104" s="1" t="str">
        <f>IF(Protokoll_4p!J110="","",IF(VALUE(LEFT(Protokoll_4p!J110,FIND(":",Protokoll_4p!J110)-1))&gt;VALUE(RIGHT(Protokoll_4p!J110,LEN(Protokoll_4p!J110)-FIND(":",Protokoll_4p!J110))),0,1))</f>
        <v/>
      </c>
      <c r="N104" s="1">
        <f t="shared" si="3"/>
        <v>3</v>
      </c>
    </row>
    <row r="105" spans="2:14">
      <c r="B105" s="1">
        <f>IF(Protokoll_4p!F111="","",IF(VALUE(LEFT(Protokoll_4p!F111,FIND(":",Protokoll_4p!F111)-1))&gt;VALUE(RIGHT(Protokoll_4p!F111,LEN(Protokoll_4p!F111)-FIND(":",Protokoll_4p!F111))),1,0))</f>
        <v>0</v>
      </c>
      <c r="C105" s="1">
        <f>IF(Protokoll_4p!G111="","",IF(VALUE(LEFT(Protokoll_4p!G111,FIND(":",Protokoll_4p!G111)-1))&gt;VALUE(RIGHT(Protokoll_4p!G111,LEN(Protokoll_4p!G111)-FIND(":",Protokoll_4p!G111))),1,0))</f>
        <v>1</v>
      </c>
      <c r="D105" s="1">
        <f>IF(Protokoll_4p!H111="","",IF(VALUE(LEFT(Protokoll_4p!H111,FIND(":",Protokoll_4p!H111)-1))&gt;VALUE(RIGHT(Protokoll_4p!H111,LEN(Protokoll_4p!H111)-FIND(":",Protokoll_4p!H111))),1,0))</f>
        <v>0</v>
      </c>
      <c r="E105" s="1">
        <f>IF(Protokoll_4p!I111="","",IF(VALUE(LEFT(Protokoll_4p!I111,FIND(":",Protokoll_4p!I111)-1))&gt;VALUE(RIGHT(Protokoll_4p!I111,LEN(Protokoll_4p!I111)-FIND(":",Protokoll_4p!I111))),1,0))</f>
        <v>0</v>
      </c>
      <c r="F105" s="1" t="str">
        <f>IF(Protokoll_4p!J111="","",IF(VALUE(LEFT(Protokoll_4p!J111,FIND(":",Protokoll_4p!J111)-1))&gt;VALUE(RIGHT(Protokoll_4p!J111,LEN(Protokoll_4p!J111)-FIND(":",Protokoll_4p!J111))),1,0))</f>
        <v/>
      </c>
      <c r="G105" s="1">
        <f t="shared" si="2"/>
        <v>1</v>
      </c>
      <c r="I105" s="1">
        <f>IF(Protokoll_4p!F111="","",IF(VALUE(LEFT(Protokoll_4p!F111,FIND(":",Protokoll_4p!F111)-1))&gt;VALUE(RIGHT(Protokoll_4p!F111,LEN(Protokoll_4p!F111)-FIND(":",Protokoll_4p!F111))),0,1))</f>
        <v>1</v>
      </c>
      <c r="J105" s="1">
        <f>IF(Protokoll_4p!G111="","",IF(VALUE(LEFT(Protokoll_4p!G111,FIND(":",Protokoll_4p!G111)-1))&gt;VALUE(RIGHT(Protokoll_4p!G111,LEN(Protokoll_4p!G111)-FIND(":",Protokoll_4p!G111))),0,1))</f>
        <v>0</v>
      </c>
      <c r="K105" s="1">
        <f>IF(Protokoll_4p!H111="","",IF(VALUE(LEFT(Protokoll_4p!H111,FIND(":",Protokoll_4p!H111)-1))&gt;VALUE(RIGHT(Protokoll_4p!H111,LEN(Protokoll_4p!H111)-FIND(":",Protokoll_4p!H111))),0,1))</f>
        <v>1</v>
      </c>
      <c r="L105" s="1">
        <f>IF(Protokoll_4p!I111="","",IF(VALUE(LEFT(Protokoll_4p!I111,FIND(":",Protokoll_4p!I111)-1))&gt;VALUE(RIGHT(Protokoll_4p!I111,LEN(Protokoll_4p!I111)-FIND(":",Protokoll_4p!I111))),0,1))</f>
        <v>1</v>
      </c>
      <c r="M105" s="1" t="str">
        <f>IF(Protokoll_4p!J111="","",IF(VALUE(LEFT(Protokoll_4p!J111,FIND(":",Protokoll_4p!J111)-1))&gt;VALUE(RIGHT(Protokoll_4p!J111,LEN(Protokoll_4p!J111)-FIND(":",Protokoll_4p!J111))),0,1))</f>
        <v/>
      </c>
      <c r="N105" s="1">
        <f t="shared" si="3"/>
        <v>3</v>
      </c>
    </row>
    <row r="106" spans="2:14">
      <c r="B106" s="1" t="str">
        <f>IF(Protokoll_4p!F112="","",IF(VALUE(LEFT(Protokoll_4p!F112,FIND(":",Protokoll_4p!F112)-1))&gt;VALUE(RIGHT(Protokoll_4p!F112,LEN(Protokoll_4p!F112)-FIND(":",Protokoll_4p!F112))),1,0))</f>
        <v/>
      </c>
      <c r="C106" s="1" t="str">
        <f>IF(Protokoll_4p!G112="","",IF(VALUE(LEFT(Protokoll_4p!G112,FIND(":",Protokoll_4p!G112)-1))&gt;VALUE(RIGHT(Protokoll_4p!G112,LEN(Protokoll_4p!G112)-FIND(":",Protokoll_4p!G112))),1,0))</f>
        <v/>
      </c>
      <c r="D106" s="1" t="str">
        <f>IF(Protokoll_4p!H112="","",IF(VALUE(LEFT(Protokoll_4p!H112,FIND(":",Protokoll_4p!H112)-1))&gt;VALUE(RIGHT(Protokoll_4p!H112,LEN(Protokoll_4p!H112)-FIND(":",Protokoll_4p!H112))),1,0))</f>
        <v/>
      </c>
      <c r="E106" s="1" t="str">
        <f>IF(Protokoll_4p!I112="","",IF(VALUE(LEFT(Protokoll_4p!I112,FIND(":",Protokoll_4p!I112)-1))&gt;VALUE(RIGHT(Protokoll_4p!I112,LEN(Protokoll_4p!I112)-FIND(":",Protokoll_4p!I112))),1,0))</f>
        <v/>
      </c>
      <c r="F106" s="1" t="str">
        <f>IF(Protokoll_4p!J112="","",IF(VALUE(LEFT(Protokoll_4p!J112,FIND(":",Protokoll_4p!J112)-1))&gt;VALUE(RIGHT(Protokoll_4p!J112,LEN(Protokoll_4p!J112)-FIND(":",Protokoll_4p!J112))),1,0))</f>
        <v/>
      </c>
      <c r="G106" s="1" t="str">
        <f t="shared" si="2"/>
        <v/>
      </c>
      <c r="I106" s="1" t="str">
        <f>IF(Protokoll_4p!F112="","",IF(VALUE(LEFT(Protokoll_4p!F112,FIND(":",Protokoll_4p!F112)-1))&gt;VALUE(RIGHT(Protokoll_4p!F112,LEN(Protokoll_4p!F112)-FIND(":",Protokoll_4p!F112))),0,1))</f>
        <v/>
      </c>
      <c r="J106" s="1" t="str">
        <f>IF(Protokoll_4p!G112="","",IF(VALUE(LEFT(Protokoll_4p!G112,FIND(":",Protokoll_4p!G112)-1))&gt;VALUE(RIGHT(Protokoll_4p!G112,LEN(Protokoll_4p!G112)-FIND(":",Protokoll_4p!G112))),0,1))</f>
        <v/>
      </c>
      <c r="K106" s="1" t="str">
        <f>IF(Protokoll_4p!H112="","",IF(VALUE(LEFT(Protokoll_4p!H112,FIND(":",Protokoll_4p!H112)-1))&gt;VALUE(RIGHT(Protokoll_4p!H112,LEN(Protokoll_4p!H112)-FIND(":",Protokoll_4p!H112))),0,1))</f>
        <v/>
      </c>
      <c r="L106" s="1" t="str">
        <f>IF(Protokoll_4p!I112="","",IF(VALUE(LEFT(Protokoll_4p!I112,FIND(":",Protokoll_4p!I112)-1))&gt;VALUE(RIGHT(Protokoll_4p!I112,LEN(Protokoll_4p!I112)-FIND(":",Protokoll_4p!I112))),0,1))</f>
        <v/>
      </c>
      <c r="M106" s="1" t="str">
        <f>IF(Protokoll_4p!J112="","",IF(VALUE(LEFT(Protokoll_4p!J112,FIND(":",Protokoll_4p!J112)-1))&gt;VALUE(RIGHT(Protokoll_4p!J112,LEN(Protokoll_4p!J112)-FIND(":",Protokoll_4p!J112))),0,1))</f>
        <v/>
      </c>
      <c r="N106" s="1" t="str">
        <f t="shared" si="3"/>
        <v/>
      </c>
    </row>
    <row r="107" spans="2:14">
      <c r="B107" s="1" t="str">
        <f>IF(Protokoll_4p!F113="","",IF(VALUE(LEFT(Protokoll_4p!F113,FIND(":",Protokoll_4p!F113)-1))&gt;VALUE(RIGHT(Protokoll_4p!F113,LEN(Protokoll_4p!F113)-FIND(":",Protokoll_4p!F113))),1,0))</f>
        <v/>
      </c>
      <c r="C107" s="1" t="str">
        <f>IF(Protokoll_4p!G113="","",IF(VALUE(LEFT(Protokoll_4p!G113,FIND(":",Protokoll_4p!G113)-1))&gt;VALUE(RIGHT(Protokoll_4p!G113,LEN(Protokoll_4p!G113)-FIND(":",Protokoll_4p!G113))),1,0))</f>
        <v/>
      </c>
      <c r="D107" s="1" t="str">
        <f>IF(Protokoll_4p!H113="","",IF(VALUE(LEFT(Protokoll_4p!H113,FIND(":",Protokoll_4p!H113)-1))&gt;VALUE(RIGHT(Protokoll_4p!H113,LEN(Protokoll_4p!H113)-FIND(":",Protokoll_4p!H113))),1,0))</f>
        <v/>
      </c>
      <c r="E107" s="1" t="str">
        <f>IF(Protokoll_4p!I113="","",IF(VALUE(LEFT(Protokoll_4p!I113,FIND(":",Protokoll_4p!I113)-1))&gt;VALUE(RIGHT(Protokoll_4p!I113,LEN(Protokoll_4p!I113)-FIND(":",Protokoll_4p!I113))),1,0))</f>
        <v/>
      </c>
      <c r="F107" s="1" t="str">
        <f>IF(Protokoll_4p!J113="","",IF(VALUE(LEFT(Protokoll_4p!J113,FIND(":",Protokoll_4p!J113)-1))&gt;VALUE(RIGHT(Protokoll_4p!J113,LEN(Protokoll_4p!J113)-FIND(":",Protokoll_4p!J113))),1,0))</f>
        <v/>
      </c>
      <c r="G107" s="1" t="str">
        <f t="shared" si="2"/>
        <v/>
      </c>
      <c r="I107" s="1" t="str">
        <f>IF(Protokoll_4p!F113="","",IF(VALUE(LEFT(Protokoll_4p!F113,FIND(":",Protokoll_4p!F113)-1))&gt;VALUE(RIGHT(Protokoll_4p!F113,LEN(Protokoll_4p!F113)-FIND(":",Protokoll_4p!F113))),0,1))</f>
        <v/>
      </c>
      <c r="J107" s="1" t="str">
        <f>IF(Protokoll_4p!G113="","",IF(VALUE(LEFT(Protokoll_4p!G113,FIND(":",Protokoll_4p!G113)-1))&gt;VALUE(RIGHT(Protokoll_4p!G113,LEN(Protokoll_4p!G113)-FIND(":",Protokoll_4p!G113))),0,1))</f>
        <v/>
      </c>
      <c r="K107" s="1" t="str">
        <f>IF(Protokoll_4p!H113="","",IF(VALUE(LEFT(Protokoll_4p!H113,FIND(":",Protokoll_4p!H113)-1))&gt;VALUE(RIGHT(Protokoll_4p!H113,LEN(Protokoll_4p!H113)-FIND(":",Protokoll_4p!H113))),0,1))</f>
        <v/>
      </c>
      <c r="L107" s="1" t="str">
        <f>IF(Protokoll_4p!I113="","",IF(VALUE(LEFT(Protokoll_4p!I113,FIND(":",Protokoll_4p!I113)-1))&gt;VALUE(RIGHT(Protokoll_4p!I113,LEN(Protokoll_4p!I113)-FIND(":",Protokoll_4p!I113))),0,1))</f>
        <v/>
      </c>
      <c r="M107" s="1" t="str">
        <f>IF(Protokoll_4p!J113="","",IF(VALUE(LEFT(Protokoll_4p!J113,FIND(":",Protokoll_4p!J113)-1))&gt;VALUE(RIGHT(Protokoll_4p!J113,LEN(Protokoll_4p!J113)-FIND(":",Protokoll_4p!J113))),0,1))</f>
        <v/>
      </c>
      <c r="N107" s="1" t="str">
        <f t="shared" si="3"/>
        <v/>
      </c>
    </row>
    <row r="108" spans="2:14">
      <c r="B108" s="1" t="str">
        <f>IF(Protokoll_4p!F114="","",IF(VALUE(LEFT(Protokoll_4p!F114,FIND(":",Protokoll_4p!F114)-1))&gt;VALUE(RIGHT(Protokoll_4p!F114,LEN(Protokoll_4p!F114)-FIND(":",Protokoll_4p!F114))),1,0))</f>
        <v/>
      </c>
      <c r="C108" s="1" t="str">
        <f>IF(Protokoll_4p!G114="","",IF(VALUE(LEFT(Protokoll_4p!G114,FIND(":",Protokoll_4p!G114)-1))&gt;VALUE(RIGHT(Protokoll_4p!G114,LEN(Protokoll_4p!G114)-FIND(":",Protokoll_4p!G114))),1,0))</f>
        <v/>
      </c>
      <c r="D108" s="1" t="str">
        <f>IF(Protokoll_4p!H114="","",IF(VALUE(LEFT(Protokoll_4p!H114,FIND(":",Protokoll_4p!H114)-1))&gt;VALUE(RIGHT(Protokoll_4p!H114,LEN(Protokoll_4p!H114)-FIND(":",Protokoll_4p!H114))),1,0))</f>
        <v/>
      </c>
      <c r="E108" s="1" t="str">
        <f>IF(Protokoll_4p!I114="","",IF(VALUE(LEFT(Protokoll_4p!I114,FIND(":",Protokoll_4p!I114)-1))&gt;VALUE(RIGHT(Protokoll_4p!I114,LEN(Protokoll_4p!I114)-FIND(":",Protokoll_4p!I114))),1,0))</f>
        <v/>
      </c>
      <c r="F108" s="1" t="str">
        <f>IF(Protokoll_4p!J114="","",IF(VALUE(LEFT(Protokoll_4p!J114,FIND(":",Protokoll_4p!J114)-1))&gt;VALUE(RIGHT(Protokoll_4p!J114,LEN(Protokoll_4p!J114)-FIND(":",Protokoll_4p!J114))),1,0))</f>
        <v/>
      </c>
      <c r="G108" s="1" t="str">
        <f t="shared" si="2"/>
        <v/>
      </c>
      <c r="I108" s="1" t="str">
        <f>IF(Protokoll_4p!F114="","",IF(VALUE(LEFT(Protokoll_4p!F114,FIND(":",Protokoll_4p!F114)-1))&gt;VALUE(RIGHT(Protokoll_4p!F114,LEN(Protokoll_4p!F114)-FIND(":",Protokoll_4p!F114))),0,1))</f>
        <v/>
      </c>
      <c r="J108" s="1" t="str">
        <f>IF(Protokoll_4p!G114="","",IF(VALUE(LEFT(Protokoll_4p!G114,FIND(":",Protokoll_4p!G114)-1))&gt;VALUE(RIGHT(Protokoll_4p!G114,LEN(Protokoll_4p!G114)-FIND(":",Protokoll_4p!G114))),0,1))</f>
        <v/>
      </c>
      <c r="K108" s="1" t="str">
        <f>IF(Protokoll_4p!H114="","",IF(VALUE(LEFT(Protokoll_4p!H114,FIND(":",Protokoll_4p!H114)-1))&gt;VALUE(RIGHT(Protokoll_4p!H114,LEN(Protokoll_4p!H114)-FIND(":",Protokoll_4p!H114))),0,1))</f>
        <v/>
      </c>
      <c r="L108" s="1" t="str">
        <f>IF(Protokoll_4p!I114="","",IF(VALUE(LEFT(Protokoll_4p!I114,FIND(":",Protokoll_4p!I114)-1))&gt;VALUE(RIGHT(Protokoll_4p!I114,LEN(Protokoll_4p!I114)-FIND(":",Protokoll_4p!I114))),0,1))</f>
        <v/>
      </c>
      <c r="M108" s="1" t="str">
        <f>IF(Protokoll_4p!J114="","",IF(VALUE(LEFT(Protokoll_4p!J114,FIND(":",Protokoll_4p!J114)-1))&gt;VALUE(RIGHT(Protokoll_4p!J114,LEN(Protokoll_4p!J114)-FIND(":",Protokoll_4p!J114))),0,1))</f>
        <v/>
      </c>
      <c r="N108" s="1" t="str">
        <f t="shared" si="3"/>
        <v/>
      </c>
    </row>
    <row r="109" spans="2:14">
      <c r="B109" s="1" t="str">
        <f>IF(Protokoll_4p!F115="","",IF(VALUE(LEFT(Protokoll_4p!F115,FIND(":",Protokoll_4p!F115)-1))&gt;VALUE(RIGHT(Protokoll_4p!F115,LEN(Protokoll_4p!F115)-FIND(":",Protokoll_4p!F115))),1,0))</f>
        <v/>
      </c>
      <c r="C109" s="1" t="str">
        <f>IF(Protokoll_4p!G115="","",IF(VALUE(LEFT(Protokoll_4p!G115,FIND(":",Protokoll_4p!G115)-1))&gt;VALUE(RIGHT(Protokoll_4p!G115,LEN(Protokoll_4p!G115)-FIND(":",Protokoll_4p!G115))),1,0))</f>
        <v/>
      </c>
      <c r="D109" s="1" t="str">
        <f>IF(Protokoll_4p!H115="","",IF(VALUE(LEFT(Protokoll_4p!H115,FIND(":",Protokoll_4p!H115)-1))&gt;VALUE(RIGHT(Protokoll_4p!H115,LEN(Protokoll_4p!H115)-FIND(":",Protokoll_4p!H115))),1,0))</f>
        <v/>
      </c>
      <c r="E109" s="1" t="str">
        <f>IF(Protokoll_4p!I115="","",IF(VALUE(LEFT(Protokoll_4p!I115,FIND(":",Protokoll_4p!I115)-1))&gt;VALUE(RIGHT(Protokoll_4p!I115,LEN(Protokoll_4p!I115)-FIND(":",Protokoll_4p!I115))),1,0))</f>
        <v/>
      </c>
      <c r="F109" s="1" t="str">
        <f>IF(Protokoll_4p!J115="","",IF(VALUE(LEFT(Protokoll_4p!J115,FIND(":",Protokoll_4p!J115)-1))&gt;VALUE(RIGHT(Protokoll_4p!J115,LEN(Protokoll_4p!J115)-FIND(":",Protokoll_4p!J115))),1,0))</f>
        <v/>
      </c>
      <c r="G109" s="1" t="str">
        <f t="shared" si="2"/>
        <v/>
      </c>
      <c r="I109" s="1" t="str">
        <f>IF(Protokoll_4p!F115="","",IF(VALUE(LEFT(Protokoll_4p!F115,FIND(":",Protokoll_4p!F115)-1))&gt;VALUE(RIGHT(Protokoll_4p!F115,LEN(Protokoll_4p!F115)-FIND(":",Protokoll_4p!F115))),0,1))</f>
        <v/>
      </c>
      <c r="J109" s="1" t="str">
        <f>IF(Protokoll_4p!G115="","",IF(VALUE(LEFT(Protokoll_4p!G115,FIND(":",Protokoll_4p!G115)-1))&gt;VALUE(RIGHT(Protokoll_4p!G115,LEN(Protokoll_4p!G115)-FIND(":",Protokoll_4p!G115))),0,1))</f>
        <v/>
      </c>
      <c r="K109" s="1" t="str">
        <f>IF(Protokoll_4p!H115="","",IF(VALUE(LEFT(Protokoll_4p!H115,FIND(":",Protokoll_4p!H115)-1))&gt;VALUE(RIGHT(Protokoll_4p!H115,LEN(Protokoll_4p!H115)-FIND(":",Protokoll_4p!H115))),0,1))</f>
        <v/>
      </c>
      <c r="L109" s="1" t="str">
        <f>IF(Protokoll_4p!I115="","",IF(VALUE(LEFT(Protokoll_4p!I115,FIND(":",Protokoll_4p!I115)-1))&gt;VALUE(RIGHT(Protokoll_4p!I115,LEN(Protokoll_4p!I115)-FIND(":",Protokoll_4p!I115))),0,1))</f>
        <v/>
      </c>
      <c r="M109" s="1" t="str">
        <f>IF(Protokoll_4p!J115="","",IF(VALUE(LEFT(Protokoll_4p!J115,FIND(":",Protokoll_4p!J115)-1))&gt;VALUE(RIGHT(Protokoll_4p!J115,LEN(Protokoll_4p!J115)-FIND(":",Protokoll_4p!J115))),0,1))</f>
        <v/>
      </c>
      <c r="N109" s="1" t="str">
        <f t="shared" si="3"/>
        <v/>
      </c>
    </row>
    <row r="110" spans="2:14">
      <c r="B110" s="1" t="str">
        <f>IF(Protokoll_4p!F116="","",IF(VALUE(LEFT(Protokoll_4p!F116,FIND(":",Protokoll_4p!F116)-1))&gt;VALUE(RIGHT(Protokoll_4p!F116,LEN(Protokoll_4p!F116)-FIND(":",Protokoll_4p!F116))),1,0))</f>
        <v/>
      </c>
      <c r="C110" s="1" t="str">
        <f>IF(Protokoll_4p!G116="","",IF(VALUE(LEFT(Protokoll_4p!G116,FIND(":",Protokoll_4p!G116)-1))&gt;VALUE(RIGHT(Protokoll_4p!G116,LEN(Protokoll_4p!G116)-FIND(":",Protokoll_4p!G116))),1,0))</f>
        <v/>
      </c>
      <c r="D110" s="1" t="str">
        <f>IF(Protokoll_4p!H116="","",IF(VALUE(LEFT(Protokoll_4p!H116,FIND(":",Protokoll_4p!H116)-1))&gt;VALUE(RIGHT(Protokoll_4p!H116,LEN(Protokoll_4p!H116)-FIND(":",Protokoll_4p!H116))),1,0))</f>
        <v/>
      </c>
      <c r="E110" s="1" t="str">
        <f>IF(Protokoll_4p!I116="","",IF(VALUE(LEFT(Protokoll_4p!I116,FIND(":",Protokoll_4p!I116)-1))&gt;VALUE(RIGHT(Protokoll_4p!I116,LEN(Protokoll_4p!I116)-FIND(":",Protokoll_4p!I116))),1,0))</f>
        <v/>
      </c>
      <c r="F110" s="1" t="str">
        <f>IF(Protokoll_4p!J116="","",IF(VALUE(LEFT(Protokoll_4p!J116,FIND(":",Protokoll_4p!J116)-1))&gt;VALUE(RIGHT(Protokoll_4p!J116,LEN(Protokoll_4p!J116)-FIND(":",Protokoll_4p!J116))),1,0))</f>
        <v/>
      </c>
      <c r="G110" s="1" t="str">
        <f t="shared" si="2"/>
        <v/>
      </c>
      <c r="I110" s="1" t="str">
        <f>IF(Protokoll_4p!F116="","",IF(VALUE(LEFT(Protokoll_4p!F116,FIND(":",Protokoll_4p!F116)-1))&gt;VALUE(RIGHT(Protokoll_4p!F116,LEN(Protokoll_4p!F116)-FIND(":",Protokoll_4p!F116))),0,1))</f>
        <v/>
      </c>
      <c r="J110" s="1" t="str">
        <f>IF(Protokoll_4p!G116="","",IF(VALUE(LEFT(Protokoll_4p!G116,FIND(":",Protokoll_4p!G116)-1))&gt;VALUE(RIGHT(Protokoll_4p!G116,LEN(Protokoll_4p!G116)-FIND(":",Protokoll_4p!G116))),0,1))</f>
        <v/>
      </c>
      <c r="K110" s="1" t="str">
        <f>IF(Protokoll_4p!H116="","",IF(VALUE(LEFT(Protokoll_4p!H116,FIND(":",Protokoll_4p!H116)-1))&gt;VALUE(RIGHT(Protokoll_4p!H116,LEN(Protokoll_4p!H116)-FIND(":",Protokoll_4p!H116))),0,1))</f>
        <v/>
      </c>
      <c r="L110" s="1" t="str">
        <f>IF(Protokoll_4p!I116="","",IF(VALUE(LEFT(Protokoll_4p!I116,FIND(":",Protokoll_4p!I116)-1))&gt;VALUE(RIGHT(Protokoll_4p!I116,LEN(Protokoll_4p!I116)-FIND(":",Protokoll_4p!I116))),0,1))</f>
        <v/>
      </c>
      <c r="M110" s="1" t="str">
        <f>IF(Protokoll_4p!J116="","",IF(VALUE(LEFT(Protokoll_4p!J116,FIND(":",Protokoll_4p!J116)-1))&gt;VALUE(RIGHT(Protokoll_4p!J116,LEN(Protokoll_4p!J116)-FIND(":",Protokoll_4p!J116))),0,1))</f>
        <v/>
      </c>
      <c r="N110" s="1" t="str">
        <f t="shared" si="3"/>
        <v/>
      </c>
    </row>
    <row r="111" spans="2:14">
      <c r="B111" s="1" t="e">
        <f>IF(Protokoll_4p!F117="","",IF(VALUE(LEFT(Protokoll_4p!F117,FIND(":",Protokoll_4p!F117)-1))&gt;VALUE(RIGHT(Protokoll_4p!F117,LEN(Protokoll_4p!F117)-FIND(":",Protokoll_4p!F117))),1,0))</f>
        <v>#VALUE!</v>
      </c>
      <c r="C111" s="1" t="e">
        <f>IF(Protokoll_4p!G117="","",IF(VALUE(LEFT(Protokoll_4p!G117,FIND(":",Protokoll_4p!G117)-1))&gt;VALUE(RIGHT(Protokoll_4p!G117,LEN(Protokoll_4p!G117)-FIND(":",Protokoll_4p!G117))),1,0))</f>
        <v>#VALUE!</v>
      </c>
      <c r="D111" s="1" t="e">
        <f>IF(Protokoll_4p!H117="","",IF(VALUE(LEFT(Protokoll_4p!H117,FIND(":",Protokoll_4p!H117)-1))&gt;VALUE(RIGHT(Protokoll_4p!H117,LEN(Protokoll_4p!H117)-FIND(":",Protokoll_4p!H117))),1,0))</f>
        <v>#VALUE!</v>
      </c>
      <c r="E111" s="1" t="e">
        <f>IF(Protokoll_4p!I117="","",IF(VALUE(LEFT(Protokoll_4p!I117,FIND(":",Protokoll_4p!I117)-1))&gt;VALUE(RIGHT(Protokoll_4p!I117,LEN(Protokoll_4p!I117)-FIND(":",Protokoll_4p!I117))),1,0))</f>
        <v>#VALUE!</v>
      </c>
      <c r="F111" s="1" t="e">
        <f>IF(Protokoll_4p!J117="","",IF(VALUE(LEFT(Protokoll_4p!J117,FIND(":",Protokoll_4p!J117)-1))&gt;VALUE(RIGHT(Protokoll_4p!J117,LEN(Protokoll_4p!J117)-FIND(":",Protokoll_4p!J117))),1,0))</f>
        <v>#VALUE!</v>
      </c>
      <c r="G111" s="1" t="e">
        <f t="shared" si="2"/>
        <v>#VALUE!</v>
      </c>
      <c r="I111" s="1" t="e">
        <f>IF(Protokoll_4p!F117="","",IF(VALUE(LEFT(Protokoll_4p!F117,FIND(":",Protokoll_4p!F117)-1))&gt;VALUE(RIGHT(Protokoll_4p!F117,LEN(Protokoll_4p!F117)-FIND(":",Protokoll_4p!F117))),0,1))</f>
        <v>#VALUE!</v>
      </c>
      <c r="J111" s="1" t="e">
        <f>IF(Protokoll_4p!G117="","",IF(VALUE(LEFT(Protokoll_4p!G117,FIND(":",Protokoll_4p!G117)-1))&gt;VALUE(RIGHT(Protokoll_4p!G117,LEN(Protokoll_4p!G117)-FIND(":",Protokoll_4p!G117))),0,1))</f>
        <v>#VALUE!</v>
      </c>
      <c r="K111" s="1" t="e">
        <f>IF(Protokoll_4p!H117="","",IF(VALUE(LEFT(Protokoll_4p!H117,FIND(":",Protokoll_4p!H117)-1))&gt;VALUE(RIGHT(Protokoll_4p!H117,LEN(Protokoll_4p!H117)-FIND(":",Protokoll_4p!H117))),0,1))</f>
        <v>#VALUE!</v>
      </c>
      <c r="L111" s="1" t="e">
        <f>IF(Protokoll_4p!I117="","",IF(VALUE(LEFT(Protokoll_4p!I117,FIND(":",Protokoll_4p!I117)-1))&gt;VALUE(RIGHT(Protokoll_4p!I117,LEN(Protokoll_4p!I117)-FIND(":",Protokoll_4p!I117))),0,1))</f>
        <v>#VALUE!</v>
      </c>
      <c r="M111" s="1" t="e">
        <f>IF(Protokoll_4p!J117="","",IF(VALUE(LEFT(Protokoll_4p!J117,FIND(":",Protokoll_4p!J117)-1))&gt;VALUE(RIGHT(Protokoll_4p!J117,LEN(Protokoll_4p!J117)-FIND(":",Protokoll_4p!J117))),0,1))</f>
        <v>#VALUE!</v>
      </c>
      <c r="N111" s="1" t="e">
        <f t="shared" si="3"/>
        <v>#VALUE!</v>
      </c>
    </row>
    <row r="112" spans="2:14">
      <c r="B112" s="1">
        <f>IF(Protokoll_4p!F118="","",IF(VALUE(LEFT(Protokoll_4p!F118,FIND(":",Protokoll_4p!F118)-1))&gt;VALUE(RIGHT(Protokoll_4p!F118,LEN(Protokoll_4p!F118)-FIND(":",Protokoll_4p!F118))),1,0))</f>
        <v>0</v>
      </c>
      <c r="C112" s="1">
        <f>IF(Protokoll_4p!G118="","",IF(VALUE(LEFT(Protokoll_4p!G118,FIND(":",Protokoll_4p!G118)-1))&gt;VALUE(RIGHT(Protokoll_4p!G118,LEN(Protokoll_4p!G118)-FIND(":",Protokoll_4p!G118))),1,0))</f>
        <v>1</v>
      </c>
      <c r="D112" s="1">
        <f>IF(Protokoll_4p!H118="","",IF(VALUE(LEFT(Protokoll_4p!H118,FIND(":",Protokoll_4p!H118)-1))&gt;VALUE(RIGHT(Protokoll_4p!H118,LEN(Protokoll_4p!H118)-FIND(":",Protokoll_4p!H118))),1,0))</f>
        <v>0</v>
      </c>
      <c r="E112" s="1">
        <f>IF(Protokoll_4p!I118="","",IF(VALUE(LEFT(Protokoll_4p!I118,FIND(":",Protokoll_4p!I118)-1))&gt;VALUE(RIGHT(Protokoll_4p!I118,LEN(Protokoll_4p!I118)-FIND(":",Protokoll_4p!I118))),1,0))</f>
        <v>1</v>
      </c>
      <c r="F112" s="1">
        <f>IF(Protokoll_4p!J118="","",IF(VALUE(LEFT(Protokoll_4p!J118,FIND(":",Protokoll_4p!J118)-1))&gt;VALUE(RIGHT(Protokoll_4p!J118,LEN(Protokoll_4p!J118)-FIND(":",Protokoll_4p!J118))),1,0))</f>
        <v>0</v>
      </c>
      <c r="G112" s="1">
        <f t="shared" si="2"/>
        <v>2</v>
      </c>
      <c r="I112" s="1">
        <f>IF(Protokoll_4p!F118="","",IF(VALUE(LEFT(Protokoll_4p!F118,FIND(":",Protokoll_4p!F118)-1))&gt;VALUE(RIGHT(Protokoll_4p!F118,LEN(Protokoll_4p!F118)-FIND(":",Protokoll_4p!F118))),0,1))</f>
        <v>1</v>
      </c>
      <c r="J112" s="1">
        <f>IF(Protokoll_4p!G118="","",IF(VALUE(LEFT(Protokoll_4p!G118,FIND(":",Protokoll_4p!G118)-1))&gt;VALUE(RIGHT(Protokoll_4p!G118,LEN(Protokoll_4p!G118)-FIND(":",Protokoll_4p!G118))),0,1))</f>
        <v>0</v>
      </c>
      <c r="K112" s="1">
        <f>IF(Protokoll_4p!H118="","",IF(VALUE(LEFT(Protokoll_4p!H118,FIND(":",Protokoll_4p!H118)-1))&gt;VALUE(RIGHT(Protokoll_4p!H118,LEN(Protokoll_4p!H118)-FIND(":",Protokoll_4p!H118))),0,1))</f>
        <v>1</v>
      </c>
      <c r="L112" s="1">
        <f>IF(Protokoll_4p!I118="","",IF(VALUE(LEFT(Protokoll_4p!I118,FIND(":",Protokoll_4p!I118)-1))&gt;VALUE(RIGHT(Protokoll_4p!I118,LEN(Protokoll_4p!I118)-FIND(":",Protokoll_4p!I118))),0,1))</f>
        <v>0</v>
      </c>
      <c r="M112" s="1">
        <f>IF(Protokoll_4p!J118="","",IF(VALUE(LEFT(Protokoll_4p!J118,FIND(":",Protokoll_4p!J118)-1))&gt;VALUE(RIGHT(Protokoll_4p!J118,LEN(Protokoll_4p!J118)-FIND(":",Protokoll_4p!J118))),0,1))</f>
        <v>1</v>
      </c>
      <c r="N112" s="1">
        <f t="shared" si="3"/>
        <v>3</v>
      </c>
    </row>
    <row r="113" spans="2:14">
      <c r="B113" s="1">
        <f>IF(Protokoll_4p!F119="","",IF(VALUE(LEFT(Protokoll_4p!F119,FIND(":",Protokoll_4p!F119)-1))&gt;VALUE(RIGHT(Protokoll_4p!F119,LEN(Protokoll_4p!F119)-FIND(":",Protokoll_4p!F119))),1,0))</f>
        <v>0</v>
      </c>
      <c r="C113" s="1">
        <f>IF(Protokoll_4p!G119="","",IF(VALUE(LEFT(Protokoll_4p!G119,FIND(":",Protokoll_4p!G119)-1))&gt;VALUE(RIGHT(Protokoll_4p!G119,LEN(Protokoll_4p!G119)-FIND(":",Protokoll_4p!G119))),1,0))</f>
        <v>0</v>
      </c>
      <c r="D113" s="1">
        <f>IF(Protokoll_4p!H119="","",IF(VALUE(LEFT(Protokoll_4p!H119,FIND(":",Protokoll_4p!H119)-1))&gt;VALUE(RIGHT(Protokoll_4p!H119,LEN(Protokoll_4p!H119)-FIND(":",Protokoll_4p!H119))),1,0))</f>
        <v>0</v>
      </c>
      <c r="E113" s="1" t="str">
        <f>IF(Protokoll_4p!I119="","",IF(VALUE(LEFT(Protokoll_4p!I119,FIND(":",Protokoll_4p!I119)-1))&gt;VALUE(RIGHT(Protokoll_4p!I119,LEN(Protokoll_4p!I119)-FIND(":",Protokoll_4p!I119))),1,0))</f>
        <v/>
      </c>
      <c r="F113" s="1" t="str">
        <f>IF(Protokoll_4p!J119="","",IF(VALUE(LEFT(Protokoll_4p!J119,FIND(":",Protokoll_4p!J119)-1))&gt;VALUE(RIGHT(Protokoll_4p!J119,LEN(Protokoll_4p!J119)-FIND(":",Protokoll_4p!J119))),1,0))</f>
        <v/>
      </c>
      <c r="G113" s="1">
        <f t="shared" si="2"/>
        <v>0</v>
      </c>
      <c r="I113" s="1">
        <f>IF(Protokoll_4p!F119="","",IF(VALUE(LEFT(Protokoll_4p!F119,FIND(":",Protokoll_4p!F119)-1))&gt;VALUE(RIGHT(Protokoll_4p!F119,LEN(Protokoll_4p!F119)-FIND(":",Protokoll_4p!F119))),0,1))</f>
        <v>1</v>
      </c>
      <c r="J113" s="1">
        <f>IF(Protokoll_4p!G119="","",IF(VALUE(LEFT(Protokoll_4p!G119,FIND(":",Protokoll_4p!G119)-1))&gt;VALUE(RIGHT(Protokoll_4p!G119,LEN(Protokoll_4p!G119)-FIND(":",Protokoll_4p!G119))),0,1))</f>
        <v>1</v>
      </c>
      <c r="K113" s="1">
        <f>IF(Protokoll_4p!H119="","",IF(VALUE(LEFT(Protokoll_4p!H119,FIND(":",Protokoll_4p!H119)-1))&gt;VALUE(RIGHT(Protokoll_4p!H119,LEN(Protokoll_4p!H119)-FIND(":",Protokoll_4p!H119))),0,1))</f>
        <v>1</v>
      </c>
      <c r="L113" s="1" t="str">
        <f>IF(Protokoll_4p!I119="","",IF(VALUE(LEFT(Protokoll_4p!I119,FIND(":",Protokoll_4p!I119)-1))&gt;VALUE(RIGHT(Protokoll_4p!I119,LEN(Protokoll_4p!I119)-FIND(":",Protokoll_4p!I119))),0,1))</f>
        <v/>
      </c>
      <c r="M113" s="1" t="str">
        <f>IF(Protokoll_4p!J119="","",IF(VALUE(LEFT(Protokoll_4p!J119,FIND(":",Protokoll_4p!J119)-1))&gt;VALUE(RIGHT(Protokoll_4p!J119,LEN(Protokoll_4p!J119)-FIND(":",Protokoll_4p!J119))),0,1))</f>
        <v/>
      </c>
      <c r="N113" s="1">
        <f t="shared" si="3"/>
        <v>3</v>
      </c>
    </row>
    <row r="114" spans="2:14">
      <c r="B114" s="1">
        <f>IF(Protokoll_4p!F120="","",IF(VALUE(LEFT(Protokoll_4p!F120,FIND(":",Protokoll_4p!F120)-1))&gt;VALUE(RIGHT(Protokoll_4p!F120,LEN(Protokoll_4p!F120)-FIND(":",Protokoll_4p!F120))),1,0))</f>
        <v>0</v>
      </c>
      <c r="C114" s="1">
        <f>IF(Protokoll_4p!G120="","",IF(VALUE(LEFT(Protokoll_4p!G120,FIND(":",Protokoll_4p!G120)-1))&gt;VALUE(RIGHT(Protokoll_4p!G120,LEN(Protokoll_4p!G120)-FIND(":",Protokoll_4p!G120))),1,0))</f>
        <v>1</v>
      </c>
      <c r="D114" s="1">
        <f>IF(Protokoll_4p!H120="","",IF(VALUE(LEFT(Protokoll_4p!H120,FIND(":",Protokoll_4p!H120)-1))&gt;VALUE(RIGHT(Protokoll_4p!H120,LEN(Protokoll_4p!H120)-FIND(":",Protokoll_4p!H120))),1,0))</f>
        <v>0</v>
      </c>
      <c r="E114" s="1">
        <f>IF(Protokoll_4p!I120="","",IF(VALUE(LEFT(Protokoll_4p!I120,FIND(":",Protokoll_4p!I120)-1))&gt;VALUE(RIGHT(Protokoll_4p!I120,LEN(Protokoll_4p!I120)-FIND(":",Protokoll_4p!I120))),1,0))</f>
        <v>0</v>
      </c>
      <c r="F114" s="1" t="str">
        <f>IF(Protokoll_4p!J120="","",IF(VALUE(LEFT(Protokoll_4p!J120,FIND(":",Protokoll_4p!J120)-1))&gt;VALUE(RIGHT(Protokoll_4p!J120,LEN(Protokoll_4p!J120)-FIND(":",Protokoll_4p!J120))),1,0))</f>
        <v/>
      </c>
      <c r="G114" s="1">
        <f t="shared" si="2"/>
        <v>1</v>
      </c>
      <c r="I114" s="1">
        <f>IF(Protokoll_4p!F120="","",IF(VALUE(LEFT(Protokoll_4p!F120,FIND(":",Protokoll_4p!F120)-1))&gt;VALUE(RIGHT(Protokoll_4p!F120,LEN(Protokoll_4p!F120)-FIND(":",Protokoll_4p!F120))),0,1))</f>
        <v>1</v>
      </c>
      <c r="J114" s="1">
        <f>IF(Protokoll_4p!G120="","",IF(VALUE(LEFT(Protokoll_4p!G120,FIND(":",Protokoll_4p!G120)-1))&gt;VALUE(RIGHT(Protokoll_4p!G120,LEN(Protokoll_4p!G120)-FIND(":",Protokoll_4p!G120))),0,1))</f>
        <v>0</v>
      </c>
      <c r="K114" s="1">
        <f>IF(Protokoll_4p!H120="","",IF(VALUE(LEFT(Protokoll_4p!H120,FIND(":",Protokoll_4p!H120)-1))&gt;VALUE(RIGHT(Protokoll_4p!H120,LEN(Protokoll_4p!H120)-FIND(":",Protokoll_4p!H120))),0,1))</f>
        <v>1</v>
      </c>
      <c r="L114" s="1">
        <f>IF(Protokoll_4p!I120="","",IF(VALUE(LEFT(Protokoll_4p!I120,FIND(":",Protokoll_4p!I120)-1))&gt;VALUE(RIGHT(Protokoll_4p!I120,LEN(Protokoll_4p!I120)-FIND(":",Protokoll_4p!I120))),0,1))</f>
        <v>1</v>
      </c>
      <c r="M114" s="1" t="str">
        <f>IF(Protokoll_4p!J120="","",IF(VALUE(LEFT(Protokoll_4p!J120,FIND(":",Protokoll_4p!J120)-1))&gt;VALUE(RIGHT(Protokoll_4p!J120,LEN(Protokoll_4p!J120)-FIND(":",Protokoll_4p!J120))),0,1))</f>
        <v/>
      </c>
      <c r="N114" s="1">
        <f t="shared" si="3"/>
        <v>3</v>
      </c>
    </row>
    <row r="115" spans="2:14">
      <c r="B115" s="1">
        <f>IF(Protokoll_4p!F121="","",IF(VALUE(LEFT(Protokoll_4p!F121,FIND(":",Protokoll_4p!F121)-1))&gt;VALUE(RIGHT(Protokoll_4p!F121,LEN(Protokoll_4p!F121)-FIND(":",Protokoll_4p!F121))),1,0))</f>
        <v>0</v>
      </c>
      <c r="C115" s="1">
        <f>IF(Protokoll_4p!G121="","",IF(VALUE(LEFT(Protokoll_4p!G121,FIND(":",Protokoll_4p!G121)-1))&gt;VALUE(RIGHT(Protokoll_4p!G121,LEN(Protokoll_4p!G121)-FIND(":",Protokoll_4p!G121))),1,0))</f>
        <v>0</v>
      </c>
      <c r="D115" s="1">
        <f>IF(Protokoll_4p!H121="","",IF(VALUE(LEFT(Protokoll_4p!H121,FIND(":",Protokoll_4p!H121)-1))&gt;VALUE(RIGHT(Protokoll_4p!H121,LEN(Protokoll_4p!H121)-FIND(":",Protokoll_4p!H121))),1,0))</f>
        <v>0</v>
      </c>
      <c r="E115" s="1" t="str">
        <f>IF(Protokoll_4p!I121="","",IF(VALUE(LEFT(Protokoll_4p!I121,FIND(":",Protokoll_4p!I121)-1))&gt;VALUE(RIGHT(Protokoll_4p!I121,LEN(Protokoll_4p!I121)-FIND(":",Protokoll_4p!I121))),1,0))</f>
        <v/>
      </c>
      <c r="F115" s="1" t="str">
        <f>IF(Protokoll_4p!J121="","",IF(VALUE(LEFT(Protokoll_4p!J121,FIND(":",Protokoll_4p!J121)-1))&gt;VALUE(RIGHT(Protokoll_4p!J121,LEN(Protokoll_4p!J121)-FIND(":",Protokoll_4p!J121))),1,0))</f>
        <v/>
      </c>
      <c r="G115" s="1">
        <f t="shared" si="2"/>
        <v>0</v>
      </c>
      <c r="I115" s="1">
        <f>IF(Protokoll_4p!F121="","",IF(VALUE(LEFT(Protokoll_4p!F121,FIND(":",Protokoll_4p!F121)-1))&gt;VALUE(RIGHT(Protokoll_4p!F121,LEN(Protokoll_4p!F121)-FIND(":",Protokoll_4p!F121))),0,1))</f>
        <v>1</v>
      </c>
      <c r="J115" s="1">
        <f>IF(Protokoll_4p!G121="","",IF(VALUE(LEFT(Protokoll_4p!G121,FIND(":",Protokoll_4p!G121)-1))&gt;VALUE(RIGHT(Protokoll_4p!G121,LEN(Protokoll_4p!G121)-FIND(":",Protokoll_4p!G121))),0,1))</f>
        <v>1</v>
      </c>
      <c r="K115" s="1">
        <f>IF(Protokoll_4p!H121="","",IF(VALUE(LEFT(Protokoll_4p!H121,FIND(":",Protokoll_4p!H121)-1))&gt;VALUE(RIGHT(Protokoll_4p!H121,LEN(Protokoll_4p!H121)-FIND(":",Protokoll_4p!H121))),0,1))</f>
        <v>1</v>
      </c>
      <c r="L115" s="1" t="str">
        <f>IF(Protokoll_4p!I121="","",IF(VALUE(LEFT(Protokoll_4p!I121,FIND(":",Protokoll_4p!I121)-1))&gt;VALUE(RIGHT(Protokoll_4p!I121,LEN(Protokoll_4p!I121)-FIND(":",Protokoll_4p!I121))),0,1))</f>
        <v/>
      </c>
      <c r="M115" s="1" t="str">
        <f>IF(Protokoll_4p!J121="","",IF(VALUE(LEFT(Protokoll_4p!J121,FIND(":",Protokoll_4p!J121)-1))&gt;VALUE(RIGHT(Protokoll_4p!J121,LEN(Protokoll_4p!J121)-FIND(":",Protokoll_4p!J121))),0,1))</f>
        <v/>
      </c>
      <c r="N115" s="1">
        <f t="shared" si="3"/>
        <v>3</v>
      </c>
    </row>
    <row r="116" spans="2:14">
      <c r="B116" s="1" t="str">
        <f>IF(Protokoll_4p!F122="","",IF(VALUE(LEFT(Protokoll_4p!F122,FIND(":",Protokoll_4p!F122)-1))&gt;VALUE(RIGHT(Protokoll_4p!F122,LEN(Protokoll_4p!F122)-FIND(":",Protokoll_4p!F122))),1,0))</f>
        <v/>
      </c>
      <c r="C116" s="1" t="str">
        <f>IF(Protokoll_4p!G122="","",IF(VALUE(LEFT(Protokoll_4p!G122,FIND(":",Protokoll_4p!G122)-1))&gt;VALUE(RIGHT(Protokoll_4p!G122,LEN(Protokoll_4p!G122)-FIND(":",Protokoll_4p!G122))),1,0))</f>
        <v/>
      </c>
      <c r="D116" s="1" t="str">
        <f>IF(Protokoll_4p!H122="","",IF(VALUE(LEFT(Protokoll_4p!H122,FIND(":",Protokoll_4p!H122)-1))&gt;VALUE(RIGHT(Protokoll_4p!H122,LEN(Protokoll_4p!H122)-FIND(":",Protokoll_4p!H122))),1,0))</f>
        <v/>
      </c>
      <c r="E116" s="1" t="str">
        <f>IF(Protokoll_4p!I122="","",IF(VALUE(LEFT(Protokoll_4p!I122,FIND(":",Protokoll_4p!I122)-1))&gt;VALUE(RIGHT(Protokoll_4p!I122,LEN(Protokoll_4p!I122)-FIND(":",Protokoll_4p!I122))),1,0))</f>
        <v/>
      </c>
      <c r="F116" s="1" t="str">
        <f>IF(Protokoll_4p!J122="","",IF(VALUE(LEFT(Protokoll_4p!J122,FIND(":",Protokoll_4p!J122)-1))&gt;VALUE(RIGHT(Protokoll_4p!J122,LEN(Protokoll_4p!J122)-FIND(":",Protokoll_4p!J122))),1,0))</f>
        <v/>
      </c>
      <c r="G116" s="1" t="str">
        <f t="shared" si="2"/>
        <v/>
      </c>
      <c r="I116" s="1" t="str">
        <f>IF(Protokoll_4p!F122="","",IF(VALUE(LEFT(Protokoll_4p!F122,FIND(":",Protokoll_4p!F122)-1))&gt;VALUE(RIGHT(Protokoll_4p!F122,LEN(Protokoll_4p!F122)-FIND(":",Protokoll_4p!F122))),0,1))</f>
        <v/>
      </c>
      <c r="J116" s="1" t="str">
        <f>IF(Protokoll_4p!G122="","",IF(VALUE(LEFT(Protokoll_4p!G122,FIND(":",Protokoll_4p!G122)-1))&gt;VALUE(RIGHT(Protokoll_4p!G122,LEN(Protokoll_4p!G122)-FIND(":",Protokoll_4p!G122))),0,1))</f>
        <v/>
      </c>
      <c r="K116" s="1" t="str">
        <f>IF(Protokoll_4p!H122="","",IF(VALUE(LEFT(Protokoll_4p!H122,FIND(":",Protokoll_4p!H122)-1))&gt;VALUE(RIGHT(Protokoll_4p!H122,LEN(Protokoll_4p!H122)-FIND(":",Protokoll_4p!H122))),0,1))</f>
        <v/>
      </c>
      <c r="L116" s="1" t="str">
        <f>IF(Protokoll_4p!I122="","",IF(VALUE(LEFT(Protokoll_4p!I122,FIND(":",Protokoll_4p!I122)-1))&gt;VALUE(RIGHT(Protokoll_4p!I122,LEN(Protokoll_4p!I122)-FIND(":",Protokoll_4p!I122))),0,1))</f>
        <v/>
      </c>
      <c r="M116" s="1" t="str">
        <f>IF(Protokoll_4p!J122="","",IF(VALUE(LEFT(Protokoll_4p!J122,FIND(":",Protokoll_4p!J122)-1))&gt;VALUE(RIGHT(Protokoll_4p!J122,LEN(Protokoll_4p!J122)-FIND(":",Protokoll_4p!J122))),0,1))</f>
        <v/>
      </c>
      <c r="N116" s="1" t="str">
        <f t="shared" si="3"/>
        <v/>
      </c>
    </row>
    <row r="117" spans="2:14">
      <c r="B117" s="1" t="str">
        <f>IF(Protokoll_4p!F123="","",IF(VALUE(LEFT(Protokoll_4p!F123,FIND(":",Protokoll_4p!F123)-1))&gt;VALUE(RIGHT(Protokoll_4p!F123,LEN(Protokoll_4p!F123)-FIND(":",Protokoll_4p!F123))),1,0))</f>
        <v/>
      </c>
      <c r="C117" s="1" t="str">
        <f>IF(Protokoll_4p!G123="","",IF(VALUE(LEFT(Protokoll_4p!G123,FIND(":",Protokoll_4p!G123)-1))&gt;VALUE(RIGHT(Protokoll_4p!G123,LEN(Protokoll_4p!G123)-FIND(":",Protokoll_4p!G123))),1,0))</f>
        <v/>
      </c>
      <c r="D117" s="1" t="str">
        <f>IF(Protokoll_4p!H123="","",IF(VALUE(LEFT(Protokoll_4p!H123,FIND(":",Protokoll_4p!H123)-1))&gt;VALUE(RIGHT(Protokoll_4p!H123,LEN(Protokoll_4p!H123)-FIND(":",Protokoll_4p!H123))),1,0))</f>
        <v/>
      </c>
      <c r="E117" s="1" t="str">
        <f>IF(Protokoll_4p!I123="","",IF(VALUE(LEFT(Protokoll_4p!I123,FIND(":",Protokoll_4p!I123)-1))&gt;VALUE(RIGHT(Protokoll_4p!I123,LEN(Protokoll_4p!I123)-FIND(":",Protokoll_4p!I123))),1,0))</f>
        <v/>
      </c>
      <c r="F117" s="1" t="str">
        <f>IF(Protokoll_4p!J123="","",IF(VALUE(LEFT(Protokoll_4p!J123,FIND(":",Protokoll_4p!J123)-1))&gt;VALUE(RIGHT(Protokoll_4p!J123,LEN(Protokoll_4p!J123)-FIND(":",Protokoll_4p!J123))),1,0))</f>
        <v/>
      </c>
      <c r="G117" s="1" t="str">
        <f t="shared" si="2"/>
        <v/>
      </c>
      <c r="I117" s="1" t="str">
        <f>IF(Protokoll_4p!F123="","",IF(VALUE(LEFT(Protokoll_4p!F123,FIND(":",Protokoll_4p!F123)-1))&gt;VALUE(RIGHT(Protokoll_4p!F123,LEN(Protokoll_4p!F123)-FIND(":",Protokoll_4p!F123))),0,1))</f>
        <v/>
      </c>
      <c r="J117" s="1" t="str">
        <f>IF(Protokoll_4p!G123="","",IF(VALUE(LEFT(Protokoll_4p!G123,FIND(":",Protokoll_4p!G123)-1))&gt;VALUE(RIGHT(Protokoll_4p!G123,LEN(Protokoll_4p!G123)-FIND(":",Protokoll_4p!G123))),0,1))</f>
        <v/>
      </c>
      <c r="K117" s="1" t="str">
        <f>IF(Protokoll_4p!H123="","",IF(VALUE(LEFT(Protokoll_4p!H123,FIND(":",Protokoll_4p!H123)-1))&gt;VALUE(RIGHT(Protokoll_4p!H123,LEN(Protokoll_4p!H123)-FIND(":",Protokoll_4p!H123))),0,1))</f>
        <v/>
      </c>
      <c r="L117" s="1" t="str">
        <f>IF(Protokoll_4p!I123="","",IF(VALUE(LEFT(Protokoll_4p!I123,FIND(":",Protokoll_4p!I123)-1))&gt;VALUE(RIGHT(Protokoll_4p!I123,LEN(Protokoll_4p!I123)-FIND(":",Protokoll_4p!I123))),0,1))</f>
        <v/>
      </c>
      <c r="M117" s="1" t="str">
        <f>IF(Protokoll_4p!J123="","",IF(VALUE(LEFT(Protokoll_4p!J123,FIND(":",Protokoll_4p!J123)-1))&gt;VALUE(RIGHT(Protokoll_4p!J123,LEN(Protokoll_4p!J123)-FIND(":",Protokoll_4p!J123))),0,1))</f>
        <v/>
      </c>
      <c r="N117" s="1" t="str">
        <f t="shared" si="3"/>
        <v/>
      </c>
    </row>
    <row r="118" spans="2:14">
      <c r="B118" s="1" t="str">
        <f>IF(Protokoll_4p!F124="","",IF(VALUE(LEFT(Protokoll_4p!F124,FIND(":",Protokoll_4p!F124)-1))&gt;VALUE(RIGHT(Protokoll_4p!F124,LEN(Protokoll_4p!F124)-FIND(":",Protokoll_4p!F124))),1,0))</f>
        <v/>
      </c>
      <c r="C118" s="1" t="str">
        <f>IF(Protokoll_4p!G124="","",IF(VALUE(LEFT(Protokoll_4p!G124,FIND(":",Protokoll_4p!G124)-1))&gt;VALUE(RIGHT(Protokoll_4p!G124,LEN(Protokoll_4p!G124)-FIND(":",Protokoll_4p!G124))),1,0))</f>
        <v/>
      </c>
      <c r="D118" s="1" t="str">
        <f>IF(Protokoll_4p!H124="","",IF(VALUE(LEFT(Protokoll_4p!H124,FIND(":",Protokoll_4p!H124)-1))&gt;VALUE(RIGHT(Protokoll_4p!H124,LEN(Protokoll_4p!H124)-FIND(":",Protokoll_4p!H124))),1,0))</f>
        <v/>
      </c>
      <c r="E118" s="1" t="str">
        <f>IF(Protokoll_4p!I124="","",IF(VALUE(LEFT(Protokoll_4p!I124,FIND(":",Protokoll_4p!I124)-1))&gt;VALUE(RIGHT(Protokoll_4p!I124,LEN(Protokoll_4p!I124)-FIND(":",Protokoll_4p!I124))),1,0))</f>
        <v/>
      </c>
      <c r="F118" s="1" t="str">
        <f>IF(Protokoll_4p!J124="","",IF(VALUE(LEFT(Protokoll_4p!J124,FIND(":",Protokoll_4p!J124)-1))&gt;VALUE(RIGHT(Protokoll_4p!J124,LEN(Protokoll_4p!J124)-FIND(":",Protokoll_4p!J124))),1,0))</f>
        <v/>
      </c>
      <c r="G118" s="1" t="str">
        <f t="shared" si="2"/>
        <v/>
      </c>
      <c r="I118" s="1" t="str">
        <f>IF(Protokoll_4p!F124="","",IF(VALUE(LEFT(Protokoll_4p!F124,FIND(":",Protokoll_4p!F124)-1))&gt;VALUE(RIGHT(Protokoll_4p!F124,LEN(Protokoll_4p!F124)-FIND(":",Protokoll_4p!F124))),0,1))</f>
        <v/>
      </c>
      <c r="J118" s="1" t="str">
        <f>IF(Protokoll_4p!G124="","",IF(VALUE(LEFT(Protokoll_4p!G124,FIND(":",Protokoll_4p!G124)-1))&gt;VALUE(RIGHT(Protokoll_4p!G124,LEN(Protokoll_4p!G124)-FIND(":",Protokoll_4p!G124))),0,1))</f>
        <v/>
      </c>
      <c r="K118" s="1" t="str">
        <f>IF(Protokoll_4p!H124="","",IF(VALUE(LEFT(Protokoll_4p!H124,FIND(":",Protokoll_4p!H124)-1))&gt;VALUE(RIGHT(Protokoll_4p!H124,LEN(Protokoll_4p!H124)-FIND(":",Protokoll_4p!H124))),0,1))</f>
        <v/>
      </c>
      <c r="L118" s="1" t="str">
        <f>IF(Protokoll_4p!I124="","",IF(VALUE(LEFT(Protokoll_4p!I124,FIND(":",Protokoll_4p!I124)-1))&gt;VALUE(RIGHT(Protokoll_4p!I124,LEN(Protokoll_4p!I124)-FIND(":",Protokoll_4p!I124))),0,1))</f>
        <v/>
      </c>
      <c r="M118" s="1" t="str">
        <f>IF(Protokoll_4p!J124="","",IF(VALUE(LEFT(Protokoll_4p!J124,FIND(":",Protokoll_4p!J124)-1))&gt;VALUE(RIGHT(Protokoll_4p!J124,LEN(Protokoll_4p!J124)-FIND(":",Protokoll_4p!J124))),0,1))</f>
        <v/>
      </c>
      <c r="N118" s="1" t="str">
        <f t="shared" si="3"/>
        <v/>
      </c>
    </row>
    <row r="119" spans="2:14">
      <c r="B119" s="1" t="str">
        <f>IF(Protokoll_4p!F125="","",IF(VALUE(LEFT(Protokoll_4p!F125,FIND(":",Protokoll_4p!F125)-1))&gt;VALUE(RIGHT(Protokoll_4p!F125,LEN(Protokoll_4p!F125)-FIND(":",Protokoll_4p!F125))),1,0))</f>
        <v/>
      </c>
      <c r="C119" s="1" t="str">
        <f>IF(Protokoll_4p!G125="","",IF(VALUE(LEFT(Protokoll_4p!G125,FIND(":",Protokoll_4p!G125)-1))&gt;VALUE(RIGHT(Protokoll_4p!G125,LEN(Protokoll_4p!G125)-FIND(":",Protokoll_4p!G125))),1,0))</f>
        <v/>
      </c>
      <c r="D119" s="1" t="str">
        <f>IF(Protokoll_4p!H125="","",IF(VALUE(LEFT(Protokoll_4p!H125,FIND(":",Protokoll_4p!H125)-1))&gt;VALUE(RIGHT(Protokoll_4p!H125,LEN(Protokoll_4p!H125)-FIND(":",Protokoll_4p!H125))),1,0))</f>
        <v/>
      </c>
      <c r="E119" s="1" t="str">
        <f>IF(Protokoll_4p!I125="","",IF(VALUE(LEFT(Protokoll_4p!I125,FIND(":",Protokoll_4p!I125)-1))&gt;VALUE(RIGHT(Protokoll_4p!I125,LEN(Protokoll_4p!I125)-FIND(":",Protokoll_4p!I125))),1,0))</f>
        <v/>
      </c>
      <c r="F119" s="1" t="str">
        <f>IF(Protokoll_4p!J125="","",IF(VALUE(LEFT(Protokoll_4p!J125,FIND(":",Protokoll_4p!J125)-1))&gt;VALUE(RIGHT(Protokoll_4p!J125,LEN(Protokoll_4p!J125)-FIND(":",Protokoll_4p!J125))),1,0))</f>
        <v/>
      </c>
      <c r="G119" s="1" t="str">
        <f t="shared" si="2"/>
        <v/>
      </c>
      <c r="I119" s="1" t="str">
        <f>IF(Protokoll_4p!F125="","",IF(VALUE(LEFT(Protokoll_4p!F125,FIND(":",Protokoll_4p!F125)-1))&gt;VALUE(RIGHT(Protokoll_4p!F125,LEN(Protokoll_4p!F125)-FIND(":",Protokoll_4p!F125))),0,1))</f>
        <v/>
      </c>
      <c r="J119" s="1" t="str">
        <f>IF(Protokoll_4p!G125="","",IF(VALUE(LEFT(Protokoll_4p!G125,FIND(":",Protokoll_4p!G125)-1))&gt;VALUE(RIGHT(Protokoll_4p!G125,LEN(Protokoll_4p!G125)-FIND(":",Protokoll_4p!G125))),0,1))</f>
        <v/>
      </c>
      <c r="K119" s="1" t="str">
        <f>IF(Protokoll_4p!H125="","",IF(VALUE(LEFT(Protokoll_4p!H125,FIND(":",Protokoll_4p!H125)-1))&gt;VALUE(RIGHT(Protokoll_4p!H125,LEN(Protokoll_4p!H125)-FIND(":",Protokoll_4p!H125))),0,1))</f>
        <v/>
      </c>
      <c r="L119" s="1" t="str">
        <f>IF(Protokoll_4p!I125="","",IF(VALUE(LEFT(Protokoll_4p!I125,FIND(":",Protokoll_4p!I125)-1))&gt;VALUE(RIGHT(Protokoll_4p!I125,LEN(Protokoll_4p!I125)-FIND(":",Protokoll_4p!I125))),0,1))</f>
        <v/>
      </c>
      <c r="M119" s="1" t="str">
        <f>IF(Protokoll_4p!J125="","",IF(VALUE(LEFT(Protokoll_4p!J125,FIND(":",Protokoll_4p!J125)-1))&gt;VALUE(RIGHT(Protokoll_4p!J125,LEN(Protokoll_4p!J125)-FIND(":",Protokoll_4p!J125))),0,1))</f>
        <v/>
      </c>
      <c r="N119" s="1" t="str">
        <f t="shared" si="3"/>
        <v/>
      </c>
    </row>
    <row r="120" spans="2:14">
      <c r="B120" s="1" t="str">
        <f>IF(Protokoll_4p!F126="","",IF(VALUE(LEFT(Protokoll_4p!F126,FIND(":",Protokoll_4p!F126)-1))&gt;VALUE(RIGHT(Protokoll_4p!F126,LEN(Protokoll_4p!F126)-FIND(":",Protokoll_4p!F126))),1,0))</f>
        <v/>
      </c>
      <c r="C120" s="1" t="str">
        <f>IF(Protokoll_4p!G126="","",IF(VALUE(LEFT(Protokoll_4p!G126,FIND(":",Protokoll_4p!G126)-1))&gt;VALUE(RIGHT(Protokoll_4p!G126,LEN(Protokoll_4p!G126)-FIND(":",Protokoll_4p!G126))),1,0))</f>
        <v/>
      </c>
      <c r="D120" s="1" t="str">
        <f>IF(Protokoll_4p!H126="","",IF(VALUE(LEFT(Protokoll_4p!H126,FIND(":",Protokoll_4p!H126)-1))&gt;VALUE(RIGHT(Protokoll_4p!H126,LEN(Protokoll_4p!H126)-FIND(":",Protokoll_4p!H126))),1,0))</f>
        <v/>
      </c>
      <c r="E120" s="1" t="str">
        <f>IF(Protokoll_4p!I126="","",IF(VALUE(LEFT(Protokoll_4p!I126,FIND(":",Protokoll_4p!I126)-1))&gt;VALUE(RIGHT(Protokoll_4p!I126,LEN(Protokoll_4p!I126)-FIND(":",Protokoll_4p!I126))),1,0))</f>
        <v/>
      </c>
      <c r="F120" s="1" t="str">
        <f>IF(Protokoll_4p!J126="","",IF(VALUE(LEFT(Protokoll_4p!J126,FIND(":",Protokoll_4p!J126)-1))&gt;VALUE(RIGHT(Protokoll_4p!J126,LEN(Protokoll_4p!J126)-FIND(":",Protokoll_4p!J126))),1,0))</f>
        <v/>
      </c>
      <c r="G120" s="1" t="str">
        <f t="shared" si="2"/>
        <v/>
      </c>
      <c r="I120" s="1" t="str">
        <f>IF(Protokoll_4p!F126="","",IF(VALUE(LEFT(Protokoll_4p!F126,FIND(":",Protokoll_4p!F126)-1))&gt;VALUE(RIGHT(Protokoll_4p!F126,LEN(Protokoll_4p!F126)-FIND(":",Protokoll_4p!F126))),0,1))</f>
        <v/>
      </c>
      <c r="J120" s="1" t="str">
        <f>IF(Protokoll_4p!G126="","",IF(VALUE(LEFT(Protokoll_4p!G126,FIND(":",Protokoll_4p!G126)-1))&gt;VALUE(RIGHT(Protokoll_4p!G126,LEN(Protokoll_4p!G126)-FIND(":",Protokoll_4p!G126))),0,1))</f>
        <v/>
      </c>
      <c r="K120" s="1" t="str">
        <f>IF(Protokoll_4p!H126="","",IF(VALUE(LEFT(Protokoll_4p!H126,FIND(":",Protokoll_4p!H126)-1))&gt;VALUE(RIGHT(Protokoll_4p!H126,LEN(Protokoll_4p!H126)-FIND(":",Protokoll_4p!H126))),0,1))</f>
        <v/>
      </c>
      <c r="L120" s="1" t="str">
        <f>IF(Protokoll_4p!I126="","",IF(VALUE(LEFT(Protokoll_4p!I126,FIND(":",Protokoll_4p!I126)-1))&gt;VALUE(RIGHT(Protokoll_4p!I126,LEN(Protokoll_4p!I126)-FIND(":",Protokoll_4p!I126))),0,1))</f>
        <v/>
      </c>
      <c r="M120" s="1" t="str">
        <f>IF(Protokoll_4p!J126="","",IF(VALUE(LEFT(Protokoll_4p!J126,FIND(":",Protokoll_4p!J126)-1))&gt;VALUE(RIGHT(Protokoll_4p!J126,LEN(Protokoll_4p!J126)-FIND(":",Protokoll_4p!J126))),0,1))</f>
        <v/>
      </c>
      <c r="N120" s="1" t="str">
        <f t="shared" si="3"/>
        <v/>
      </c>
    </row>
    <row r="121" spans="2:14">
      <c r="B121" s="1" t="e">
        <f>IF(Protokoll_4p!#REF!="","",IF(VALUE(LEFT(Protokoll_4p!#REF!,FIND(":",Protokoll_4p!#REF!)-1))&gt;VALUE(RIGHT(Protokoll_4p!#REF!,LEN(Protokoll_4p!#REF!)-FIND(":",Protokoll_4p!#REF!))),1,0))</f>
        <v>#REF!</v>
      </c>
      <c r="C121" s="1" t="e">
        <f>IF(Protokoll_4p!#REF!="","",IF(VALUE(LEFT(Protokoll_4p!#REF!,FIND(":",Protokoll_4p!#REF!)-1))&gt;VALUE(RIGHT(Protokoll_4p!#REF!,LEN(Protokoll_4p!#REF!)-FIND(":",Protokoll_4p!#REF!))),1,0))</f>
        <v>#REF!</v>
      </c>
      <c r="D121" s="1" t="e">
        <f>IF(Protokoll_4p!#REF!="","",IF(VALUE(LEFT(Protokoll_4p!#REF!,FIND(":",Protokoll_4p!#REF!)-1))&gt;VALUE(RIGHT(Protokoll_4p!#REF!,LEN(Protokoll_4p!#REF!)-FIND(":",Protokoll_4p!#REF!))),1,0))</f>
        <v>#REF!</v>
      </c>
      <c r="E121" s="1" t="e">
        <f>IF(Protokoll_4p!#REF!="","",IF(VALUE(LEFT(Protokoll_4p!#REF!,FIND(":",Protokoll_4p!#REF!)-1))&gt;VALUE(RIGHT(Protokoll_4p!#REF!,LEN(Protokoll_4p!#REF!)-FIND(":",Protokoll_4p!#REF!))),1,0))</f>
        <v>#REF!</v>
      </c>
      <c r="F121" s="1" t="e">
        <f>IF(Protokoll_4p!#REF!="","",IF(VALUE(LEFT(Protokoll_4p!#REF!,FIND(":",Protokoll_4p!#REF!)-1))&gt;VALUE(RIGHT(Protokoll_4p!#REF!,LEN(Protokoll_4p!#REF!)-FIND(":",Protokoll_4p!#REF!))),1,0))</f>
        <v>#REF!</v>
      </c>
      <c r="G121" s="1" t="e">
        <f t="shared" si="2"/>
        <v>#REF!</v>
      </c>
      <c r="I121" s="1" t="e">
        <f>IF(Protokoll_4p!#REF!="","",IF(VALUE(LEFT(Protokoll_4p!#REF!,FIND(":",Protokoll_4p!#REF!)-1))&gt;VALUE(RIGHT(Protokoll_4p!#REF!,LEN(Protokoll_4p!#REF!)-FIND(":",Protokoll_4p!#REF!))),0,1))</f>
        <v>#REF!</v>
      </c>
      <c r="J121" s="1" t="e">
        <f>IF(Protokoll_4p!#REF!="","",IF(VALUE(LEFT(Protokoll_4p!#REF!,FIND(":",Protokoll_4p!#REF!)-1))&gt;VALUE(RIGHT(Protokoll_4p!#REF!,LEN(Protokoll_4p!#REF!)-FIND(":",Protokoll_4p!#REF!))),0,1))</f>
        <v>#REF!</v>
      </c>
      <c r="K121" s="1" t="e">
        <f>IF(Protokoll_4p!#REF!="","",IF(VALUE(LEFT(Protokoll_4p!#REF!,FIND(":",Protokoll_4p!#REF!)-1))&gt;VALUE(RIGHT(Protokoll_4p!#REF!,LEN(Protokoll_4p!#REF!)-FIND(":",Protokoll_4p!#REF!))),0,1))</f>
        <v>#REF!</v>
      </c>
      <c r="L121" s="1" t="e">
        <f>IF(Protokoll_4p!#REF!="","",IF(VALUE(LEFT(Protokoll_4p!#REF!,FIND(":",Protokoll_4p!#REF!)-1))&gt;VALUE(RIGHT(Protokoll_4p!#REF!,LEN(Protokoll_4p!#REF!)-FIND(":",Protokoll_4p!#REF!))),0,1))</f>
        <v>#REF!</v>
      </c>
      <c r="M121" s="1" t="e">
        <f>IF(Protokoll_4p!#REF!="","",IF(VALUE(LEFT(Protokoll_4p!#REF!,FIND(":",Protokoll_4p!#REF!)-1))&gt;VALUE(RIGHT(Protokoll_4p!#REF!,LEN(Protokoll_4p!#REF!)-FIND(":",Protokoll_4p!#REF!))),0,1))</f>
        <v>#REF!</v>
      </c>
      <c r="N121" s="1" t="e">
        <f t="shared" si="3"/>
        <v>#REF!</v>
      </c>
    </row>
    <row r="122" spans="2:14">
      <c r="B122" s="1" t="e">
        <f>IF(Protokoll_4p!#REF!="","",IF(VALUE(LEFT(Protokoll_4p!#REF!,FIND(":",Protokoll_4p!#REF!)-1))&gt;VALUE(RIGHT(Protokoll_4p!#REF!,LEN(Protokoll_4p!#REF!)-FIND(":",Protokoll_4p!#REF!))),1,0))</f>
        <v>#REF!</v>
      </c>
      <c r="C122" s="1" t="e">
        <f>IF(Protokoll_4p!#REF!="","",IF(VALUE(LEFT(Protokoll_4p!#REF!,FIND(":",Protokoll_4p!#REF!)-1))&gt;VALUE(RIGHT(Protokoll_4p!#REF!,LEN(Protokoll_4p!#REF!)-FIND(":",Protokoll_4p!#REF!))),1,0))</f>
        <v>#REF!</v>
      </c>
      <c r="D122" s="1" t="e">
        <f>IF(Protokoll_4p!#REF!="","",IF(VALUE(LEFT(Protokoll_4p!#REF!,FIND(":",Protokoll_4p!#REF!)-1))&gt;VALUE(RIGHT(Protokoll_4p!#REF!,LEN(Protokoll_4p!#REF!)-FIND(":",Protokoll_4p!#REF!))),1,0))</f>
        <v>#REF!</v>
      </c>
      <c r="E122" s="1" t="e">
        <f>IF(Protokoll_4p!#REF!="","",IF(VALUE(LEFT(Protokoll_4p!#REF!,FIND(":",Protokoll_4p!#REF!)-1))&gt;VALUE(RIGHT(Protokoll_4p!#REF!,LEN(Protokoll_4p!#REF!)-FIND(":",Protokoll_4p!#REF!))),1,0))</f>
        <v>#REF!</v>
      </c>
      <c r="F122" s="1" t="e">
        <f>IF(Protokoll_4p!#REF!="","",IF(VALUE(LEFT(Protokoll_4p!#REF!,FIND(":",Protokoll_4p!#REF!)-1))&gt;VALUE(RIGHT(Protokoll_4p!#REF!,LEN(Protokoll_4p!#REF!)-FIND(":",Protokoll_4p!#REF!))),1,0))</f>
        <v>#REF!</v>
      </c>
      <c r="G122" s="1" t="e">
        <f t="shared" si="2"/>
        <v>#REF!</v>
      </c>
      <c r="I122" s="1" t="e">
        <f>IF(Protokoll_4p!#REF!="","",IF(VALUE(LEFT(Protokoll_4p!#REF!,FIND(":",Protokoll_4p!#REF!)-1))&gt;VALUE(RIGHT(Protokoll_4p!#REF!,LEN(Protokoll_4p!#REF!)-FIND(":",Protokoll_4p!#REF!))),0,1))</f>
        <v>#REF!</v>
      </c>
      <c r="J122" s="1" t="e">
        <f>IF(Protokoll_4p!#REF!="","",IF(VALUE(LEFT(Protokoll_4p!#REF!,FIND(":",Protokoll_4p!#REF!)-1))&gt;VALUE(RIGHT(Protokoll_4p!#REF!,LEN(Protokoll_4p!#REF!)-FIND(":",Protokoll_4p!#REF!))),0,1))</f>
        <v>#REF!</v>
      </c>
      <c r="K122" s="1" t="e">
        <f>IF(Protokoll_4p!#REF!="","",IF(VALUE(LEFT(Protokoll_4p!#REF!,FIND(":",Protokoll_4p!#REF!)-1))&gt;VALUE(RIGHT(Protokoll_4p!#REF!,LEN(Protokoll_4p!#REF!)-FIND(":",Protokoll_4p!#REF!))),0,1))</f>
        <v>#REF!</v>
      </c>
      <c r="L122" s="1" t="e">
        <f>IF(Protokoll_4p!#REF!="","",IF(VALUE(LEFT(Protokoll_4p!#REF!,FIND(":",Protokoll_4p!#REF!)-1))&gt;VALUE(RIGHT(Protokoll_4p!#REF!,LEN(Protokoll_4p!#REF!)-FIND(":",Protokoll_4p!#REF!))),0,1))</f>
        <v>#REF!</v>
      </c>
      <c r="M122" s="1" t="e">
        <f>IF(Protokoll_4p!#REF!="","",IF(VALUE(LEFT(Protokoll_4p!#REF!,FIND(":",Protokoll_4p!#REF!)-1))&gt;VALUE(RIGHT(Protokoll_4p!#REF!,LEN(Protokoll_4p!#REF!)-FIND(":",Protokoll_4p!#REF!))),0,1))</f>
        <v>#REF!</v>
      </c>
      <c r="N122" s="1" t="e">
        <f t="shared" si="3"/>
        <v>#REF!</v>
      </c>
    </row>
    <row r="123" spans="2:14">
      <c r="B123" s="1" t="e">
        <f>IF(Protokoll_4p!#REF!="","",IF(VALUE(LEFT(Protokoll_4p!#REF!,FIND(":",Protokoll_4p!#REF!)-1))&gt;VALUE(RIGHT(Protokoll_4p!#REF!,LEN(Protokoll_4p!#REF!)-FIND(":",Protokoll_4p!#REF!))),1,0))</f>
        <v>#REF!</v>
      </c>
      <c r="C123" s="1" t="e">
        <f>IF(Protokoll_4p!#REF!="","",IF(VALUE(LEFT(Protokoll_4p!#REF!,FIND(":",Protokoll_4p!#REF!)-1))&gt;VALUE(RIGHT(Protokoll_4p!#REF!,LEN(Protokoll_4p!#REF!)-FIND(":",Protokoll_4p!#REF!))),1,0))</f>
        <v>#REF!</v>
      </c>
      <c r="D123" s="1" t="e">
        <f>IF(Protokoll_4p!#REF!="","",IF(VALUE(LEFT(Protokoll_4p!#REF!,FIND(":",Protokoll_4p!#REF!)-1))&gt;VALUE(RIGHT(Protokoll_4p!#REF!,LEN(Protokoll_4p!#REF!)-FIND(":",Protokoll_4p!#REF!))),1,0))</f>
        <v>#REF!</v>
      </c>
      <c r="E123" s="1" t="e">
        <f>IF(Protokoll_4p!#REF!="","",IF(VALUE(LEFT(Protokoll_4p!#REF!,FIND(":",Protokoll_4p!#REF!)-1))&gt;VALUE(RIGHT(Protokoll_4p!#REF!,LEN(Protokoll_4p!#REF!)-FIND(":",Protokoll_4p!#REF!))),1,0))</f>
        <v>#REF!</v>
      </c>
      <c r="F123" s="1" t="e">
        <f>IF(Protokoll_4p!#REF!="","",IF(VALUE(LEFT(Protokoll_4p!#REF!,FIND(":",Protokoll_4p!#REF!)-1))&gt;VALUE(RIGHT(Protokoll_4p!#REF!,LEN(Protokoll_4p!#REF!)-FIND(":",Protokoll_4p!#REF!))),1,0))</f>
        <v>#REF!</v>
      </c>
      <c r="G123" s="1" t="e">
        <f t="shared" si="2"/>
        <v>#REF!</v>
      </c>
      <c r="I123" s="1" t="e">
        <f>IF(Protokoll_4p!#REF!="","",IF(VALUE(LEFT(Protokoll_4p!#REF!,FIND(":",Protokoll_4p!#REF!)-1))&gt;VALUE(RIGHT(Protokoll_4p!#REF!,LEN(Protokoll_4p!#REF!)-FIND(":",Protokoll_4p!#REF!))),0,1))</f>
        <v>#REF!</v>
      </c>
      <c r="J123" s="1" t="e">
        <f>IF(Protokoll_4p!#REF!="","",IF(VALUE(LEFT(Protokoll_4p!#REF!,FIND(":",Protokoll_4p!#REF!)-1))&gt;VALUE(RIGHT(Protokoll_4p!#REF!,LEN(Protokoll_4p!#REF!)-FIND(":",Protokoll_4p!#REF!))),0,1))</f>
        <v>#REF!</v>
      </c>
      <c r="K123" s="1" t="e">
        <f>IF(Protokoll_4p!#REF!="","",IF(VALUE(LEFT(Protokoll_4p!#REF!,FIND(":",Protokoll_4p!#REF!)-1))&gt;VALUE(RIGHT(Protokoll_4p!#REF!,LEN(Protokoll_4p!#REF!)-FIND(":",Protokoll_4p!#REF!))),0,1))</f>
        <v>#REF!</v>
      </c>
      <c r="L123" s="1" t="e">
        <f>IF(Protokoll_4p!#REF!="","",IF(VALUE(LEFT(Protokoll_4p!#REF!,FIND(":",Protokoll_4p!#REF!)-1))&gt;VALUE(RIGHT(Protokoll_4p!#REF!,LEN(Protokoll_4p!#REF!)-FIND(":",Protokoll_4p!#REF!))),0,1))</f>
        <v>#REF!</v>
      </c>
      <c r="M123" s="1" t="e">
        <f>IF(Protokoll_4p!#REF!="","",IF(VALUE(LEFT(Protokoll_4p!#REF!,FIND(":",Protokoll_4p!#REF!)-1))&gt;VALUE(RIGHT(Protokoll_4p!#REF!,LEN(Protokoll_4p!#REF!)-FIND(":",Protokoll_4p!#REF!))),0,1))</f>
        <v>#REF!</v>
      </c>
      <c r="N123" s="1" t="e">
        <f t="shared" si="3"/>
        <v>#REF!</v>
      </c>
    </row>
    <row r="124" spans="2:14">
      <c r="B124" s="1" t="e">
        <f>IF(Protokoll_4p!#REF!="","",IF(VALUE(LEFT(Protokoll_4p!#REF!,FIND(":",Protokoll_4p!#REF!)-1))&gt;VALUE(RIGHT(Protokoll_4p!#REF!,LEN(Protokoll_4p!#REF!)-FIND(":",Protokoll_4p!#REF!))),1,0))</f>
        <v>#REF!</v>
      </c>
      <c r="C124" s="1" t="e">
        <f>IF(Protokoll_4p!#REF!="","",IF(VALUE(LEFT(Protokoll_4p!#REF!,FIND(":",Protokoll_4p!#REF!)-1))&gt;VALUE(RIGHT(Protokoll_4p!#REF!,LEN(Protokoll_4p!#REF!)-FIND(":",Protokoll_4p!#REF!))),1,0))</f>
        <v>#REF!</v>
      </c>
      <c r="D124" s="1" t="e">
        <f>IF(Protokoll_4p!#REF!="","",IF(VALUE(LEFT(Protokoll_4p!#REF!,FIND(":",Protokoll_4p!#REF!)-1))&gt;VALUE(RIGHT(Protokoll_4p!#REF!,LEN(Protokoll_4p!#REF!)-FIND(":",Protokoll_4p!#REF!))),1,0))</f>
        <v>#REF!</v>
      </c>
      <c r="E124" s="1" t="e">
        <f>IF(Protokoll_4p!#REF!="","",IF(VALUE(LEFT(Protokoll_4p!#REF!,FIND(":",Protokoll_4p!#REF!)-1))&gt;VALUE(RIGHT(Protokoll_4p!#REF!,LEN(Protokoll_4p!#REF!)-FIND(":",Protokoll_4p!#REF!))),1,0))</f>
        <v>#REF!</v>
      </c>
      <c r="F124" s="1" t="e">
        <f>IF(Protokoll_4p!#REF!="","",IF(VALUE(LEFT(Protokoll_4p!#REF!,FIND(":",Protokoll_4p!#REF!)-1))&gt;VALUE(RIGHT(Protokoll_4p!#REF!,LEN(Protokoll_4p!#REF!)-FIND(":",Protokoll_4p!#REF!))),1,0))</f>
        <v>#REF!</v>
      </c>
      <c r="G124" s="1" t="e">
        <f t="shared" si="2"/>
        <v>#REF!</v>
      </c>
      <c r="I124" s="1" t="e">
        <f>IF(Protokoll_4p!#REF!="","",IF(VALUE(LEFT(Protokoll_4p!#REF!,FIND(":",Protokoll_4p!#REF!)-1))&gt;VALUE(RIGHT(Protokoll_4p!#REF!,LEN(Protokoll_4p!#REF!)-FIND(":",Protokoll_4p!#REF!))),0,1))</f>
        <v>#REF!</v>
      </c>
      <c r="J124" s="1" t="e">
        <f>IF(Protokoll_4p!#REF!="","",IF(VALUE(LEFT(Protokoll_4p!#REF!,FIND(":",Protokoll_4p!#REF!)-1))&gt;VALUE(RIGHT(Protokoll_4p!#REF!,LEN(Protokoll_4p!#REF!)-FIND(":",Protokoll_4p!#REF!))),0,1))</f>
        <v>#REF!</v>
      </c>
      <c r="K124" s="1" t="e">
        <f>IF(Protokoll_4p!#REF!="","",IF(VALUE(LEFT(Protokoll_4p!#REF!,FIND(":",Protokoll_4p!#REF!)-1))&gt;VALUE(RIGHT(Protokoll_4p!#REF!,LEN(Protokoll_4p!#REF!)-FIND(":",Protokoll_4p!#REF!))),0,1))</f>
        <v>#REF!</v>
      </c>
      <c r="L124" s="1" t="e">
        <f>IF(Protokoll_4p!#REF!="","",IF(VALUE(LEFT(Protokoll_4p!#REF!,FIND(":",Protokoll_4p!#REF!)-1))&gt;VALUE(RIGHT(Protokoll_4p!#REF!,LEN(Protokoll_4p!#REF!)-FIND(":",Protokoll_4p!#REF!))),0,1))</f>
        <v>#REF!</v>
      </c>
      <c r="M124" s="1" t="e">
        <f>IF(Protokoll_4p!#REF!="","",IF(VALUE(LEFT(Protokoll_4p!#REF!,FIND(":",Protokoll_4p!#REF!)-1))&gt;VALUE(RIGHT(Protokoll_4p!#REF!,LEN(Protokoll_4p!#REF!)-FIND(":",Protokoll_4p!#REF!))),0,1))</f>
        <v>#REF!</v>
      </c>
      <c r="N124" s="1" t="e">
        <f t="shared" si="3"/>
        <v>#REF!</v>
      </c>
    </row>
    <row r="125" spans="2:14">
      <c r="B125" s="1" t="e">
        <f>IF(Protokoll_4p!#REF!="","",IF(VALUE(LEFT(Protokoll_4p!#REF!,FIND(":",Protokoll_4p!#REF!)-1))&gt;VALUE(RIGHT(Protokoll_4p!#REF!,LEN(Protokoll_4p!#REF!)-FIND(":",Protokoll_4p!#REF!))),1,0))</f>
        <v>#REF!</v>
      </c>
      <c r="C125" s="1" t="e">
        <f>IF(Protokoll_4p!#REF!="","",IF(VALUE(LEFT(Protokoll_4p!#REF!,FIND(":",Protokoll_4p!#REF!)-1))&gt;VALUE(RIGHT(Protokoll_4p!#REF!,LEN(Protokoll_4p!#REF!)-FIND(":",Protokoll_4p!#REF!))),1,0))</f>
        <v>#REF!</v>
      </c>
      <c r="D125" s="1" t="e">
        <f>IF(Protokoll_4p!#REF!="","",IF(VALUE(LEFT(Protokoll_4p!#REF!,FIND(":",Protokoll_4p!#REF!)-1))&gt;VALUE(RIGHT(Protokoll_4p!#REF!,LEN(Protokoll_4p!#REF!)-FIND(":",Protokoll_4p!#REF!))),1,0))</f>
        <v>#REF!</v>
      </c>
      <c r="E125" s="1" t="e">
        <f>IF(Protokoll_4p!#REF!="","",IF(VALUE(LEFT(Protokoll_4p!#REF!,FIND(":",Protokoll_4p!#REF!)-1))&gt;VALUE(RIGHT(Protokoll_4p!#REF!,LEN(Protokoll_4p!#REF!)-FIND(":",Protokoll_4p!#REF!))),1,0))</f>
        <v>#REF!</v>
      </c>
      <c r="F125" s="1" t="e">
        <f>IF(Protokoll_4p!#REF!="","",IF(VALUE(LEFT(Protokoll_4p!#REF!,FIND(":",Protokoll_4p!#REF!)-1))&gt;VALUE(RIGHT(Protokoll_4p!#REF!,LEN(Protokoll_4p!#REF!)-FIND(":",Protokoll_4p!#REF!))),1,0))</f>
        <v>#REF!</v>
      </c>
      <c r="G125" s="1" t="e">
        <f t="shared" si="2"/>
        <v>#REF!</v>
      </c>
      <c r="I125" s="1" t="e">
        <f>IF(Protokoll_4p!#REF!="","",IF(VALUE(LEFT(Protokoll_4p!#REF!,FIND(":",Protokoll_4p!#REF!)-1))&gt;VALUE(RIGHT(Protokoll_4p!#REF!,LEN(Protokoll_4p!#REF!)-FIND(":",Protokoll_4p!#REF!))),0,1))</f>
        <v>#REF!</v>
      </c>
      <c r="J125" s="1" t="e">
        <f>IF(Protokoll_4p!#REF!="","",IF(VALUE(LEFT(Protokoll_4p!#REF!,FIND(":",Protokoll_4p!#REF!)-1))&gt;VALUE(RIGHT(Protokoll_4p!#REF!,LEN(Protokoll_4p!#REF!)-FIND(":",Protokoll_4p!#REF!))),0,1))</f>
        <v>#REF!</v>
      </c>
      <c r="K125" s="1" t="e">
        <f>IF(Protokoll_4p!#REF!="","",IF(VALUE(LEFT(Protokoll_4p!#REF!,FIND(":",Protokoll_4p!#REF!)-1))&gt;VALUE(RIGHT(Protokoll_4p!#REF!,LEN(Protokoll_4p!#REF!)-FIND(":",Protokoll_4p!#REF!))),0,1))</f>
        <v>#REF!</v>
      </c>
      <c r="L125" s="1" t="e">
        <f>IF(Protokoll_4p!#REF!="","",IF(VALUE(LEFT(Protokoll_4p!#REF!,FIND(":",Protokoll_4p!#REF!)-1))&gt;VALUE(RIGHT(Protokoll_4p!#REF!,LEN(Protokoll_4p!#REF!)-FIND(":",Protokoll_4p!#REF!))),0,1))</f>
        <v>#REF!</v>
      </c>
      <c r="M125" s="1" t="e">
        <f>IF(Protokoll_4p!#REF!="","",IF(VALUE(LEFT(Protokoll_4p!#REF!,FIND(":",Protokoll_4p!#REF!)-1))&gt;VALUE(RIGHT(Protokoll_4p!#REF!,LEN(Protokoll_4p!#REF!)-FIND(":",Protokoll_4p!#REF!))),0,1))</f>
        <v>#REF!</v>
      </c>
      <c r="N125" s="1" t="e">
        <f t="shared" si="3"/>
        <v>#REF!</v>
      </c>
    </row>
    <row r="126" spans="2:14">
      <c r="B126" s="1" t="e">
        <f>IF(Protokoll_4p!#REF!="","",IF(VALUE(LEFT(Protokoll_4p!#REF!,FIND(":",Protokoll_4p!#REF!)-1))&gt;VALUE(RIGHT(Protokoll_4p!#REF!,LEN(Protokoll_4p!#REF!)-FIND(":",Protokoll_4p!#REF!))),1,0))</f>
        <v>#REF!</v>
      </c>
      <c r="C126" s="1" t="e">
        <f>IF(Protokoll_4p!#REF!="","",IF(VALUE(LEFT(Protokoll_4p!#REF!,FIND(":",Protokoll_4p!#REF!)-1))&gt;VALUE(RIGHT(Protokoll_4p!#REF!,LEN(Protokoll_4p!#REF!)-FIND(":",Protokoll_4p!#REF!))),1,0))</f>
        <v>#REF!</v>
      </c>
      <c r="D126" s="1" t="e">
        <f>IF(Protokoll_4p!#REF!="","",IF(VALUE(LEFT(Protokoll_4p!#REF!,FIND(":",Protokoll_4p!#REF!)-1))&gt;VALUE(RIGHT(Protokoll_4p!#REF!,LEN(Protokoll_4p!#REF!)-FIND(":",Protokoll_4p!#REF!))),1,0))</f>
        <v>#REF!</v>
      </c>
      <c r="E126" s="1" t="e">
        <f>IF(Protokoll_4p!#REF!="","",IF(VALUE(LEFT(Protokoll_4p!#REF!,FIND(":",Protokoll_4p!#REF!)-1))&gt;VALUE(RIGHT(Protokoll_4p!#REF!,LEN(Protokoll_4p!#REF!)-FIND(":",Protokoll_4p!#REF!))),1,0))</f>
        <v>#REF!</v>
      </c>
      <c r="F126" s="1" t="e">
        <f>IF(Protokoll_4p!#REF!="","",IF(VALUE(LEFT(Protokoll_4p!#REF!,FIND(":",Protokoll_4p!#REF!)-1))&gt;VALUE(RIGHT(Protokoll_4p!#REF!,LEN(Protokoll_4p!#REF!)-FIND(":",Protokoll_4p!#REF!))),1,0))</f>
        <v>#REF!</v>
      </c>
      <c r="G126" s="1" t="e">
        <f t="shared" si="2"/>
        <v>#REF!</v>
      </c>
      <c r="I126" s="1" t="e">
        <f>IF(Protokoll_4p!#REF!="","",IF(VALUE(LEFT(Protokoll_4p!#REF!,FIND(":",Protokoll_4p!#REF!)-1))&gt;VALUE(RIGHT(Protokoll_4p!#REF!,LEN(Protokoll_4p!#REF!)-FIND(":",Protokoll_4p!#REF!))),0,1))</f>
        <v>#REF!</v>
      </c>
      <c r="J126" s="1" t="e">
        <f>IF(Protokoll_4p!#REF!="","",IF(VALUE(LEFT(Protokoll_4p!#REF!,FIND(":",Protokoll_4p!#REF!)-1))&gt;VALUE(RIGHT(Protokoll_4p!#REF!,LEN(Protokoll_4p!#REF!)-FIND(":",Protokoll_4p!#REF!))),0,1))</f>
        <v>#REF!</v>
      </c>
      <c r="K126" s="1" t="e">
        <f>IF(Protokoll_4p!#REF!="","",IF(VALUE(LEFT(Protokoll_4p!#REF!,FIND(":",Protokoll_4p!#REF!)-1))&gt;VALUE(RIGHT(Protokoll_4p!#REF!,LEN(Protokoll_4p!#REF!)-FIND(":",Protokoll_4p!#REF!))),0,1))</f>
        <v>#REF!</v>
      </c>
      <c r="L126" s="1" t="e">
        <f>IF(Protokoll_4p!#REF!="","",IF(VALUE(LEFT(Protokoll_4p!#REF!,FIND(":",Protokoll_4p!#REF!)-1))&gt;VALUE(RIGHT(Protokoll_4p!#REF!,LEN(Protokoll_4p!#REF!)-FIND(":",Protokoll_4p!#REF!))),0,1))</f>
        <v>#REF!</v>
      </c>
      <c r="M126" s="1" t="e">
        <f>IF(Protokoll_4p!#REF!="","",IF(VALUE(LEFT(Protokoll_4p!#REF!,FIND(":",Protokoll_4p!#REF!)-1))&gt;VALUE(RIGHT(Protokoll_4p!#REF!,LEN(Protokoll_4p!#REF!)-FIND(":",Protokoll_4p!#REF!))),0,1))</f>
        <v>#REF!</v>
      </c>
      <c r="N126" s="1" t="e">
        <f t="shared" si="3"/>
        <v>#REF!</v>
      </c>
    </row>
    <row r="127" spans="2:14">
      <c r="B127" s="1" t="e">
        <f>IF(Protokoll_4p!#REF!="","",IF(VALUE(LEFT(Protokoll_4p!#REF!,FIND(":",Protokoll_4p!#REF!)-1))&gt;VALUE(RIGHT(Protokoll_4p!#REF!,LEN(Protokoll_4p!#REF!)-FIND(":",Protokoll_4p!#REF!))),1,0))</f>
        <v>#REF!</v>
      </c>
      <c r="C127" s="1" t="e">
        <f>IF(Protokoll_4p!#REF!="","",IF(VALUE(LEFT(Protokoll_4p!#REF!,FIND(":",Protokoll_4p!#REF!)-1))&gt;VALUE(RIGHT(Protokoll_4p!#REF!,LEN(Protokoll_4p!#REF!)-FIND(":",Protokoll_4p!#REF!))),1,0))</f>
        <v>#REF!</v>
      </c>
      <c r="D127" s="1" t="e">
        <f>IF(Protokoll_4p!#REF!="","",IF(VALUE(LEFT(Protokoll_4p!#REF!,FIND(":",Protokoll_4p!#REF!)-1))&gt;VALUE(RIGHT(Protokoll_4p!#REF!,LEN(Protokoll_4p!#REF!)-FIND(":",Protokoll_4p!#REF!))),1,0))</f>
        <v>#REF!</v>
      </c>
      <c r="E127" s="1" t="e">
        <f>IF(Protokoll_4p!#REF!="","",IF(VALUE(LEFT(Protokoll_4p!#REF!,FIND(":",Protokoll_4p!#REF!)-1))&gt;VALUE(RIGHT(Protokoll_4p!#REF!,LEN(Protokoll_4p!#REF!)-FIND(":",Protokoll_4p!#REF!))),1,0))</f>
        <v>#REF!</v>
      </c>
      <c r="F127" s="1" t="e">
        <f>IF(Protokoll_4p!#REF!="","",IF(VALUE(LEFT(Protokoll_4p!#REF!,FIND(":",Protokoll_4p!#REF!)-1))&gt;VALUE(RIGHT(Protokoll_4p!#REF!,LEN(Protokoll_4p!#REF!)-FIND(":",Protokoll_4p!#REF!))),1,0))</f>
        <v>#REF!</v>
      </c>
      <c r="G127" s="1" t="e">
        <f t="shared" si="2"/>
        <v>#REF!</v>
      </c>
      <c r="I127" s="1" t="e">
        <f>IF(Protokoll_4p!#REF!="","",IF(VALUE(LEFT(Protokoll_4p!#REF!,FIND(":",Protokoll_4p!#REF!)-1))&gt;VALUE(RIGHT(Protokoll_4p!#REF!,LEN(Protokoll_4p!#REF!)-FIND(":",Protokoll_4p!#REF!))),0,1))</f>
        <v>#REF!</v>
      </c>
      <c r="J127" s="1" t="e">
        <f>IF(Protokoll_4p!#REF!="","",IF(VALUE(LEFT(Protokoll_4p!#REF!,FIND(":",Protokoll_4p!#REF!)-1))&gt;VALUE(RIGHT(Protokoll_4p!#REF!,LEN(Protokoll_4p!#REF!)-FIND(":",Protokoll_4p!#REF!))),0,1))</f>
        <v>#REF!</v>
      </c>
      <c r="K127" s="1" t="e">
        <f>IF(Protokoll_4p!#REF!="","",IF(VALUE(LEFT(Protokoll_4p!#REF!,FIND(":",Protokoll_4p!#REF!)-1))&gt;VALUE(RIGHT(Protokoll_4p!#REF!,LEN(Protokoll_4p!#REF!)-FIND(":",Protokoll_4p!#REF!))),0,1))</f>
        <v>#REF!</v>
      </c>
      <c r="L127" s="1" t="e">
        <f>IF(Protokoll_4p!#REF!="","",IF(VALUE(LEFT(Protokoll_4p!#REF!,FIND(":",Protokoll_4p!#REF!)-1))&gt;VALUE(RIGHT(Protokoll_4p!#REF!,LEN(Protokoll_4p!#REF!)-FIND(":",Protokoll_4p!#REF!))),0,1))</f>
        <v>#REF!</v>
      </c>
      <c r="M127" s="1" t="e">
        <f>IF(Protokoll_4p!#REF!="","",IF(VALUE(LEFT(Protokoll_4p!#REF!,FIND(":",Protokoll_4p!#REF!)-1))&gt;VALUE(RIGHT(Protokoll_4p!#REF!,LEN(Protokoll_4p!#REF!)-FIND(":",Protokoll_4p!#REF!))),0,1))</f>
        <v>#REF!</v>
      </c>
      <c r="N127" s="1" t="e">
        <f t="shared" si="3"/>
        <v>#REF!</v>
      </c>
    </row>
    <row r="128" spans="2:14">
      <c r="B128" s="1" t="e">
        <f>IF(Protokoll_4p!#REF!="","",IF(VALUE(LEFT(Protokoll_4p!#REF!,FIND(":",Protokoll_4p!#REF!)-1))&gt;VALUE(RIGHT(Protokoll_4p!#REF!,LEN(Protokoll_4p!#REF!)-FIND(":",Protokoll_4p!#REF!))),1,0))</f>
        <v>#REF!</v>
      </c>
      <c r="C128" s="1" t="e">
        <f>IF(Protokoll_4p!#REF!="","",IF(VALUE(LEFT(Protokoll_4p!#REF!,FIND(":",Protokoll_4p!#REF!)-1))&gt;VALUE(RIGHT(Protokoll_4p!#REF!,LEN(Protokoll_4p!#REF!)-FIND(":",Protokoll_4p!#REF!))),1,0))</f>
        <v>#REF!</v>
      </c>
      <c r="D128" s="1" t="e">
        <f>IF(Protokoll_4p!#REF!="","",IF(VALUE(LEFT(Protokoll_4p!#REF!,FIND(":",Protokoll_4p!#REF!)-1))&gt;VALUE(RIGHT(Protokoll_4p!#REF!,LEN(Protokoll_4p!#REF!)-FIND(":",Protokoll_4p!#REF!))),1,0))</f>
        <v>#REF!</v>
      </c>
      <c r="E128" s="1" t="e">
        <f>IF(Protokoll_4p!#REF!="","",IF(VALUE(LEFT(Protokoll_4p!#REF!,FIND(":",Protokoll_4p!#REF!)-1))&gt;VALUE(RIGHT(Protokoll_4p!#REF!,LEN(Protokoll_4p!#REF!)-FIND(":",Protokoll_4p!#REF!))),1,0))</f>
        <v>#REF!</v>
      </c>
      <c r="F128" s="1" t="e">
        <f>IF(Protokoll_4p!#REF!="","",IF(VALUE(LEFT(Protokoll_4p!#REF!,FIND(":",Protokoll_4p!#REF!)-1))&gt;VALUE(RIGHT(Protokoll_4p!#REF!,LEN(Protokoll_4p!#REF!)-FIND(":",Protokoll_4p!#REF!))),1,0))</f>
        <v>#REF!</v>
      </c>
      <c r="G128" s="1" t="e">
        <f t="shared" si="2"/>
        <v>#REF!</v>
      </c>
      <c r="I128" s="1" t="e">
        <f>IF(Protokoll_4p!#REF!="","",IF(VALUE(LEFT(Protokoll_4p!#REF!,FIND(":",Protokoll_4p!#REF!)-1))&gt;VALUE(RIGHT(Protokoll_4p!#REF!,LEN(Protokoll_4p!#REF!)-FIND(":",Protokoll_4p!#REF!))),0,1))</f>
        <v>#REF!</v>
      </c>
      <c r="J128" s="1" t="e">
        <f>IF(Protokoll_4p!#REF!="","",IF(VALUE(LEFT(Protokoll_4p!#REF!,FIND(":",Protokoll_4p!#REF!)-1))&gt;VALUE(RIGHT(Protokoll_4p!#REF!,LEN(Protokoll_4p!#REF!)-FIND(":",Protokoll_4p!#REF!))),0,1))</f>
        <v>#REF!</v>
      </c>
      <c r="K128" s="1" t="e">
        <f>IF(Protokoll_4p!#REF!="","",IF(VALUE(LEFT(Protokoll_4p!#REF!,FIND(":",Protokoll_4p!#REF!)-1))&gt;VALUE(RIGHT(Protokoll_4p!#REF!,LEN(Protokoll_4p!#REF!)-FIND(":",Protokoll_4p!#REF!))),0,1))</f>
        <v>#REF!</v>
      </c>
      <c r="L128" s="1" t="e">
        <f>IF(Protokoll_4p!#REF!="","",IF(VALUE(LEFT(Protokoll_4p!#REF!,FIND(":",Protokoll_4p!#REF!)-1))&gt;VALUE(RIGHT(Protokoll_4p!#REF!,LEN(Protokoll_4p!#REF!)-FIND(":",Protokoll_4p!#REF!))),0,1))</f>
        <v>#REF!</v>
      </c>
      <c r="M128" s="1" t="e">
        <f>IF(Protokoll_4p!#REF!="","",IF(VALUE(LEFT(Protokoll_4p!#REF!,FIND(":",Protokoll_4p!#REF!)-1))&gt;VALUE(RIGHT(Protokoll_4p!#REF!,LEN(Protokoll_4p!#REF!)-FIND(":",Protokoll_4p!#REF!))),0,1))</f>
        <v>#REF!</v>
      </c>
      <c r="N128" s="1" t="e">
        <f t="shared" si="3"/>
        <v>#REF!</v>
      </c>
    </row>
    <row r="129" spans="2:14">
      <c r="B129" s="1" t="e">
        <f>IF(Protokoll_4p!#REF!="","",IF(VALUE(LEFT(Protokoll_4p!#REF!,FIND(":",Protokoll_4p!#REF!)-1))&gt;VALUE(RIGHT(Protokoll_4p!#REF!,LEN(Protokoll_4p!#REF!)-FIND(":",Protokoll_4p!#REF!))),1,0))</f>
        <v>#REF!</v>
      </c>
      <c r="C129" s="1" t="e">
        <f>IF(Protokoll_4p!#REF!="","",IF(VALUE(LEFT(Protokoll_4p!#REF!,FIND(":",Protokoll_4p!#REF!)-1))&gt;VALUE(RIGHT(Protokoll_4p!#REF!,LEN(Protokoll_4p!#REF!)-FIND(":",Protokoll_4p!#REF!))),1,0))</f>
        <v>#REF!</v>
      </c>
      <c r="D129" s="1" t="e">
        <f>IF(Protokoll_4p!#REF!="","",IF(VALUE(LEFT(Protokoll_4p!#REF!,FIND(":",Protokoll_4p!#REF!)-1))&gt;VALUE(RIGHT(Protokoll_4p!#REF!,LEN(Protokoll_4p!#REF!)-FIND(":",Protokoll_4p!#REF!))),1,0))</f>
        <v>#REF!</v>
      </c>
      <c r="E129" s="1" t="e">
        <f>IF(Protokoll_4p!#REF!="","",IF(VALUE(LEFT(Protokoll_4p!#REF!,FIND(":",Protokoll_4p!#REF!)-1))&gt;VALUE(RIGHT(Protokoll_4p!#REF!,LEN(Protokoll_4p!#REF!)-FIND(":",Protokoll_4p!#REF!))),1,0))</f>
        <v>#REF!</v>
      </c>
      <c r="F129" s="1" t="e">
        <f>IF(Protokoll_4p!#REF!="","",IF(VALUE(LEFT(Protokoll_4p!#REF!,FIND(":",Protokoll_4p!#REF!)-1))&gt;VALUE(RIGHT(Protokoll_4p!#REF!,LEN(Protokoll_4p!#REF!)-FIND(":",Protokoll_4p!#REF!))),1,0))</f>
        <v>#REF!</v>
      </c>
      <c r="G129" s="1" t="e">
        <f t="shared" si="2"/>
        <v>#REF!</v>
      </c>
      <c r="I129" s="1" t="e">
        <f>IF(Protokoll_4p!#REF!="","",IF(VALUE(LEFT(Protokoll_4p!#REF!,FIND(":",Protokoll_4p!#REF!)-1))&gt;VALUE(RIGHT(Protokoll_4p!#REF!,LEN(Protokoll_4p!#REF!)-FIND(":",Protokoll_4p!#REF!))),0,1))</f>
        <v>#REF!</v>
      </c>
      <c r="J129" s="1" t="e">
        <f>IF(Protokoll_4p!#REF!="","",IF(VALUE(LEFT(Protokoll_4p!#REF!,FIND(":",Protokoll_4p!#REF!)-1))&gt;VALUE(RIGHT(Protokoll_4p!#REF!,LEN(Protokoll_4p!#REF!)-FIND(":",Protokoll_4p!#REF!))),0,1))</f>
        <v>#REF!</v>
      </c>
      <c r="K129" s="1" t="e">
        <f>IF(Protokoll_4p!#REF!="","",IF(VALUE(LEFT(Protokoll_4p!#REF!,FIND(":",Protokoll_4p!#REF!)-1))&gt;VALUE(RIGHT(Protokoll_4p!#REF!,LEN(Protokoll_4p!#REF!)-FIND(":",Protokoll_4p!#REF!))),0,1))</f>
        <v>#REF!</v>
      </c>
      <c r="L129" s="1" t="e">
        <f>IF(Protokoll_4p!#REF!="","",IF(VALUE(LEFT(Protokoll_4p!#REF!,FIND(":",Protokoll_4p!#REF!)-1))&gt;VALUE(RIGHT(Protokoll_4p!#REF!,LEN(Protokoll_4p!#REF!)-FIND(":",Protokoll_4p!#REF!))),0,1))</f>
        <v>#REF!</v>
      </c>
      <c r="M129" s="1" t="e">
        <f>IF(Protokoll_4p!#REF!="","",IF(VALUE(LEFT(Protokoll_4p!#REF!,FIND(":",Protokoll_4p!#REF!)-1))&gt;VALUE(RIGHT(Protokoll_4p!#REF!,LEN(Protokoll_4p!#REF!)-FIND(":",Protokoll_4p!#REF!))),0,1))</f>
        <v>#REF!</v>
      </c>
      <c r="N129" s="1" t="e">
        <f t="shared" si="3"/>
        <v>#REF!</v>
      </c>
    </row>
    <row r="130" spans="2:14">
      <c r="B130" s="1" t="e">
        <f>IF(Protokoll_4p!#REF!="","",IF(VALUE(LEFT(Protokoll_4p!#REF!,FIND(":",Protokoll_4p!#REF!)-1))&gt;VALUE(RIGHT(Protokoll_4p!#REF!,LEN(Protokoll_4p!#REF!)-FIND(":",Protokoll_4p!#REF!))),1,0))</f>
        <v>#REF!</v>
      </c>
      <c r="C130" s="1" t="e">
        <f>IF(Protokoll_4p!#REF!="","",IF(VALUE(LEFT(Protokoll_4p!#REF!,FIND(":",Protokoll_4p!#REF!)-1))&gt;VALUE(RIGHT(Protokoll_4p!#REF!,LEN(Protokoll_4p!#REF!)-FIND(":",Protokoll_4p!#REF!))),1,0))</f>
        <v>#REF!</v>
      </c>
      <c r="D130" s="1" t="e">
        <f>IF(Protokoll_4p!#REF!="","",IF(VALUE(LEFT(Protokoll_4p!#REF!,FIND(":",Protokoll_4p!#REF!)-1))&gt;VALUE(RIGHT(Protokoll_4p!#REF!,LEN(Protokoll_4p!#REF!)-FIND(":",Protokoll_4p!#REF!))),1,0))</f>
        <v>#REF!</v>
      </c>
      <c r="E130" s="1" t="e">
        <f>IF(Protokoll_4p!#REF!="","",IF(VALUE(LEFT(Protokoll_4p!#REF!,FIND(":",Protokoll_4p!#REF!)-1))&gt;VALUE(RIGHT(Protokoll_4p!#REF!,LEN(Protokoll_4p!#REF!)-FIND(":",Protokoll_4p!#REF!))),1,0))</f>
        <v>#REF!</v>
      </c>
      <c r="F130" s="1" t="e">
        <f>IF(Protokoll_4p!#REF!="","",IF(VALUE(LEFT(Protokoll_4p!#REF!,FIND(":",Protokoll_4p!#REF!)-1))&gt;VALUE(RIGHT(Protokoll_4p!#REF!,LEN(Protokoll_4p!#REF!)-FIND(":",Protokoll_4p!#REF!))),1,0))</f>
        <v>#REF!</v>
      </c>
      <c r="G130" s="1" t="e">
        <f t="shared" si="2"/>
        <v>#REF!</v>
      </c>
      <c r="I130" s="1" t="e">
        <f>IF(Protokoll_4p!#REF!="","",IF(VALUE(LEFT(Protokoll_4p!#REF!,FIND(":",Protokoll_4p!#REF!)-1))&gt;VALUE(RIGHT(Protokoll_4p!#REF!,LEN(Protokoll_4p!#REF!)-FIND(":",Protokoll_4p!#REF!))),0,1))</f>
        <v>#REF!</v>
      </c>
      <c r="J130" s="1" t="e">
        <f>IF(Protokoll_4p!#REF!="","",IF(VALUE(LEFT(Protokoll_4p!#REF!,FIND(":",Protokoll_4p!#REF!)-1))&gt;VALUE(RIGHT(Protokoll_4p!#REF!,LEN(Protokoll_4p!#REF!)-FIND(":",Protokoll_4p!#REF!))),0,1))</f>
        <v>#REF!</v>
      </c>
      <c r="K130" s="1" t="e">
        <f>IF(Protokoll_4p!#REF!="","",IF(VALUE(LEFT(Protokoll_4p!#REF!,FIND(":",Protokoll_4p!#REF!)-1))&gt;VALUE(RIGHT(Protokoll_4p!#REF!,LEN(Protokoll_4p!#REF!)-FIND(":",Protokoll_4p!#REF!))),0,1))</f>
        <v>#REF!</v>
      </c>
      <c r="L130" s="1" t="e">
        <f>IF(Protokoll_4p!#REF!="","",IF(VALUE(LEFT(Protokoll_4p!#REF!,FIND(":",Protokoll_4p!#REF!)-1))&gt;VALUE(RIGHT(Protokoll_4p!#REF!,LEN(Protokoll_4p!#REF!)-FIND(":",Protokoll_4p!#REF!))),0,1))</f>
        <v>#REF!</v>
      </c>
      <c r="M130" s="1" t="e">
        <f>IF(Protokoll_4p!#REF!="","",IF(VALUE(LEFT(Protokoll_4p!#REF!,FIND(":",Protokoll_4p!#REF!)-1))&gt;VALUE(RIGHT(Protokoll_4p!#REF!,LEN(Protokoll_4p!#REF!)-FIND(":",Protokoll_4p!#REF!))),0,1))</f>
        <v>#REF!</v>
      </c>
      <c r="N130" s="1" t="e">
        <f t="shared" si="3"/>
        <v>#REF!</v>
      </c>
    </row>
    <row r="131" spans="2:14">
      <c r="B131" s="1" t="e">
        <f>IF(Protokoll_4p!#REF!="","",IF(VALUE(LEFT(Protokoll_4p!#REF!,FIND(":",Protokoll_4p!#REF!)-1))&gt;VALUE(RIGHT(Protokoll_4p!#REF!,LEN(Protokoll_4p!#REF!)-FIND(":",Protokoll_4p!#REF!))),1,0))</f>
        <v>#REF!</v>
      </c>
      <c r="C131" s="1" t="e">
        <f>IF(Protokoll_4p!#REF!="","",IF(VALUE(LEFT(Protokoll_4p!#REF!,FIND(":",Protokoll_4p!#REF!)-1))&gt;VALUE(RIGHT(Protokoll_4p!#REF!,LEN(Protokoll_4p!#REF!)-FIND(":",Protokoll_4p!#REF!))),1,0))</f>
        <v>#REF!</v>
      </c>
      <c r="D131" s="1" t="e">
        <f>IF(Protokoll_4p!#REF!="","",IF(VALUE(LEFT(Protokoll_4p!#REF!,FIND(":",Protokoll_4p!#REF!)-1))&gt;VALUE(RIGHT(Protokoll_4p!#REF!,LEN(Protokoll_4p!#REF!)-FIND(":",Protokoll_4p!#REF!))),1,0))</f>
        <v>#REF!</v>
      </c>
      <c r="E131" s="1" t="e">
        <f>IF(Protokoll_4p!#REF!="","",IF(VALUE(LEFT(Protokoll_4p!#REF!,FIND(":",Protokoll_4p!#REF!)-1))&gt;VALUE(RIGHT(Protokoll_4p!#REF!,LEN(Protokoll_4p!#REF!)-FIND(":",Protokoll_4p!#REF!))),1,0))</f>
        <v>#REF!</v>
      </c>
      <c r="F131" s="1" t="e">
        <f>IF(Protokoll_4p!#REF!="","",IF(VALUE(LEFT(Protokoll_4p!#REF!,FIND(":",Protokoll_4p!#REF!)-1))&gt;VALUE(RIGHT(Protokoll_4p!#REF!,LEN(Protokoll_4p!#REF!)-FIND(":",Protokoll_4p!#REF!))),1,0))</f>
        <v>#REF!</v>
      </c>
      <c r="G131" s="1" t="e">
        <f t="shared" ref="G131:G194" si="4">IF(B131="","",SUM(B131:F131))</f>
        <v>#REF!</v>
      </c>
      <c r="I131" s="1" t="e">
        <f>IF(Protokoll_4p!#REF!="","",IF(VALUE(LEFT(Protokoll_4p!#REF!,FIND(":",Protokoll_4p!#REF!)-1))&gt;VALUE(RIGHT(Protokoll_4p!#REF!,LEN(Protokoll_4p!#REF!)-FIND(":",Protokoll_4p!#REF!))),0,1))</f>
        <v>#REF!</v>
      </c>
      <c r="J131" s="1" t="e">
        <f>IF(Protokoll_4p!#REF!="","",IF(VALUE(LEFT(Protokoll_4p!#REF!,FIND(":",Protokoll_4p!#REF!)-1))&gt;VALUE(RIGHT(Protokoll_4p!#REF!,LEN(Protokoll_4p!#REF!)-FIND(":",Protokoll_4p!#REF!))),0,1))</f>
        <v>#REF!</v>
      </c>
      <c r="K131" s="1" t="e">
        <f>IF(Protokoll_4p!#REF!="","",IF(VALUE(LEFT(Protokoll_4p!#REF!,FIND(":",Protokoll_4p!#REF!)-1))&gt;VALUE(RIGHT(Protokoll_4p!#REF!,LEN(Protokoll_4p!#REF!)-FIND(":",Protokoll_4p!#REF!))),0,1))</f>
        <v>#REF!</v>
      </c>
      <c r="L131" s="1" t="e">
        <f>IF(Protokoll_4p!#REF!="","",IF(VALUE(LEFT(Protokoll_4p!#REF!,FIND(":",Protokoll_4p!#REF!)-1))&gt;VALUE(RIGHT(Protokoll_4p!#REF!,LEN(Protokoll_4p!#REF!)-FIND(":",Protokoll_4p!#REF!))),0,1))</f>
        <v>#REF!</v>
      </c>
      <c r="M131" s="1" t="e">
        <f>IF(Protokoll_4p!#REF!="","",IF(VALUE(LEFT(Protokoll_4p!#REF!,FIND(":",Protokoll_4p!#REF!)-1))&gt;VALUE(RIGHT(Protokoll_4p!#REF!,LEN(Protokoll_4p!#REF!)-FIND(":",Protokoll_4p!#REF!))),0,1))</f>
        <v>#REF!</v>
      </c>
      <c r="N131" s="1" t="e">
        <f t="shared" ref="N131:N194" si="5">IF(I131="","",SUM(I131:M131))</f>
        <v>#REF!</v>
      </c>
    </row>
    <row r="132" spans="2:14">
      <c r="B132" s="1" t="e">
        <f>IF(Protokoll_4p!#REF!="","",IF(VALUE(LEFT(Protokoll_4p!#REF!,FIND(":",Protokoll_4p!#REF!)-1))&gt;VALUE(RIGHT(Protokoll_4p!#REF!,LEN(Protokoll_4p!#REF!)-FIND(":",Protokoll_4p!#REF!))),1,0))</f>
        <v>#REF!</v>
      </c>
      <c r="C132" s="1" t="e">
        <f>IF(Protokoll_4p!#REF!="","",IF(VALUE(LEFT(Protokoll_4p!#REF!,FIND(":",Protokoll_4p!#REF!)-1))&gt;VALUE(RIGHT(Protokoll_4p!#REF!,LEN(Protokoll_4p!#REF!)-FIND(":",Protokoll_4p!#REF!))),1,0))</f>
        <v>#REF!</v>
      </c>
      <c r="D132" s="1" t="e">
        <f>IF(Protokoll_4p!#REF!="","",IF(VALUE(LEFT(Protokoll_4p!#REF!,FIND(":",Protokoll_4p!#REF!)-1))&gt;VALUE(RIGHT(Protokoll_4p!#REF!,LEN(Protokoll_4p!#REF!)-FIND(":",Protokoll_4p!#REF!))),1,0))</f>
        <v>#REF!</v>
      </c>
      <c r="E132" s="1" t="e">
        <f>IF(Protokoll_4p!#REF!="","",IF(VALUE(LEFT(Protokoll_4p!#REF!,FIND(":",Protokoll_4p!#REF!)-1))&gt;VALUE(RIGHT(Protokoll_4p!#REF!,LEN(Protokoll_4p!#REF!)-FIND(":",Protokoll_4p!#REF!))),1,0))</f>
        <v>#REF!</v>
      </c>
      <c r="F132" s="1" t="e">
        <f>IF(Protokoll_4p!#REF!="","",IF(VALUE(LEFT(Protokoll_4p!#REF!,FIND(":",Protokoll_4p!#REF!)-1))&gt;VALUE(RIGHT(Protokoll_4p!#REF!,LEN(Protokoll_4p!#REF!)-FIND(":",Protokoll_4p!#REF!))),1,0))</f>
        <v>#REF!</v>
      </c>
      <c r="G132" s="1" t="e">
        <f t="shared" si="4"/>
        <v>#REF!</v>
      </c>
      <c r="I132" s="1" t="e">
        <f>IF(Protokoll_4p!#REF!="","",IF(VALUE(LEFT(Protokoll_4p!#REF!,FIND(":",Protokoll_4p!#REF!)-1))&gt;VALUE(RIGHT(Protokoll_4p!#REF!,LEN(Protokoll_4p!#REF!)-FIND(":",Protokoll_4p!#REF!))),0,1))</f>
        <v>#REF!</v>
      </c>
      <c r="J132" s="1" t="e">
        <f>IF(Protokoll_4p!#REF!="","",IF(VALUE(LEFT(Protokoll_4p!#REF!,FIND(":",Protokoll_4p!#REF!)-1))&gt;VALUE(RIGHT(Protokoll_4p!#REF!,LEN(Protokoll_4p!#REF!)-FIND(":",Protokoll_4p!#REF!))),0,1))</f>
        <v>#REF!</v>
      </c>
      <c r="K132" s="1" t="e">
        <f>IF(Protokoll_4p!#REF!="","",IF(VALUE(LEFT(Protokoll_4p!#REF!,FIND(":",Protokoll_4p!#REF!)-1))&gt;VALUE(RIGHT(Protokoll_4p!#REF!,LEN(Protokoll_4p!#REF!)-FIND(":",Protokoll_4p!#REF!))),0,1))</f>
        <v>#REF!</v>
      </c>
      <c r="L132" s="1" t="e">
        <f>IF(Protokoll_4p!#REF!="","",IF(VALUE(LEFT(Protokoll_4p!#REF!,FIND(":",Protokoll_4p!#REF!)-1))&gt;VALUE(RIGHT(Protokoll_4p!#REF!,LEN(Protokoll_4p!#REF!)-FIND(":",Protokoll_4p!#REF!))),0,1))</f>
        <v>#REF!</v>
      </c>
      <c r="M132" s="1" t="e">
        <f>IF(Protokoll_4p!#REF!="","",IF(VALUE(LEFT(Protokoll_4p!#REF!,FIND(":",Protokoll_4p!#REF!)-1))&gt;VALUE(RIGHT(Protokoll_4p!#REF!,LEN(Protokoll_4p!#REF!)-FIND(":",Protokoll_4p!#REF!))),0,1))</f>
        <v>#REF!</v>
      </c>
      <c r="N132" s="1" t="e">
        <f t="shared" si="5"/>
        <v>#REF!</v>
      </c>
    </row>
    <row r="133" spans="2:14">
      <c r="B133" s="1" t="e">
        <f>IF(Protokoll_4p!#REF!="","",IF(VALUE(LEFT(Protokoll_4p!#REF!,FIND(":",Protokoll_4p!#REF!)-1))&gt;VALUE(RIGHT(Protokoll_4p!#REF!,LEN(Protokoll_4p!#REF!)-FIND(":",Protokoll_4p!#REF!))),1,0))</f>
        <v>#REF!</v>
      </c>
      <c r="C133" s="1" t="e">
        <f>IF(Protokoll_4p!#REF!="","",IF(VALUE(LEFT(Protokoll_4p!#REF!,FIND(":",Protokoll_4p!#REF!)-1))&gt;VALUE(RIGHT(Protokoll_4p!#REF!,LEN(Protokoll_4p!#REF!)-FIND(":",Protokoll_4p!#REF!))),1,0))</f>
        <v>#REF!</v>
      </c>
      <c r="D133" s="1" t="e">
        <f>IF(Protokoll_4p!#REF!="","",IF(VALUE(LEFT(Protokoll_4p!#REF!,FIND(":",Protokoll_4p!#REF!)-1))&gt;VALUE(RIGHT(Protokoll_4p!#REF!,LEN(Protokoll_4p!#REF!)-FIND(":",Protokoll_4p!#REF!))),1,0))</f>
        <v>#REF!</v>
      </c>
      <c r="E133" s="1" t="e">
        <f>IF(Protokoll_4p!#REF!="","",IF(VALUE(LEFT(Protokoll_4p!#REF!,FIND(":",Protokoll_4p!#REF!)-1))&gt;VALUE(RIGHT(Protokoll_4p!#REF!,LEN(Protokoll_4p!#REF!)-FIND(":",Protokoll_4p!#REF!))),1,0))</f>
        <v>#REF!</v>
      </c>
      <c r="F133" s="1" t="e">
        <f>IF(Protokoll_4p!#REF!="","",IF(VALUE(LEFT(Protokoll_4p!#REF!,FIND(":",Protokoll_4p!#REF!)-1))&gt;VALUE(RIGHT(Protokoll_4p!#REF!,LEN(Protokoll_4p!#REF!)-FIND(":",Protokoll_4p!#REF!))),1,0))</f>
        <v>#REF!</v>
      </c>
      <c r="G133" s="1" t="e">
        <f t="shared" si="4"/>
        <v>#REF!</v>
      </c>
      <c r="I133" s="1" t="e">
        <f>IF(Protokoll_4p!#REF!="","",IF(VALUE(LEFT(Protokoll_4p!#REF!,FIND(":",Protokoll_4p!#REF!)-1))&gt;VALUE(RIGHT(Protokoll_4p!#REF!,LEN(Protokoll_4p!#REF!)-FIND(":",Protokoll_4p!#REF!))),0,1))</f>
        <v>#REF!</v>
      </c>
      <c r="J133" s="1" t="e">
        <f>IF(Protokoll_4p!#REF!="","",IF(VALUE(LEFT(Protokoll_4p!#REF!,FIND(":",Protokoll_4p!#REF!)-1))&gt;VALUE(RIGHT(Protokoll_4p!#REF!,LEN(Protokoll_4p!#REF!)-FIND(":",Protokoll_4p!#REF!))),0,1))</f>
        <v>#REF!</v>
      </c>
      <c r="K133" s="1" t="e">
        <f>IF(Protokoll_4p!#REF!="","",IF(VALUE(LEFT(Protokoll_4p!#REF!,FIND(":",Protokoll_4p!#REF!)-1))&gt;VALUE(RIGHT(Protokoll_4p!#REF!,LEN(Protokoll_4p!#REF!)-FIND(":",Protokoll_4p!#REF!))),0,1))</f>
        <v>#REF!</v>
      </c>
      <c r="L133" s="1" t="e">
        <f>IF(Protokoll_4p!#REF!="","",IF(VALUE(LEFT(Protokoll_4p!#REF!,FIND(":",Protokoll_4p!#REF!)-1))&gt;VALUE(RIGHT(Protokoll_4p!#REF!,LEN(Protokoll_4p!#REF!)-FIND(":",Protokoll_4p!#REF!))),0,1))</f>
        <v>#REF!</v>
      </c>
      <c r="M133" s="1" t="e">
        <f>IF(Protokoll_4p!#REF!="","",IF(VALUE(LEFT(Protokoll_4p!#REF!,FIND(":",Protokoll_4p!#REF!)-1))&gt;VALUE(RIGHT(Protokoll_4p!#REF!,LEN(Protokoll_4p!#REF!)-FIND(":",Protokoll_4p!#REF!))),0,1))</f>
        <v>#REF!</v>
      </c>
      <c r="N133" s="1" t="e">
        <f t="shared" si="5"/>
        <v>#REF!</v>
      </c>
    </row>
    <row r="134" spans="2:14">
      <c r="B134" s="1" t="e">
        <f>IF(Protokoll_4p!#REF!="","",IF(VALUE(LEFT(Protokoll_4p!#REF!,FIND(":",Protokoll_4p!#REF!)-1))&gt;VALUE(RIGHT(Protokoll_4p!#REF!,LEN(Protokoll_4p!#REF!)-FIND(":",Protokoll_4p!#REF!))),1,0))</f>
        <v>#REF!</v>
      </c>
      <c r="C134" s="1" t="e">
        <f>IF(Protokoll_4p!#REF!="","",IF(VALUE(LEFT(Protokoll_4p!#REF!,FIND(":",Protokoll_4p!#REF!)-1))&gt;VALUE(RIGHT(Protokoll_4p!#REF!,LEN(Protokoll_4p!#REF!)-FIND(":",Protokoll_4p!#REF!))),1,0))</f>
        <v>#REF!</v>
      </c>
      <c r="D134" s="1" t="e">
        <f>IF(Protokoll_4p!#REF!="","",IF(VALUE(LEFT(Protokoll_4p!#REF!,FIND(":",Protokoll_4p!#REF!)-1))&gt;VALUE(RIGHT(Protokoll_4p!#REF!,LEN(Protokoll_4p!#REF!)-FIND(":",Protokoll_4p!#REF!))),1,0))</f>
        <v>#REF!</v>
      </c>
      <c r="E134" s="1" t="e">
        <f>IF(Protokoll_4p!#REF!="","",IF(VALUE(LEFT(Protokoll_4p!#REF!,FIND(":",Protokoll_4p!#REF!)-1))&gt;VALUE(RIGHT(Protokoll_4p!#REF!,LEN(Protokoll_4p!#REF!)-FIND(":",Protokoll_4p!#REF!))),1,0))</f>
        <v>#REF!</v>
      </c>
      <c r="F134" s="1" t="e">
        <f>IF(Protokoll_4p!#REF!="","",IF(VALUE(LEFT(Protokoll_4p!#REF!,FIND(":",Protokoll_4p!#REF!)-1))&gt;VALUE(RIGHT(Protokoll_4p!#REF!,LEN(Protokoll_4p!#REF!)-FIND(":",Protokoll_4p!#REF!))),1,0))</f>
        <v>#REF!</v>
      </c>
      <c r="G134" s="1" t="e">
        <f t="shared" si="4"/>
        <v>#REF!</v>
      </c>
      <c r="I134" s="1" t="e">
        <f>IF(Protokoll_4p!#REF!="","",IF(VALUE(LEFT(Protokoll_4p!#REF!,FIND(":",Protokoll_4p!#REF!)-1))&gt;VALUE(RIGHT(Protokoll_4p!#REF!,LEN(Protokoll_4p!#REF!)-FIND(":",Protokoll_4p!#REF!))),0,1))</f>
        <v>#REF!</v>
      </c>
      <c r="J134" s="1" t="e">
        <f>IF(Protokoll_4p!#REF!="","",IF(VALUE(LEFT(Protokoll_4p!#REF!,FIND(":",Protokoll_4p!#REF!)-1))&gt;VALUE(RIGHT(Protokoll_4p!#REF!,LEN(Protokoll_4p!#REF!)-FIND(":",Protokoll_4p!#REF!))),0,1))</f>
        <v>#REF!</v>
      </c>
      <c r="K134" s="1" t="e">
        <f>IF(Protokoll_4p!#REF!="","",IF(VALUE(LEFT(Protokoll_4p!#REF!,FIND(":",Protokoll_4p!#REF!)-1))&gt;VALUE(RIGHT(Protokoll_4p!#REF!,LEN(Protokoll_4p!#REF!)-FIND(":",Protokoll_4p!#REF!))),0,1))</f>
        <v>#REF!</v>
      </c>
      <c r="L134" s="1" t="e">
        <f>IF(Protokoll_4p!#REF!="","",IF(VALUE(LEFT(Protokoll_4p!#REF!,FIND(":",Protokoll_4p!#REF!)-1))&gt;VALUE(RIGHT(Protokoll_4p!#REF!,LEN(Protokoll_4p!#REF!)-FIND(":",Protokoll_4p!#REF!))),0,1))</f>
        <v>#REF!</v>
      </c>
      <c r="M134" s="1" t="e">
        <f>IF(Protokoll_4p!#REF!="","",IF(VALUE(LEFT(Protokoll_4p!#REF!,FIND(":",Protokoll_4p!#REF!)-1))&gt;VALUE(RIGHT(Protokoll_4p!#REF!,LEN(Protokoll_4p!#REF!)-FIND(":",Protokoll_4p!#REF!))),0,1))</f>
        <v>#REF!</v>
      </c>
      <c r="N134" s="1" t="e">
        <f t="shared" si="5"/>
        <v>#REF!</v>
      </c>
    </row>
    <row r="135" spans="2:14">
      <c r="B135" s="1" t="e">
        <f>IF(Protokoll_4p!#REF!="","",IF(VALUE(LEFT(Protokoll_4p!#REF!,FIND(":",Protokoll_4p!#REF!)-1))&gt;VALUE(RIGHT(Protokoll_4p!#REF!,LEN(Protokoll_4p!#REF!)-FIND(":",Protokoll_4p!#REF!))),1,0))</f>
        <v>#REF!</v>
      </c>
      <c r="C135" s="1" t="e">
        <f>IF(Protokoll_4p!#REF!="","",IF(VALUE(LEFT(Protokoll_4p!#REF!,FIND(":",Protokoll_4p!#REF!)-1))&gt;VALUE(RIGHT(Protokoll_4p!#REF!,LEN(Protokoll_4p!#REF!)-FIND(":",Protokoll_4p!#REF!))),1,0))</f>
        <v>#REF!</v>
      </c>
      <c r="D135" s="1" t="e">
        <f>IF(Protokoll_4p!#REF!="","",IF(VALUE(LEFT(Protokoll_4p!#REF!,FIND(":",Protokoll_4p!#REF!)-1))&gt;VALUE(RIGHT(Protokoll_4p!#REF!,LEN(Protokoll_4p!#REF!)-FIND(":",Protokoll_4p!#REF!))),1,0))</f>
        <v>#REF!</v>
      </c>
      <c r="E135" s="1" t="e">
        <f>IF(Protokoll_4p!#REF!="","",IF(VALUE(LEFT(Protokoll_4p!#REF!,FIND(":",Protokoll_4p!#REF!)-1))&gt;VALUE(RIGHT(Protokoll_4p!#REF!,LEN(Protokoll_4p!#REF!)-FIND(":",Protokoll_4p!#REF!))),1,0))</f>
        <v>#REF!</v>
      </c>
      <c r="F135" s="1" t="e">
        <f>IF(Protokoll_4p!#REF!="","",IF(VALUE(LEFT(Protokoll_4p!#REF!,FIND(":",Protokoll_4p!#REF!)-1))&gt;VALUE(RIGHT(Protokoll_4p!#REF!,LEN(Protokoll_4p!#REF!)-FIND(":",Protokoll_4p!#REF!))),1,0))</f>
        <v>#REF!</v>
      </c>
      <c r="G135" s="1" t="e">
        <f t="shared" si="4"/>
        <v>#REF!</v>
      </c>
      <c r="I135" s="1" t="e">
        <f>IF(Protokoll_4p!#REF!="","",IF(VALUE(LEFT(Protokoll_4p!#REF!,FIND(":",Protokoll_4p!#REF!)-1))&gt;VALUE(RIGHT(Protokoll_4p!#REF!,LEN(Protokoll_4p!#REF!)-FIND(":",Protokoll_4p!#REF!))),0,1))</f>
        <v>#REF!</v>
      </c>
      <c r="J135" s="1" t="e">
        <f>IF(Protokoll_4p!#REF!="","",IF(VALUE(LEFT(Protokoll_4p!#REF!,FIND(":",Protokoll_4p!#REF!)-1))&gt;VALUE(RIGHT(Protokoll_4p!#REF!,LEN(Protokoll_4p!#REF!)-FIND(":",Protokoll_4p!#REF!))),0,1))</f>
        <v>#REF!</v>
      </c>
      <c r="K135" s="1" t="e">
        <f>IF(Protokoll_4p!#REF!="","",IF(VALUE(LEFT(Protokoll_4p!#REF!,FIND(":",Protokoll_4p!#REF!)-1))&gt;VALUE(RIGHT(Protokoll_4p!#REF!,LEN(Protokoll_4p!#REF!)-FIND(":",Protokoll_4p!#REF!))),0,1))</f>
        <v>#REF!</v>
      </c>
      <c r="L135" s="1" t="e">
        <f>IF(Protokoll_4p!#REF!="","",IF(VALUE(LEFT(Protokoll_4p!#REF!,FIND(":",Protokoll_4p!#REF!)-1))&gt;VALUE(RIGHT(Protokoll_4p!#REF!,LEN(Protokoll_4p!#REF!)-FIND(":",Protokoll_4p!#REF!))),0,1))</f>
        <v>#REF!</v>
      </c>
      <c r="M135" s="1" t="e">
        <f>IF(Protokoll_4p!#REF!="","",IF(VALUE(LEFT(Protokoll_4p!#REF!,FIND(":",Protokoll_4p!#REF!)-1))&gt;VALUE(RIGHT(Protokoll_4p!#REF!,LEN(Protokoll_4p!#REF!)-FIND(":",Protokoll_4p!#REF!))),0,1))</f>
        <v>#REF!</v>
      </c>
      <c r="N135" s="1" t="e">
        <f t="shared" si="5"/>
        <v>#REF!</v>
      </c>
    </row>
    <row r="136" spans="2:14">
      <c r="B136" s="1" t="e">
        <f>IF(Protokoll_4p!#REF!="","",IF(VALUE(LEFT(Protokoll_4p!#REF!,FIND(":",Protokoll_4p!#REF!)-1))&gt;VALUE(RIGHT(Protokoll_4p!#REF!,LEN(Protokoll_4p!#REF!)-FIND(":",Protokoll_4p!#REF!))),1,0))</f>
        <v>#REF!</v>
      </c>
      <c r="C136" s="1" t="e">
        <f>IF(Protokoll_4p!#REF!="","",IF(VALUE(LEFT(Protokoll_4p!#REF!,FIND(":",Protokoll_4p!#REF!)-1))&gt;VALUE(RIGHT(Protokoll_4p!#REF!,LEN(Protokoll_4p!#REF!)-FIND(":",Protokoll_4p!#REF!))),1,0))</f>
        <v>#REF!</v>
      </c>
      <c r="D136" s="1" t="e">
        <f>IF(Protokoll_4p!#REF!="","",IF(VALUE(LEFT(Protokoll_4p!#REF!,FIND(":",Protokoll_4p!#REF!)-1))&gt;VALUE(RIGHT(Protokoll_4p!#REF!,LEN(Protokoll_4p!#REF!)-FIND(":",Protokoll_4p!#REF!))),1,0))</f>
        <v>#REF!</v>
      </c>
      <c r="E136" s="1" t="e">
        <f>IF(Protokoll_4p!#REF!="","",IF(VALUE(LEFT(Protokoll_4p!#REF!,FIND(":",Protokoll_4p!#REF!)-1))&gt;VALUE(RIGHT(Protokoll_4p!#REF!,LEN(Protokoll_4p!#REF!)-FIND(":",Protokoll_4p!#REF!))),1,0))</f>
        <v>#REF!</v>
      </c>
      <c r="F136" s="1" t="e">
        <f>IF(Protokoll_4p!#REF!="","",IF(VALUE(LEFT(Protokoll_4p!#REF!,FIND(":",Protokoll_4p!#REF!)-1))&gt;VALUE(RIGHT(Protokoll_4p!#REF!,LEN(Protokoll_4p!#REF!)-FIND(":",Protokoll_4p!#REF!))),1,0))</f>
        <v>#REF!</v>
      </c>
      <c r="G136" s="1" t="e">
        <f t="shared" si="4"/>
        <v>#REF!</v>
      </c>
      <c r="I136" s="1" t="e">
        <f>IF(Protokoll_4p!#REF!="","",IF(VALUE(LEFT(Protokoll_4p!#REF!,FIND(":",Protokoll_4p!#REF!)-1))&gt;VALUE(RIGHT(Protokoll_4p!#REF!,LEN(Protokoll_4p!#REF!)-FIND(":",Protokoll_4p!#REF!))),0,1))</f>
        <v>#REF!</v>
      </c>
      <c r="J136" s="1" t="e">
        <f>IF(Protokoll_4p!#REF!="","",IF(VALUE(LEFT(Protokoll_4p!#REF!,FIND(":",Protokoll_4p!#REF!)-1))&gt;VALUE(RIGHT(Protokoll_4p!#REF!,LEN(Protokoll_4p!#REF!)-FIND(":",Protokoll_4p!#REF!))),0,1))</f>
        <v>#REF!</v>
      </c>
      <c r="K136" s="1" t="e">
        <f>IF(Protokoll_4p!#REF!="","",IF(VALUE(LEFT(Protokoll_4p!#REF!,FIND(":",Protokoll_4p!#REF!)-1))&gt;VALUE(RIGHT(Protokoll_4p!#REF!,LEN(Protokoll_4p!#REF!)-FIND(":",Protokoll_4p!#REF!))),0,1))</f>
        <v>#REF!</v>
      </c>
      <c r="L136" s="1" t="e">
        <f>IF(Protokoll_4p!#REF!="","",IF(VALUE(LEFT(Protokoll_4p!#REF!,FIND(":",Protokoll_4p!#REF!)-1))&gt;VALUE(RIGHT(Protokoll_4p!#REF!,LEN(Protokoll_4p!#REF!)-FIND(":",Protokoll_4p!#REF!))),0,1))</f>
        <v>#REF!</v>
      </c>
      <c r="M136" s="1" t="e">
        <f>IF(Protokoll_4p!#REF!="","",IF(VALUE(LEFT(Protokoll_4p!#REF!,FIND(":",Protokoll_4p!#REF!)-1))&gt;VALUE(RIGHT(Protokoll_4p!#REF!,LEN(Protokoll_4p!#REF!)-FIND(":",Protokoll_4p!#REF!))),0,1))</f>
        <v>#REF!</v>
      </c>
      <c r="N136" s="1" t="e">
        <f t="shared" si="5"/>
        <v>#REF!</v>
      </c>
    </row>
    <row r="137" spans="2:14">
      <c r="B137" s="1" t="e">
        <f>IF(Protokoll_4p!#REF!="","",IF(VALUE(LEFT(Protokoll_4p!#REF!,FIND(":",Protokoll_4p!#REF!)-1))&gt;VALUE(RIGHT(Protokoll_4p!#REF!,LEN(Protokoll_4p!#REF!)-FIND(":",Protokoll_4p!#REF!))),1,0))</f>
        <v>#REF!</v>
      </c>
      <c r="C137" s="1" t="e">
        <f>IF(Protokoll_4p!#REF!="","",IF(VALUE(LEFT(Protokoll_4p!#REF!,FIND(":",Protokoll_4p!#REF!)-1))&gt;VALUE(RIGHT(Protokoll_4p!#REF!,LEN(Protokoll_4p!#REF!)-FIND(":",Protokoll_4p!#REF!))),1,0))</f>
        <v>#REF!</v>
      </c>
      <c r="D137" s="1" t="e">
        <f>IF(Protokoll_4p!#REF!="","",IF(VALUE(LEFT(Protokoll_4p!#REF!,FIND(":",Protokoll_4p!#REF!)-1))&gt;VALUE(RIGHT(Protokoll_4p!#REF!,LEN(Protokoll_4p!#REF!)-FIND(":",Protokoll_4p!#REF!))),1,0))</f>
        <v>#REF!</v>
      </c>
      <c r="E137" s="1" t="e">
        <f>IF(Protokoll_4p!#REF!="","",IF(VALUE(LEFT(Protokoll_4p!#REF!,FIND(":",Protokoll_4p!#REF!)-1))&gt;VALUE(RIGHT(Protokoll_4p!#REF!,LEN(Protokoll_4p!#REF!)-FIND(":",Protokoll_4p!#REF!))),1,0))</f>
        <v>#REF!</v>
      </c>
      <c r="F137" s="1" t="e">
        <f>IF(Protokoll_4p!#REF!="","",IF(VALUE(LEFT(Protokoll_4p!#REF!,FIND(":",Protokoll_4p!#REF!)-1))&gt;VALUE(RIGHT(Protokoll_4p!#REF!,LEN(Protokoll_4p!#REF!)-FIND(":",Protokoll_4p!#REF!))),1,0))</f>
        <v>#REF!</v>
      </c>
      <c r="G137" s="1" t="e">
        <f t="shared" si="4"/>
        <v>#REF!</v>
      </c>
      <c r="I137" s="1" t="e">
        <f>IF(Protokoll_4p!#REF!="","",IF(VALUE(LEFT(Protokoll_4p!#REF!,FIND(":",Protokoll_4p!#REF!)-1))&gt;VALUE(RIGHT(Protokoll_4p!#REF!,LEN(Protokoll_4p!#REF!)-FIND(":",Protokoll_4p!#REF!))),0,1))</f>
        <v>#REF!</v>
      </c>
      <c r="J137" s="1" t="e">
        <f>IF(Protokoll_4p!#REF!="","",IF(VALUE(LEFT(Protokoll_4p!#REF!,FIND(":",Protokoll_4p!#REF!)-1))&gt;VALUE(RIGHT(Protokoll_4p!#REF!,LEN(Protokoll_4p!#REF!)-FIND(":",Protokoll_4p!#REF!))),0,1))</f>
        <v>#REF!</v>
      </c>
      <c r="K137" s="1" t="e">
        <f>IF(Protokoll_4p!#REF!="","",IF(VALUE(LEFT(Protokoll_4p!#REF!,FIND(":",Protokoll_4p!#REF!)-1))&gt;VALUE(RIGHT(Protokoll_4p!#REF!,LEN(Protokoll_4p!#REF!)-FIND(":",Protokoll_4p!#REF!))),0,1))</f>
        <v>#REF!</v>
      </c>
      <c r="L137" s="1" t="e">
        <f>IF(Protokoll_4p!#REF!="","",IF(VALUE(LEFT(Protokoll_4p!#REF!,FIND(":",Protokoll_4p!#REF!)-1))&gt;VALUE(RIGHT(Protokoll_4p!#REF!,LEN(Protokoll_4p!#REF!)-FIND(":",Protokoll_4p!#REF!))),0,1))</f>
        <v>#REF!</v>
      </c>
      <c r="M137" s="1" t="e">
        <f>IF(Protokoll_4p!#REF!="","",IF(VALUE(LEFT(Protokoll_4p!#REF!,FIND(":",Protokoll_4p!#REF!)-1))&gt;VALUE(RIGHT(Protokoll_4p!#REF!,LEN(Protokoll_4p!#REF!)-FIND(":",Protokoll_4p!#REF!))),0,1))</f>
        <v>#REF!</v>
      </c>
      <c r="N137" s="1" t="e">
        <f t="shared" si="5"/>
        <v>#REF!</v>
      </c>
    </row>
    <row r="138" spans="2:14">
      <c r="B138" s="1" t="e">
        <f>IF(Protokoll_4p!#REF!="","",IF(VALUE(LEFT(Protokoll_4p!#REF!,FIND(":",Protokoll_4p!#REF!)-1))&gt;VALUE(RIGHT(Protokoll_4p!#REF!,LEN(Protokoll_4p!#REF!)-FIND(":",Protokoll_4p!#REF!))),1,0))</f>
        <v>#REF!</v>
      </c>
      <c r="C138" s="1" t="e">
        <f>IF(Protokoll_4p!#REF!="","",IF(VALUE(LEFT(Protokoll_4p!#REF!,FIND(":",Protokoll_4p!#REF!)-1))&gt;VALUE(RIGHT(Protokoll_4p!#REF!,LEN(Protokoll_4p!#REF!)-FIND(":",Protokoll_4p!#REF!))),1,0))</f>
        <v>#REF!</v>
      </c>
      <c r="D138" s="1" t="e">
        <f>IF(Protokoll_4p!#REF!="","",IF(VALUE(LEFT(Protokoll_4p!#REF!,FIND(":",Protokoll_4p!#REF!)-1))&gt;VALUE(RIGHT(Protokoll_4p!#REF!,LEN(Protokoll_4p!#REF!)-FIND(":",Protokoll_4p!#REF!))),1,0))</f>
        <v>#REF!</v>
      </c>
      <c r="E138" s="1" t="e">
        <f>IF(Protokoll_4p!#REF!="","",IF(VALUE(LEFT(Protokoll_4p!#REF!,FIND(":",Protokoll_4p!#REF!)-1))&gt;VALUE(RIGHT(Protokoll_4p!#REF!,LEN(Protokoll_4p!#REF!)-FIND(":",Protokoll_4p!#REF!))),1,0))</f>
        <v>#REF!</v>
      </c>
      <c r="F138" s="1" t="e">
        <f>IF(Protokoll_4p!#REF!="","",IF(VALUE(LEFT(Protokoll_4p!#REF!,FIND(":",Protokoll_4p!#REF!)-1))&gt;VALUE(RIGHT(Protokoll_4p!#REF!,LEN(Protokoll_4p!#REF!)-FIND(":",Protokoll_4p!#REF!))),1,0))</f>
        <v>#REF!</v>
      </c>
      <c r="G138" s="1" t="e">
        <f t="shared" si="4"/>
        <v>#REF!</v>
      </c>
      <c r="I138" s="1" t="e">
        <f>IF(Protokoll_4p!#REF!="","",IF(VALUE(LEFT(Protokoll_4p!#REF!,FIND(":",Protokoll_4p!#REF!)-1))&gt;VALUE(RIGHT(Protokoll_4p!#REF!,LEN(Protokoll_4p!#REF!)-FIND(":",Protokoll_4p!#REF!))),0,1))</f>
        <v>#REF!</v>
      </c>
      <c r="J138" s="1" t="e">
        <f>IF(Protokoll_4p!#REF!="","",IF(VALUE(LEFT(Protokoll_4p!#REF!,FIND(":",Protokoll_4p!#REF!)-1))&gt;VALUE(RIGHT(Protokoll_4p!#REF!,LEN(Protokoll_4p!#REF!)-FIND(":",Protokoll_4p!#REF!))),0,1))</f>
        <v>#REF!</v>
      </c>
      <c r="K138" s="1" t="e">
        <f>IF(Protokoll_4p!#REF!="","",IF(VALUE(LEFT(Protokoll_4p!#REF!,FIND(":",Protokoll_4p!#REF!)-1))&gt;VALUE(RIGHT(Protokoll_4p!#REF!,LEN(Protokoll_4p!#REF!)-FIND(":",Protokoll_4p!#REF!))),0,1))</f>
        <v>#REF!</v>
      </c>
      <c r="L138" s="1" t="e">
        <f>IF(Protokoll_4p!#REF!="","",IF(VALUE(LEFT(Protokoll_4p!#REF!,FIND(":",Protokoll_4p!#REF!)-1))&gt;VALUE(RIGHT(Protokoll_4p!#REF!,LEN(Protokoll_4p!#REF!)-FIND(":",Protokoll_4p!#REF!))),0,1))</f>
        <v>#REF!</v>
      </c>
      <c r="M138" s="1" t="e">
        <f>IF(Protokoll_4p!#REF!="","",IF(VALUE(LEFT(Protokoll_4p!#REF!,FIND(":",Protokoll_4p!#REF!)-1))&gt;VALUE(RIGHT(Protokoll_4p!#REF!,LEN(Protokoll_4p!#REF!)-FIND(":",Protokoll_4p!#REF!))),0,1))</f>
        <v>#REF!</v>
      </c>
      <c r="N138" s="1" t="e">
        <f t="shared" si="5"/>
        <v>#REF!</v>
      </c>
    </row>
    <row r="139" spans="2:14">
      <c r="B139" s="1" t="e">
        <f>IF(Protokoll_4p!#REF!="","",IF(VALUE(LEFT(Protokoll_4p!#REF!,FIND(":",Protokoll_4p!#REF!)-1))&gt;VALUE(RIGHT(Protokoll_4p!#REF!,LEN(Protokoll_4p!#REF!)-FIND(":",Protokoll_4p!#REF!))),1,0))</f>
        <v>#REF!</v>
      </c>
      <c r="C139" s="1" t="e">
        <f>IF(Protokoll_4p!#REF!="","",IF(VALUE(LEFT(Protokoll_4p!#REF!,FIND(":",Protokoll_4p!#REF!)-1))&gt;VALUE(RIGHT(Protokoll_4p!#REF!,LEN(Protokoll_4p!#REF!)-FIND(":",Protokoll_4p!#REF!))),1,0))</f>
        <v>#REF!</v>
      </c>
      <c r="D139" s="1" t="e">
        <f>IF(Protokoll_4p!#REF!="","",IF(VALUE(LEFT(Protokoll_4p!#REF!,FIND(":",Protokoll_4p!#REF!)-1))&gt;VALUE(RIGHT(Protokoll_4p!#REF!,LEN(Protokoll_4p!#REF!)-FIND(":",Protokoll_4p!#REF!))),1,0))</f>
        <v>#REF!</v>
      </c>
      <c r="E139" s="1" t="e">
        <f>IF(Protokoll_4p!#REF!="","",IF(VALUE(LEFT(Protokoll_4p!#REF!,FIND(":",Protokoll_4p!#REF!)-1))&gt;VALUE(RIGHT(Protokoll_4p!#REF!,LEN(Protokoll_4p!#REF!)-FIND(":",Protokoll_4p!#REF!))),1,0))</f>
        <v>#REF!</v>
      </c>
      <c r="F139" s="1" t="e">
        <f>IF(Protokoll_4p!#REF!="","",IF(VALUE(LEFT(Protokoll_4p!#REF!,FIND(":",Protokoll_4p!#REF!)-1))&gt;VALUE(RIGHT(Protokoll_4p!#REF!,LEN(Protokoll_4p!#REF!)-FIND(":",Protokoll_4p!#REF!))),1,0))</f>
        <v>#REF!</v>
      </c>
      <c r="G139" s="1" t="e">
        <f t="shared" si="4"/>
        <v>#REF!</v>
      </c>
      <c r="I139" s="1" t="e">
        <f>IF(Protokoll_4p!#REF!="","",IF(VALUE(LEFT(Protokoll_4p!#REF!,FIND(":",Protokoll_4p!#REF!)-1))&gt;VALUE(RIGHT(Protokoll_4p!#REF!,LEN(Protokoll_4p!#REF!)-FIND(":",Protokoll_4p!#REF!))),0,1))</f>
        <v>#REF!</v>
      </c>
      <c r="J139" s="1" t="e">
        <f>IF(Protokoll_4p!#REF!="","",IF(VALUE(LEFT(Protokoll_4p!#REF!,FIND(":",Protokoll_4p!#REF!)-1))&gt;VALUE(RIGHT(Protokoll_4p!#REF!,LEN(Protokoll_4p!#REF!)-FIND(":",Protokoll_4p!#REF!))),0,1))</f>
        <v>#REF!</v>
      </c>
      <c r="K139" s="1" t="e">
        <f>IF(Protokoll_4p!#REF!="","",IF(VALUE(LEFT(Protokoll_4p!#REF!,FIND(":",Protokoll_4p!#REF!)-1))&gt;VALUE(RIGHT(Protokoll_4p!#REF!,LEN(Protokoll_4p!#REF!)-FIND(":",Protokoll_4p!#REF!))),0,1))</f>
        <v>#REF!</v>
      </c>
      <c r="L139" s="1" t="e">
        <f>IF(Protokoll_4p!#REF!="","",IF(VALUE(LEFT(Protokoll_4p!#REF!,FIND(":",Protokoll_4p!#REF!)-1))&gt;VALUE(RIGHT(Protokoll_4p!#REF!,LEN(Protokoll_4p!#REF!)-FIND(":",Protokoll_4p!#REF!))),0,1))</f>
        <v>#REF!</v>
      </c>
      <c r="M139" s="1" t="e">
        <f>IF(Protokoll_4p!#REF!="","",IF(VALUE(LEFT(Protokoll_4p!#REF!,FIND(":",Protokoll_4p!#REF!)-1))&gt;VALUE(RIGHT(Protokoll_4p!#REF!,LEN(Protokoll_4p!#REF!)-FIND(":",Protokoll_4p!#REF!))),0,1))</f>
        <v>#REF!</v>
      </c>
      <c r="N139" s="1" t="e">
        <f t="shared" si="5"/>
        <v>#REF!</v>
      </c>
    </row>
    <row r="140" spans="2:14">
      <c r="B140" s="1" t="e">
        <f>IF(Protokoll_4p!#REF!="","",IF(VALUE(LEFT(Protokoll_4p!#REF!,FIND(":",Protokoll_4p!#REF!)-1))&gt;VALUE(RIGHT(Protokoll_4p!#REF!,LEN(Protokoll_4p!#REF!)-FIND(":",Protokoll_4p!#REF!))),1,0))</f>
        <v>#REF!</v>
      </c>
      <c r="C140" s="1" t="e">
        <f>IF(Protokoll_4p!#REF!="","",IF(VALUE(LEFT(Protokoll_4p!#REF!,FIND(":",Protokoll_4p!#REF!)-1))&gt;VALUE(RIGHT(Protokoll_4p!#REF!,LEN(Protokoll_4p!#REF!)-FIND(":",Protokoll_4p!#REF!))),1,0))</f>
        <v>#REF!</v>
      </c>
      <c r="D140" s="1" t="e">
        <f>IF(Protokoll_4p!#REF!="","",IF(VALUE(LEFT(Protokoll_4p!#REF!,FIND(":",Protokoll_4p!#REF!)-1))&gt;VALUE(RIGHT(Protokoll_4p!#REF!,LEN(Protokoll_4p!#REF!)-FIND(":",Protokoll_4p!#REF!))),1,0))</f>
        <v>#REF!</v>
      </c>
      <c r="E140" s="1" t="e">
        <f>IF(Protokoll_4p!#REF!="","",IF(VALUE(LEFT(Protokoll_4p!#REF!,FIND(":",Protokoll_4p!#REF!)-1))&gt;VALUE(RIGHT(Protokoll_4p!#REF!,LEN(Protokoll_4p!#REF!)-FIND(":",Protokoll_4p!#REF!))),1,0))</f>
        <v>#REF!</v>
      </c>
      <c r="F140" s="1" t="e">
        <f>IF(Protokoll_4p!#REF!="","",IF(VALUE(LEFT(Protokoll_4p!#REF!,FIND(":",Protokoll_4p!#REF!)-1))&gt;VALUE(RIGHT(Protokoll_4p!#REF!,LEN(Protokoll_4p!#REF!)-FIND(":",Protokoll_4p!#REF!))),1,0))</f>
        <v>#REF!</v>
      </c>
      <c r="G140" s="1" t="e">
        <f t="shared" si="4"/>
        <v>#REF!</v>
      </c>
      <c r="I140" s="1" t="e">
        <f>IF(Protokoll_4p!#REF!="","",IF(VALUE(LEFT(Protokoll_4p!#REF!,FIND(":",Protokoll_4p!#REF!)-1))&gt;VALUE(RIGHT(Protokoll_4p!#REF!,LEN(Protokoll_4p!#REF!)-FIND(":",Protokoll_4p!#REF!))),0,1))</f>
        <v>#REF!</v>
      </c>
      <c r="J140" s="1" t="e">
        <f>IF(Protokoll_4p!#REF!="","",IF(VALUE(LEFT(Protokoll_4p!#REF!,FIND(":",Protokoll_4p!#REF!)-1))&gt;VALUE(RIGHT(Protokoll_4p!#REF!,LEN(Protokoll_4p!#REF!)-FIND(":",Protokoll_4p!#REF!))),0,1))</f>
        <v>#REF!</v>
      </c>
      <c r="K140" s="1" t="e">
        <f>IF(Protokoll_4p!#REF!="","",IF(VALUE(LEFT(Protokoll_4p!#REF!,FIND(":",Protokoll_4p!#REF!)-1))&gt;VALUE(RIGHT(Protokoll_4p!#REF!,LEN(Protokoll_4p!#REF!)-FIND(":",Protokoll_4p!#REF!))),0,1))</f>
        <v>#REF!</v>
      </c>
      <c r="L140" s="1" t="e">
        <f>IF(Protokoll_4p!#REF!="","",IF(VALUE(LEFT(Protokoll_4p!#REF!,FIND(":",Protokoll_4p!#REF!)-1))&gt;VALUE(RIGHT(Protokoll_4p!#REF!,LEN(Protokoll_4p!#REF!)-FIND(":",Protokoll_4p!#REF!))),0,1))</f>
        <v>#REF!</v>
      </c>
      <c r="M140" s="1" t="e">
        <f>IF(Protokoll_4p!#REF!="","",IF(VALUE(LEFT(Protokoll_4p!#REF!,FIND(":",Protokoll_4p!#REF!)-1))&gt;VALUE(RIGHT(Protokoll_4p!#REF!,LEN(Protokoll_4p!#REF!)-FIND(":",Protokoll_4p!#REF!))),0,1))</f>
        <v>#REF!</v>
      </c>
      <c r="N140" s="1" t="e">
        <f t="shared" si="5"/>
        <v>#REF!</v>
      </c>
    </row>
    <row r="141" spans="2:14">
      <c r="B141" s="1" t="e">
        <f>IF(Protokoll_4p!#REF!="","",IF(VALUE(LEFT(Protokoll_4p!#REF!,FIND(":",Protokoll_4p!#REF!)-1))&gt;VALUE(RIGHT(Protokoll_4p!#REF!,LEN(Protokoll_4p!#REF!)-FIND(":",Protokoll_4p!#REF!))),1,0))</f>
        <v>#REF!</v>
      </c>
      <c r="C141" s="1" t="e">
        <f>IF(Protokoll_4p!#REF!="","",IF(VALUE(LEFT(Protokoll_4p!#REF!,FIND(":",Protokoll_4p!#REF!)-1))&gt;VALUE(RIGHT(Protokoll_4p!#REF!,LEN(Protokoll_4p!#REF!)-FIND(":",Protokoll_4p!#REF!))),1,0))</f>
        <v>#REF!</v>
      </c>
      <c r="D141" s="1" t="e">
        <f>IF(Protokoll_4p!#REF!="","",IF(VALUE(LEFT(Protokoll_4p!#REF!,FIND(":",Protokoll_4p!#REF!)-1))&gt;VALUE(RIGHT(Protokoll_4p!#REF!,LEN(Protokoll_4p!#REF!)-FIND(":",Protokoll_4p!#REF!))),1,0))</f>
        <v>#REF!</v>
      </c>
      <c r="E141" s="1" t="e">
        <f>IF(Protokoll_4p!#REF!="","",IF(VALUE(LEFT(Protokoll_4p!#REF!,FIND(":",Protokoll_4p!#REF!)-1))&gt;VALUE(RIGHT(Protokoll_4p!#REF!,LEN(Protokoll_4p!#REF!)-FIND(":",Protokoll_4p!#REF!))),1,0))</f>
        <v>#REF!</v>
      </c>
      <c r="F141" s="1" t="e">
        <f>IF(Protokoll_4p!#REF!="","",IF(VALUE(LEFT(Protokoll_4p!#REF!,FIND(":",Protokoll_4p!#REF!)-1))&gt;VALUE(RIGHT(Protokoll_4p!#REF!,LEN(Protokoll_4p!#REF!)-FIND(":",Protokoll_4p!#REF!))),1,0))</f>
        <v>#REF!</v>
      </c>
      <c r="G141" s="1" t="e">
        <f t="shared" si="4"/>
        <v>#REF!</v>
      </c>
      <c r="I141" s="1" t="e">
        <f>IF(Protokoll_4p!#REF!="","",IF(VALUE(LEFT(Protokoll_4p!#REF!,FIND(":",Protokoll_4p!#REF!)-1))&gt;VALUE(RIGHT(Protokoll_4p!#REF!,LEN(Protokoll_4p!#REF!)-FIND(":",Protokoll_4p!#REF!))),0,1))</f>
        <v>#REF!</v>
      </c>
      <c r="J141" s="1" t="e">
        <f>IF(Protokoll_4p!#REF!="","",IF(VALUE(LEFT(Protokoll_4p!#REF!,FIND(":",Protokoll_4p!#REF!)-1))&gt;VALUE(RIGHT(Protokoll_4p!#REF!,LEN(Protokoll_4p!#REF!)-FIND(":",Protokoll_4p!#REF!))),0,1))</f>
        <v>#REF!</v>
      </c>
      <c r="K141" s="1" t="e">
        <f>IF(Protokoll_4p!#REF!="","",IF(VALUE(LEFT(Protokoll_4p!#REF!,FIND(":",Protokoll_4p!#REF!)-1))&gt;VALUE(RIGHT(Protokoll_4p!#REF!,LEN(Protokoll_4p!#REF!)-FIND(":",Protokoll_4p!#REF!))),0,1))</f>
        <v>#REF!</v>
      </c>
      <c r="L141" s="1" t="e">
        <f>IF(Protokoll_4p!#REF!="","",IF(VALUE(LEFT(Protokoll_4p!#REF!,FIND(":",Protokoll_4p!#REF!)-1))&gt;VALUE(RIGHT(Protokoll_4p!#REF!,LEN(Protokoll_4p!#REF!)-FIND(":",Protokoll_4p!#REF!))),0,1))</f>
        <v>#REF!</v>
      </c>
      <c r="M141" s="1" t="e">
        <f>IF(Protokoll_4p!#REF!="","",IF(VALUE(LEFT(Protokoll_4p!#REF!,FIND(":",Protokoll_4p!#REF!)-1))&gt;VALUE(RIGHT(Protokoll_4p!#REF!,LEN(Protokoll_4p!#REF!)-FIND(":",Protokoll_4p!#REF!))),0,1))</f>
        <v>#REF!</v>
      </c>
      <c r="N141" s="1" t="e">
        <f t="shared" si="5"/>
        <v>#REF!</v>
      </c>
    </row>
    <row r="142" spans="2:14">
      <c r="B142" s="1" t="e">
        <f>IF(Protokoll_4p!#REF!="","",IF(VALUE(LEFT(Protokoll_4p!#REF!,FIND(":",Protokoll_4p!#REF!)-1))&gt;VALUE(RIGHT(Protokoll_4p!#REF!,LEN(Protokoll_4p!#REF!)-FIND(":",Protokoll_4p!#REF!))),1,0))</f>
        <v>#REF!</v>
      </c>
      <c r="C142" s="1" t="e">
        <f>IF(Protokoll_4p!#REF!="","",IF(VALUE(LEFT(Protokoll_4p!#REF!,FIND(":",Protokoll_4p!#REF!)-1))&gt;VALUE(RIGHT(Protokoll_4p!#REF!,LEN(Protokoll_4p!#REF!)-FIND(":",Protokoll_4p!#REF!))),1,0))</f>
        <v>#REF!</v>
      </c>
      <c r="D142" s="1" t="e">
        <f>IF(Protokoll_4p!#REF!="","",IF(VALUE(LEFT(Protokoll_4p!#REF!,FIND(":",Protokoll_4p!#REF!)-1))&gt;VALUE(RIGHT(Protokoll_4p!#REF!,LEN(Protokoll_4p!#REF!)-FIND(":",Protokoll_4p!#REF!))),1,0))</f>
        <v>#REF!</v>
      </c>
      <c r="E142" s="1" t="e">
        <f>IF(Protokoll_4p!#REF!="","",IF(VALUE(LEFT(Protokoll_4p!#REF!,FIND(":",Protokoll_4p!#REF!)-1))&gt;VALUE(RIGHT(Protokoll_4p!#REF!,LEN(Protokoll_4p!#REF!)-FIND(":",Protokoll_4p!#REF!))),1,0))</f>
        <v>#REF!</v>
      </c>
      <c r="F142" s="1" t="e">
        <f>IF(Protokoll_4p!#REF!="","",IF(VALUE(LEFT(Protokoll_4p!#REF!,FIND(":",Protokoll_4p!#REF!)-1))&gt;VALUE(RIGHT(Protokoll_4p!#REF!,LEN(Protokoll_4p!#REF!)-FIND(":",Protokoll_4p!#REF!))),1,0))</f>
        <v>#REF!</v>
      </c>
      <c r="G142" s="1" t="e">
        <f t="shared" si="4"/>
        <v>#REF!</v>
      </c>
      <c r="I142" s="1" t="e">
        <f>IF(Protokoll_4p!#REF!="","",IF(VALUE(LEFT(Protokoll_4p!#REF!,FIND(":",Protokoll_4p!#REF!)-1))&gt;VALUE(RIGHT(Protokoll_4p!#REF!,LEN(Protokoll_4p!#REF!)-FIND(":",Protokoll_4p!#REF!))),0,1))</f>
        <v>#REF!</v>
      </c>
      <c r="J142" s="1" t="e">
        <f>IF(Protokoll_4p!#REF!="","",IF(VALUE(LEFT(Protokoll_4p!#REF!,FIND(":",Protokoll_4p!#REF!)-1))&gt;VALUE(RIGHT(Protokoll_4p!#REF!,LEN(Protokoll_4p!#REF!)-FIND(":",Protokoll_4p!#REF!))),0,1))</f>
        <v>#REF!</v>
      </c>
      <c r="K142" s="1" t="e">
        <f>IF(Protokoll_4p!#REF!="","",IF(VALUE(LEFT(Protokoll_4p!#REF!,FIND(":",Protokoll_4p!#REF!)-1))&gt;VALUE(RIGHT(Protokoll_4p!#REF!,LEN(Protokoll_4p!#REF!)-FIND(":",Protokoll_4p!#REF!))),0,1))</f>
        <v>#REF!</v>
      </c>
      <c r="L142" s="1" t="e">
        <f>IF(Protokoll_4p!#REF!="","",IF(VALUE(LEFT(Protokoll_4p!#REF!,FIND(":",Protokoll_4p!#REF!)-1))&gt;VALUE(RIGHT(Protokoll_4p!#REF!,LEN(Protokoll_4p!#REF!)-FIND(":",Protokoll_4p!#REF!))),0,1))</f>
        <v>#REF!</v>
      </c>
      <c r="M142" s="1" t="e">
        <f>IF(Protokoll_4p!#REF!="","",IF(VALUE(LEFT(Protokoll_4p!#REF!,FIND(":",Protokoll_4p!#REF!)-1))&gt;VALUE(RIGHT(Protokoll_4p!#REF!,LEN(Protokoll_4p!#REF!)-FIND(":",Protokoll_4p!#REF!))),0,1))</f>
        <v>#REF!</v>
      </c>
      <c r="N142" s="1" t="e">
        <f t="shared" si="5"/>
        <v>#REF!</v>
      </c>
    </row>
    <row r="143" spans="2:14">
      <c r="B143" s="1" t="e">
        <f>IF(Protokoll_4p!#REF!="","",IF(VALUE(LEFT(Protokoll_4p!#REF!,FIND(":",Protokoll_4p!#REF!)-1))&gt;VALUE(RIGHT(Protokoll_4p!#REF!,LEN(Protokoll_4p!#REF!)-FIND(":",Protokoll_4p!#REF!))),1,0))</f>
        <v>#REF!</v>
      </c>
      <c r="C143" s="1" t="e">
        <f>IF(Protokoll_4p!#REF!="","",IF(VALUE(LEFT(Protokoll_4p!#REF!,FIND(":",Protokoll_4p!#REF!)-1))&gt;VALUE(RIGHT(Protokoll_4p!#REF!,LEN(Protokoll_4p!#REF!)-FIND(":",Protokoll_4p!#REF!))),1,0))</f>
        <v>#REF!</v>
      </c>
      <c r="D143" s="1" t="e">
        <f>IF(Protokoll_4p!#REF!="","",IF(VALUE(LEFT(Protokoll_4p!#REF!,FIND(":",Protokoll_4p!#REF!)-1))&gt;VALUE(RIGHT(Protokoll_4p!#REF!,LEN(Protokoll_4p!#REF!)-FIND(":",Protokoll_4p!#REF!))),1,0))</f>
        <v>#REF!</v>
      </c>
      <c r="E143" s="1" t="e">
        <f>IF(Protokoll_4p!#REF!="","",IF(VALUE(LEFT(Protokoll_4p!#REF!,FIND(":",Protokoll_4p!#REF!)-1))&gt;VALUE(RIGHT(Protokoll_4p!#REF!,LEN(Protokoll_4p!#REF!)-FIND(":",Protokoll_4p!#REF!))),1,0))</f>
        <v>#REF!</v>
      </c>
      <c r="F143" s="1" t="e">
        <f>IF(Protokoll_4p!#REF!="","",IF(VALUE(LEFT(Protokoll_4p!#REF!,FIND(":",Protokoll_4p!#REF!)-1))&gt;VALUE(RIGHT(Protokoll_4p!#REF!,LEN(Protokoll_4p!#REF!)-FIND(":",Protokoll_4p!#REF!))),1,0))</f>
        <v>#REF!</v>
      </c>
      <c r="G143" s="1" t="e">
        <f t="shared" si="4"/>
        <v>#REF!</v>
      </c>
      <c r="I143" s="1" t="e">
        <f>IF(Protokoll_4p!#REF!="","",IF(VALUE(LEFT(Protokoll_4p!#REF!,FIND(":",Protokoll_4p!#REF!)-1))&gt;VALUE(RIGHT(Protokoll_4p!#REF!,LEN(Protokoll_4p!#REF!)-FIND(":",Protokoll_4p!#REF!))),0,1))</f>
        <v>#REF!</v>
      </c>
      <c r="J143" s="1" t="e">
        <f>IF(Protokoll_4p!#REF!="","",IF(VALUE(LEFT(Protokoll_4p!#REF!,FIND(":",Protokoll_4p!#REF!)-1))&gt;VALUE(RIGHT(Protokoll_4p!#REF!,LEN(Protokoll_4p!#REF!)-FIND(":",Protokoll_4p!#REF!))),0,1))</f>
        <v>#REF!</v>
      </c>
      <c r="K143" s="1" t="e">
        <f>IF(Protokoll_4p!#REF!="","",IF(VALUE(LEFT(Protokoll_4p!#REF!,FIND(":",Protokoll_4p!#REF!)-1))&gt;VALUE(RIGHT(Protokoll_4p!#REF!,LEN(Protokoll_4p!#REF!)-FIND(":",Protokoll_4p!#REF!))),0,1))</f>
        <v>#REF!</v>
      </c>
      <c r="L143" s="1" t="e">
        <f>IF(Protokoll_4p!#REF!="","",IF(VALUE(LEFT(Protokoll_4p!#REF!,FIND(":",Protokoll_4p!#REF!)-1))&gt;VALUE(RIGHT(Protokoll_4p!#REF!,LEN(Protokoll_4p!#REF!)-FIND(":",Protokoll_4p!#REF!))),0,1))</f>
        <v>#REF!</v>
      </c>
      <c r="M143" s="1" t="e">
        <f>IF(Protokoll_4p!#REF!="","",IF(VALUE(LEFT(Protokoll_4p!#REF!,FIND(":",Protokoll_4p!#REF!)-1))&gt;VALUE(RIGHT(Protokoll_4p!#REF!,LEN(Protokoll_4p!#REF!)-FIND(":",Protokoll_4p!#REF!))),0,1))</f>
        <v>#REF!</v>
      </c>
      <c r="N143" s="1" t="e">
        <f t="shared" si="5"/>
        <v>#REF!</v>
      </c>
    </row>
    <row r="144" spans="2:14">
      <c r="B144" s="1" t="e">
        <f>IF(Protokoll_4p!#REF!="","",IF(VALUE(LEFT(Protokoll_4p!#REF!,FIND(":",Protokoll_4p!#REF!)-1))&gt;VALUE(RIGHT(Protokoll_4p!#REF!,LEN(Protokoll_4p!#REF!)-FIND(":",Protokoll_4p!#REF!))),1,0))</f>
        <v>#REF!</v>
      </c>
      <c r="C144" s="1" t="e">
        <f>IF(Protokoll_4p!#REF!="","",IF(VALUE(LEFT(Protokoll_4p!#REF!,FIND(":",Protokoll_4p!#REF!)-1))&gt;VALUE(RIGHT(Protokoll_4p!#REF!,LEN(Protokoll_4p!#REF!)-FIND(":",Protokoll_4p!#REF!))),1,0))</f>
        <v>#REF!</v>
      </c>
      <c r="D144" s="1" t="e">
        <f>IF(Protokoll_4p!#REF!="","",IF(VALUE(LEFT(Protokoll_4p!#REF!,FIND(":",Protokoll_4p!#REF!)-1))&gt;VALUE(RIGHT(Protokoll_4p!#REF!,LEN(Protokoll_4p!#REF!)-FIND(":",Protokoll_4p!#REF!))),1,0))</f>
        <v>#REF!</v>
      </c>
      <c r="E144" s="1" t="e">
        <f>IF(Protokoll_4p!#REF!="","",IF(VALUE(LEFT(Protokoll_4p!#REF!,FIND(":",Protokoll_4p!#REF!)-1))&gt;VALUE(RIGHT(Protokoll_4p!#REF!,LEN(Protokoll_4p!#REF!)-FIND(":",Protokoll_4p!#REF!))),1,0))</f>
        <v>#REF!</v>
      </c>
      <c r="F144" s="1" t="e">
        <f>IF(Protokoll_4p!#REF!="","",IF(VALUE(LEFT(Protokoll_4p!#REF!,FIND(":",Protokoll_4p!#REF!)-1))&gt;VALUE(RIGHT(Protokoll_4p!#REF!,LEN(Protokoll_4p!#REF!)-FIND(":",Protokoll_4p!#REF!))),1,0))</f>
        <v>#REF!</v>
      </c>
      <c r="G144" s="1" t="e">
        <f t="shared" si="4"/>
        <v>#REF!</v>
      </c>
      <c r="I144" s="1" t="e">
        <f>IF(Protokoll_4p!#REF!="","",IF(VALUE(LEFT(Protokoll_4p!#REF!,FIND(":",Protokoll_4p!#REF!)-1))&gt;VALUE(RIGHT(Protokoll_4p!#REF!,LEN(Protokoll_4p!#REF!)-FIND(":",Protokoll_4p!#REF!))),0,1))</f>
        <v>#REF!</v>
      </c>
      <c r="J144" s="1" t="e">
        <f>IF(Protokoll_4p!#REF!="","",IF(VALUE(LEFT(Protokoll_4p!#REF!,FIND(":",Protokoll_4p!#REF!)-1))&gt;VALUE(RIGHT(Protokoll_4p!#REF!,LEN(Protokoll_4p!#REF!)-FIND(":",Protokoll_4p!#REF!))),0,1))</f>
        <v>#REF!</v>
      </c>
      <c r="K144" s="1" t="e">
        <f>IF(Protokoll_4p!#REF!="","",IF(VALUE(LEFT(Protokoll_4p!#REF!,FIND(":",Protokoll_4p!#REF!)-1))&gt;VALUE(RIGHT(Protokoll_4p!#REF!,LEN(Protokoll_4p!#REF!)-FIND(":",Protokoll_4p!#REF!))),0,1))</f>
        <v>#REF!</v>
      </c>
      <c r="L144" s="1" t="e">
        <f>IF(Protokoll_4p!#REF!="","",IF(VALUE(LEFT(Protokoll_4p!#REF!,FIND(":",Protokoll_4p!#REF!)-1))&gt;VALUE(RIGHT(Protokoll_4p!#REF!,LEN(Protokoll_4p!#REF!)-FIND(":",Protokoll_4p!#REF!))),0,1))</f>
        <v>#REF!</v>
      </c>
      <c r="M144" s="1" t="e">
        <f>IF(Protokoll_4p!#REF!="","",IF(VALUE(LEFT(Protokoll_4p!#REF!,FIND(":",Protokoll_4p!#REF!)-1))&gt;VALUE(RIGHT(Protokoll_4p!#REF!,LEN(Protokoll_4p!#REF!)-FIND(":",Protokoll_4p!#REF!))),0,1))</f>
        <v>#REF!</v>
      </c>
      <c r="N144" s="1" t="e">
        <f t="shared" si="5"/>
        <v>#REF!</v>
      </c>
    </row>
    <row r="145" spans="2:14">
      <c r="B145" s="1" t="e">
        <f>IF(Protokoll_4p!#REF!="","",IF(VALUE(LEFT(Protokoll_4p!#REF!,FIND(":",Protokoll_4p!#REF!)-1))&gt;VALUE(RIGHT(Protokoll_4p!#REF!,LEN(Protokoll_4p!#REF!)-FIND(":",Protokoll_4p!#REF!))),1,0))</f>
        <v>#REF!</v>
      </c>
      <c r="C145" s="1" t="e">
        <f>IF(Protokoll_4p!#REF!="","",IF(VALUE(LEFT(Protokoll_4p!#REF!,FIND(":",Protokoll_4p!#REF!)-1))&gt;VALUE(RIGHT(Protokoll_4p!#REF!,LEN(Protokoll_4p!#REF!)-FIND(":",Protokoll_4p!#REF!))),1,0))</f>
        <v>#REF!</v>
      </c>
      <c r="D145" s="1" t="e">
        <f>IF(Protokoll_4p!#REF!="","",IF(VALUE(LEFT(Protokoll_4p!#REF!,FIND(":",Protokoll_4p!#REF!)-1))&gt;VALUE(RIGHT(Protokoll_4p!#REF!,LEN(Protokoll_4p!#REF!)-FIND(":",Protokoll_4p!#REF!))),1,0))</f>
        <v>#REF!</v>
      </c>
      <c r="E145" s="1" t="e">
        <f>IF(Protokoll_4p!#REF!="","",IF(VALUE(LEFT(Protokoll_4p!#REF!,FIND(":",Protokoll_4p!#REF!)-1))&gt;VALUE(RIGHT(Protokoll_4p!#REF!,LEN(Protokoll_4p!#REF!)-FIND(":",Protokoll_4p!#REF!))),1,0))</f>
        <v>#REF!</v>
      </c>
      <c r="F145" s="1" t="e">
        <f>IF(Protokoll_4p!#REF!="","",IF(VALUE(LEFT(Protokoll_4p!#REF!,FIND(":",Protokoll_4p!#REF!)-1))&gt;VALUE(RIGHT(Protokoll_4p!#REF!,LEN(Protokoll_4p!#REF!)-FIND(":",Protokoll_4p!#REF!))),1,0))</f>
        <v>#REF!</v>
      </c>
      <c r="G145" s="1" t="e">
        <f t="shared" si="4"/>
        <v>#REF!</v>
      </c>
      <c r="I145" s="1" t="e">
        <f>IF(Protokoll_4p!#REF!="","",IF(VALUE(LEFT(Protokoll_4p!#REF!,FIND(":",Protokoll_4p!#REF!)-1))&gt;VALUE(RIGHT(Protokoll_4p!#REF!,LEN(Protokoll_4p!#REF!)-FIND(":",Protokoll_4p!#REF!))),0,1))</f>
        <v>#REF!</v>
      </c>
      <c r="J145" s="1" t="e">
        <f>IF(Protokoll_4p!#REF!="","",IF(VALUE(LEFT(Protokoll_4p!#REF!,FIND(":",Protokoll_4p!#REF!)-1))&gt;VALUE(RIGHT(Protokoll_4p!#REF!,LEN(Protokoll_4p!#REF!)-FIND(":",Protokoll_4p!#REF!))),0,1))</f>
        <v>#REF!</v>
      </c>
      <c r="K145" s="1" t="e">
        <f>IF(Protokoll_4p!#REF!="","",IF(VALUE(LEFT(Protokoll_4p!#REF!,FIND(":",Protokoll_4p!#REF!)-1))&gt;VALUE(RIGHT(Protokoll_4p!#REF!,LEN(Protokoll_4p!#REF!)-FIND(":",Protokoll_4p!#REF!))),0,1))</f>
        <v>#REF!</v>
      </c>
      <c r="L145" s="1" t="e">
        <f>IF(Protokoll_4p!#REF!="","",IF(VALUE(LEFT(Protokoll_4p!#REF!,FIND(":",Protokoll_4p!#REF!)-1))&gt;VALUE(RIGHT(Protokoll_4p!#REF!,LEN(Protokoll_4p!#REF!)-FIND(":",Protokoll_4p!#REF!))),0,1))</f>
        <v>#REF!</v>
      </c>
      <c r="M145" s="1" t="e">
        <f>IF(Protokoll_4p!#REF!="","",IF(VALUE(LEFT(Protokoll_4p!#REF!,FIND(":",Protokoll_4p!#REF!)-1))&gt;VALUE(RIGHT(Protokoll_4p!#REF!,LEN(Protokoll_4p!#REF!)-FIND(":",Protokoll_4p!#REF!))),0,1))</f>
        <v>#REF!</v>
      </c>
      <c r="N145" s="1" t="e">
        <f t="shared" si="5"/>
        <v>#REF!</v>
      </c>
    </row>
    <row r="146" spans="2:14">
      <c r="B146" s="1" t="e">
        <f>IF(Protokoll_4p!#REF!="","",IF(VALUE(LEFT(Protokoll_4p!#REF!,FIND(":",Protokoll_4p!#REF!)-1))&gt;VALUE(RIGHT(Protokoll_4p!#REF!,LEN(Protokoll_4p!#REF!)-FIND(":",Protokoll_4p!#REF!))),1,0))</f>
        <v>#REF!</v>
      </c>
      <c r="C146" s="1" t="e">
        <f>IF(Protokoll_4p!#REF!="","",IF(VALUE(LEFT(Protokoll_4p!#REF!,FIND(":",Protokoll_4p!#REF!)-1))&gt;VALUE(RIGHT(Protokoll_4p!#REF!,LEN(Protokoll_4p!#REF!)-FIND(":",Protokoll_4p!#REF!))),1,0))</f>
        <v>#REF!</v>
      </c>
      <c r="D146" s="1" t="e">
        <f>IF(Protokoll_4p!#REF!="","",IF(VALUE(LEFT(Protokoll_4p!#REF!,FIND(":",Protokoll_4p!#REF!)-1))&gt;VALUE(RIGHT(Protokoll_4p!#REF!,LEN(Protokoll_4p!#REF!)-FIND(":",Protokoll_4p!#REF!))),1,0))</f>
        <v>#REF!</v>
      </c>
      <c r="E146" s="1" t="e">
        <f>IF(Protokoll_4p!#REF!="","",IF(VALUE(LEFT(Protokoll_4p!#REF!,FIND(":",Protokoll_4p!#REF!)-1))&gt;VALUE(RIGHT(Protokoll_4p!#REF!,LEN(Protokoll_4p!#REF!)-FIND(":",Protokoll_4p!#REF!))),1,0))</f>
        <v>#REF!</v>
      </c>
      <c r="F146" s="1" t="e">
        <f>IF(Protokoll_4p!#REF!="","",IF(VALUE(LEFT(Protokoll_4p!#REF!,FIND(":",Protokoll_4p!#REF!)-1))&gt;VALUE(RIGHT(Protokoll_4p!#REF!,LEN(Protokoll_4p!#REF!)-FIND(":",Protokoll_4p!#REF!))),1,0))</f>
        <v>#REF!</v>
      </c>
      <c r="G146" s="1" t="e">
        <f t="shared" si="4"/>
        <v>#REF!</v>
      </c>
      <c r="I146" s="1" t="e">
        <f>IF(Protokoll_4p!#REF!="","",IF(VALUE(LEFT(Protokoll_4p!#REF!,FIND(":",Protokoll_4p!#REF!)-1))&gt;VALUE(RIGHT(Protokoll_4p!#REF!,LEN(Protokoll_4p!#REF!)-FIND(":",Protokoll_4p!#REF!))),0,1))</f>
        <v>#REF!</v>
      </c>
      <c r="J146" s="1" t="e">
        <f>IF(Protokoll_4p!#REF!="","",IF(VALUE(LEFT(Protokoll_4p!#REF!,FIND(":",Protokoll_4p!#REF!)-1))&gt;VALUE(RIGHT(Protokoll_4p!#REF!,LEN(Protokoll_4p!#REF!)-FIND(":",Protokoll_4p!#REF!))),0,1))</f>
        <v>#REF!</v>
      </c>
      <c r="K146" s="1" t="e">
        <f>IF(Protokoll_4p!#REF!="","",IF(VALUE(LEFT(Protokoll_4p!#REF!,FIND(":",Protokoll_4p!#REF!)-1))&gt;VALUE(RIGHT(Protokoll_4p!#REF!,LEN(Protokoll_4p!#REF!)-FIND(":",Protokoll_4p!#REF!))),0,1))</f>
        <v>#REF!</v>
      </c>
      <c r="L146" s="1" t="e">
        <f>IF(Protokoll_4p!#REF!="","",IF(VALUE(LEFT(Protokoll_4p!#REF!,FIND(":",Protokoll_4p!#REF!)-1))&gt;VALUE(RIGHT(Protokoll_4p!#REF!,LEN(Protokoll_4p!#REF!)-FIND(":",Protokoll_4p!#REF!))),0,1))</f>
        <v>#REF!</v>
      </c>
      <c r="M146" s="1" t="e">
        <f>IF(Protokoll_4p!#REF!="","",IF(VALUE(LEFT(Protokoll_4p!#REF!,FIND(":",Protokoll_4p!#REF!)-1))&gt;VALUE(RIGHT(Protokoll_4p!#REF!,LEN(Protokoll_4p!#REF!)-FIND(":",Protokoll_4p!#REF!))),0,1))</f>
        <v>#REF!</v>
      </c>
      <c r="N146" s="1" t="e">
        <f t="shared" si="5"/>
        <v>#REF!</v>
      </c>
    </row>
    <row r="147" spans="2:14">
      <c r="B147" s="1" t="e">
        <f>IF(Protokoll_4p!#REF!="","",IF(VALUE(LEFT(Protokoll_4p!#REF!,FIND(":",Protokoll_4p!#REF!)-1))&gt;VALUE(RIGHT(Protokoll_4p!#REF!,LEN(Protokoll_4p!#REF!)-FIND(":",Protokoll_4p!#REF!))),1,0))</f>
        <v>#REF!</v>
      </c>
      <c r="C147" s="1" t="e">
        <f>IF(Protokoll_4p!#REF!="","",IF(VALUE(LEFT(Protokoll_4p!#REF!,FIND(":",Protokoll_4p!#REF!)-1))&gt;VALUE(RIGHT(Protokoll_4p!#REF!,LEN(Protokoll_4p!#REF!)-FIND(":",Protokoll_4p!#REF!))),1,0))</f>
        <v>#REF!</v>
      </c>
      <c r="D147" s="1" t="e">
        <f>IF(Protokoll_4p!#REF!="","",IF(VALUE(LEFT(Protokoll_4p!#REF!,FIND(":",Protokoll_4p!#REF!)-1))&gt;VALUE(RIGHT(Protokoll_4p!#REF!,LEN(Protokoll_4p!#REF!)-FIND(":",Protokoll_4p!#REF!))),1,0))</f>
        <v>#REF!</v>
      </c>
      <c r="E147" s="1" t="e">
        <f>IF(Protokoll_4p!#REF!="","",IF(VALUE(LEFT(Protokoll_4p!#REF!,FIND(":",Protokoll_4p!#REF!)-1))&gt;VALUE(RIGHT(Protokoll_4p!#REF!,LEN(Protokoll_4p!#REF!)-FIND(":",Protokoll_4p!#REF!))),1,0))</f>
        <v>#REF!</v>
      </c>
      <c r="F147" s="1" t="e">
        <f>IF(Protokoll_4p!#REF!="","",IF(VALUE(LEFT(Protokoll_4p!#REF!,FIND(":",Protokoll_4p!#REF!)-1))&gt;VALUE(RIGHT(Protokoll_4p!#REF!,LEN(Protokoll_4p!#REF!)-FIND(":",Protokoll_4p!#REF!))),1,0))</f>
        <v>#REF!</v>
      </c>
      <c r="G147" s="1" t="e">
        <f t="shared" si="4"/>
        <v>#REF!</v>
      </c>
      <c r="I147" s="1" t="e">
        <f>IF(Protokoll_4p!#REF!="","",IF(VALUE(LEFT(Protokoll_4p!#REF!,FIND(":",Protokoll_4p!#REF!)-1))&gt;VALUE(RIGHT(Protokoll_4p!#REF!,LEN(Protokoll_4p!#REF!)-FIND(":",Protokoll_4p!#REF!))),0,1))</f>
        <v>#REF!</v>
      </c>
      <c r="J147" s="1" t="e">
        <f>IF(Protokoll_4p!#REF!="","",IF(VALUE(LEFT(Protokoll_4p!#REF!,FIND(":",Protokoll_4p!#REF!)-1))&gt;VALUE(RIGHT(Protokoll_4p!#REF!,LEN(Protokoll_4p!#REF!)-FIND(":",Protokoll_4p!#REF!))),0,1))</f>
        <v>#REF!</v>
      </c>
      <c r="K147" s="1" t="e">
        <f>IF(Protokoll_4p!#REF!="","",IF(VALUE(LEFT(Protokoll_4p!#REF!,FIND(":",Protokoll_4p!#REF!)-1))&gt;VALUE(RIGHT(Protokoll_4p!#REF!,LEN(Protokoll_4p!#REF!)-FIND(":",Protokoll_4p!#REF!))),0,1))</f>
        <v>#REF!</v>
      </c>
      <c r="L147" s="1" t="e">
        <f>IF(Protokoll_4p!#REF!="","",IF(VALUE(LEFT(Protokoll_4p!#REF!,FIND(":",Protokoll_4p!#REF!)-1))&gt;VALUE(RIGHT(Protokoll_4p!#REF!,LEN(Protokoll_4p!#REF!)-FIND(":",Protokoll_4p!#REF!))),0,1))</f>
        <v>#REF!</v>
      </c>
      <c r="M147" s="1" t="e">
        <f>IF(Protokoll_4p!#REF!="","",IF(VALUE(LEFT(Protokoll_4p!#REF!,FIND(":",Protokoll_4p!#REF!)-1))&gt;VALUE(RIGHT(Protokoll_4p!#REF!,LEN(Protokoll_4p!#REF!)-FIND(":",Protokoll_4p!#REF!))),0,1))</f>
        <v>#REF!</v>
      </c>
      <c r="N147" s="1" t="e">
        <f t="shared" si="5"/>
        <v>#REF!</v>
      </c>
    </row>
    <row r="148" spans="2:14">
      <c r="B148" s="1" t="e">
        <f>IF(Protokoll_4p!#REF!="","",IF(VALUE(LEFT(Protokoll_4p!#REF!,FIND(":",Protokoll_4p!#REF!)-1))&gt;VALUE(RIGHT(Protokoll_4p!#REF!,LEN(Protokoll_4p!#REF!)-FIND(":",Protokoll_4p!#REF!))),1,0))</f>
        <v>#REF!</v>
      </c>
      <c r="C148" s="1" t="e">
        <f>IF(Protokoll_4p!#REF!="","",IF(VALUE(LEFT(Protokoll_4p!#REF!,FIND(":",Protokoll_4p!#REF!)-1))&gt;VALUE(RIGHT(Protokoll_4p!#REF!,LEN(Protokoll_4p!#REF!)-FIND(":",Protokoll_4p!#REF!))),1,0))</f>
        <v>#REF!</v>
      </c>
      <c r="D148" s="1" t="e">
        <f>IF(Protokoll_4p!#REF!="","",IF(VALUE(LEFT(Protokoll_4p!#REF!,FIND(":",Protokoll_4p!#REF!)-1))&gt;VALUE(RIGHT(Protokoll_4p!#REF!,LEN(Protokoll_4p!#REF!)-FIND(":",Protokoll_4p!#REF!))),1,0))</f>
        <v>#REF!</v>
      </c>
      <c r="E148" s="1" t="e">
        <f>IF(Protokoll_4p!#REF!="","",IF(VALUE(LEFT(Protokoll_4p!#REF!,FIND(":",Protokoll_4p!#REF!)-1))&gt;VALUE(RIGHT(Protokoll_4p!#REF!,LEN(Protokoll_4p!#REF!)-FIND(":",Protokoll_4p!#REF!))),1,0))</f>
        <v>#REF!</v>
      </c>
      <c r="F148" s="1" t="e">
        <f>IF(Protokoll_4p!#REF!="","",IF(VALUE(LEFT(Protokoll_4p!#REF!,FIND(":",Protokoll_4p!#REF!)-1))&gt;VALUE(RIGHT(Protokoll_4p!#REF!,LEN(Protokoll_4p!#REF!)-FIND(":",Protokoll_4p!#REF!))),1,0))</f>
        <v>#REF!</v>
      </c>
      <c r="G148" s="1" t="e">
        <f t="shared" si="4"/>
        <v>#REF!</v>
      </c>
      <c r="I148" s="1" t="e">
        <f>IF(Protokoll_4p!#REF!="","",IF(VALUE(LEFT(Protokoll_4p!#REF!,FIND(":",Protokoll_4p!#REF!)-1))&gt;VALUE(RIGHT(Protokoll_4p!#REF!,LEN(Protokoll_4p!#REF!)-FIND(":",Protokoll_4p!#REF!))),0,1))</f>
        <v>#REF!</v>
      </c>
      <c r="J148" s="1" t="e">
        <f>IF(Protokoll_4p!#REF!="","",IF(VALUE(LEFT(Protokoll_4p!#REF!,FIND(":",Protokoll_4p!#REF!)-1))&gt;VALUE(RIGHT(Protokoll_4p!#REF!,LEN(Protokoll_4p!#REF!)-FIND(":",Protokoll_4p!#REF!))),0,1))</f>
        <v>#REF!</v>
      </c>
      <c r="K148" s="1" t="e">
        <f>IF(Protokoll_4p!#REF!="","",IF(VALUE(LEFT(Protokoll_4p!#REF!,FIND(":",Protokoll_4p!#REF!)-1))&gt;VALUE(RIGHT(Protokoll_4p!#REF!,LEN(Protokoll_4p!#REF!)-FIND(":",Protokoll_4p!#REF!))),0,1))</f>
        <v>#REF!</v>
      </c>
      <c r="L148" s="1" t="e">
        <f>IF(Protokoll_4p!#REF!="","",IF(VALUE(LEFT(Protokoll_4p!#REF!,FIND(":",Protokoll_4p!#REF!)-1))&gt;VALUE(RIGHT(Protokoll_4p!#REF!,LEN(Protokoll_4p!#REF!)-FIND(":",Protokoll_4p!#REF!))),0,1))</f>
        <v>#REF!</v>
      </c>
      <c r="M148" s="1" t="e">
        <f>IF(Protokoll_4p!#REF!="","",IF(VALUE(LEFT(Protokoll_4p!#REF!,FIND(":",Protokoll_4p!#REF!)-1))&gt;VALUE(RIGHT(Protokoll_4p!#REF!,LEN(Protokoll_4p!#REF!)-FIND(":",Protokoll_4p!#REF!))),0,1))</f>
        <v>#REF!</v>
      </c>
      <c r="N148" s="1" t="e">
        <f t="shared" si="5"/>
        <v>#REF!</v>
      </c>
    </row>
    <row r="149" spans="2:14">
      <c r="B149" s="1" t="e">
        <f>IF(Protokoll_4p!#REF!="","",IF(VALUE(LEFT(Protokoll_4p!#REF!,FIND(":",Protokoll_4p!#REF!)-1))&gt;VALUE(RIGHT(Protokoll_4p!#REF!,LEN(Protokoll_4p!#REF!)-FIND(":",Protokoll_4p!#REF!))),1,0))</f>
        <v>#REF!</v>
      </c>
      <c r="C149" s="1" t="e">
        <f>IF(Protokoll_4p!#REF!="","",IF(VALUE(LEFT(Protokoll_4p!#REF!,FIND(":",Protokoll_4p!#REF!)-1))&gt;VALUE(RIGHT(Protokoll_4p!#REF!,LEN(Protokoll_4p!#REF!)-FIND(":",Protokoll_4p!#REF!))),1,0))</f>
        <v>#REF!</v>
      </c>
      <c r="D149" s="1" t="e">
        <f>IF(Protokoll_4p!#REF!="","",IF(VALUE(LEFT(Protokoll_4p!#REF!,FIND(":",Protokoll_4p!#REF!)-1))&gt;VALUE(RIGHT(Protokoll_4p!#REF!,LEN(Protokoll_4p!#REF!)-FIND(":",Protokoll_4p!#REF!))),1,0))</f>
        <v>#REF!</v>
      </c>
      <c r="E149" s="1" t="e">
        <f>IF(Protokoll_4p!#REF!="","",IF(VALUE(LEFT(Protokoll_4p!#REF!,FIND(":",Protokoll_4p!#REF!)-1))&gt;VALUE(RIGHT(Protokoll_4p!#REF!,LEN(Protokoll_4p!#REF!)-FIND(":",Protokoll_4p!#REF!))),1,0))</f>
        <v>#REF!</v>
      </c>
      <c r="F149" s="1" t="e">
        <f>IF(Protokoll_4p!#REF!="","",IF(VALUE(LEFT(Protokoll_4p!#REF!,FIND(":",Protokoll_4p!#REF!)-1))&gt;VALUE(RIGHT(Protokoll_4p!#REF!,LEN(Protokoll_4p!#REF!)-FIND(":",Protokoll_4p!#REF!))),1,0))</f>
        <v>#REF!</v>
      </c>
      <c r="G149" s="1" t="e">
        <f t="shared" si="4"/>
        <v>#REF!</v>
      </c>
      <c r="I149" s="1" t="e">
        <f>IF(Protokoll_4p!#REF!="","",IF(VALUE(LEFT(Protokoll_4p!#REF!,FIND(":",Protokoll_4p!#REF!)-1))&gt;VALUE(RIGHT(Protokoll_4p!#REF!,LEN(Protokoll_4p!#REF!)-FIND(":",Protokoll_4p!#REF!))),0,1))</f>
        <v>#REF!</v>
      </c>
      <c r="J149" s="1" t="e">
        <f>IF(Protokoll_4p!#REF!="","",IF(VALUE(LEFT(Protokoll_4p!#REF!,FIND(":",Protokoll_4p!#REF!)-1))&gt;VALUE(RIGHT(Protokoll_4p!#REF!,LEN(Protokoll_4p!#REF!)-FIND(":",Protokoll_4p!#REF!))),0,1))</f>
        <v>#REF!</v>
      </c>
      <c r="K149" s="1" t="e">
        <f>IF(Protokoll_4p!#REF!="","",IF(VALUE(LEFT(Protokoll_4p!#REF!,FIND(":",Protokoll_4p!#REF!)-1))&gt;VALUE(RIGHT(Protokoll_4p!#REF!,LEN(Protokoll_4p!#REF!)-FIND(":",Protokoll_4p!#REF!))),0,1))</f>
        <v>#REF!</v>
      </c>
      <c r="L149" s="1" t="e">
        <f>IF(Protokoll_4p!#REF!="","",IF(VALUE(LEFT(Protokoll_4p!#REF!,FIND(":",Protokoll_4p!#REF!)-1))&gt;VALUE(RIGHT(Protokoll_4p!#REF!,LEN(Protokoll_4p!#REF!)-FIND(":",Protokoll_4p!#REF!))),0,1))</f>
        <v>#REF!</v>
      </c>
      <c r="M149" s="1" t="e">
        <f>IF(Protokoll_4p!#REF!="","",IF(VALUE(LEFT(Protokoll_4p!#REF!,FIND(":",Protokoll_4p!#REF!)-1))&gt;VALUE(RIGHT(Protokoll_4p!#REF!,LEN(Protokoll_4p!#REF!)-FIND(":",Protokoll_4p!#REF!))),0,1))</f>
        <v>#REF!</v>
      </c>
      <c r="N149" s="1" t="e">
        <f t="shared" si="5"/>
        <v>#REF!</v>
      </c>
    </row>
    <row r="150" spans="2:14">
      <c r="B150" s="1" t="e">
        <f>IF(Protokoll_4p!#REF!="","",IF(VALUE(LEFT(Protokoll_4p!#REF!,FIND(":",Protokoll_4p!#REF!)-1))&gt;VALUE(RIGHT(Protokoll_4p!#REF!,LEN(Protokoll_4p!#REF!)-FIND(":",Protokoll_4p!#REF!))),1,0))</f>
        <v>#REF!</v>
      </c>
      <c r="C150" s="1" t="e">
        <f>IF(Protokoll_4p!#REF!="","",IF(VALUE(LEFT(Protokoll_4p!#REF!,FIND(":",Protokoll_4p!#REF!)-1))&gt;VALUE(RIGHT(Protokoll_4p!#REF!,LEN(Protokoll_4p!#REF!)-FIND(":",Protokoll_4p!#REF!))),1,0))</f>
        <v>#REF!</v>
      </c>
      <c r="D150" s="1" t="e">
        <f>IF(Protokoll_4p!#REF!="","",IF(VALUE(LEFT(Protokoll_4p!#REF!,FIND(":",Protokoll_4p!#REF!)-1))&gt;VALUE(RIGHT(Protokoll_4p!#REF!,LEN(Protokoll_4p!#REF!)-FIND(":",Protokoll_4p!#REF!))),1,0))</f>
        <v>#REF!</v>
      </c>
      <c r="E150" s="1" t="e">
        <f>IF(Protokoll_4p!#REF!="","",IF(VALUE(LEFT(Protokoll_4p!#REF!,FIND(":",Protokoll_4p!#REF!)-1))&gt;VALUE(RIGHT(Protokoll_4p!#REF!,LEN(Protokoll_4p!#REF!)-FIND(":",Protokoll_4p!#REF!))),1,0))</f>
        <v>#REF!</v>
      </c>
      <c r="F150" s="1" t="e">
        <f>IF(Protokoll_4p!#REF!="","",IF(VALUE(LEFT(Protokoll_4p!#REF!,FIND(":",Protokoll_4p!#REF!)-1))&gt;VALUE(RIGHT(Protokoll_4p!#REF!,LEN(Protokoll_4p!#REF!)-FIND(":",Protokoll_4p!#REF!))),1,0))</f>
        <v>#REF!</v>
      </c>
      <c r="G150" s="1" t="e">
        <f t="shared" si="4"/>
        <v>#REF!</v>
      </c>
      <c r="I150" s="1" t="e">
        <f>IF(Protokoll_4p!#REF!="","",IF(VALUE(LEFT(Protokoll_4p!#REF!,FIND(":",Protokoll_4p!#REF!)-1))&gt;VALUE(RIGHT(Protokoll_4p!#REF!,LEN(Protokoll_4p!#REF!)-FIND(":",Protokoll_4p!#REF!))),0,1))</f>
        <v>#REF!</v>
      </c>
      <c r="J150" s="1" t="e">
        <f>IF(Protokoll_4p!#REF!="","",IF(VALUE(LEFT(Protokoll_4p!#REF!,FIND(":",Protokoll_4p!#REF!)-1))&gt;VALUE(RIGHT(Protokoll_4p!#REF!,LEN(Protokoll_4p!#REF!)-FIND(":",Protokoll_4p!#REF!))),0,1))</f>
        <v>#REF!</v>
      </c>
      <c r="K150" s="1" t="e">
        <f>IF(Protokoll_4p!#REF!="","",IF(VALUE(LEFT(Protokoll_4p!#REF!,FIND(":",Protokoll_4p!#REF!)-1))&gt;VALUE(RIGHT(Protokoll_4p!#REF!,LEN(Protokoll_4p!#REF!)-FIND(":",Protokoll_4p!#REF!))),0,1))</f>
        <v>#REF!</v>
      </c>
      <c r="L150" s="1" t="e">
        <f>IF(Protokoll_4p!#REF!="","",IF(VALUE(LEFT(Protokoll_4p!#REF!,FIND(":",Protokoll_4p!#REF!)-1))&gt;VALUE(RIGHT(Protokoll_4p!#REF!,LEN(Protokoll_4p!#REF!)-FIND(":",Protokoll_4p!#REF!))),0,1))</f>
        <v>#REF!</v>
      </c>
      <c r="M150" s="1" t="e">
        <f>IF(Protokoll_4p!#REF!="","",IF(VALUE(LEFT(Protokoll_4p!#REF!,FIND(":",Protokoll_4p!#REF!)-1))&gt;VALUE(RIGHT(Protokoll_4p!#REF!,LEN(Protokoll_4p!#REF!)-FIND(":",Protokoll_4p!#REF!))),0,1))</f>
        <v>#REF!</v>
      </c>
      <c r="N150" s="1" t="e">
        <f t="shared" si="5"/>
        <v>#REF!</v>
      </c>
    </row>
    <row r="151" spans="2:14">
      <c r="B151" s="1" t="e">
        <f>IF(Protokoll_4p!#REF!="","",IF(VALUE(LEFT(Protokoll_4p!#REF!,FIND(":",Protokoll_4p!#REF!)-1))&gt;VALUE(RIGHT(Protokoll_4p!#REF!,LEN(Protokoll_4p!#REF!)-FIND(":",Protokoll_4p!#REF!))),1,0))</f>
        <v>#REF!</v>
      </c>
      <c r="C151" s="1" t="e">
        <f>IF(Protokoll_4p!#REF!="","",IF(VALUE(LEFT(Protokoll_4p!#REF!,FIND(":",Protokoll_4p!#REF!)-1))&gt;VALUE(RIGHT(Protokoll_4p!#REF!,LEN(Protokoll_4p!#REF!)-FIND(":",Protokoll_4p!#REF!))),1,0))</f>
        <v>#REF!</v>
      </c>
      <c r="D151" s="1" t="e">
        <f>IF(Protokoll_4p!#REF!="","",IF(VALUE(LEFT(Protokoll_4p!#REF!,FIND(":",Protokoll_4p!#REF!)-1))&gt;VALUE(RIGHT(Protokoll_4p!#REF!,LEN(Protokoll_4p!#REF!)-FIND(":",Protokoll_4p!#REF!))),1,0))</f>
        <v>#REF!</v>
      </c>
      <c r="E151" s="1" t="e">
        <f>IF(Protokoll_4p!#REF!="","",IF(VALUE(LEFT(Protokoll_4p!#REF!,FIND(":",Protokoll_4p!#REF!)-1))&gt;VALUE(RIGHT(Protokoll_4p!#REF!,LEN(Protokoll_4p!#REF!)-FIND(":",Protokoll_4p!#REF!))),1,0))</f>
        <v>#REF!</v>
      </c>
      <c r="F151" s="1" t="e">
        <f>IF(Protokoll_4p!#REF!="","",IF(VALUE(LEFT(Protokoll_4p!#REF!,FIND(":",Protokoll_4p!#REF!)-1))&gt;VALUE(RIGHT(Protokoll_4p!#REF!,LEN(Protokoll_4p!#REF!)-FIND(":",Protokoll_4p!#REF!))),1,0))</f>
        <v>#REF!</v>
      </c>
      <c r="G151" s="1" t="e">
        <f t="shared" si="4"/>
        <v>#REF!</v>
      </c>
      <c r="I151" s="1" t="e">
        <f>IF(Protokoll_4p!#REF!="","",IF(VALUE(LEFT(Protokoll_4p!#REF!,FIND(":",Protokoll_4p!#REF!)-1))&gt;VALUE(RIGHT(Protokoll_4p!#REF!,LEN(Protokoll_4p!#REF!)-FIND(":",Protokoll_4p!#REF!))),0,1))</f>
        <v>#REF!</v>
      </c>
      <c r="J151" s="1" t="e">
        <f>IF(Protokoll_4p!#REF!="","",IF(VALUE(LEFT(Protokoll_4p!#REF!,FIND(":",Protokoll_4p!#REF!)-1))&gt;VALUE(RIGHT(Protokoll_4p!#REF!,LEN(Protokoll_4p!#REF!)-FIND(":",Protokoll_4p!#REF!))),0,1))</f>
        <v>#REF!</v>
      </c>
      <c r="K151" s="1" t="e">
        <f>IF(Protokoll_4p!#REF!="","",IF(VALUE(LEFT(Protokoll_4p!#REF!,FIND(":",Protokoll_4p!#REF!)-1))&gt;VALUE(RIGHT(Protokoll_4p!#REF!,LEN(Protokoll_4p!#REF!)-FIND(":",Protokoll_4p!#REF!))),0,1))</f>
        <v>#REF!</v>
      </c>
      <c r="L151" s="1" t="e">
        <f>IF(Protokoll_4p!#REF!="","",IF(VALUE(LEFT(Protokoll_4p!#REF!,FIND(":",Protokoll_4p!#REF!)-1))&gt;VALUE(RIGHT(Protokoll_4p!#REF!,LEN(Protokoll_4p!#REF!)-FIND(":",Protokoll_4p!#REF!))),0,1))</f>
        <v>#REF!</v>
      </c>
      <c r="M151" s="1" t="e">
        <f>IF(Protokoll_4p!#REF!="","",IF(VALUE(LEFT(Protokoll_4p!#REF!,FIND(":",Protokoll_4p!#REF!)-1))&gt;VALUE(RIGHT(Protokoll_4p!#REF!,LEN(Protokoll_4p!#REF!)-FIND(":",Protokoll_4p!#REF!))),0,1))</f>
        <v>#REF!</v>
      </c>
      <c r="N151" s="1" t="e">
        <f t="shared" si="5"/>
        <v>#REF!</v>
      </c>
    </row>
    <row r="152" spans="2:14">
      <c r="B152" s="1" t="e">
        <f>IF(Protokoll_4p!#REF!="","",IF(VALUE(LEFT(Protokoll_4p!#REF!,FIND(":",Protokoll_4p!#REF!)-1))&gt;VALUE(RIGHT(Protokoll_4p!#REF!,LEN(Protokoll_4p!#REF!)-FIND(":",Protokoll_4p!#REF!))),1,0))</f>
        <v>#REF!</v>
      </c>
      <c r="C152" s="1" t="e">
        <f>IF(Protokoll_4p!#REF!="","",IF(VALUE(LEFT(Protokoll_4p!#REF!,FIND(":",Protokoll_4p!#REF!)-1))&gt;VALUE(RIGHT(Protokoll_4p!#REF!,LEN(Protokoll_4p!#REF!)-FIND(":",Protokoll_4p!#REF!))),1,0))</f>
        <v>#REF!</v>
      </c>
      <c r="D152" s="1" t="e">
        <f>IF(Protokoll_4p!#REF!="","",IF(VALUE(LEFT(Protokoll_4p!#REF!,FIND(":",Protokoll_4p!#REF!)-1))&gt;VALUE(RIGHT(Protokoll_4p!#REF!,LEN(Protokoll_4p!#REF!)-FIND(":",Protokoll_4p!#REF!))),1,0))</f>
        <v>#REF!</v>
      </c>
      <c r="E152" s="1" t="e">
        <f>IF(Protokoll_4p!#REF!="","",IF(VALUE(LEFT(Protokoll_4p!#REF!,FIND(":",Protokoll_4p!#REF!)-1))&gt;VALUE(RIGHT(Protokoll_4p!#REF!,LEN(Protokoll_4p!#REF!)-FIND(":",Protokoll_4p!#REF!))),1,0))</f>
        <v>#REF!</v>
      </c>
      <c r="F152" s="1" t="e">
        <f>IF(Protokoll_4p!#REF!="","",IF(VALUE(LEFT(Protokoll_4p!#REF!,FIND(":",Protokoll_4p!#REF!)-1))&gt;VALUE(RIGHT(Protokoll_4p!#REF!,LEN(Protokoll_4p!#REF!)-FIND(":",Protokoll_4p!#REF!))),1,0))</f>
        <v>#REF!</v>
      </c>
      <c r="G152" s="1" t="e">
        <f t="shared" si="4"/>
        <v>#REF!</v>
      </c>
      <c r="I152" s="1" t="e">
        <f>IF(Protokoll_4p!#REF!="","",IF(VALUE(LEFT(Protokoll_4p!#REF!,FIND(":",Protokoll_4p!#REF!)-1))&gt;VALUE(RIGHT(Protokoll_4p!#REF!,LEN(Protokoll_4p!#REF!)-FIND(":",Protokoll_4p!#REF!))),0,1))</f>
        <v>#REF!</v>
      </c>
      <c r="J152" s="1" t="e">
        <f>IF(Protokoll_4p!#REF!="","",IF(VALUE(LEFT(Protokoll_4p!#REF!,FIND(":",Protokoll_4p!#REF!)-1))&gt;VALUE(RIGHT(Protokoll_4p!#REF!,LEN(Protokoll_4p!#REF!)-FIND(":",Protokoll_4p!#REF!))),0,1))</f>
        <v>#REF!</v>
      </c>
      <c r="K152" s="1" t="e">
        <f>IF(Protokoll_4p!#REF!="","",IF(VALUE(LEFT(Protokoll_4p!#REF!,FIND(":",Protokoll_4p!#REF!)-1))&gt;VALUE(RIGHT(Protokoll_4p!#REF!,LEN(Protokoll_4p!#REF!)-FIND(":",Protokoll_4p!#REF!))),0,1))</f>
        <v>#REF!</v>
      </c>
      <c r="L152" s="1" t="e">
        <f>IF(Protokoll_4p!#REF!="","",IF(VALUE(LEFT(Protokoll_4p!#REF!,FIND(":",Protokoll_4p!#REF!)-1))&gt;VALUE(RIGHT(Protokoll_4p!#REF!,LEN(Protokoll_4p!#REF!)-FIND(":",Protokoll_4p!#REF!))),0,1))</f>
        <v>#REF!</v>
      </c>
      <c r="M152" s="1" t="e">
        <f>IF(Protokoll_4p!#REF!="","",IF(VALUE(LEFT(Protokoll_4p!#REF!,FIND(":",Protokoll_4p!#REF!)-1))&gt;VALUE(RIGHT(Protokoll_4p!#REF!,LEN(Protokoll_4p!#REF!)-FIND(":",Protokoll_4p!#REF!))),0,1))</f>
        <v>#REF!</v>
      </c>
      <c r="N152" s="1" t="e">
        <f t="shared" si="5"/>
        <v>#REF!</v>
      </c>
    </row>
    <row r="153" spans="2:14">
      <c r="B153" s="1" t="e">
        <f>IF(Protokoll_4p!#REF!="","",IF(VALUE(LEFT(Protokoll_4p!#REF!,FIND(":",Protokoll_4p!#REF!)-1))&gt;VALUE(RIGHT(Protokoll_4p!#REF!,LEN(Protokoll_4p!#REF!)-FIND(":",Protokoll_4p!#REF!))),1,0))</f>
        <v>#REF!</v>
      </c>
      <c r="C153" s="1" t="e">
        <f>IF(Protokoll_4p!#REF!="","",IF(VALUE(LEFT(Protokoll_4p!#REF!,FIND(":",Protokoll_4p!#REF!)-1))&gt;VALUE(RIGHT(Protokoll_4p!#REF!,LEN(Protokoll_4p!#REF!)-FIND(":",Protokoll_4p!#REF!))),1,0))</f>
        <v>#REF!</v>
      </c>
      <c r="D153" s="1" t="e">
        <f>IF(Protokoll_4p!#REF!="","",IF(VALUE(LEFT(Protokoll_4p!#REF!,FIND(":",Protokoll_4p!#REF!)-1))&gt;VALUE(RIGHT(Protokoll_4p!#REF!,LEN(Protokoll_4p!#REF!)-FIND(":",Protokoll_4p!#REF!))),1,0))</f>
        <v>#REF!</v>
      </c>
      <c r="E153" s="1" t="e">
        <f>IF(Protokoll_4p!#REF!="","",IF(VALUE(LEFT(Protokoll_4p!#REF!,FIND(":",Protokoll_4p!#REF!)-1))&gt;VALUE(RIGHT(Protokoll_4p!#REF!,LEN(Protokoll_4p!#REF!)-FIND(":",Protokoll_4p!#REF!))),1,0))</f>
        <v>#REF!</v>
      </c>
      <c r="F153" s="1" t="e">
        <f>IF(Protokoll_4p!#REF!="","",IF(VALUE(LEFT(Protokoll_4p!#REF!,FIND(":",Protokoll_4p!#REF!)-1))&gt;VALUE(RIGHT(Protokoll_4p!#REF!,LEN(Protokoll_4p!#REF!)-FIND(":",Protokoll_4p!#REF!))),1,0))</f>
        <v>#REF!</v>
      </c>
      <c r="G153" s="1" t="e">
        <f t="shared" si="4"/>
        <v>#REF!</v>
      </c>
      <c r="I153" s="1" t="e">
        <f>IF(Protokoll_4p!#REF!="","",IF(VALUE(LEFT(Protokoll_4p!#REF!,FIND(":",Protokoll_4p!#REF!)-1))&gt;VALUE(RIGHT(Protokoll_4p!#REF!,LEN(Protokoll_4p!#REF!)-FIND(":",Protokoll_4p!#REF!))),0,1))</f>
        <v>#REF!</v>
      </c>
      <c r="J153" s="1" t="e">
        <f>IF(Protokoll_4p!#REF!="","",IF(VALUE(LEFT(Protokoll_4p!#REF!,FIND(":",Protokoll_4p!#REF!)-1))&gt;VALUE(RIGHT(Protokoll_4p!#REF!,LEN(Protokoll_4p!#REF!)-FIND(":",Protokoll_4p!#REF!))),0,1))</f>
        <v>#REF!</v>
      </c>
      <c r="K153" s="1" t="e">
        <f>IF(Protokoll_4p!#REF!="","",IF(VALUE(LEFT(Protokoll_4p!#REF!,FIND(":",Protokoll_4p!#REF!)-1))&gt;VALUE(RIGHT(Protokoll_4p!#REF!,LEN(Protokoll_4p!#REF!)-FIND(":",Protokoll_4p!#REF!))),0,1))</f>
        <v>#REF!</v>
      </c>
      <c r="L153" s="1" t="e">
        <f>IF(Protokoll_4p!#REF!="","",IF(VALUE(LEFT(Protokoll_4p!#REF!,FIND(":",Protokoll_4p!#REF!)-1))&gt;VALUE(RIGHT(Protokoll_4p!#REF!,LEN(Protokoll_4p!#REF!)-FIND(":",Protokoll_4p!#REF!))),0,1))</f>
        <v>#REF!</v>
      </c>
      <c r="M153" s="1" t="e">
        <f>IF(Protokoll_4p!#REF!="","",IF(VALUE(LEFT(Protokoll_4p!#REF!,FIND(":",Protokoll_4p!#REF!)-1))&gt;VALUE(RIGHT(Protokoll_4p!#REF!,LEN(Protokoll_4p!#REF!)-FIND(":",Protokoll_4p!#REF!))),0,1))</f>
        <v>#REF!</v>
      </c>
      <c r="N153" s="1" t="e">
        <f t="shared" si="5"/>
        <v>#REF!</v>
      </c>
    </row>
    <row r="154" spans="2:14">
      <c r="B154" s="1" t="e">
        <f>IF(Protokoll_4p!#REF!="","",IF(VALUE(LEFT(Protokoll_4p!#REF!,FIND(":",Protokoll_4p!#REF!)-1))&gt;VALUE(RIGHT(Protokoll_4p!#REF!,LEN(Protokoll_4p!#REF!)-FIND(":",Protokoll_4p!#REF!))),1,0))</f>
        <v>#REF!</v>
      </c>
      <c r="C154" s="1" t="e">
        <f>IF(Protokoll_4p!#REF!="","",IF(VALUE(LEFT(Protokoll_4p!#REF!,FIND(":",Protokoll_4p!#REF!)-1))&gt;VALUE(RIGHT(Protokoll_4p!#REF!,LEN(Protokoll_4p!#REF!)-FIND(":",Protokoll_4p!#REF!))),1,0))</f>
        <v>#REF!</v>
      </c>
      <c r="D154" s="1" t="e">
        <f>IF(Protokoll_4p!#REF!="","",IF(VALUE(LEFT(Protokoll_4p!#REF!,FIND(":",Protokoll_4p!#REF!)-1))&gt;VALUE(RIGHT(Protokoll_4p!#REF!,LEN(Protokoll_4p!#REF!)-FIND(":",Protokoll_4p!#REF!))),1,0))</f>
        <v>#REF!</v>
      </c>
      <c r="E154" s="1" t="e">
        <f>IF(Protokoll_4p!#REF!="","",IF(VALUE(LEFT(Protokoll_4p!#REF!,FIND(":",Protokoll_4p!#REF!)-1))&gt;VALUE(RIGHT(Protokoll_4p!#REF!,LEN(Protokoll_4p!#REF!)-FIND(":",Protokoll_4p!#REF!))),1,0))</f>
        <v>#REF!</v>
      </c>
      <c r="F154" s="1" t="e">
        <f>IF(Protokoll_4p!#REF!="","",IF(VALUE(LEFT(Protokoll_4p!#REF!,FIND(":",Protokoll_4p!#REF!)-1))&gt;VALUE(RIGHT(Protokoll_4p!#REF!,LEN(Protokoll_4p!#REF!)-FIND(":",Protokoll_4p!#REF!))),1,0))</f>
        <v>#REF!</v>
      </c>
      <c r="G154" s="1" t="e">
        <f t="shared" si="4"/>
        <v>#REF!</v>
      </c>
      <c r="I154" s="1" t="e">
        <f>IF(Protokoll_4p!#REF!="","",IF(VALUE(LEFT(Protokoll_4p!#REF!,FIND(":",Protokoll_4p!#REF!)-1))&gt;VALUE(RIGHT(Protokoll_4p!#REF!,LEN(Protokoll_4p!#REF!)-FIND(":",Protokoll_4p!#REF!))),0,1))</f>
        <v>#REF!</v>
      </c>
      <c r="J154" s="1" t="e">
        <f>IF(Protokoll_4p!#REF!="","",IF(VALUE(LEFT(Protokoll_4p!#REF!,FIND(":",Protokoll_4p!#REF!)-1))&gt;VALUE(RIGHT(Protokoll_4p!#REF!,LEN(Protokoll_4p!#REF!)-FIND(":",Protokoll_4p!#REF!))),0,1))</f>
        <v>#REF!</v>
      </c>
      <c r="K154" s="1" t="e">
        <f>IF(Protokoll_4p!#REF!="","",IF(VALUE(LEFT(Protokoll_4p!#REF!,FIND(":",Protokoll_4p!#REF!)-1))&gt;VALUE(RIGHT(Protokoll_4p!#REF!,LEN(Protokoll_4p!#REF!)-FIND(":",Protokoll_4p!#REF!))),0,1))</f>
        <v>#REF!</v>
      </c>
      <c r="L154" s="1" t="e">
        <f>IF(Protokoll_4p!#REF!="","",IF(VALUE(LEFT(Protokoll_4p!#REF!,FIND(":",Protokoll_4p!#REF!)-1))&gt;VALUE(RIGHT(Protokoll_4p!#REF!,LEN(Protokoll_4p!#REF!)-FIND(":",Protokoll_4p!#REF!))),0,1))</f>
        <v>#REF!</v>
      </c>
      <c r="M154" s="1" t="e">
        <f>IF(Protokoll_4p!#REF!="","",IF(VALUE(LEFT(Protokoll_4p!#REF!,FIND(":",Protokoll_4p!#REF!)-1))&gt;VALUE(RIGHT(Protokoll_4p!#REF!,LEN(Protokoll_4p!#REF!)-FIND(":",Protokoll_4p!#REF!))),0,1))</f>
        <v>#REF!</v>
      </c>
      <c r="N154" s="1" t="e">
        <f t="shared" si="5"/>
        <v>#REF!</v>
      </c>
    </row>
    <row r="155" spans="2:14">
      <c r="B155" s="1" t="e">
        <f>IF(Protokoll_4p!#REF!="","",IF(VALUE(LEFT(Protokoll_4p!#REF!,FIND(":",Protokoll_4p!#REF!)-1))&gt;VALUE(RIGHT(Protokoll_4p!#REF!,LEN(Protokoll_4p!#REF!)-FIND(":",Protokoll_4p!#REF!))),1,0))</f>
        <v>#REF!</v>
      </c>
      <c r="C155" s="1" t="e">
        <f>IF(Protokoll_4p!#REF!="","",IF(VALUE(LEFT(Protokoll_4p!#REF!,FIND(":",Protokoll_4p!#REF!)-1))&gt;VALUE(RIGHT(Protokoll_4p!#REF!,LEN(Protokoll_4p!#REF!)-FIND(":",Protokoll_4p!#REF!))),1,0))</f>
        <v>#REF!</v>
      </c>
      <c r="D155" s="1" t="e">
        <f>IF(Protokoll_4p!#REF!="","",IF(VALUE(LEFT(Protokoll_4p!#REF!,FIND(":",Protokoll_4p!#REF!)-1))&gt;VALUE(RIGHT(Protokoll_4p!#REF!,LEN(Protokoll_4p!#REF!)-FIND(":",Protokoll_4p!#REF!))),1,0))</f>
        <v>#REF!</v>
      </c>
      <c r="E155" s="1" t="e">
        <f>IF(Protokoll_4p!#REF!="","",IF(VALUE(LEFT(Protokoll_4p!#REF!,FIND(":",Protokoll_4p!#REF!)-1))&gt;VALUE(RIGHT(Protokoll_4p!#REF!,LEN(Protokoll_4p!#REF!)-FIND(":",Protokoll_4p!#REF!))),1,0))</f>
        <v>#REF!</v>
      </c>
      <c r="F155" s="1" t="e">
        <f>IF(Protokoll_4p!#REF!="","",IF(VALUE(LEFT(Protokoll_4p!#REF!,FIND(":",Protokoll_4p!#REF!)-1))&gt;VALUE(RIGHT(Protokoll_4p!#REF!,LEN(Protokoll_4p!#REF!)-FIND(":",Protokoll_4p!#REF!))),1,0))</f>
        <v>#REF!</v>
      </c>
      <c r="G155" s="1" t="e">
        <f t="shared" si="4"/>
        <v>#REF!</v>
      </c>
      <c r="I155" s="1" t="e">
        <f>IF(Protokoll_4p!#REF!="","",IF(VALUE(LEFT(Protokoll_4p!#REF!,FIND(":",Protokoll_4p!#REF!)-1))&gt;VALUE(RIGHT(Protokoll_4p!#REF!,LEN(Protokoll_4p!#REF!)-FIND(":",Protokoll_4p!#REF!))),0,1))</f>
        <v>#REF!</v>
      </c>
      <c r="J155" s="1" t="e">
        <f>IF(Protokoll_4p!#REF!="","",IF(VALUE(LEFT(Protokoll_4p!#REF!,FIND(":",Protokoll_4p!#REF!)-1))&gt;VALUE(RIGHT(Protokoll_4p!#REF!,LEN(Protokoll_4p!#REF!)-FIND(":",Protokoll_4p!#REF!))),0,1))</f>
        <v>#REF!</v>
      </c>
      <c r="K155" s="1" t="e">
        <f>IF(Protokoll_4p!#REF!="","",IF(VALUE(LEFT(Protokoll_4p!#REF!,FIND(":",Protokoll_4p!#REF!)-1))&gt;VALUE(RIGHT(Protokoll_4p!#REF!,LEN(Protokoll_4p!#REF!)-FIND(":",Protokoll_4p!#REF!))),0,1))</f>
        <v>#REF!</v>
      </c>
      <c r="L155" s="1" t="e">
        <f>IF(Protokoll_4p!#REF!="","",IF(VALUE(LEFT(Protokoll_4p!#REF!,FIND(":",Protokoll_4p!#REF!)-1))&gt;VALUE(RIGHT(Protokoll_4p!#REF!,LEN(Protokoll_4p!#REF!)-FIND(":",Protokoll_4p!#REF!))),0,1))</f>
        <v>#REF!</v>
      </c>
      <c r="M155" s="1" t="e">
        <f>IF(Protokoll_4p!#REF!="","",IF(VALUE(LEFT(Protokoll_4p!#REF!,FIND(":",Protokoll_4p!#REF!)-1))&gt;VALUE(RIGHT(Protokoll_4p!#REF!,LEN(Protokoll_4p!#REF!)-FIND(":",Protokoll_4p!#REF!))),0,1))</f>
        <v>#REF!</v>
      </c>
      <c r="N155" s="1" t="e">
        <f t="shared" si="5"/>
        <v>#REF!</v>
      </c>
    </row>
    <row r="156" spans="2:14">
      <c r="B156" s="1" t="e">
        <f>IF(Protokoll_4p!#REF!="","",IF(VALUE(LEFT(Protokoll_4p!#REF!,FIND(":",Protokoll_4p!#REF!)-1))&gt;VALUE(RIGHT(Protokoll_4p!#REF!,LEN(Protokoll_4p!#REF!)-FIND(":",Protokoll_4p!#REF!))),1,0))</f>
        <v>#REF!</v>
      </c>
      <c r="C156" s="1" t="e">
        <f>IF(Protokoll_4p!#REF!="","",IF(VALUE(LEFT(Protokoll_4p!#REF!,FIND(":",Protokoll_4p!#REF!)-1))&gt;VALUE(RIGHT(Protokoll_4p!#REF!,LEN(Protokoll_4p!#REF!)-FIND(":",Protokoll_4p!#REF!))),1,0))</f>
        <v>#REF!</v>
      </c>
      <c r="D156" s="1" t="e">
        <f>IF(Protokoll_4p!#REF!="","",IF(VALUE(LEFT(Protokoll_4p!#REF!,FIND(":",Protokoll_4p!#REF!)-1))&gt;VALUE(RIGHT(Protokoll_4p!#REF!,LEN(Protokoll_4p!#REF!)-FIND(":",Protokoll_4p!#REF!))),1,0))</f>
        <v>#REF!</v>
      </c>
      <c r="E156" s="1" t="e">
        <f>IF(Protokoll_4p!#REF!="","",IF(VALUE(LEFT(Protokoll_4p!#REF!,FIND(":",Protokoll_4p!#REF!)-1))&gt;VALUE(RIGHT(Protokoll_4p!#REF!,LEN(Protokoll_4p!#REF!)-FIND(":",Protokoll_4p!#REF!))),1,0))</f>
        <v>#REF!</v>
      </c>
      <c r="F156" s="1" t="e">
        <f>IF(Protokoll_4p!#REF!="","",IF(VALUE(LEFT(Protokoll_4p!#REF!,FIND(":",Protokoll_4p!#REF!)-1))&gt;VALUE(RIGHT(Protokoll_4p!#REF!,LEN(Protokoll_4p!#REF!)-FIND(":",Protokoll_4p!#REF!))),1,0))</f>
        <v>#REF!</v>
      </c>
      <c r="G156" s="1" t="e">
        <f t="shared" si="4"/>
        <v>#REF!</v>
      </c>
      <c r="I156" s="1" t="e">
        <f>IF(Protokoll_4p!#REF!="","",IF(VALUE(LEFT(Protokoll_4p!#REF!,FIND(":",Protokoll_4p!#REF!)-1))&gt;VALUE(RIGHT(Protokoll_4p!#REF!,LEN(Protokoll_4p!#REF!)-FIND(":",Protokoll_4p!#REF!))),0,1))</f>
        <v>#REF!</v>
      </c>
      <c r="J156" s="1" t="e">
        <f>IF(Protokoll_4p!#REF!="","",IF(VALUE(LEFT(Protokoll_4p!#REF!,FIND(":",Protokoll_4p!#REF!)-1))&gt;VALUE(RIGHT(Protokoll_4p!#REF!,LEN(Protokoll_4p!#REF!)-FIND(":",Protokoll_4p!#REF!))),0,1))</f>
        <v>#REF!</v>
      </c>
      <c r="K156" s="1" t="e">
        <f>IF(Protokoll_4p!#REF!="","",IF(VALUE(LEFT(Protokoll_4p!#REF!,FIND(":",Protokoll_4p!#REF!)-1))&gt;VALUE(RIGHT(Protokoll_4p!#REF!,LEN(Protokoll_4p!#REF!)-FIND(":",Protokoll_4p!#REF!))),0,1))</f>
        <v>#REF!</v>
      </c>
      <c r="L156" s="1" t="e">
        <f>IF(Protokoll_4p!#REF!="","",IF(VALUE(LEFT(Protokoll_4p!#REF!,FIND(":",Protokoll_4p!#REF!)-1))&gt;VALUE(RIGHT(Protokoll_4p!#REF!,LEN(Protokoll_4p!#REF!)-FIND(":",Protokoll_4p!#REF!))),0,1))</f>
        <v>#REF!</v>
      </c>
      <c r="M156" s="1" t="e">
        <f>IF(Protokoll_4p!#REF!="","",IF(VALUE(LEFT(Protokoll_4p!#REF!,FIND(":",Protokoll_4p!#REF!)-1))&gt;VALUE(RIGHT(Protokoll_4p!#REF!,LEN(Protokoll_4p!#REF!)-FIND(":",Protokoll_4p!#REF!))),0,1))</f>
        <v>#REF!</v>
      </c>
      <c r="N156" s="1" t="e">
        <f t="shared" si="5"/>
        <v>#REF!</v>
      </c>
    </row>
    <row r="157" spans="2:14">
      <c r="B157" s="1" t="e">
        <f>IF(Protokoll_4p!#REF!="","",IF(VALUE(LEFT(Protokoll_4p!#REF!,FIND(":",Protokoll_4p!#REF!)-1))&gt;VALUE(RIGHT(Protokoll_4p!#REF!,LEN(Protokoll_4p!#REF!)-FIND(":",Protokoll_4p!#REF!))),1,0))</f>
        <v>#REF!</v>
      </c>
      <c r="C157" s="1" t="e">
        <f>IF(Protokoll_4p!#REF!="","",IF(VALUE(LEFT(Protokoll_4p!#REF!,FIND(":",Protokoll_4p!#REF!)-1))&gt;VALUE(RIGHT(Protokoll_4p!#REF!,LEN(Protokoll_4p!#REF!)-FIND(":",Protokoll_4p!#REF!))),1,0))</f>
        <v>#REF!</v>
      </c>
      <c r="D157" s="1" t="e">
        <f>IF(Protokoll_4p!#REF!="","",IF(VALUE(LEFT(Protokoll_4p!#REF!,FIND(":",Protokoll_4p!#REF!)-1))&gt;VALUE(RIGHT(Protokoll_4p!#REF!,LEN(Protokoll_4p!#REF!)-FIND(":",Protokoll_4p!#REF!))),1,0))</f>
        <v>#REF!</v>
      </c>
      <c r="E157" s="1" t="e">
        <f>IF(Protokoll_4p!#REF!="","",IF(VALUE(LEFT(Protokoll_4p!#REF!,FIND(":",Protokoll_4p!#REF!)-1))&gt;VALUE(RIGHT(Protokoll_4p!#REF!,LEN(Protokoll_4p!#REF!)-FIND(":",Protokoll_4p!#REF!))),1,0))</f>
        <v>#REF!</v>
      </c>
      <c r="F157" s="1" t="e">
        <f>IF(Protokoll_4p!#REF!="","",IF(VALUE(LEFT(Protokoll_4p!#REF!,FIND(":",Protokoll_4p!#REF!)-1))&gt;VALUE(RIGHT(Protokoll_4p!#REF!,LEN(Protokoll_4p!#REF!)-FIND(":",Protokoll_4p!#REF!))),1,0))</f>
        <v>#REF!</v>
      </c>
      <c r="G157" s="1" t="e">
        <f t="shared" si="4"/>
        <v>#REF!</v>
      </c>
      <c r="I157" s="1" t="e">
        <f>IF(Protokoll_4p!#REF!="","",IF(VALUE(LEFT(Protokoll_4p!#REF!,FIND(":",Protokoll_4p!#REF!)-1))&gt;VALUE(RIGHT(Protokoll_4p!#REF!,LEN(Protokoll_4p!#REF!)-FIND(":",Protokoll_4p!#REF!))),0,1))</f>
        <v>#REF!</v>
      </c>
      <c r="J157" s="1" t="e">
        <f>IF(Protokoll_4p!#REF!="","",IF(VALUE(LEFT(Protokoll_4p!#REF!,FIND(":",Protokoll_4p!#REF!)-1))&gt;VALUE(RIGHT(Protokoll_4p!#REF!,LEN(Protokoll_4p!#REF!)-FIND(":",Protokoll_4p!#REF!))),0,1))</f>
        <v>#REF!</v>
      </c>
      <c r="K157" s="1" t="e">
        <f>IF(Protokoll_4p!#REF!="","",IF(VALUE(LEFT(Protokoll_4p!#REF!,FIND(":",Protokoll_4p!#REF!)-1))&gt;VALUE(RIGHT(Protokoll_4p!#REF!,LEN(Protokoll_4p!#REF!)-FIND(":",Protokoll_4p!#REF!))),0,1))</f>
        <v>#REF!</v>
      </c>
      <c r="L157" s="1" t="e">
        <f>IF(Protokoll_4p!#REF!="","",IF(VALUE(LEFT(Protokoll_4p!#REF!,FIND(":",Protokoll_4p!#REF!)-1))&gt;VALUE(RIGHT(Protokoll_4p!#REF!,LEN(Protokoll_4p!#REF!)-FIND(":",Protokoll_4p!#REF!))),0,1))</f>
        <v>#REF!</v>
      </c>
      <c r="M157" s="1" t="e">
        <f>IF(Protokoll_4p!#REF!="","",IF(VALUE(LEFT(Protokoll_4p!#REF!,FIND(":",Protokoll_4p!#REF!)-1))&gt;VALUE(RIGHT(Protokoll_4p!#REF!,LEN(Protokoll_4p!#REF!)-FIND(":",Protokoll_4p!#REF!))),0,1))</f>
        <v>#REF!</v>
      </c>
      <c r="N157" s="1" t="e">
        <f t="shared" si="5"/>
        <v>#REF!</v>
      </c>
    </row>
    <row r="158" spans="2:14">
      <c r="B158" s="1" t="e">
        <f>IF(Protokoll_4p!#REF!="","",IF(VALUE(LEFT(Protokoll_4p!#REF!,FIND(":",Protokoll_4p!#REF!)-1))&gt;VALUE(RIGHT(Protokoll_4p!#REF!,LEN(Protokoll_4p!#REF!)-FIND(":",Protokoll_4p!#REF!))),1,0))</f>
        <v>#REF!</v>
      </c>
      <c r="C158" s="1" t="e">
        <f>IF(Protokoll_4p!#REF!="","",IF(VALUE(LEFT(Protokoll_4p!#REF!,FIND(":",Protokoll_4p!#REF!)-1))&gt;VALUE(RIGHT(Protokoll_4p!#REF!,LEN(Protokoll_4p!#REF!)-FIND(":",Protokoll_4p!#REF!))),1,0))</f>
        <v>#REF!</v>
      </c>
      <c r="D158" s="1" t="e">
        <f>IF(Protokoll_4p!#REF!="","",IF(VALUE(LEFT(Protokoll_4p!#REF!,FIND(":",Protokoll_4p!#REF!)-1))&gt;VALUE(RIGHT(Protokoll_4p!#REF!,LEN(Protokoll_4p!#REF!)-FIND(":",Protokoll_4p!#REF!))),1,0))</f>
        <v>#REF!</v>
      </c>
      <c r="E158" s="1" t="e">
        <f>IF(Protokoll_4p!#REF!="","",IF(VALUE(LEFT(Protokoll_4p!#REF!,FIND(":",Protokoll_4p!#REF!)-1))&gt;VALUE(RIGHT(Protokoll_4p!#REF!,LEN(Protokoll_4p!#REF!)-FIND(":",Protokoll_4p!#REF!))),1,0))</f>
        <v>#REF!</v>
      </c>
      <c r="F158" s="1" t="e">
        <f>IF(Protokoll_4p!#REF!="","",IF(VALUE(LEFT(Protokoll_4p!#REF!,FIND(":",Protokoll_4p!#REF!)-1))&gt;VALUE(RIGHT(Protokoll_4p!#REF!,LEN(Protokoll_4p!#REF!)-FIND(":",Protokoll_4p!#REF!))),1,0))</f>
        <v>#REF!</v>
      </c>
      <c r="G158" s="1" t="e">
        <f t="shared" si="4"/>
        <v>#REF!</v>
      </c>
      <c r="I158" s="1" t="e">
        <f>IF(Protokoll_4p!#REF!="","",IF(VALUE(LEFT(Protokoll_4p!#REF!,FIND(":",Protokoll_4p!#REF!)-1))&gt;VALUE(RIGHT(Protokoll_4p!#REF!,LEN(Protokoll_4p!#REF!)-FIND(":",Protokoll_4p!#REF!))),0,1))</f>
        <v>#REF!</v>
      </c>
      <c r="J158" s="1" t="e">
        <f>IF(Protokoll_4p!#REF!="","",IF(VALUE(LEFT(Protokoll_4p!#REF!,FIND(":",Protokoll_4p!#REF!)-1))&gt;VALUE(RIGHT(Protokoll_4p!#REF!,LEN(Protokoll_4p!#REF!)-FIND(":",Protokoll_4p!#REF!))),0,1))</f>
        <v>#REF!</v>
      </c>
      <c r="K158" s="1" t="e">
        <f>IF(Protokoll_4p!#REF!="","",IF(VALUE(LEFT(Protokoll_4p!#REF!,FIND(":",Protokoll_4p!#REF!)-1))&gt;VALUE(RIGHT(Protokoll_4p!#REF!,LEN(Protokoll_4p!#REF!)-FIND(":",Protokoll_4p!#REF!))),0,1))</f>
        <v>#REF!</v>
      </c>
      <c r="L158" s="1" t="e">
        <f>IF(Protokoll_4p!#REF!="","",IF(VALUE(LEFT(Protokoll_4p!#REF!,FIND(":",Protokoll_4p!#REF!)-1))&gt;VALUE(RIGHT(Protokoll_4p!#REF!,LEN(Protokoll_4p!#REF!)-FIND(":",Protokoll_4p!#REF!))),0,1))</f>
        <v>#REF!</v>
      </c>
      <c r="M158" s="1" t="e">
        <f>IF(Protokoll_4p!#REF!="","",IF(VALUE(LEFT(Protokoll_4p!#REF!,FIND(":",Protokoll_4p!#REF!)-1))&gt;VALUE(RIGHT(Protokoll_4p!#REF!,LEN(Protokoll_4p!#REF!)-FIND(":",Protokoll_4p!#REF!))),0,1))</f>
        <v>#REF!</v>
      </c>
      <c r="N158" s="1" t="e">
        <f t="shared" si="5"/>
        <v>#REF!</v>
      </c>
    </row>
    <row r="159" spans="2:14">
      <c r="B159" s="1" t="e">
        <f>IF(Protokoll_4p!#REF!="","",IF(VALUE(LEFT(Protokoll_4p!#REF!,FIND(":",Protokoll_4p!#REF!)-1))&gt;VALUE(RIGHT(Protokoll_4p!#REF!,LEN(Protokoll_4p!#REF!)-FIND(":",Protokoll_4p!#REF!))),1,0))</f>
        <v>#REF!</v>
      </c>
      <c r="C159" s="1" t="e">
        <f>IF(Protokoll_4p!#REF!="","",IF(VALUE(LEFT(Protokoll_4p!#REF!,FIND(":",Protokoll_4p!#REF!)-1))&gt;VALUE(RIGHT(Protokoll_4p!#REF!,LEN(Protokoll_4p!#REF!)-FIND(":",Protokoll_4p!#REF!))),1,0))</f>
        <v>#REF!</v>
      </c>
      <c r="D159" s="1" t="e">
        <f>IF(Protokoll_4p!#REF!="","",IF(VALUE(LEFT(Protokoll_4p!#REF!,FIND(":",Protokoll_4p!#REF!)-1))&gt;VALUE(RIGHT(Protokoll_4p!#REF!,LEN(Protokoll_4p!#REF!)-FIND(":",Protokoll_4p!#REF!))),1,0))</f>
        <v>#REF!</v>
      </c>
      <c r="E159" s="1" t="e">
        <f>IF(Protokoll_4p!#REF!="","",IF(VALUE(LEFT(Protokoll_4p!#REF!,FIND(":",Protokoll_4p!#REF!)-1))&gt;VALUE(RIGHT(Protokoll_4p!#REF!,LEN(Protokoll_4p!#REF!)-FIND(":",Protokoll_4p!#REF!))),1,0))</f>
        <v>#REF!</v>
      </c>
      <c r="F159" s="1" t="e">
        <f>IF(Protokoll_4p!#REF!="","",IF(VALUE(LEFT(Protokoll_4p!#REF!,FIND(":",Protokoll_4p!#REF!)-1))&gt;VALUE(RIGHT(Protokoll_4p!#REF!,LEN(Protokoll_4p!#REF!)-FIND(":",Protokoll_4p!#REF!))),1,0))</f>
        <v>#REF!</v>
      </c>
      <c r="G159" s="1" t="e">
        <f t="shared" si="4"/>
        <v>#REF!</v>
      </c>
      <c r="I159" s="1" t="e">
        <f>IF(Protokoll_4p!#REF!="","",IF(VALUE(LEFT(Protokoll_4p!#REF!,FIND(":",Protokoll_4p!#REF!)-1))&gt;VALUE(RIGHT(Protokoll_4p!#REF!,LEN(Protokoll_4p!#REF!)-FIND(":",Protokoll_4p!#REF!))),0,1))</f>
        <v>#REF!</v>
      </c>
      <c r="J159" s="1" t="e">
        <f>IF(Protokoll_4p!#REF!="","",IF(VALUE(LEFT(Protokoll_4p!#REF!,FIND(":",Protokoll_4p!#REF!)-1))&gt;VALUE(RIGHT(Protokoll_4p!#REF!,LEN(Protokoll_4p!#REF!)-FIND(":",Protokoll_4p!#REF!))),0,1))</f>
        <v>#REF!</v>
      </c>
      <c r="K159" s="1" t="e">
        <f>IF(Protokoll_4p!#REF!="","",IF(VALUE(LEFT(Protokoll_4p!#REF!,FIND(":",Protokoll_4p!#REF!)-1))&gt;VALUE(RIGHT(Protokoll_4p!#REF!,LEN(Protokoll_4p!#REF!)-FIND(":",Protokoll_4p!#REF!))),0,1))</f>
        <v>#REF!</v>
      </c>
      <c r="L159" s="1" t="e">
        <f>IF(Protokoll_4p!#REF!="","",IF(VALUE(LEFT(Protokoll_4p!#REF!,FIND(":",Protokoll_4p!#REF!)-1))&gt;VALUE(RIGHT(Protokoll_4p!#REF!,LEN(Protokoll_4p!#REF!)-FIND(":",Protokoll_4p!#REF!))),0,1))</f>
        <v>#REF!</v>
      </c>
      <c r="M159" s="1" t="e">
        <f>IF(Protokoll_4p!#REF!="","",IF(VALUE(LEFT(Protokoll_4p!#REF!,FIND(":",Protokoll_4p!#REF!)-1))&gt;VALUE(RIGHT(Protokoll_4p!#REF!,LEN(Protokoll_4p!#REF!)-FIND(":",Protokoll_4p!#REF!))),0,1))</f>
        <v>#REF!</v>
      </c>
      <c r="N159" s="1" t="e">
        <f t="shared" si="5"/>
        <v>#REF!</v>
      </c>
    </row>
    <row r="160" spans="2:14">
      <c r="B160" s="1" t="e">
        <f>IF(Protokoll_4p!#REF!="","",IF(VALUE(LEFT(Protokoll_4p!#REF!,FIND(":",Protokoll_4p!#REF!)-1))&gt;VALUE(RIGHT(Protokoll_4p!#REF!,LEN(Protokoll_4p!#REF!)-FIND(":",Protokoll_4p!#REF!))),1,0))</f>
        <v>#REF!</v>
      </c>
      <c r="C160" s="1" t="e">
        <f>IF(Protokoll_4p!#REF!="","",IF(VALUE(LEFT(Protokoll_4p!#REF!,FIND(":",Protokoll_4p!#REF!)-1))&gt;VALUE(RIGHT(Protokoll_4p!#REF!,LEN(Protokoll_4p!#REF!)-FIND(":",Protokoll_4p!#REF!))),1,0))</f>
        <v>#REF!</v>
      </c>
      <c r="D160" s="1" t="e">
        <f>IF(Protokoll_4p!#REF!="","",IF(VALUE(LEFT(Protokoll_4p!#REF!,FIND(":",Protokoll_4p!#REF!)-1))&gt;VALUE(RIGHT(Protokoll_4p!#REF!,LEN(Protokoll_4p!#REF!)-FIND(":",Protokoll_4p!#REF!))),1,0))</f>
        <v>#REF!</v>
      </c>
      <c r="E160" s="1" t="e">
        <f>IF(Protokoll_4p!#REF!="","",IF(VALUE(LEFT(Protokoll_4p!#REF!,FIND(":",Protokoll_4p!#REF!)-1))&gt;VALUE(RIGHT(Protokoll_4p!#REF!,LEN(Protokoll_4p!#REF!)-FIND(":",Protokoll_4p!#REF!))),1,0))</f>
        <v>#REF!</v>
      </c>
      <c r="F160" s="1" t="e">
        <f>IF(Protokoll_4p!#REF!="","",IF(VALUE(LEFT(Protokoll_4p!#REF!,FIND(":",Protokoll_4p!#REF!)-1))&gt;VALUE(RIGHT(Protokoll_4p!#REF!,LEN(Protokoll_4p!#REF!)-FIND(":",Protokoll_4p!#REF!))),1,0))</f>
        <v>#REF!</v>
      </c>
      <c r="G160" s="1" t="e">
        <f t="shared" si="4"/>
        <v>#REF!</v>
      </c>
      <c r="I160" s="1" t="e">
        <f>IF(Protokoll_4p!#REF!="","",IF(VALUE(LEFT(Protokoll_4p!#REF!,FIND(":",Protokoll_4p!#REF!)-1))&gt;VALUE(RIGHT(Protokoll_4p!#REF!,LEN(Protokoll_4p!#REF!)-FIND(":",Protokoll_4p!#REF!))),0,1))</f>
        <v>#REF!</v>
      </c>
      <c r="J160" s="1" t="e">
        <f>IF(Protokoll_4p!#REF!="","",IF(VALUE(LEFT(Protokoll_4p!#REF!,FIND(":",Protokoll_4p!#REF!)-1))&gt;VALUE(RIGHT(Protokoll_4p!#REF!,LEN(Protokoll_4p!#REF!)-FIND(":",Protokoll_4p!#REF!))),0,1))</f>
        <v>#REF!</v>
      </c>
      <c r="K160" s="1" t="e">
        <f>IF(Protokoll_4p!#REF!="","",IF(VALUE(LEFT(Protokoll_4p!#REF!,FIND(":",Protokoll_4p!#REF!)-1))&gt;VALUE(RIGHT(Protokoll_4p!#REF!,LEN(Protokoll_4p!#REF!)-FIND(":",Protokoll_4p!#REF!))),0,1))</f>
        <v>#REF!</v>
      </c>
      <c r="L160" s="1" t="e">
        <f>IF(Protokoll_4p!#REF!="","",IF(VALUE(LEFT(Protokoll_4p!#REF!,FIND(":",Protokoll_4p!#REF!)-1))&gt;VALUE(RIGHT(Protokoll_4p!#REF!,LEN(Protokoll_4p!#REF!)-FIND(":",Protokoll_4p!#REF!))),0,1))</f>
        <v>#REF!</v>
      </c>
      <c r="M160" s="1" t="e">
        <f>IF(Protokoll_4p!#REF!="","",IF(VALUE(LEFT(Protokoll_4p!#REF!,FIND(":",Protokoll_4p!#REF!)-1))&gt;VALUE(RIGHT(Protokoll_4p!#REF!,LEN(Protokoll_4p!#REF!)-FIND(":",Protokoll_4p!#REF!))),0,1))</f>
        <v>#REF!</v>
      </c>
      <c r="N160" s="1" t="e">
        <f t="shared" si="5"/>
        <v>#REF!</v>
      </c>
    </row>
    <row r="161" spans="2:14">
      <c r="B161" s="1" t="str">
        <f>IF(Protokoll_4p!F127="","",IF(VALUE(LEFT(Protokoll_4p!F127,FIND(":",Protokoll_4p!F127)-1))&gt;VALUE(RIGHT(Protokoll_4p!F127,LEN(Protokoll_4p!F127)-FIND(":",Protokoll_4p!F127))),1,0))</f>
        <v/>
      </c>
      <c r="C161" s="1" t="str">
        <f>IF(Protokoll_4p!G127="","",IF(VALUE(LEFT(Protokoll_4p!G127,FIND(":",Protokoll_4p!G127)-1))&gt;VALUE(RIGHT(Protokoll_4p!G127,LEN(Protokoll_4p!G127)-FIND(":",Protokoll_4p!G127))),1,0))</f>
        <v/>
      </c>
      <c r="D161" s="1" t="str">
        <f>IF(Protokoll_4p!H127="","",IF(VALUE(LEFT(Protokoll_4p!H127,FIND(":",Protokoll_4p!H127)-1))&gt;VALUE(RIGHT(Protokoll_4p!H127,LEN(Protokoll_4p!H127)-FIND(":",Protokoll_4p!H127))),1,0))</f>
        <v/>
      </c>
      <c r="E161" s="1" t="str">
        <f>IF(Protokoll_4p!I127="","",IF(VALUE(LEFT(Protokoll_4p!I127,FIND(":",Protokoll_4p!I127)-1))&gt;VALUE(RIGHT(Protokoll_4p!I127,LEN(Protokoll_4p!I127)-FIND(":",Protokoll_4p!I127))),1,0))</f>
        <v/>
      </c>
      <c r="F161" s="1" t="str">
        <f>IF(Protokoll_4p!J127="","",IF(VALUE(LEFT(Protokoll_4p!J127,FIND(":",Protokoll_4p!J127)-1))&gt;VALUE(RIGHT(Protokoll_4p!J127,LEN(Protokoll_4p!J127)-FIND(":",Protokoll_4p!J127))),1,0))</f>
        <v/>
      </c>
      <c r="G161" s="1" t="str">
        <f t="shared" si="4"/>
        <v/>
      </c>
      <c r="I161" s="1" t="str">
        <f>IF(Protokoll_4p!F127="","",IF(VALUE(LEFT(Protokoll_4p!F127,FIND(":",Protokoll_4p!F127)-1))&gt;VALUE(RIGHT(Protokoll_4p!F127,LEN(Protokoll_4p!F127)-FIND(":",Protokoll_4p!F127))),0,1))</f>
        <v/>
      </c>
      <c r="J161" s="1" t="str">
        <f>IF(Protokoll_4p!G127="","",IF(VALUE(LEFT(Protokoll_4p!G127,FIND(":",Protokoll_4p!G127)-1))&gt;VALUE(RIGHT(Protokoll_4p!G127,LEN(Protokoll_4p!G127)-FIND(":",Protokoll_4p!G127))),0,1))</f>
        <v/>
      </c>
      <c r="K161" s="1" t="str">
        <f>IF(Protokoll_4p!H127="","",IF(VALUE(LEFT(Protokoll_4p!H127,FIND(":",Protokoll_4p!H127)-1))&gt;VALUE(RIGHT(Protokoll_4p!H127,LEN(Protokoll_4p!H127)-FIND(":",Protokoll_4p!H127))),0,1))</f>
        <v/>
      </c>
      <c r="L161" s="1" t="str">
        <f>IF(Protokoll_4p!I127="","",IF(VALUE(LEFT(Protokoll_4p!I127,FIND(":",Protokoll_4p!I127)-1))&gt;VALUE(RIGHT(Protokoll_4p!I127,LEN(Protokoll_4p!I127)-FIND(":",Protokoll_4p!I127))),0,1))</f>
        <v/>
      </c>
      <c r="M161" s="1" t="str">
        <f>IF(Protokoll_4p!J127="","",IF(VALUE(LEFT(Protokoll_4p!J127,FIND(":",Protokoll_4p!J127)-1))&gt;VALUE(RIGHT(Protokoll_4p!J127,LEN(Protokoll_4p!J127)-FIND(":",Protokoll_4p!J127))),0,1))</f>
        <v/>
      </c>
      <c r="N161" s="1" t="str">
        <f t="shared" si="5"/>
        <v/>
      </c>
    </row>
    <row r="162" spans="2:14">
      <c r="B162" s="1" t="str">
        <f>IF(Protokoll_4p!F128="","",IF(VALUE(LEFT(Protokoll_4p!F128,FIND(":",Protokoll_4p!F128)-1))&gt;VALUE(RIGHT(Protokoll_4p!F128,LEN(Protokoll_4p!F128)-FIND(":",Protokoll_4p!F128))),1,0))</f>
        <v/>
      </c>
      <c r="C162" s="1" t="str">
        <f>IF(Protokoll_4p!G128="","",IF(VALUE(LEFT(Protokoll_4p!G128,FIND(":",Protokoll_4p!G128)-1))&gt;VALUE(RIGHT(Protokoll_4p!G128,LEN(Protokoll_4p!G128)-FIND(":",Protokoll_4p!G128))),1,0))</f>
        <v/>
      </c>
      <c r="D162" s="1" t="str">
        <f>IF(Protokoll_4p!H128="","",IF(VALUE(LEFT(Protokoll_4p!H128,FIND(":",Protokoll_4p!H128)-1))&gt;VALUE(RIGHT(Protokoll_4p!H128,LEN(Protokoll_4p!H128)-FIND(":",Protokoll_4p!H128))),1,0))</f>
        <v/>
      </c>
      <c r="E162" s="1" t="str">
        <f>IF(Protokoll_4p!I128="","",IF(VALUE(LEFT(Protokoll_4p!I128,FIND(":",Protokoll_4p!I128)-1))&gt;VALUE(RIGHT(Protokoll_4p!I128,LEN(Protokoll_4p!I128)-FIND(":",Protokoll_4p!I128))),1,0))</f>
        <v/>
      </c>
      <c r="F162" s="1" t="str">
        <f>IF(Protokoll_4p!J128="","",IF(VALUE(LEFT(Protokoll_4p!J128,FIND(":",Protokoll_4p!J128)-1))&gt;VALUE(RIGHT(Protokoll_4p!J128,LEN(Protokoll_4p!J128)-FIND(":",Protokoll_4p!J128))),1,0))</f>
        <v/>
      </c>
      <c r="G162" s="1" t="str">
        <f t="shared" si="4"/>
        <v/>
      </c>
      <c r="I162" s="1" t="str">
        <f>IF(Protokoll_4p!F128="","",IF(VALUE(LEFT(Protokoll_4p!F128,FIND(":",Protokoll_4p!F128)-1))&gt;VALUE(RIGHT(Protokoll_4p!F128,LEN(Protokoll_4p!F128)-FIND(":",Protokoll_4p!F128))),0,1))</f>
        <v/>
      </c>
      <c r="J162" s="1" t="str">
        <f>IF(Protokoll_4p!G128="","",IF(VALUE(LEFT(Protokoll_4p!G128,FIND(":",Protokoll_4p!G128)-1))&gt;VALUE(RIGHT(Protokoll_4p!G128,LEN(Protokoll_4p!G128)-FIND(":",Protokoll_4p!G128))),0,1))</f>
        <v/>
      </c>
      <c r="K162" s="1" t="str">
        <f>IF(Protokoll_4p!H128="","",IF(VALUE(LEFT(Protokoll_4p!H128,FIND(":",Protokoll_4p!H128)-1))&gt;VALUE(RIGHT(Protokoll_4p!H128,LEN(Protokoll_4p!H128)-FIND(":",Protokoll_4p!H128))),0,1))</f>
        <v/>
      </c>
      <c r="L162" s="1" t="str">
        <f>IF(Protokoll_4p!I128="","",IF(VALUE(LEFT(Protokoll_4p!I128,FIND(":",Protokoll_4p!I128)-1))&gt;VALUE(RIGHT(Protokoll_4p!I128,LEN(Protokoll_4p!I128)-FIND(":",Protokoll_4p!I128))),0,1))</f>
        <v/>
      </c>
      <c r="M162" s="1" t="str">
        <f>IF(Protokoll_4p!J128="","",IF(VALUE(LEFT(Protokoll_4p!J128,FIND(":",Protokoll_4p!J128)-1))&gt;VALUE(RIGHT(Protokoll_4p!J128,LEN(Protokoll_4p!J128)-FIND(":",Protokoll_4p!J128))),0,1))</f>
        <v/>
      </c>
      <c r="N162" s="1" t="str">
        <f t="shared" si="5"/>
        <v/>
      </c>
    </row>
    <row r="163" spans="2:14">
      <c r="B163" s="1" t="str">
        <f>IF(Protokoll_4p!F129="","",IF(VALUE(LEFT(Protokoll_4p!F129,FIND(":",Protokoll_4p!F129)-1))&gt;VALUE(RIGHT(Protokoll_4p!F129,LEN(Protokoll_4p!F129)-FIND(":",Protokoll_4p!F129))),1,0))</f>
        <v/>
      </c>
      <c r="C163" s="1" t="str">
        <f>IF(Protokoll_4p!G129="","",IF(VALUE(LEFT(Protokoll_4p!G129,FIND(":",Protokoll_4p!G129)-1))&gt;VALUE(RIGHT(Protokoll_4p!G129,LEN(Protokoll_4p!G129)-FIND(":",Protokoll_4p!G129))),1,0))</f>
        <v/>
      </c>
      <c r="D163" s="1" t="str">
        <f>IF(Protokoll_4p!H129="","",IF(VALUE(LEFT(Protokoll_4p!H129,FIND(":",Protokoll_4p!H129)-1))&gt;VALUE(RIGHT(Protokoll_4p!H129,LEN(Protokoll_4p!H129)-FIND(":",Protokoll_4p!H129))),1,0))</f>
        <v/>
      </c>
      <c r="E163" s="1" t="str">
        <f>IF(Protokoll_4p!I129="","",IF(VALUE(LEFT(Protokoll_4p!I129,FIND(":",Protokoll_4p!I129)-1))&gt;VALUE(RIGHT(Protokoll_4p!I129,LEN(Protokoll_4p!I129)-FIND(":",Protokoll_4p!I129))),1,0))</f>
        <v/>
      </c>
      <c r="F163" s="1" t="str">
        <f>IF(Protokoll_4p!J129="","",IF(VALUE(LEFT(Protokoll_4p!J129,FIND(":",Protokoll_4p!J129)-1))&gt;VALUE(RIGHT(Protokoll_4p!J129,LEN(Protokoll_4p!J129)-FIND(":",Protokoll_4p!J129))),1,0))</f>
        <v/>
      </c>
      <c r="G163" s="1" t="str">
        <f t="shared" si="4"/>
        <v/>
      </c>
      <c r="I163" s="1" t="str">
        <f>IF(Protokoll_4p!F129="","",IF(VALUE(LEFT(Protokoll_4p!F129,FIND(":",Protokoll_4p!F129)-1))&gt;VALUE(RIGHT(Protokoll_4p!F129,LEN(Protokoll_4p!F129)-FIND(":",Protokoll_4p!F129))),0,1))</f>
        <v/>
      </c>
      <c r="J163" s="1" t="str">
        <f>IF(Protokoll_4p!G129="","",IF(VALUE(LEFT(Protokoll_4p!G129,FIND(":",Protokoll_4p!G129)-1))&gt;VALUE(RIGHT(Protokoll_4p!G129,LEN(Protokoll_4p!G129)-FIND(":",Protokoll_4p!G129))),0,1))</f>
        <v/>
      </c>
      <c r="K163" s="1" t="str">
        <f>IF(Protokoll_4p!H129="","",IF(VALUE(LEFT(Protokoll_4p!H129,FIND(":",Protokoll_4p!H129)-1))&gt;VALUE(RIGHT(Protokoll_4p!H129,LEN(Protokoll_4p!H129)-FIND(":",Protokoll_4p!H129))),0,1))</f>
        <v/>
      </c>
      <c r="L163" s="1" t="str">
        <f>IF(Protokoll_4p!I129="","",IF(VALUE(LEFT(Protokoll_4p!I129,FIND(":",Protokoll_4p!I129)-1))&gt;VALUE(RIGHT(Protokoll_4p!I129,LEN(Protokoll_4p!I129)-FIND(":",Protokoll_4p!I129))),0,1))</f>
        <v/>
      </c>
      <c r="M163" s="1" t="str">
        <f>IF(Protokoll_4p!J129="","",IF(VALUE(LEFT(Protokoll_4p!J129,FIND(":",Protokoll_4p!J129)-1))&gt;VALUE(RIGHT(Protokoll_4p!J129,LEN(Protokoll_4p!J129)-FIND(":",Protokoll_4p!J129))),0,1))</f>
        <v/>
      </c>
      <c r="N163" s="1" t="str">
        <f t="shared" si="5"/>
        <v/>
      </c>
    </row>
    <row r="164" spans="2:14">
      <c r="B164" s="1" t="str">
        <f>IF(Protokoll_4p!F130="","",IF(VALUE(LEFT(Protokoll_4p!F130,FIND(":",Protokoll_4p!F130)-1))&gt;VALUE(RIGHT(Protokoll_4p!F130,LEN(Protokoll_4p!F130)-FIND(":",Protokoll_4p!F130))),1,0))</f>
        <v/>
      </c>
      <c r="C164" s="1" t="str">
        <f>IF(Protokoll_4p!G130="","",IF(VALUE(LEFT(Protokoll_4p!G130,FIND(":",Protokoll_4p!G130)-1))&gt;VALUE(RIGHT(Protokoll_4p!G130,LEN(Protokoll_4p!G130)-FIND(":",Protokoll_4p!G130))),1,0))</f>
        <v/>
      </c>
      <c r="D164" s="1" t="str">
        <f>IF(Protokoll_4p!H130="","",IF(VALUE(LEFT(Protokoll_4p!H130,FIND(":",Protokoll_4p!H130)-1))&gt;VALUE(RIGHT(Protokoll_4p!H130,LEN(Protokoll_4p!H130)-FIND(":",Protokoll_4p!H130))),1,0))</f>
        <v/>
      </c>
      <c r="E164" s="1" t="str">
        <f>IF(Protokoll_4p!I130="","",IF(VALUE(LEFT(Protokoll_4p!I130,FIND(":",Protokoll_4p!I130)-1))&gt;VALUE(RIGHT(Protokoll_4p!I130,LEN(Protokoll_4p!I130)-FIND(":",Protokoll_4p!I130))),1,0))</f>
        <v/>
      </c>
      <c r="F164" s="1" t="str">
        <f>IF(Protokoll_4p!J130="","",IF(VALUE(LEFT(Protokoll_4p!J130,FIND(":",Protokoll_4p!J130)-1))&gt;VALUE(RIGHT(Protokoll_4p!J130,LEN(Protokoll_4p!J130)-FIND(":",Protokoll_4p!J130))),1,0))</f>
        <v/>
      </c>
      <c r="G164" s="1" t="str">
        <f t="shared" si="4"/>
        <v/>
      </c>
      <c r="I164" s="1" t="str">
        <f>IF(Protokoll_4p!F130="","",IF(VALUE(LEFT(Protokoll_4p!F130,FIND(":",Protokoll_4p!F130)-1))&gt;VALUE(RIGHT(Protokoll_4p!F130,LEN(Protokoll_4p!F130)-FIND(":",Protokoll_4p!F130))),0,1))</f>
        <v/>
      </c>
      <c r="J164" s="1" t="str">
        <f>IF(Protokoll_4p!G130="","",IF(VALUE(LEFT(Protokoll_4p!G130,FIND(":",Protokoll_4p!G130)-1))&gt;VALUE(RIGHT(Protokoll_4p!G130,LEN(Protokoll_4p!G130)-FIND(":",Protokoll_4p!G130))),0,1))</f>
        <v/>
      </c>
      <c r="K164" s="1" t="str">
        <f>IF(Protokoll_4p!H130="","",IF(VALUE(LEFT(Protokoll_4p!H130,FIND(":",Protokoll_4p!H130)-1))&gt;VALUE(RIGHT(Protokoll_4p!H130,LEN(Protokoll_4p!H130)-FIND(":",Protokoll_4p!H130))),0,1))</f>
        <v/>
      </c>
      <c r="L164" s="1" t="str">
        <f>IF(Protokoll_4p!I130="","",IF(VALUE(LEFT(Protokoll_4p!I130,FIND(":",Protokoll_4p!I130)-1))&gt;VALUE(RIGHT(Protokoll_4p!I130,LEN(Protokoll_4p!I130)-FIND(":",Protokoll_4p!I130))),0,1))</f>
        <v/>
      </c>
      <c r="M164" s="1" t="str">
        <f>IF(Protokoll_4p!J130="","",IF(VALUE(LEFT(Protokoll_4p!J130,FIND(":",Protokoll_4p!J130)-1))&gt;VALUE(RIGHT(Protokoll_4p!J130,LEN(Protokoll_4p!J130)-FIND(":",Protokoll_4p!J130))),0,1))</f>
        <v/>
      </c>
      <c r="N164" s="1" t="str">
        <f t="shared" si="5"/>
        <v/>
      </c>
    </row>
    <row r="165" spans="2:14">
      <c r="B165" s="1" t="str">
        <f>IF(Protokoll_4p!F131="","",IF(VALUE(LEFT(Protokoll_4p!F131,FIND(":",Protokoll_4p!F131)-1))&gt;VALUE(RIGHT(Protokoll_4p!F131,LEN(Protokoll_4p!F131)-FIND(":",Protokoll_4p!F131))),1,0))</f>
        <v/>
      </c>
      <c r="C165" s="1" t="str">
        <f>IF(Protokoll_4p!G131="","",IF(VALUE(LEFT(Protokoll_4p!G131,FIND(":",Protokoll_4p!G131)-1))&gt;VALUE(RIGHT(Protokoll_4p!G131,LEN(Protokoll_4p!G131)-FIND(":",Protokoll_4p!G131))),1,0))</f>
        <v/>
      </c>
      <c r="D165" s="1" t="str">
        <f>IF(Protokoll_4p!H131="","",IF(VALUE(LEFT(Protokoll_4p!H131,FIND(":",Protokoll_4p!H131)-1))&gt;VALUE(RIGHT(Protokoll_4p!H131,LEN(Protokoll_4p!H131)-FIND(":",Protokoll_4p!H131))),1,0))</f>
        <v/>
      </c>
      <c r="E165" s="1" t="str">
        <f>IF(Protokoll_4p!I131="","",IF(VALUE(LEFT(Protokoll_4p!I131,FIND(":",Protokoll_4p!I131)-1))&gt;VALUE(RIGHT(Protokoll_4p!I131,LEN(Protokoll_4p!I131)-FIND(":",Protokoll_4p!I131))),1,0))</f>
        <v/>
      </c>
      <c r="F165" s="1" t="str">
        <f>IF(Protokoll_4p!J131="","",IF(VALUE(LEFT(Protokoll_4p!J131,FIND(":",Protokoll_4p!J131)-1))&gt;VALUE(RIGHT(Protokoll_4p!J131,LEN(Protokoll_4p!J131)-FIND(":",Protokoll_4p!J131))),1,0))</f>
        <v/>
      </c>
      <c r="G165" s="1" t="str">
        <f t="shared" si="4"/>
        <v/>
      </c>
      <c r="I165" s="1" t="str">
        <f>IF(Protokoll_4p!F131="","",IF(VALUE(LEFT(Protokoll_4p!F131,FIND(":",Protokoll_4p!F131)-1))&gt;VALUE(RIGHT(Protokoll_4p!F131,LEN(Protokoll_4p!F131)-FIND(":",Protokoll_4p!F131))),0,1))</f>
        <v/>
      </c>
      <c r="J165" s="1" t="str">
        <f>IF(Protokoll_4p!G131="","",IF(VALUE(LEFT(Protokoll_4p!G131,FIND(":",Protokoll_4p!G131)-1))&gt;VALUE(RIGHT(Protokoll_4p!G131,LEN(Protokoll_4p!G131)-FIND(":",Protokoll_4p!G131))),0,1))</f>
        <v/>
      </c>
      <c r="K165" s="1" t="str">
        <f>IF(Protokoll_4p!H131="","",IF(VALUE(LEFT(Protokoll_4p!H131,FIND(":",Protokoll_4p!H131)-1))&gt;VALUE(RIGHT(Protokoll_4p!H131,LEN(Protokoll_4p!H131)-FIND(":",Protokoll_4p!H131))),0,1))</f>
        <v/>
      </c>
      <c r="L165" s="1" t="str">
        <f>IF(Protokoll_4p!I131="","",IF(VALUE(LEFT(Protokoll_4p!I131,FIND(":",Protokoll_4p!I131)-1))&gt;VALUE(RIGHT(Protokoll_4p!I131,LEN(Protokoll_4p!I131)-FIND(":",Protokoll_4p!I131))),0,1))</f>
        <v/>
      </c>
      <c r="M165" s="1" t="str">
        <f>IF(Protokoll_4p!J131="","",IF(VALUE(LEFT(Protokoll_4p!J131,FIND(":",Protokoll_4p!J131)-1))&gt;VALUE(RIGHT(Protokoll_4p!J131,LEN(Protokoll_4p!J131)-FIND(":",Protokoll_4p!J131))),0,1))</f>
        <v/>
      </c>
      <c r="N165" s="1" t="str">
        <f t="shared" si="5"/>
        <v/>
      </c>
    </row>
    <row r="166" spans="2:14">
      <c r="B166" s="1" t="str">
        <f>IF(Protokoll_4p!F132="","",IF(VALUE(LEFT(Protokoll_4p!F132,FIND(":",Protokoll_4p!F132)-1))&gt;VALUE(RIGHT(Protokoll_4p!F132,LEN(Protokoll_4p!F132)-FIND(":",Protokoll_4p!F132))),1,0))</f>
        <v/>
      </c>
      <c r="C166" s="1" t="str">
        <f>IF(Protokoll_4p!G132="","",IF(VALUE(LEFT(Protokoll_4p!G132,FIND(":",Protokoll_4p!G132)-1))&gt;VALUE(RIGHT(Protokoll_4p!G132,LEN(Protokoll_4p!G132)-FIND(":",Protokoll_4p!G132))),1,0))</f>
        <v/>
      </c>
      <c r="D166" s="1" t="str">
        <f>IF(Protokoll_4p!H132="","",IF(VALUE(LEFT(Protokoll_4p!H132,FIND(":",Protokoll_4p!H132)-1))&gt;VALUE(RIGHT(Protokoll_4p!H132,LEN(Protokoll_4p!H132)-FIND(":",Protokoll_4p!H132))),1,0))</f>
        <v/>
      </c>
      <c r="E166" s="1" t="str">
        <f>IF(Protokoll_4p!I132="","",IF(VALUE(LEFT(Protokoll_4p!I132,FIND(":",Protokoll_4p!I132)-1))&gt;VALUE(RIGHT(Protokoll_4p!I132,LEN(Protokoll_4p!I132)-FIND(":",Protokoll_4p!I132))),1,0))</f>
        <v/>
      </c>
      <c r="F166" s="1" t="str">
        <f>IF(Protokoll_4p!J132="","",IF(VALUE(LEFT(Protokoll_4p!J132,FIND(":",Protokoll_4p!J132)-1))&gt;VALUE(RIGHT(Protokoll_4p!J132,LEN(Protokoll_4p!J132)-FIND(":",Protokoll_4p!J132))),1,0))</f>
        <v/>
      </c>
      <c r="G166" s="1" t="str">
        <f t="shared" si="4"/>
        <v/>
      </c>
      <c r="I166" s="1" t="str">
        <f>IF(Protokoll_4p!F132="","",IF(VALUE(LEFT(Protokoll_4p!F132,FIND(":",Protokoll_4p!F132)-1))&gt;VALUE(RIGHT(Protokoll_4p!F132,LEN(Protokoll_4p!F132)-FIND(":",Protokoll_4p!F132))),0,1))</f>
        <v/>
      </c>
      <c r="J166" s="1" t="str">
        <f>IF(Protokoll_4p!G132="","",IF(VALUE(LEFT(Protokoll_4p!G132,FIND(":",Protokoll_4p!G132)-1))&gt;VALUE(RIGHT(Protokoll_4p!G132,LEN(Protokoll_4p!G132)-FIND(":",Protokoll_4p!G132))),0,1))</f>
        <v/>
      </c>
      <c r="K166" s="1" t="str">
        <f>IF(Protokoll_4p!H132="","",IF(VALUE(LEFT(Protokoll_4p!H132,FIND(":",Protokoll_4p!H132)-1))&gt;VALUE(RIGHT(Protokoll_4p!H132,LEN(Protokoll_4p!H132)-FIND(":",Protokoll_4p!H132))),0,1))</f>
        <v/>
      </c>
      <c r="L166" s="1" t="str">
        <f>IF(Protokoll_4p!I132="","",IF(VALUE(LEFT(Protokoll_4p!I132,FIND(":",Protokoll_4p!I132)-1))&gt;VALUE(RIGHT(Protokoll_4p!I132,LEN(Protokoll_4p!I132)-FIND(":",Protokoll_4p!I132))),0,1))</f>
        <v/>
      </c>
      <c r="M166" s="1" t="str">
        <f>IF(Protokoll_4p!J132="","",IF(VALUE(LEFT(Protokoll_4p!J132,FIND(":",Protokoll_4p!J132)-1))&gt;VALUE(RIGHT(Protokoll_4p!J132,LEN(Protokoll_4p!J132)-FIND(":",Protokoll_4p!J132))),0,1))</f>
        <v/>
      </c>
      <c r="N166" s="1" t="str">
        <f t="shared" si="5"/>
        <v/>
      </c>
    </row>
    <row r="167" spans="2:14">
      <c r="B167" s="1" t="str">
        <f>IF(Protokoll_4p!F133="","",IF(VALUE(LEFT(Protokoll_4p!F133,FIND(":",Protokoll_4p!F133)-1))&gt;VALUE(RIGHT(Protokoll_4p!F133,LEN(Protokoll_4p!F133)-FIND(":",Protokoll_4p!F133))),1,0))</f>
        <v/>
      </c>
      <c r="C167" s="1" t="str">
        <f>IF(Protokoll_4p!G133="","",IF(VALUE(LEFT(Protokoll_4p!G133,FIND(":",Protokoll_4p!G133)-1))&gt;VALUE(RIGHT(Protokoll_4p!G133,LEN(Protokoll_4p!G133)-FIND(":",Protokoll_4p!G133))),1,0))</f>
        <v/>
      </c>
      <c r="D167" s="1" t="str">
        <f>IF(Protokoll_4p!H133="","",IF(VALUE(LEFT(Protokoll_4p!H133,FIND(":",Protokoll_4p!H133)-1))&gt;VALUE(RIGHT(Protokoll_4p!H133,LEN(Protokoll_4p!H133)-FIND(":",Protokoll_4p!H133))),1,0))</f>
        <v/>
      </c>
      <c r="E167" s="1" t="str">
        <f>IF(Protokoll_4p!I133="","",IF(VALUE(LEFT(Protokoll_4p!I133,FIND(":",Protokoll_4p!I133)-1))&gt;VALUE(RIGHT(Protokoll_4p!I133,LEN(Protokoll_4p!I133)-FIND(":",Protokoll_4p!I133))),1,0))</f>
        <v/>
      </c>
      <c r="F167" s="1" t="str">
        <f>IF(Protokoll_4p!J133="","",IF(VALUE(LEFT(Protokoll_4p!J133,FIND(":",Protokoll_4p!J133)-1))&gt;VALUE(RIGHT(Protokoll_4p!J133,LEN(Protokoll_4p!J133)-FIND(":",Protokoll_4p!J133))),1,0))</f>
        <v/>
      </c>
      <c r="G167" s="1" t="str">
        <f t="shared" si="4"/>
        <v/>
      </c>
      <c r="I167" s="1" t="str">
        <f>IF(Protokoll_4p!F133="","",IF(VALUE(LEFT(Protokoll_4p!F133,FIND(":",Protokoll_4p!F133)-1))&gt;VALUE(RIGHT(Protokoll_4p!F133,LEN(Protokoll_4p!F133)-FIND(":",Protokoll_4p!F133))),0,1))</f>
        <v/>
      </c>
      <c r="J167" s="1" t="str">
        <f>IF(Protokoll_4p!G133="","",IF(VALUE(LEFT(Protokoll_4p!G133,FIND(":",Protokoll_4p!G133)-1))&gt;VALUE(RIGHT(Protokoll_4p!G133,LEN(Protokoll_4p!G133)-FIND(":",Protokoll_4p!G133))),0,1))</f>
        <v/>
      </c>
      <c r="K167" s="1" t="str">
        <f>IF(Protokoll_4p!H133="","",IF(VALUE(LEFT(Protokoll_4p!H133,FIND(":",Protokoll_4p!H133)-1))&gt;VALUE(RIGHT(Protokoll_4p!H133,LEN(Protokoll_4p!H133)-FIND(":",Protokoll_4p!H133))),0,1))</f>
        <v/>
      </c>
      <c r="L167" s="1" t="str">
        <f>IF(Protokoll_4p!I133="","",IF(VALUE(LEFT(Protokoll_4p!I133,FIND(":",Protokoll_4p!I133)-1))&gt;VALUE(RIGHT(Protokoll_4p!I133,LEN(Protokoll_4p!I133)-FIND(":",Protokoll_4p!I133))),0,1))</f>
        <v/>
      </c>
      <c r="M167" s="1" t="str">
        <f>IF(Protokoll_4p!J133="","",IF(VALUE(LEFT(Protokoll_4p!J133,FIND(":",Protokoll_4p!J133)-1))&gt;VALUE(RIGHT(Protokoll_4p!J133,LEN(Protokoll_4p!J133)-FIND(":",Protokoll_4p!J133))),0,1))</f>
        <v/>
      </c>
      <c r="N167" s="1" t="str">
        <f t="shared" si="5"/>
        <v/>
      </c>
    </row>
    <row r="168" spans="2:14">
      <c r="B168" s="1" t="str">
        <f>IF(Protokoll_4p!F134="","",IF(VALUE(LEFT(Protokoll_4p!F134,FIND(":",Protokoll_4p!F134)-1))&gt;VALUE(RIGHT(Protokoll_4p!F134,LEN(Protokoll_4p!F134)-FIND(":",Protokoll_4p!F134))),1,0))</f>
        <v/>
      </c>
      <c r="C168" s="1" t="str">
        <f>IF(Protokoll_4p!G134="","",IF(VALUE(LEFT(Protokoll_4p!G134,FIND(":",Protokoll_4p!G134)-1))&gt;VALUE(RIGHT(Protokoll_4p!G134,LEN(Protokoll_4p!G134)-FIND(":",Protokoll_4p!G134))),1,0))</f>
        <v/>
      </c>
      <c r="D168" s="1" t="str">
        <f>IF(Protokoll_4p!H134="","",IF(VALUE(LEFT(Protokoll_4p!H134,FIND(":",Protokoll_4p!H134)-1))&gt;VALUE(RIGHT(Protokoll_4p!H134,LEN(Protokoll_4p!H134)-FIND(":",Protokoll_4p!H134))),1,0))</f>
        <v/>
      </c>
      <c r="E168" s="1" t="str">
        <f>IF(Protokoll_4p!I134="","",IF(VALUE(LEFT(Protokoll_4p!I134,FIND(":",Protokoll_4p!I134)-1))&gt;VALUE(RIGHT(Protokoll_4p!I134,LEN(Protokoll_4p!I134)-FIND(":",Protokoll_4p!I134))),1,0))</f>
        <v/>
      </c>
      <c r="F168" s="1" t="str">
        <f>IF(Protokoll_4p!J134="","",IF(VALUE(LEFT(Protokoll_4p!J134,FIND(":",Protokoll_4p!J134)-1))&gt;VALUE(RIGHT(Protokoll_4p!J134,LEN(Protokoll_4p!J134)-FIND(":",Protokoll_4p!J134))),1,0))</f>
        <v/>
      </c>
      <c r="G168" s="1" t="str">
        <f t="shared" si="4"/>
        <v/>
      </c>
      <c r="I168" s="1" t="str">
        <f>IF(Protokoll_4p!F134="","",IF(VALUE(LEFT(Protokoll_4p!F134,FIND(":",Protokoll_4p!F134)-1))&gt;VALUE(RIGHT(Protokoll_4p!F134,LEN(Protokoll_4p!F134)-FIND(":",Protokoll_4p!F134))),0,1))</f>
        <v/>
      </c>
      <c r="J168" s="1" t="str">
        <f>IF(Protokoll_4p!G134="","",IF(VALUE(LEFT(Protokoll_4p!G134,FIND(":",Protokoll_4p!G134)-1))&gt;VALUE(RIGHT(Protokoll_4p!G134,LEN(Protokoll_4p!G134)-FIND(":",Protokoll_4p!G134))),0,1))</f>
        <v/>
      </c>
      <c r="K168" s="1" t="str">
        <f>IF(Protokoll_4p!H134="","",IF(VALUE(LEFT(Protokoll_4p!H134,FIND(":",Protokoll_4p!H134)-1))&gt;VALUE(RIGHT(Protokoll_4p!H134,LEN(Protokoll_4p!H134)-FIND(":",Protokoll_4p!H134))),0,1))</f>
        <v/>
      </c>
      <c r="L168" s="1" t="str">
        <f>IF(Protokoll_4p!I134="","",IF(VALUE(LEFT(Protokoll_4p!I134,FIND(":",Protokoll_4p!I134)-1))&gt;VALUE(RIGHT(Protokoll_4p!I134,LEN(Protokoll_4p!I134)-FIND(":",Protokoll_4p!I134))),0,1))</f>
        <v/>
      </c>
      <c r="M168" s="1" t="str">
        <f>IF(Protokoll_4p!J134="","",IF(VALUE(LEFT(Protokoll_4p!J134,FIND(":",Protokoll_4p!J134)-1))&gt;VALUE(RIGHT(Protokoll_4p!J134,LEN(Protokoll_4p!J134)-FIND(":",Protokoll_4p!J134))),0,1))</f>
        <v/>
      </c>
      <c r="N168" s="1" t="str">
        <f t="shared" si="5"/>
        <v/>
      </c>
    </row>
    <row r="169" spans="2:14">
      <c r="B169" s="1" t="str">
        <f>IF(Protokoll_4p!F135="","",IF(VALUE(LEFT(Protokoll_4p!F135,FIND(":",Protokoll_4p!F135)-1))&gt;VALUE(RIGHT(Protokoll_4p!F135,LEN(Protokoll_4p!F135)-FIND(":",Protokoll_4p!F135))),1,0))</f>
        <v/>
      </c>
      <c r="C169" s="1" t="str">
        <f>IF(Protokoll_4p!G135="","",IF(VALUE(LEFT(Protokoll_4p!G135,FIND(":",Protokoll_4p!G135)-1))&gt;VALUE(RIGHT(Protokoll_4p!G135,LEN(Protokoll_4p!G135)-FIND(":",Protokoll_4p!G135))),1,0))</f>
        <v/>
      </c>
      <c r="D169" s="1" t="str">
        <f>IF(Protokoll_4p!H135="","",IF(VALUE(LEFT(Protokoll_4p!H135,FIND(":",Protokoll_4p!H135)-1))&gt;VALUE(RIGHT(Protokoll_4p!H135,LEN(Protokoll_4p!H135)-FIND(":",Protokoll_4p!H135))),1,0))</f>
        <v/>
      </c>
      <c r="E169" s="1" t="str">
        <f>IF(Protokoll_4p!I135="","",IF(VALUE(LEFT(Protokoll_4p!I135,FIND(":",Protokoll_4p!I135)-1))&gt;VALUE(RIGHT(Protokoll_4p!I135,LEN(Protokoll_4p!I135)-FIND(":",Protokoll_4p!I135))),1,0))</f>
        <v/>
      </c>
      <c r="F169" s="1" t="str">
        <f>IF(Protokoll_4p!J135="","",IF(VALUE(LEFT(Protokoll_4p!J135,FIND(":",Protokoll_4p!J135)-1))&gt;VALUE(RIGHT(Protokoll_4p!J135,LEN(Protokoll_4p!J135)-FIND(":",Protokoll_4p!J135))),1,0))</f>
        <v/>
      </c>
      <c r="G169" s="1" t="str">
        <f t="shared" si="4"/>
        <v/>
      </c>
      <c r="I169" s="1" t="str">
        <f>IF(Protokoll_4p!F135="","",IF(VALUE(LEFT(Protokoll_4p!F135,FIND(":",Protokoll_4p!F135)-1))&gt;VALUE(RIGHT(Protokoll_4p!F135,LEN(Protokoll_4p!F135)-FIND(":",Protokoll_4p!F135))),0,1))</f>
        <v/>
      </c>
      <c r="J169" s="1" t="str">
        <f>IF(Protokoll_4p!G135="","",IF(VALUE(LEFT(Protokoll_4p!G135,FIND(":",Protokoll_4p!G135)-1))&gt;VALUE(RIGHT(Protokoll_4p!G135,LEN(Protokoll_4p!G135)-FIND(":",Protokoll_4p!G135))),0,1))</f>
        <v/>
      </c>
      <c r="K169" s="1" t="str">
        <f>IF(Protokoll_4p!H135="","",IF(VALUE(LEFT(Protokoll_4p!H135,FIND(":",Protokoll_4p!H135)-1))&gt;VALUE(RIGHT(Protokoll_4p!H135,LEN(Protokoll_4p!H135)-FIND(":",Protokoll_4p!H135))),0,1))</f>
        <v/>
      </c>
      <c r="L169" s="1" t="str">
        <f>IF(Protokoll_4p!I135="","",IF(VALUE(LEFT(Protokoll_4p!I135,FIND(":",Protokoll_4p!I135)-1))&gt;VALUE(RIGHT(Protokoll_4p!I135,LEN(Protokoll_4p!I135)-FIND(":",Protokoll_4p!I135))),0,1))</f>
        <v/>
      </c>
      <c r="M169" s="1" t="str">
        <f>IF(Protokoll_4p!J135="","",IF(VALUE(LEFT(Protokoll_4p!J135,FIND(":",Protokoll_4p!J135)-1))&gt;VALUE(RIGHT(Protokoll_4p!J135,LEN(Protokoll_4p!J135)-FIND(":",Protokoll_4p!J135))),0,1))</f>
        <v/>
      </c>
      <c r="N169" s="1" t="str">
        <f t="shared" si="5"/>
        <v/>
      </c>
    </row>
    <row r="170" spans="2:14">
      <c r="B170" s="1" t="str">
        <f>IF(Protokoll_4p!F136="","",IF(VALUE(LEFT(Protokoll_4p!F136,FIND(":",Protokoll_4p!F136)-1))&gt;VALUE(RIGHT(Protokoll_4p!F136,LEN(Protokoll_4p!F136)-FIND(":",Protokoll_4p!F136))),1,0))</f>
        <v/>
      </c>
      <c r="C170" s="1" t="str">
        <f>IF(Protokoll_4p!G136="","",IF(VALUE(LEFT(Protokoll_4p!G136,FIND(":",Protokoll_4p!G136)-1))&gt;VALUE(RIGHT(Protokoll_4p!G136,LEN(Protokoll_4p!G136)-FIND(":",Protokoll_4p!G136))),1,0))</f>
        <v/>
      </c>
      <c r="D170" s="1" t="str">
        <f>IF(Protokoll_4p!H136="","",IF(VALUE(LEFT(Protokoll_4p!H136,FIND(":",Protokoll_4p!H136)-1))&gt;VALUE(RIGHT(Protokoll_4p!H136,LEN(Protokoll_4p!H136)-FIND(":",Protokoll_4p!H136))),1,0))</f>
        <v/>
      </c>
      <c r="E170" s="1" t="str">
        <f>IF(Protokoll_4p!I136="","",IF(VALUE(LEFT(Protokoll_4p!I136,FIND(":",Protokoll_4p!I136)-1))&gt;VALUE(RIGHT(Protokoll_4p!I136,LEN(Protokoll_4p!I136)-FIND(":",Protokoll_4p!I136))),1,0))</f>
        <v/>
      </c>
      <c r="F170" s="1" t="str">
        <f>IF(Protokoll_4p!J136="","",IF(VALUE(LEFT(Protokoll_4p!J136,FIND(":",Protokoll_4p!J136)-1))&gt;VALUE(RIGHT(Protokoll_4p!J136,LEN(Protokoll_4p!J136)-FIND(":",Protokoll_4p!J136))),1,0))</f>
        <v/>
      </c>
      <c r="G170" s="1" t="str">
        <f t="shared" si="4"/>
        <v/>
      </c>
      <c r="I170" s="1" t="str">
        <f>IF(Protokoll_4p!F136="","",IF(VALUE(LEFT(Protokoll_4p!F136,FIND(":",Protokoll_4p!F136)-1))&gt;VALUE(RIGHT(Protokoll_4p!F136,LEN(Protokoll_4p!F136)-FIND(":",Protokoll_4p!F136))),0,1))</f>
        <v/>
      </c>
      <c r="J170" s="1" t="str">
        <f>IF(Protokoll_4p!G136="","",IF(VALUE(LEFT(Protokoll_4p!G136,FIND(":",Protokoll_4p!G136)-1))&gt;VALUE(RIGHT(Protokoll_4p!G136,LEN(Protokoll_4p!G136)-FIND(":",Protokoll_4p!G136))),0,1))</f>
        <v/>
      </c>
      <c r="K170" s="1" t="str">
        <f>IF(Protokoll_4p!H136="","",IF(VALUE(LEFT(Protokoll_4p!H136,FIND(":",Protokoll_4p!H136)-1))&gt;VALUE(RIGHT(Protokoll_4p!H136,LEN(Protokoll_4p!H136)-FIND(":",Protokoll_4p!H136))),0,1))</f>
        <v/>
      </c>
      <c r="L170" s="1" t="str">
        <f>IF(Protokoll_4p!I136="","",IF(VALUE(LEFT(Protokoll_4p!I136,FIND(":",Protokoll_4p!I136)-1))&gt;VALUE(RIGHT(Protokoll_4p!I136,LEN(Protokoll_4p!I136)-FIND(":",Protokoll_4p!I136))),0,1))</f>
        <v/>
      </c>
      <c r="M170" s="1" t="str">
        <f>IF(Protokoll_4p!J136="","",IF(VALUE(LEFT(Protokoll_4p!J136,FIND(":",Protokoll_4p!J136)-1))&gt;VALUE(RIGHT(Protokoll_4p!J136,LEN(Protokoll_4p!J136)-FIND(":",Protokoll_4p!J136))),0,1))</f>
        <v/>
      </c>
      <c r="N170" s="1" t="str">
        <f t="shared" si="5"/>
        <v/>
      </c>
    </row>
    <row r="171" spans="2:14">
      <c r="B171" s="1" t="str">
        <f>IF(Protokoll_4p!F137="","",IF(VALUE(LEFT(Protokoll_4p!F137,FIND(":",Protokoll_4p!F137)-1))&gt;VALUE(RIGHT(Protokoll_4p!F137,LEN(Protokoll_4p!F137)-FIND(":",Protokoll_4p!F137))),1,0))</f>
        <v/>
      </c>
      <c r="C171" s="1" t="str">
        <f>IF(Protokoll_4p!G137="","",IF(VALUE(LEFT(Protokoll_4p!G137,FIND(":",Protokoll_4p!G137)-1))&gt;VALUE(RIGHT(Protokoll_4p!G137,LEN(Protokoll_4p!G137)-FIND(":",Protokoll_4p!G137))),1,0))</f>
        <v/>
      </c>
      <c r="D171" s="1" t="str">
        <f>IF(Protokoll_4p!H137="","",IF(VALUE(LEFT(Protokoll_4p!H137,FIND(":",Protokoll_4p!H137)-1))&gt;VALUE(RIGHT(Protokoll_4p!H137,LEN(Protokoll_4p!H137)-FIND(":",Protokoll_4p!H137))),1,0))</f>
        <v/>
      </c>
      <c r="E171" s="1" t="str">
        <f>IF(Protokoll_4p!I137="","",IF(VALUE(LEFT(Protokoll_4p!I137,FIND(":",Protokoll_4p!I137)-1))&gt;VALUE(RIGHT(Protokoll_4p!I137,LEN(Protokoll_4p!I137)-FIND(":",Protokoll_4p!I137))),1,0))</f>
        <v/>
      </c>
      <c r="F171" s="1" t="str">
        <f>IF(Protokoll_4p!J137="","",IF(VALUE(LEFT(Protokoll_4p!J137,FIND(":",Protokoll_4p!J137)-1))&gt;VALUE(RIGHT(Protokoll_4p!J137,LEN(Protokoll_4p!J137)-FIND(":",Protokoll_4p!J137))),1,0))</f>
        <v/>
      </c>
      <c r="G171" s="1" t="str">
        <f t="shared" si="4"/>
        <v/>
      </c>
      <c r="I171" s="1" t="str">
        <f>IF(Protokoll_4p!F137="","",IF(VALUE(LEFT(Protokoll_4p!F137,FIND(":",Protokoll_4p!F137)-1))&gt;VALUE(RIGHT(Protokoll_4p!F137,LEN(Protokoll_4p!F137)-FIND(":",Protokoll_4p!F137))),0,1))</f>
        <v/>
      </c>
      <c r="J171" s="1" t="str">
        <f>IF(Protokoll_4p!G137="","",IF(VALUE(LEFT(Protokoll_4p!G137,FIND(":",Protokoll_4p!G137)-1))&gt;VALUE(RIGHT(Protokoll_4p!G137,LEN(Protokoll_4p!G137)-FIND(":",Protokoll_4p!G137))),0,1))</f>
        <v/>
      </c>
      <c r="K171" s="1" t="str">
        <f>IF(Protokoll_4p!H137="","",IF(VALUE(LEFT(Protokoll_4p!H137,FIND(":",Protokoll_4p!H137)-1))&gt;VALUE(RIGHT(Protokoll_4p!H137,LEN(Protokoll_4p!H137)-FIND(":",Protokoll_4p!H137))),0,1))</f>
        <v/>
      </c>
      <c r="L171" s="1" t="str">
        <f>IF(Protokoll_4p!I137="","",IF(VALUE(LEFT(Protokoll_4p!I137,FIND(":",Protokoll_4p!I137)-1))&gt;VALUE(RIGHT(Protokoll_4p!I137,LEN(Protokoll_4p!I137)-FIND(":",Protokoll_4p!I137))),0,1))</f>
        <v/>
      </c>
      <c r="M171" s="1" t="str">
        <f>IF(Protokoll_4p!J137="","",IF(VALUE(LEFT(Protokoll_4p!J137,FIND(":",Protokoll_4p!J137)-1))&gt;VALUE(RIGHT(Protokoll_4p!J137,LEN(Protokoll_4p!J137)-FIND(":",Protokoll_4p!J137))),0,1))</f>
        <v/>
      </c>
      <c r="N171" s="1" t="str">
        <f t="shared" si="5"/>
        <v/>
      </c>
    </row>
    <row r="172" spans="2:14">
      <c r="B172" s="1" t="str">
        <f>IF(Protokoll_4p!F138="","",IF(VALUE(LEFT(Protokoll_4p!F138,FIND(":",Protokoll_4p!F138)-1))&gt;VALUE(RIGHT(Protokoll_4p!F138,LEN(Protokoll_4p!F138)-FIND(":",Protokoll_4p!F138))),1,0))</f>
        <v/>
      </c>
      <c r="C172" s="1" t="str">
        <f>IF(Protokoll_4p!G138="","",IF(VALUE(LEFT(Protokoll_4p!G138,FIND(":",Protokoll_4p!G138)-1))&gt;VALUE(RIGHT(Protokoll_4p!G138,LEN(Protokoll_4p!G138)-FIND(":",Protokoll_4p!G138))),1,0))</f>
        <v/>
      </c>
      <c r="D172" s="1" t="str">
        <f>IF(Protokoll_4p!H138="","",IF(VALUE(LEFT(Protokoll_4p!H138,FIND(":",Protokoll_4p!H138)-1))&gt;VALUE(RIGHT(Protokoll_4p!H138,LEN(Protokoll_4p!H138)-FIND(":",Protokoll_4p!H138))),1,0))</f>
        <v/>
      </c>
      <c r="E172" s="1" t="str">
        <f>IF(Protokoll_4p!I138="","",IF(VALUE(LEFT(Protokoll_4p!I138,FIND(":",Protokoll_4p!I138)-1))&gt;VALUE(RIGHT(Protokoll_4p!I138,LEN(Protokoll_4p!I138)-FIND(":",Protokoll_4p!I138))),1,0))</f>
        <v/>
      </c>
      <c r="F172" s="1" t="str">
        <f>IF(Protokoll_4p!J138="","",IF(VALUE(LEFT(Protokoll_4p!J138,FIND(":",Protokoll_4p!J138)-1))&gt;VALUE(RIGHT(Protokoll_4p!J138,LEN(Protokoll_4p!J138)-FIND(":",Protokoll_4p!J138))),1,0))</f>
        <v/>
      </c>
      <c r="G172" s="1" t="str">
        <f t="shared" si="4"/>
        <v/>
      </c>
      <c r="I172" s="1" t="str">
        <f>IF(Protokoll_4p!F138="","",IF(VALUE(LEFT(Protokoll_4p!F138,FIND(":",Protokoll_4p!F138)-1))&gt;VALUE(RIGHT(Protokoll_4p!F138,LEN(Protokoll_4p!F138)-FIND(":",Protokoll_4p!F138))),0,1))</f>
        <v/>
      </c>
      <c r="J172" s="1" t="str">
        <f>IF(Protokoll_4p!G138="","",IF(VALUE(LEFT(Protokoll_4p!G138,FIND(":",Protokoll_4p!G138)-1))&gt;VALUE(RIGHT(Protokoll_4p!G138,LEN(Protokoll_4p!G138)-FIND(":",Protokoll_4p!G138))),0,1))</f>
        <v/>
      </c>
      <c r="K172" s="1" t="str">
        <f>IF(Protokoll_4p!H138="","",IF(VALUE(LEFT(Protokoll_4p!H138,FIND(":",Protokoll_4p!H138)-1))&gt;VALUE(RIGHT(Protokoll_4p!H138,LEN(Protokoll_4p!H138)-FIND(":",Protokoll_4p!H138))),0,1))</f>
        <v/>
      </c>
      <c r="L172" s="1" t="str">
        <f>IF(Protokoll_4p!I138="","",IF(VALUE(LEFT(Protokoll_4p!I138,FIND(":",Protokoll_4p!I138)-1))&gt;VALUE(RIGHT(Protokoll_4p!I138,LEN(Protokoll_4p!I138)-FIND(":",Protokoll_4p!I138))),0,1))</f>
        <v/>
      </c>
      <c r="M172" s="1" t="str">
        <f>IF(Protokoll_4p!J138="","",IF(VALUE(LEFT(Protokoll_4p!J138,FIND(":",Protokoll_4p!J138)-1))&gt;VALUE(RIGHT(Protokoll_4p!J138,LEN(Protokoll_4p!J138)-FIND(":",Protokoll_4p!J138))),0,1))</f>
        <v/>
      </c>
      <c r="N172" s="1" t="str">
        <f t="shared" si="5"/>
        <v/>
      </c>
    </row>
    <row r="173" spans="2:14">
      <c r="B173" s="1" t="str">
        <f>IF(Protokoll_4p!F139="","",IF(VALUE(LEFT(Protokoll_4p!F139,FIND(":",Protokoll_4p!F139)-1))&gt;VALUE(RIGHT(Protokoll_4p!F139,LEN(Protokoll_4p!F139)-FIND(":",Protokoll_4p!F139))),1,0))</f>
        <v/>
      </c>
      <c r="C173" s="1" t="str">
        <f>IF(Protokoll_4p!G139="","",IF(VALUE(LEFT(Protokoll_4p!G139,FIND(":",Protokoll_4p!G139)-1))&gt;VALUE(RIGHT(Protokoll_4p!G139,LEN(Protokoll_4p!G139)-FIND(":",Protokoll_4p!G139))),1,0))</f>
        <v/>
      </c>
      <c r="D173" s="1" t="str">
        <f>IF(Protokoll_4p!H139="","",IF(VALUE(LEFT(Protokoll_4p!H139,FIND(":",Protokoll_4p!H139)-1))&gt;VALUE(RIGHT(Protokoll_4p!H139,LEN(Protokoll_4p!H139)-FIND(":",Protokoll_4p!H139))),1,0))</f>
        <v/>
      </c>
      <c r="E173" s="1" t="str">
        <f>IF(Protokoll_4p!I139="","",IF(VALUE(LEFT(Protokoll_4p!I139,FIND(":",Protokoll_4p!I139)-1))&gt;VALUE(RIGHT(Protokoll_4p!I139,LEN(Protokoll_4p!I139)-FIND(":",Protokoll_4p!I139))),1,0))</f>
        <v/>
      </c>
      <c r="F173" s="1" t="str">
        <f>IF(Protokoll_4p!J139="","",IF(VALUE(LEFT(Protokoll_4p!J139,FIND(":",Protokoll_4p!J139)-1))&gt;VALUE(RIGHT(Protokoll_4p!J139,LEN(Protokoll_4p!J139)-FIND(":",Protokoll_4p!J139))),1,0))</f>
        <v/>
      </c>
      <c r="G173" s="1" t="str">
        <f t="shared" si="4"/>
        <v/>
      </c>
      <c r="I173" s="1" t="str">
        <f>IF(Protokoll_4p!F139="","",IF(VALUE(LEFT(Protokoll_4p!F139,FIND(":",Protokoll_4p!F139)-1))&gt;VALUE(RIGHT(Protokoll_4p!F139,LEN(Protokoll_4p!F139)-FIND(":",Protokoll_4p!F139))),0,1))</f>
        <v/>
      </c>
      <c r="J173" s="1" t="str">
        <f>IF(Protokoll_4p!G139="","",IF(VALUE(LEFT(Protokoll_4p!G139,FIND(":",Protokoll_4p!G139)-1))&gt;VALUE(RIGHT(Protokoll_4p!G139,LEN(Protokoll_4p!G139)-FIND(":",Protokoll_4p!G139))),0,1))</f>
        <v/>
      </c>
      <c r="K173" s="1" t="str">
        <f>IF(Protokoll_4p!H139="","",IF(VALUE(LEFT(Protokoll_4p!H139,FIND(":",Protokoll_4p!H139)-1))&gt;VALUE(RIGHT(Protokoll_4p!H139,LEN(Protokoll_4p!H139)-FIND(":",Protokoll_4p!H139))),0,1))</f>
        <v/>
      </c>
      <c r="L173" s="1" t="str">
        <f>IF(Protokoll_4p!I139="","",IF(VALUE(LEFT(Protokoll_4p!I139,FIND(":",Protokoll_4p!I139)-1))&gt;VALUE(RIGHT(Protokoll_4p!I139,LEN(Protokoll_4p!I139)-FIND(":",Protokoll_4p!I139))),0,1))</f>
        <v/>
      </c>
      <c r="M173" s="1" t="str">
        <f>IF(Protokoll_4p!J139="","",IF(VALUE(LEFT(Protokoll_4p!J139,FIND(":",Protokoll_4p!J139)-1))&gt;VALUE(RIGHT(Protokoll_4p!J139,LEN(Protokoll_4p!J139)-FIND(":",Protokoll_4p!J139))),0,1))</f>
        <v/>
      </c>
      <c r="N173" s="1" t="str">
        <f t="shared" si="5"/>
        <v/>
      </c>
    </row>
    <row r="174" spans="2:14">
      <c r="B174" s="1" t="str">
        <f>IF(Protokoll_4p!F140="","",IF(VALUE(LEFT(Protokoll_4p!F140,FIND(":",Protokoll_4p!F140)-1))&gt;VALUE(RIGHT(Protokoll_4p!F140,LEN(Protokoll_4p!F140)-FIND(":",Protokoll_4p!F140))),1,0))</f>
        <v/>
      </c>
      <c r="C174" s="1" t="str">
        <f>IF(Protokoll_4p!G140="","",IF(VALUE(LEFT(Protokoll_4p!G140,FIND(":",Protokoll_4p!G140)-1))&gt;VALUE(RIGHT(Protokoll_4p!G140,LEN(Protokoll_4p!G140)-FIND(":",Protokoll_4p!G140))),1,0))</f>
        <v/>
      </c>
      <c r="D174" s="1" t="str">
        <f>IF(Protokoll_4p!H140="","",IF(VALUE(LEFT(Protokoll_4p!H140,FIND(":",Protokoll_4p!H140)-1))&gt;VALUE(RIGHT(Protokoll_4p!H140,LEN(Protokoll_4p!H140)-FIND(":",Protokoll_4p!H140))),1,0))</f>
        <v/>
      </c>
      <c r="E174" s="1" t="str">
        <f>IF(Protokoll_4p!I140="","",IF(VALUE(LEFT(Protokoll_4p!I140,FIND(":",Protokoll_4p!I140)-1))&gt;VALUE(RIGHT(Protokoll_4p!I140,LEN(Protokoll_4p!I140)-FIND(":",Protokoll_4p!I140))),1,0))</f>
        <v/>
      </c>
      <c r="F174" s="1" t="str">
        <f>IF(Protokoll_4p!J140="","",IF(VALUE(LEFT(Protokoll_4p!J140,FIND(":",Protokoll_4p!J140)-1))&gt;VALUE(RIGHT(Protokoll_4p!J140,LEN(Protokoll_4p!J140)-FIND(":",Protokoll_4p!J140))),1,0))</f>
        <v/>
      </c>
      <c r="G174" s="1" t="str">
        <f t="shared" si="4"/>
        <v/>
      </c>
      <c r="I174" s="1" t="str">
        <f>IF(Protokoll_4p!F140="","",IF(VALUE(LEFT(Protokoll_4p!F140,FIND(":",Protokoll_4p!F140)-1))&gt;VALUE(RIGHT(Protokoll_4p!F140,LEN(Protokoll_4p!F140)-FIND(":",Protokoll_4p!F140))),0,1))</f>
        <v/>
      </c>
      <c r="J174" s="1" t="str">
        <f>IF(Protokoll_4p!G140="","",IF(VALUE(LEFT(Protokoll_4p!G140,FIND(":",Protokoll_4p!G140)-1))&gt;VALUE(RIGHT(Protokoll_4p!G140,LEN(Protokoll_4p!G140)-FIND(":",Protokoll_4p!G140))),0,1))</f>
        <v/>
      </c>
      <c r="K174" s="1" t="str">
        <f>IF(Protokoll_4p!H140="","",IF(VALUE(LEFT(Protokoll_4p!H140,FIND(":",Protokoll_4p!H140)-1))&gt;VALUE(RIGHT(Protokoll_4p!H140,LEN(Protokoll_4p!H140)-FIND(":",Protokoll_4p!H140))),0,1))</f>
        <v/>
      </c>
      <c r="L174" s="1" t="str">
        <f>IF(Protokoll_4p!I140="","",IF(VALUE(LEFT(Protokoll_4p!I140,FIND(":",Protokoll_4p!I140)-1))&gt;VALUE(RIGHT(Protokoll_4p!I140,LEN(Protokoll_4p!I140)-FIND(":",Protokoll_4p!I140))),0,1))</f>
        <v/>
      </c>
      <c r="M174" s="1" t="str">
        <f>IF(Protokoll_4p!J140="","",IF(VALUE(LEFT(Protokoll_4p!J140,FIND(":",Protokoll_4p!J140)-1))&gt;VALUE(RIGHT(Protokoll_4p!J140,LEN(Protokoll_4p!J140)-FIND(":",Protokoll_4p!J140))),0,1))</f>
        <v/>
      </c>
      <c r="N174" s="1" t="str">
        <f t="shared" si="5"/>
        <v/>
      </c>
    </row>
    <row r="175" spans="2:14">
      <c r="B175" s="1" t="str">
        <f>IF(Protokoll_4p!F141="","",IF(VALUE(LEFT(Protokoll_4p!F141,FIND(":",Protokoll_4p!F141)-1))&gt;VALUE(RIGHT(Protokoll_4p!F141,LEN(Protokoll_4p!F141)-FIND(":",Protokoll_4p!F141))),1,0))</f>
        <v/>
      </c>
      <c r="C175" s="1" t="str">
        <f>IF(Protokoll_4p!G141="","",IF(VALUE(LEFT(Protokoll_4p!G141,FIND(":",Protokoll_4p!G141)-1))&gt;VALUE(RIGHT(Protokoll_4p!G141,LEN(Protokoll_4p!G141)-FIND(":",Protokoll_4p!G141))),1,0))</f>
        <v/>
      </c>
      <c r="D175" s="1" t="str">
        <f>IF(Protokoll_4p!H141="","",IF(VALUE(LEFT(Protokoll_4p!H141,FIND(":",Protokoll_4p!H141)-1))&gt;VALUE(RIGHT(Protokoll_4p!H141,LEN(Protokoll_4p!H141)-FIND(":",Protokoll_4p!H141))),1,0))</f>
        <v/>
      </c>
      <c r="E175" s="1" t="str">
        <f>IF(Protokoll_4p!I141="","",IF(VALUE(LEFT(Protokoll_4p!I141,FIND(":",Protokoll_4p!I141)-1))&gt;VALUE(RIGHT(Protokoll_4p!I141,LEN(Protokoll_4p!I141)-FIND(":",Protokoll_4p!I141))),1,0))</f>
        <v/>
      </c>
      <c r="F175" s="1" t="str">
        <f>IF(Protokoll_4p!J141="","",IF(VALUE(LEFT(Protokoll_4p!J141,FIND(":",Protokoll_4p!J141)-1))&gt;VALUE(RIGHT(Protokoll_4p!J141,LEN(Protokoll_4p!J141)-FIND(":",Protokoll_4p!J141))),1,0))</f>
        <v/>
      </c>
      <c r="G175" s="1" t="str">
        <f t="shared" si="4"/>
        <v/>
      </c>
      <c r="I175" s="1" t="str">
        <f>IF(Protokoll_4p!F141="","",IF(VALUE(LEFT(Protokoll_4p!F141,FIND(":",Protokoll_4p!F141)-1))&gt;VALUE(RIGHT(Protokoll_4p!F141,LEN(Protokoll_4p!F141)-FIND(":",Protokoll_4p!F141))),0,1))</f>
        <v/>
      </c>
      <c r="J175" s="1" t="str">
        <f>IF(Protokoll_4p!G141="","",IF(VALUE(LEFT(Protokoll_4p!G141,FIND(":",Protokoll_4p!G141)-1))&gt;VALUE(RIGHT(Protokoll_4p!G141,LEN(Protokoll_4p!G141)-FIND(":",Protokoll_4p!G141))),0,1))</f>
        <v/>
      </c>
      <c r="K175" s="1" t="str">
        <f>IF(Protokoll_4p!H141="","",IF(VALUE(LEFT(Protokoll_4p!H141,FIND(":",Protokoll_4p!H141)-1))&gt;VALUE(RIGHT(Protokoll_4p!H141,LEN(Protokoll_4p!H141)-FIND(":",Protokoll_4p!H141))),0,1))</f>
        <v/>
      </c>
      <c r="L175" s="1" t="str">
        <f>IF(Protokoll_4p!I141="","",IF(VALUE(LEFT(Protokoll_4p!I141,FIND(":",Protokoll_4p!I141)-1))&gt;VALUE(RIGHT(Protokoll_4p!I141,LEN(Protokoll_4p!I141)-FIND(":",Protokoll_4p!I141))),0,1))</f>
        <v/>
      </c>
      <c r="M175" s="1" t="str">
        <f>IF(Protokoll_4p!J141="","",IF(VALUE(LEFT(Protokoll_4p!J141,FIND(":",Protokoll_4p!J141)-1))&gt;VALUE(RIGHT(Protokoll_4p!J141,LEN(Protokoll_4p!J141)-FIND(":",Protokoll_4p!J141))),0,1))</f>
        <v/>
      </c>
      <c r="N175" s="1" t="str">
        <f t="shared" si="5"/>
        <v/>
      </c>
    </row>
    <row r="176" spans="2:14">
      <c r="B176" s="1" t="str">
        <f>IF(Protokoll_4p!F142="","",IF(VALUE(LEFT(Protokoll_4p!F142,FIND(":",Protokoll_4p!F142)-1))&gt;VALUE(RIGHT(Protokoll_4p!F142,LEN(Protokoll_4p!F142)-FIND(":",Protokoll_4p!F142))),1,0))</f>
        <v/>
      </c>
      <c r="C176" s="1" t="str">
        <f>IF(Protokoll_4p!G142="","",IF(VALUE(LEFT(Protokoll_4p!G142,FIND(":",Protokoll_4p!G142)-1))&gt;VALUE(RIGHT(Protokoll_4p!G142,LEN(Protokoll_4p!G142)-FIND(":",Protokoll_4p!G142))),1,0))</f>
        <v/>
      </c>
      <c r="D176" s="1" t="str">
        <f>IF(Protokoll_4p!H142="","",IF(VALUE(LEFT(Protokoll_4p!H142,FIND(":",Protokoll_4p!H142)-1))&gt;VALUE(RIGHT(Protokoll_4p!H142,LEN(Protokoll_4p!H142)-FIND(":",Protokoll_4p!H142))),1,0))</f>
        <v/>
      </c>
      <c r="E176" s="1" t="str">
        <f>IF(Protokoll_4p!I142="","",IF(VALUE(LEFT(Protokoll_4p!I142,FIND(":",Protokoll_4p!I142)-1))&gt;VALUE(RIGHT(Protokoll_4p!I142,LEN(Protokoll_4p!I142)-FIND(":",Protokoll_4p!I142))),1,0))</f>
        <v/>
      </c>
      <c r="F176" s="1" t="str">
        <f>IF(Protokoll_4p!J142="","",IF(VALUE(LEFT(Protokoll_4p!J142,FIND(":",Protokoll_4p!J142)-1))&gt;VALUE(RIGHT(Protokoll_4p!J142,LEN(Protokoll_4p!J142)-FIND(":",Protokoll_4p!J142))),1,0))</f>
        <v/>
      </c>
      <c r="G176" s="1" t="str">
        <f t="shared" si="4"/>
        <v/>
      </c>
      <c r="I176" s="1" t="str">
        <f>IF(Protokoll_4p!F142="","",IF(VALUE(LEFT(Protokoll_4p!F142,FIND(":",Protokoll_4p!F142)-1))&gt;VALUE(RIGHT(Protokoll_4p!F142,LEN(Protokoll_4p!F142)-FIND(":",Protokoll_4p!F142))),0,1))</f>
        <v/>
      </c>
      <c r="J176" s="1" t="str">
        <f>IF(Protokoll_4p!G142="","",IF(VALUE(LEFT(Protokoll_4p!G142,FIND(":",Protokoll_4p!G142)-1))&gt;VALUE(RIGHT(Protokoll_4p!G142,LEN(Protokoll_4p!G142)-FIND(":",Protokoll_4p!G142))),0,1))</f>
        <v/>
      </c>
      <c r="K176" s="1" t="str">
        <f>IF(Protokoll_4p!H142="","",IF(VALUE(LEFT(Protokoll_4p!H142,FIND(":",Protokoll_4p!H142)-1))&gt;VALUE(RIGHT(Protokoll_4p!H142,LEN(Protokoll_4p!H142)-FIND(":",Protokoll_4p!H142))),0,1))</f>
        <v/>
      </c>
      <c r="L176" s="1" t="str">
        <f>IF(Protokoll_4p!I142="","",IF(VALUE(LEFT(Protokoll_4p!I142,FIND(":",Protokoll_4p!I142)-1))&gt;VALUE(RIGHT(Protokoll_4p!I142,LEN(Protokoll_4p!I142)-FIND(":",Protokoll_4p!I142))),0,1))</f>
        <v/>
      </c>
      <c r="M176" s="1" t="str">
        <f>IF(Protokoll_4p!J142="","",IF(VALUE(LEFT(Protokoll_4p!J142,FIND(":",Protokoll_4p!J142)-1))&gt;VALUE(RIGHT(Protokoll_4p!J142,LEN(Protokoll_4p!J142)-FIND(":",Protokoll_4p!J142))),0,1))</f>
        <v/>
      </c>
      <c r="N176" s="1" t="str">
        <f t="shared" si="5"/>
        <v/>
      </c>
    </row>
    <row r="177" spans="2:14">
      <c r="B177" s="1" t="str">
        <f>IF(Protokoll_4p!F143="","",IF(VALUE(LEFT(Protokoll_4p!F143,FIND(":",Protokoll_4p!F143)-1))&gt;VALUE(RIGHT(Protokoll_4p!F143,LEN(Protokoll_4p!F143)-FIND(":",Protokoll_4p!F143))),1,0))</f>
        <v/>
      </c>
      <c r="C177" s="1" t="str">
        <f>IF(Protokoll_4p!G143="","",IF(VALUE(LEFT(Protokoll_4p!G143,FIND(":",Protokoll_4p!G143)-1))&gt;VALUE(RIGHT(Protokoll_4p!G143,LEN(Protokoll_4p!G143)-FIND(":",Protokoll_4p!G143))),1,0))</f>
        <v/>
      </c>
      <c r="D177" s="1" t="str">
        <f>IF(Protokoll_4p!H143="","",IF(VALUE(LEFT(Protokoll_4p!H143,FIND(":",Protokoll_4p!H143)-1))&gt;VALUE(RIGHT(Protokoll_4p!H143,LEN(Protokoll_4p!H143)-FIND(":",Protokoll_4p!H143))),1,0))</f>
        <v/>
      </c>
      <c r="E177" s="1" t="str">
        <f>IF(Protokoll_4p!I143="","",IF(VALUE(LEFT(Protokoll_4p!I143,FIND(":",Protokoll_4p!I143)-1))&gt;VALUE(RIGHT(Protokoll_4p!I143,LEN(Protokoll_4p!I143)-FIND(":",Protokoll_4p!I143))),1,0))</f>
        <v/>
      </c>
      <c r="F177" s="1" t="str">
        <f>IF(Protokoll_4p!J143="","",IF(VALUE(LEFT(Protokoll_4p!J143,FIND(":",Protokoll_4p!J143)-1))&gt;VALUE(RIGHT(Protokoll_4p!J143,LEN(Protokoll_4p!J143)-FIND(":",Protokoll_4p!J143))),1,0))</f>
        <v/>
      </c>
      <c r="G177" s="1" t="str">
        <f t="shared" si="4"/>
        <v/>
      </c>
      <c r="I177" s="1" t="str">
        <f>IF(Protokoll_4p!F143="","",IF(VALUE(LEFT(Protokoll_4p!F143,FIND(":",Protokoll_4p!F143)-1))&gt;VALUE(RIGHT(Protokoll_4p!F143,LEN(Protokoll_4p!F143)-FIND(":",Protokoll_4p!F143))),0,1))</f>
        <v/>
      </c>
      <c r="J177" s="1" t="str">
        <f>IF(Protokoll_4p!G143="","",IF(VALUE(LEFT(Protokoll_4p!G143,FIND(":",Protokoll_4p!G143)-1))&gt;VALUE(RIGHT(Protokoll_4p!G143,LEN(Protokoll_4p!G143)-FIND(":",Protokoll_4p!G143))),0,1))</f>
        <v/>
      </c>
      <c r="K177" s="1" t="str">
        <f>IF(Protokoll_4p!H143="","",IF(VALUE(LEFT(Protokoll_4p!H143,FIND(":",Protokoll_4p!H143)-1))&gt;VALUE(RIGHT(Protokoll_4p!H143,LEN(Protokoll_4p!H143)-FIND(":",Protokoll_4p!H143))),0,1))</f>
        <v/>
      </c>
      <c r="L177" s="1" t="str">
        <f>IF(Protokoll_4p!I143="","",IF(VALUE(LEFT(Protokoll_4p!I143,FIND(":",Protokoll_4p!I143)-1))&gt;VALUE(RIGHT(Protokoll_4p!I143,LEN(Protokoll_4p!I143)-FIND(":",Protokoll_4p!I143))),0,1))</f>
        <v/>
      </c>
      <c r="M177" s="1" t="str">
        <f>IF(Protokoll_4p!J143="","",IF(VALUE(LEFT(Protokoll_4p!J143,FIND(":",Protokoll_4p!J143)-1))&gt;VALUE(RIGHT(Protokoll_4p!J143,LEN(Protokoll_4p!J143)-FIND(":",Protokoll_4p!J143))),0,1))</f>
        <v/>
      </c>
      <c r="N177" s="1" t="str">
        <f t="shared" si="5"/>
        <v/>
      </c>
    </row>
    <row r="178" spans="2:14">
      <c r="B178" s="1" t="str">
        <f>IF(Protokoll_4p!F144="","",IF(VALUE(LEFT(Protokoll_4p!F144,FIND(":",Protokoll_4p!F144)-1))&gt;VALUE(RIGHT(Protokoll_4p!F144,LEN(Protokoll_4p!F144)-FIND(":",Protokoll_4p!F144))),1,0))</f>
        <v/>
      </c>
      <c r="C178" s="1" t="str">
        <f>IF(Protokoll_4p!G144="","",IF(VALUE(LEFT(Protokoll_4p!G144,FIND(":",Protokoll_4p!G144)-1))&gt;VALUE(RIGHT(Protokoll_4p!G144,LEN(Protokoll_4p!G144)-FIND(":",Protokoll_4p!G144))),1,0))</f>
        <v/>
      </c>
      <c r="D178" s="1" t="str">
        <f>IF(Protokoll_4p!H144="","",IF(VALUE(LEFT(Protokoll_4p!H144,FIND(":",Protokoll_4p!H144)-1))&gt;VALUE(RIGHT(Protokoll_4p!H144,LEN(Protokoll_4p!H144)-FIND(":",Protokoll_4p!H144))),1,0))</f>
        <v/>
      </c>
      <c r="E178" s="1" t="str">
        <f>IF(Protokoll_4p!I144="","",IF(VALUE(LEFT(Protokoll_4p!I144,FIND(":",Protokoll_4p!I144)-1))&gt;VALUE(RIGHT(Protokoll_4p!I144,LEN(Protokoll_4p!I144)-FIND(":",Protokoll_4p!I144))),1,0))</f>
        <v/>
      </c>
      <c r="F178" s="1" t="str">
        <f>IF(Protokoll_4p!J144="","",IF(VALUE(LEFT(Protokoll_4p!J144,FIND(":",Protokoll_4p!J144)-1))&gt;VALUE(RIGHT(Protokoll_4p!J144,LEN(Protokoll_4p!J144)-FIND(":",Protokoll_4p!J144))),1,0))</f>
        <v/>
      </c>
      <c r="G178" s="1" t="str">
        <f t="shared" si="4"/>
        <v/>
      </c>
      <c r="I178" s="1" t="str">
        <f>IF(Protokoll_4p!F144="","",IF(VALUE(LEFT(Protokoll_4p!F144,FIND(":",Protokoll_4p!F144)-1))&gt;VALUE(RIGHT(Protokoll_4p!F144,LEN(Protokoll_4p!F144)-FIND(":",Protokoll_4p!F144))),0,1))</f>
        <v/>
      </c>
      <c r="J178" s="1" t="str">
        <f>IF(Protokoll_4p!G144="","",IF(VALUE(LEFT(Protokoll_4p!G144,FIND(":",Protokoll_4p!G144)-1))&gt;VALUE(RIGHT(Protokoll_4p!G144,LEN(Protokoll_4p!G144)-FIND(":",Protokoll_4p!G144))),0,1))</f>
        <v/>
      </c>
      <c r="K178" s="1" t="str">
        <f>IF(Protokoll_4p!H144="","",IF(VALUE(LEFT(Protokoll_4p!H144,FIND(":",Protokoll_4p!H144)-1))&gt;VALUE(RIGHT(Protokoll_4p!H144,LEN(Protokoll_4p!H144)-FIND(":",Protokoll_4p!H144))),0,1))</f>
        <v/>
      </c>
      <c r="L178" s="1" t="str">
        <f>IF(Protokoll_4p!I144="","",IF(VALUE(LEFT(Protokoll_4p!I144,FIND(":",Protokoll_4p!I144)-1))&gt;VALUE(RIGHT(Protokoll_4p!I144,LEN(Protokoll_4p!I144)-FIND(":",Protokoll_4p!I144))),0,1))</f>
        <v/>
      </c>
      <c r="M178" s="1" t="str">
        <f>IF(Protokoll_4p!J144="","",IF(VALUE(LEFT(Protokoll_4p!J144,FIND(":",Protokoll_4p!J144)-1))&gt;VALUE(RIGHT(Protokoll_4p!J144,LEN(Protokoll_4p!J144)-FIND(":",Protokoll_4p!J144))),0,1))</f>
        <v/>
      </c>
      <c r="N178" s="1" t="str">
        <f t="shared" si="5"/>
        <v/>
      </c>
    </row>
    <row r="179" spans="2:14">
      <c r="B179" s="1" t="str">
        <f>IF(Protokoll_4p!F145="","",IF(VALUE(LEFT(Protokoll_4p!F145,FIND(":",Protokoll_4p!F145)-1))&gt;VALUE(RIGHT(Protokoll_4p!F145,LEN(Protokoll_4p!F145)-FIND(":",Protokoll_4p!F145))),1,0))</f>
        <v/>
      </c>
      <c r="C179" s="1" t="str">
        <f>IF(Protokoll_4p!G145="","",IF(VALUE(LEFT(Protokoll_4p!G145,FIND(":",Protokoll_4p!G145)-1))&gt;VALUE(RIGHT(Protokoll_4p!G145,LEN(Protokoll_4p!G145)-FIND(":",Protokoll_4p!G145))),1,0))</f>
        <v/>
      </c>
      <c r="D179" s="1" t="str">
        <f>IF(Protokoll_4p!H145="","",IF(VALUE(LEFT(Protokoll_4p!H145,FIND(":",Protokoll_4p!H145)-1))&gt;VALUE(RIGHT(Protokoll_4p!H145,LEN(Protokoll_4p!H145)-FIND(":",Protokoll_4p!H145))),1,0))</f>
        <v/>
      </c>
      <c r="E179" s="1" t="str">
        <f>IF(Protokoll_4p!I145="","",IF(VALUE(LEFT(Protokoll_4p!I145,FIND(":",Protokoll_4p!I145)-1))&gt;VALUE(RIGHT(Protokoll_4p!I145,LEN(Protokoll_4p!I145)-FIND(":",Protokoll_4p!I145))),1,0))</f>
        <v/>
      </c>
      <c r="F179" s="1" t="str">
        <f>IF(Protokoll_4p!J145="","",IF(VALUE(LEFT(Protokoll_4p!J145,FIND(":",Protokoll_4p!J145)-1))&gt;VALUE(RIGHT(Protokoll_4p!J145,LEN(Protokoll_4p!J145)-FIND(":",Protokoll_4p!J145))),1,0))</f>
        <v/>
      </c>
      <c r="G179" s="1" t="str">
        <f t="shared" si="4"/>
        <v/>
      </c>
      <c r="I179" s="1" t="str">
        <f>IF(Protokoll_4p!F145="","",IF(VALUE(LEFT(Protokoll_4p!F145,FIND(":",Protokoll_4p!F145)-1))&gt;VALUE(RIGHT(Protokoll_4p!F145,LEN(Protokoll_4p!F145)-FIND(":",Protokoll_4p!F145))),0,1))</f>
        <v/>
      </c>
      <c r="J179" s="1" t="str">
        <f>IF(Protokoll_4p!G145="","",IF(VALUE(LEFT(Protokoll_4p!G145,FIND(":",Protokoll_4p!G145)-1))&gt;VALUE(RIGHT(Protokoll_4p!G145,LEN(Protokoll_4p!G145)-FIND(":",Protokoll_4p!G145))),0,1))</f>
        <v/>
      </c>
      <c r="K179" s="1" t="str">
        <f>IF(Protokoll_4p!H145="","",IF(VALUE(LEFT(Protokoll_4p!H145,FIND(":",Protokoll_4p!H145)-1))&gt;VALUE(RIGHT(Protokoll_4p!H145,LEN(Protokoll_4p!H145)-FIND(":",Protokoll_4p!H145))),0,1))</f>
        <v/>
      </c>
      <c r="L179" s="1" t="str">
        <f>IF(Protokoll_4p!I145="","",IF(VALUE(LEFT(Protokoll_4p!I145,FIND(":",Protokoll_4p!I145)-1))&gt;VALUE(RIGHT(Protokoll_4p!I145,LEN(Protokoll_4p!I145)-FIND(":",Protokoll_4p!I145))),0,1))</f>
        <v/>
      </c>
      <c r="M179" s="1" t="str">
        <f>IF(Protokoll_4p!J145="","",IF(VALUE(LEFT(Protokoll_4p!J145,FIND(":",Protokoll_4p!J145)-1))&gt;VALUE(RIGHT(Protokoll_4p!J145,LEN(Protokoll_4p!J145)-FIND(":",Protokoll_4p!J145))),0,1))</f>
        <v/>
      </c>
      <c r="N179" s="1" t="str">
        <f t="shared" si="5"/>
        <v/>
      </c>
    </row>
    <row r="180" spans="2:14">
      <c r="B180" s="1" t="str">
        <f>IF(Protokoll_4p!F146="","",IF(VALUE(LEFT(Protokoll_4p!F146,FIND(":",Protokoll_4p!F146)-1))&gt;VALUE(RIGHT(Protokoll_4p!F146,LEN(Protokoll_4p!F146)-FIND(":",Protokoll_4p!F146))),1,0))</f>
        <v/>
      </c>
      <c r="C180" s="1" t="str">
        <f>IF(Protokoll_4p!G146="","",IF(VALUE(LEFT(Protokoll_4p!G146,FIND(":",Protokoll_4p!G146)-1))&gt;VALUE(RIGHT(Protokoll_4p!G146,LEN(Protokoll_4p!G146)-FIND(":",Protokoll_4p!G146))),1,0))</f>
        <v/>
      </c>
      <c r="D180" s="1" t="str">
        <f>IF(Protokoll_4p!H146="","",IF(VALUE(LEFT(Protokoll_4p!H146,FIND(":",Protokoll_4p!H146)-1))&gt;VALUE(RIGHT(Protokoll_4p!H146,LEN(Protokoll_4p!H146)-FIND(":",Protokoll_4p!H146))),1,0))</f>
        <v/>
      </c>
      <c r="E180" s="1" t="str">
        <f>IF(Protokoll_4p!I146="","",IF(VALUE(LEFT(Protokoll_4p!I146,FIND(":",Protokoll_4p!I146)-1))&gt;VALUE(RIGHT(Protokoll_4p!I146,LEN(Protokoll_4p!I146)-FIND(":",Protokoll_4p!I146))),1,0))</f>
        <v/>
      </c>
      <c r="F180" s="1" t="str">
        <f>IF(Protokoll_4p!J146="","",IF(VALUE(LEFT(Protokoll_4p!J146,FIND(":",Protokoll_4p!J146)-1))&gt;VALUE(RIGHT(Protokoll_4p!J146,LEN(Protokoll_4p!J146)-FIND(":",Protokoll_4p!J146))),1,0))</f>
        <v/>
      </c>
      <c r="G180" s="1" t="str">
        <f t="shared" si="4"/>
        <v/>
      </c>
      <c r="I180" s="1" t="str">
        <f>IF(Protokoll_4p!F146="","",IF(VALUE(LEFT(Protokoll_4p!F146,FIND(":",Protokoll_4p!F146)-1))&gt;VALUE(RIGHT(Protokoll_4p!F146,LEN(Protokoll_4p!F146)-FIND(":",Protokoll_4p!F146))),0,1))</f>
        <v/>
      </c>
      <c r="J180" s="1" t="str">
        <f>IF(Protokoll_4p!G146="","",IF(VALUE(LEFT(Protokoll_4p!G146,FIND(":",Protokoll_4p!G146)-1))&gt;VALUE(RIGHT(Protokoll_4p!G146,LEN(Protokoll_4p!G146)-FIND(":",Protokoll_4p!G146))),0,1))</f>
        <v/>
      </c>
      <c r="K180" s="1" t="str">
        <f>IF(Protokoll_4p!H146="","",IF(VALUE(LEFT(Protokoll_4p!H146,FIND(":",Protokoll_4p!H146)-1))&gt;VALUE(RIGHT(Protokoll_4p!H146,LEN(Protokoll_4p!H146)-FIND(":",Protokoll_4p!H146))),0,1))</f>
        <v/>
      </c>
      <c r="L180" s="1" t="str">
        <f>IF(Protokoll_4p!I146="","",IF(VALUE(LEFT(Protokoll_4p!I146,FIND(":",Protokoll_4p!I146)-1))&gt;VALUE(RIGHT(Protokoll_4p!I146,LEN(Protokoll_4p!I146)-FIND(":",Protokoll_4p!I146))),0,1))</f>
        <v/>
      </c>
      <c r="M180" s="1" t="str">
        <f>IF(Protokoll_4p!J146="","",IF(VALUE(LEFT(Protokoll_4p!J146,FIND(":",Protokoll_4p!J146)-1))&gt;VALUE(RIGHT(Protokoll_4p!J146,LEN(Protokoll_4p!J146)-FIND(":",Protokoll_4p!J146))),0,1))</f>
        <v/>
      </c>
      <c r="N180" s="1" t="str">
        <f t="shared" si="5"/>
        <v/>
      </c>
    </row>
    <row r="181" spans="2:14">
      <c r="B181" s="1" t="str">
        <f>IF(Protokoll_4p!F147="","",IF(VALUE(LEFT(Protokoll_4p!F147,FIND(":",Protokoll_4p!F147)-1))&gt;VALUE(RIGHT(Protokoll_4p!F147,LEN(Protokoll_4p!F147)-FIND(":",Protokoll_4p!F147))),1,0))</f>
        <v/>
      </c>
      <c r="C181" s="1" t="str">
        <f>IF(Protokoll_4p!G147="","",IF(VALUE(LEFT(Protokoll_4p!G147,FIND(":",Protokoll_4p!G147)-1))&gt;VALUE(RIGHT(Protokoll_4p!G147,LEN(Protokoll_4p!G147)-FIND(":",Protokoll_4p!G147))),1,0))</f>
        <v/>
      </c>
      <c r="D181" s="1" t="str">
        <f>IF(Protokoll_4p!H147="","",IF(VALUE(LEFT(Protokoll_4p!H147,FIND(":",Protokoll_4p!H147)-1))&gt;VALUE(RIGHT(Protokoll_4p!H147,LEN(Protokoll_4p!H147)-FIND(":",Protokoll_4p!H147))),1,0))</f>
        <v/>
      </c>
      <c r="E181" s="1" t="str">
        <f>IF(Protokoll_4p!I147="","",IF(VALUE(LEFT(Protokoll_4p!I147,FIND(":",Protokoll_4p!I147)-1))&gt;VALUE(RIGHT(Protokoll_4p!I147,LEN(Protokoll_4p!I147)-FIND(":",Protokoll_4p!I147))),1,0))</f>
        <v/>
      </c>
      <c r="F181" s="1" t="str">
        <f>IF(Protokoll_4p!J147="","",IF(VALUE(LEFT(Protokoll_4p!J147,FIND(":",Protokoll_4p!J147)-1))&gt;VALUE(RIGHT(Protokoll_4p!J147,LEN(Protokoll_4p!J147)-FIND(":",Protokoll_4p!J147))),1,0))</f>
        <v/>
      </c>
      <c r="G181" s="1" t="str">
        <f t="shared" si="4"/>
        <v/>
      </c>
      <c r="I181" s="1" t="str">
        <f>IF(Protokoll_4p!F147="","",IF(VALUE(LEFT(Protokoll_4p!F147,FIND(":",Protokoll_4p!F147)-1))&gt;VALUE(RIGHT(Protokoll_4p!F147,LEN(Protokoll_4p!F147)-FIND(":",Protokoll_4p!F147))),0,1))</f>
        <v/>
      </c>
      <c r="J181" s="1" t="str">
        <f>IF(Protokoll_4p!G147="","",IF(VALUE(LEFT(Protokoll_4p!G147,FIND(":",Protokoll_4p!G147)-1))&gt;VALUE(RIGHT(Protokoll_4p!G147,LEN(Protokoll_4p!G147)-FIND(":",Protokoll_4p!G147))),0,1))</f>
        <v/>
      </c>
      <c r="K181" s="1" t="str">
        <f>IF(Protokoll_4p!H147="","",IF(VALUE(LEFT(Protokoll_4p!H147,FIND(":",Protokoll_4p!H147)-1))&gt;VALUE(RIGHT(Protokoll_4p!H147,LEN(Protokoll_4p!H147)-FIND(":",Protokoll_4p!H147))),0,1))</f>
        <v/>
      </c>
      <c r="L181" s="1" t="str">
        <f>IF(Protokoll_4p!I147="","",IF(VALUE(LEFT(Protokoll_4p!I147,FIND(":",Protokoll_4p!I147)-1))&gt;VALUE(RIGHT(Protokoll_4p!I147,LEN(Protokoll_4p!I147)-FIND(":",Protokoll_4p!I147))),0,1))</f>
        <v/>
      </c>
      <c r="M181" s="1" t="str">
        <f>IF(Protokoll_4p!J147="","",IF(VALUE(LEFT(Protokoll_4p!J147,FIND(":",Protokoll_4p!J147)-1))&gt;VALUE(RIGHT(Protokoll_4p!J147,LEN(Protokoll_4p!J147)-FIND(":",Protokoll_4p!J147))),0,1))</f>
        <v/>
      </c>
      <c r="N181" s="1" t="str">
        <f t="shared" si="5"/>
        <v/>
      </c>
    </row>
    <row r="182" spans="2:14">
      <c r="B182" s="1" t="str">
        <f>IF(Protokoll_4p!F148="","",IF(VALUE(LEFT(Protokoll_4p!F148,FIND(":",Protokoll_4p!F148)-1))&gt;VALUE(RIGHT(Protokoll_4p!F148,LEN(Protokoll_4p!F148)-FIND(":",Protokoll_4p!F148))),1,0))</f>
        <v/>
      </c>
      <c r="C182" s="1" t="str">
        <f>IF(Protokoll_4p!G148="","",IF(VALUE(LEFT(Protokoll_4p!G148,FIND(":",Protokoll_4p!G148)-1))&gt;VALUE(RIGHT(Protokoll_4p!G148,LEN(Protokoll_4p!G148)-FIND(":",Protokoll_4p!G148))),1,0))</f>
        <v/>
      </c>
      <c r="D182" s="1" t="str">
        <f>IF(Protokoll_4p!H148="","",IF(VALUE(LEFT(Protokoll_4p!H148,FIND(":",Protokoll_4p!H148)-1))&gt;VALUE(RIGHT(Protokoll_4p!H148,LEN(Protokoll_4p!H148)-FIND(":",Protokoll_4p!H148))),1,0))</f>
        <v/>
      </c>
      <c r="E182" s="1" t="str">
        <f>IF(Protokoll_4p!I148="","",IF(VALUE(LEFT(Protokoll_4p!I148,FIND(":",Protokoll_4p!I148)-1))&gt;VALUE(RIGHT(Protokoll_4p!I148,LEN(Protokoll_4p!I148)-FIND(":",Protokoll_4p!I148))),1,0))</f>
        <v/>
      </c>
      <c r="F182" s="1" t="str">
        <f>IF(Protokoll_4p!J148="","",IF(VALUE(LEFT(Protokoll_4p!J148,FIND(":",Protokoll_4p!J148)-1))&gt;VALUE(RIGHT(Protokoll_4p!J148,LEN(Protokoll_4p!J148)-FIND(":",Protokoll_4p!J148))),1,0))</f>
        <v/>
      </c>
      <c r="G182" s="1" t="str">
        <f t="shared" si="4"/>
        <v/>
      </c>
      <c r="I182" s="1" t="str">
        <f>IF(Protokoll_4p!F148="","",IF(VALUE(LEFT(Protokoll_4p!F148,FIND(":",Protokoll_4p!F148)-1))&gt;VALUE(RIGHT(Protokoll_4p!F148,LEN(Protokoll_4p!F148)-FIND(":",Protokoll_4p!F148))),0,1))</f>
        <v/>
      </c>
      <c r="J182" s="1" t="str">
        <f>IF(Protokoll_4p!G148="","",IF(VALUE(LEFT(Protokoll_4p!G148,FIND(":",Protokoll_4p!G148)-1))&gt;VALUE(RIGHT(Protokoll_4p!G148,LEN(Protokoll_4p!G148)-FIND(":",Protokoll_4p!G148))),0,1))</f>
        <v/>
      </c>
      <c r="K182" s="1" t="str">
        <f>IF(Protokoll_4p!H148="","",IF(VALUE(LEFT(Protokoll_4p!H148,FIND(":",Protokoll_4p!H148)-1))&gt;VALUE(RIGHT(Protokoll_4p!H148,LEN(Protokoll_4p!H148)-FIND(":",Protokoll_4p!H148))),0,1))</f>
        <v/>
      </c>
      <c r="L182" s="1" t="str">
        <f>IF(Protokoll_4p!I148="","",IF(VALUE(LEFT(Protokoll_4p!I148,FIND(":",Protokoll_4p!I148)-1))&gt;VALUE(RIGHT(Protokoll_4p!I148,LEN(Protokoll_4p!I148)-FIND(":",Protokoll_4p!I148))),0,1))</f>
        <v/>
      </c>
      <c r="M182" s="1" t="str">
        <f>IF(Protokoll_4p!J148="","",IF(VALUE(LEFT(Protokoll_4p!J148,FIND(":",Protokoll_4p!J148)-1))&gt;VALUE(RIGHT(Protokoll_4p!J148,LEN(Protokoll_4p!J148)-FIND(":",Protokoll_4p!J148))),0,1))</f>
        <v/>
      </c>
      <c r="N182" s="1" t="str">
        <f t="shared" si="5"/>
        <v/>
      </c>
    </row>
    <row r="183" spans="2:14">
      <c r="B183" s="1" t="str">
        <f>IF(Protokoll_4p!F149="","",IF(VALUE(LEFT(Protokoll_4p!F149,FIND(":",Protokoll_4p!F149)-1))&gt;VALUE(RIGHT(Protokoll_4p!F149,LEN(Protokoll_4p!F149)-FIND(":",Protokoll_4p!F149))),1,0))</f>
        <v/>
      </c>
      <c r="C183" s="1" t="str">
        <f>IF(Protokoll_4p!G149="","",IF(VALUE(LEFT(Protokoll_4p!G149,FIND(":",Protokoll_4p!G149)-1))&gt;VALUE(RIGHT(Protokoll_4p!G149,LEN(Protokoll_4p!G149)-FIND(":",Protokoll_4p!G149))),1,0))</f>
        <v/>
      </c>
      <c r="D183" s="1" t="str">
        <f>IF(Protokoll_4p!H149="","",IF(VALUE(LEFT(Protokoll_4p!H149,FIND(":",Protokoll_4p!H149)-1))&gt;VALUE(RIGHT(Protokoll_4p!H149,LEN(Protokoll_4p!H149)-FIND(":",Protokoll_4p!H149))),1,0))</f>
        <v/>
      </c>
      <c r="E183" s="1" t="str">
        <f>IF(Protokoll_4p!I149="","",IF(VALUE(LEFT(Protokoll_4p!I149,FIND(":",Protokoll_4p!I149)-1))&gt;VALUE(RIGHT(Protokoll_4p!I149,LEN(Protokoll_4p!I149)-FIND(":",Protokoll_4p!I149))),1,0))</f>
        <v/>
      </c>
      <c r="F183" s="1" t="str">
        <f>IF(Protokoll_4p!J149="","",IF(VALUE(LEFT(Protokoll_4p!J149,FIND(":",Protokoll_4p!J149)-1))&gt;VALUE(RIGHT(Protokoll_4p!J149,LEN(Protokoll_4p!J149)-FIND(":",Protokoll_4p!J149))),1,0))</f>
        <v/>
      </c>
      <c r="G183" s="1" t="str">
        <f t="shared" si="4"/>
        <v/>
      </c>
      <c r="I183" s="1" t="str">
        <f>IF(Protokoll_4p!F149="","",IF(VALUE(LEFT(Protokoll_4p!F149,FIND(":",Protokoll_4p!F149)-1))&gt;VALUE(RIGHT(Protokoll_4p!F149,LEN(Protokoll_4p!F149)-FIND(":",Protokoll_4p!F149))),0,1))</f>
        <v/>
      </c>
      <c r="J183" s="1" t="str">
        <f>IF(Protokoll_4p!G149="","",IF(VALUE(LEFT(Protokoll_4p!G149,FIND(":",Protokoll_4p!G149)-1))&gt;VALUE(RIGHT(Protokoll_4p!G149,LEN(Protokoll_4p!G149)-FIND(":",Protokoll_4p!G149))),0,1))</f>
        <v/>
      </c>
      <c r="K183" s="1" t="str">
        <f>IF(Protokoll_4p!H149="","",IF(VALUE(LEFT(Protokoll_4p!H149,FIND(":",Protokoll_4p!H149)-1))&gt;VALUE(RIGHT(Protokoll_4p!H149,LEN(Protokoll_4p!H149)-FIND(":",Protokoll_4p!H149))),0,1))</f>
        <v/>
      </c>
      <c r="L183" s="1" t="str">
        <f>IF(Protokoll_4p!I149="","",IF(VALUE(LEFT(Protokoll_4p!I149,FIND(":",Protokoll_4p!I149)-1))&gt;VALUE(RIGHT(Protokoll_4p!I149,LEN(Protokoll_4p!I149)-FIND(":",Protokoll_4p!I149))),0,1))</f>
        <v/>
      </c>
      <c r="M183" s="1" t="str">
        <f>IF(Protokoll_4p!J149="","",IF(VALUE(LEFT(Protokoll_4p!J149,FIND(":",Protokoll_4p!J149)-1))&gt;VALUE(RIGHT(Protokoll_4p!J149,LEN(Protokoll_4p!J149)-FIND(":",Protokoll_4p!J149))),0,1))</f>
        <v/>
      </c>
      <c r="N183" s="1" t="str">
        <f t="shared" si="5"/>
        <v/>
      </c>
    </row>
    <row r="184" spans="2:14">
      <c r="B184" s="1" t="str">
        <f>IF(Protokoll_4p!F150="","",IF(VALUE(LEFT(Protokoll_4p!F150,FIND(":",Protokoll_4p!F150)-1))&gt;VALUE(RIGHT(Protokoll_4p!F150,LEN(Protokoll_4p!F150)-FIND(":",Protokoll_4p!F150))),1,0))</f>
        <v/>
      </c>
      <c r="C184" s="1" t="str">
        <f>IF(Protokoll_4p!G150="","",IF(VALUE(LEFT(Protokoll_4p!G150,FIND(":",Protokoll_4p!G150)-1))&gt;VALUE(RIGHT(Protokoll_4p!G150,LEN(Protokoll_4p!G150)-FIND(":",Protokoll_4p!G150))),1,0))</f>
        <v/>
      </c>
      <c r="D184" s="1" t="str">
        <f>IF(Protokoll_4p!H150="","",IF(VALUE(LEFT(Protokoll_4p!H150,FIND(":",Protokoll_4p!H150)-1))&gt;VALUE(RIGHT(Protokoll_4p!H150,LEN(Protokoll_4p!H150)-FIND(":",Protokoll_4p!H150))),1,0))</f>
        <v/>
      </c>
      <c r="E184" s="1" t="str">
        <f>IF(Protokoll_4p!I150="","",IF(VALUE(LEFT(Protokoll_4p!I150,FIND(":",Protokoll_4p!I150)-1))&gt;VALUE(RIGHT(Protokoll_4p!I150,LEN(Protokoll_4p!I150)-FIND(":",Protokoll_4p!I150))),1,0))</f>
        <v/>
      </c>
      <c r="F184" s="1" t="str">
        <f>IF(Protokoll_4p!J150="","",IF(VALUE(LEFT(Protokoll_4p!J150,FIND(":",Protokoll_4p!J150)-1))&gt;VALUE(RIGHT(Protokoll_4p!J150,LEN(Protokoll_4p!J150)-FIND(":",Protokoll_4p!J150))),1,0))</f>
        <v/>
      </c>
      <c r="G184" s="1" t="str">
        <f t="shared" si="4"/>
        <v/>
      </c>
      <c r="I184" s="1" t="str">
        <f>IF(Protokoll_4p!F150="","",IF(VALUE(LEFT(Protokoll_4p!F150,FIND(":",Protokoll_4p!F150)-1))&gt;VALUE(RIGHT(Protokoll_4p!F150,LEN(Protokoll_4p!F150)-FIND(":",Protokoll_4p!F150))),0,1))</f>
        <v/>
      </c>
      <c r="J184" s="1" t="str">
        <f>IF(Protokoll_4p!G150="","",IF(VALUE(LEFT(Protokoll_4p!G150,FIND(":",Protokoll_4p!G150)-1))&gt;VALUE(RIGHT(Protokoll_4p!G150,LEN(Protokoll_4p!G150)-FIND(":",Protokoll_4p!G150))),0,1))</f>
        <v/>
      </c>
      <c r="K184" s="1" t="str">
        <f>IF(Protokoll_4p!H150="","",IF(VALUE(LEFT(Protokoll_4p!H150,FIND(":",Protokoll_4p!H150)-1))&gt;VALUE(RIGHT(Protokoll_4p!H150,LEN(Protokoll_4p!H150)-FIND(":",Protokoll_4p!H150))),0,1))</f>
        <v/>
      </c>
      <c r="L184" s="1" t="str">
        <f>IF(Protokoll_4p!I150="","",IF(VALUE(LEFT(Protokoll_4p!I150,FIND(":",Protokoll_4p!I150)-1))&gt;VALUE(RIGHT(Protokoll_4p!I150,LEN(Protokoll_4p!I150)-FIND(":",Protokoll_4p!I150))),0,1))</f>
        <v/>
      </c>
      <c r="M184" s="1" t="str">
        <f>IF(Protokoll_4p!J150="","",IF(VALUE(LEFT(Protokoll_4p!J150,FIND(":",Protokoll_4p!J150)-1))&gt;VALUE(RIGHT(Protokoll_4p!J150,LEN(Protokoll_4p!J150)-FIND(":",Protokoll_4p!J150))),0,1))</f>
        <v/>
      </c>
      <c r="N184" s="1" t="str">
        <f t="shared" si="5"/>
        <v/>
      </c>
    </row>
    <row r="185" spans="2:14">
      <c r="B185" s="1" t="str">
        <f>IF(Protokoll_4p!F151="","",IF(VALUE(LEFT(Protokoll_4p!F151,FIND(":",Protokoll_4p!F151)-1))&gt;VALUE(RIGHT(Protokoll_4p!F151,LEN(Protokoll_4p!F151)-FIND(":",Protokoll_4p!F151))),1,0))</f>
        <v/>
      </c>
      <c r="C185" s="1" t="str">
        <f>IF(Protokoll_4p!G151="","",IF(VALUE(LEFT(Protokoll_4p!G151,FIND(":",Protokoll_4p!G151)-1))&gt;VALUE(RIGHT(Protokoll_4p!G151,LEN(Protokoll_4p!G151)-FIND(":",Protokoll_4p!G151))),1,0))</f>
        <v/>
      </c>
      <c r="D185" s="1" t="str">
        <f>IF(Protokoll_4p!H151="","",IF(VALUE(LEFT(Protokoll_4p!H151,FIND(":",Protokoll_4p!H151)-1))&gt;VALUE(RIGHT(Protokoll_4p!H151,LEN(Protokoll_4p!H151)-FIND(":",Protokoll_4p!H151))),1,0))</f>
        <v/>
      </c>
      <c r="E185" s="1" t="str">
        <f>IF(Protokoll_4p!I151="","",IF(VALUE(LEFT(Protokoll_4p!I151,FIND(":",Protokoll_4p!I151)-1))&gt;VALUE(RIGHT(Protokoll_4p!I151,LEN(Protokoll_4p!I151)-FIND(":",Protokoll_4p!I151))),1,0))</f>
        <v/>
      </c>
      <c r="F185" s="1" t="str">
        <f>IF(Protokoll_4p!J151="","",IF(VALUE(LEFT(Protokoll_4p!J151,FIND(":",Protokoll_4p!J151)-1))&gt;VALUE(RIGHT(Protokoll_4p!J151,LEN(Protokoll_4p!J151)-FIND(":",Protokoll_4p!J151))),1,0))</f>
        <v/>
      </c>
      <c r="G185" s="1" t="str">
        <f t="shared" si="4"/>
        <v/>
      </c>
      <c r="I185" s="1" t="str">
        <f>IF(Protokoll_4p!F151="","",IF(VALUE(LEFT(Protokoll_4p!F151,FIND(":",Protokoll_4p!F151)-1))&gt;VALUE(RIGHT(Protokoll_4p!F151,LEN(Protokoll_4p!F151)-FIND(":",Protokoll_4p!F151))),0,1))</f>
        <v/>
      </c>
      <c r="J185" s="1" t="str">
        <f>IF(Protokoll_4p!G151="","",IF(VALUE(LEFT(Protokoll_4p!G151,FIND(":",Protokoll_4p!G151)-1))&gt;VALUE(RIGHT(Protokoll_4p!G151,LEN(Protokoll_4p!G151)-FIND(":",Protokoll_4p!G151))),0,1))</f>
        <v/>
      </c>
      <c r="K185" s="1" t="str">
        <f>IF(Protokoll_4p!H151="","",IF(VALUE(LEFT(Protokoll_4p!H151,FIND(":",Protokoll_4p!H151)-1))&gt;VALUE(RIGHT(Protokoll_4p!H151,LEN(Protokoll_4p!H151)-FIND(":",Protokoll_4p!H151))),0,1))</f>
        <v/>
      </c>
      <c r="L185" s="1" t="str">
        <f>IF(Protokoll_4p!I151="","",IF(VALUE(LEFT(Protokoll_4p!I151,FIND(":",Protokoll_4p!I151)-1))&gt;VALUE(RIGHT(Protokoll_4p!I151,LEN(Protokoll_4p!I151)-FIND(":",Protokoll_4p!I151))),0,1))</f>
        <v/>
      </c>
      <c r="M185" s="1" t="str">
        <f>IF(Protokoll_4p!J151="","",IF(VALUE(LEFT(Protokoll_4p!J151,FIND(":",Protokoll_4p!J151)-1))&gt;VALUE(RIGHT(Protokoll_4p!J151,LEN(Protokoll_4p!J151)-FIND(":",Protokoll_4p!J151))),0,1))</f>
        <v/>
      </c>
      <c r="N185" s="1" t="str">
        <f t="shared" si="5"/>
        <v/>
      </c>
    </row>
    <row r="186" spans="2:14">
      <c r="B186" s="1" t="str">
        <f>IF(Protokoll_4p!F152="","",IF(VALUE(LEFT(Protokoll_4p!F152,FIND(":",Protokoll_4p!F152)-1))&gt;VALUE(RIGHT(Protokoll_4p!F152,LEN(Protokoll_4p!F152)-FIND(":",Protokoll_4p!F152))),1,0))</f>
        <v/>
      </c>
      <c r="C186" s="1" t="str">
        <f>IF(Protokoll_4p!G152="","",IF(VALUE(LEFT(Protokoll_4p!G152,FIND(":",Protokoll_4p!G152)-1))&gt;VALUE(RIGHT(Protokoll_4p!G152,LEN(Protokoll_4p!G152)-FIND(":",Protokoll_4p!G152))),1,0))</f>
        <v/>
      </c>
      <c r="D186" s="1" t="str">
        <f>IF(Protokoll_4p!H152="","",IF(VALUE(LEFT(Protokoll_4p!H152,FIND(":",Protokoll_4p!H152)-1))&gt;VALUE(RIGHT(Protokoll_4p!H152,LEN(Protokoll_4p!H152)-FIND(":",Protokoll_4p!H152))),1,0))</f>
        <v/>
      </c>
      <c r="E186" s="1" t="str">
        <f>IF(Protokoll_4p!I152="","",IF(VALUE(LEFT(Protokoll_4p!I152,FIND(":",Protokoll_4p!I152)-1))&gt;VALUE(RIGHT(Protokoll_4p!I152,LEN(Protokoll_4p!I152)-FIND(":",Protokoll_4p!I152))),1,0))</f>
        <v/>
      </c>
      <c r="F186" s="1" t="str">
        <f>IF(Protokoll_4p!J152="","",IF(VALUE(LEFT(Protokoll_4p!J152,FIND(":",Protokoll_4p!J152)-1))&gt;VALUE(RIGHT(Protokoll_4p!J152,LEN(Protokoll_4p!J152)-FIND(":",Protokoll_4p!J152))),1,0))</f>
        <v/>
      </c>
      <c r="G186" s="1" t="str">
        <f t="shared" si="4"/>
        <v/>
      </c>
      <c r="I186" s="1" t="str">
        <f>IF(Protokoll_4p!F152="","",IF(VALUE(LEFT(Protokoll_4p!F152,FIND(":",Protokoll_4p!F152)-1))&gt;VALUE(RIGHT(Protokoll_4p!F152,LEN(Protokoll_4p!F152)-FIND(":",Protokoll_4p!F152))),0,1))</f>
        <v/>
      </c>
      <c r="J186" s="1" t="str">
        <f>IF(Protokoll_4p!G152="","",IF(VALUE(LEFT(Protokoll_4p!G152,FIND(":",Protokoll_4p!G152)-1))&gt;VALUE(RIGHT(Protokoll_4p!G152,LEN(Protokoll_4p!G152)-FIND(":",Protokoll_4p!G152))),0,1))</f>
        <v/>
      </c>
      <c r="K186" s="1" t="str">
        <f>IF(Protokoll_4p!H152="","",IF(VALUE(LEFT(Protokoll_4p!H152,FIND(":",Protokoll_4p!H152)-1))&gt;VALUE(RIGHT(Protokoll_4p!H152,LEN(Protokoll_4p!H152)-FIND(":",Protokoll_4p!H152))),0,1))</f>
        <v/>
      </c>
      <c r="L186" s="1" t="str">
        <f>IF(Protokoll_4p!I152="","",IF(VALUE(LEFT(Protokoll_4p!I152,FIND(":",Protokoll_4p!I152)-1))&gt;VALUE(RIGHT(Protokoll_4p!I152,LEN(Protokoll_4p!I152)-FIND(":",Protokoll_4p!I152))),0,1))</f>
        <v/>
      </c>
      <c r="M186" s="1" t="str">
        <f>IF(Protokoll_4p!J152="","",IF(VALUE(LEFT(Protokoll_4p!J152,FIND(":",Protokoll_4p!J152)-1))&gt;VALUE(RIGHT(Protokoll_4p!J152,LEN(Protokoll_4p!J152)-FIND(":",Protokoll_4p!J152))),0,1))</f>
        <v/>
      </c>
      <c r="N186" s="1" t="str">
        <f t="shared" si="5"/>
        <v/>
      </c>
    </row>
    <row r="187" spans="2:14">
      <c r="B187" s="1" t="str">
        <f>IF(Protokoll_4p!F153="","",IF(VALUE(LEFT(Protokoll_4p!F153,FIND(":",Protokoll_4p!F153)-1))&gt;VALUE(RIGHT(Protokoll_4p!F153,LEN(Protokoll_4p!F153)-FIND(":",Protokoll_4p!F153))),1,0))</f>
        <v/>
      </c>
      <c r="C187" s="1" t="str">
        <f>IF(Protokoll_4p!G153="","",IF(VALUE(LEFT(Protokoll_4p!G153,FIND(":",Protokoll_4p!G153)-1))&gt;VALUE(RIGHT(Protokoll_4p!G153,LEN(Protokoll_4p!G153)-FIND(":",Protokoll_4p!G153))),1,0))</f>
        <v/>
      </c>
      <c r="D187" s="1" t="str">
        <f>IF(Protokoll_4p!H153="","",IF(VALUE(LEFT(Protokoll_4p!H153,FIND(":",Protokoll_4p!H153)-1))&gt;VALUE(RIGHT(Protokoll_4p!H153,LEN(Protokoll_4p!H153)-FIND(":",Protokoll_4p!H153))),1,0))</f>
        <v/>
      </c>
      <c r="E187" s="1" t="str">
        <f>IF(Protokoll_4p!I153="","",IF(VALUE(LEFT(Protokoll_4p!I153,FIND(":",Protokoll_4p!I153)-1))&gt;VALUE(RIGHT(Protokoll_4p!I153,LEN(Protokoll_4p!I153)-FIND(":",Protokoll_4p!I153))),1,0))</f>
        <v/>
      </c>
      <c r="F187" s="1" t="str">
        <f>IF(Protokoll_4p!J153="","",IF(VALUE(LEFT(Protokoll_4p!J153,FIND(":",Protokoll_4p!J153)-1))&gt;VALUE(RIGHT(Protokoll_4p!J153,LEN(Protokoll_4p!J153)-FIND(":",Protokoll_4p!J153))),1,0))</f>
        <v/>
      </c>
      <c r="G187" s="1" t="str">
        <f t="shared" si="4"/>
        <v/>
      </c>
      <c r="I187" s="1" t="str">
        <f>IF(Protokoll_4p!F153="","",IF(VALUE(LEFT(Protokoll_4p!F153,FIND(":",Protokoll_4p!F153)-1))&gt;VALUE(RIGHT(Protokoll_4p!F153,LEN(Protokoll_4p!F153)-FIND(":",Protokoll_4p!F153))),0,1))</f>
        <v/>
      </c>
      <c r="J187" s="1" t="str">
        <f>IF(Protokoll_4p!G153="","",IF(VALUE(LEFT(Protokoll_4p!G153,FIND(":",Protokoll_4p!G153)-1))&gt;VALUE(RIGHT(Protokoll_4p!G153,LEN(Protokoll_4p!G153)-FIND(":",Protokoll_4p!G153))),0,1))</f>
        <v/>
      </c>
      <c r="K187" s="1" t="str">
        <f>IF(Protokoll_4p!H153="","",IF(VALUE(LEFT(Protokoll_4p!H153,FIND(":",Protokoll_4p!H153)-1))&gt;VALUE(RIGHT(Protokoll_4p!H153,LEN(Protokoll_4p!H153)-FIND(":",Protokoll_4p!H153))),0,1))</f>
        <v/>
      </c>
      <c r="L187" s="1" t="str">
        <f>IF(Protokoll_4p!I153="","",IF(VALUE(LEFT(Protokoll_4p!I153,FIND(":",Protokoll_4p!I153)-1))&gt;VALUE(RIGHT(Protokoll_4p!I153,LEN(Protokoll_4p!I153)-FIND(":",Protokoll_4p!I153))),0,1))</f>
        <v/>
      </c>
      <c r="M187" s="1" t="str">
        <f>IF(Protokoll_4p!J153="","",IF(VALUE(LEFT(Protokoll_4p!J153,FIND(":",Protokoll_4p!J153)-1))&gt;VALUE(RIGHT(Protokoll_4p!J153,LEN(Protokoll_4p!J153)-FIND(":",Protokoll_4p!J153))),0,1))</f>
        <v/>
      </c>
      <c r="N187" s="1" t="str">
        <f t="shared" si="5"/>
        <v/>
      </c>
    </row>
    <row r="188" spans="2:14">
      <c r="B188" s="1" t="str">
        <f>IF(Protokoll_4p!F154="","",IF(VALUE(LEFT(Protokoll_4p!F154,FIND(":",Protokoll_4p!F154)-1))&gt;VALUE(RIGHT(Protokoll_4p!F154,LEN(Protokoll_4p!F154)-FIND(":",Protokoll_4p!F154))),1,0))</f>
        <v/>
      </c>
      <c r="C188" s="1" t="str">
        <f>IF(Protokoll_4p!G154="","",IF(VALUE(LEFT(Protokoll_4p!G154,FIND(":",Protokoll_4p!G154)-1))&gt;VALUE(RIGHT(Protokoll_4p!G154,LEN(Protokoll_4p!G154)-FIND(":",Protokoll_4p!G154))),1,0))</f>
        <v/>
      </c>
      <c r="D188" s="1" t="str">
        <f>IF(Protokoll_4p!H154="","",IF(VALUE(LEFT(Protokoll_4p!H154,FIND(":",Protokoll_4p!H154)-1))&gt;VALUE(RIGHT(Protokoll_4p!H154,LEN(Protokoll_4p!H154)-FIND(":",Protokoll_4p!H154))),1,0))</f>
        <v/>
      </c>
      <c r="E188" s="1" t="str">
        <f>IF(Protokoll_4p!I154="","",IF(VALUE(LEFT(Protokoll_4p!I154,FIND(":",Protokoll_4p!I154)-1))&gt;VALUE(RIGHT(Protokoll_4p!I154,LEN(Protokoll_4p!I154)-FIND(":",Protokoll_4p!I154))),1,0))</f>
        <v/>
      </c>
      <c r="F188" s="1" t="str">
        <f>IF(Protokoll_4p!J154="","",IF(VALUE(LEFT(Protokoll_4p!J154,FIND(":",Protokoll_4p!J154)-1))&gt;VALUE(RIGHT(Protokoll_4p!J154,LEN(Protokoll_4p!J154)-FIND(":",Protokoll_4p!J154))),1,0))</f>
        <v/>
      </c>
      <c r="G188" s="1" t="str">
        <f t="shared" si="4"/>
        <v/>
      </c>
      <c r="I188" s="1" t="str">
        <f>IF(Protokoll_4p!F154="","",IF(VALUE(LEFT(Protokoll_4p!F154,FIND(":",Protokoll_4p!F154)-1))&gt;VALUE(RIGHT(Protokoll_4p!F154,LEN(Protokoll_4p!F154)-FIND(":",Protokoll_4p!F154))),0,1))</f>
        <v/>
      </c>
      <c r="J188" s="1" t="str">
        <f>IF(Protokoll_4p!G154="","",IF(VALUE(LEFT(Protokoll_4p!G154,FIND(":",Protokoll_4p!G154)-1))&gt;VALUE(RIGHT(Protokoll_4p!G154,LEN(Protokoll_4p!G154)-FIND(":",Protokoll_4p!G154))),0,1))</f>
        <v/>
      </c>
      <c r="K188" s="1" t="str">
        <f>IF(Protokoll_4p!H154="","",IF(VALUE(LEFT(Protokoll_4p!H154,FIND(":",Protokoll_4p!H154)-1))&gt;VALUE(RIGHT(Protokoll_4p!H154,LEN(Protokoll_4p!H154)-FIND(":",Protokoll_4p!H154))),0,1))</f>
        <v/>
      </c>
      <c r="L188" s="1" t="str">
        <f>IF(Protokoll_4p!I154="","",IF(VALUE(LEFT(Protokoll_4p!I154,FIND(":",Protokoll_4p!I154)-1))&gt;VALUE(RIGHT(Protokoll_4p!I154,LEN(Protokoll_4p!I154)-FIND(":",Protokoll_4p!I154))),0,1))</f>
        <v/>
      </c>
      <c r="M188" s="1" t="str">
        <f>IF(Protokoll_4p!J154="","",IF(VALUE(LEFT(Protokoll_4p!J154,FIND(":",Protokoll_4p!J154)-1))&gt;VALUE(RIGHT(Protokoll_4p!J154,LEN(Protokoll_4p!J154)-FIND(":",Protokoll_4p!J154))),0,1))</f>
        <v/>
      </c>
      <c r="N188" s="1" t="str">
        <f t="shared" si="5"/>
        <v/>
      </c>
    </row>
    <row r="189" spans="2:14">
      <c r="B189" s="1" t="str">
        <f>IF(Protokoll_4p!F155="","",IF(VALUE(LEFT(Protokoll_4p!F155,FIND(":",Protokoll_4p!F155)-1))&gt;VALUE(RIGHT(Protokoll_4p!F155,LEN(Protokoll_4p!F155)-FIND(":",Protokoll_4p!F155))),1,0))</f>
        <v/>
      </c>
      <c r="C189" s="1" t="str">
        <f>IF(Protokoll_4p!G155="","",IF(VALUE(LEFT(Protokoll_4p!G155,FIND(":",Protokoll_4p!G155)-1))&gt;VALUE(RIGHT(Protokoll_4p!G155,LEN(Protokoll_4p!G155)-FIND(":",Protokoll_4p!G155))),1,0))</f>
        <v/>
      </c>
      <c r="D189" s="1" t="str">
        <f>IF(Protokoll_4p!H155="","",IF(VALUE(LEFT(Protokoll_4p!H155,FIND(":",Protokoll_4p!H155)-1))&gt;VALUE(RIGHT(Protokoll_4p!H155,LEN(Protokoll_4p!H155)-FIND(":",Protokoll_4p!H155))),1,0))</f>
        <v/>
      </c>
      <c r="E189" s="1" t="str">
        <f>IF(Protokoll_4p!I155="","",IF(VALUE(LEFT(Protokoll_4p!I155,FIND(":",Protokoll_4p!I155)-1))&gt;VALUE(RIGHT(Protokoll_4p!I155,LEN(Protokoll_4p!I155)-FIND(":",Protokoll_4p!I155))),1,0))</f>
        <v/>
      </c>
      <c r="F189" s="1" t="str">
        <f>IF(Protokoll_4p!J155="","",IF(VALUE(LEFT(Protokoll_4p!J155,FIND(":",Protokoll_4p!J155)-1))&gt;VALUE(RIGHT(Protokoll_4p!J155,LEN(Protokoll_4p!J155)-FIND(":",Protokoll_4p!J155))),1,0))</f>
        <v/>
      </c>
      <c r="G189" s="1" t="str">
        <f t="shared" si="4"/>
        <v/>
      </c>
      <c r="I189" s="1" t="str">
        <f>IF(Protokoll_4p!F155="","",IF(VALUE(LEFT(Protokoll_4p!F155,FIND(":",Protokoll_4p!F155)-1))&gt;VALUE(RIGHT(Protokoll_4p!F155,LEN(Protokoll_4p!F155)-FIND(":",Protokoll_4p!F155))),0,1))</f>
        <v/>
      </c>
      <c r="J189" s="1" t="str">
        <f>IF(Protokoll_4p!G155="","",IF(VALUE(LEFT(Protokoll_4p!G155,FIND(":",Protokoll_4p!G155)-1))&gt;VALUE(RIGHT(Protokoll_4p!G155,LEN(Protokoll_4p!G155)-FIND(":",Protokoll_4p!G155))),0,1))</f>
        <v/>
      </c>
      <c r="K189" s="1" t="str">
        <f>IF(Protokoll_4p!H155="","",IF(VALUE(LEFT(Protokoll_4p!H155,FIND(":",Protokoll_4p!H155)-1))&gt;VALUE(RIGHT(Protokoll_4p!H155,LEN(Protokoll_4p!H155)-FIND(":",Protokoll_4p!H155))),0,1))</f>
        <v/>
      </c>
      <c r="L189" s="1" t="str">
        <f>IF(Protokoll_4p!I155="","",IF(VALUE(LEFT(Protokoll_4p!I155,FIND(":",Protokoll_4p!I155)-1))&gt;VALUE(RIGHT(Protokoll_4p!I155,LEN(Protokoll_4p!I155)-FIND(":",Protokoll_4p!I155))),0,1))</f>
        <v/>
      </c>
      <c r="M189" s="1" t="str">
        <f>IF(Protokoll_4p!J155="","",IF(VALUE(LEFT(Protokoll_4p!J155,FIND(":",Protokoll_4p!J155)-1))&gt;VALUE(RIGHT(Protokoll_4p!J155,LEN(Protokoll_4p!J155)-FIND(":",Protokoll_4p!J155))),0,1))</f>
        <v/>
      </c>
      <c r="N189" s="1" t="str">
        <f t="shared" si="5"/>
        <v/>
      </c>
    </row>
    <row r="190" spans="2:14">
      <c r="B190" s="1" t="str">
        <f>IF(Protokoll_4p!F156="","",IF(VALUE(LEFT(Protokoll_4p!F156,FIND(":",Protokoll_4p!F156)-1))&gt;VALUE(RIGHT(Protokoll_4p!F156,LEN(Protokoll_4p!F156)-FIND(":",Protokoll_4p!F156))),1,0))</f>
        <v/>
      </c>
      <c r="C190" s="1" t="str">
        <f>IF(Protokoll_4p!G156="","",IF(VALUE(LEFT(Protokoll_4p!G156,FIND(":",Protokoll_4p!G156)-1))&gt;VALUE(RIGHT(Protokoll_4p!G156,LEN(Protokoll_4p!G156)-FIND(":",Protokoll_4p!G156))),1,0))</f>
        <v/>
      </c>
      <c r="D190" s="1" t="str">
        <f>IF(Protokoll_4p!H156="","",IF(VALUE(LEFT(Protokoll_4p!H156,FIND(":",Protokoll_4p!H156)-1))&gt;VALUE(RIGHT(Protokoll_4p!H156,LEN(Protokoll_4p!H156)-FIND(":",Protokoll_4p!H156))),1,0))</f>
        <v/>
      </c>
      <c r="E190" s="1" t="str">
        <f>IF(Protokoll_4p!I156="","",IF(VALUE(LEFT(Protokoll_4p!I156,FIND(":",Protokoll_4p!I156)-1))&gt;VALUE(RIGHT(Protokoll_4p!I156,LEN(Protokoll_4p!I156)-FIND(":",Protokoll_4p!I156))),1,0))</f>
        <v/>
      </c>
      <c r="F190" s="1" t="str">
        <f>IF(Protokoll_4p!J156="","",IF(VALUE(LEFT(Protokoll_4p!J156,FIND(":",Protokoll_4p!J156)-1))&gt;VALUE(RIGHT(Protokoll_4p!J156,LEN(Protokoll_4p!J156)-FIND(":",Protokoll_4p!J156))),1,0))</f>
        <v/>
      </c>
      <c r="G190" s="1" t="str">
        <f t="shared" si="4"/>
        <v/>
      </c>
      <c r="I190" s="1" t="str">
        <f>IF(Protokoll_4p!F156="","",IF(VALUE(LEFT(Protokoll_4p!F156,FIND(":",Protokoll_4p!F156)-1))&gt;VALUE(RIGHT(Protokoll_4p!F156,LEN(Protokoll_4p!F156)-FIND(":",Protokoll_4p!F156))),0,1))</f>
        <v/>
      </c>
      <c r="J190" s="1" t="str">
        <f>IF(Protokoll_4p!G156="","",IF(VALUE(LEFT(Protokoll_4p!G156,FIND(":",Protokoll_4p!G156)-1))&gt;VALUE(RIGHT(Protokoll_4p!G156,LEN(Protokoll_4p!G156)-FIND(":",Protokoll_4p!G156))),0,1))</f>
        <v/>
      </c>
      <c r="K190" s="1" t="str">
        <f>IF(Protokoll_4p!H156="","",IF(VALUE(LEFT(Protokoll_4p!H156,FIND(":",Protokoll_4p!H156)-1))&gt;VALUE(RIGHT(Protokoll_4p!H156,LEN(Protokoll_4p!H156)-FIND(":",Protokoll_4p!H156))),0,1))</f>
        <v/>
      </c>
      <c r="L190" s="1" t="str">
        <f>IF(Protokoll_4p!I156="","",IF(VALUE(LEFT(Protokoll_4p!I156,FIND(":",Protokoll_4p!I156)-1))&gt;VALUE(RIGHT(Protokoll_4p!I156,LEN(Protokoll_4p!I156)-FIND(":",Protokoll_4p!I156))),0,1))</f>
        <v/>
      </c>
      <c r="M190" s="1" t="str">
        <f>IF(Protokoll_4p!J156="","",IF(VALUE(LEFT(Protokoll_4p!J156,FIND(":",Protokoll_4p!J156)-1))&gt;VALUE(RIGHT(Protokoll_4p!J156,LEN(Protokoll_4p!J156)-FIND(":",Protokoll_4p!J156))),0,1))</f>
        <v/>
      </c>
      <c r="N190" s="1" t="str">
        <f t="shared" si="5"/>
        <v/>
      </c>
    </row>
    <row r="191" spans="2:14">
      <c r="B191" s="1" t="str">
        <f>IF(Protokoll_4p!F157="","",IF(VALUE(LEFT(Protokoll_4p!F157,FIND(":",Protokoll_4p!F157)-1))&gt;VALUE(RIGHT(Protokoll_4p!F157,LEN(Protokoll_4p!F157)-FIND(":",Protokoll_4p!F157))),1,0))</f>
        <v/>
      </c>
      <c r="C191" s="1" t="str">
        <f>IF(Protokoll_4p!G157="","",IF(VALUE(LEFT(Protokoll_4p!G157,FIND(":",Protokoll_4p!G157)-1))&gt;VALUE(RIGHT(Protokoll_4p!G157,LEN(Protokoll_4p!G157)-FIND(":",Protokoll_4p!G157))),1,0))</f>
        <v/>
      </c>
      <c r="D191" s="1" t="str">
        <f>IF(Protokoll_4p!H157="","",IF(VALUE(LEFT(Protokoll_4p!H157,FIND(":",Protokoll_4p!H157)-1))&gt;VALUE(RIGHT(Protokoll_4p!H157,LEN(Protokoll_4p!H157)-FIND(":",Protokoll_4p!H157))),1,0))</f>
        <v/>
      </c>
      <c r="E191" s="1" t="str">
        <f>IF(Protokoll_4p!I157="","",IF(VALUE(LEFT(Protokoll_4p!I157,FIND(":",Protokoll_4p!I157)-1))&gt;VALUE(RIGHT(Protokoll_4p!I157,LEN(Protokoll_4p!I157)-FIND(":",Protokoll_4p!I157))),1,0))</f>
        <v/>
      </c>
      <c r="F191" s="1" t="str">
        <f>IF(Protokoll_4p!J157="","",IF(VALUE(LEFT(Protokoll_4p!J157,FIND(":",Protokoll_4p!J157)-1))&gt;VALUE(RIGHT(Protokoll_4p!J157,LEN(Protokoll_4p!J157)-FIND(":",Protokoll_4p!J157))),1,0))</f>
        <v/>
      </c>
      <c r="G191" s="1" t="str">
        <f t="shared" si="4"/>
        <v/>
      </c>
      <c r="I191" s="1" t="str">
        <f>IF(Protokoll_4p!F157="","",IF(VALUE(LEFT(Protokoll_4p!F157,FIND(":",Protokoll_4p!F157)-1))&gt;VALUE(RIGHT(Protokoll_4p!F157,LEN(Protokoll_4p!F157)-FIND(":",Protokoll_4p!F157))),0,1))</f>
        <v/>
      </c>
      <c r="J191" s="1" t="str">
        <f>IF(Protokoll_4p!G157="","",IF(VALUE(LEFT(Protokoll_4p!G157,FIND(":",Protokoll_4p!G157)-1))&gt;VALUE(RIGHT(Protokoll_4p!G157,LEN(Protokoll_4p!G157)-FIND(":",Protokoll_4p!G157))),0,1))</f>
        <v/>
      </c>
      <c r="K191" s="1" t="str">
        <f>IF(Protokoll_4p!H157="","",IF(VALUE(LEFT(Protokoll_4p!H157,FIND(":",Protokoll_4p!H157)-1))&gt;VALUE(RIGHT(Protokoll_4p!H157,LEN(Protokoll_4p!H157)-FIND(":",Protokoll_4p!H157))),0,1))</f>
        <v/>
      </c>
      <c r="L191" s="1" t="str">
        <f>IF(Protokoll_4p!I157="","",IF(VALUE(LEFT(Protokoll_4p!I157,FIND(":",Protokoll_4p!I157)-1))&gt;VALUE(RIGHT(Protokoll_4p!I157,LEN(Protokoll_4p!I157)-FIND(":",Protokoll_4p!I157))),0,1))</f>
        <v/>
      </c>
      <c r="M191" s="1" t="str">
        <f>IF(Protokoll_4p!J157="","",IF(VALUE(LEFT(Protokoll_4p!J157,FIND(":",Protokoll_4p!J157)-1))&gt;VALUE(RIGHT(Protokoll_4p!J157,LEN(Protokoll_4p!J157)-FIND(":",Protokoll_4p!J157))),0,1))</f>
        <v/>
      </c>
      <c r="N191" s="1" t="str">
        <f t="shared" si="5"/>
        <v/>
      </c>
    </row>
    <row r="192" spans="2:14">
      <c r="B192" s="1" t="str">
        <f>IF(Protokoll_4p!F158="","",IF(VALUE(LEFT(Protokoll_4p!F158,FIND(":",Protokoll_4p!F158)-1))&gt;VALUE(RIGHT(Protokoll_4p!F158,LEN(Protokoll_4p!F158)-FIND(":",Protokoll_4p!F158))),1,0))</f>
        <v/>
      </c>
      <c r="C192" s="1" t="str">
        <f>IF(Protokoll_4p!G158="","",IF(VALUE(LEFT(Protokoll_4p!G158,FIND(":",Protokoll_4p!G158)-1))&gt;VALUE(RIGHT(Protokoll_4p!G158,LEN(Protokoll_4p!G158)-FIND(":",Protokoll_4p!G158))),1,0))</f>
        <v/>
      </c>
      <c r="D192" s="1" t="str">
        <f>IF(Protokoll_4p!H158="","",IF(VALUE(LEFT(Protokoll_4p!H158,FIND(":",Protokoll_4p!H158)-1))&gt;VALUE(RIGHT(Protokoll_4p!H158,LEN(Protokoll_4p!H158)-FIND(":",Protokoll_4p!H158))),1,0))</f>
        <v/>
      </c>
      <c r="E192" s="1" t="str">
        <f>IF(Protokoll_4p!I158="","",IF(VALUE(LEFT(Protokoll_4p!I158,FIND(":",Protokoll_4p!I158)-1))&gt;VALUE(RIGHT(Protokoll_4p!I158,LEN(Protokoll_4p!I158)-FIND(":",Protokoll_4p!I158))),1,0))</f>
        <v/>
      </c>
      <c r="F192" s="1" t="str">
        <f>IF(Protokoll_4p!J158="","",IF(VALUE(LEFT(Protokoll_4p!J158,FIND(":",Protokoll_4p!J158)-1))&gt;VALUE(RIGHT(Protokoll_4p!J158,LEN(Protokoll_4p!J158)-FIND(":",Protokoll_4p!J158))),1,0))</f>
        <v/>
      </c>
      <c r="G192" s="1" t="str">
        <f t="shared" si="4"/>
        <v/>
      </c>
      <c r="I192" s="1" t="str">
        <f>IF(Protokoll_4p!F158="","",IF(VALUE(LEFT(Protokoll_4p!F158,FIND(":",Protokoll_4p!F158)-1))&gt;VALUE(RIGHT(Protokoll_4p!F158,LEN(Protokoll_4p!F158)-FIND(":",Protokoll_4p!F158))),0,1))</f>
        <v/>
      </c>
      <c r="J192" s="1" t="str">
        <f>IF(Protokoll_4p!G158="","",IF(VALUE(LEFT(Protokoll_4p!G158,FIND(":",Protokoll_4p!G158)-1))&gt;VALUE(RIGHT(Protokoll_4p!G158,LEN(Protokoll_4p!G158)-FIND(":",Protokoll_4p!G158))),0,1))</f>
        <v/>
      </c>
      <c r="K192" s="1" t="str">
        <f>IF(Protokoll_4p!H158="","",IF(VALUE(LEFT(Protokoll_4p!H158,FIND(":",Protokoll_4p!H158)-1))&gt;VALUE(RIGHT(Protokoll_4p!H158,LEN(Protokoll_4p!H158)-FIND(":",Protokoll_4p!H158))),0,1))</f>
        <v/>
      </c>
      <c r="L192" s="1" t="str">
        <f>IF(Protokoll_4p!I158="","",IF(VALUE(LEFT(Protokoll_4p!I158,FIND(":",Protokoll_4p!I158)-1))&gt;VALUE(RIGHT(Protokoll_4p!I158,LEN(Protokoll_4p!I158)-FIND(":",Protokoll_4p!I158))),0,1))</f>
        <v/>
      </c>
      <c r="M192" s="1" t="str">
        <f>IF(Protokoll_4p!J158="","",IF(VALUE(LEFT(Protokoll_4p!J158,FIND(":",Protokoll_4p!J158)-1))&gt;VALUE(RIGHT(Protokoll_4p!J158,LEN(Protokoll_4p!J158)-FIND(":",Protokoll_4p!J158))),0,1))</f>
        <v/>
      </c>
      <c r="N192" s="1" t="str">
        <f t="shared" si="5"/>
        <v/>
      </c>
    </row>
    <row r="193" spans="2:14">
      <c r="B193" s="1" t="str">
        <f>IF(Protokoll_4p!F159="","",IF(VALUE(LEFT(Protokoll_4p!F159,FIND(":",Protokoll_4p!F159)-1))&gt;VALUE(RIGHT(Protokoll_4p!F159,LEN(Protokoll_4p!F159)-FIND(":",Protokoll_4p!F159))),1,0))</f>
        <v/>
      </c>
      <c r="C193" s="1" t="str">
        <f>IF(Protokoll_4p!G159="","",IF(VALUE(LEFT(Protokoll_4p!G159,FIND(":",Protokoll_4p!G159)-1))&gt;VALUE(RIGHT(Protokoll_4p!G159,LEN(Protokoll_4p!G159)-FIND(":",Protokoll_4p!G159))),1,0))</f>
        <v/>
      </c>
      <c r="D193" s="1" t="str">
        <f>IF(Protokoll_4p!H159="","",IF(VALUE(LEFT(Protokoll_4p!H159,FIND(":",Protokoll_4p!H159)-1))&gt;VALUE(RIGHT(Protokoll_4p!H159,LEN(Protokoll_4p!H159)-FIND(":",Protokoll_4p!H159))),1,0))</f>
        <v/>
      </c>
      <c r="E193" s="1" t="str">
        <f>IF(Protokoll_4p!I159="","",IF(VALUE(LEFT(Protokoll_4p!I159,FIND(":",Protokoll_4p!I159)-1))&gt;VALUE(RIGHT(Protokoll_4p!I159,LEN(Protokoll_4p!I159)-FIND(":",Protokoll_4p!I159))),1,0))</f>
        <v/>
      </c>
      <c r="F193" s="1" t="str">
        <f>IF(Protokoll_4p!J159="","",IF(VALUE(LEFT(Protokoll_4p!J159,FIND(":",Protokoll_4p!J159)-1))&gt;VALUE(RIGHT(Protokoll_4p!J159,LEN(Protokoll_4p!J159)-FIND(":",Protokoll_4p!J159))),1,0))</f>
        <v/>
      </c>
      <c r="G193" s="1" t="str">
        <f t="shared" si="4"/>
        <v/>
      </c>
      <c r="I193" s="1" t="str">
        <f>IF(Protokoll_4p!F159="","",IF(VALUE(LEFT(Protokoll_4p!F159,FIND(":",Protokoll_4p!F159)-1))&gt;VALUE(RIGHT(Protokoll_4p!F159,LEN(Protokoll_4p!F159)-FIND(":",Protokoll_4p!F159))),0,1))</f>
        <v/>
      </c>
      <c r="J193" s="1" t="str">
        <f>IF(Protokoll_4p!G159="","",IF(VALUE(LEFT(Protokoll_4p!G159,FIND(":",Protokoll_4p!G159)-1))&gt;VALUE(RIGHT(Protokoll_4p!G159,LEN(Protokoll_4p!G159)-FIND(":",Protokoll_4p!G159))),0,1))</f>
        <v/>
      </c>
      <c r="K193" s="1" t="str">
        <f>IF(Protokoll_4p!H159="","",IF(VALUE(LEFT(Protokoll_4p!H159,FIND(":",Protokoll_4p!H159)-1))&gt;VALUE(RIGHT(Protokoll_4p!H159,LEN(Protokoll_4p!H159)-FIND(":",Protokoll_4p!H159))),0,1))</f>
        <v/>
      </c>
      <c r="L193" s="1" t="str">
        <f>IF(Protokoll_4p!I159="","",IF(VALUE(LEFT(Protokoll_4p!I159,FIND(":",Protokoll_4p!I159)-1))&gt;VALUE(RIGHT(Protokoll_4p!I159,LEN(Protokoll_4p!I159)-FIND(":",Protokoll_4p!I159))),0,1))</f>
        <v/>
      </c>
      <c r="M193" s="1" t="str">
        <f>IF(Protokoll_4p!J159="","",IF(VALUE(LEFT(Protokoll_4p!J159,FIND(":",Protokoll_4p!J159)-1))&gt;VALUE(RIGHT(Protokoll_4p!J159,LEN(Protokoll_4p!J159)-FIND(":",Protokoll_4p!J159))),0,1))</f>
        <v/>
      </c>
      <c r="N193" s="1" t="str">
        <f t="shared" si="5"/>
        <v/>
      </c>
    </row>
    <row r="194" spans="2:14">
      <c r="B194" s="1" t="str">
        <f>IF(Protokoll_4p!F160="","",IF(VALUE(LEFT(Protokoll_4p!F160,FIND(":",Protokoll_4p!F160)-1))&gt;VALUE(RIGHT(Protokoll_4p!F160,LEN(Protokoll_4p!F160)-FIND(":",Protokoll_4p!F160))),1,0))</f>
        <v/>
      </c>
      <c r="C194" s="1" t="str">
        <f>IF(Protokoll_4p!G160="","",IF(VALUE(LEFT(Protokoll_4p!G160,FIND(":",Protokoll_4p!G160)-1))&gt;VALUE(RIGHT(Protokoll_4p!G160,LEN(Protokoll_4p!G160)-FIND(":",Protokoll_4p!G160))),1,0))</f>
        <v/>
      </c>
      <c r="D194" s="1" t="str">
        <f>IF(Protokoll_4p!H160="","",IF(VALUE(LEFT(Protokoll_4p!H160,FIND(":",Protokoll_4p!H160)-1))&gt;VALUE(RIGHT(Protokoll_4p!H160,LEN(Protokoll_4p!H160)-FIND(":",Protokoll_4p!H160))),1,0))</f>
        <v/>
      </c>
      <c r="E194" s="1" t="str">
        <f>IF(Protokoll_4p!I160="","",IF(VALUE(LEFT(Protokoll_4p!I160,FIND(":",Protokoll_4p!I160)-1))&gt;VALUE(RIGHT(Protokoll_4p!I160,LEN(Protokoll_4p!I160)-FIND(":",Protokoll_4p!I160))),1,0))</f>
        <v/>
      </c>
      <c r="F194" s="1" t="str">
        <f>IF(Protokoll_4p!J160="","",IF(VALUE(LEFT(Protokoll_4p!J160,FIND(":",Protokoll_4p!J160)-1))&gt;VALUE(RIGHT(Protokoll_4p!J160,LEN(Protokoll_4p!J160)-FIND(":",Protokoll_4p!J160))),1,0))</f>
        <v/>
      </c>
      <c r="G194" s="1" t="str">
        <f t="shared" si="4"/>
        <v/>
      </c>
      <c r="I194" s="1" t="str">
        <f>IF(Protokoll_4p!F160="","",IF(VALUE(LEFT(Protokoll_4p!F160,FIND(":",Protokoll_4p!F160)-1))&gt;VALUE(RIGHT(Protokoll_4p!F160,LEN(Protokoll_4p!F160)-FIND(":",Protokoll_4p!F160))),0,1))</f>
        <v/>
      </c>
      <c r="J194" s="1" t="str">
        <f>IF(Protokoll_4p!G160="","",IF(VALUE(LEFT(Protokoll_4p!G160,FIND(":",Protokoll_4p!G160)-1))&gt;VALUE(RIGHT(Protokoll_4p!G160,LEN(Protokoll_4p!G160)-FIND(":",Protokoll_4p!G160))),0,1))</f>
        <v/>
      </c>
      <c r="K194" s="1" t="str">
        <f>IF(Protokoll_4p!H160="","",IF(VALUE(LEFT(Protokoll_4p!H160,FIND(":",Protokoll_4p!H160)-1))&gt;VALUE(RIGHT(Protokoll_4p!H160,LEN(Protokoll_4p!H160)-FIND(":",Protokoll_4p!H160))),0,1))</f>
        <v/>
      </c>
      <c r="L194" s="1" t="str">
        <f>IF(Protokoll_4p!I160="","",IF(VALUE(LEFT(Protokoll_4p!I160,FIND(":",Protokoll_4p!I160)-1))&gt;VALUE(RIGHT(Protokoll_4p!I160,LEN(Protokoll_4p!I160)-FIND(":",Protokoll_4p!I160))),0,1))</f>
        <v/>
      </c>
      <c r="M194" s="1" t="str">
        <f>IF(Protokoll_4p!J160="","",IF(VALUE(LEFT(Protokoll_4p!J160,FIND(":",Protokoll_4p!J160)-1))&gt;VALUE(RIGHT(Protokoll_4p!J160,LEN(Protokoll_4p!J160)-FIND(":",Protokoll_4p!J160))),0,1))</f>
        <v/>
      </c>
      <c r="N194" s="1" t="str">
        <f t="shared" si="5"/>
        <v/>
      </c>
    </row>
    <row r="195" spans="2:14">
      <c r="B195" s="1" t="str">
        <f>IF(Protokoll_4p!F161="","",IF(VALUE(LEFT(Protokoll_4p!F161,FIND(":",Protokoll_4p!F161)-1))&gt;VALUE(RIGHT(Protokoll_4p!F161,LEN(Protokoll_4p!F161)-FIND(":",Protokoll_4p!F161))),1,0))</f>
        <v/>
      </c>
      <c r="C195" s="1" t="str">
        <f>IF(Protokoll_4p!G161="","",IF(VALUE(LEFT(Protokoll_4p!G161,FIND(":",Protokoll_4p!G161)-1))&gt;VALUE(RIGHT(Protokoll_4p!G161,LEN(Protokoll_4p!G161)-FIND(":",Protokoll_4p!G161))),1,0))</f>
        <v/>
      </c>
      <c r="D195" s="1" t="str">
        <f>IF(Protokoll_4p!H161="","",IF(VALUE(LEFT(Protokoll_4p!H161,FIND(":",Protokoll_4p!H161)-1))&gt;VALUE(RIGHT(Protokoll_4p!H161,LEN(Protokoll_4p!H161)-FIND(":",Protokoll_4p!H161))),1,0))</f>
        <v/>
      </c>
      <c r="E195" s="1" t="str">
        <f>IF(Protokoll_4p!I161="","",IF(VALUE(LEFT(Protokoll_4p!I161,FIND(":",Protokoll_4p!I161)-1))&gt;VALUE(RIGHT(Protokoll_4p!I161,LEN(Protokoll_4p!I161)-FIND(":",Protokoll_4p!I161))),1,0))</f>
        <v/>
      </c>
      <c r="F195" s="1" t="str">
        <f>IF(Protokoll_4p!J161="","",IF(VALUE(LEFT(Protokoll_4p!J161,FIND(":",Protokoll_4p!J161)-1))&gt;VALUE(RIGHT(Protokoll_4p!J161,LEN(Protokoll_4p!J161)-FIND(":",Protokoll_4p!J161))),1,0))</f>
        <v/>
      </c>
      <c r="G195" s="1" t="str">
        <f t="shared" ref="G195:G258" si="6">IF(B195="","",SUM(B195:F195))</f>
        <v/>
      </c>
      <c r="I195" s="1" t="str">
        <f>IF(Protokoll_4p!F161="","",IF(VALUE(LEFT(Protokoll_4p!F161,FIND(":",Protokoll_4p!F161)-1))&gt;VALUE(RIGHT(Protokoll_4p!F161,LEN(Protokoll_4p!F161)-FIND(":",Protokoll_4p!F161))),0,1))</f>
        <v/>
      </c>
      <c r="J195" s="1" t="str">
        <f>IF(Protokoll_4p!G161="","",IF(VALUE(LEFT(Protokoll_4p!G161,FIND(":",Protokoll_4p!G161)-1))&gt;VALUE(RIGHT(Protokoll_4p!G161,LEN(Protokoll_4p!G161)-FIND(":",Protokoll_4p!G161))),0,1))</f>
        <v/>
      </c>
      <c r="K195" s="1" t="str">
        <f>IF(Protokoll_4p!H161="","",IF(VALUE(LEFT(Protokoll_4p!H161,FIND(":",Protokoll_4p!H161)-1))&gt;VALUE(RIGHT(Protokoll_4p!H161,LEN(Protokoll_4p!H161)-FIND(":",Protokoll_4p!H161))),0,1))</f>
        <v/>
      </c>
      <c r="L195" s="1" t="str">
        <f>IF(Protokoll_4p!I161="","",IF(VALUE(LEFT(Protokoll_4p!I161,FIND(":",Protokoll_4p!I161)-1))&gt;VALUE(RIGHT(Protokoll_4p!I161,LEN(Protokoll_4p!I161)-FIND(":",Protokoll_4p!I161))),0,1))</f>
        <v/>
      </c>
      <c r="M195" s="1" t="str">
        <f>IF(Protokoll_4p!J161="","",IF(VALUE(LEFT(Protokoll_4p!J161,FIND(":",Protokoll_4p!J161)-1))&gt;VALUE(RIGHT(Protokoll_4p!J161,LEN(Protokoll_4p!J161)-FIND(":",Protokoll_4p!J161))),0,1))</f>
        <v/>
      </c>
      <c r="N195" s="1" t="str">
        <f t="shared" ref="N195:N258" si="7">IF(I195="","",SUM(I195:M195))</f>
        <v/>
      </c>
    </row>
    <row r="196" spans="2:14">
      <c r="B196" s="1" t="str">
        <f>IF(Protokoll_4p!F162="","",IF(VALUE(LEFT(Protokoll_4p!F162,FIND(":",Protokoll_4p!F162)-1))&gt;VALUE(RIGHT(Protokoll_4p!F162,LEN(Protokoll_4p!F162)-FIND(":",Protokoll_4p!F162))),1,0))</f>
        <v/>
      </c>
      <c r="C196" s="1" t="str">
        <f>IF(Protokoll_4p!G162="","",IF(VALUE(LEFT(Protokoll_4p!G162,FIND(":",Protokoll_4p!G162)-1))&gt;VALUE(RIGHT(Protokoll_4p!G162,LEN(Protokoll_4p!G162)-FIND(":",Protokoll_4p!G162))),1,0))</f>
        <v/>
      </c>
      <c r="D196" s="1" t="str">
        <f>IF(Protokoll_4p!H162="","",IF(VALUE(LEFT(Protokoll_4p!H162,FIND(":",Protokoll_4p!H162)-1))&gt;VALUE(RIGHT(Protokoll_4p!H162,LEN(Protokoll_4p!H162)-FIND(":",Protokoll_4p!H162))),1,0))</f>
        <v/>
      </c>
      <c r="E196" s="1" t="str">
        <f>IF(Protokoll_4p!I162="","",IF(VALUE(LEFT(Protokoll_4p!I162,FIND(":",Protokoll_4p!I162)-1))&gt;VALUE(RIGHT(Protokoll_4p!I162,LEN(Protokoll_4p!I162)-FIND(":",Protokoll_4p!I162))),1,0))</f>
        <v/>
      </c>
      <c r="F196" s="1" t="str">
        <f>IF(Protokoll_4p!J162="","",IF(VALUE(LEFT(Protokoll_4p!J162,FIND(":",Protokoll_4p!J162)-1))&gt;VALUE(RIGHT(Protokoll_4p!J162,LEN(Protokoll_4p!J162)-FIND(":",Protokoll_4p!J162))),1,0))</f>
        <v/>
      </c>
      <c r="G196" s="1" t="str">
        <f t="shared" si="6"/>
        <v/>
      </c>
      <c r="I196" s="1" t="str">
        <f>IF(Protokoll_4p!F162="","",IF(VALUE(LEFT(Protokoll_4p!F162,FIND(":",Protokoll_4p!F162)-1))&gt;VALUE(RIGHT(Protokoll_4p!F162,LEN(Protokoll_4p!F162)-FIND(":",Protokoll_4p!F162))),0,1))</f>
        <v/>
      </c>
      <c r="J196" s="1" t="str">
        <f>IF(Protokoll_4p!G162="","",IF(VALUE(LEFT(Protokoll_4p!G162,FIND(":",Protokoll_4p!G162)-1))&gt;VALUE(RIGHT(Protokoll_4p!G162,LEN(Protokoll_4p!G162)-FIND(":",Protokoll_4p!G162))),0,1))</f>
        <v/>
      </c>
      <c r="K196" s="1" t="str">
        <f>IF(Protokoll_4p!H162="","",IF(VALUE(LEFT(Protokoll_4p!H162,FIND(":",Protokoll_4p!H162)-1))&gt;VALUE(RIGHT(Protokoll_4p!H162,LEN(Protokoll_4p!H162)-FIND(":",Protokoll_4p!H162))),0,1))</f>
        <v/>
      </c>
      <c r="L196" s="1" t="str">
        <f>IF(Protokoll_4p!I162="","",IF(VALUE(LEFT(Protokoll_4p!I162,FIND(":",Protokoll_4p!I162)-1))&gt;VALUE(RIGHT(Protokoll_4p!I162,LEN(Protokoll_4p!I162)-FIND(":",Protokoll_4p!I162))),0,1))</f>
        <v/>
      </c>
      <c r="M196" s="1" t="str">
        <f>IF(Protokoll_4p!J162="","",IF(VALUE(LEFT(Protokoll_4p!J162,FIND(":",Protokoll_4p!J162)-1))&gt;VALUE(RIGHT(Protokoll_4p!J162,LEN(Protokoll_4p!J162)-FIND(":",Protokoll_4p!J162))),0,1))</f>
        <v/>
      </c>
      <c r="N196" s="1" t="str">
        <f t="shared" si="7"/>
        <v/>
      </c>
    </row>
    <row r="197" spans="2:14">
      <c r="B197" s="1" t="str">
        <f>IF(Protokoll_4p!F163="","",IF(VALUE(LEFT(Protokoll_4p!F163,FIND(":",Protokoll_4p!F163)-1))&gt;VALUE(RIGHT(Protokoll_4p!F163,LEN(Protokoll_4p!F163)-FIND(":",Protokoll_4p!F163))),1,0))</f>
        <v/>
      </c>
      <c r="C197" s="1" t="str">
        <f>IF(Protokoll_4p!G163="","",IF(VALUE(LEFT(Protokoll_4p!G163,FIND(":",Protokoll_4p!G163)-1))&gt;VALUE(RIGHT(Protokoll_4p!G163,LEN(Protokoll_4p!G163)-FIND(":",Protokoll_4p!G163))),1,0))</f>
        <v/>
      </c>
      <c r="D197" s="1" t="str">
        <f>IF(Protokoll_4p!H163="","",IF(VALUE(LEFT(Protokoll_4p!H163,FIND(":",Protokoll_4p!H163)-1))&gt;VALUE(RIGHT(Protokoll_4p!H163,LEN(Protokoll_4p!H163)-FIND(":",Protokoll_4p!H163))),1,0))</f>
        <v/>
      </c>
      <c r="E197" s="1" t="str">
        <f>IF(Protokoll_4p!I163="","",IF(VALUE(LEFT(Protokoll_4p!I163,FIND(":",Protokoll_4p!I163)-1))&gt;VALUE(RIGHT(Protokoll_4p!I163,LEN(Protokoll_4p!I163)-FIND(":",Protokoll_4p!I163))),1,0))</f>
        <v/>
      </c>
      <c r="F197" s="1" t="str">
        <f>IF(Protokoll_4p!J163="","",IF(VALUE(LEFT(Protokoll_4p!J163,FIND(":",Protokoll_4p!J163)-1))&gt;VALUE(RIGHT(Protokoll_4p!J163,LEN(Protokoll_4p!J163)-FIND(":",Protokoll_4p!J163))),1,0))</f>
        <v/>
      </c>
      <c r="G197" s="1" t="str">
        <f t="shared" si="6"/>
        <v/>
      </c>
      <c r="I197" s="1" t="str">
        <f>IF(Protokoll_4p!F163="","",IF(VALUE(LEFT(Protokoll_4p!F163,FIND(":",Protokoll_4p!F163)-1))&gt;VALUE(RIGHT(Protokoll_4p!F163,LEN(Protokoll_4p!F163)-FIND(":",Protokoll_4p!F163))),0,1))</f>
        <v/>
      </c>
      <c r="J197" s="1" t="str">
        <f>IF(Protokoll_4p!G163="","",IF(VALUE(LEFT(Protokoll_4p!G163,FIND(":",Protokoll_4p!G163)-1))&gt;VALUE(RIGHT(Protokoll_4p!G163,LEN(Protokoll_4p!G163)-FIND(":",Protokoll_4p!G163))),0,1))</f>
        <v/>
      </c>
      <c r="K197" s="1" t="str">
        <f>IF(Protokoll_4p!H163="","",IF(VALUE(LEFT(Protokoll_4p!H163,FIND(":",Protokoll_4p!H163)-1))&gt;VALUE(RIGHT(Protokoll_4p!H163,LEN(Protokoll_4p!H163)-FIND(":",Protokoll_4p!H163))),0,1))</f>
        <v/>
      </c>
      <c r="L197" s="1" t="str">
        <f>IF(Protokoll_4p!I163="","",IF(VALUE(LEFT(Protokoll_4p!I163,FIND(":",Protokoll_4p!I163)-1))&gt;VALUE(RIGHT(Protokoll_4p!I163,LEN(Protokoll_4p!I163)-FIND(":",Protokoll_4p!I163))),0,1))</f>
        <v/>
      </c>
      <c r="M197" s="1" t="str">
        <f>IF(Protokoll_4p!J163="","",IF(VALUE(LEFT(Protokoll_4p!J163,FIND(":",Protokoll_4p!J163)-1))&gt;VALUE(RIGHT(Protokoll_4p!J163,LEN(Protokoll_4p!J163)-FIND(":",Protokoll_4p!J163))),0,1))</f>
        <v/>
      </c>
      <c r="N197" s="1" t="str">
        <f t="shared" si="7"/>
        <v/>
      </c>
    </row>
    <row r="198" spans="2:14">
      <c r="B198" s="1" t="str">
        <f>IF(Protokoll_4p!F164="","",IF(VALUE(LEFT(Protokoll_4p!F164,FIND(":",Protokoll_4p!F164)-1))&gt;VALUE(RIGHT(Protokoll_4p!F164,LEN(Protokoll_4p!F164)-FIND(":",Protokoll_4p!F164))),1,0))</f>
        <v/>
      </c>
      <c r="C198" s="1" t="str">
        <f>IF(Protokoll_4p!G164="","",IF(VALUE(LEFT(Protokoll_4p!G164,FIND(":",Protokoll_4p!G164)-1))&gt;VALUE(RIGHT(Protokoll_4p!G164,LEN(Protokoll_4p!G164)-FIND(":",Protokoll_4p!G164))),1,0))</f>
        <v/>
      </c>
      <c r="D198" s="1" t="str">
        <f>IF(Protokoll_4p!H164="","",IF(VALUE(LEFT(Protokoll_4p!H164,FIND(":",Protokoll_4p!H164)-1))&gt;VALUE(RIGHT(Protokoll_4p!H164,LEN(Protokoll_4p!H164)-FIND(":",Protokoll_4p!H164))),1,0))</f>
        <v/>
      </c>
      <c r="E198" s="1" t="str">
        <f>IF(Protokoll_4p!I164="","",IF(VALUE(LEFT(Protokoll_4p!I164,FIND(":",Protokoll_4p!I164)-1))&gt;VALUE(RIGHT(Protokoll_4p!I164,LEN(Protokoll_4p!I164)-FIND(":",Protokoll_4p!I164))),1,0))</f>
        <v/>
      </c>
      <c r="F198" s="1" t="str">
        <f>IF(Protokoll_4p!J164="","",IF(VALUE(LEFT(Protokoll_4p!J164,FIND(":",Protokoll_4p!J164)-1))&gt;VALUE(RIGHT(Protokoll_4p!J164,LEN(Protokoll_4p!J164)-FIND(":",Protokoll_4p!J164))),1,0))</f>
        <v/>
      </c>
      <c r="G198" s="1" t="str">
        <f t="shared" si="6"/>
        <v/>
      </c>
      <c r="I198" s="1" t="str">
        <f>IF(Protokoll_4p!F164="","",IF(VALUE(LEFT(Protokoll_4p!F164,FIND(":",Protokoll_4p!F164)-1))&gt;VALUE(RIGHT(Protokoll_4p!F164,LEN(Protokoll_4p!F164)-FIND(":",Protokoll_4p!F164))),0,1))</f>
        <v/>
      </c>
      <c r="J198" s="1" t="str">
        <f>IF(Protokoll_4p!G164="","",IF(VALUE(LEFT(Protokoll_4p!G164,FIND(":",Protokoll_4p!G164)-1))&gt;VALUE(RIGHT(Protokoll_4p!G164,LEN(Protokoll_4p!G164)-FIND(":",Protokoll_4p!G164))),0,1))</f>
        <v/>
      </c>
      <c r="K198" s="1" t="str">
        <f>IF(Protokoll_4p!H164="","",IF(VALUE(LEFT(Protokoll_4p!H164,FIND(":",Protokoll_4p!H164)-1))&gt;VALUE(RIGHT(Protokoll_4p!H164,LEN(Protokoll_4p!H164)-FIND(":",Protokoll_4p!H164))),0,1))</f>
        <v/>
      </c>
      <c r="L198" s="1" t="str">
        <f>IF(Protokoll_4p!I164="","",IF(VALUE(LEFT(Protokoll_4p!I164,FIND(":",Protokoll_4p!I164)-1))&gt;VALUE(RIGHT(Protokoll_4p!I164,LEN(Protokoll_4p!I164)-FIND(":",Protokoll_4p!I164))),0,1))</f>
        <v/>
      </c>
      <c r="M198" s="1" t="str">
        <f>IF(Protokoll_4p!J164="","",IF(VALUE(LEFT(Protokoll_4p!J164,FIND(":",Protokoll_4p!J164)-1))&gt;VALUE(RIGHT(Protokoll_4p!J164,LEN(Protokoll_4p!J164)-FIND(":",Protokoll_4p!J164))),0,1))</f>
        <v/>
      </c>
      <c r="N198" s="1" t="str">
        <f t="shared" si="7"/>
        <v/>
      </c>
    </row>
    <row r="199" spans="2:14">
      <c r="B199" s="1" t="str">
        <f>IF(Protokoll_4p!F165="","",IF(VALUE(LEFT(Protokoll_4p!F165,FIND(":",Protokoll_4p!F165)-1))&gt;VALUE(RIGHT(Protokoll_4p!F165,LEN(Protokoll_4p!F165)-FIND(":",Protokoll_4p!F165))),1,0))</f>
        <v/>
      </c>
      <c r="C199" s="1" t="str">
        <f>IF(Protokoll_4p!G165="","",IF(VALUE(LEFT(Protokoll_4p!G165,FIND(":",Protokoll_4p!G165)-1))&gt;VALUE(RIGHT(Protokoll_4p!G165,LEN(Protokoll_4p!G165)-FIND(":",Protokoll_4p!G165))),1,0))</f>
        <v/>
      </c>
      <c r="D199" s="1" t="str">
        <f>IF(Protokoll_4p!H165="","",IF(VALUE(LEFT(Protokoll_4p!H165,FIND(":",Protokoll_4p!H165)-1))&gt;VALUE(RIGHT(Protokoll_4p!H165,LEN(Protokoll_4p!H165)-FIND(":",Protokoll_4p!H165))),1,0))</f>
        <v/>
      </c>
      <c r="E199" s="1" t="str">
        <f>IF(Protokoll_4p!I165="","",IF(VALUE(LEFT(Protokoll_4p!I165,FIND(":",Protokoll_4p!I165)-1))&gt;VALUE(RIGHT(Protokoll_4p!I165,LEN(Protokoll_4p!I165)-FIND(":",Protokoll_4p!I165))),1,0))</f>
        <v/>
      </c>
      <c r="F199" s="1" t="str">
        <f>IF(Protokoll_4p!J165="","",IF(VALUE(LEFT(Protokoll_4p!J165,FIND(":",Protokoll_4p!J165)-1))&gt;VALUE(RIGHT(Protokoll_4p!J165,LEN(Protokoll_4p!J165)-FIND(":",Protokoll_4p!J165))),1,0))</f>
        <v/>
      </c>
      <c r="G199" s="1" t="str">
        <f t="shared" si="6"/>
        <v/>
      </c>
      <c r="I199" s="1" t="str">
        <f>IF(Protokoll_4p!F165="","",IF(VALUE(LEFT(Protokoll_4p!F165,FIND(":",Protokoll_4p!F165)-1))&gt;VALUE(RIGHT(Protokoll_4p!F165,LEN(Protokoll_4p!F165)-FIND(":",Protokoll_4p!F165))),0,1))</f>
        <v/>
      </c>
      <c r="J199" s="1" t="str">
        <f>IF(Protokoll_4p!G165="","",IF(VALUE(LEFT(Protokoll_4p!G165,FIND(":",Protokoll_4p!G165)-1))&gt;VALUE(RIGHT(Protokoll_4p!G165,LEN(Protokoll_4p!G165)-FIND(":",Protokoll_4p!G165))),0,1))</f>
        <v/>
      </c>
      <c r="K199" s="1" t="str">
        <f>IF(Protokoll_4p!H165="","",IF(VALUE(LEFT(Protokoll_4p!H165,FIND(":",Protokoll_4p!H165)-1))&gt;VALUE(RIGHT(Protokoll_4p!H165,LEN(Protokoll_4p!H165)-FIND(":",Protokoll_4p!H165))),0,1))</f>
        <v/>
      </c>
      <c r="L199" s="1" t="str">
        <f>IF(Protokoll_4p!I165="","",IF(VALUE(LEFT(Protokoll_4p!I165,FIND(":",Protokoll_4p!I165)-1))&gt;VALUE(RIGHT(Protokoll_4p!I165,LEN(Protokoll_4p!I165)-FIND(":",Protokoll_4p!I165))),0,1))</f>
        <v/>
      </c>
      <c r="M199" s="1" t="str">
        <f>IF(Protokoll_4p!J165="","",IF(VALUE(LEFT(Protokoll_4p!J165,FIND(":",Protokoll_4p!J165)-1))&gt;VALUE(RIGHT(Protokoll_4p!J165,LEN(Protokoll_4p!J165)-FIND(":",Protokoll_4p!J165))),0,1))</f>
        <v/>
      </c>
      <c r="N199" s="1" t="str">
        <f t="shared" si="7"/>
        <v/>
      </c>
    </row>
    <row r="200" spans="2:14">
      <c r="B200" s="1" t="str">
        <f>IF(Protokoll_4p!F166="","",IF(VALUE(LEFT(Protokoll_4p!F166,FIND(":",Protokoll_4p!F166)-1))&gt;VALUE(RIGHT(Protokoll_4p!F166,LEN(Protokoll_4p!F166)-FIND(":",Protokoll_4p!F166))),1,0))</f>
        <v/>
      </c>
      <c r="C200" s="1" t="str">
        <f>IF(Protokoll_4p!G166="","",IF(VALUE(LEFT(Protokoll_4p!G166,FIND(":",Protokoll_4p!G166)-1))&gt;VALUE(RIGHT(Protokoll_4p!G166,LEN(Protokoll_4p!G166)-FIND(":",Protokoll_4p!G166))),1,0))</f>
        <v/>
      </c>
      <c r="D200" s="1" t="str">
        <f>IF(Protokoll_4p!H166="","",IF(VALUE(LEFT(Protokoll_4p!H166,FIND(":",Protokoll_4p!H166)-1))&gt;VALUE(RIGHT(Protokoll_4p!H166,LEN(Protokoll_4p!H166)-FIND(":",Protokoll_4p!H166))),1,0))</f>
        <v/>
      </c>
      <c r="E200" s="1" t="str">
        <f>IF(Protokoll_4p!I166="","",IF(VALUE(LEFT(Protokoll_4p!I166,FIND(":",Protokoll_4p!I166)-1))&gt;VALUE(RIGHT(Protokoll_4p!I166,LEN(Protokoll_4p!I166)-FIND(":",Protokoll_4p!I166))),1,0))</f>
        <v/>
      </c>
      <c r="F200" s="1" t="str">
        <f>IF(Protokoll_4p!J166="","",IF(VALUE(LEFT(Protokoll_4p!J166,FIND(":",Protokoll_4p!J166)-1))&gt;VALUE(RIGHT(Protokoll_4p!J166,LEN(Protokoll_4p!J166)-FIND(":",Protokoll_4p!J166))),1,0))</f>
        <v/>
      </c>
      <c r="G200" s="1" t="str">
        <f t="shared" si="6"/>
        <v/>
      </c>
      <c r="I200" s="1" t="str">
        <f>IF(Protokoll_4p!F166="","",IF(VALUE(LEFT(Protokoll_4p!F166,FIND(":",Protokoll_4p!F166)-1))&gt;VALUE(RIGHT(Protokoll_4p!F166,LEN(Protokoll_4p!F166)-FIND(":",Protokoll_4p!F166))),0,1))</f>
        <v/>
      </c>
      <c r="J200" s="1" t="str">
        <f>IF(Protokoll_4p!G166="","",IF(VALUE(LEFT(Protokoll_4p!G166,FIND(":",Protokoll_4p!G166)-1))&gt;VALUE(RIGHT(Protokoll_4p!G166,LEN(Protokoll_4p!G166)-FIND(":",Protokoll_4p!G166))),0,1))</f>
        <v/>
      </c>
      <c r="K200" s="1" t="str">
        <f>IF(Protokoll_4p!H166="","",IF(VALUE(LEFT(Protokoll_4p!H166,FIND(":",Protokoll_4p!H166)-1))&gt;VALUE(RIGHT(Protokoll_4p!H166,LEN(Protokoll_4p!H166)-FIND(":",Protokoll_4p!H166))),0,1))</f>
        <v/>
      </c>
      <c r="L200" s="1" t="str">
        <f>IF(Protokoll_4p!I166="","",IF(VALUE(LEFT(Protokoll_4p!I166,FIND(":",Protokoll_4p!I166)-1))&gt;VALUE(RIGHT(Protokoll_4p!I166,LEN(Protokoll_4p!I166)-FIND(":",Protokoll_4p!I166))),0,1))</f>
        <v/>
      </c>
      <c r="M200" s="1" t="str">
        <f>IF(Protokoll_4p!J166="","",IF(VALUE(LEFT(Protokoll_4p!J166,FIND(":",Protokoll_4p!J166)-1))&gt;VALUE(RIGHT(Protokoll_4p!J166,LEN(Protokoll_4p!J166)-FIND(":",Protokoll_4p!J166))),0,1))</f>
        <v/>
      </c>
      <c r="N200" s="1" t="str">
        <f t="shared" si="7"/>
        <v/>
      </c>
    </row>
    <row r="201" spans="2:14">
      <c r="B201" s="1" t="str">
        <f>IF(Protokoll_4p!F167="","",IF(VALUE(LEFT(Protokoll_4p!F167,FIND(":",Protokoll_4p!F167)-1))&gt;VALUE(RIGHT(Protokoll_4p!F167,LEN(Protokoll_4p!F167)-FIND(":",Protokoll_4p!F167))),1,0))</f>
        <v/>
      </c>
      <c r="C201" s="1" t="str">
        <f>IF(Protokoll_4p!G167="","",IF(VALUE(LEFT(Protokoll_4p!G167,FIND(":",Protokoll_4p!G167)-1))&gt;VALUE(RIGHT(Protokoll_4p!G167,LEN(Protokoll_4p!G167)-FIND(":",Protokoll_4p!G167))),1,0))</f>
        <v/>
      </c>
      <c r="D201" s="1" t="str">
        <f>IF(Protokoll_4p!H167="","",IF(VALUE(LEFT(Protokoll_4p!H167,FIND(":",Protokoll_4p!H167)-1))&gt;VALUE(RIGHT(Protokoll_4p!H167,LEN(Protokoll_4p!H167)-FIND(":",Protokoll_4p!H167))),1,0))</f>
        <v/>
      </c>
      <c r="E201" s="1" t="str">
        <f>IF(Protokoll_4p!I167="","",IF(VALUE(LEFT(Protokoll_4p!I167,FIND(":",Protokoll_4p!I167)-1))&gt;VALUE(RIGHT(Protokoll_4p!I167,LEN(Protokoll_4p!I167)-FIND(":",Protokoll_4p!I167))),1,0))</f>
        <v/>
      </c>
      <c r="F201" s="1" t="str">
        <f>IF(Protokoll_4p!J167="","",IF(VALUE(LEFT(Protokoll_4p!J167,FIND(":",Protokoll_4p!J167)-1))&gt;VALUE(RIGHT(Protokoll_4p!J167,LEN(Protokoll_4p!J167)-FIND(":",Protokoll_4p!J167))),1,0))</f>
        <v/>
      </c>
      <c r="G201" s="1" t="str">
        <f t="shared" si="6"/>
        <v/>
      </c>
      <c r="I201" s="1" t="str">
        <f>IF(Protokoll_4p!F167="","",IF(VALUE(LEFT(Protokoll_4p!F167,FIND(":",Protokoll_4p!F167)-1))&gt;VALUE(RIGHT(Protokoll_4p!F167,LEN(Protokoll_4p!F167)-FIND(":",Protokoll_4p!F167))),0,1))</f>
        <v/>
      </c>
      <c r="J201" s="1" t="str">
        <f>IF(Protokoll_4p!G167="","",IF(VALUE(LEFT(Protokoll_4p!G167,FIND(":",Protokoll_4p!G167)-1))&gt;VALUE(RIGHT(Protokoll_4p!G167,LEN(Protokoll_4p!G167)-FIND(":",Protokoll_4p!G167))),0,1))</f>
        <v/>
      </c>
      <c r="K201" s="1" t="str">
        <f>IF(Protokoll_4p!H167="","",IF(VALUE(LEFT(Protokoll_4p!H167,FIND(":",Protokoll_4p!H167)-1))&gt;VALUE(RIGHT(Protokoll_4p!H167,LEN(Protokoll_4p!H167)-FIND(":",Protokoll_4p!H167))),0,1))</f>
        <v/>
      </c>
      <c r="L201" s="1" t="str">
        <f>IF(Protokoll_4p!I167="","",IF(VALUE(LEFT(Protokoll_4p!I167,FIND(":",Protokoll_4p!I167)-1))&gt;VALUE(RIGHT(Protokoll_4p!I167,LEN(Protokoll_4p!I167)-FIND(":",Protokoll_4p!I167))),0,1))</f>
        <v/>
      </c>
      <c r="M201" s="1" t="str">
        <f>IF(Protokoll_4p!J167="","",IF(VALUE(LEFT(Protokoll_4p!J167,FIND(":",Protokoll_4p!J167)-1))&gt;VALUE(RIGHT(Protokoll_4p!J167,LEN(Protokoll_4p!J167)-FIND(":",Protokoll_4p!J167))),0,1))</f>
        <v/>
      </c>
      <c r="N201" s="1" t="str">
        <f t="shared" si="7"/>
        <v/>
      </c>
    </row>
    <row r="202" spans="2:14">
      <c r="B202" s="1" t="str">
        <f>IF(Protokoll_4p!F168="","",IF(VALUE(LEFT(Protokoll_4p!F168,FIND(":",Protokoll_4p!F168)-1))&gt;VALUE(RIGHT(Protokoll_4p!F168,LEN(Protokoll_4p!F168)-FIND(":",Protokoll_4p!F168))),1,0))</f>
        <v/>
      </c>
      <c r="C202" s="1" t="str">
        <f>IF(Protokoll_4p!G168="","",IF(VALUE(LEFT(Protokoll_4p!G168,FIND(":",Protokoll_4p!G168)-1))&gt;VALUE(RIGHT(Protokoll_4p!G168,LEN(Protokoll_4p!G168)-FIND(":",Protokoll_4p!G168))),1,0))</f>
        <v/>
      </c>
      <c r="D202" s="1" t="str">
        <f>IF(Protokoll_4p!H168="","",IF(VALUE(LEFT(Protokoll_4p!H168,FIND(":",Protokoll_4p!H168)-1))&gt;VALUE(RIGHT(Protokoll_4p!H168,LEN(Protokoll_4p!H168)-FIND(":",Protokoll_4p!H168))),1,0))</f>
        <v/>
      </c>
      <c r="E202" s="1" t="str">
        <f>IF(Protokoll_4p!I168="","",IF(VALUE(LEFT(Protokoll_4p!I168,FIND(":",Protokoll_4p!I168)-1))&gt;VALUE(RIGHT(Protokoll_4p!I168,LEN(Protokoll_4p!I168)-FIND(":",Protokoll_4p!I168))),1,0))</f>
        <v/>
      </c>
      <c r="F202" s="1" t="str">
        <f>IF(Protokoll_4p!J168="","",IF(VALUE(LEFT(Protokoll_4p!J168,FIND(":",Protokoll_4p!J168)-1))&gt;VALUE(RIGHT(Protokoll_4p!J168,LEN(Protokoll_4p!J168)-FIND(":",Protokoll_4p!J168))),1,0))</f>
        <v/>
      </c>
      <c r="G202" s="1" t="str">
        <f t="shared" si="6"/>
        <v/>
      </c>
      <c r="I202" s="1" t="str">
        <f>IF(Protokoll_4p!F168="","",IF(VALUE(LEFT(Protokoll_4p!F168,FIND(":",Protokoll_4p!F168)-1))&gt;VALUE(RIGHT(Protokoll_4p!F168,LEN(Protokoll_4p!F168)-FIND(":",Protokoll_4p!F168))),0,1))</f>
        <v/>
      </c>
      <c r="J202" s="1" t="str">
        <f>IF(Protokoll_4p!G168="","",IF(VALUE(LEFT(Protokoll_4p!G168,FIND(":",Protokoll_4p!G168)-1))&gt;VALUE(RIGHT(Protokoll_4p!G168,LEN(Protokoll_4p!G168)-FIND(":",Protokoll_4p!G168))),0,1))</f>
        <v/>
      </c>
      <c r="K202" s="1" t="str">
        <f>IF(Protokoll_4p!H168="","",IF(VALUE(LEFT(Protokoll_4p!H168,FIND(":",Protokoll_4p!H168)-1))&gt;VALUE(RIGHT(Protokoll_4p!H168,LEN(Protokoll_4p!H168)-FIND(":",Protokoll_4p!H168))),0,1))</f>
        <v/>
      </c>
      <c r="L202" s="1" t="str">
        <f>IF(Protokoll_4p!I168="","",IF(VALUE(LEFT(Protokoll_4p!I168,FIND(":",Protokoll_4p!I168)-1))&gt;VALUE(RIGHT(Protokoll_4p!I168,LEN(Protokoll_4p!I168)-FIND(":",Protokoll_4p!I168))),0,1))</f>
        <v/>
      </c>
      <c r="M202" s="1" t="str">
        <f>IF(Protokoll_4p!J168="","",IF(VALUE(LEFT(Protokoll_4p!J168,FIND(":",Protokoll_4p!J168)-1))&gt;VALUE(RIGHT(Protokoll_4p!J168,LEN(Protokoll_4p!J168)-FIND(":",Protokoll_4p!J168))),0,1))</f>
        <v/>
      </c>
      <c r="N202" s="1" t="str">
        <f t="shared" si="7"/>
        <v/>
      </c>
    </row>
    <row r="203" spans="2:14">
      <c r="B203" s="1" t="str">
        <f>IF(Protokoll_4p!F169="","",IF(VALUE(LEFT(Protokoll_4p!F169,FIND(":",Protokoll_4p!F169)-1))&gt;VALUE(RIGHT(Protokoll_4p!F169,LEN(Protokoll_4p!F169)-FIND(":",Protokoll_4p!F169))),1,0))</f>
        <v/>
      </c>
      <c r="C203" s="1" t="str">
        <f>IF(Protokoll_4p!G169="","",IF(VALUE(LEFT(Protokoll_4p!G169,FIND(":",Protokoll_4p!G169)-1))&gt;VALUE(RIGHT(Protokoll_4p!G169,LEN(Protokoll_4p!G169)-FIND(":",Protokoll_4p!G169))),1,0))</f>
        <v/>
      </c>
      <c r="D203" s="1" t="str">
        <f>IF(Protokoll_4p!H169="","",IF(VALUE(LEFT(Protokoll_4p!H169,FIND(":",Protokoll_4p!H169)-1))&gt;VALUE(RIGHT(Protokoll_4p!H169,LEN(Protokoll_4p!H169)-FIND(":",Protokoll_4p!H169))),1,0))</f>
        <v/>
      </c>
      <c r="E203" s="1" t="str">
        <f>IF(Protokoll_4p!I169="","",IF(VALUE(LEFT(Protokoll_4p!I169,FIND(":",Protokoll_4p!I169)-1))&gt;VALUE(RIGHT(Protokoll_4p!I169,LEN(Protokoll_4p!I169)-FIND(":",Protokoll_4p!I169))),1,0))</f>
        <v/>
      </c>
      <c r="F203" s="1" t="str">
        <f>IF(Protokoll_4p!J169="","",IF(VALUE(LEFT(Protokoll_4p!J169,FIND(":",Protokoll_4p!J169)-1))&gt;VALUE(RIGHT(Protokoll_4p!J169,LEN(Protokoll_4p!J169)-FIND(":",Protokoll_4p!J169))),1,0))</f>
        <v/>
      </c>
      <c r="G203" s="1" t="str">
        <f t="shared" si="6"/>
        <v/>
      </c>
      <c r="I203" s="1" t="str">
        <f>IF(Protokoll_4p!F169="","",IF(VALUE(LEFT(Protokoll_4p!F169,FIND(":",Protokoll_4p!F169)-1))&gt;VALUE(RIGHT(Protokoll_4p!F169,LEN(Protokoll_4p!F169)-FIND(":",Protokoll_4p!F169))),0,1))</f>
        <v/>
      </c>
      <c r="J203" s="1" t="str">
        <f>IF(Protokoll_4p!G169="","",IF(VALUE(LEFT(Protokoll_4p!G169,FIND(":",Protokoll_4p!G169)-1))&gt;VALUE(RIGHT(Protokoll_4p!G169,LEN(Protokoll_4p!G169)-FIND(":",Protokoll_4p!G169))),0,1))</f>
        <v/>
      </c>
      <c r="K203" s="1" t="str">
        <f>IF(Protokoll_4p!H169="","",IF(VALUE(LEFT(Protokoll_4p!H169,FIND(":",Protokoll_4p!H169)-1))&gt;VALUE(RIGHT(Protokoll_4p!H169,LEN(Protokoll_4p!H169)-FIND(":",Protokoll_4p!H169))),0,1))</f>
        <v/>
      </c>
      <c r="L203" s="1" t="str">
        <f>IF(Protokoll_4p!I169="","",IF(VALUE(LEFT(Protokoll_4p!I169,FIND(":",Protokoll_4p!I169)-1))&gt;VALUE(RIGHT(Protokoll_4p!I169,LEN(Protokoll_4p!I169)-FIND(":",Protokoll_4p!I169))),0,1))</f>
        <v/>
      </c>
      <c r="M203" s="1" t="str">
        <f>IF(Protokoll_4p!J169="","",IF(VALUE(LEFT(Protokoll_4p!J169,FIND(":",Protokoll_4p!J169)-1))&gt;VALUE(RIGHT(Protokoll_4p!J169,LEN(Protokoll_4p!J169)-FIND(":",Protokoll_4p!J169))),0,1))</f>
        <v/>
      </c>
      <c r="N203" s="1" t="str">
        <f t="shared" si="7"/>
        <v/>
      </c>
    </row>
    <row r="204" spans="2:14">
      <c r="B204" s="1" t="str">
        <f>IF(Protokoll_4p!F170="","",IF(VALUE(LEFT(Protokoll_4p!F170,FIND(":",Protokoll_4p!F170)-1))&gt;VALUE(RIGHT(Protokoll_4p!F170,LEN(Protokoll_4p!F170)-FIND(":",Protokoll_4p!F170))),1,0))</f>
        <v/>
      </c>
      <c r="C204" s="1" t="str">
        <f>IF(Protokoll_4p!G170="","",IF(VALUE(LEFT(Protokoll_4p!G170,FIND(":",Protokoll_4p!G170)-1))&gt;VALUE(RIGHT(Protokoll_4p!G170,LEN(Protokoll_4p!G170)-FIND(":",Protokoll_4p!G170))),1,0))</f>
        <v/>
      </c>
      <c r="D204" s="1" t="str">
        <f>IF(Protokoll_4p!H170="","",IF(VALUE(LEFT(Protokoll_4p!H170,FIND(":",Protokoll_4p!H170)-1))&gt;VALUE(RIGHT(Protokoll_4p!H170,LEN(Protokoll_4p!H170)-FIND(":",Protokoll_4p!H170))),1,0))</f>
        <v/>
      </c>
      <c r="E204" s="1" t="str">
        <f>IF(Protokoll_4p!I170="","",IF(VALUE(LEFT(Protokoll_4p!I170,FIND(":",Protokoll_4p!I170)-1))&gt;VALUE(RIGHT(Protokoll_4p!I170,LEN(Protokoll_4p!I170)-FIND(":",Protokoll_4p!I170))),1,0))</f>
        <v/>
      </c>
      <c r="F204" s="1" t="str">
        <f>IF(Protokoll_4p!J170="","",IF(VALUE(LEFT(Protokoll_4p!J170,FIND(":",Protokoll_4p!J170)-1))&gt;VALUE(RIGHT(Protokoll_4p!J170,LEN(Protokoll_4p!J170)-FIND(":",Protokoll_4p!J170))),1,0))</f>
        <v/>
      </c>
      <c r="G204" s="1" t="str">
        <f t="shared" si="6"/>
        <v/>
      </c>
      <c r="I204" s="1" t="str">
        <f>IF(Protokoll_4p!F170="","",IF(VALUE(LEFT(Protokoll_4p!F170,FIND(":",Protokoll_4p!F170)-1))&gt;VALUE(RIGHT(Protokoll_4p!F170,LEN(Protokoll_4p!F170)-FIND(":",Protokoll_4p!F170))),0,1))</f>
        <v/>
      </c>
      <c r="J204" s="1" t="str">
        <f>IF(Protokoll_4p!G170="","",IF(VALUE(LEFT(Protokoll_4p!G170,FIND(":",Protokoll_4p!G170)-1))&gt;VALUE(RIGHT(Protokoll_4p!G170,LEN(Protokoll_4p!G170)-FIND(":",Protokoll_4p!G170))),0,1))</f>
        <v/>
      </c>
      <c r="K204" s="1" t="str">
        <f>IF(Protokoll_4p!H170="","",IF(VALUE(LEFT(Protokoll_4p!H170,FIND(":",Protokoll_4p!H170)-1))&gt;VALUE(RIGHT(Protokoll_4p!H170,LEN(Protokoll_4p!H170)-FIND(":",Protokoll_4p!H170))),0,1))</f>
        <v/>
      </c>
      <c r="L204" s="1" t="str">
        <f>IF(Protokoll_4p!I170="","",IF(VALUE(LEFT(Protokoll_4p!I170,FIND(":",Protokoll_4p!I170)-1))&gt;VALUE(RIGHT(Protokoll_4p!I170,LEN(Protokoll_4p!I170)-FIND(":",Protokoll_4p!I170))),0,1))</f>
        <v/>
      </c>
      <c r="M204" s="1" t="str">
        <f>IF(Protokoll_4p!J170="","",IF(VALUE(LEFT(Protokoll_4p!J170,FIND(":",Protokoll_4p!J170)-1))&gt;VALUE(RIGHT(Protokoll_4p!J170,LEN(Protokoll_4p!J170)-FIND(":",Protokoll_4p!J170))),0,1))</f>
        <v/>
      </c>
      <c r="N204" s="1" t="str">
        <f t="shared" si="7"/>
        <v/>
      </c>
    </row>
    <row r="205" spans="2:14">
      <c r="B205" s="1" t="str">
        <f>IF(Protokoll_4p!F171="","",IF(VALUE(LEFT(Protokoll_4p!F171,FIND(":",Protokoll_4p!F171)-1))&gt;VALUE(RIGHT(Protokoll_4p!F171,LEN(Protokoll_4p!F171)-FIND(":",Protokoll_4p!F171))),1,0))</f>
        <v/>
      </c>
      <c r="C205" s="1" t="str">
        <f>IF(Protokoll_4p!G171="","",IF(VALUE(LEFT(Protokoll_4p!G171,FIND(":",Protokoll_4p!G171)-1))&gt;VALUE(RIGHT(Protokoll_4p!G171,LEN(Protokoll_4p!G171)-FIND(":",Protokoll_4p!G171))),1,0))</f>
        <v/>
      </c>
      <c r="D205" s="1" t="str">
        <f>IF(Protokoll_4p!H171="","",IF(VALUE(LEFT(Protokoll_4p!H171,FIND(":",Protokoll_4p!H171)-1))&gt;VALUE(RIGHT(Protokoll_4p!H171,LEN(Protokoll_4p!H171)-FIND(":",Protokoll_4p!H171))),1,0))</f>
        <v/>
      </c>
      <c r="E205" s="1" t="str">
        <f>IF(Protokoll_4p!I171="","",IF(VALUE(LEFT(Protokoll_4p!I171,FIND(":",Protokoll_4p!I171)-1))&gt;VALUE(RIGHT(Protokoll_4p!I171,LEN(Protokoll_4p!I171)-FIND(":",Protokoll_4p!I171))),1,0))</f>
        <v/>
      </c>
      <c r="F205" s="1" t="str">
        <f>IF(Protokoll_4p!J171="","",IF(VALUE(LEFT(Protokoll_4p!J171,FIND(":",Protokoll_4p!J171)-1))&gt;VALUE(RIGHT(Protokoll_4p!J171,LEN(Protokoll_4p!J171)-FIND(":",Protokoll_4p!J171))),1,0))</f>
        <v/>
      </c>
      <c r="G205" s="1" t="str">
        <f t="shared" si="6"/>
        <v/>
      </c>
      <c r="I205" s="1" t="str">
        <f>IF(Protokoll_4p!F171="","",IF(VALUE(LEFT(Protokoll_4p!F171,FIND(":",Protokoll_4p!F171)-1))&gt;VALUE(RIGHT(Protokoll_4p!F171,LEN(Protokoll_4p!F171)-FIND(":",Protokoll_4p!F171))),0,1))</f>
        <v/>
      </c>
      <c r="J205" s="1" t="str">
        <f>IF(Protokoll_4p!G171="","",IF(VALUE(LEFT(Protokoll_4p!G171,FIND(":",Protokoll_4p!G171)-1))&gt;VALUE(RIGHT(Protokoll_4p!G171,LEN(Protokoll_4p!G171)-FIND(":",Protokoll_4p!G171))),0,1))</f>
        <v/>
      </c>
      <c r="K205" s="1" t="str">
        <f>IF(Protokoll_4p!H171="","",IF(VALUE(LEFT(Protokoll_4p!H171,FIND(":",Protokoll_4p!H171)-1))&gt;VALUE(RIGHT(Protokoll_4p!H171,LEN(Protokoll_4p!H171)-FIND(":",Protokoll_4p!H171))),0,1))</f>
        <v/>
      </c>
      <c r="L205" s="1" t="str">
        <f>IF(Protokoll_4p!I171="","",IF(VALUE(LEFT(Protokoll_4p!I171,FIND(":",Protokoll_4p!I171)-1))&gt;VALUE(RIGHT(Protokoll_4p!I171,LEN(Protokoll_4p!I171)-FIND(":",Protokoll_4p!I171))),0,1))</f>
        <v/>
      </c>
      <c r="M205" s="1" t="str">
        <f>IF(Protokoll_4p!J171="","",IF(VALUE(LEFT(Protokoll_4p!J171,FIND(":",Protokoll_4p!J171)-1))&gt;VALUE(RIGHT(Protokoll_4p!J171,LEN(Protokoll_4p!J171)-FIND(":",Protokoll_4p!J171))),0,1))</f>
        <v/>
      </c>
      <c r="N205" s="1" t="str">
        <f t="shared" si="7"/>
        <v/>
      </c>
    </row>
    <row r="206" spans="2:14">
      <c r="B206" s="1" t="str">
        <f>IF(Protokoll_4p!F172="","",IF(VALUE(LEFT(Protokoll_4p!F172,FIND(":",Protokoll_4p!F172)-1))&gt;VALUE(RIGHT(Protokoll_4p!F172,LEN(Protokoll_4p!F172)-FIND(":",Protokoll_4p!F172))),1,0))</f>
        <v/>
      </c>
      <c r="C206" s="1" t="str">
        <f>IF(Protokoll_4p!G172="","",IF(VALUE(LEFT(Protokoll_4p!G172,FIND(":",Protokoll_4p!G172)-1))&gt;VALUE(RIGHT(Protokoll_4p!G172,LEN(Protokoll_4p!G172)-FIND(":",Protokoll_4p!G172))),1,0))</f>
        <v/>
      </c>
      <c r="D206" s="1" t="str">
        <f>IF(Protokoll_4p!H172="","",IF(VALUE(LEFT(Protokoll_4p!H172,FIND(":",Protokoll_4p!H172)-1))&gt;VALUE(RIGHT(Protokoll_4p!H172,LEN(Protokoll_4p!H172)-FIND(":",Protokoll_4p!H172))),1,0))</f>
        <v/>
      </c>
      <c r="E206" s="1" t="str">
        <f>IF(Protokoll_4p!I172="","",IF(VALUE(LEFT(Protokoll_4p!I172,FIND(":",Protokoll_4p!I172)-1))&gt;VALUE(RIGHT(Protokoll_4p!I172,LEN(Protokoll_4p!I172)-FIND(":",Protokoll_4p!I172))),1,0))</f>
        <v/>
      </c>
      <c r="F206" s="1" t="str">
        <f>IF(Protokoll_4p!J172="","",IF(VALUE(LEFT(Protokoll_4p!J172,FIND(":",Protokoll_4p!J172)-1))&gt;VALUE(RIGHT(Protokoll_4p!J172,LEN(Protokoll_4p!J172)-FIND(":",Protokoll_4p!J172))),1,0))</f>
        <v/>
      </c>
      <c r="G206" s="1" t="str">
        <f t="shared" si="6"/>
        <v/>
      </c>
      <c r="I206" s="1" t="str">
        <f>IF(Protokoll_4p!F172="","",IF(VALUE(LEFT(Protokoll_4p!F172,FIND(":",Protokoll_4p!F172)-1))&gt;VALUE(RIGHT(Protokoll_4p!F172,LEN(Protokoll_4p!F172)-FIND(":",Protokoll_4p!F172))),0,1))</f>
        <v/>
      </c>
      <c r="J206" s="1" t="str">
        <f>IF(Protokoll_4p!G172="","",IF(VALUE(LEFT(Protokoll_4p!G172,FIND(":",Protokoll_4p!G172)-1))&gt;VALUE(RIGHT(Protokoll_4p!G172,LEN(Protokoll_4p!G172)-FIND(":",Protokoll_4p!G172))),0,1))</f>
        <v/>
      </c>
      <c r="K206" s="1" t="str">
        <f>IF(Protokoll_4p!H172="","",IF(VALUE(LEFT(Protokoll_4p!H172,FIND(":",Protokoll_4p!H172)-1))&gt;VALUE(RIGHT(Protokoll_4p!H172,LEN(Protokoll_4p!H172)-FIND(":",Protokoll_4p!H172))),0,1))</f>
        <v/>
      </c>
      <c r="L206" s="1" t="str">
        <f>IF(Protokoll_4p!I172="","",IF(VALUE(LEFT(Protokoll_4p!I172,FIND(":",Protokoll_4p!I172)-1))&gt;VALUE(RIGHT(Protokoll_4p!I172,LEN(Protokoll_4p!I172)-FIND(":",Protokoll_4p!I172))),0,1))</f>
        <v/>
      </c>
      <c r="M206" s="1" t="str">
        <f>IF(Protokoll_4p!J172="","",IF(VALUE(LEFT(Protokoll_4p!J172,FIND(":",Protokoll_4p!J172)-1))&gt;VALUE(RIGHT(Protokoll_4p!J172,LEN(Protokoll_4p!J172)-FIND(":",Protokoll_4p!J172))),0,1))</f>
        <v/>
      </c>
      <c r="N206" s="1" t="str">
        <f t="shared" si="7"/>
        <v/>
      </c>
    </row>
    <row r="207" spans="2:14">
      <c r="B207" s="1" t="str">
        <f>IF(Protokoll_4p!F173="","",IF(VALUE(LEFT(Protokoll_4p!F173,FIND(":",Protokoll_4p!F173)-1))&gt;VALUE(RIGHT(Protokoll_4p!F173,LEN(Protokoll_4p!F173)-FIND(":",Protokoll_4p!F173))),1,0))</f>
        <v/>
      </c>
      <c r="C207" s="1" t="str">
        <f>IF(Protokoll_4p!G173="","",IF(VALUE(LEFT(Protokoll_4p!G173,FIND(":",Protokoll_4p!G173)-1))&gt;VALUE(RIGHT(Protokoll_4p!G173,LEN(Protokoll_4p!G173)-FIND(":",Protokoll_4p!G173))),1,0))</f>
        <v/>
      </c>
      <c r="D207" s="1" t="str">
        <f>IF(Protokoll_4p!H173="","",IF(VALUE(LEFT(Protokoll_4p!H173,FIND(":",Protokoll_4p!H173)-1))&gt;VALUE(RIGHT(Protokoll_4p!H173,LEN(Protokoll_4p!H173)-FIND(":",Protokoll_4p!H173))),1,0))</f>
        <v/>
      </c>
      <c r="E207" s="1" t="str">
        <f>IF(Protokoll_4p!I173="","",IF(VALUE(LEFT(Protokoll_4p!I173,FIND(":",Protokoll_4p!I173)-1))&gt;VALUE(RIGHT(Protokoll_4p!I173,LEN(Protokoll_4p!I173)-FIND(":",Protokoll_4p!I173))),1,0))</f>
        <v/>
      </c>
      <c r="F207" s="1" t="str">
        <f>IF(Protokoll_4p!J173="","",IF(VALUE(LEFT(Protokoll_4p!J173,FIND(":",Protokoll_4p!J173)-1))&gt;VALUE(RIGHT(Protokoll_4p!J173,LEN(Protokoll_4p!J173)-FIND(":",Protokoll_4p!J173))),1,0))</f>
        <v/>
      </c>
      <c r="G207" s="1" t="str">
        <f t="shared" si="6"/>
        <v/>
      </c>
      <c r="I207" s="1" t="str">
        <f>IF(Protokoll_4p!F173="","",IF(VALUE(LEFT(Protokoll_4p!F173,FIND(":",Protokoll_4p!F173)-1))&gt;VALUE(RIGHT(Protokoll_4p!F173,LEN(Protokoll_4p!F173)-FIND(":",Protokoll_4p!F173))),0,1))</f>
        <v/>
      </c>
      <c r="J207" s="1" t="str">
        <f>IF(Protokoll_4p!G173="","",IF(VALUE(LEFT(Protokoll_4p!G173,FIND(":",Protokoll_4p!G173)-1))&gt;VALUE(RIGHT(Protokoll_4p!G173,LEN(Protokoll_4p!G173)-FIND(":",Protokoll_4p!G173))),0,1))</f>
        <v/>
      </c>
      <c r="K207" s="1" t="str">
        <f>IF(Protokoll_4p!H173="","",IF(VALUE(LEFT(Protokoll_4p!H173,FIND(":",Protokoll_4p!H173)-1))&gt;VALUE(RIGHT(Protokoll_4p!H173,LEN(Protokoll_4p!H173)-FIND(":",Protokoll_4p!H173))),0,1))</f>
        <v/>
      </c>
      <c r="L207" s="1" t="str">
        <f>IF(Protokoll_4p!I173="","",IF(VALUE(LEFT(Protokoll_4p!I173,FIND(":",Protokoll_4p!I173)-1))&gt;VALUE(RIGHT(Protokoll_4p!I173,LEN(Protokoll_4p!I173)-FIND(":",Protokoll_4p!I173))),0,1))</f>
        <v/>
      </c>
      <c r="M207" s="1" t="str">
        <f>IF(Protokoll_4p!J173="","",IF(VALUE(LEFT(Protokoll_4p!J173,FIND(":",Protokoll_4p!J173)-1))&gt;VALUE(RIGHT(Protokoll_4p!J173,LEN(Protokoll_4p!J173)-FIND(":",Protokoll_4p!J173))),0,1))</f>
        <v/>
      </c>
      <c r="N207" s="1" t="str">
        <f t="shared" si="7"/>
        <v/>
      </c>
    </row>
    <row r="208" spans="2:14">
      <c r="B208" s="1" t="str">
        <f>IF(Protokoll_4p!F174="","",IF(VALUE(LEFT(Protokoll_4p!F174,FIND(":",Protokoll_4p!F174)-1))&gt;VALUE(RIGHT(Protokoll_4p!F174,LEN(Protokoll_4p!F174)-FIND(":",Protokoll_4p!F174))),1,0))</f>
        <v/>
      </c>
      <c r="C208" s="1" t="str">
        <f>IF(Protokoll_4p!G174="","",IF(VALUE(LEFT(Protokoll_4p!G174,FIND(":",Protokoll_4p!G174)-1))&gt;VALUE(RIGHT(Protokoll_4p!G174,LEN(Protokoll_4p!G174)-FIND(":",Protokoll_4p!G174))),1,0))</f>
        <v/>
      </c>
      <c r="D208" s="1" t="str">
        <f>IF(Protokoll_4p!H174="","",IF(VALUE(LEFT(Protokoll_4p!H174,FIND(":",Protokoll_4p!H174)-1))&gt;VALUE(RIGHT(Protokoll_4p!H174,LEN(Protokoll_4p!H174)-FIND(":",Protokoll_4p!H174))),1,0))</f>
        <v/>
      </c>
      <c r="E208" s="1" t="str">
        <f>IF(Protokoll_4p!I174="","",IF(VALUE(LEFT(Protokoll_4p!I174,FIND(":",Protokoll_4p!I174)-1))&gt;VALUE(RIGHT(Protokoll_4p!I174,LEN(Protokoll_4p!I174)-FIND(":",Protokoll_4p!I174))),1,0))</f>
        <v/>
      </c>
      <c r="F208" s="1" t="str">
        <f>IF(Protokoll_4p!J174="","",IF(VALUE(LEFT(Protokoll_4p!J174,FIND(":",Protokoll_4p!J174)-1))&gt;VALUE(RIGHT(Protokoll_4p!J174,LEN(Protokoll_4p!J174)-FIND(":",Protokoll_4p!J174))),1,0))</f>
        <v/>
      </c>
      <c r="G208" s="1" t="str">
        <f t="shared" si="6"/>
        <v/>
      </c>
      <c r="I208" s="1" t="str">
        <f>IF(Protokoll_4p!F174="","",IF(VALUE(LEFT(Protokoll_4p!F174,FIND(":",Protokoll_4p!F174)-1))&gt;VALUE(RIGHT(Protokoll_4p!F174,LEN(Protokoll_4p!F174)-FIND(":",Protokoll_4p!F174))),0,1))</f>
        <v/>
      </c>
      <c r="J208" s="1" t="str">
        <f>IF(Protokoll_4p!G174="","",IF(VALUE(LEFT(Protokoll_4p!G174,FIND(":",Protokoll_4p!G174)-1))&gt;VALUE(RIGHT(Protokoll_4p!G174,LEN(Protokoll_4p!G174)-FIND(":",Protokoll_4p!G174))),0,1))</f>
        <v/>
      </c>
      <c r="K208" s="1" t="str">
        <f>IF(Protokoll_4p!H174="","",IF(VALUE(LEFT(Protokoll_4p!H174,FIND(":",Protokoll_4p!H174)-1))&gt;VALUE(RIGHT(Protokoll_4p!H174,LEN(Protokoll_4p!H174)-FIND(":",Protokoll_4p!H174))),0,1))</f>
        <v/>
      </c>
      <c r="L208" s="1" t="str">
        <f>IF(Protokoll_4p!I174="","",IF(VALUE(LEFT(Protokoll_4p!I174,FIND(":",Protokoll_4p!I174)-1))&gt;VALUE(RIGHT(Protokoll_4p!I174,LEN(Protokoll_4p!I174)-FIND(":",Protokoll_4p!I174))),0,1))</f>
        <v/>
      </c>
      <c r="M208" s="1" t="str">
        <f>IF(Protokoll_4p!J174="","",IF(VALUE(LEFT(Protokoll_4p!J174,FIND(":",Protokoll_4p!J174)-1))&gt;VALUE(RIGHT(Protokoll_4p!J174,LEN(Protokoll_4p!J174)-FIND(":",Protokoll_4p!J174))),0,1))</f>
        <v/>
      </c>
      <c r="N208" s="1" t="str">
        <f t="shared" si="7"/>
        <v/>
      </c>
    </row>
    <row r="209" spans="2:14">
      <c r="B209" s="1" t="str">
        <f>IF(Protokoll_4p!F175="","",IF(VALUE(LEFT(Protokoll_4p!F175,FIND(":",Protokoll_4p!F175)-1))&gt;VALUE(RIGHT(Protokoll_4p!F175,LEN(Protokoll_4p!F175)-FIND(":",Protokoll_4p!F175))),1,0))</f>
        <v/>
      </c>
      <c r="C209" s="1" t="str">
        <f>IF(Protokoll_4p!G175="","",IF(VALUE(LEFT(Protokoll_4p!G175,FIND(":",Protokoll_4p!G175)-1))&gt;VALUE(RIGHT(Protokoll_4p!G175,LEN(Protokoll_4p!G175)-FIND(":",Protokoll_4p!G175))),1,0))</f>
        <v/>
      </c>
      <c r="D209" s="1" t="str">
        <f>IF(Protokoll_4p!H175="","",IF(VALUE(LEFT(Protokoll_4p!H175,FIND(":",Protokoll_4p!H175)-1))&gt;VALUE(RIGHT(Protokoll_4p!H175,LEN(Protokoll_4p!H175)-FIND(":",Protokoll_4p!H175))),1,0))</f>
        <v/>
      </c>
      <c r="E209" s="1" t="str">
        <f>IF(Protokoll_4p!I175="","",IF(VALUE(LEFT(Protokoll_4p!I175,FIND(":",Protokoll_4p!I175)-1))&gt;VALUE(RIGHT(Protokoll_4p!I175,LEN(Protokoll_4p!I175)-FIND(":",Protokoll_4p!I175))),1,0))</f>
        <v/>
      </c>
      <c r="F209" s="1" t="str">
        <f>IF(Protokoll_4p!J175="","",IF(VALUE(LEFT(Protokoll_4p!J175,FIND(":",Protokoll_4p!J175)-1))&gt;VALUE(RIGHT(Protokoll_4p!J175,LEN(Protokoll_4p!J175)-FIND(":",Protokoll_4p!J175))),1,0))</f>
        <v/>
      </c>
      <c r="G209" s="1" t="str">
        <f t="shared" si="6"/>
        <v/>
      </c>
      <c r="I209" s="1" t="str">
        <f>IF(Protokoll_4p!F175="","",IF(VALUE(LEFT(Protokoll_4p!F175,FIND(":",Protokoll_4p!F175)-1))&gt;VALUE(RIGHT(Protokoll_4p!F175,LEN(Protokoll_4p!F175)-FIND(":",Protokoll_4p!F175))),0,1))</f>
        <v/>
      </c>
      <c r="J209" s="1" t="str">
        <f>IF(Protokoll_4p!G175="","",IF(VALUE(LEFT(Protokoll_4p!G175,FIND(":",Protokoll_4p!G175)-1))&gt;VALUE(RIGHT(Protokoll_4p!G175,LEN(Protokoll_4p!G175)-FIND(":",Protokoll_4p!G175))),0,1))</f>
        <v/>
      </c>
      <c r="K209" s="1" t="str">
        <f>IF(Protokoll_4p!H175="","",IF(VALUE(LEFT(Protokoll_4p!H175,FIND(":",Protokoll_4p!H175)-1))&gt;VALUE(RIGHT(Protokoll_4p!H175,LEN(Protokoll_4p!H175)-FIND(":",Protokoll_4p!H175))),0,1))</f>
        <v/>
      </c>
      <c r="L209" s="1" t="str">
        <f>IF(Protokoll_4p!I175="","",IF(VALUE(LEFT(Protokoll_4p!I175,FIND(":",Protokoll_4p!I175)-1))&gt;VALUE(RIGHT(Protokoll_4p!I175,LEN(Protokoll_4p!I175)-FIND(":",Protokoll_4p!I175))),0,1))</f>
        <v/>
      </c>
      <c r="M209" s="1" t="str">
        <f>IF(Protokoll_4p!J175="","",IF(VALUE(LEFT(Protokoll_4p!J175,FIND(":",Protokoll_4p!J175)-1))&gt;VALUE(RIGHT(Protokoll_4p!J175,LEN(Protokoll_4p!J175)-FIND(":",Protokoll_4p!J175))),0,1))</f>
        <v/>
      </c>
      <c r="N209" s="1" t="str">
        <f t="shared" si="7"/>
        <v/>
      </c>
    </row>
    <row r="210" spans="2:14">
      <c r="B210" s="1" t="str">
        <f>IF(Protokoll_4p!F176="","",IF(VALUE(LEFT(Protokoll_4p!F176,FIND(":",Protokoll_4p!F176)-1))&gt;VALUE(RIGHT(Protokoll_4p!F176,LEN(Protokoll_4p!F176)-FIND(":",Protokoll_4p!F176))),1,0))</f>
        <v/>
      </c>
      <c r="C210" s="1" t="str">
        <f>IF(Protokoll_4p!G176="","",IF(VALUE(LEFT(Protokoll_4p!G176,FIND(":",Protokoll_4p!G176)-1))&gt;VALUE(RIGHT(Protokoll_4p!G176,LEN(Protokoll_4p!G176)-FIND(":",Protokoll_4p!G176))),1,0))</f>
        <v/>
      </c>
      <c r="D210" s="1" t="str">
        <f>IF(Protokoll_4p!H176="","",IF(VALUE(LEFT(Protokoll_4p!H176,FIND(":",Protokoll_4p!H176)-1))&gt;VALUE(RIGHT(Protokoll_4p!H176,LEN(Protokoll_4p!H176)-FIND(":",Protokoll_4p!H176))),1,0))</f>
        <v/>
      </c>
      <c r="E210" s="1" t="str">
        <f>IF(Protokoll_4p!I176="","",IF(VALUE(LEFT(Protokoll_4p!I176,FIND(":",Protokoll_4p!I176)-1))&gt;VALUE(RIGHT(Protokoll_4p!I176,LEN(Protokoll_4p!I176)-FIND(":",Protokoll_4p!I176))),1,0))</f>
        <v/>
      </c>
      <c r="F210" s="1" t="str">
        <f>IF(Protokoll_4p!J176="","",IF(VALUE(LEFT(Protokoll_4p!J176,FIND(":",Protokoll_4p!J176)-1))&gt;VALUE(RIGHT(Protokoll_4p!J176,LEN(Protokoll_4p!J176)-FIND(":",Protokoll_4p!J176))),1,0))</f>
        <v/>
      </c>
      <c r="G210" s="1" t="str">
        <f t="shared" si="6"/>
        <v/>
      </c>
      <c r="I210" s="1" t="str">
        <f>IF(Protokoll_4p!F176="","",IF(VALUE(LEFT(Protokoll_4p!F176,FIND(":",Protokoll_4p!F176)-1))&gt;VALUE(RIGHT(Protokoll_4p!F176,LEN(Protokoll_4p!F176)-FIND(":",Protokoll_4p!F176))),0,1))</f>
        <v/>
      </c>
      <c r="J210" s="1" t="str">
        <f>IF(Protokoll_4p!G176="","",IF(VALUE(LEFT(Protokoll_4p!G176,FIND(":",Protokoll_4p!G176)-1))&gt;VALUE(RIGHT(Protokoll_4p!G176,LEN(Protokoll_4p!G176)-FIND(":",Protokoll_4p!G176))),0,1))</f>
        <v/>
      </c>
      <c r="K210" s="1" t="str">
        <f>IF(Protokoll_4p!H176="","",IF(VALUE(LEFT(Protokoll_4p!H176,FIND(":",Protokoll_4p!H176)-1))&gt;VALUE(RIGHT(Protokoll_4p!H176,LEN(Protokoll_4p!H176)-FIND(":",Protokoll_4p!H176))),0,1))</f>
        <v/>
      </c>
      <c r="L210" s="1" t="str">
        <f>IF(Protokoll_4p!I176="","",IF(VALUE(LEFT(Protokoll_4p!I176,FIND(":",Protokoll_4p!I176)-1))&gt;VALUE(RIGHT(Protokoll_4p!I176,LEN(Protokoll_4p!I176)-FIND(":",Protokoll_4p!I176))),0,1))</f>
        <v/>
      </c>
      <c r="M210" s="1" t="str">
        <f>IF(Protokoll_4p!J176="","",IF(VALUE(LEFT(Protokoll_4p!J176,FIND(":",Protokoll_4p!J176)-1))&gt;VALUE(RIGHT(Protokoll_4p!J176,LEN(Protokoll_4p!J176)-FIND(":",Protokoll_4p!J176))),0,1))</f>
        <v/>
      </c>
      <c r="N210" s="1" t="str">
        <f t="shared" si="7"/>
        <v/>
      </c>
    </row>
    <row r="211" spans="2:14">
      <c r="B211" s="1" t="str">
        <f>IF(Protokoll_4p!F177="","",IF(VALUE(LEFT(Protokoll_4p!F177,FIND(":",Protokoll_4p!F177)-1))&gt;VALUE(RIGHT(Protokoll_4p!F177,LEN(Protokoll_4p!F177)-FIND(":",Protokoll_4p!F177))),1,0))</f>
        <v/>
      </c>
      <c r="C211" s="1" t="str">
        <f>IF(Protokoll_4p!G177="","",IF(VALUE(LEFT(Protokoll_4p!G177,FIND(":",Protokoll_4p!G177)-1))&gt;VALUE(RIGHT(Protokoll_4p!G177,LEN(Protokoll_4p!G177)-FIND(":",Protokoll_4p!G177))),1,0))</f>
        <v/>
      </c>
      <c r="D211" s="1" t="str">
        <f>IF(Protokoll_4p!H177="","",IF(VALUE(LEFT(Protokoll_4p!H177,FIND(":",Protokoll_4p!H177)-1))&gt;VALUE(RIGHT(Protokoll_4p!H177,LEN(Protokoll_4p!H177)-FIND(":",Protokoll_4p!H177))),1,0))</f>
        <v/>
      </c>
      <c r="E211" s="1" t="str">
        <f>IF(Protokoll_4p!I177="","",IF(VALUE(LEFT(Protokoll_4p!I177,FIND(":",Protokoll_4p!I177)-1))&gt;VALUE(RIGHT(Protokoll_4p!I177,LEN(Protokoll_4p!I177)-FIND(":",Protokoll_4p!I177))),1,0))</f>
        <v/>
      </c>
      <c r="F211" s="1" t="str">
        <f>IF(Protokoll_4p!J177="","",IF(VALUE(LEFT(Protokoll_4p!J177,FIND(":",Protokoll_4p!J177)-1))&gt;VALUE(RIGHT(Protokoll_4p!J177,LEN(Protokoll_4p!J177)-FIND(":",Protokoll_4p!J177))),1,0))</f>
        <v/>
      </c>
      <c r="G211" s="1" t="str">
        <f t="shared" si="6"/>
        <v/>
      </c>
      <c r="I211" s="1" t="str">
        <f>IF(Protokoll_4p!F177="","",IF(VALUE(LEFT(Protokoll_4p!F177,FIND(":",Protokoll_4p!F177)-1))&gt;VALUE(RIGHT(Protokoll_4p!F177,LEN(Protokoll_4p!F177)-FIND(":",Protokoll_4p!F177))),0,1))</f>
        <v/>
      </c>
      <c r="J211" s="1" t="str">
        <f>IF(Protokoll_4p!G177="","",IF(VALUE(LEFT(Protokoll_4p!G177,FIND(":",Protokoll_4p!G177)-1))&gt;VALUE(RIGHT(Protokoll_4p!G177,LEN(Protokoll_4p!G177)-FIND(":",Protokoll_4p!G177))),0,1))</f>
        <v/>
      </c>
      <c r="K211" s="1" t="str">
        <f>IF(Protokoll_4p!H177="","",IF(VALUE(LEFT(Protokoll_4p!H177,FIND(":",Protokoll_4p!H177)-1))&gt;VALUE(RIGHT(Protokoll_4p!H177,LEN(Protokoll_4p!H177)-FIND(":",Protokoll_4p!H177))),0,1))</f>
        <v/>
      </c>
      <c r="L211" s="1" t="str">
        <f>IF(Protokoll_4p!I177="","",IF(VALUE(LEFT(Protokoll_4p!I177,FIND(":",Protokoll_4p!I177)-1))&gt;VALUE(RIGHT(Protokoll_4p!I177,LEN(Protokoll_4p!I177)-FIND(":",Protokoll_4p!I177))),0,1))</f>
        <v/>
      </c>
      <c r="M211" s="1" t="str">
        <f>IF(Protokoll_4p!J177="","",IF(VALUE(LEFT(Protokoll_4p!J177,FIND(":",Protokoll_4p!J177)-1))&gt;VALUE(RIGHT(Protokoll_4p!J177,LEN(Protokoll_4p!J177)-FIND(":",Protokoll_4p!J177))),0,1))</f>
        <v/>
      </c>
      <c r="N211" s="1" t="str">
        <f t="shared" si="7"/>
        <v/>
      </c>
    </row>
    <row r="212" spans="2:14">
      <c r="B212" s="1" t="str">
        <f>IF(Protokoll_4p!F178="","",IF(VALUE(LEFT(Protokoll_4p!F178,FIND(":",Protokoll_4p!F178)-1))&gt;VALUE(RIGHT(Protokoll_4p!F178,LEN(Protokoll_4p!F178)-FIND(":",Protokoll_4p!F178))),1,0))</f>
        <v/>
      </c>
      <c r="C212" s="1" t="str">
        <f>IF(Protokoll_4p!G178="","",IF(VALUE(LEFT(Protokoll_4p!G178,FIND(":",Protokoll_4p!G178)-1))&gt;VALUE(RIGHT(Protokoll_4p!G178,LEN(Protokoll_4p!G178)-FIND(":",Protokoll_4p!G178))),1,0))</f>
        <v/>
      </c>
      <c r="D212" s="1" t="str">
        <f>IF(Protokoll_4p!H178="","",IF(VALUE(LEFT(Protokoll_4p!H178,FIND(":",Protokoll_4p!H178)-1))&gt;VALUE(RIGHT(Protokoll_4p!H178,LEN(Protokoll_4p!H178)-FIND(":",Protokoll_4p!H178))),1,0))</f>
        <v/>
      </c>
      <c r="E212" s="1" t="str">
        <f>IF(Protokoll_4p!I178="","",IF(VALUE(LEFT(Protokoll_4p!I178,FIND(":",Protokoll_4p!I178)-1))&gt;VALUE(RIGHT(Protokoll_4p!I178,LEN(Protokoll_4p!I178)-FIND(":",Protokoll_4p!I178))),1,0))</f>
        <v/>
      </c>
      <c r="F212" s="1" t="str">
        <f>IF(Protokoll_4p!J178="","",IF(VALUE(LEFT(Protokoll_4p!J178,FIND(":",Protokoll_4p!J178)-1))&gt;VALUE(RIGHT(Protokoll_4p!J178,LEN(Protokoll_4p!J178)-FIND(":",Protokoll_4p!J178))),1,0))</f>
        <v/>
      </c>
      <c r="G212" s="1" t="str">
        <f t="shared" si="6"/>
        <v/>
      </c>
      <c r="I212" s="1" t="str">
        <f>IF(Protokoll_4p!F178="","",IF(VALUE(LEFT(Protokoll_4p!F178,FIND(":",Protokoll_4p!F178)-1))&gt;VALUE(RIGHT(Protokoll_4p!F178,LEN(Protokoll_4p!F178)-FIND(":",Protokoll_4p!F178))),0,1))</f>
        <v/>
      </c>
      <c r="J212" s="1" t="str">
        <f>IF(Protokoll_4p!G178="","",IF(VALUE(LEFT(Protokoll_4p!G178,FIND(":",Protokoll_4p!G178)-1))&gt;VALUE(RIGHT(Protokoll_4p!G178,LEN(Protokoll_4p!G178)-FIND(":",Protokoll_4p!G178))),0,1))</f>
        <v/>
      </c>
      <c r="K212" s="1" t="str">
        <f>IF(Protokoll_4p!H178="","",IF(VALUE(LEFT(Protokoll_4p!H178,FIND(":",Protokoll_4p!H178)-1))&gt;VALUE(RIGHT(Protokoll_4p!H178,LEN(Protokoll_4p!H178)-FIND(":",Protokoll_4p!H178))),0,1))</f>
        <v/>
      </c>
      <c r="L212" s="1" t="str">
        <f>IF(Protokoll_4p!I178="","",IF(VALUE(LEFT(Protokoll_4p!I178,FIND(":",Protokoll_4p!I178)-1))&gt;VALUE(RIGHT(Protokoll_4p!I178,LEN(Protokoll_4p!I178)-FIND(":",Protokoll_4p!I178))),0,1))</f>
        <v/>
      </c>
      <c r="M212" s="1" t="str">
        <f>IF(Protokoll_4p!J178="","",IF(VALUE(LEFT(Protokoll_4p!J178,FIND(":",Protokoll_4p!J178)-1))&gt;VALUE(RIGHT(Protokoll_4p!J178,LEN(Protokoll_4p!J178)-FIND(":",Protokoll_4p!J178))),0,1))</f>
        <v/>
      </c>
      <c r="N212" s="1" t="str">
        <f t="shared" si="7"/>
        <v/>
      </c>
    </row>
    <row r="213" spans="2:14">
      <c r="B213" s="1" t="str">
        <f>IF(Protokoll_4p!F179="","",IF(VALUE(LEFT(Protokoll_4p!F179,FIND(":",Protokoll_4p!F179)-1))&gt;VALUE(RIGHT(Protokoll_4p!F179,LEN(Protokoll_4p!F179)-FIND(":",Protokoll_4p!F179))),1,0))</f>
        <v/>
      </c>
      <c r="C213" s="1" t="str">
        <f>IF(Protokoll_4p!G179="","",IF(VALUE(LEFT(Protokoll_4p!G179,FIND(":",Protokoll_4p!G179)-1))&gt;VALUE(RIGHT(Protokoll_4p!G179,LEN(Protokoll_4p!G179)-FIND(":",Protokoll_4p!G179))),1,0))</f>
        <v/>
      </c>
      <c r="D213" s="1" t="str">
        <f>IF(Protokoll_4p!H179="","",IF(VALUE(LEFT(Protokoll_4p!H179,FIND(":",Protokoll_4p!H179)-1))&gt;VALUE(RIGHT(Protokoll_4p!H179,LEN(Protokoll_4p!H179)-FIND(":",Protokoll_4p!H179))),1,0))</f>
        <v/>
      </c>
      <c r="E213" s="1" t="str">
        <f>IF(Protokoll_4p!I179="","",IF(VALUE(LEFT(Protokoll_4p!I179,FIND(":",Protokoll_4p!I179)-1))&gt;VALUE(RIGHT(Protokoll_4p!I179,LEN(Protokoll_4p!I179)-FIND(":",Protokoll_4p!I179))),1,0))</f>
        <v/>
      </c>
      <c r="F213" s="1" t="str">
        <f>IF(Protokoll_4p!J179="","",IF(VALUE(LEFT(Protokoll_4p!J179,FIND(":",Protokoll_4p!J179)-1))&gt;VALUE(RIGHT(Protokoll_4p!J179,LEN(Protokoll_4p!J179)-FIND(":",Protokoll_4p!J179))),1,0))</f>
        <v/>
      </c>
      <c r="G213" s="1" t="str">
        <f t="shared" si="6"/>
        <v/>
      </c>
      <c r="I213" s="1" t="str">
        <f>IF(Protokoll_4p!F179="","",IF(VALUE(LEFT(Protokoll_4p!F179,FIND(":",Protokoll_4p!F179)-1))&gt;VALUE(RIGHT(Protokoll_4p!F179,LEN(Protokoll_4p!F179)-FIND(":",Protokoll_4p!F179))),0,1))</f>
        <v/>
      </c>
      <c r="J213" s="1" t="str">
        <f>IF(Protokoll_4p!G179="","",IF(VALUE(LEFT(Protokoll_4p!G179,FIND(":",Protokoll_4p!G179)-1))&gt;VALUE(RIGHT(Protokoll_4p!G179,LEN(Protokoll_4p!G179)-FIND(":",Protokoll_4p!G179))),0,1))</f>
        <v/>
      </c>
      <c r="K213" s="1" t="str">
        <f>IF(Protokoll_4p!H179="","",IF(VALUE(LEFT(Protokoll_4p!H179,FIND(":",Protokoll_4p!H179)-1))&gt;VALUE(RIGHT(Protokoll_4p!H179,LEN(Protokoll_4p!H179)-FIND(":",Protokoll_4p!H179))),0,1))</f>
        <v/>
      </c>
      <c r="L213" s="1" t="str">
        <f>IF(Protokoll_4p!I179="","",IF(VALUE(LEFT(Protokoll_4p!I179,FIND(":",Protokoll_4p!I179)-1))&gt;VALUE(RIGHT(Protokoll_4p!I179,LEN(Protokoll_4p!I179)-FIND(":",Protokoll_4p!I179))),0,1))</f>
        <v/>
      </c>
      <c r="M213" s="1" t="str">
        <f>IF(Protokoll_4p!J179="","",IF(VALUE(LEFT(Protokoll_4p!J179,FIND(":",Protokoll_4p!J179)-1))&gt;VALUE(RIGHT(Protokoll_4p!J179,LEN(Protokoll_4p!J179)-FIND(":",Protokoll_4p!J179))),0,1))</f>
        <v/>
      </c>
      <c r="N213" s="1" t="str">
        <f t="shared" si="7"/>
        <v/>
      </c>
    </row>
    <row r="214" spans="2:14">
      <c r="B214" s="1" t="str">
        <f>IF(Protokoll_4p!F180="","",IF(VALUE(LEFT(Protokoll_4p!F180,FIND(":",Protokoll_4p!F180)-1))&gt;VALUE(RIGHT(Protokoll_4p!F180,LEN(Protokoll_4p!F180)-FIND(":",Protokoll_4p!F180))),1,0))</f>
        <v/>
      </c>
      <c r="C214" s="1" t="str">
        <f>IF(Protokoll_4p!G180="","",IF(VALUE(LEFT(Protokoll_4p!G180,FIND(":",Protokoll_4p!G180)-1))&gt;VALUE(RIGHT(Protokoll_4p!G180,LEN(Protokoll_4p!G180)-FIND(":",Protokoll_4p!G180))),1,0))</f>
        <v/>
      </c>
      <c r="D214" s="1" t="str">
        <f>IF(Protokoll_4p!H180="","",IF(VALUE(LEFT(Protokoll_4p!H180,FIND(":",Protokoll_4p!H180)-1))&gt;VALUE(RIGHT(Protokoll_4p!H180,LEN(Protokoll_4p!H180)-FIND(":",Protokoll_4p!H180))),1,0))</f>
        <v/>
      </c>
      <c r="E214" s="1" t="str">
        <f>IF(Protokoll_4p!I180="","",IF(VALUE(LEFT(Protokoll_4p!I180,FIND(":",Protokoll_4p!I180)-1))&gt;VALUE(RIGHT(Protokoll_4p!I180,LEN(Protokoll_4p!I180)-FIND(":",Protokoll_4p!I180))),1,0))</f>
        <v/>
      </c>
      <c r="F214" s="1" t="str">
        <f>IF(Protokoll_4p!J180="","",IF(VALUE(LEFT(Protokoll_4p!J180,FIND(":",Protokoll_4p!J180)-1))&gt;VALUE(RIGHT(Protokoll_4p!J180,LEN(Protokoll_4p!J180)-FIND(":",Protokoll_4p!J180))),1,0))</f>
        <v/>
      </c>
      <c r="G214" s="1" t="str">
        <f t="shared" si="6"/>
        <v/>
      </c>
      <c r="I214" s="1" t="str">
        <f>IF(Protokoll_4p!F180="","",IF(VALUE(LEFT(Protokoll_4p!F180,FIND(":",Protokoll_4p!F180)-1))&gt;VALUE(RIGHT(Protokoll_4p!F180,LEN(Protokoll_4p!F180)-FIND(":",Protokoll_4p!F180))),0,1))</f>
        <v/>
      </c>
      <c r="J214" s="1" t="str">
        <f>IF(Protokoll_4p!G180="","",IF(VALUE(LEFT(Protokoll_4p!G180,FIND(":",Protokoll_4p!G180)-1))&gt;VALUE(RIGHT(Protokoll_4p!G180,LEN(Protokoll_4p!G180)-FIND(":",Protokoll_4p!G180))),0,1))</f>
        <v/>
      </c>
      <c r="K214" s="1" t="str">
        <f>IF(Protokoll_4p!H180="","",IF(VALUE(LEFT(Protokoll_4p!H180,FIND(":",Protokoll_4p!H180)-1))&gt;VALUE(RIGHT(Protokoll_4p!H180,LEN(Protokoll_4p!H180)-FIND(":",Protokoll_4p!H180))),0,1))</f>
        <v/>
      </c>
      <c r="L214" s="1" t="str">
        <f>IF(Protokoll_4p!I180="","",IF(VALUE(LEFT(Protokoll_4p!I180,FIND(":",Protokoll_4p!I180)-1))&gt;VALUE(RIGHT(Protokoll_4p!I180,LEN(Protokoll_4p!I180)-FIND(":",Protokoll_4p!I180))),0,1))</f>
        <v/>
      </c>
      <c r="M214" s="1" t="str">
        <f>IF(Protokoll_4p!J180="","",IF(VALUE(LEFT(Protokoll_4p!J180,FIND(":",Protokoll_4p!J180)-1))&gt;VALUE(RIGHT(Protokoll_4p!J180,LEN(Protokoll_4p!J180)-FIND(":",Protokoll_4p!J180))),0,1))</f>
        <v/>
      </c>
      <c r="N214" s="1" t="str">
        <f t="shared" si="7"/>
        <v/>
      </c>
    </row>
    <row r="215" spans="2:14">
      <c r="B215" s="1" t="str">
        <f>IF(Protokoll_4p!F181="","",IF(VALUE(LEFT(Protokoll_4p!F181,FIND(":",Protokoll_4p!F181)-1))&gt;VALUE(RIGHT(Protokoll_4p!F181,LEN(Protokoll_4p!F181)-FIND(":",Protokoll_4p!F181))),1,0))</f>
        <v/>
      </c>
      <c r="C215" s="1" t="str">
        <f>IF(Protokoll_4p!G181="","",IF(VALUE(LEFT(Protokoll_4p!G181,FIND(":",Protokoll_4p!G181)-1))&gt;VALUE(RIGHT(Protokoll_4p!G181,LEN(Protokoll_4p!G181)-FIND(":",Protokoll_4p!G181))),1,0))</f>
        <v/>
      </c>
      <c r="D215" s="1" t="str">
        <f>IF(Protokoll_4p!H181="","",IF(VALUE(LEFT(Protokoll_4p!H181,FIND(":",Protokoll_4p!H181)-1))&gt;VALUE(RIGHT(Protokoll_4p!H181,LEN(Protokoll_4p!H181)-FIND(":",Protokoll_4p!H181))),1,0))</f>
        <v/>
      </c>
      <c r="E215" s="1" t="str">
        <f>IF(Protokoll_4p!I181="","",IF(VALUE(LEFT(Protokoll_4p!I181,FIND(":",Protokoll_4p!I181)-1))&gt;VALUE(RIGHT(Protokoll_4p!I181,LEN(Protokoll_4p!I181)-FIND(":",Protokoll_4p!I181))),1,0))</f>
        <v/>
      </c>
      <c r="F215" s="1" t="str">
        <f>IF(Protokoll_4p!J181="","",IF(VALUE(LEFT(Protokoll_4p!J181,FIND(":",Protokoll_4p!J181)-1))&gt;VALUE(RIGHT(Protokoll_4p!J181,LEN(Protokoll_4p!J181)-FIND(":",Protokoll_4p!J181))),1,0))</f>
        <v/>
      </c>
      <c r="G215" s="1" t="str">
        <f t="shared" si="6"/>
        <v/>
      </c>
      <c r="I215" s="1" t="str">
        <f>IF(Protokoll_4p!F181="","",IF(VALUE(LEFT(Protokoll_4p!F181,FIND(":",Protokoll_4p!F181)-1))&gt;VALUE(RIGHT(Protokoll_4p!F181,LEN(Protokoll_4p!F181)-FIND(":",Protokoll_4p!F181))),0,1))</f>
        <v/>
      </c>
      <c r="J215" s="1" t="str">
        <f>IF(Protokoll_4p!G181="","",IF(VALUE(LEFT(Protokoll_4p!G181,FIND(":",Protokoll_4p!G181)-1))&gt;VALUE(RIGHT(Protokoll_4p!G181,LEN(Protokoll_4p!G181)-FIND(":",Protokoll_4p!G181))),0,1))</f>
        <v/>
      </c>
      <c r="K215" s="1" t="str">
        <f>IF(Protokoll_4p!H181="","",IF(VALUE(LEFT(Protokoll_4p!H181,FIND(":",Protokoll_4p!H181)-1))&gt;VALUE(RIGHT(Protokoll_4p!H181,LEN(Protokoll_4p!H181)-FIND(":",Protokoll_4p!H181))),0,1))</f>
        <v/>
      </c>
      <c r="L215" s="1" t="str">
        <f>IF(Protokoll_4p!I181="","",IF(VALUE(LEFT(Protokoll_4p!I181,FIND(":",Protokoll_4p!I181)-1))&gt;VALUE(RIGHT(Protokoll_4p!I181,LEN(Protokoll_4p!I181)-FIND(":",Protokoll_4p!I181))),0,1))</f>
        <v/>
      </c>
      <c r="M215" s="1" t="str">
        <f>IF(Protokoll_4p!J181="","",IF(VALUE(LEFT(Protokoll_4p!J181,FIND(":",Protokoll_4p!J181)-1))&gt;VALUE(RIGHT(Protokoll_4p!J181,LEN(Protokoll_4p!J181)-FIND(":",Protokoll_4p!J181))),0,1))</f>
        <v/>
      </c>
      <c r="N215" s="1" t="str">
        <f t="shared" si="7"/>
        <v/>
      </c>
    </row>
    <row r="216" spans="2:14">
      <c r="B216" s="1" t="str">
        <f>IF(Protokoll_4p!F182="","",IF(VALUE(LEFT(Protokoll_4p!F182,FIND(":",Protokoll_4p!F182)-1))&gt;VALUE(RIGHT(Protokoll_4p!F182,LEN(Protokoll_4p!F182)-FIND(":",Protokoll_4p!F182))),1,0))</f>
        <v/>
      </c>
      <c r="C216" s="1" t="str">
        <f>IF(Protokoll_4p!G182="","",IF(VALUE(LEFT(Protokoll_4p!G182,FIND(":",Protokoll_4p!G182)-1))&gt;VALUE(RIGHT(Protokoll_4p!G182,LEN(Protokoll_4p!G182)-FIND(":",Protokoll_4p!G182))),1,0))</f>
        <v/>
      </c>
      <c r="D216" s="1" t="str">
        <f>IF(Protokoll_4p!H182="","",IF(VALUE(LEFT(Protokoll_4p!H182,FIND(":",Protokoll_4p!H182)-1))&gt;VALUE(RIGHT(Protokoll_4p!H182,LEN(Protokoll_4p!H182)-FIND(":",Protokoll_4p!H182))),1,0))</f>
        <v/>
      </c>
      <c r="E216" s="1" t="str">
        <f>IF(Protokoll_4p!I182="","",IF(VALUE(LEFT(Protokoll_4p!I182,FIND(":",Protokoll_4p!I182)-1))&gt;VALUE(RIGHT(Protokoll_4p!I182,LEN(Protokoll_4p!I182)-FIND(":",Protokoll_4p!I182))),1,0))</f>
        <v/>
      </c>
      <c r="F216" s="1" t="str">
        <f>IF(Protokoll_4p!J182="","",IF(VALUE(LEFT(Protokoll_4p!J182,FIND(":",Protokoll_4p!J182)-1))&gt;VALUE(RIGHT(Protokoll_4p!J182,LEN(Protokoll_4p!J182)-FIND(":",Protokoll_4p!J182))),1,0))</f>
        <v/>
      </c>
      <c r="G216" s="1" t="str">
        <f t="shared" si="6"/>
        <v/>
      </c>
      <c r="I216" s="1" t="str">
        <f>IF(Protokoll_4p!F182="","",IF(VALUE(LEFT(Protokoll_4p!F182,FIND(":",Protokoll_4p!F182)-1))&gt;VALUE(RIGHT(Protokoll_4p!F182,LEN(Protokoll_4p!F182)-FIND(":",Protokoll_4p!F182))),0,1))</f>
        <v/>
      </c>
      <c r="J216" s="1" t="str">
        <f>IF(Protokoll_4p!G182="","",IF(VALUE(LEFT(Protokoll_4p!G182,FIND(":",Protokoll_4p!G182)-1))&gt;VALUE(RIGHT(Protokoll_4p!G182,LEN(Protokoll_4p!G182)-FIND(":",Protokoll_4p!G182))),0,1))</f>
        <v/>
      </c>
      <c r="K216" s="1" t="str">
        <f>IF(Protokoll_4p!H182="","",IF(VALUE(LEFT(Protokoll_4p!H182,FIND(":",Protokoll_4p!H182)-1))&gt;VALUE(RIGHT(Protokoll_4p!H182,LEN(Protokoll_4p!H182)-FIND(":",Protokoll_4p!H182))),0,1))</f>
        <v/>
      </c>
      <c r="L216" s="1" t="str">
        <f>IF(Protokoll_4p!I182="","",IF(VALUE(LEFT(Protokoll_4p!I182,FIND(":",Protokoll_4p!I182)-1))&gt;VALUE(RIGHT(Protokoll_4p!I182,LEN(Protokoll_4p!I182)-FIND(":",Protokoll_4p!I182))),0,1))</f>
        <v/>
      </c>
      <c r="M216" s="1" t="str">
        <f>IF(Protokoll_4p!J182="","",IF(VALUE(LEFT(Protokoll_4p!J182,FIND(":",Protokoll_4p!J182)-1))&gt;VALUE(RIGHT(Protokoll_4p!J182,LEN(Protokoll_4p!J182)-FIND(":",Protokoll_4p!J182))),0,1))</f>
        <v/>
      </c>
      <c r="N216" s="1" t="str">
        <f t="shared" si="7"/>
        <v/>
      </c>
    </row>
    <row r="217" spans="2:14">
      <c r="B217" s="1" t="str">
        <f>IF(Protokoll_4p!F183="","",IF(VALUE(LEFT(Protokoll_4p!F183,FIND(":",Protokoll_4p!F183)-1))&gt;VALUE(RIGHT(Protokoll_4p!F183,LEN(Protokoll_4p!F183)-FIND(":",Protokoll_4p!F183))),1,0))</f>
        <v/>
      </c>
      <c r="C217" s="1" t="str">
        <f>IF(Protokoll_4p!G183="","",IF(VALUE(LEFT(Protokoll_4p!G183,FIND(":",Protokoll_4p!G183)-1))&gt;VALUE(RIGHT(Protokoll_4p!G183,LEN(Protokoll_4p!G183)-FIND(":",Protokoll_4p!G183))),1,0))</f>
        <v/>
      </c>
      <c r="D217" s="1" t="str">
        <f>IF(Protokoll_4p!H183="","",IF(VALUE(LEFT(Protokoll_4p!H183,FIND(":",Protokoll_4p!H183)-1))&gt;VALUE(RIGHT(Protokoll_4p!H183,LEN(Protokoll_4p!H183)-FIND(":",Protokoll_4p!H183))),1,0))</f>
        <v/>
      </c>
      <c r="E217" s="1" t="str">
        <f>IF(Protokoll_4p!I183="","",IF(VALUE(LEFT(Protokoll_4p!I183,FIND(":",Protokoll_4p!I183)-1))&gt;VALUE(RIGHT(Protokoll_4p!I183,LEN(Protokoll_4p!I183)-FIND(":",Protokoll_4p!I183))),1,0))</f>
        <v/>
      </c>
      <c r="F217" s="1" t="str">
        <f>IF(Protokoll_4p!J183="","",IF(VALUE(LEFT(Protokoll_4p!J183,FIND(":",Protokoll_4p!J183)-1))&gt;VALUE(RIGHT(Protokoll_4p!J183,LEN(Protokoll_4p!J183)-FIND(":",Protokoll_4p!J183))),1,0))</f>
        <v/>
      </c>
      <c r="G217" s="1" t="str">
        <f t="shared" si="6"/>
        <v/>
      </c>
      <c r="I217" s="1" t="str">
        <f>IF(Protokoll_4p!F183="","",IF(VALUE(LEFT(Protokoll_4p!F183,FIND(":",Protokoll_4p!F183)-1))&gt;VALUE(RIGHT(Protokoll_4p!F183,LEN(Protokoll_4p!F183)-FIND(":",Protokoll_4p!F183))),0,1))</f>
        <v/>
      </c>
      <c r="J217" s="1" t="str">
        <f>IF(Protokoll_4p!G183="","",IF(VALUE(LEFT(Protokoll_4p!G183,FIND(":",Protokoll_4p!G183)-1))&gt;VALUE(RIGHT(Protokoll_4p!G183,LEN(Protokoll_4p!G183)-FIND(":",Protokoll_4p!G183))),0,1))</f>
        <v/>
      </c>
      <c r="K217" s="1" t="str">
        <f>IF(Protokoll_4p!H183="","",IF(VALUE(LEFT(Protokoll_4p!H183,FIND(":",Protokoll_4p!H183)-1))&gt;VALUE(RIGHT(Protokoll_4p!H183,LEN(Protokoll_4p!H183)-FIND(":",Protokoll_4p!H183))),0,1))</f>
        <v/>
      </c>
      <c r="L217" s="1" t="str">
        <f>IF(Protokoll_4p!I183="","",IF(VALUE(LEFT(Protokoll_4p!I183,FIND(":",Protokoll_4p!I183)-1))&gt;VALUE(RIGHT(Protokoll_4p!I183,LEN(Protokoll_4p!I183)-FIND(":",Protokoll_4p!I183))),0,1))</f>
        <v/>
      </c>
      <c r="M217" s="1" t="str">
        <f>IF(Protokoll_4p!J183="","",IF(VALUE(LEFT(Protokoll_4p!J183,FIND(":",Protokoll_4p!J183)-1))&gt;VALUE(RIGHT(Protokoll_4p!J183,LEN(Protokoll_4p!J183)-FIND(":",Protokoll_4p!J183))),0,1))</f>
        <v/>
      </c>
      <c r="N217" s="1" t="str">
        <f t="shared" si="7"/>
        <v/>
      </c>
    </row>
    <row r="218" spans="2:14">
      <c r="B218" s="1" t="str">
        <f>IF(Protokoll_4p!F184="","",IF(VALUE(LEFT(Protokoll_4p!F184,FIND(":",Protokoll_4p!F184)-1))&gt;VALUE(RIGHT(Protokoll_4p!F184,LEN(Protokoll_4p!F184)-FIND(":",Protokoll_4p!F184))),1,0))</f>
        <v/>
      </c>
      <c r="C218" s="1" t="str">
        <f>IF(Protokoll_4p!G184="","",IF(VALUE(LEFT(Protokoll_4p!G184,FIND(":",Protokoll_4p!G184)-1))&gt;VALUE(RIGHT(Protokoll_4p!G184,LEN(Protokoll_4p!G184)-FIND(":",Protokoll_4p!G184))),1,0))</f>
        <v/>
      </c>
      <c r="D218" s="1" t="str">
        <f>IF(Protokoll_4p!H184="","",IF(VALUE(LEFT(Protokoll_4p!H184,FIND(":",Protokoll_4p!H184)-1))&gt;VALUE(RIGHT(Protokoll_4p!H184,LEN(Protokoll_4p!H184)-FIND(":",Protokoll_4p!H184))),1,0))</f>
        <v/>
      </c>
      <c r="E218" s="1" t="str">
        <f>IF(Protokoll_4p!I184="","",IF(VALUE(LEFT(Protokoll_4p!I184,FIND(":",Protokoll_4p!I184)-1))&gt;VALUE(RIGHT(Protokoll_4p!I184,LEN(Protokoll_4p!I184)-FIND(":",Protokoll_4p!I184))),1,0))</f>
        <v/>
      </c>
      <c r="F218" s="1" t="str">
        <f>IF(Protokoll_4p!J184="","",IF(VALUE(LEFT(Protokoll_4p!J184,FIND(":",Protokoll_4p!J184)-1))&gt;VALUE(RIGHT(Protokoll_4p!J184,LEN(Protokoll_4p!J184)-FIND(":",Protokoll_4p!J184))),1,0))</f>
        <v/>
      </c>
      <c r="G218" s="1" t="str">
        <f t="shared" si="6"/>
        <v/>
      </c>
      <c r="I218" s="1" t="str">
        <f>IF(Protokoll_4p!F184="","",IF(VALUE(LEFT(Protokoll_4p!F184,FIND(":",Protokoll_4p!F184)-1))&gt;VALUE(RIGHT(Protokoll_4p!F184,LEN(Protokoll_4p!F184)-FIND(":",Protokoll_4p!F184))),0,1))</f>
        <v/>
      </c>
      <c r="J218" s="1" t="str">
        <f>IF(Protokoll_4p!G184="","",IF(VALUE(LEFT(Protokoll_4p!G184,FIND(":",Protokoll_4p!G184)-1))&gt;VALUE(RIGHT(Protokoll_4p!G184,LEN(Protokoll_4p!G184)-FIND(":",Protokoll_4p!G184))),0,1))</f>
        <v/>
      </c>
      <c r="K218" s="1" t="str">
        <f>IF(Protokoll_4p!H184="","",IF(VALUE(LEFT(Protokoll_4p!H184,FIND(":",Protokoll_4p!H184)-1))&gt;VALUE(RIGHT(Protokoll_4p!H184,LEN(Protokoll_4p!H184)-FIND(":",Protokoll_4p!H184))),0,1))</f>
        <v/>
      </c>
      <c r="L218" s="1" t="str">
        <f>IF(Protokoll_4p!I184="","",IF(VALUE(LEFT(Protokoll_4p!I184,FIND(":",Protokoll_4p!I184)-1))&gt;VALUE(RIGHT(Protokoll_4p!I184,LEN(Protokoll_4p!I184)-FIND(":",Protokoll_4p!I184))),0,1))</f>
        <v/>
      </c>
      <c r="M218" s="1" t="str">
        <f>IF(Protokoll_4p!J184="","",IF(VALUE(LEFT(Protokoll_4p!J184,FIND(":",Protokoll_4p!J184)-1))&gt;VALUE(RIGHT(Protokoll_4p!J184,LEN(Protokoll_4p!J184)-FIND(":",Protokoll_4p!J184))),0,1))</f>
        <v/>
      </c>
      <c r="N218" s="1" t="str">
        <f t="shared" si="7"/>
        <v/>
      </c>
    </row>
    <row r="219" spans="2:14">
      <c r="B219" s="1" t="str">
        <f>IF(Protokoll_4p!F185="","",IF(VALUE(LEFT(Protokoll_4p!F185,FIND(":",Protokoll_4p!F185)-1))&gt;VALUE(RIGHT(Protokoll_4p!F185,LEN(Protokoll_4p!F185)-FIND(":",Protokoll_4p!F185))),1,0))</f>
        <v/>
      </c>
      <c r="C219" s="1" t="str">
        <f>IF(Protokoll_4p!G185="","",IF(VALUE(LEFT(Protokoll_4p!G185,FIND(":",Protokoll_4p!G185)-1))&gt;VALUE(RIGHT(Protokoll_4p!G185,LEN(Protokoll_4p!G185)-FIND(":",Protokoll_4p!G185))),1,0))</f>
        <v/>
      </c>
      <c r="D219" s="1" t="str">
        <f>IF(Protokoll_4p!H185="","",IF(VALUE(LEFT(Protokoll_4p!H185,FIND(":",Protokoll_4p!H185)-1))&gt;VALUE(RIGHT(Protokoll_4p!H185,LEN(Protokoll_4p!H185)-FIND(":",Protokoll_4p!H185))),1,0))</f>
        <v/>
      </c>
      <c r="E219" s="1" t="str">
        <f>IF(Protokoll_4p!I185="","",IF(VALUE(LEFT(Protokoll_4p!I185,FIND(":",Protokoll_4p!I185)-1))&gt;VALUE(RIGHT(Protokoll_4p!I185,LEN(Protokoll_4p!I185)-FIND(":",Protokoll_4p!I185))),1,0))</f>
        <v/>
      </c>
      <c r="F219" s="1" t="str">
        <f>IF(Protokoll_4p!J185="","",IF(VALUE(LEFT(Protokoll_4p!J185,FIND(":",Protokoll_4p!J185)-1))&gt;VALUE(RIGHT(Protokoll_4p!J185,LEN(Protokoll_4p!J185)-FIND(":",Protokoll_4p!J185))),1,0))</f>
        <v/>
      </c>
      <c r="G219" s="1" t="str">
        <f t="shared" si="6"/>
        <v/>
      </c>
      <c r="I219" s="1" t="str">
        <f>IF(Protokoll_4p!F185="","",IF(VALUE(LEFT(Protokoll_4p!F185,FIND(":",Protokoll_4p!F185)-1))&gt;VALUE(RIGHT(Protokoll_4p!F185,LEN(Protokoll_4p!F185)-FIND(":",Protokoll_4p!F185))),0,1))</f>
        <v/>
      </c>
      <c r="J219" s="1" t="str">
        <f>IF(Protokoll_4p!G185="","",IF(VALUE(LEFT(Protokoll_4p!G185,FIND(":",Protokoll_4p!G185)-1))&gt;VALUE(RIGHT(Protokoll_4p!G185,LEN(Protokoll_4p!G185)-FIND(":",Protokoll_4p!G185))),0,1))</f>
        <v/>
      </c>
      <c r="K219" s="1" t="str">
        <f>IF(Protokoll_4p!H185="","",IF(VALUE(LEFT(Protokoll_4p!H185,FIND(":",Protokoll_4p!H185)-1))&gt;VALUE(RIGHT(Protokoll_4p!H185,LEN(Protokoll_4p!H185)-FIND(":",Protokoll_4p!H185))),0,1))</f>
        <v/>
      </c>
      <c r="L219" s="1" t="str">
        <f>IF(Protokoll_4p!I185="","",IF(VALUE(LEFT(Protokoll_4p!I185,FIND(":",Protokoll_4p!I185)-1))&gt;VALUE(RIGHT(Protokoll_4p!I185,LEN(Protokoll_4p!I185)-FIND(":",Protokoll_4p!I185))),0,1))</f>
        <v/>
      </c>
      <c r="M219" s="1" t="str">
        <f>IF(Protokoll_4p!J185="","",IF(VALUE(LEFT(Protokoll_4p!J185,FIND(":",Protokoll_4p!J185)-1))&gt;VALUE(RIGHT(Protokoll_4p!J185,LEN(Protokoll_4p!J185)-FIND(":",Protokoll_4p!J185))),0,1))</f>
        <v/>
      </c>
      <c r="N219" s="1" t="str">
        <f t="shared" si="7"/>
        <v/>
      </c>
    </row>
    <row r="220" spans="2:14">
      <c r="B220" s="1" t="str">
        <f>IF(Protokoll_4p!F186="","",IF(VALUE(LEFT(Protokoll_4p!F186,FIND(":",Protokoll_4p!F186)-1))&gt;VALUE(RIGHT(Protokoll_4p!F186,LEN(Protokoll_4p!F186)-FIND(":",Protokoll_4p!F186))),1,0))</f>
        <v/>
      </c>
      <c r="C220" s="1" t="str">
        <f>IF(Protokoll_4p!G186="","",IF(VALUE(LEFT(Protokoll_4p!G186,FIND(":",Protokoll_4p!G186)-1))&gt;VALUE(RIGHT(Protokoll_4p!G186,LEN(Protokoll_4p!G186)-FIND(":",Protokoll_4p!G186))),1,0))</f>
        <v/>
      </c>
      <c r="D220" s="1" t="str">
        <f>IF(Protokoll_4p!H186="","",IF(VALUE(LEFT(Protokoll_4p!H186,FIND(":",Protokoll_4p!H186)-1))&gt;VALUE(RIGHT(Protokoll_4p!H186,LEN(Protokoll_4p!H186)-FIND(":",Protokoll_4p!H186))),1,0))</f>
        <v/>
      </c>
      <c r="E220" s="1" t="str">
        <f>IF(Protokoll_4p!I186="","",IF(VALUE(LEFT(Protokoll_4p!I186,FIND(":",Protokoll_4p!I186)-1))&gt;VALUE(RIGHT(Protokoll_4p!I186,LEN(Protokoll_4p!I186)-FIND(":",Protokoll_4p!I186))),1,0))</f>
        <v/>
      </c>
      <c r="F220" s="1" t="str">
        <f>IF(Protokoll_4p!J186="","",IF(VALUE(LEFT(Protokoll_4p!J186,FIND(":",Protokoll_4p!J186)-1))&gt;VALUE(RIGHT(Protokoll_4p!J186,LEN(Protokoll_4p!J186)-FIND(":",Protokoll_4p!J186))),1,0))</f>
        <v/>
      </c>
      <c r="G220" s="1" t="str">
        <f t="shared" si="6"/>
        <v/>
      </c>
      <c r="I220" s="1" t="str">
        <f>IF(Protokoll_4p!F186="","",IF(VALUE(LEFT(Protokoll_4p!F186,FIND(":",Protokoll_4p!F186)-1))&gt;VALUE(RIGHT(Protokoll_4p!F186,LEN(Protokoll_4p!F186)-FIND(":",Protokoll_4p!F186))),0,1))</f>
        <v/>
      </c>
      <c r="J220" s="1" t="str">
        <f>IF(Protokoll_4p!G186="","",IF(VALUE(LEFT(Protokoll_4p!G186,FIND(":",Protokoll_4p!G186)-1))&gt;VALUE(RIGHT(Protokoll_4p!G186,LEN(Protokoll_4p!G186)-FIND(":",Protokoll_4p!G186))),0,1))</f>
        <v/>
      </c>
      <c r="K220" s="1" t="str">
        <f>IF(Protokoll_4p!H186="","",IF(VALUE(LEFT(Protokoll_4p!H186,FIND(":",Protokoll_4p!H186)-1))&gt;VALUE(RIGHT(Protokoll_4p!H186,LEN(Protokoll_4p!H186)-FIND(":",Protokoll_4p!H186))),0,1))</f>
        <v/>
      </c>
      <c r="L220" s="1" t="str">
        <f>IF(Protokoll_4p!I186="","",IF(VALUE(LEFT(Protokoll_4p!I186,FIND(":",Protokoll_4p!I186)-1))&gt;VALUE(RIGHT(Protokoll_4p!I186,LEN(Protokoll_4p!I186)-FIND(":",Protokoll_4p!I186))),0,1))</f>
        <v/>
      </c>
      <c r="M220" s="1" t="str">
        <f>IF(Protokoll_4p!J186="","",IF(VALUE(LEFT(Protokoll_4p!J186,FIND(":",Protokoll_4p!J186)-1))&gt;VALUE(RIGHT(Protokoll_4p!J186,LEN(Protokoll_4p!J186)-FIND(":",Protokoll_4p!J186))),0,1))</f>
        <v/>
      </c>
      <c r="N220" s="1" t="str">
        <f t="shared" si="7"/>
        <v/>
      </c>
    </row>
    <row r="221" spans="2:14">
      <c r="B221" s="1" t="str">
        <f>IF(Protokoll_4p!F187="","",IF(VALUE(LEFT(Protokoll_4p!F187,FIND(":",Protokoll_4p!F187)-1))&gt;VALUE(RIGHT(Protokoll_4p!F187,LEN(Protokoll_4p!F187)-FIND(":",Protokoll_4p!F187))),1,0))</f>
        <v/>
      </c>
      <c r="C221" s="1" t="str">
        <f>IF(Protokoll_4p!G187="","",IF(VALUE(LEFT(Protokoll_4p!G187,FIND(":",Protokoll_4p!G187)-1))&gt;VALUE(RIGHT(Protokoll_4p!G187,LEN(Protokoll_4p!G187)-FIND(":",Protokoll_4p!G187))),1,0))</f>
        <v/>
      </c>
      <c r="D221" s="1" t="str">
        <f>IF(Protokoll_4p!H187="","",IF(VALUE(LEFT(Protokoll_4p!H187,FIND(":",Protokoll_4p!H187)-1))&gt;VALUE(RIGHT(Protokoll_4p!H187,LEN(Protokoll_4p!H187)-FIND(":",Protokoll_4p!H187))),1,0))</f>
        <v/>
      </c>
      <c r="E221" s="1" t="str">
        <f>IF(Protokoll_4p!I187="","",IF(VALUE(LEFT(Protokoll_4p!I187,FIND(":",Protokoll_4p!I187)-1))&gt;VALUE(RIGHT(Protokoll_4p!I187,LEN(Protokoll_4p!I187)-FIND(":",Protokoll_4p!I187))),1,0))</f>
        <v/>
      </c>
      <c r="F221" s="1" t="str">
        <f>IF(Protokoll_4p!J187="","",IF(VALUE(LEFT(Protokoll_4p!J187,FIND(":",Protokoll_4p!J187)-1))&gt;VALUE(RIGHT(Protokoll_4p!J187,LEN(Protokoll_4p!J187)-FIND(":",Protokoll_4p!J187))),1,0))</f>
        <v/>
      </c>
      <c r="G221" s="1" t="str">
        <f t="shared" si="6"/>
        <v/>
      </c>
      <c r="I221" s="1" t="str">
        <f>IF(Protokoll_4p!F187="","",IF(VALUE(LEFT(Protokoll_4p!F187,FIND(":",Protokoll_4p!F187)-1))&gt;VALUE(RIGHT(Protokoll_4p!F187,LEN(Protokoll_4p!F187)-FIND(":",Protokoll_4p!F187))),0,1))</f>
        <v/>
      </c>
      <c r="J221" s="1" t="str">
        <f>IF(Protokoll_4p!G187="","",IF(VALUE(LEFT(Protokoll_4p!G187,FIND(":",Protokoll_4p!G187)-1))&gt;VALUE(RIGHT(Protokoll_4p!G187,LEN(Protokoll_4p!G187)-FIND(":",Protokoll_4p!G187))),0,1))</f>
        <v/>
      </c>
      <c r="K221" s="1" t="str">
        <f>IF(Protokoll_4p!H187="","",IF(VALUE(LEFT(Protokoll_4p!H187,FIND(":",Protokoll_4p!H187)-1))&gt;VALUE(RIGHT(Protokoll_4p!H187,LEN(Protokoll_4p!H187)-FIND(":",Protokoll_4p!H187))),0,1))</f>
        <v/>
      </c>
      <c r="L221" s="1" t="str">
        <f>IF(Protokoll_4p!I187="","",IF(VALUE(LEFT(Protokoll_4p!I187,FIND(":",Protokoll_4p!I187)-1))&gt;VALUE(RIGHT(Protokoll_4p!I187,LEN(Protokoll_4p!I187)-FIND(":",Protokoll_4p!I187))),0,1))</f>
        <v/>
      </c>
      <c r="M221" s="1" t="str">
        <f>IF(Protokoll_4p!J187="","",IF(VALUE(LEFT(Protokoll_4p!J187,FIND(":",Protokoll_4p!J187)-1))&gt;VALUE(RIGHT(Protokoll_4p!J187,LEN(Protokoll_4p!J187)-FIND(":",Protokoll_4p!J187))),0,1))</f>
        <v/>
      </c>
      <c r="N221" s="1" t="str">
        <f t="shared" si="7"/>
        <v/>
      </c>
    </row>
    <row r="222" spans="2:14">
      <c r="B222" s="1" t="str">
        <f>IF(Protokoll_4p!F188="","",IF(VALUE(LEFT(Protokoll_4p!F188,FIND(":",Protokoll_4p!F188)-1))&gt;VALUE(RIGHT(Protokoll_4p!F188,LEN(Protokoll_4p!F188)-FIND(":",Protokoll_4p!F188))),1,0))</f>
        <v/>
      </c>
      <c r="C222" s="1" t="str">
        <f>IF(Protokoll_4p!G188="","",IF(VALUE(LEFT(Protokoll_4p!G188,FIND(":",Protokoll_4p!G188)-1))&gt;VALUE(RIGHT(Protokoll_4p!G188,LEN(Protokoll_4p!G188)-FIND(":",Protokoll_4p!G188))),1,0))</f>
        <v/>
      </c>
      <c r="D222" s="1" t="str">
        <f>IF(Protokoll_4p!H188="","",IF(VALUE(LEFT(Protokoll_4p!H188,FIND(":",Protokoll_4p!H188)-1))&gt;VALUE(RIGHT(Protokoll_4p!H188,LEN(Protokoll_4p!H188)-FIND(":",Protokoll_4p!H188))),1,0))</f>
        <v/>
      </c>
      <c r="E222" s="1" t="str">
        <f>IF(Protokoll_4p!I188="","",IF(VALUE(LEFT(Protokoll_4p!I188,FIND(":",Protokoll_4p!I188)-1))&gt;VALUE(RIGHT(Protokoll_4p!I188,LEN(Protokoll_4p!I188)-FIND(":",Protokoll_4p!I188))),1,0))</f>
        <v/>
      </c>
      <c r="F222" s="1" t="str">
        <f>IF(Protokoll_4p!J188="","",IF(VALUE(LEFT(Protokoll_4p!J188,FIND(":",Protokoll_4p!J188)-1))&gt;VALUE(RIGHT(Protokoll_4p!J188,LEN(Protokoll_4p!J188)-FIND(":",Protokoll_4p!J188))),1,0))</f>
        <v/>
      </c>
      <c r="G222" s="1" t="str">
        <f t="shared" si="6"/>
        <v/>
      </c>
      <c r="I222" s="1" t="str">
        <f>IF(Protokoll_4p!F188="","",IF(VALUE(LEFT(Protokoll_4p!F188,FIND(":",Protokoll_4p!F188)-1))&gt;VALUE(RIGHT(Protokoll_4p!F188,LEN(Protokoll_4p!F188)-FIND(":",Protokoll_4p!F188))),0,1))</f>
        <v/>
      </c>
      <c r="J222" s="1" t="str">
        <f>IF(Protokoll_4p!G188="","",IF(VALUE(LEFT(Protokoll_4p!G188,FIND(":",Protokoll_4p!G188)-1))&gt;VALUE(RIGHT(Protokoll_4p!G188,LEN(Protokoll_4p!G188)-FIND(":",Protokoll_4p!G188))),0,1))</f>
        <v/>
      </c>
      <c r="K222" s="1" t="str">
        <f>IF(Protokoll_4p!H188="","",IF(VALUE(LEFT(Protokoll_4p!H188,FIND(":",Protokoll_4p!H188)-1))&gt;VALUE(RIGHT(Protokoll_4p!H188,LEN(Protokoll_4p!H188)-FIND(":",Protokoll_4p!H188))),0,1))</f>
        <v/>
      </c>
      <c r="L222" s="1" t="str">
        <f>IF(Protokoll_4p!I188="","",IF(VALUE(LEFT(Protokoll_4p!I188,FIND(":",Protokoll_4p!I188)-1))&gt;VALUE(RIGHT(Protokoll_4p!I188,LEN(Protokoll_4p!I188)-FIND(":",Protokoll_4p!I188))),0,1))</f>
        <v/>
      </c>
      <c r="M222" s="1" t="str">
        <f>IF(Protokoll_4p!J188="","",IF(VALUE(LEFT(Protokoll_4p!J188,FIND(":",Protokoll_4p!J188)-1))&gt;VALUE(RIGHT(Protokoll_4p!J188,LEN(Protokoll_4p!J188)-FIND(":",Protokoll_4p!J188))),0,1))</f>
        <v/>
      </c>
      <c r="N222" s="1" t="str">
        <f t="shared" si="7"/>
        <v/>
      </c>
    </row>
    <row r="223" spans="2:14">
      <c r="B223" s="1" t="str">
        <f>IF(Protokoll_4p!F189="","",IF(VALUE(LEFT(Protokoll_4p!F189,FIND(":",Protokoll_4p!F189)-1))&gt;VALUE(RIGHT(Protokoll_4p!F189,LEN(Protokoll_4p!F189)-FIND(":",Protokoll_4p!F189))),1,0))</f>
        <v/>
      </c>
      <c r="C223" s="1" t="str">
        <f>IF(Protokoll_4p!G189="","",IF(VALUE(LEFT(Protokoll_4p!G189,FIND(":",Protokoll_4p!G189)-1))&gt;VALUE(RIGHT(Protokoll_4p!G189,LEN(Protokoll_4p!G189)-FIND(":",Protokoll_4p!G189))),1,0))</f>
        <v/>
      </c>
      <c r="D223" s="1" t="str">
        <f>IF(Protokoll_4p!H189="","",IF(VALUE(LEFT(Protokoll_4p!H189,FIND(":",Protokoll_4p!H189)-1))&gt;VALUE(RIGHT(Protokoll_4p!H189,LEN(Protokoll_4p!H189)-FIND(":",Protokoll_4p!H189))),1,0))</f>
        <v/>
      </c>
      <c r="E223" s="1" t="str">
        <f>IF(Protokoll_4p!I189="","",IF(VALUE(LEFT(Protokoll_4p!I189,FIND(":",Protokoll_4p!I189)-1))&gt;VALUE(RIGHT(Protokoll_4p!I189,LEN(Protokoll_4p!I189)-FIND(":",Protokoll_4p!I189))),1,0))</f>
        <v/>
      </c>
      <c r="F223" s="1" t="str">
        <f>IF(Protokoll_4p!J189="","",IF(VALUE(LEFT(Protokoll_4p!J189,FIND(":",Protokoll_4p!J189)-1))&gt;VALUE(RIGHT(Protokoll_4p!J189,LEN(Protokoll_4p!J189)-FIND(":",Protokoll_4p!J189))),1,0))</f>
        <v/>
      </c>
      <c r="G223" s="1" t="str">
        <f t="shared" si="6"/>
        <v/>
      </c>
      <c r="I223" s="1" t="str">
        <f>IF(Protokoll_4p!F189="","",IF(VALUE(LEFT(Protokoll_4p!F189,FIND(":",Protokoll_4p!F189)-1))&gt;VALUE(RIGHT(Protokoll_4p!F189,LEN(Protokoll_4p!F189)-FIND(":",Protokoll_4p!F189))),0,1))</f>
        <v/>
      </c>
      <c r="J223" s="1" t="str">
        <f>IF(Protokoll_4p!G189="","",IF(VALUE(LEFT(Protokoll_4p!G189,FIND(":",Protokoll_4p!G189)-1))&gt;VALUE(RIGHT(Protokoll_4p!G189,LEN(Protokoll_4p!G189)-FIND(":",Protokoll_4p!G189))),0,1))</f>
        <v/>
      </c>
      <c r="K223" s="1" t="str">
        <f>IF(Protokoll_4p!H189="","",IF(VALUE(LEFT(Protokoll_4p!H189,FIND(":",Protokoll_4p!H189)-1))&gt;VALUE(RIGHT(Protokoll_4p!H189,LEN(Protokoll_4p!H189)-FIND(":",Protokoll_4p!H189))),0,1))</f>
        <v/>
      </c>
      <c r="L223" s="1" t="str">
        <f>IF(Protokoll_4p!I189="","",IF(VALUE(LEFT(Protokoll_4p!I189,FIND(":",Protokoll_4p!I189)-1))&gt;VALUE(RIGHT(Protokoll_4p!I189,LEN(Protokoll_4p!I189)-FIND(":",Protokoll_4p!I189))),0,1))</f>
        <v/>
      </c>
      <c r="M223" s="1" t="str">
        <f>IF(Protokoll_4p!J189="","",IF(VALUE(LEFT(Protokoll_4p!J189,FIND(":",Protokoll_4p!J189)-1))&gt;VALUE(RIGHT(Protokoll_4p!J189,LEN(Protokoll_4p!J189)-FIND(":",Protokoll_4p!J189))),0,1))</f>
        <v/>
      </c>
      <c r="N223" s="1" t="str">
        <f t="shared" si="7"/>
        <v/>
      </c>
    </row>
    <row r="224" spans="2:14">
      <c r="B224" s="1" t="str">
        <f>IF(Protokoll_4p!F190="","",IF(VALUE(LEFT(Protokoll_4p!F190,FIND(":",Protokoll_4p!F190)-1))&gt;VALUE(RIGHT(Protokoll_4p!F190,LEN(Protokoll_4p!F190)-FIND(":",Protokoll_4p!F190))),1,0))</f>
        <v/>
      </c>
      <c r="C224" s="1" t="str">
        <f>IF(Protokoll_4p!G190="","",IF(VALUE(LEFT(Protokoll_4p!G190,FIND(":",Protokoll_4p!G190)-1))&gt;VALUE(RIGHT(Protokoll_4p!G190,LEN(Protokoll_4p!G190)-FIND(":",Protokoll_4p!G190))),1,0))</f>
        <v/>
      </c>
      <c r="D224" s="1" t="str">
        <f>IF(Protokoll_4p!H190="","",IF(VALUE(LEFT(Protokoll_4p!H190,FIND(":",Protokoll_4p!H190)-1))&gt;VALUE(RIGHT(Protokoll_4p!H190,LEN(Protokoll_4p!H190)-FIND(":",Protokoll_4p!H190))),1,0))</f>
        <v/>
      </c>
      <c r="E224" s="1" t="str">
        <f>IF(Protokoll_4p!I190="","",IF(VALUE(LEFT(Protokoll_4p!I190,FIND(":",Protokoll_4p!I190)-1))&gt;VALUE(RIGHT(Protokoll_4p!I190,LEN(Protokoll_4p!I190)-FIND(":",Protokoll_4p!I190))),1,0))</f>
        <v/>
      </c>
      <c r="F224" s="1" t="str">
        <f>IF(Protokoll_4p!J190="","",IF(VALUE(LEFT(Protokoll_4p!J190,FIND(":",Protokoll_4p!J190)-1))&gt;VALUE(RIGHT(Protokoll_4p!J190,LEN(Protokoll_4p!J190)-FIND(":",Protokoll_4p!J190))),1,0))</f>
        <v/>
      </c>
      <c r="G224" s="1" t="str">
        <f t="shared" si="6"/>
        <v/>
      </c>
      <c r="I224" s="1" t="str">
        <f>IF(Protokoll_4p!F190="","",IF(VALUE(LEFT(Protokoll_4p!F190,FIND(":",Protokoll_4p!F190)-1))&gt;VALUE(RIGHT(Protokoll_4p!F190,LEN(Protokoll_4p!F190)-FIND(":",Protokoll_4p!F190))),0,1))</f>
        <v/>
      </c>
      <c r="J224" s="1" t="str">
        <f>IF(Protokoll_4p!G190="","",IF(VALUE(LEFT(Protokoll_4p!G190,FIND(":",Protokoll_4p!G190)-1))&gt;VALUE(RIGHT(Protokoll_4p!G190,LEN(Protokoll_4p!G190)-FIND(":",Protokoll_4p!G190))),0,1))</f>
        <v/>
      </c>
      <c r="K224" s="1" t="str">
        <f>IF(Protokoll_4p!H190="","",IF(VALUE(LEFT(Protokoll_4p!H190,FIND(":",Protokoll_4p!H190)-1))&gt;VALUE(RIGHT(Protokoll_4p!H190,LEN(Protokoll_4p!H190)-FIND(":",Protokoll_4p!H190))),0,1))</f>
        <v/>
      </c>
      <c r="L224" s="1" t="str">
        <f>IF(Protokoll_4p!I190="","",IF(VALUE(LEFT(Protokoll_4p!I190,FIND(":",Protokoll_4p!I190)-1))&gt;VALUE(RIGHT(Protokoll_4p!I190,LEN(Protokoll_4p!I190)-FIND(":",Protokoll_4p!I190))),0,1))</f>
        <v/>
      </c>
      <c r="M224" s="1" t="str">
        <f>IF(Protokoll_4p!J190="","",IF(VALUE(LEFT(Protokoll_4p!J190,FIND(":",Protokoll_4p!J190)-1))&gt;VALUE(RIGHT(Protokoll_4p!J190,LEN(Protokoll_4p!J190)-FIND(":",Protokoll_4p!J190))),0,1))</f>
        <v/>
      </c>
      <c r="N224" s="1" t="str">
        <f t="shared" si="7"/>
        <v/>
      </c>
    </row>
    <row r="225" spans="2:14">
      <c r="B225" s="1" t="str">
        <f>IF(Protokoll_4p!F191="","",IF(VALUE(LEFT(Protokoll_4p!F191,FIND(":",Protokoll_4p!F191)-1))&gt;VALUE(RIGHT(Protokoll_4p!F191,LEN(Protokoll_4p!F191)-FIND(":",Protokoll_4p!F191))),1,0))</f>
        <v/>
      </c>
      <c r="C225" s="1" t="str">
        <f>IF(Protokoll_4p!G191="","",IF(VALUE(LEFT(Protokoll_4p!G191,FIND(":",Protokoll_4p!G191)-1))&gt;VALUE(RIGHT(Protokoll_4p!G191,LEN(Protokoll_4p!G191)-FIND(":",Protokoll_4p!G191))),1,0))</f>
        <v/>
      </c>
      <c r="D225" s="1" t="str">
        <f>IF(Protokoll_4p!H191="","",IF(VALUE(LEFT(Protokoll_4p!H191,FIND(":",Protokoll_4p!H191)-1))&gt;VALUE(RIGHT(Protokoll_4p!H191,LEN(Protokoll_4p!H191)-FIND(":",Protokoll_4p!H191))),1,0))</f>
        <v/>
      </c>
      <c r="E225" s="1" t="str">
        <f>IF(Protokoll_4p!I191="","",IF(VALUE(LEFT(Protokoll_4p!I191,FIND(":",Protokoll_4p!I191)-1))&gt;VALUE(RIGHT(Protokoll_4p!I191,LEN(Protokoll_4p!I191)-FIND(":",Protokoll_4p!I191))),1,0))</f>
        <v/>
      </c>
      <c r="F225" s="1" t="str">
        <f>IF(Protokoll_4p!J191="","",IF(VALUE(LEFT(Protokoll_4p!J191,FIND(":",Protokoll_4p!J191)-1))&gt;VALUE(RIGHT(Protokoll_4p!J191,LEN(Protokoll_4p!J191)-FIND(":",Protokoll_4p!J191))),1,0))</f>
        <v/>
      </c>
      <c r="G225" s="1" t="str">
        <f t="shared" si="6"/>
        <v/>
      </c>
      <c r="I225" s="1" t="str">
        <f>IF(Protokoll_4p!F191="","",IF(VALUE(LEFT(Protokoll_4p!F191,FIND(":",Protokoll_4p!F191)-1))&gt;VALUE(RIGHT(Protokoll_4p!F191,LEN(Protokoll_4p!F191)-FIND(":",Protokoll_4p!F191))),0,1))</f>
        <v/>
      </c>
      <c r="J225" s="1" t="str">
        <f>IF(Protokoll_4p!G191="","",IF(VALUE(LEFT(Protokoll_4p!G191,FIND(":",Protokoll_4p!G191)-1))&gt;VALUE(RIGHT(Protokoll_4p!G191,LEN(Protokoll_4p!G191)-FIND(":",Protokoll_4p!G191))),0,1))</f>
        <v/>
      </c>
      <c r="K225" s="1" t="str">
        <f>IF(Protokoll_4p!H191="","",IF(VALUE(LEFT(Protokoll_4p!H191,FIND(":",Protokoll_4p!H191)-1))&gt;VALUE(RIGHT(Protokoll_4p!H191,LEN(Protokoll_4p!H191)-FIND(":",Protokoll_4p!H191))),0,1))</f>
        <v/>
      </c>
      <c r="L225" s="1" t="str">
        <f>IF(Protokoll_4p!I191="","",IF(VALUE(LEFT(Protokoll_4p!I191,FIND(":",Protokoll_4p!I191)-1))&gt;VALUE(RIGHT(Protokoll_4p!I191,LEN(Protokoll_4p!I191)-FIND(":",Protokoll_4p!I191))),0,1))</f>
        <v/>
      </c>
      <c r="M225" s="1" t="str">
        <f>IF(Protokoll_4p!J191="","",IF(VALUE(LEFT(Protokoll_4p!J191,FIND(":",Protokoll_4p!J191)-1))&gt;VALUE(RIGHT(Protokoll_4p!J191,LEN(Protokoll_4p!J191)-FIND(":",Protokoll_4p!J191))),0,1))</f>
        <v/>
      </c>
      <c r="N225" s="1" t="str">
        <f t="shared" si="7"/>
        <v/>
      </c>
    </row>
    <row r="226" spans="2:14">
      <c r="B226" s="1" t="str">
        <f>IF(Protokoll_4p!F192="","",IF(VALUE(LEFT(Protokoll_4p!F192,FIND(":",Protokoll_4p!F192)-1))&gt;VALUE(RIGHT(Protokoll_4p!F192,LEN(Protokoll_4p!F192)-FIND(":",Protokoll_4p!F192))),1,0))</f>
        <v/>
      </c>
      <c r="C226" s="1" t="str">
        <f>IF(Protokoll_4p!G192="","",IF(VALUE(LEFT(Protokoll_4p!G192,FIND(":",Protokoll_4p!G192)-1))&gt;VALUE(RIGHT(Protokoll_4p!G192,LEN(Protokoll_4p!G192)-FIND(":",Protokoll_4p!G192))),1,0))</f>
        <v/>
      </c>
      <c r="D226" s="1" t="str">
        <f>IF(Protokoll_4p!H192="","",IF(VALUE(LEFT(Protokoll_4p!H192,FIND(":",Protokoll_4p!H192)-1))&gt;VALUE(RIGHT(Protokoll_4p!H192,LEN(Protokoll_4p!H192)-FIND(":",Protokoll_4p!H192))),1,0))</f>
        <v/>
      </c>
      <c r="E226" s="1" t="str">
        <f>IF(Protokoll_4p!I192="","",IF(VALUE(LEFT(Protokoll_4p!I192,FIND(":",Protokoll_4p!I192)-1))&gt;VALUE(RIGHT(Protokoll_4p!I192,LEN(Protokoll_4p!I192)-FIND(":",Protokoll_4p!I192))),1,0))</f>
        <v/>
      </c>
      <c r="F226" s="1" t="str">
        <f>IF(Protokoll_4p!J192="","",IF(VALUE(LEFT(Protokoll_4p!J192,FIND(":",Protokoll_4p!J192)-1))&gt;VALUE(RIGHT(Protokoll_4p!J192,LEN(Protokoll_4p!J192)-FIND(":",Protokoll_4p!J192))),1,0))</f>
        <v/>
      </c>
      <c r="G226" s="1" t="str">
        <f t="shared" si="6"/>
        <v/>
      </c>
      <c r="I226" s="1" t="str">
        <f>IF(Protokoll_4p!F192="","",IF(VALUE(LEFT(Protokoll_4p!F192,FIND(":",Protokoll_4p!F192)-1))&gt;VALUE(RIGHT(Protokoll_4p!F192,LEN(Protokoll_4p!F192)-FIND(":",Protokoll_4p!F192))),0,1))</f>
        <v/>
      </c>
      <c r="J226" s="1" t="str">
        <f>IF(Protokoll_4p!G192="","",IF(VALUE(LEFT(Protokoll_4p!G192,FIND(":",Protokoll_4p!G192)-1))&gt;VALUE(RIGHT(Protokoll_4p!G192,LEN(Protokoll_4p!G192)-FIND(":",Protokoll_4p!G192))),0,1))</f>
        <v/>
      </c>
      <c r="K226" s="1" t="str">
        <f>IF(Protokoll_4p!H192="","",IF(VALUE(LEFT(Protokoll_4p!H192,FIND(":",Protokoll_4p!H192)-1))&gt;VALUE(RIGHT(Protokoll_4p!H192,LEN(Protokoll_4p!H192)-FIND(":",Protokoll_4p!H192))),0,1))</f>
        <v/>
      </c>
      <c r="L226" s="1" t="str">
        <f>IF(Protokoll_4p!I192="","",IF(VALUE(LEFT(Protokoll_4p!I192,FIND(":",Protokoll_4p!I192)-1))&gt;VALUE(RIGHT(Protokoll_4p!I192,LEN(Protokoll_4p!I192)-FIND(":",Protokoll_4p!I192))),0,1))</f>
        <v/>
      </c>
      <c r="M226" s="1" t="str">
        <f>IF(Protokoll_4p!J192="","",IF(VALUE(LEFT(Protokoll_4p!J192,FIND(":",Protokoll_4p!J192)-1))&gt;VALUE(RIGHT(Protokoll_4p!J192,LEN(Protokoll_4p!J192)-FIND(":",Protokoll_4p!J192))),0,1))</f>
        <v/>
      </c>
      <c r="N226" s="1" t="str">
        <f t="shared" si="7"/>
        <v/>
      </c>
    </row>
    <row r="227" spans="2:14">
      <c r="B227" s="1" t="str">
        <f>IF(Protokoll_4p!F193="","",IF(VALUE(LEFT(Protokoll_4p!F193,FIND(":",Protokoll_4p!F193)-1))&gt;VALUE(RIGHT(Protokoll_4p!F193,LEN(Protokoll_4p!F193)-FIND(":",Protokoll_4p!F193))),1,0))</f>
        <v/>
      </c>
      <c r="C227" s="1" t="str">
        <f>IF(Protokoll_4p!G193="","",IF(VALUE(LEFT(Protokoll_4p!G193,FIND(":",Protokoll_4p!G193)-1))&gt;VALUE(RIGHT(Protokoll_4p!G193,LEN(Protokoll_4p!G193)-FIND(":",Protokoll_4p!G193))),1,0))</f>
        <v/>
      </c>
      <c r="D227" s="1" t="str">
        <f>IF(Protokoll_4p!H193="","",IF(VALUE(LEFT(Protokoll_4p!H193,FIND(":",Protokoll_4p!H193)-1))&gt;VALUE(RIGHT(Protokoll_4p!H193,LEN(Protokoll_4p!H193)-FIND(":",Protokoll_4p!H193))),1,0))</f>
        <v/>
      </c>
      <c r="E227" s="1" t="str">
        <f>IF(Protokoll_4p!I193="","",IF(VALUE(LEFT(Protokoll_4p!I193,FIND(":",Protokoll_4p!I193)-1))&gt;VALUE(RIGHT(Protokoll_4p!I193,LEN(Protokoll_4p!I193)-FIND(":",Protokoll_4p!I193))),1,0))</f>
        <v/>
      </c>
      <c r="F227" s="1" t="str">
        <f>IF(Protokoll_4p!J193="","",IF(VALUE(LEFT(Protokoll_4p!J193,FIND(":",Protokoll_4p!J193)-1))&gt;VALUE(RIGHT(Protokoll_4p!J193,LEN(Protokoll_4p!J193)-FIND(":",Protokoll_4p!J193))),1,0))</f>
        <v/>
      </c>
      <c r="G227" s="1" t="str">
        <f t="shared" si="6"/>
        <v/>
      </c>
      <c r="I227" s="1" t="str">
        <f>IF(Protokoll_4p!F193="","",IF(VALUE(LEFT(Protokoll_4p!F193,FIND(":",Protokoll_4p!F193)-1))&gt;VALUE(RIGHT(Protokoll_4p!F193,LEN(Protokoll_4p!F193)-FIND(":",Protokoll_4p!F193))),0,1))</f>
        <v/>
      </c>
      <c r="J227" s="1" t="str">
        <f>IF(Protokoll_4p!G193="","",IF(VALUE(LEFT(Protokoll_4p!G193,FIND(":",Protokoll_4p!G193)-1))&gt;VALUE(RIGHT(Protokoll_4p!G193,LEN(Protokoll_4p!G193)-FIND(":",Protokoll_4p!G193))),0,1))</f>
        <v/>
      </c>
      <c r="K227" s="1" t="str">
        <f>IF(Protokoll_4p!H193="","",IF(VALUE(LEFT(Protokoll_4p!H193,FIND(":",Protokoll_4p!H193)-1))&gt;VALUE(RIGHT(Protokoll_4p!H193,LEN(Protokoll_4p!H193)-FIND(":",Protokoll_4p!H193))),0,1))</f>
        <v/>
      </c>
      <c r="L227" s="1" t="str">
        <f>IF(Protokoll_4p!I193="","",IF(VALUE(LEFT(Protokoll_4p!I193,FIND(":",Protokoll_4p!I193)-1))&gt;VALUE(RIGHT(Protokoll_4p!I193,LEN(Protokoll_4p!I193)-FIND(":",Protokoll_4p!I193))),0,1))</f>
        <v/>
      </c>
      <c r="M227" s="1" t="str">
        <f>IF(Protokoll_4p!J193="","",IF(VALUE(LEFT(Protokoll_4p!J193,FIND(":",Protokoll_4p!J193)-1))&gt;VALUE(RIGHT(Protokoll_4p!J193,LEN(Protokoll_4p!J193)-FIND(":",Protokoll_4p!J193))),0,1))</f>
        <v/>
      </c>
      <c r="N227" s="1" t="str">
        <f t="shared" si="7"/>
        <v/>
      </c>
    </row>
    <row r="228" spans="2:14">
      <c r="B228" s="1" t="str">
        <f>IF(Protokoll_4p!F194="","",IF(VALUE(LEFT(Protokoll_4p!F194,FIND(":",Protokoll_4p!F194)-1))&gt;VALUE(RIGHT(Protokoll_4p!F194,LEN(Protokoll_4p!F194)-FIND(":",Protokoll_4p!F194))),1,0))</f>
        <v/>
      </c>
      <c r="C228" s="1" t="str">
        <f>IF(Protokoll_4p!G194="","",IF(VALUE(LEFT(Protokoll_4p!G194,FIND(":",Protokoll_4p!G194)-1))&gt;VALUE(RIGHT(Protokoll_4p!G194,LEN(Protokoll_4p!G194)-FIND(":",Protokoll_4p!G194))),1,0))</f>
        <v/>
      </c>
      <c r="D228" s="1" t="str">
        <f>IF(Protokoll_4p!H194="","",IF(VALUE(LEFT(Protokoll_4p!H194,FIND(":",Protokoll_4p!H194)-1))&gt;VALUE(RIGHT(Protokoll_4p!H194,LEN(Protokoll_4p!H194)-FIND(":",Protokoll_4p!H194))),1,0))</f>
        <v/>
      </c>
      <c r="E228" s="1" t="str">
        <f>IF(Protokoll_4p!I194="","",IF(VALUE(LEFT(Protokoll_4p!I194,FIND(":",Protokoll_4p!I194)-1))&gt;VALUE(RIGHT(Protokoll_4p!I194,LEN(Protokoll_4p!I194)-FIND(":",Protokoll_4p!I194))),1,0))</f>
        <v/>
      </c>
      <c r="F228" s="1" t="str">
        <f>IF(Protokoll_4p!J194="","",IF(VALUE(LEFT(Protokoll_4p!J194,FIND(":",Protokoll_4p!J194)-1))&gt;VALUE(RIGHT(Protokoll_4p!J194,LEN(Protokoll_4p!J194)-FIND(":",Protokoll_4p!J194))),1,0))</f>
        <v/>
      </c>
      <c r="G228" s="1" t="str">
        <f t="shared" si="6"/>
        <v/>
      </c>
      <c r="I228" s="1" t="str">
        <f>IF(Protokoll_4p!F194="","",IF(VALUE(LEFT(Protokoll_4p!F194,FIND(":",Protokoll_4p!F194)-1))&gt;VALUE(RIGHT(Protokoll_4p!F194,LEN(Protokoll_4p!F194)-FIND(":",Protokoll_4p!F194))),0,1))</f>
        <v/>
      </c>
      <c r="J228" s="1" t="str">
        <f>IF(Protokoll_4p!G194="","",IF(VALUE(LEFT(Protokoll_4p!G194,FIND(":",Protokoll_4p!G194)-1))&gt;VALUE(RIGHT(Protokoll_4p!G194,LEN(Protokoll_4p!G194)-FIND(":",Protokoll_4p!G194))),0,1))</f>
        <v/>
      </c>
      <c r="K228" s="1" t="str">
        <f>IF(Protokoll_4p!H194="","",IF(VALUE(LEFT(Protokoll_4p!H194,FIND(":",Protokoll_4p!H194)-1))&gt;VALUE(RIGHT(Protokoll_4p!H194,LEN(Protokoll_4p!H194)-FIND(":",Protokoll_4p!H194))),0,1))</f>
        <v/>
      </c>
      <c r="L228" s="1" t="str">
        <f>IF(Protokoll_4p!I194="","",IF(VALUE(LEFT(Protokoll_4p!I194,FIND(":",Protokoll_4p!I194)-1))&gt;VALUE(RIGHT(Protokoll_4p!I194,LEN(Protokoll_4p!I194)-FIND(":",Protokoll_4p!I194))),0,1))</f>
        <v/>
      </c>
      <c r="M228" s="1" t="str">
        <f>IF(Protokoll_4p!J194="","",IF(VALUE(LEFT(Protokoll_4p!J194,FIND(":",Protokoll_4p!J194)-1))&gt;VALUE(RIGHT(Protokoll_4p!J194,LEN(Protokoll_4p!J194)-FIND(":",Protokoll_4p!J194))),0,1))</f>
        <v/>
      </c>
      <c r="N228" s="1" t="str">
        <f t="shared" si="7"/>
        <v/>
      </c>
    </row>
    <row r="229" spans="2:14">
      <c r="B229" s="1" t="str">
        <f>IF(Protokoll_4p!F195="","",IF(VALUE(LEFT(Protokoll_4p!F195,FIND(":",Protokoll_4p!F195)-1))&gt;VALUE(RIGHT(Protokoll_4p!F195,LEN(Protokoll_4p!F195)-FIND(":",Protokoll_4p!F195))),1,0))</f>
        <v/>
      </c>
      <c r="C229" s="1" t="str">
        <f>IF(Protokoll_4p!G195="","",IF(VALUE(LEFT(Protokoll_4p!G195,FIND(":",Protokoll_4p!G195)-1))&gt;VALUE(RIGHT(Protokoll_4p!G195,LEN(Protokoll_4p!G195)-FIND(":",Protokoll_4p!G195))),1,0))</f>
        <v/>
      </c>
      <c r="D229" s="1" t="str">
        <f>IF(Protokoll_4p!H195="","",IF(VALUE(LEFT(Protokoll_4p!H195,FIND(":",Protokoll_4p!H195)-1))&gt;VALUE(RIGHT(Protokoll_4p!H195,LEN(Protokoll_4p!H195)-FIND(":",Protokoll_4p!H195))),1,0))</f>
        <v/>
      </c>
      <c r="E229" s="1" t="str">
        <f>IF(Protokoll_4p!I195="","",IF(VALUE(LEFT(Protokoll_4p!I195,FIND(":",Protokoll_4p!I195)-1))&gt;VALUE(RIGHT(Protokoll_4p!I195,LEN(Protokoll_4p!I195)-FIND(":",Protokoll_4p!I195))),1,0))</f>
        <v/>
      </c>
      <c r="F229" s="1" t="str">
        <f>IF(Protokoll_4p!J195="","",IF(VALUE(LEFT(Protokoll_4p!J195,FIND(":",Protokoll_4p!J195)-1))&gt;VALUE(RIGHT(Protokoll_4p!J195,LEN(Protokoll_4p!J195)-FIND(":",Protokoll_4p!J195))),1,0))</f>
        <v/>
      </c>
      <c r="G229" s="1" t="str">
        <f t="shared" si="6"/>
        <v/>
      </c>
      <c r="I229" s="1" t="str">
        <f>IF(Protokoll_4p!F195="","",IF(VALUE(LEFT(Protokoll_4p!F195,FIND(":",Protokoll_4p!F195)-1))&gt;VALUE(RIGHT(Protokoll_4p!F195,LEN(Protokoll_4p!F195)-FIND(":",Protokoll_4p!F195))),0,1))</f>
        <v/>
      </c>
      <c r="J229" s="1" t="str">
        <f>IF(Protokoll_4p!G195="","",IF(VALUE(LEFT(Protokoll_4p!G195,FIND(":",Protokoll_4p!G195)-1))&gt;VALUE(RIGHT(Protokoll_4p!G195,LEN(Protokoll_4p!G195)-FIND(":",Protokoll_4p!G195))),0,1))</f>
        <v/>
      </c>
      <c r="K229" s="1" t="str">
        <f>IF(Protokoll_4p!H195="","",IF(VALUE(LEFT(Protokoll_4p!H195,FIND(":",Protokoll_4p!H195)-1))&gt;VALUE(RIGHT(Protokoll_4p!H195,LEN(Protokoll_4p!H195)-FIND(":",Protokoll_4p!H195))),0,1))</f>
        <v/>
      </c>
      <c r="L229" s="1" t="str">
        <f>IF(Protokoll_4p!I195="","",IF(VALUE(LEFT(Protokoll_4p!I195,FIND(":",Protokoll_4p!I195)-1))&gt;VALUE(RIGHT(Protokoll_4p!I195,LEN(Protokoll_4p!I195)-FIND(":",Protokoll_4p!I195))),0,1))</f>
        <v/>
      </c>
      <c r="M229" s="1" t="str">
        <f>IF(Protokoll_4p!J195="","",IF(VALUE(LEFT(Protokoll_4p!J195,FIND(":",Protokoll_4p!J195)-1))&gt;VALUE(RIGHT(Protokoll_4p!J195,LEN(Protokoll_4p!J195)-FIND(":",Protokoll_4p!J195))),0,1))</f>
        <v/>
      </c>
      <c r="N229" s="1" t="str">
        <f t="shared" si="7"/>
        <v/>
      </c>
    </row>
    <row r="230" spans="2:14">
      <c r="B230" s="1" t="str">
        <f>IF(Protokoll_4p!F196="","",IF(VALUE(LEFT(Protokoll_4p!F196,FIND(":",Protokoll_4p!F196)-1))&gt;VALUE(RIGHT(Protokoll_4p!F196,LEN(Protokoll_4p!F196)-FIND(":",Protokoll_4p!F196))),1,0))</f>
        <v/>
      </c>
      <c r="C230" s="1" t="str">
        <f>IF(Protokoll_4p!G196="","",IF(VALUE(LEFT(Protokoll_4p!G196,FIND(":",Protokoll_4p!G196)-1))&gt;VALUE(RIGHT(Protokoll_4p!G196,LEN(Protokoll_4p!G196)-FIND(":",Protokoll_4p!G196))),1,0))</f>
        <v/>
      </c>
      <c r="D230" s="1" t="str">
        <f>IF(Protokoll_4p!H196="","",IF(VALUE(LEFT(Protokoll_4p!H196,FIND(":",Protokoll_4p!H196)-1))&gt;VALUE(RIGHT(Protokoll_4p!H196,LEN(Protokoll_4p!H196)-FIND(":",Protokoll_4p!H196))),1,0))</f>
        <v/>
      </c>
      <c r="E230" s="1" t="str">
        <f>IF(Protokoll_4p!I196="","",IF(VALUE(LEFT(Protokoll_4p!I196,FIND(":",Protokoll_4p!I196)-1))&gt;VALUE(RIGHT(Protokoll_4p!I196,LEN(Protokoll_4p!I196)-FIND(":",Protokoll_4p!I196))),1,0))</f>
        <v/>
      </c>
      <c r="F230" s="1" t="str">
        <f>IF(Protokoll_4p!J196="","",IF(VALUE(LEFT(Protokoll_4p!J196,FIND(":",Protokoll_4p!J196)-1))&gt;VALUE(RIGHT(Protokoll_4p!J196,LEN(Protokoll_4p!J196)-FIND(":",Protokoll_4p!J196))),1,0))</f>
        <v/>
      </c>
      <c r="G230" s="1" t="str">
        <f t="shared" si="6"/>
        <v/>
      </c>
      <c r="I230" s="1" t="str">
        <f>IF(Protokoll_4p!F196="","",IF(VALUE(LEFT(Protokoll_4p!F196,FIND(":",Protokoll_4p!F196)-1))&gt;VALUE(RIGHT(Protokoll_4p!F196,LEN(Protokoll_4p!F196)-FIND(":",Protokoll_4p!F196))),0,1))</f>
        <v/>
      </c>
      <c r="J230" s="1" t="str">
        <f>IF(Protokoll_4p!G196="","",IF(VALUE(LEFT(Protokoll_4p!G196,FIND(":",Protokoll_4p!G196)-1))&gt;VALUE(RIGHT(Protokoll_4p!G196,LEN(Protokoll_4p!G196)-FIND(":",Protokoll_4p!G196))),0,1))</f>
        <v/>
      </c>
      <c r="K230" s="1" t="str">
        <f>IF(Protokoll_4p!H196="","",IF(VALUE(LEFT(Protokoll_4p!H196,FIND(":",Protokoll_4p!H196)-1))&gt;VALUE(RIGHT(Protokoll_4p!H196,LEN(Protokoll_4p!H196)-FIND(":",Protokoll_4p!H196))),0,1))</f>
        <v/>
      </c>
      <c r="L230" s="1" t="str">
        <f>IF(Protokoll_4p!I196="","",IF(VALUE(LEFT(Protokoll_4p!I196,FIND(":",Protokoll_4p!I196)-1))&gt;VALUE(RIGHT(Protokoll_4p!I196,LEN(Protokoll_4p!I196)-FIND(":",Protokoll_4p!I196))),0,1))</f>
        <v/>
      </c>
      <c r="M230" s="1" t="str">
        <f>IF(Protokoll_4p!J196="","",IF(VALUE(LEFT(Protokoll_4p!J196,FIND(":",Protokoll_4p!J196)-1))&gt;VALUE(RIGHT(Protokoll_4p!J196,LEN(Protokoll_4p!J196)-FIND(":",Protokoll_4p!J196))),0,1))</f>
        <v/>
      </c>
      <c r="N230" s="1" t="str">
        <f t="shared" si="7"/>
        <v/>
      </c>
    </row>
    <row r="231" spans="2:14">
      <c r="B231" s="1" t="str">
        <f>IF(Protokoll_4p!F197="","",IF(VALUE(LEFT(Protokoll_4p!F197,FIND(":",Protokoll_4p!F197)-1))&gt;VALUE(RIGHT(Protokoll_4p!F197,LEN(Protokoll_4p!F197)-FIND(":",Protokoll_4p!F197))),1,0))</f>
        <v/>
      </c>
      <c r="C231" s="1" t="str">
        <f>IF(Protokoll_4p!G197="","",IF(VALUE(LEFT(Protokoll_4p!G197,FIND(":",Protokoll_4p!G197)-1))&gt;VALUE(RIGHT(Protokoll_4p!G197,LEN(Protokoll_4p!G197)-FIND(":",Protokoll_4p!G197))),1,0))</f>
        <v/>
      </c>
      <c r="D231" s="1" t="str">
        <f>IF(Protokoll_4p!H197="","",IF(VALUE(LEFT(Protokoll_4p!H197,FIND(":",Protokoll_4p!H197)-1))&gt;VALUE(RIGHT(Protokoll_4p!H197,LEN(Protokoll_4p!H197)-FIND(":",Protokoll_4p!H197))),1,0))</f>
        <v/>
      </c>
      <c r="E231" s="1" t="str">
        <f>IF(Protokoll_4p!I197="","",IF(VALUE(LEFT(Protokoll_4p!I197,FIND(":",Protokoll_4p!I197)-1))&gt;VALUE(RIGHT(Protokoll_4p!I197,LEN(Protokoll_4p!I197)-FIND(":",Protokoll_4p!I197))),1,0))</f>
        <v/>
      </c>
      <c r="F231" s="1" t="str">
        <f>IF(Protokoll_4p!J197="","",IF(VALUE(LEFT(Protokoll_4p!J197,FIND(":",Protokoll_4p!J197)-1))&gt;VALUE(RIGHT(Protokoll_4p!J197,LEN(Protokoll_4p!J197)-FIND(":",Protokoll_4p!J197))),1,0))</f>
        <v/>
      </c>
      <c r="G231" s="1" t="str">
        <f t="shared" si="6"/>
        <v/>
      </c>
      <c r="I231" s="1" t="str">
        <f>IF(Protokoll_4p!F197="","",IF(VALUE(LEFT(Protokoll_4p!F197,FIND(":",Protokoll_4p!F197)-1))&gt;VALUE(RIGHT(Protokoll_4p!F197,LEN(Protokoll_4p!F197)-FIND(":",Protokoll_4p!F197))),0,1))</f>
        <v/>
      </c>
      <c r="J231" s="1" t="str">
        <f>IF(Protokoll_4p!G197="","",IF(VALUE(LEFT(Protokoll_4p!G197,FIND(":",Protokoll_4p!G197)-1))&gt;VALUE(RIGHT(Protokoll_4p!G197,LEN(Protokoll_4p!G197)-FIND(":",Protokoll_4p!G197))),0,1))</f>
        <v/>
      </c>
      <c r="K231" s="1" t="str">
        <f>IF(Protokoll_4p!H197="","",IF(VALUE(LEFT(Protokoll_4p!H197,FIND(":",Protokoll_4p!H197)-1))&gt;VALUE(RIGHT(Protokoll_4p!H197,LEN(Protokoll_4p!H197)-FIND(":",Protokoll_4p!H197))),0,1))</f>
        <v/>
      </c>
      <c r="L231" s="1" t="str">
        <f>IF(Protokoll_4p!I197="","",IF(VALUE(LEFT(Protokoll_4p!I197,FIND(":",Protokoll_4p!I197)-1))&gt;VALUE(RIGHT(Protokoll_4p!I197,LEN(Protokoll_4p!I197)-FIND(":",Protokoll_4p!I197))),0,1))</f>
        <v/>
      </c>
      <c r="M231" s="1" t="str">
        <f>IF(Protokoll_4p!J197="","",IF(VALUE(LEFT(Protokoll_4p!J197,FIND(":",Protokoll_4p!J197)-1))&gt;VALUE(RIGHT(Protokoll_4p!J197,LEN(Protokoll_4p!J197)-FIND(":",Protokoll_4p!J197))),0,1))</f>
        <v/>
      </c>
      <c r="N231" s="1" t="str">
        <f t="shared" si="7"/>
        <v/>
      </c>
    </row>
    <row r="232" spans="2:14">
      <c r="B232" s="1" t="str">
        <f>IF(Protokoll_4p!F198="","",IF(VALUE(LEFT(Protokoll_4p!F198,FIND(":",Protokoll_4p!F198)-1))&gt;VALUE(RIGHT(Protokoll_4p!F198,LEN(Protokoll_4p!F198)-FIND(":",Protokoll_4p!F198))),1,0))</f>
        <v/>
      </c>
      <c r="C232" s="1" t="str">
        <f>IF(Protokoll_4p!G198="","",IF(VALUE(LEFT(Protokoll_4p!G198,FIND(":",Protokoll_4p!G198)-1))&gt;VALUE(RIGHT(Protokoll_4p!G198,LEN(Protokoll_4p!G198)-FIND(":",Protokoll_4p!G198))),1,0))</f>
        <v/>
      </c>
      <c r="D232" s="1" t="str">
        <f>IF(Protokoll_4p!H198="","",IF(VALUE(LEFT(Protokoll_4p!H198,FIND(":",Protokoll_4p!H198)-1))&gt;VALUE(RIGHT(Protokoll_4p!H198,LEN(Protokoll_4p!H198)-FIND(":",Protokoll_4p!H198))),1,0))</f>
        <v/>
      </c>
      <c r="E232" s="1" t="str">
        <f>IF(Protokoll_4p!I198="","",IF(VALUE(LEFT(Protokoll_4p!I198,FIND(":",Protokoll_4p!I198)-1))&gt;VALUE(RIGHT(Protokoll_4p!I198,LEN(Protokoll_4p!I198)-FIND(":",Protokoll_4p!I198))),1,0))</f>
        <v/>
      </c>
      <c r="F232" s="1" t="str">
        <f>IF(Protokoll_4p!J198="","",IF(VALUE(LEFT(Protokoll_4p!J198,FIND(":",Protokoll_4p!J198)-1))&gt;VALUE(RIGHT(Protokoll_4p!J198,LEN(Protokoll_4p!J198)-FIND(":",Protokoll_4p!J198))),1,0))</f>
        <v/>
      </c>
      <c r="G232" s="1" t="str">
        <f t="shared" si="6"/>
        <v/>
      </c>
      <c r="I232" s="1" t="str">
        <f>IF(Protokoll_4p!F198="","",IF(VALUE(LEFT(Protokoll_4p!F198,FIND(":",Protokoll_4p!F198)-1))&gt;VALUE(RIGHT(Protokoll_4p!F198,LEN(Protokoll_4p!F198)-FIND(":",Protokoll_4p!F198))),0,1))</f>
        <v/>
      </c>
      <c r="J232" s="1" t="str">
        <f>IF(Protokoll_4p!G198="","",IF(VALUE(LEFT(Protokoll_4p!G198,FIND(":",Protokoll_4p!G198)-1))&gt;VALUE(RIGHT(Protokoll_4p!G198,LEN(Protokoll_4p!G198)-FIND(":",Protokoll_4p!G198))),0,1))</f>
        <v/>
      </c>
      <c r="K232" s="1" t="str">
        <f>IF(Protokoll_4p!H198="","",IF(VALUE(LEFT(Protokoll_4p!H198,FIND(":",Protokoll_4p!H198)-1))&gt;VALUE(RIGHT(Protokoll_4p!H198,LEN(Protokoll_4p!H198)-FIND(":",Protokoll_4p!H198))),0,1))</f>
        <v/>
      </c>
      <c r="L232" s="1" t="str">
        <f>IF(Protokoll_4p!I198="","",IF(VALUE(LEFT(Protokoll_4p!I198,FIND(":",Protokoll_4p!I198)-1))&gt;VALUE(RIGHT(Protokoll_4p!I198,LEN(Protokoll_4p!I198)-FIND(":",Protokoll_4p!I198))),0,1))</f>
        <v/>
      </c>
      <c r="M232" s="1" t="str">
        <f>IF(Protokoll_4p!J198="","",IF(VALUE(LEFT(Protokoll_4p!J198,FIND(":",Protokoll_4p!J198)-1))&gt;VALUE(RIGHT(Protokoll_4p!J198,LEN(Protokoll_4p!J198)-FIND(":",Protokoll_4p!J198))),0,1))</f>
        <v/>
      </c>
      <c r="N232" s="1" t="str">
        <f t="shared" si="7"/>
        <v/>
      </c>
    </row>
    <row r="233" spans="2:14">
      <c r="B233" s="1" t="str">
        <f>IF(Protokoll_4p!F199="","",IF(VALUE(LEFT(Protokoll_4p!F199,FIND(":",Protokoll_4p!F199)-1))&gt;VALUE(RIGHT(Protokoll_4p!F199,LEN(Protokoll_4p!F199)-FIND(":",Protokoll_4p!F199))),1,0))</f>
        <v/>
      </c>
      <c r="C233" s="1" t="str">
        <f>IF(Protokoll_4p!G199="","",IF(VALUE(LEFT(Protokoll_4p!G199,FIND(":",Protokoll_4p!G199)-1))&gt;VALUE(RIGHT(Protokoll_4p!G199,LEN(Protokoll_4p!G199)-FIND(":",Protokoll_4p!G199))),1,0))</f>
        <v/>
      </c>
      <c r="D233" s="1" t="str">
        <f>IF(Protokoll_4p!H199="","",IF(VALUE(LEFT(Protokoll_4p!H199,FIND(":",Protokoll_4p!H199)-1))&gt;VALUE(RIGHT(Protokoll_4p!H199,LEN(Protokoll_4p!H199)-FIND(":",Protokoll_4p!H199))),1,0))</f>
        <v/>
      </c>
      <c r="E233" s="1" t="str">
        <f>IF(Protokoll_4p!I199="","",IF(VALUE(LEFT(Protokoll_4p!I199,FIND(":",Protokoll_4p!I199)-1))&gt;VALUE(RIGHT(Protokoll_4p!I199,LEN(Protokoll_4p!I199)-FIND(":",Protokoll_4p!I199))),1,0))</f>
        <v/>
      </c>
      <c r="F233" s="1" t="str">
        <f>IF(Protokoll_4p!J199="","",IF(VALUE(LEFT(Protokoll_4p!J199,FIND(":",Protokoll_4p!J199)-1))&gt;VALUE(RIGHT(Protokoll_4p!J199,LEN(Protokoll_4p!J199)-FIND(":",Protokoll_4p!J199))),1,0))</f>
        <v/>
      </c>
      <c r="G233" s="1" t="str">
        <f t="shared" si="6"/>
        <v/>
      </c>
      <c r="I233" s="1" t="str">
        <f>IF(Protokoll_4p!F199="","",IF(VALUE(LEFT(Protokoll_4p!F199,FIND(":",Protokoll_4p!F199)-1))&gt;VALUE(RIGHT(Protokoll_4p!F199,LEN(Protokoll_4p!F199)-FIND(":",Protokoll_4p!F199))),0,1))</f>
        <v/>
      </c>
      <c r="J233" s="1" t="str">
        <f>IF(Protokoll_4p!G199="","",IF(VALUE(LEFT(Protokoll_4p!G199,FIND(":",Protokoll_4p!G199)-1))&gt;VALUE(RIGHT(Protokoll_4p!G199,LEN(Protokoll_4p!G199)-FIND(":",Protokoll_4p!G199))),0,1))</f>
        <v/>
      </c>
      <c r="K233" s="1" t="str">
        <f>IF(Protokoll_4p!H199="","",IF(VALUE(LEFT(Protokoll_4p!H199,FIND(":",Protokoll_4p!H199)-1))&gt;VALUE(RIGHT(Protokoll_4p!H199,LEN(Protokoll_4p!H199)-FIND(":",Protokoll_4p!H199))),0,1))</f>
        <v/>
      </c>
      <c r="L233" s="1" t="str">
        <f>IF(Protokoll_4p!I199="","",IF(VALUE(LEFT(Protokoll_4p!I199,FIND(":",Protokoll_4p!I199)-1))&gt;VALUE(RIGHT(Protokoll_4p!I199,LEN(Protokoll_4p!I199)-FIND(":",Protokoll_4p!I199))),0,1))</f>
        <v/>
      </c>
      <c r="M233" s="1" t="str">
        <f>IF(Protokoll_4p!J199="","",IF(VALUE(LEFT(Protokoll_4p!J199,FIND(":",Protokoll_4p!J199)-1))&gt;VALUE(RIGHT(Protokoll_4p!J199,LEN(Protokoll_4p!J199)-FIND(":",Protokoll_4p!J199))),0,1))</f>
        <v/>
      </c>
      <c r="N233" s="1" t="str">
        <f t="shared" si="7"/>
        <v/>
      </c>
    </row>
    <row r="234" spans="2:14">
      <c r="B234" s="1" t="str">
        <f>IF(Protokoll_4p!F200="","",IF(VALUE(LEFT(Protokoll_4p!F200,FIND(":",Protokoll_4p!F200)-1))&gt;VALUE(RIGHT(Protokoll_4p!F200,LEN(Protokoll_4p!F200)-FIND(":",Protokoll_4p!F200))),1,0))</f>
        <v/>
      </c>
      <c r="C234" s="1" t="str">
        <f>IF(Protokoll_4p!G200="","",IF(VALUE(LEFT(Protokoll_4p!G200,FIND(":",Protokoll_4p!G200)-1))&gt;VALUE(RIGHT(Protokoll_4p!G200,LEN(Protokoll_4p!G200)-FIND(":",Protokoll_4p!G200))),1,0))</f>
        <v/>
      </c>
      <c r="D234" s="1" t="str">
        <f>IF(Protokoll_4p!H200="","",IF(VALUE(LEFT(Protokoll_4p!H200,FIND(":",Protokoll_4p!H200)-1))&gt;VALUE(RIGHT(Protokoll_4p!H200,LEN(Protokoll_4p!H200)-FIND(":",Protokoll_4p!H200))),1,0))</f>
        <v/>
      </c>
      <c r="E234" s="1" t="str">
        <f>IF(Protokoll_4p!I200="","",IF(VALUE(LEFT(Protokoll_4p!I200,FIND(":",Protokoll_4p!I200)-1))&gt;VALUE(RIGHT(Protokoll_4p!I200,LEN(Protokoll_4p!I200)-FIND(":",Protokoll_4p!I200))),1,0))</f>
        <v/>
      </c>
      <c r="F234" s="1" t="str">
        <f>IF(Protokoll_4p!J200="","",IF(VALUE(LEFT(Protokoll_4p!J200,FIND(":",Protokoll_4p!J200)-1))&gt;VALUE(RIGHT(Protokoll_4p!J200,LEN(Protokoll_4p!J200)-FIND(":",Protokoll_4p!J200))),1,0))</f>
        <v/>
      </c>
      <c r="G234" s="1" t="str">
        <f t="shared" si="6"/>
        <v/>
      </c>
      <c r="I234" s="1" t="str">
        <f>IF(Protokoll_4p!F200="","",IF(VALUE(LEFT(Protokoll_4p!F200,FIND(":",Protokoll_4p!F200)-1))&gt;VALUE(RIGHT(Protokoll_4p!F200,LEN(Protokoll_4p!F200)-FIND(":",Protokoll_4p!F200))),0,1))</f>
        <v/>
      </c>
      <c r="J234" s="1" t="str">
        <f>IF(Protokoll_4p!G200="","",IF(VALUE(LEFT(Protokoll_4p!G200,FIND(":",Protokoll_4p!G200)-1))&gt;VALUE(RIGHT(Protokoll_4p!G200,LEN(Protokoll_4p!G200)-FIND(":",Protokoll_4p!G200))),0,1))</f>
        <v/>
      </c>
      <c r="K234" s="1" t="str">
        <f>IF(Protokoll_4p!H200="","",IF(VALUE(LEFT(Protokoll_4p!H200,FIND(":",Protokoll_4p!H200)-1))&gt;VALUE(RIGHT(Protokoll_4p!H200,LEN(Protokoll_4p!H200)-FIND(":",Protokoll_4p!H200))),0,1))</f>
        <v/>
      </c>
      <c r="L234" s="1" t="str">
        <f>IF(Protokoll_4p!I200="","",IF(VALUE(LEFT(Protokoll_4p!I200,FIND(":",Protokoll_4p!I200)-1))&gt;VALUE(RIGHT(Protokoll_4p!I200,LEN(Protokoll_4p!I200)-FIND(":",Protokoll_4p!I200))),0,1))</f>
        <v/>
      </c>
      <c r="M234" s="1" t="str">
        <f>IF(Protokoll_4p!J200="","",IF(VALUE(LEFT(Protokoll_4p!J200,FIND(":",Protokoll_4p!J200)-1))&gt;VALUE(RIGHT(Protokoll_4p!J200,LEN(Protokoll_4p!J200)-FIND(":",Protokoll_4p!J200))),0,1))</f>
        <v/>
      </c>
      <c r="N234" s="1" t="str">
        <f t="shared" si="7"/>
        <v/>
      </c>
    </row>
    <row r="235" spans="2:14">
      <c r="B235" s="1" t="str">
        <f>IF(Protokoll_4p!F201="","",IF(VALUE(LEFT(Protokoll_4p!F201,FIND(":",Protokoll_4p!F201)-1))&gt;VALUE(RIGHT(Protokoll_4p!F201,LEN(Protokoll_4p!F201)-FIND(":",Protokoll_4p!F201))),1,0))</f>
        <v/>
      </c>
      <c r="C235" s="1" t="str">
        <f>IF(Protokoll_4p!G201="","",IF(VALUE(LEFT(Protokoll_4p!G201,FIND(":",Protokoll_4p!G201)-1))&gt;VALUE(RIGHT(Protokoll_4p!G201,LEN(Protokoll_4p!G201)-FIND(":",Protokoll_4p!G201))),1,0))</f>
        <v/>
      </c>
      <c r="D235" s="1" t="str">
        <f>IF(Protokoll_4p!H201="","",IF(VALUE(LEFT(Protokoll_4p!H201,FIND(":",Protokoll_4p!H201)-1))&gt;VALUE(RIGHT(Protokoll_4p!H201,LEN(Protokoll_4p!H201)-FIND(":",Protokoll_4p!H201))),1,0))</f>
        <v/>
      </c>
      <c r="E235" s="1" t="str">
        <f>IF(Protokoll_4p!I201="","",IF(VALUE(LEFT(Protokoll_4p!I201,FIND(":",Protokoll_4p!I201)-1))&gt;VALUE(RIGHT(Protokoll_4p!I201,LEN(Protokoll_4p!I201)-FIND(":",Protokoll_4p!I201))),1,0))</f>
        <v/>
      </c>
      <c r="F235" s="1" t="str">
        <f>IF(Protokoll_4p!J201="","",IF(VALUE(LEFT(Protokoll_4p!J201,FIND(":",Protokoll_4p!J201)-1))&gt;VALUE(RIGHT(Protokoll_4p!J201,LEN(Protokoll_4p!J201)-FIND(":",Protokoll_4p!J201))),1,0))</f>
        <v/>
      </c>
      <c r="G235" s="1" t="str">
        <f t="shared" si="6"/>
        <v/>
      </c>
      <c r="I235" s="1" t="str">
        <f>IF(Protokoll_4p!F201="","",IF(VALUE(LEFT(Protokoll_4p!F201,FIND(":",Protokoll_4p!F201)-1))&gt;VALUE(RIGHT(Protokoll_4p!F201,LEN(Protokoll_4p!F201)-FIND(":",Protokoll_4p!F201))),0,1))</f>
        <v/>
      </c>
      <c r="J235" s="1" t="str">
        <f>IF(Protokoll_4p!G201="","",IF(VALUE(LEFT(Protokoll_4p!G201,FIND(":",Protokoll_4p!G201)-1))&gt;VALUE(RIGHT(Protokoll_4p!G201,LEN(Protokoll_4p!G201)-FIND(":",Protokoll_4p!G201))),0,1))</f>
        <v/>
      </c>
      <c r="K235" s="1" t="str">
        <f>IF(Protokoll_4p!H201="","",IF(VALUE(LEFT(Protokoll_4p!H201,FIND(":",Protokoll_4p!H201)-1))&gt;VALUE(RIGHT(Protokoll_4p!H201,LEN(Protokoll_4p!H201)-FIND(":",Protokoll_4p!H201))),0,1))</f>
        <v/>
      </c>
      <c r="L235" s="1" t="str">
        <f>IF(Protokoll_4p!I201="","",IF(VALUE(LEFT(Protokoll_4p!I201,FIND(":",Protokoll_4p!I201)-1))&gt;VALUE(RIGHT(Protokoll_4p!I201,LEN(Protokoll_4p!I201)-FIND(":",Protokoll_4p!I201))),0,1))</f>
        <v/>
      </c>
      <c r="M235" s="1" t="str">
        <f>IF(Protokoll_4p!J201="","",IF(VALUE(LEFT(Protokoll_4p!J201,FIND(":",Protokoll_4p!J201)-1))&gt;VALUE(RIGHT(Protokoll_4p!J201,LEN(Protokoll_4p!J201)-FIND(":",Protokoll_4p!J201))),0,1))</f>
        <v/>
      </c>
      <c r="N235" s="1" t="str">
        <f t="shared" si="7"/>
        <v/>
      </c>
    </row>
    <row r="236" spans="2:14">
      <c r="B236" s="1" t="str">
        <f>IF(Protokoll_4p!F202="","",IF(VALUE(LEFT(Protokoll_4p!F202,FIND(":",Protokoll_4p!F202)-1))&gt;VALUE(RIGHT(Protokoll_4p!F202,LEN(Protokoll_4p!F202)-FIND(":",Protokoll_4p!F202))),1,0))</f>
        <v/>
      </c>
      <c r="C236" s="1" t="str">
        <f>IF(Protokoll_4p!G202="","",IF(VALUE(LEFT(Protokoll_4p!G202,FIND(":",Protokoll_4p!G202)-1))&gt;VALUE(RIGHT(Protokoll_4p!G202,LEN(Protokoll_4p!G202)-FIND(":",Protokoll_4p!G202))),1,0))</f>
        <v/>
      </c>
      <c r="D236" s="1" t="str">
        <f>IF(Protokoll_4p!H202="","",IF(VALUE(LEFT(Protokoll_4p!H202,FIND(":",Protokoll_4p!H202)-1))&gt;VALUE(RIGHT(Protokoll_4p!H202,LEN(Protokoll_4p!H202)-FIND(":",Protokoll_4p!H202))),1,0))</f>
        <v/>
      </c>
      <c r="E236" s="1" t="str">
        <f>IF(Protokoll_4p!I202="","",IF(VALUE(LEFT(Protokoll_4p!I202,FIND(":",Protokoll_4p!I202)-1))&gt;VALUE(RIGHT(Protokoll_4p!I202,LEN(Protokoll_4p!I202)-FIND(":",Protokoll_4p!I202))),1,0))</f>
        <v/>
      </c>
      <c r="F236" s="1" t="str">
        <f>IF(Protokoll_4p!J202="","",IF(VALUE(LEFT(Protokoll_4p!J202,FIND(":",Protokoll_4p!J202)-1))&gt;VALUE(RIGHT(Protokoll_4p!J202,LEN(Protokoll_4p!J202)-FIND(":",Protokoll_4p!J202))),1,0))</f>
        <v/>
      </c>
      <c r="G236" s="1" t="str">
        <f t="shared" si="6"/>
        <v/>
      </c>
      <c r="I236" s="1" t="str">
        <f>IF(Protokoll_4p!F202="","",IF(VALUE(LEFT(Protokoll_4p!F202,FIND(":",Protokoll_4p!F202)-1))&gt;VALUE(RIGHT(Protokoll_4p!F202,LEN(Protokoll_4p!F202)-FIND(":",Protokoll_4p!F202))),0,1))</f>
        <v/>
      </c>
      <c r="J236" s="1" t="str">
        <f>IF(Protokoll_4p!G202="","",IF(VALUE(LEFT(Protokoll_4p!G202,FIND(":",Protokoll_4p!G202)-1))&gt;VALUE(RIGHT(Protokoll_4p!G202,LEN(Protokoll_4p!G202)-FIND(":",Protokoll_4p!G202))),0,1))</f>
        <v/>
      </c>
      <c r="K236" s="1" t="str">
        <f>IF(Protokoll_4p!H202="","",IF(VALUE(LEFT(Protokoll_4p!H202,FIND(":",Protokoll_4p!H202)-1))&gt;VALUE(RIGHT(Protokoll_4p!H202,LEN(Protokoll_4p!H202)-FIND(":",Protokoll_4p!H202))),0,1))</f>
        <v/>
      </c>
      <c r="L236" s="1" t="str">
        <f>IF(Protokoll_4p!I202="","",IF(VALUE(LEFT(Protokoll_4p!I202,FIND(":",Protokoll_4p!I202)-1))&gt;VALUE(RIGHT(Protokoll_4p!I202,LEN(Protokoll_4p!I202)-FIND(":",Protokoll_4p!I202))),0,1))</f>
        <v/>
      </c>
      <c r="M236" s="1" t="str">
        <f>IF(Protokoll_4p!J202="","",IF(VALUE(LEFT(Protokoll_4p!J202,FIND(":",Protokoll_4p!J202)-1))&gt;VALUE(RIGHT(Protokoll_4p!J202,LEN(Protokoll_4p!J202)-FIND(":",Protokoll_4p!J202))),0,1))</f>
        <v/>
      </c>
      <c r="N236" s="1" t="str">
        <f t="shared" si="7"/>
        <v/>
      </c>
    </row>
    <row r="237" spans="2:14">
      <c r="B237" s="1" t="str">
        <f>IF(Protokoll_4p!F203="","",IF(VALUE(LEFT(Protokoll_4p!F203,FIND(":",Protokoll_4p!F203)-1))&gt;VALUE(RIGHT(Protokoll_4p!F203,LEN(Protokoll_4p!F203)-FIND(":",Protokoll_4p!F203))),1,0))</f>
        <v/>
      </c>
      <c r="C237" s="1" t="str">
        <f>IF(Protokoll_4p!G203="","",IF(VALUE(LEFT(Protokoll_4p!G203,FIND(":",Protokoll_4p!G203)-1))&gt;VALUE(RIGHT(Protokoll_4p!G203,LEN(Protokoll_4p!G203)-FIND(":",Protokoll_4p!G203))),1,0))</f>
        <v/>
      </c>
      <c r="D237" s="1" t="str">
        <f>IF(Protokoll_4p!H203="","",IF(VALUE(LEFT(Protokoll_4p!H203,FIND(":",Protokoll_4p!H203)-1))&gt;VALUE(RIGHT(Protokoll_4p!H203,LEN(Protokoll_4p!H203)-FIND(":",Protokoll_4p!H203))),1,0))</f>
        <v/>
      </c>
      <c r="E237" s="1" t="str">
        <f>IF(Protokoll_4p!I203="","",IF(VALUE(LEFT(Protokoll_4p!I203,FIND(":",Protokoll_4p!I203)-1))&gt;VALUE(RIGHT(Protokoll_4p!I203,LEN(Protokoll_4p!I203)-FIND(":",Protokoll_4p!I203))),1,0))</f>
        <v/>
      </c>
      <c r="F237" s="1" t="str">
        <f>IF(Protokoll_4p!J203="","",IF(VALUE(LEFT(Protokoll_4p!J203,FIND(":",Protokoll_4p!J203)-1))&gt;VALUE(RIGHT(Protokoll_4p!J203,LEN(Protokoll_4p!J203)-FIND(":",Protokoll_4p!J203))),1,0))</f>
        <v/>
      </c>
      <c r="G237" s="1" t="str">
        <f t="shared" si="6"/>
        <v/>
      </c>
      <c r="I237" s="1" t="str">
        <f>IF(Protokoll_4p!F203="","",IF(VALUE(LEFT(Protokoll_4p!F203,FIND(":",Protokoll_4p!F203)-1))&gt;VALUE(RIGHT(Protokoll_4p!F203,LEN(Protokoll_4p!F203)-FIND(":",Protokoll_4p!F203))),0,1))</f>
        <v/>
      </c>
      <c r="J237" s="1" t="str">
        <f>IF(Protokoll_4p!G203="","",IF(VALUE(LEFT(Protokoll_4p!G203,FIND(":",Protokoll_4p!G203)-1))&gt;VALUE(RIGHT(Protokoll_4p!G203,LEN(Protokoll_4p!G203)-FIND(":",Protokoll_4p!G203))),0,1))</f>
        <v/>
      </c>
      <c r="K237" s="1" t="str">
        <f>IF(Protokoll_4p!H203="","",IF(VALUE(LEFT(Protokoll_4p!H203,FIND(":",Protokoll_4p!H203)-1))&gt;VALUE(RIGHT(Protokoll_4p!H203,LEN(Protokoll_4p!H203)-FIND(":",Protokoll_4p!H203))),0,1))</f>
        <v/>
      </c>
      <c r="L237" s="1" t="str">
        <f>IF(Protokoll_4p!I203="","",IF(VALUE(LEFT(Protokoll_4p!I203,FIND(":",Protokoll_4p!I203)-1))&gt;VALUE(RIGHT(Protokoll_4p!I203,LEN(Protokoll_4p!I203)-FIND(":",Protokoll_4p!I203))),0,1))</f>
        <v/>
      </c>
      <c r="M237" s="1" t="str">
        <f>IF(Protokoll_4p!J203="","",IF(VALUE(LEFT(Protokoll_4p!J203,FIND(":",Protokoll_4p!J203)-1))&gt;VALUE(RIGHT(Protokoll_4p!J203,LEN(Protokoll_4p!J203)-FIND(":",Protokoll_4p!J203))),0,1))</f>
        <v/>
      </c>
      <c r="N237" s="1" t="str">
        <f t="shared" si="7"/>
        <v/>
      </c>
    </row>
    <row r="238" spans="2:14">
      <c r="B238" s="1" t="str">
        <f>IF(Protokoll_4p!F204="","",IF(VALUE(LEFT(Protokoll_4p!F204,FIND(":",Protokoll_4p!F204)-1))&gt;VALUE(RIGHT(Protokoll_4p!F204,LEN(Protokoll_4p!F204)-FIND(":",Protokoll_4p!F204))),1,0))</f>
        <v/>
      </c>
      <c r="C238" s="1" t="str">
        <f>IF(Protokoll_4p!G204="","",IF(VALUE(LEFT(Protokoll_4p!G204,FIND(":",Protokoll_4p!G204)-1))&gt;VALUE(RIGHT(Protokoll_4p!G204,LEN(Protokoll_4p!G204)-FIND(":",Protokoll_4p!G204))),1,0))</f>
        <v/>
      </c>
      <c r="D238" s="1" t="str">
        <f>IF(Protokoll_4p!H204="","",IF(VALUE(LEFT(Protokoll_4p!H204,FIND(":",Protokoll_4p!H204)-1))&gt;VALUE(RIGHT(Protokoll_4p!H204,LEN(Protokoll_4p!H204)-FIND(":",Protokoll_4p!H204))),1,0))</f>
        <v/>
      </c>
      <c r="E238" s="1" t="str">
        <f>IF(Protokoll_4p!I204="","",IF(VALUE(LEFT(Protokoll_4p!I204,FIND(":",Protokoll_4p!I204)-1))&gt;VALUE(RIGHT(Protokoll_4p!I204,LEN(Protokoll_4p!I204)-FIND(":",Protokoll_4p!I204))),1,0))</f>
        <v/>
      </c>
      <c r="F238" s="1" t="str">
        <f>IF(Protokoll_4p!J204="","",IF(VALUE(LEFT(Protokoll_4p!J204,FIND(":",Protokoll_4p!J204)-1))&gt;VALUE(RIGHT(Protokoll_4p!J204,LEN(Protokoll_4p!J204)-FIND(":",Protokoll_4p!J204))),1,0))</f>
        <v/>
      </c>
      <c r="G238" s="1" t="str">
        <f t="shared" si="6"/>
        <v/>
      </c>
      <c r="I238" s="1" t="str">
        <f>IF(Protokoll_4p!F204="","",IF(VALUE(LEFT(Protokoll_4p!F204,FIND(":",Protokoll_4p!F204)-1))&gt;VALUE(RIGHT(Protokoll_4p!F204,LEN(Protokoll_4p!F204)-FIND(":",Protokoll_4p!F204))),0,1))</f>
        <v/>
      </c>
      <c r="J238" s="1" t="str">
        <f>IF(Protokoll_4p!G204="","",IF(VALUE(LEFT(Protokoll_4p!G204,FIND(":",Protokoll_4p!G204)-1))&gt;VALUE(RIGHT(Protokoll_4p!G204,LEN(Protokoll_4p!G204)-FIND(":",Protokoll_4p!G204))),0,1))</f>
        <v/>
      </c>
      <c r="K238" s="1" t="str">
        <f>IF(Protokoll_4p!H204="","",IF(VALUE(LEFT(Protokoll_4p!H204,FIND(":",Protokoll_4p!H204)-1))&gt;VALUE(RIGHT(Protokoll_4p!H204,LEN(Protokoll_4p!H204)-FIND(":",Protokoll_4p!H204))),0,1))</f>
        <v/>
      </c>
      <c r="L238" s="1" t="str">
        <f>IF(Protokoll_4p!I204="","",IF(VALUE(LEFT(Protokoll_4p!I204,FIND(":",Protokoll_4p!I204)-1))&gt;VALUE(RIGHT(Protokoll_4p!I204,LEN(Protokoll_4p!I204)-FIND(":",Protokoll_4p!I204))),0,1))</f>
        <v/>
      </c>
      <c r="M238" s="1" t="str">
        <f>IF(Protokoll_4p!J204="","",IF(VALUE(LEFT(Protokoll_4p!J204,FIND(":",Protokoll_4p!J204)-1))&gt;VALUE(RIGHT(Protokoll_4p!J204,LEN(Protokoll_4p!J204)-FIND(":",Protokoll_4p!J204))),0,1))</f>
        <v/>
      </c>
      <c r="N238" s="1" t="str">
        <f t="shared" si="7"/>
        <v/>
      </c>
    </row>
    <row r="239" spans="2:14">
      <c r="B239" s="1" t="str">
        <f>IF(Protokoll_4p!F205="","",IF(VALUE(LEFT(Protokoll_4p!F205,FIND(":",Protokoll_4p!F205)-1))&gt;VALUE(RIGHT(Protokoll_4p!F205,LEN(Protokoll_4p!F205)-FIND(":",Protokoll_4p!F205))),1,0))</f>
        <v/>
      </c>
      <c r="C239" s="1" t="str">
        <f>IF(Protokoll_4p!G205="","",IF(VALUE(LEFT(Protokoll_4p!G205,FIND(":",Protokoll_4p!G205)-1))&gt;VALUE(RIGHT(Protokoll_4p!G205,LEN(Protokoll_4p!G205)-FIND(":",Protokoll_4p!G205))),1,0))</f>
        <v/>
      </c>
      <c r="D239" s="1" t="str">
        <f>IF(Protokoll_4p!H205="","",IF(VALUE(LEFT(Protokoll_4p!H205,FIND(":",Protokoll_4p!H205)-1))&gt;VALUE(RIGHT(Protokoll_4p!H205,LEN(Protokoll_4p!H205)-FIND(":",Protokoll_4p!H205))),1,0))</f>
        <v/>
      </c>
      <c r="E239" s="1" t="str">
        <f>IF(Protokoll_4p!I205="","",IF(VALUE(LEFT(Protokoll_4p!I205,FIND(":",Protokoll_4p!I205)-1))&gt;VALUE(RIGHT(Protokoll_4p!I205,LEN(Protokoll_4p!I205)-FIND(":",Protokoll_4p!I205))),1,0))</f>
        <v/>
      </c>
      <c r="F239" s="1" t="str">
        <f>IF(Protokoll_4p!J205="","",IF(VALUE(LEFT(Protokoll_4p!J205,FIND(":",Protokoll_4p!J205)-1))&gt;VALUE(RIGHT(Protokoll_4p!J205,LEN(Protokoll_4p!J205)-FIND(":",Protokoll_4p!J205))),1,0))</f>
        <v/>
      </c>
      <c r="G239" s="1" t="str">
        <f t="shared" si="6"/>
        <v/>
      </c>
      <c r="I239" s="1" t="str">
        <f>IF(Protokoll_4p!F205="","",IF(VALUE(LEFT(Protokoll_4p!F205,FIND(":",Protokoll_4p!F205)-1))&gt;VALUE(RIGHT(Protokoll_4p!F205,LEN(Protokoll_4p!F205)-FIND(":",Protokoll_4p!F205))),0,1))</f>
        <v/>
      </c>
      <c r="J239" s="1" t="str">
        <f>IF(Protokoll_4p!G205="","",IF(VALUE(LEFT(Protokoll_4p!G205,FIND(":",Protokoll_4p!G205)-1))&gt;VALUE(RIGHT(Protokoll_4p!G205,LEN(Protokoll_4p!G205)-FIND(":",Protokoll_4p!G205))),0,1))</f>
        <v/>
      </c>
      <c r="K239" s="1" t="str">
        <f>IF(Protokoll_4p!H205="","",IF(VALUE(LEFT(Protokoll_4p!H205,FIND(":",Protokoll_4p!H205)-1))&gt;VALUE(RIGHT(Protokoll_4p!H205,LEN(Protokoll_4p!H205)-FIND(":",Protokoll_4p!H205))),0,1))</f>
        <v/>
      </c>
      <c r="L239" s="1" t="str">
        <f>IF(Protokoll_4p!I205="","",IF(VALUE(LEFT(Protokoll_4p!I205,FIND(":",Protokoll_4p!I205)-1))&gt;VALUE(RIGHT(Protokoll_4p!I205,LEN(Protokoll_4p!I205)-FIND(":",Protokoll_4p!I205))),0,1))</f>
        <v/>
      </c>
      <c r="M239" s="1" t="str">
        <f>IF(Protokoll_4p!J205="","",IF(VALUE(LEFT(Protokoll_4p!J205,FIND(":",Protokoll_4p!J205)-1))&gt;VALUE(RIGHT(Protokoll_4p!J205,LEN(Protokoll_4p!J205)-FIND(":",Protokoll_4p!J205))),0,1))</f>
        <v/>
      </c>
      <c r="N239" s="1" t="str">
        <f t="shared" si="7"/>
        <v/>
      </c>
    </row>
    <row r="240" spans="2:14">
      <c r="B240" s="1" t="str">
        <f>IF(Protokoll_4p!F206="","",IF(VALUE(LEFT(Protokoll_4p!F206,FIND(":",Protokoll_4p!F206)-1))&gt;VALUE(RIGHT(Protokoll_4p!F206,LEN(Protokoll_4p!F206)-FIND(":",Protokoll_4p!F206))),1,0))</f>
        <v/>
      </c>
      <c r="C240" s="1" t="str">
        <f>IF(Protokoll_4p!G206="","",IF(VALUE(LEFT(Protokoll_4p!G206,FIND(":",Protokoll_4p!G206)-1))&gt;VALUE(RIGHT(Protokoll_4p!G206,LEN(Protokoll_4p!G206)-FIND(":",Protokoll_4p!G206))),1,0))</f>
        <v/>
      </c>
      <c r="D240" s="1" t="str">
        <f>IF(Protokoll_4p!H206="","",IF(VALUE(LEFT(Protokoll_4p!H206,FIND(":",Protokoll_4p!H206)-1))&gt;VALUE(RIGHT(Protokoll_4p!H206,LEN(Protokoll_4p!H206)-FIND(":",Protokoll_4p!H206))),1,0))</f>
        <v/>
      </c>
      <c r="E240" s="1" t="str">
        <f>IF(Protokoll_4p!I206="","",IF(VALUE(LEFT(Protokoll_4p!I206,FIND(":",Protokoll_4p!I206)-1))&gt;VALUE(RIGHT(Protokoll_4p!I206,LEN(Protokoll_4p!I206)-FIND(":",Protokoll_4p!I206))),1,0))</f>
        <v/>
      </c>
      <c r="F240" s="1" t="str">
        <f>IF(Protokoll_4p!J206="","",IF(VALUE(LEFT(Protokoll_4p!J206,FIND(":",Protokoll_4p!J206)-1))&gt;VALUE(RIGHT(Protokoll_4p!J206,LEN(Protokoll_4p!J206)-FIND(":",Protokoll_4p!J206))),1,0))</f>
        <v/>
      </c>
      <c r="G240" s="1" t="str">
        <f t="shared" si="6"/>
        <v/>
      </c>
      <c r="I240" s="1" t="str">
        <f>IF(Protokoll_4p!F206="","",IF(VALUE(LEFT(Protokoll_4p!F206,FIND(":",Protokoll_4p!F206)-1))&gt;VALUE(RIGHT(Protokoll_4p!F206,LEN(Protokoll_4p!F206)-FIND(":",Protokoll_4p!F206))),0,1))</f>
        <v/>
      </c>
      <c r="J240" s="1" t="str">
        <f>IF(Protokoll_4p!G206="","",IF(VALUE(LEFT(Protokoll_4p!G206,FIND(":",Protokoll_4p!G206)-1))&gt;VALUE(RIGHT(Protokoll_4p!G206,LEN(Protokoll_4p!G206)-FIND(":",Protokoll_4p!G206))),0,1))</f>
        <v/>
      </c>
      <c r="K240" s="1" t="str">
        <f>IF(Protokoll_4p!H206="","",IF(VALUE(LEFT(Protokoll_4p!H206,FIND(":",Protokoll_4p!H206)-1))&gt;VALUE(RIGHT(Protokoll_4p!H206,LEN(Protokoll_4p!H206)-FIND(":",Protokoll_4p!H206))),0,1))</f>
        <v/>
      </c>
      <c r="L240" s="1" t="str">
        <f>IF(Protokoll_4p!I206="","",IF(VALUE(LEFT(Protokoll_4p!I206,FIND(":",Protokoll_4p!I206)-1))&gt;VALUE(RIGHT(Protokoll_4p!I206,LEN(Protokoll_4p!I206)-FIND(":",Protokoll_4p!I206))),0,1))</f>
        <v/>
      </c>
      <c r="M240" s="1" t="str">
        <f>IF(Protokoll_4p!J206="","",IF(VALUE(LEFT(Protokoll_4p!J206,FIND(":",Protokoll_4p!J206)-1))&gt;VALUE(RIGHT(Protokoll_4p!J206,LEN(Protokoll_4p!J206)-FIND(":",Protokoll_4p!J206))),0,1))</f>
        <v/>
      </c>
      <c r="N240" s="1" t="str">
        <f t="shared" si="7"/>
        <v/>
      </c>
    </row>
    <row r="241" spans="2:14">
      <c r="B241" s="1" t="str">
        <f>IF(Protokoll_4p!F207="","",IF(VALUE(LEFT(Protokoll_4p!F207,FIND(":",Protokoll_4p!F207)-1))&gt;VALUE(RIGHT(Protokoll_4p!F207,LEN(Protokoll_4p!F207)-FIND(":",Protokoll_4p!F207))),1,0))</f>
        <v/>
      </c>
      <c r="C241" s="1" t="str">
        <f>IF(Protokoll_4p!G207="","",IF(VALUE(LEFT(Protokoll_4p!G207,FIND(":",Protokoll_4p!G207)-1))&gt;VALUE(RIGHT(Protokoll_4p!G207,LEN(Protokoll_4p!G207)-FIND(":",Protokoll_4p!G207))),1,0))</f>
        <v/>
      </c>
      <c r="D241" s="1" t="str">
        <f>IF(Protokoll_4p!H207="","",IF(VALUE(LEFT(Protokoll_4p!H207,FIND(":",Protokoll_4p!H207)-1))&gt;VALUE(RIGHT(Protokoll_4p!H207,LEN(Protokoll_4p!H207)-FIND(":",Protokoll_4p!H207))),1,0))</f>
        <v/>
      </c>
      <c r="E241" s="1" t="str">
        <f>IF(Protokoll_4p!I207="","",IF(VALUE(LEFT(Protokoll_4p!I207,FIND(":",Protokoll_4p!I207)-1))&gt;VALUE(RIGHT(Protokoll_4p!I207,LEN(Protokoll_4p!I207)-FIND(":",Protokoll_4p!I207))),1,0))</f>
        <v/>
      </c>
      <c r="F241" s="1" t="str">
        <f>IF(Protokoll_4p!J207="","",IF(VALUE(LEFT(Protokoll_4p!J207,FIND(":",Protokoll_4p!J207)-1))&gt;VALUE(RIGHT(Protokoll_4p!J207,LEN(Protokoll_4p!J207)-FIND(":",Protokoll_4p!J207))),1,0))</f>
        <v/>
      </c>
      <c r="G241" s="1" t="str">
        <f t="shared" si="6"/>
        <v/>
      </c>
      <c r="I241" s="1" t="str">
        <f>IF(Protokoll_4p!F207="","",IF(VALUE(LEFT(Protokoll_4p!F207,FIND(":",Protokoll_4p!F207)-1))&gt;VALUE(RIGHT(Protokoll_4p!F207,LEN(Protokoll_4p!F207)-FIND(":",Protokoll_4p!F207))),0,1))</f>
        <v/>
      </c>
      <c r="J241" s="1" t="str">
        <f>IF(Protokoll_4p!G207="","",IF(VALUE(LEFT(Protokoll_4p!G207,FIND(":",Protokoll_4p!G207)-1))&gt;VALUE(RIGHT(Protokoll_4p!G207,LEN(Protokoll_4p!G207)-FIND(":",Protokoll_4p!G207))),0,1))</f>
        <v/>
      </c>
      <c r="K241" s="1" t="str">
        <f>IF(Protokoll_4p!H207="","",IF(VALUE(LEFT(Protokoll_4p!H207,FIND(":",Protokoll_4p!H207)-1))&gt;VALUE(RIGHT(Protokoll_4p!H207,LEN(Protokoll_4p!H207)-FIND(":",Protokoll_4p!H207))),0,1))</f>
        <v/>
      </c>
      <c r="L241" s="1" t="str">
        <f>IF(Protokoll_4p!I207="","",IF(VALUE(LEFT(Protokoll_4p!I207,FIND(":",Protokoll_4p!I207)-1))&gt;VALUE(RIGHT(Protokoll_4p!I207,LEN(Protokoll_4p!I207)-FIND(":",Protokoll_4p!I207))),0,1))</f>
        <v/>
      </c>
      <c r="M241" s="1" t="str">
        <f>IF(Protokoll_4p!J207="","",IF(VALUE(LEFT(Protokoll_4p!J207,FIND(":",Protokoll_4p!J207)-1))&gt;VALUE(RIGHT(Protokoll_4p!J207,LEN(Protokoll_4p!J207)-FIND(":",Protokoll_4p!J207))),0,1))</f>
        <v/>
      </c>
      <c r="N241" s="1" t="str">
        <f t="shared" si="7"/>
        <v/>
      </c>
    </row>
    <row r="242" spans="2:14">
      <c r="B242" s="1" t="str">
        <f>IF(Protokoll_4p!F208="","",IF(VALUE(LEFT(Protokoll_4p!F208,FIND(":",Protokoll_4p!F208)-1))&gt;VALUE(RIGHT(Protokoll_4p!F208,LEN(Protokoll_4p!F208)-FIND(":",Protokoll_4p!F208))),1,0))</f>
        <v/>
      </c>
      <c r="C242" s="1" t="str">
        <f>IF(Protokoll_4p!G208="","",IF(VALUE(LEFT(Protokoll_4p!G208,FIND(":",Protokoll_4p!G208)-1))&gt;VALUE(RIGHT(Protokoll_4p!G208,LEN(Protokoll_4p!G208)-FIND(":",Protokoll_4p!G208))),1,0))</f>
        <v/>
      </c>
      <c r="D242" s="1" t="str">
        <f>IF(Protokoll_4p!H208="","",IF(VALUE(LEFT(Protokoll_4p!H208,FIND(":",Protokoll_4p!H208)-1))&gt;VALUE(RIGHT(Protokoll_4p!H208,LEN(Protokoll_4p!H208)-FIND(":",Protokoll_4p!H208))),1,0))</f>
        <v/>
      </c>
      <c r="E242" s="1" t="str">
        <f>IF(Protokoll_4p!I208="","",IF(VALUE(LEFT(Protokoll_4p!I208,FIND(":",Protokoll_4p!I208)-1))&gt;VALUE(RIGHT(Protokoll_4p!I208,LEN(Protokoll_4p!I208)-FIND(":",Protokoll_4p!I208))),1,0))</f>
        <v/>
      </c>
      <c r="F242" s="1" t="str">
        <f>IF(Protokoll_4p!J208="","",IF(VALUE(LEFT(Protokoll_4p!J208,FIND(":",Protokoll_4p!J208)-1))&gt;VALUE(RIGHT(Protokoll_4p!J208,LEN(Protokoll_4p!J208)-FIND(":",Protokoll_4p!J208))),1,0))</f>
        <v/>
      </c>
      <c r="G242" s="1" t="str">
        <f t="shared" si="6"/>
        <v/>
      </c>
      <c r="I242" s="1" t="str">
        <f>IF(Protokoll_4p!F208="","",IF(VALUE(LEFT(Protokoll_4p!F208,FIND(":",Protokoll_4p!F208)-1))&gt;VALUE(RIGHT(Protokoll_4p!F208,LEN(Protokoll_4p!F208)-FIND(":",Protokoll_4p!F208))),0,1))</f>
        <v/>
      </c>
      <c r="J242" s="1" t="str">
        <f>IF(Protokoll_4p!G208="","",IF(VALUE(LEFT(Protokoll_4p!G208,FIND(":",Protokoll_4p!G208)-1))&gt;VALUE(RIGHT(Protokoll_4p!G208,LEN(Protokoll_4p!G208)-FIND(":",Protokoll_4p!G208))),0,1))</f>
        <v/>
      </c>
      <c r="K242" s="1" t="str">
        <f>IF(Protokoll_4p!H208="","",IF(VALUE(LEFT(Protokoll_4p!H208,FIND(":",Protokoll_4p!H208)-1))&gt;VALUE(RIGHT(Protokoll_4p!H208,LEN(Protokoll_4p!H208)-FIND(":",Protokoll_4p!H208))),0,1))</f>
        <v/>
      </c>
      <c r="L242" s="1" t="str">
        <f>IF(Protokoll_4p!I208="","",IF(VALUE(LEFT(Protokoll_4p!I208,FIND(":",Protokoll_4p!I208)-1))&gt;VALUE(RIGHT(Protokoll_4p!I208,LEN(Protokoll_4p!I208)-FIND(":",Protokoll_4p!I208))),0,1))</f>
        <v/>
      </c>
      <c r="M242" s="1" t="str">
        <f>IF(Protokoll_4p!J208="","",IF(VALUE(LEFT(Protokoll_4p!J208,FIND(":",Protokoll_4p!J208)-1))&gt;VALUE(RIGHT(Protokoll_4p!J208,LEN(Protokoll_4p!J208)-FIND(":",Protokoll_4p!J208))),0,1))</f>
        <v/>
      </c>
      <c r="N242" s="1" t="str">
        <f t="shared" si="7"/>
        <v/>
      </c>
    </row>
    <row r="243" spans="2:14">
      <c r="B243" s="1" t="str">
        <f>IF(Protokoll_4p!F209="","",IF(VALUE(LEFT(Protokoll_4p!F209,FIND(":",Protokoll_4p!F209)-1))&gt;VALUE(RIGHT(Protokoll_4p!F209,LEN(Protokoll_4p!F209)-FIND(":",Protokoll_4p!F209))),1,0))</f>
        <v/>
      </c>
      <c r="C243" s="1" t="str">
        <f>IF(Protokoll_4p!G209="","",IF(VALUE(LEFT(Protokoll_4p!G209,FIND(":",Protokoll_4p!G209)-1))&gt;VALUE(RIGHT(Protokoll_4p!G209,LEN(Protokoll_4p!G209)-FIND(":",Protokoll_4p!G209))),1,0))</f>
        <v/>
      </c>
      <c r="D243" s="1" t="str">
        <f>IF(Protokoll_4p!H209="","",IF(VALUE(LEFT(Protokoll_4p!H209,FIND(":",Protokoll_4p!H209)-1))&gt;VALUE(RIGHT(Protokoll_4p!H209,LEN(Protokoll_4p!H209)-FIND(":",Protokoll_4p!H209))),1,0))</f>
        <v/>
      </c>
      <c r="E243" s="1" t="str">
        <f>IF(Protokoll_4p!I209="","",IF(VALUE(LEFT(Protokoll_4p!I209,FIND(":",Protokoll_4p!I209)-1))&gt;VALUE(RIGHT(Protokoll_4p!I209,LEN(Protokoll_4p!I209)-FIND(":",Protokoll_4p!I209))),1,0))</f>
        <v/>
      </c>
      <c r="F243" s="1" t="str">
        <f>IF(Protokoll_4p!J209="","",IF(VALUE(LEFT(Protokoll_4p!J209,FIND(":",Protokoll_4p!J209)-1))&gt;VALUE(RIGHT(Protokoll_4p!J209,LEN(Protokoll_4p!J209)-FIND(":",Protokoll_4p!J209))),1,0))</f>
        <v/>
      </c>
      <c r="G243" s="1" t="str">
        <f t="shared" si="6"/>
        <v/>
      </c>
      <c r="I243" s="1" t="str">
        <f>IF(Protokoll_4p!F209="","",IF(VALUE(LEFT(Protokoll_4p!F209,FIND(":",Protokoll_4p!F209)-1))&gt;VALUE(RIGHT(Protokoll_4p!F209,LEN(Protokoll_4p!F209)-FIND(":",Protokoll_4p!F209))),0,1))</f>
        <v/>
      </c>
      <c r="J243" s="1" t="str">
        <f>IF(Protokoll_4p!G209="","",IF(VALUE(LEFT(Protokoll_4p!G209,FIND(":",Protokoll_4p!G209)-1))&gt;VALUE(RIGHT(Protokoll_4p!G209,LEN(Protokoll_4p!G209)-FIND(":",Protokoll_4p!G209))),0,1))</f>
        <v/>
      </c>
      <c r="K243" s="1" t="str">
        <f>IF(Protokoll_4p!H209="","",IF(VALUE(LEFT(Protokoll_4p!H209,FIND(":",Protokoll_4p!H209)-1))&gt;VALUE(RIGHT(Protokoll_4p!H209,LEN(Protokoll_4p!H209)-FIND(":",Protokoll_4p!H209))),0,1))</f>
        <v/>
      </c>
      <c r="L243" s="1" t="str">
        <f>IF(Protokoll_4p!I209="","",IF(VALUE(LEFT(Protokoll_4p!I209,FIND(":",Protokoll_4p!I209)-1))&gt;VALUE(RIGHT(Protokoll_4p!I209,LEN(Protokoll_4p!I209)-FIND(":",Protokoll_4p!I209))),0,1))</f>
        <v/>
      </c>
      <c r="M243" s="1" t="str">
        <f>IF(Protokoll_4p!J209="","",IF(VALUE(LEFT(Protokoll_4p!J209,FIND(":",Protokoll_4p!J209)-1))&gt;VALUE(RIGHT(Protokoll_4p!J209,LEN(Protokoll_4p!J209)-FIND(":",Protokoll_4p!J209))),0,1))</f>
        <v/>
      </c>
      <c r="N243" s="1" t="str">
        <f t="shared" si="7"/>
        <v/>
      </c>
    </row>
    <row r="244" spans="2:14">
      <c r="B244" s="1" t="str">
        <f>IF(Protokoll_4p!F210="","",IF(VALUE(LEFT(Protokoll_4p!F210,FIND(":",Protokoll_4p!F210)-1))&gt;VALUE(RIGHT(Protokoll_4p!F210,LEN(Protokoll_4p!F210)-FIND(":",Protokoll_4p!F210))),1,0))</f>
        <v/>
      </c>
      <c r="C244" s="1" t="str">
        <f>IF(Protokoll_4p!G210="","",IF(VALUE(LEFT(Protokoll_4p!G210,FIND(":",Protokoll_4p!G210)-1))&gt;VALUE(RIGHT(Protokoll_4p!G210,LEN(Protokoll_4p!G210)-FIND(":",Protokoll_4p!G210))),1,0))</f>
        <v/>
      </c>
      <c r="D244" s="1" t="str">
        <f>IF(Protokoll_4p!H210="","",IF(VALUE(LEFT(Protokoll_4p!H210,FIND(":",Protokoll_4p!H210)-1))&gt;VALUE(RIGHT(Protokoll_4p!H210,LEN(Protokoll_4p!H210)-FIND(":",Protokoll_4p!H210))),1,0))</f>
        <v/>
      </c>
      <c r="E244" s="1" t="str">
        <f>IF(Protokoll_4p!I210="","",IF(VALUE(LEFT(Protokoll_4p!I210,FIND(":",Protokoll_4p!I210)-1))&gt;VALUE(RIGHT(Protokoll_4p!I210,LEN(Protokoll_4p!I210)-FIND(":",Protokoll_4p!I210))),1,0))</f>
        <v/>
      </c>
      <c r="F244" s="1" t="str">
        <f>IF(Protokoll_4p!J210="","",IF(VALUE(LEFT(Protokoll_4p!J210,FIND(":",Protokoll_4p!J210)-1))&gt;VALUE(RIGHT(Protokoll_4p!J210,LEN(Protokoll_4p!J210)-FIND(":",Protokoll_4p!J210))),1,0))</f>
        <v/>
      </c>
      <c r="G244" s="1" t="str">
        <f t="shared" si="6"/>
        <v/>
      </c>
      <c r="I244" s="1" t="str">
        <f>IF(Protokoll_4p!F210="","",IF(VALUE(LEFT(Protokoll_4p!F210,FIND(":",Protokoll_4p!F210)-1))&gt;VALUE(RIGHT(Protokoll_4p!F210,LEN(Protokoll_4p!F210)-FIND(":",Protokoll_4p!F210))),0,1))</f>
        <v/>
      </c>
      <c r="J244" s="1" t="str">
        <f>IF(Protokoll_4p!G210="","",IF(VALUE(LEFT(Protokoll_4p!G210,FIND(":",Protokoll_4p!G210)-1))&gt;VALUE(RIGHT(Protokoll_4p!G210,LEN(Protokoll_4p!G210)-FIND(":",Protokoll_4p!G210))),0,1))</f>
        <v/>
      </c>
      <c r="K244" s="1" t="str">
        <f>IF(Protokoll_4p!H210="","",IF(VALUE(LEFT(Protokoll_4p!H210,FIND(":",Protokoll_4p!H210)-1))&gt;VALUE(RIGHT(Protokoll_4p!H210,LEN(Protokoll_4p!H210)-FIND(":",Protokoll_4p!H210))),0,1))</f>
        <v/>
      </c>
      <c r="L244" s="1" t="str">
        <f>IF(Protokoll_4p!I210="","",IF(VALUE(LEFT(Protokoll_4p!I210,FIND(":",Protokoll_4p!I210)-1))&gt;VALUE(RIGHT(Protokoll_4p!I210,LEN(Protokoll_4p!I210)-FIND(":",Protokoll_4p!I210))),0,1))</f>
        <v/>
      </c>
      <c r="M244" s="1" t="str">
        <f>IF(Protokoll_4p!J210="","",IF(VALUE(LEFT(Protokoll_4p!J210,FIND(":",Protokoll_4p!J210)-1))&gt;VALUE(RIGHT(Protokoll_4p!J210,LEN(Protokoll_4p!J210)-FIND(":",Protokoll_4p!J210))),0,1))</f>
        <v/>
      </c>
      <c r="N244" s="1" t="str">
        <f t="shared" si="7"/>
        <v/>
      </c>
    </row>
    <row r="245" spans="2:14">
      <c r="B245" s="1" t="str">
        <f>IF(Protokoll_4p!F211="","",IF(VALUE(LEFT(Protokoll_4p!F211,FIND(":",Protokoll_4p!F211)-1))&gt;VALUE(RIGHT(Protokoll_4p!F211,LEN(Protokoll_4p!F211)-FIND(":",Protokoll_4p!F211))),1,0))</f>
        <v/>
      </c>
      <c r="C245" s="1" t="str">
        <f>IF(Protokoll_4p!G211="","",IF(VALUE(LEFT(Protokoll_4p!G211,FIND(":",Protokoll_4p!G211)-1))&gt;VALUE(RIGHT(Protokoll_4p!G211,LEN(Protokoll_4p!G211)-FIND(":",Protokoll_4p!G211))),1,0))</f>
        <v/>
      </c>
      <c r="D245" s="1" t="str">
        <f>IF(Protokoll_4p!H211="","",IF(VALUE(LEFT(Protokoll_4p!H211,FIND(":",Protokoll_4p!H211)-1))&gt;VALUE(RIGHT(Protokoll_4p!H211,LEN(Protokoll_4p!H211)-FIND(":",Protokoll_4p!H211))),1,0))</f>
        <v/>
      </c>
      <c r="E245" s="1" t="str">
        <f>IF(Protokoll_4p!I211="","",IF(VALUE(LEFT(Protokoll_4p!I211,FIND(":",Protokoll_4p!I211)-1))&gt;VALUE(RIGHT(Protokoll_4p!I211,LEN(Protokoll_4p!I211)-FIND(":",Protokoll_4p!I211))),1,0))</f>
        <v/>
      </c>
      <c r="F245" s="1" t="str">
        <f>IF(Protokoll_4p!J211="","",IF(VALUE(LEFT(Protokoll_4p!J211,FIND(":",Protokoll_4p!J211)-1))&gt;VALUE(RIGHT(Protokoll_4p!J211,LEN(Protokoll_4p!J211)-FIND(":",Protokoll_4p!J211))),1,0))</f>
        <v/>
      </c>
      <c r="G245" s="1" t="str">
        <f t="shared" si="6"/>
        <v/>
      </c>
      <c r="I245" s="1" t="str">
        <f>IF(Protokoll_4p!F211="","",IF(VALUE(LEFT(Protokoll_4p!F211,FIND(":",Protokoll_4p!F211)-1))&gt;VALUE(RIGHT(Protokoll_4p!F211,LEN(Protokoll_4p!F211)-FIND(":",Protokoll_4p!F211))),0,1))</f>
        <v/>
      </c>
      <c r="J245" s="1" t="str">
        <f>IF(Protokoll_4p!G211="","",IF(VALUE(LEFT(Protokoll_4p!G211,FIND(":",Protokoll_4p!G211)-1))&gt;VALUE(RIGHT(Protokoll_4p!G211,LEN(Protokoll_4p!G211)-FIND(":",Protokoll_4p!G211))),0,1))</f>
        <v/>
      </c>
      <c r="K245" s="1" t="str">
        <f>IF(Protokoll_4p!H211="","",IF(VALUE(LEFT(Protokoll_4p!H211,FIND(":",Protokoll_4p!H211)-1))&gt;VALUE(RIGHT(Protokoll_4p!H211,LEN(Protokoll_4p!H211)-FIND(":",Protokoll_4p!H211))),0,1))</f>
        <v/>
      </c>
      <c r="L245" s="1" t="str">
        <f>IF(Protokoll_4p!I211="","",IF(VALUE(LEFT(Protokoll_4p!I211,FIND(":",Protokoll_4p!I211)-1))&gt;VALUE(RIGHT(Protokoll_4p!I211,LEN(Protokoll_4p!I211)-FIND(":",Protokoll_4p!I211))),0,1))</f>
        <v/>
      </c>
      <c r="M245" s="1" t="str">
        <f>IF(Protokoll_4p!J211="","",IF(VALUE(LEFT(Protokoll_4p!J211,FIND(":",Protokoll_4p!J211)-1))&gt;VALUE(RIGHT(Protokoll_4p!J211,LEN(Protokoll_4p!J211)-FIND(":",Protokoll_4p!J211))),0,1))</f>
        <v/>
      </c>
      <c r="N245" s="1" t="str">
        <f t="shared" si="7"/>
        <v/>
      </c>
    </row>
    <row r="246" spans="2:14">
      <c r="B246" s="1" t="str">
        <f>IF(Protokoll_4p!F212="","",IF(VALUE(LEFT(Protokoll_4p!F212,FIND(":",Protokoll_4p!F212)-1))&gt;VALUE(RIGHT(Protokoll_4p!F212,LEN(Protokoll_4p!F212)-FIND(":",Protokoll_4p!F212))),1,0))</f>
        <v/>
      </c>
      <c r="C246" s="1" t="str">
        <f>IF(Protokoll_4p!G212="","",IF(VALUE(LEFT(Protokoll_4p!G212,FIND(":",Protokoll_4p!G212)-1))&gt;VALUE(RIGHT(Protokoll_4p!G212,LEN(Protokoll_4p!G212)-FIND(":",Protokoll_4p!G212))),1,0))</f>
        <v/>
      </c>
      <c r="D246" s="1" t="str">
        <f>IF(Protokoll_4p!H212="","",IF(VALUE(LEFT(Protokoll_4p!H212,FIND(":",Protokoll_4p!H212)-1))&gt;VALUE(RIGHT(Protokoll_4p!H212,LEN(Protokoll_4p!H212)-FIND(":",Protokoll_4p!H212))),1,0))</f>
        <v/>
      </c>
      <c r="E246" s="1" t="str">
        <f>IF(Protokoll_4p!I212="","",IF(VALUE(LEFT(Protokoll_4p!I212,FIND(":",Protokoll_4p!I212)-1))&gt;VALUE(RIGHT(Protokoll_4p!I212,LEN(Protokoll_4p!I212)-FIND(":",Protokoll_4p!I212))),1,0))</f>
        <v/>
      </c>
      <c r="F246" s="1" t="str">
        <f>IF(Protokoll_4p!J212="","",IF(VALUE(LEFT(Protokoll_4p!J212,FIND(":",Protokoll_4p!J212)-1))&gt;VALUE(RIGHT(Protokoll_4p!J212,LEN(Protokoll_4p!J212)-FIND(":",Protokoll_4p!J212))),1,0))</f>
        <v/>
      </c>
      <c r="G246" s="1" t="str">
        <f t="shared" si="6"/>
        <v/>
      </c>
      <c r="I246" s="1" t="str">
        <f>IF(Protokoll_4p!F212="","",IF(VALUE(LEFT(Protokoll_4p!F212,FIND(":",Protokoll_4p!F212)-1))&gt;VALUE(RIGHT(Protokoll_4p!F212,LEN(Protokoll_4p!F212)-FIND(":",Protokoll_4p!F212))),0,1))</f>
        <v/>
      </c>
      <c r="J246" s="1" t="str">
        <f>IF(Protokoll_4p!G212="","",IF(VALUE(LEFT(Protokoll_4p!G212,FIND(":",Protokoll_4p!G212)-1))&gt;VALUE(RIGHT(Protokoll_4p!G212,LEN(Protokoll_4p!G212)-FIND(":",Protokoll_4p!G212))),0,1))</f>
        <v/>
      </c>
      <c r="K246" s="1" t="str">
        <f>IF(Protokoll_4p!H212="","",IF(VALUE(LEFT(Protokoll_4p!H212,FIND(":",Protokoll_4p!H212)-1))&gt;VALUE(RIGHT(Protokoll_4p!H212,LEN(Protokoll_4p!H212)-FIND(":",Protokoll_4p!H212))),0,1))</f>
        <v/>
      </c>
      <c r="L246" s="1" t="str">
        <f>IF(Protokoll_4p!I212="","",IF(VALUE(LEFT(Protokoll_4p!I212,FIND(":",Protokoll_4p!I212)-1))&gt;VALUE(RIGHT(Protokoll_4p!I212,LEN(Protokoll_4p!I212)-FIND(":",Protokoll_4p!I212))),0,1))</f>
        <v/>
      </c>
      <c r="M246" s="1" t="str">
        <f>IF(Protokoll_4p!J212="","",IF(VALUE(LEFT(Protokoll_4p!J212,FIND(":",Protokoll_4p!J212)-1))&gt;VALUE(RIGHT(Protokoll_4p!J212,LEN(Protokoll_4p!J212)-FIND(":",Protokoll_4p!J212))),0,1))</f>
        <v/>
      </c>
      <c r="N246" s="1" t="str">
        <f t="shared" si="7"/>
        <v/>
      </c>
    </row>
    <row r="247" spans="2:14">
      <c r="B247" s="1" t="str">
        <f>IF(Protokoll_4p!F213="","",IF(VALUE(LEFT(Protokoll_4p!F213,FIND(":",Protokoll_4p!F213)-1))&gt;VALUE(RIGHT(Protokoll_4p!F213,LEN(Protokoll_4p!F213)-FIND(":",Protokoll_4p!F213))),1,0))</f>
        <v/>
      </c>
      <c r="C247" s="1" t="str">
        <f>IF(Protokoll_4p!G213="","",IF(VALUE(LEFT(Protokoll_4p!G213,FIND(":",Protokoll_4p!G213)-1))&gt;VALUE(RIGHT(Protokoll_4p!G213,LEN(Protokoll_4p!G213)-FIND(":",Protokoll_4p!G213))),1,0))</f>
        <v/>
      </c>
      <c r="D247" s="1" t="str">
        <f>IF(Protokoll_4p!H213="","",IF(VALUE(LEFT(Protokoll_4p!H213,FIND(":",Protokoll_4p!H213)-1))&gt;VALUE(RIGHT(Protokoll_4p!H213,LEN(Protokoll_4p!H213)-FIND(":",Protokoll_4p!H213))),1,0))</f>
        <v/>
      </c>
      <c r="E247" s="1" t="str">
        <f>IF(Protokoll_4p!I213="","",IF(VALUE(LEFT(Protokoll_4p!I213,FIND(":",Protokoll_4p!I213)-1))&gt;VALUE(RIGHT(Protokoll_4p!I213,LEN(Protokoll_4p!I213)-FIND(":",Protokoll_4p!I213))),1,0))</f>
        <v/>
      </c>
      <c r="F247" s="1" t="str">
        <f>IF(Protokoll_4p!J213="","",IF(VALUE(LEFT(Protokoll_4p!J213,FIND(":",Protokoll_4p!J213)-1))&gt;VALUE(RIGHT(Protokoll_4p!J213,LEN(Protokoll_4p!J213)-FIND(":",Protokoll_4p!J213))),1,0))</f>
        <v/>
      </c>
      <c r="G247" s="1" t="str">
        <f t="shared" si="6"/>
        <v/>
      </c>
      <c r="I247" s="1" t="str">
        <f>IF(Protokoll_4p!F213="","",IF(VALUE(LEFT(Protokoll_4p!F213,FIND(":",Protokoll_4p!F213)-1))&gt;VALUE(RIGHT(Protokoll_4p!F213,LEN(Protokoll_4p!F213)-FIND(":",Protokoll_4p!F213))),0,1))</f>
        <v/>
      </c>
      <c r="J247" s="1" t="str">
        <f>IF(Protokoll_4p!G213="","",IF(VALUE(LEFT(Protokoll_4p!G213,FIND(":",Protokoll_4p!G213)-1))&gt;VALUE(RIGHT(Protokoll_4p!G213,LEN(Protokoll_4p!G213)-FIND(":",Protokoll_4p!G213))),0,1))</f>
        <v/>
      </c>
      <c r="K247" s="1" t="str">
        <f>IF(Protokoll_4p!H213="","",IF(VALUE(LEFT(Protokoll_4p!H213,FIND(":",Protokoll_4p!H213)-1))&gt;VALUE(RIGHT(Protokoll_4p!H213,LEN(Protokoll_4p!H213)-FIND(":",Protokoll_4p!H213))),0,1))</f>
        <v/>
      </c>
      <c r="L247" s="1" t="str">
        <f>IF(Protokoll_4p!I213="","",IF(VALUE(LEFT(Protokoll_4p!I213,FIND(":",Protokoll_4p!I213)-1))&gt;VALUE(RIGHT(Protokoll_4p!I213,LEN(Protokoll_4p!I213)-FIND(":",Protokoll_4p!I213))),0,1))</f>
        <v/>
      </c>
      <c r="M247" s="1" t="str">
        <f>IF(Protokoll_4p!J213="","",IF(VALUE(LEFT(Protokoll_4p!J213,FIND(":",Protokoll_4p!J213)-1))&gt;VALUE(RIGHT(Protokoll_4p!J213,LEN(Protokoll_4p!J213)-FIND(":",Protokoll_4p!J213))),0,1))</f>
        <v/>
      </c>
      <c r="N247" s="1" t="str">
        <f t="shared" si="7"/>
        <v/>
      </c>
    </row>
    <row r="248" spans="2:14">
      <c r="B248" s="1" t="str">
        <f>IF(Protokoll_4p!F214="","",IF(VALUE(LEFT(Protokoll_4p!F214,FIND(":",Protokoll_4p!F214)-1))&gt;VALUE(RIGHT(Protokoll_4p!F214,LEN(Protokoll_4p!F214)-FIND(":",Protokoll_4p!F214))),1,0))</f>
        <v/>
      </c>
      <c r="C248" s="1" t="str">
        <f>IF(Protokoll_4p!G214="","",IF(VALUE(LEFT(Protokoll_4p!G214,FIND(":",Protokoll_4p!G214)-1))&gt;VALUE(RIGHT(Protokoll_4p!G214,LEN(Protokoll_4p!G214)-FIND(":",Protokoll_4p!G214))),1,0))</f>
        <v/>
      </c>
      <c r="D248" s="1" t="str">
        <f>IF(Protokoll_4p!H214="","",IF(VALUE(LEFT(Protokoll_4p!H214,FIND(":",Protokoll_4p!H214)-1))&gt;VALUE(RIGHT(Protokoll_4p!H214,LEN(Protokoll_4p!H214)-FIND(":",Protokoll_4p!H214))),1,0))</f>
        <v/>
      </c>
      <c r="E248" s="1" t="str">
        <f>IF(Protokoll_4p!I214="","",IF(VALUE(LEFT(Protokoll_4p!I214,FIND(":",Protokoll_4p!I214)-1))&gt;VALUE(RIGHT(Protokoll_4p!I214,LEN(Protokoll_4p!I214)-FIND(":",Protokoll_4p!I214))),1,0))</f>
        <v/>
      </c>
      <c r="F248" s="1" t="str">
        <f>IF(Protokoll_4p!J214="","",IF(VALUE(LEFT(Protokoll_4p!J214,FIND(":",Protokoll_4p!J214)-1))&gt;VALUE(RIGHT(Protokoll_4p!J214,LEN(Protokoll_4p!J214)-FIND(":",Protokoll_4p!J214))),1,0))</f>
        <v/>
      </c>
      <c r="G248" s="1" t="str">
        <f t="shared" si="6"/>
        <v/>
      </c>
      <c r="I248" s="1" t="str">
        <f>IF(Protokoll_4p!F214="","",IF(VALUE(LEFT(Protokoll_4p!F214,FIND(":",Protokoll_4p!F214)-1))&gt;VALUE(RIGHT(Protokoll_4p!F214,LEN(Protokoll_4p!F214)-FIND(":",Protokoll_4p!F214))),0,1))</f>
        <v/>
      </c>
      <c r="J248" s="1" t="str">
        <f>IF(Protokoll_4p!G214="","",IF(VALUE(LEFT(Protokoll_4p!G214,FIND(":",Protokoll_4p!G214)-1))&gt;VALUE(RIGHT(Protokoll_4p!G214,LEN(Protokoll_4p!G214)-FIND(":",Protokoll_4p!G214))),0,1))</f>
        <v/>
      </c>
      <c r="K248" s="1" t="str">
        <f>IF(Protokoll_4p!H214="","",IF(VALUE(LEFT(Protokoll_4p!H214,FIND(":",Protokoll_4p!H214)-1))&gt;VALUE(RIGHT(Protokoll_4p!H214,LEN(Protokoll_4p!H214)-FIND(":",Protokoll_4p!H214))),0,1))</f>
        <v/>
      </c>
      <c r="L248" s="1" t="str">
        <f>IF(Protokoll_4p!I214="","",IF(VALUE(LEFT(Protokoll_4p!I214,FIND(":",Protokoll_4p!I214)-1))&gt;VALUE(RIGHT(Protokoll_4p!I214,LEN(Protokoll_4p!I214)-FIND(":",Protokoll_4p!I214))),0,1))</f>
        <v/>
      </c>
      <c r="M248" s="1" t="str">
        <f>IF(Protokoll_4p!J214="","",IF(VALUE(LEFT(Protokoll_4p!J214,FIND(":",Protokoll_4p!J214)-1))&gt;VALUE(RIGHT(Protokoll_4p!J214,LEN(Protokoll_4p!J214)-FIND(":",Protokoll_4p!J214))),0,1))</f>
        <v/>
      </c>
      <c r="N248" s="1" t="str">
        <f t="shared" si="7"/>
        <v/>
      </c>
    </row>
    <row r="249" spans="2:14">
      <c r="B249" s="1" t="str">
        <f>IF(Protokoll_4p!F215="","",IF(VALUE(LEFT(Protokoll_4p!F215,FIND(":",Protokoll_4p!F215)-1))&gt;VALUE(RIGHT(Protokoll_4p!F215,LEN(Protokoll_4p!F215)-FIND(":",Protokoll_4p!F215))),1,0))</f>
        <v/>
      </c>
      <c r="C249" s="1" t="str">
        <f>IF(Protokoll_4p!G215="","",IF(VALUE(LEFT(Protokoll_4p!G215,FIND(":",Protokoll_4p!G215)-1))&gt;VALUE(RIGHT(Protokoll_4p!G215,LEN(Protokoll_4p!G215)-FIND(":",Protokoll_4p!G215))),1,0))</f>
        <v/>
      </c>
      <c r="D249" s="1" t="str">
        <f>IF(Protokoll_4p!H215="","",IF(VALUE(LEFT(Protokoll_4p!H215,FIND(":",Protokoll_4p!H215)-1))&gt;VALUE(RIGHT(Protokoll_4p!H215,LEN(Protokoll_4p!H215)-FIND(":",Protokoll_4p!H215))),1,0))</f>
        <v/>
      </c>
      <c r="E249" s="1" t="str">
        <f>IF(Protokoll_4p!I215="","",IF(VALUE(LEFT(Protokoll_4p!I215,FIND(":",Protokoll_4p!I215)-1))&gt;VALUE(RIGHT(Protokoll_4p!I215,LEN(Protokoll_4p!I215)-FIND(":",Protokoll_4p!I215))),1,0))</f>
        <v/>
      </c>
      <c r="F249" s="1" t="str">
        <f>IF(Protokoll_4p!J215="","",IF(VALUE(LEFT(Protokoll_4p!J215,FIND(":",Protokoll_4p!J215)-1))&gt;VALUE(RIGHT(Protokoll_4p!J215,LEN(Protokoll_4p!J215)-FIND(":",Protokoll_4p!J215))),1,0))</f>
        <v/>
      </c>
      <c r="G249" s="1" t="str">
        <f t="shared" si="6"/>
        <v/>
      </c>
      <c r="I249" s="1" t="str">
        <f>IF(Protokoll_4p!F215="","",IF(VALUE(LEFT(Protokoll_4p!F215,FIND(":",Protokoll_4p!F215)-1))&gt;VALUE(RIGHT(Protokoll_4p!F215,LEN(Protokoll_4p!F215)-FIND(":",Protokoll_4p!F215))),0,1))</f>
        <v/>
      </c>
      <c r="J249" s="1" t="str">
        <f>IF(Protokoll_4p!G215="","",IF(VALUE(LEFT(Protokoll_4p!G215,FIND(":",Protokoll_4p!G215)-1))&gt;VALUE(RIGHT(Protokoll_4p!G215,LEN(Protokoll_4p!G215)-FIND(":",Protokoll_4p!G215))),0,1))</f>
        <v/>
      </c>
      <c r="K249" s="1" t="str">
        <f>IF(Protokoll_4p!H215="","",IF(VALUE(LEFT(Protokoll_4p!H215,FIND(":",Protokoll_4p!H215)-1))&gt;VALUE(RIGHT(Protokoll_4p!H215,LEN(Protokoll_4p!H215)-FIND(":",Protokoll_4p!H215))),0,1))</f>
        <v/>
      </c>
      <c r="L249" s="1" t="str">
        <f>IF(Protokoll_4p!I215="","",IF(VALUE(LEFT(Protokoll_4p!I215,FIND(":",Protokoll_4p!I215)-1))&gt;VALUE(RIGHT(Protokoll_4p!I215,LEN(Protokoll_4p!I215)-FIND(":",Protokoll_4p!I215))),0,1))</f>
        <v/>
      </c>
      <c r="M249" s="1" t="str">
        <f>IF(Protokoll_4p!J215="","",IF(VALUE(LEFT(Protokoll_4p!J215,FIND(":",Protokoll_4p!J215)-1))&gt;VALUE(RIGHT(Protokoll_4p!J215,LEN(Protokoll_4p!J215)-FIND(":",Protokoll_4p!J215))),0,1))</f>
        <v/>
      </c>
      <c r="N249" s="1" t="str">
        <f t="shared" si="7"/>
        <v/>
      </c>
    </row>
    <row r="250" spans="2:14">
      <c r="B250" s="1" t="str">
        <f>IF(Protokoll_4p!F216="","",IF(VALUE(LEFT(Protokoll_4p!F216,FIND(":",Protokoll_4p!F216)-1))&gt;VALUE(RIGHT(Protokoll_4p!F216,LEN(Protokoll_4p!F216)-FIND(":",Protokoll_4p!F216))),1,0))</f>
        <v/>
      </c>
      <c r="C250" s="1" t="str">
        <f>IF(Protokoll_4p!G216="","",IF(VALUE(LEFT(Protokoll_4p!G216,FIND(":",Protokoll_4p!G216)-1))&gt;VALUE(RIGHT(Protokoll_4p!G216,LEN(Protokoll_4p!G216)-FIND(":",Protokoll_4p!G216))),1,0))</f>
        <v/>
      </c>
      <c r="D250" s="1" t="str">
        <f>IF(Protokoll_4p!H216="","",IF(VALUE(LEFT(Protokoll_4p!H216,FIND(":",Protokoll_4p!H216)-1))&gt;VALUE(RIGHT(Protokoll_4p!H216,LEN(Protokoll_4p!H216)-FIND(":",Protokoll_4p!H216))),1,0))</f>
        <v/>
      </c>
      <c r="E250" s="1" t="str">
        <f>IF(Protokoll_4p!I216="","",IF(VALUE(LEFT(Protokoll_4p!I216,FIND(":",Protokoll_4p!I216)-1))&gt;VALUE(RIGHT(Protokoll_4p!I216,LEN(Protokoll_4p!I216)-FIND(":",Protokoll_4p!I216))),1,0))</f>
        <v/>
      </c>
      <c r="F250" s="1" t="str">
        <f>IF(Protokoll_4p!J216="","",IF(VALUE(LEFT(Protokoll_4p!J216,FIND(":",Protokoll_4p!J216)-1))&gt;VALUE(RIGHT(Protokoll_4p!J216,LEN(Protokoll_4p!J216)-FIND(":",Protokoll_4p!J216))),1,0))</f>
        <v/>
      </c>
      <c r="G250" s="1" t="str">
        <f t="shared" si="6"/>
        <v/>
      </c>
      <c r="I250" s="1" t="str">
        <f>IF(Protokoll_4p!F216="","",IF(VALUE(LEFT(Protokoll_4p!F216,FIND(":",Protokoll_4p!F216)-1))&gt;VALUE(RIGHT(Protokoll_4p!F216,LEN(Protokoll_4p!F216)-FIND(":",Protokoll_4p!F216))),0,1))</f>
        <v/>
      </c>
      <c r="J250" s="1" t="str">
        <f>IF(Protokoll_4p!G216="","",IF(VALUE(LEFT(Protokoll_4p!G216,FIND(":",Protokoll_4p!G216)-1))&gt;VALUE(RIGHT(Protokoll_4p!G216,LEN(Protokoll_4p!G216)-FIND(":",Protokoll_4p!G216))),0,1))</f>
        <v/>
      </c>
      <c r="K250" s="1" t="str">
        <f>IF(Protokoll_4p!H216="","",IF(VALUE(LEFT(Protokoll_4p!H216,FIND(":",Protokoll_4p!H216)-1))&gt;VALUE(RIGHT(Protokoll_4p!H216,LEN(Protokoll_4p!H216)-FIND(":",Protokoll_4p!H216))),0,1))</f>
        <v/>
      </c>
      <c r="L250" s="1" t="str">
        <f>IF(Protokoll_4p!I216="","",IF(VALUE(LEFT(Protokoll_4p!I216,FIND(":",Protokoll_4p!I216)-1))&gt;VALUE(RIGHT(Protokoll_4p!I216,LEN(Protokoll_4p!I216)-FIND(":",Protokoll_4p!I216))),0,1))</f>
        <v/>
      </c>
      <c r="M250" s="1" t="str">
        <f>IF(Protokoll_4p!J216="","",IF(VALUE(LEFT(Protokoll_4p!J216,FIND(":",Protokoll_4p!J216)-1))&gt;VALUE(RIGHT(Protokoll_4p!J216,LEN(Protokoll_4p!J216)-FIND(":",Protokoll_4p!J216))),0,1))</f>
        <v/>
      </c>
      <c r="N250" s="1" t="str">
        <f t="shared" si="7"/>
        <v/>
      </c>
    </row>
    <row r="251" spans="2:14">
      <c r="B251" s="1" t="str">
        <f>IF(Protokoll_4p!F217="","",IF(VALUE(LEFT(Protokoll_4p!F217,FIND(":",Protokoll_4p!F217)-1))&gt;VALUE(RIGHT(Protokoll_4p!F217,LEN(Protokoll_4p!F217)-FIND(":",Protokoll_4p!F217))),1,0))</f>
        <v/>
      </c>
      <c r="C251" s="1" t="str">
        <f>IF(Protokoll_4p!G217="","",IF(VALUE(LEFT(Protokoll_4p!G217,FIND(":",Protokoll_4p!G217)-1))&gt;VALUE(RIGHT(Protokoll_4p!G217,LEN(Protokoll_4p!G217)-FIND(":",Protokoll_4p!G217))),1,0))</f>
        <v/>
      </c>
      <c r="D251" s="1" t="str">
        <f>IF(Protokoll_4p!H217="","",IF(VALUE(LEFT(Protokoll_4p!H217,FIND(":",Protokoll_4p!H217)-1))&gt;VALUE(RIGHT(Protokoll_4p!H217,LEN(Protokoll_4p!H217)-FIND(":",Protokoll_4p!H217))),1,0))</f>
        <v/>
      </c>
      <c r="E251" s="1" t="str">
        <f>IF(Protokoll_4p!I217="","",IF(VALUE(LEFT(Protokoll_4p!I217,FIND(":",Protokoll_4p!I217)-1))&gt;VALUE(RIGHT(Protokoll_4p!I217,LEN(Protokoll_4p!I217)-FIND(":",Protokoll_4p!I217))),1,0))</f>
        <v/>
      </c>
      <c r="F251" s="1" t="str">
        <f>IF(Protokoll_4p!J217="","",IF(VALUE(LEFT(Protokoll_4p!J217,FIND(":",Protokoll_4p!J217)-1))&gt;VALUE(RIGHT(Protokoll_4p!J217,LEN(Protokoll_4p!J217)-FIND(":",Protokoll_4p!J217))),1,0))</f>
        <v/>
      </c>
      <c r="G251" s="1" t="str">
        <f t="shared" si="6"/>
        <v/>
      </c>
      <c r="I251" s="1" t="str">
        <f>IF(Protokoll_4p!F217="","",IF(VALUE(LEFT(Protokoll_4p!F217,FIND(":",Protokoll_4p!F217)-1))&gt;VALUE(RIGHT(Protokoll_4p!F217,LEN(Protokoll_4p!F217)-FIND(":",Protokoll_4p!F217))),0,1))</f>
        <v/>
      </c>
      <c r="J251" s="1" t="str">
        <f>IF(Protokoll_4p!G217="","",IF(VALUE(LEFT(Protokoll_4p!G217,FIND(":",Protokoll_4p!G217)-1))&gt;VALUE(RIGHT(Protokoll_4p!G217,LEN(Protokoll_4p!G217)-FIND(":",Protokoll_4p!G217))),0,1))</f>
        <v/>
      </c>
      <c r="K251" s="1" t="str">
        <f>IF(Protokoll_4p!H217="","",IF(VALUE(LEFT(Protokoll_4p!H217,FIND(":",Protokoll_4p!H217)-1))&gt;VALUE(RIGHT(Protokoll_4p!H217,LEN(Protokoll_4p!H217)-FIND(":",Protokoll_4p!H217))),0,1))</f>
        <v/>
      </c>
      <c r="L251" s="1" t="str">
        <f>IF(Protokoll_4p!I217="","",IF(VALUE(LEFT(Protokoll_4p!I217,FIND(":",Protokoll_4p!I217)-1))&gt;VALUE(RIGHT(Protokoll_4p!I217,LEN(Protokoll_4p!I217)-FIND(":",Protokoll_4p!I217))),0,1))</f>
        <v/>
      </c>
      <c r="M251" s="1" t="str">
        <f>IF(Protokoll_4p!J217="","",IF(VALUE(LEFT(Protokoll_4p!J217,FIND(":",Protokoll_4p!J217)-1))&gt;VALUE(RIGHT(Protokoll_4p!J217,LEN(Protokoll_4p!J217)-FIND(":",Protokoll_4p!J217))),0,1))</f>
        <v/>
      </c>
      <c r="N251" s="1" t="str">
        <f t="shared" si="7"/>
        <v/>
      </c>
    </row>
    <row r="252" spans="2:14">
      <c r="B252" s="1" t="str">
        <f>IF(Protokoll_4p!F218="","",IF(VALUE(LEFT(Protokoll_4p!F218,FIND(":",Protokoll_4p!F218)-1))&gt;VALUE(RIGHT(Protokoll_4p!F218,LEN(Protokoll_4p!F218)-FIND(":",Protokoll_4p!F218))),1,0))</f>
        <v/>
      </c>
      <c r="C252" s="1" t="str">
        <f>IF(Protokoll_4p!G218="","",IF(VALUE(LEFT(Protokoll_4p!G218,FIND(":",Protokoll_4p!G218)-1))&gt;VALUE(RIGHT(Protokoll_4p!G218,LEN(Protokoll_4p!G218)-FIND(":",Protokoll_4p!G218))),1,0))</f>
        <v/>
      </c>
      <c r="D252" s="1" t="str">
        <f>IF(Protokoll_4p!H218="","",IF(VALUE(LEFT(Protokoll_4p!H218,FIND(":",Protokoll_4p!H218)-1))&gt;VALUE(RIGHT(Protokoll_4p!H218,LEN(Protokoll_4p!H218)-FIND(":",Protokoll_4p!H218))),1,0))</f>
        <v/>
      </c>
      <c r="E252" s="1" t="str">
        <f>IF(Protokoll_4p!I218="","",IF(VALUE(LEFT(Protokoll_4p!I218,FIND(":",Protokoll_4p!I218)-1))&gt;VALUE(RIGHT(Protokoll_4p!I218,LEN(Protokoll_4p!I218)-FIND(":",Protokoll_4p!I218))),1,0))</f>
        <v/>
      </c>
      <c r="F252" s="1" t="str">
        <f>IF(Protokoll_4p!J218="","",IF(VALUE(LEFT(Protokoll_4p!J218,FIND(":",Protokoll_4p!J218)-1))&gt;VALUE(RIGHT(Protokoll_4p!J218,LEN(Protokoll_4p!J218)-FIND(":",Protokoll_4p!J218))),1,0))</f>
        <v/>
      </c>
      <c r="G252" s="1" t="str">
        <f t="shared" si="6"/>
        <v/>
      </c>
      <c r="I252" s="1" t="str">
        <f>IF(Protokoll_4p!F218="","",IF(VALUE(LEFT(Protokoll_4p!F218,FIND(":",Protokoll_4p!F218)-1))&gt;VALUE(RIGHT(Protokoll_4p!F218,LEN(Protokoll_4p!F218)-FIND(":",Protokoll_4p!F218))),0,1))</f>
        <v/>
      </c>
      <c r="J252" s="1" t="str">
        <f>IF(Protokoll_4p!G218="","",IF(VALUE(LEFT(Protokoll_4p!G218,FIND(":",Protokoll_4p!G218)-1))&gt;VALUE(RIGHT(Protokoll_4p!G218,LEN(Protokoll_4p!G218)-FIND(":",Protokoll_4p!G218))),0,1))</f>
        <v/>
      </c>
      <c r="K252" s="1" t="str">
        <f>IF(Protokoll_4p!H218="","",IF(VALUE(LEFT(Protokoll_4p!H218,FIND(":",Protokoll_4p!H218)-1))&gt;VALUE(RIGHT(Protokoll_4p!H218,LEN(Protokoll_4p!H218)-FIND(":",Protokoll_4p!H218))),0,1))</f>
        <v/>
      </c>
      <c r="L252" s="1" t="str">
        <f>IF(Protokoll_4p!I218="","",IF(VALUE(LEFT(Protokoll_4p!I218,FIND(":",Protokoll_4p!I218)-1))&gt;VALUE(RIGHT(Protokoll_4p!I218,LEN(Protokoll_4p!I218)-FIND(":",Protokoll_4p!I218))),0,1))</f>
        <v/>
      </c>
      <c r="M252" s="1" t="str">
        <f>IF(Protokoll_4p!J218="","",IF(VALUE(LEFT(Protokoll_4p!J218,FIND(":",Protokoll_4p!J218)-1))&gt;VALUE(RIGHT(Protokoll_4p!J218,LEN(Protokoll_4p!J218)-FIND(":",Protokoll_4p!J218))),0,1))</f>
        <v/>
      </c>
      <c r="N252" s="1" t="str">
        <f t="shared" si="7"/>
        <v/>
      </c>
    </row>
    <row r="253" spans="2:14">
      <c r="B253" s="1" t="str">
        <f>IF(Protokoll_4p!F219="","",IF(VALUE(LEFT(Protokoll_4p!F219,FIND(":",Protokoll_4p!F219)-1))&gt;VALUE(RIGHT(Protokoll_4p!F219,LEN(Protokoll_4p!F219)-FIND(":",Protokoll_4p!F219))),1,0))</f>
        <v/>
      </c>
      <c r="C253" s="1" t="str">
        <f>IF(Protokoll_4p!G219="","",IF(VALUE(LEFT(Protokoll_4p!G219,FIND(":",Protokoll_4p!G219)-1))&gt;VALUE(RIGHT(Protokoll_4p!G219,LEN(Protokoll_4p!G219)-FIND(":",Protokoll_4p!G219))),1,0))</f>
        <v/>
      </c>
      <c r="D253" s="1" t="str">
        <f>IF(Protokoll_4p!H219="","",IF(VALUE(LEFT(Protokoll_4p!H219,FIND(":",Protokoll_4p!H219)-1))&gt;VALUE(RIGHT(Protokoll_4p!H219,LEN(Protokoll_4p!H219)-FIND(":",Protokoll_4p!H219))),1,0))</f>
        <v/>
      </c>
      <c r="E253" s="1" t="str">
        <f>IF(Protokoll_4p!I219="","",IF(VALUE(LEFT(Protokoll_4p!I219,FIND(":",Protokoll_4p!I219)-1))&gt;VALUE(RIGHT(Protokoll_4p!I219,LEN(Protokoll_4p!I219)-FIND(":",Protokoll_4p!I219))),1,0))</f>
        <v/>
      </c>
      <c r="F253" s="1" t="str">
        <f>IF(Protokoll_4p!J219="","",IF(VALUE(LEFT(Protokoll_4p!J219,FIND(":",Protokoll_4p!J219)-1))&gt;VALUE(RIGHT(Protokoll_4p!J219,LEN(Protokoll_4p!J219)-FIND(":",Protokoll_4p!J219))),1,0))</f>
        <v/>
      </c>
      <c r="G253" s="1" t="str">
        <f t="shared" si="6"/>
        <v/>
      </c>
      <c r="I253" s="1" t="str">
        <f>IF(Protokoll_4p!F219="","",IF(VALUE(LEFT(Protokoll_4p!F219,FIND(":",Protokoll_4p!F219)-1))&gt;VALUE(RIGHT(Protokoll_4p!F219,LEN(Protokoll_4p!F219)-FIND(":",Protokoll_4p!F219))),0,1))</f>
        <v/>
      </c>
      <c r="J253" s="1" t="str">
        <f>IF(Protokoll_4p!G219="","",IF(VALUE(LEFT(Protokoll_4p!G219,FIND(":",Protokoll_4p!G219)-1))&gt;VALUE(RIGHT(Protokoll_4p!G219,LEN(Protokoll_4p!G219)-FIND(":",Protokoll_4p!G219))),0,1))</f>
        <v/>
      </c>
      <c r="K253" s="1" t="str">
        <f>IF(Protokoll_4p!H219="","",IF(VALUE(LEFT(Protokoll_4p!H219,FIND(":",Protokoll_4p!H219)-1))&gt;VALUE(RIGHT(Protokoll_4p!H219,LEN(Protokoll_4p!H219)-FIND(":",Protokoll_4p!H219))),0,1))</f>
        <v/>
      </c>
      <c r="L253" s="1" t="str">
        <f>IF(Protokoll_4p!I219="","",IF(VALUE(LEFT(Protokoll_4p!I219,FIND(":",Protokoll_4p!I219)-1))&gt;VALUE(RIGHT(Protokoll_4p!I219,LEN(Protokoll_4p!I219)-FIND(":",Protokoll_4p!I219))),0,1))</f>
        <v/>
      </c>
      <c r="M253" s="1" t="str">
        <f>IF(Protokoll_4p!J219="","",IF(VALUE(LEFT(Protokoll_4p!J219,FIND(":",Protokoll_4p!J219)-1))&gt;VALUE(RIGHT(Protokoll_4p!J219,LEN(Protokoll_4p!J219)-FIND(":",Protokoll_4p!J219))),0,1))</f>
        <v/>
      </c>
      <c r="N253" s="1" t="str">
        <f t="shared" si="7"/>
        <v/>
      </c>
    </row>
    <row r="254" spans="2:14">
      <c r="B254" s="1" t="str">
        <f>IF(Protokoll_4p!F220="","",IF(VALUE(LEFT(Protokoll_4p!F220,FIND(":",Protokoll_4p!F220)-1))&gt;VALUE(RIGHT(Protokoll_4p!F220,LEN(Protokoll_4p!F220)-FIND(":",Protokoll_4p!F220))),1,0))</f>
        <v/>
      </c>
      <c r="C254" s="1" t="str">
        <f>IF(Protokoll_4p!G220="","",IF(VALUE(LEFT(Protokoll_4p!G220,FIND(":",Protokoll_4p!G220)-1))&gt;VALUE(RIGHT(Protokoll_4p!G220,LEN(Protokoll_4p!G220)-FIND(":",Protokoll_4p!G220))),1,0))</f>
        <v/>
      </c>
      <c r="D254" s="1" t="str">
        <f>IF(Protokoll_4p!H220="","",IF(VALUE(LEFT(Protokoll_4p!H220,FIND(":",Protokoll_4p!H220)-1))&gt;VALUE(RIGHT(Protokoll_4p!H220,LEN(Protokoll_4p!H220)-FIND(":",Protokoll_4p!H220))),1,0))</f>
        <v/>
      </c>
      <c r="E254" s="1" t="str">
        <f>IF(Protokoll_4p!I220="","",IF(VALUE(LEFT(Protokoll_4p!I220,FIND(":",Protokoll_4p!I220)-1))&gt;VALUE(RIGHT(Protokoll_4p!I220,LEN(Protokoll_4p!I220)-FIND(":",Protokoll_4p!I220))),1,0))</f>
        <v/>
      </c>
      <c r="F254" s="1" t="str">
        <f>IF(Protokoll_4p!J220="","",IF(VALUE(LEFT(Protokoll_4p!J220,FIND(":",Protokoll_4p!J220)-1))&gt;VALUE(RIGHT(Protokoll_4p!J220,LEN(Protokoll_4p!J220)-FIND(":",Protokoll_4p!J220))),1,0))</f>
        <v/>
      </c>
      <c r="G254" s="1" t="str">
        <f t="shared" si="6"/>
        <v/>
      </c>
      <c r="I254" s="1" t="str">
        <f>IF(Protokoll_4p!F220="","",IF(VALUE(LEFT(Protokoll_4p!F220,FIND(":",Protokoll_4p!F220)-1))&gt;VALUE(RIGHT(Protokoll_4p!F220,LEN(Protokoll_4p!F220)-FIND(":",Protokoll_4p!F220))),0,1))</f>
        <v/>
      </c>
      <c r="J254" s="1" t="str">
        <f>IF(Protokoll_4p!G220="","",IF(VALUE(LEFT(Protokoll_4p!G220,FIND(":",Protokoll_4p!G220)-1))&gt;VALUE(RIGHT(Protokoll_4p!G220,LEN(Protokoll_4p!G220)-FIND(":",Protokoll_4p!G220))),0,1))</f>
        <v/>
      </c>
      <c r="K254" s="1" t="str">
        <f>IF(Protokoll_4p!H220="","",IF(VALUE(LEFT(Protokoll_4p!H220,FIND(":",Protokoll_4p!H220)-1))&gt;VALUE(RIGHT(Protokoll_4p!H220,LEN(Protokoll_4p!H220)-FIND(":",Protokoll_4p!H220))),0,1))</f>
        <v/>
      </c>
      <c r="L254" s="1" t="str">
        <f>IF(Protokoll_4p!I220="","",IF(VALUE(LEFT(Protokoll_4p!I220,FIND(":",Protokoll_4p!I220)-1))&gt;VALUE(RIGHT(Protokoll_4p!I220,LEN(Protokoll_4p!I220)-FIND(":",Protokoll_4p!I220))),0,1))</f>
        <v/>
      </c>
      <c r="M254" s="1" t="str">
        <f>IF(Protokoll_4p!J220="","",IF(VALUE(LEFT(Protokoll_4p!J220,FIND(":",Protokoll_4p!J220)-1))&gt;VALUE(RIGHT(Protokoll_4p!J220,LEN(Protokoll_4p!J220)-FIND(":",Protokoll_4p!J220))),0,1))</f>
        <v/>
      </c>
      <c r="N254" s="1" t="str">
        <f t="shared" si="7"/>
        <v/>
      </c>
    </row>
    <row r="255" spans="2:14">
      <c r="B255" s="1" t="str">
        <f>IF(Protokoll_4p!F221="","",IF(VALUE(LEFT(Protokoll_4p!F221,FIND(":",Protokoll_4p!F221)-1))&gt;VALUE(RIGHT(Protokoll_4p!F221,LEN(Protokoll_4p!F221)-FIND(":",Protokoll_4p!F221))),1,0))</f>
        <v/>
      </c>
      <c r="C255" s="1" t="str">
        <f>IF(Protokoll_4p!G221="","",IF(VALUE(LEFT(Protokoll_4p!G221,FIND(":",Protokoll_4p!G221)-1))&gt;VALUE(RIGHT(Protokoll_4p!G221,LEN(Protokoll_4p!G221)-FIND(":",Protokoll_4p!G221))),1,0))</f>
        <v/>
      </c>
      <c r="D255" s="1" t="str">
        <f>IF(Protokoll_4p!H221="","",IF(VALUE(LEFT(Protokoll_4p!H221,FIND(":",Protokoll_4p!H221)-1))&gt;VALUE(RIGHT(Protokoll_4p!H221,LEN(Protokoll_4p!H221)-FIND(":",Protokoll_4p!H221))),1,0))</f>
        <v/>
      </c>
      <c r="E255" s="1" t="str">
        <f>IF(Protokoll_4p!I221="","",IF(VALUE(LEFT(Protokoll_4p!I221,FIND(":",Protokoll_4p!I221)-1))&gt;VALUE(RIGHT(Protokoll_4p!I221,LEN(Protokoll_4p!I221)-FIND(":",Protokoll_4p!I221))),1,0))</f>
        <v/>
      </c>
      <c r="F255" s="1" t="str">
        <f>IF(Protokoll_4p!J221="","",IF(VALUE(LEFT(Protokoll_4p!J221,FIND(":",Protokoll_4p!J221)-1))&gt;VALUE(RIGHT(Protokoll_4p!J221,LEN(Protokoll_4p!J221)-FIND(":",Protokoll_4p!J221))),1,0))</f>
        <v/>
      </c>
      <c r="G255" s="1" t="str">
        <f t="shared" si="6"/>
        <v/>
      </c>
      <c r="I255" s="1" t="str">
        <f>IF(Protokoll_4p!F221="","",IF(VALUE(LEFT(Protokoll_4p!F221,FIND(":",Protokoll_4p!F221)-1))&gt;VALUE(RIGHT(Protokoll_4p!F221,LEN(Protokoll_4p!F221)-FIND(":",Protokoll_4p!F221))),0,1))</f>
        <v/>
      </c>
      <c r="J255" s="1" t="str">
        <f>IF(Protokoll_4p!G221="","",IF(VALUE(LEFT(Protokoll_4p!G221,FIND(":",Protokoll_4p!G221)-1))&gt;VALUE(RIGHT(Protokoll_4p!G221,LEN(Protokoll_4p!G221)-FIND(":",Protokoll_4p!G221))),0,1))</f>
        <v/>
      </c>
      <c r="K255" s="1" t="str">
        <f>IF(Protokoll_4p!H221="","",IF(VALUE(LEFT(Protokoll_4p!H221,FIND(":",Protokoll_4p!H221)-1))&gt;VALUE(RIGHT(Protokoll_4p!H221,LEN(Protokoll_4p!H221)-FIND(":",Protokoll_4p!H221))),0,1))</f>
        <v/>
      </c>
      <c r="L255" s="1" t="str">
        <f>IF(Protokoll_4p!I221="","",IF(VALUE(LEFT(Protokoll_4p!I221,FIND(":",Protokoll_4p!I221)-1))&gt;VALUE(RIGHT(Protokoll_4p!I221,LEN(Protokoll_4p!I221)-FIND(":",Protokoll_4p!I221))),0,1))</f>
        <v/>
      </c>
      <c r="M255" s="1" t="str">
        <f>IF(Protokoll_4p!J221="","",IF(VALUE(LEFT(Protokoll_4p!J221,FIND(":",Protokoll_4p!J221)-1))&gt;VALUE(RIGHT(Protokoll_4p!J221,LEN(Protokoll_4p!J221)-FIND(":",Protokoll_4p!J221))),0,1))</f>
        <v/>
      </c>
      <c r="N255" s="1" t="str">
        <f t="shared" si="7"/>
        <v/>
      </c>
    </row>
    <row r="256" spans="2:14">
      <c r="B256" s="1" t="str">
        <f>IF(Protokoll_4p!F222="","",IF(VALUE(LEFT(Protokoll_4p!F222,FIND(":",Protokoll_4p!F222)-1))&gt;VALUE(RIGHT(Protokoll_4p!F222,LEN(Protokoll_4p!F222)-FIND(":",Protokoll_4p!F222))),1,0))</f>
        <v/>
      </c>
      <c r="C256" s="1" t="str">
        <f>IF(Protokoll_4p!G222="","",IF(VALUE(LEFT(Protokoll_4p!G222,FIND(":",Protokoll_4p!G222)-1))&gt;VALUE(RIGHT(Protokoll_4p!G222,LEN(Protokoll_4p!G222)-FIND(":",Protokoll_4p!G222))),1,0))</f>
        <v/>
      </c>
      <c r="D256" s="1" t="str">
        <f>IF(Protokoll_4p!H222="","",IF(VALUE(LEFT(Protokoll_4p!H222,FIND(":",Protokoll_4p!H222)-1))&gt;VALUE(RIGHT(Protokoll_4p!H222,LEN(Protokoll_4p!H222)-FIND(":",Protokoll_4p!H222))),1,0))</f>
        <v/>
      </c>
      <c r="E256" s="1" t="str">
        <f>IF(Protokoll_4p!I222="","",IF(VALUE(LEFT(Protokoll_4p!I222,FIND(":",Protokoll_4p!I222)-1))&gt;VALUE(RIGHT(Protokoll_4p!I222,LEN(Protokoll_4p!I222)-FIND(":",Protokoll_4p!I222))),1,0))</f>
        <v/>
      </c>
      <c r="F256" s="1" t="str">
        <f>IF(Protokoll_4p!J222="","",IF(VALUE(LEFT(Protokoll_4p!J222,FIND(":",Protokoll_4p!J222)-1))&gt;VALUE(RIGHT(Protokoll_4p!J222,LEN(Protokoll_4p!J222)-FIND(":",Protokoll_4p!J222))),1,0))</f>
        <v/>
      </c>
      <c r="G256" s="1" t="str">
        <f t="shared" si="6"/>
        <v/>
      </c>
      <c r="I256" s="1" t="str">
        <f>IF(Protokoll_4p!F222="","",IF(VALUE(LEFT(Protokoll_4p!F222,FIND(":",Protokoll_4p!F222)-1))&gt;VALUE(RIGHT(Protokoll_4p!F222,LEN(Protokoll_4p!F222)-FIND(":",Protokoll_4p!F222))),0,1))</f>
        <v/>
      </c>
      <c r="J256" s="1" t="str">
        <f>IF(Protokoll_4p!G222="","",IF(VALUE(LEFT(Protokoll_4p!G222,FIND(":",Protokoll_4p!G222)-1))&gt;VALUE(RIGHT(Protokoll_4p!G222,LEN(Protokoll_4p!G222)-FIND(":",Protokoll_4p!G222))),0,1))</f>
        <v/>
      </c>
      <c r="K256" s="1" t="str">
        <f>IF(Protokoll_4p!H222="","",IF(VALUE(LEFT(Protokoll_4p!H222,FIND(":",Protokoll_4p!H222)-1))&gt;VALUE(RIGHT(Protokoll_4p!H222,LEN(Protokoll_4p!H222)-FIND(":",Protokoll_4p!H222))),0,1))</f>
        <v/>
      </c>
      <c r="L256" s="1" t="str">
        <f>IF(Protokoll_4p!I222="","",IF(VALUE(LEFT(Protokoll_4p!I222,FIND(":",Protokoll_4p!I222)-1))&gt;VALUE(RIGHT(Protokoll_4p!I222,LEN(Protokoll_4p!I222)-FIND(":",Protokoll_4p!I222))),0,1))</f>
        <v/>
      </c>
      <c r="M256" s="1" t="str">
        <f>IF(Protokoll_4p!J222="","",IF(VALUE(LEFT(Protokoll_4p!J222,FIND(":",Protokoll_4p!J222)-1))&gt;VALUE(RIGHT(Protokoll_4p!J222,LEN(Protokoll_4p!J222)-FIND(":",Protokoll_4p!J222))),0,1))</f>
        <v/>
      </c>
      <c r="N256" s="1" t="str">
        <f t="shared" si="7"/>
        <v/>
      </c>
    </row>
    <row r="257" spans="2:14">
      <c r="B257" s="1" t="str">
        <f>IF(Protokoll_4p!F223="","",IF(VALUE(LEFT(Protokoll_4p!F223,FIND(":",Protokoll_4p!F223)-1))&gt;VALUE(RIGHT(Protokoll_4p!F223,LEN(Protokoll_4p!F223)-FIND(":",Protokoll_4p!F223))),1,0))</f>
        <v/>
      </c>
      <c r="C257" s="1" t="str">
        <f>IF(Protokoll_4p!G223="","",IF(VALUE(LEFT(Protokoll_4p!G223,FIND(":",Protokoll_4p!G223)-1))&gt;VALUE(RIGHT(Protokoll_4p!G223,LEN(Protokoll_4p!G223)-FIND(":",Protokoll_4p!G223))),1,0))</f>
        <v/>
      </c>
      <c r="D257" s="1" t="str">
        <f>IF(Protokoll_4p!H223="","",IF(VALUE(LEFT(Protokoll_4p!H223,FIND(":",Protokoll_4p!H223)-1))&gt;VALUE(RIGHT(Protokoll_4p!H223,LEN(Protokoll_4p!H223)-FIND(":",Protokoll_4p!H223))),1,0))</f>
        <v/>
      </c>
      <c r="E257" s="1" t="str">
        <f>IF(Protokoll_4p!I223="","",IF(VALUE(LEFT(Protokoll_4p!I223,FIND(":",Protokoll_4p!I223)-1))&gt;VALUE(RIGHT(Protokoll_4p!I223,LEN(Protokoll_4p!I223)-FIND(":",Protokoll_4p!I223))),1,0))</f>
        <v/>
      </c>
      <c r="F257" s="1" t="str">
        <f>IF(Protokoll_4p!J223="","",IF(VALUE(LEFT(Protokoll_4p!J223,FIND(":",Protokoll_4p!J223)-1))&gt;VALUE(RIGHT(Protokoll_4p!J223,LEN(Protokoll_4p!J223)-FIND(":",Protokoll_4p!J223))),1,0))</f>
        <v/>
      </c>
      <c r="G257" s="1" t="str">
        <f t="shared" si="6"/>
        <v/>
      </c>
      <c r="I257" s="1" t="str">
        <f>IF(Protokoll_4p!F223="","",IF(VALUE(LEFT(Protokoll_4p!F223,FIND(":",Protokoll_4p!F223)-1))&gt;VALUE(RIGHT(Protokoll_4p!F223,LEN(Protokoll_4p!F223)-FIND(":",Protokoll_4p!F223))),0,1))</f>
        <v/>
      </c>
      <c r="J257" s="1" t="str">
        <f>IF(Protokoll_4p!G223="","",IF(VALUE(LEFT(Protokoll_4p!G223,FIND(":",Protokoll_4p!G223)-1))&gt;VALUE(RIGHT(Protokoll_4p!G223,LEN(Protokoll_4p!G223)-FIND(":",Protokoll_4p!G223))),0,1))</f>
        <v/>
      </c>
      <c r="K257" s="1" t="str">
        <f>IF(Protokoll_4p!H223="","",IF(VALUE(LEFT(Protokoll_4p!H223,FIND(":",Protokoll_4p!H223)-1))&gt;VALUE(RIGHT(Protokoll_4p!H223,LEN(Protokoll_4p!H223)-FIND(":",Protokoll_4p!H223))),0,1))</f>
        <v/>
      </c>
      <c r="L257" s="1" t="str">
        <f>IF(Protokoll_4p!I223="","",IF(VALUE(LEFT(Protokoll_4p!I223,FIND(":",Protokoll_4p!I223)-1))&gt;VALUE(RIGHT(Protokoll_4p!I223,LEN(Protokoll_4p!I223)-FIND(":",Protokoll_4p!I223))),0,1))</f>
        <v/>
      </c>
      <c r="M257" s="1" t="str">
        <f>IF(Protokoll_4p!J223="","",IF(VALUE(LEFT(Protokoll_4p!J223,FIND(":",Protokoll_4p!J223)-1))&gt;VALUE(RIGHT(Protokoll_4p!J223,LEN(Protokoll_4p!J223)-FIND(":",Protokoll_4p!J223))),0,1))</f>
        <v/>
      </c>
      <c r="N257" s="1" t="str">
        <f t="shared" si="7"/>
        <v/>
      </c>
    </row>
    <row r="258" spans="2:14">
      <c r="B258" s="1" t="str">
        <f>IF(Protokoll_4p!F224="","",IF(VALUE(LEFT(Protokoll_4p!F224,FIND(":",Protokoll_4p!F224)-1))&gt;VALUE(RIGHT(Protokoll_4p!F224,LEN(Protokoll_4p!F224)-FIND(":",Protokoll_4p!F224))),1,0))</f>
        <v/>
      </c>
      <c r="C258" s="1" t="str">
        <f>IF(Protokoll_4p!G224="","",IF(VALUE(LEFT(Protokoll_4p!G224,FIND(":",Protokoll_4p!G224)-1))&gt;VALUE(RIGHT(Protokoll_4p!G224,LEN(Protokoll_4p!G224)-FIND(":",Protokoll_4p!G224))),1,0))</f>
        <v/>
      </c>
      <c r="D258" s="1" t="str">
        <f>IF(Protokoll_4p!H224="","",IF(VALUE(LEFT(Protokoll_4p!H224,FIND(":",Protokoll_4p!H224)-1))&gt;VALUE(RIGHT(Protokoll_4p!H224,LEN(Protokoll_4p!H224)-FIND(":",Protokoll_4p!H224))),1,0))</f>
        <v/>
      </c>
      <c r="E258" s="1" t="str">
        <f>IF(Protokoll_4p!I224="","",IF(VALUE(LEFT(Protokoll_4p!I224,FIND(":",Protokoll_4p!I224)-1))&gt;VALUE(RIGHT(Protokoll_4p!I224,LEN(Protokoll_4p!I224)-FIND(":",Protokoll_4p!I224))),1,0))</f>
        <v/>
      </c>
      <c r="F258" s="1" t="str">
        <f>IF(Protokoll_4p!J224="","",IF(VALUE(LEFT(Protokoll_4p!J224,FIND(":",Protokoll_4p!J224)-1))&gt;VALUE(RIGHT(Protokoll_4p!J224,LEN(Protokoll_4p!J224)-FIND(":",Protokoll_4p!J224))),1,0))</f>
        <v/>
      </c>
      <c r="G258" s="1" t="str">
        <f t="shared" si="6"/>
        <v/>
      </c>
      <c r="I258" s="1" t="str">
        <f>IF(Protokoll_4p!F224="","",IF(VALUE(LEFT(Protokoll_4p!F224,FIND(":",Protokoll_4p!F224)-1))&gt;VALUE(RIGHT(Protokoll_4p!F224,LEN(Protokoll_4p!F224)-FIND(":",Protokoll_4p!F224))),0,1))</f>
        <v/>
      </c>
      <c r="J258" s="1" t="str">
        <f>IF(Protokoll_4p!G224="","",IF(VALUE(LEFT(Protokoll_4p!G224,FIND(":",Protokoll_4p!G224)-1))&gt;VALUE(RIGHT(Protokoll_4p!G224,LEN(Protokoll_4p!G224)-FIND(":",Protokoll_4p!G224))),0,1))</f>
        <v/>
      </c>
      <c r="K258" s="1" t="str">
        <f>IF(Protokoll_4p!H224="","",IF(VALUE(LEFT(Protokoll_4p!H224,FIND(":",Protokoll_4p!H224)-1))&gt;VALUE(RIGHT(Protokoll_4p!H224,LEN(Protokoll_4p!H224)-FIND(":",Protokoll_4p!H224))),0,1))</f>
        <v/>
      </c>
      <c r="L258" s="1" t="str">
        <f>IF(Protokoll_4p!I224="","",IF(VALUE(LEFT(Protokoll_4p!I224,FIND(":",Protokoll_4p!I224)-1))&gt;VALUE(RIGHT(Protokoll_4p!I224,LEN(Protokoll_4p!I224)-FIND(":",Protokoll_4p!I224))),0,1))</f>
        <v/>
      </c>
      <c r="M258" s="1" t="str">
        <f>IF(Protokoll_4p!J224="","",IF(VALUE(LEFT(Protokoll_4p!J224,FIND(":",Protokoll_4p!J224)-1))&gt;VALUE(RIGHT(Protokoll_4p!J224,LEN(Protokoll_4p!J224)-FIND(":",Protokoll_4p!J224))),0,1))</f>
        <v/>
      </c>
      <c r="N258" s="1" t="str">
        <f t="shared" si="7"/>
        <v/>
      </c>
    </row>
    <row r="259" spans="2:14">
      <c r="B259" s="1" t="str">
        <f>IF(Protokoll_4p!F225="","",IF(VALUE(LEFT(Protokoll_4p!F225,FIND(":",Protokoll_4p!F225)-1))&gt;VALUE(RIGHT(Protokoll_4p!F225,LEN(Protokoll_4p!F225)-FIND(":",Protokoll_4p!F225))),1,0))</f>
        <v/>
      </c>
      <c r="C259" s="1" t="str">
        <f>IF(Protokoll_4p!G225="","",IF(VALUE(LEFT(Protokoll_4p!G225,FIND(":",Protokoll_4p!G225)-1))&gt;VALUE(RIGHT(Protokoll_4p!G225,LEN(Protokoll_4p!G225)-FIND(":",Protokoll_4p!G225))),1,0))</f>
        <v/>
      </c>
      <c r="D259" s="1" t="str">
        <f>IF(Protokoll_4p!H225="","",IF(VALUE(LEFT(Protokoll_4p!H225,FIND(":",Protokoll_4p!H225)-1))&gt;VALUE(RIGHT(Protokoll_4p!H225,LEN(Protokoll_4p!H225)-FIND(":",Protokoll_4p!H225))),1,0))</f>
        <v/>
      </c>
      <c r="E259" s="1" t="str">
        <f>IF(Protokoll_4p!I225="","",IF(VALUE(LEFT(Protokoll_4p!I225,FIND(":",Protokoll_4p!I225)-1))&gt;VALUE(RIGHT(Protokoll_4p!I225,LEN(Protokoll_4p!I225)-FIND(":",Protokoll_4p!I225))),1,0))</f>
        <v/>
      </c>
      <c r="F259" s="1" t="str">
        <f>IF(Protokoll_4p!J225="","",IF(VALUE(LEFT(Protokoll_4p!J225,FIND(":",Protokoll_4p!J225)-1))&gt;VALUE(RIGHT(Protokoll_4p!J225,LEN(Protokoll_4p!J225)-FIND(":",Protokoll_4p!J225))),1,0))</f>
        <v/>
      </c>
      <c r="G259" s="1" t="str">
        <f t="shared" ref="G259:G286" si="8">IF(B259="","",SUM(B259:F259))</f>
        <v/>
      </c>
      <c r="I259" s="1" t="str">
        <f>IF(Protokoll_4p!F225="","",IF(VALUE(LEFT(Protokoll_4p!F225,FIND(":",Protokoll_4p!F225)-1))&gt;VALUE(RIGHT(Protokoll_4p!F225,LEN(Protokoll_4p!F225)-FIND(":",Protokoll_4p!F225))),0,1))</f>
        <v/>
      </c>
      <c r="J259" s="1" t="str">
        <f>IF(Protokoll_4p!G225="","",IF(VALUE(LEFT(Protokoll_4p!G225,FIND(":",Protokoll_4p!G225)-1))&gt;VALUE(RIGHT(Protokoll_4p!G225,LEN(Protokoll_4p!G225)-FIND(":",Protokoll_4p!G225))),0,1))</f>
        <v/>
      </c>
      <c r="K259" s="1" t="str">
        <f>IF(Protokoll_4p!H225="","",IF(VALUE(LEFT(Protokoll_4p!H225,FIND(":",Protokoll_4p!H225)-1))&gt;VALUE(RIGHT(Protokoll_4p!H225,LEN(Protokoll_4p!H225)-FIND(":",Protokoll_4p!H225))),0,1))</f>
        <v/>
      </c>
      <c r="L259" s="1" t="str">
        <f>IF(Protokoll_4p!I225="","",IF(VALUE(LEFT(Protokoll_4p!I225,FIND(":",Protokoll_4p!I225)-1))&gt;VALUE(RIGHT(Protokoll_4p!I225,LEN(Protokoll_4p!I225)-FIND(":",Protokoll_4p!I225))),0,1))</f>
        <v/>
      </c>
      <c r="M259" s="1" t="str">
        <f>IF(Protokoll_4p!J225="","",IF(VALUE(LEFT(Protokoll_4p!J225,FIND(":",Protokoll_4p!J225)-1))&gt;VALUE(RIGHT(Protokoll_4p!J225,LEN(Protokoll_4p!J225)-FIND(":",Protokoll_4p!J225))),0,1))</f>
        <v/>
      </c>
      <c r="N259" s="1" t="str">
        <f t="shared" ref="N259:N286" si="9">IF(I259="","",SUM(I259:M259))</f>
        <v/>
      </c>
    </row>
    <row r="260" spans="2:14">
      <c r="B260" s="1" t="str">
        <f>IF(Protokoll_4p!F226="","",IF(VALUE(LEFT(Protokoll_4p!F226,FIND(":",Protokoll_4p!F226)-1))&gt;VALUE(RIGHT(Protokoll_4p!F226,LEN(Protokoll_4p!F226)-FIND(":",Protokoll_4p!F226))),1,0))</f>
        <v/>
      </c>
      <c r="C260" s="1" t="str">
        <f>IF(Protokoll_4p!G226="","",IF(VALUE(LEFT(Protokoll_4p!G226,FIND(":",Protokoll_4p!G226)-1))&gt;VALUE(RIGHT(Protokoll_4p!G226,LEN(Protokoll_4p!G226)-FIND(":",Protokoll_4p!G226))),1,0))</f>
        <v/>
      </c>
      <c r="D260" s="1" t="str">
        <f>IF(Protokoll_4p!H226="","",IF(VALUE(LEFT(Protokoll_4p!H226,FIND(":",Protokoll_4p!H226)-1))&gt;VALUE(RIGHT(Protokoll_4p!H226,LEN(Protokoll_4p!H226)-FIND(":",Protokoll_4p!H226))),1,0))</f>
        <v/>
      </c>
      <c r="E260" s="1" t="str">
        <f>IF(Protokoll_4p!I226="","",IF(VALUE(LEFT(Protokoll_4p!I226,FIND(":",Protokoll_4p!I226)-1))&gt;VALUE(RIGHT(Protokoll_4p!I226,LEN(Protokoll_4p!I226)-FIND(":",Protokoll_4p!I226))),1,0))</f>
        <v/>
      </c>
      <c r="F260" s="1" t="str">
        <f>IF(Protokoll_4p!J226="","",IF(VALUE(LEFT(Protokoll_4p!J226,FIND(":",Protokoll_4p!J226)-1))&gt;VALUE(RIGHT(Protokoll_4p!J226,LEN(Protokoll_4p!J226)-FIND(":",Protokoll_4p!J226))),1,0))</f>
        <v/>
      </c>
      <c r="G260" s="1" t="str">
        <f t="shared" si="8"/>
        <v/>
      </c>
      <c r="I260" s="1" t="str">
        <f>IF(Protokoll_4p!F226="","",IF(VALUE(LEFT(Protokoll_4p!F226,FIND(":",Protokoll_4p!F226)-1))&gt;VALUE(RIGHT(Protokoll_4p!F226,LEN(Protokoll_4p!F226)-FIND(":",Protokoll_4p!F226))),0,1))</f>
        <v/>
      </c>
      <c r="J260" s="1" t="str">
        <f>IF(Protokoll_4p!G226="","",IF(VALUE(LEFT(Protokoll_4p!G226,FIND(":",Protokoll_4p!G226)-1))&gt;VALUE(RIGHT(Protokoll_4p!G226,LEN(Protokoll_4p!G226)-FIND(":",Protokoll_4p!G226))),0,1))</f>
        <v/>
      </c>
      <c r="K260" s="1" t="str">
        <f>IF(Protokoll_4p!H226="","",IF(VALUE(LEFT(Protokoll_4p!H226,FIND(":",Protokoll_4p!H226)-1))&gt;VALUE(RIGHT(Protokoll_4p!H226,LEN(Protokoll_4p!H226)-FIND(":",Protokoll_4p!H226))),0,1))</f>
        <v/>
      </c>
      <c r="L260" s="1" t="str">
        <f>IF(Protokoll_4p!I226="","",IF(VALUE(LEFT(Protokoll_4p!I226,FIND(":",Protokoll_4p!I226)-1))&gt;VALUE(RIGHT(Protokoll_4p!I226,LEN(Protokoll_4p!I226)-FIND(":",Protokoll_4p!I226))),0,1))</f>
        <v/>
      </c>
      <c r="M260" s="1" t="str">
        <f>IF(Protokoll_4p!J226="","",IF(VALUE(LEFT(Protokoll_4p!J226,FIND(":",Protokoll_4p!J226)-1))&gt;VALUE(RIGHT(Protokoll_4p!J226,LEN(Protokoll_4p!J226)-FIND(":",Protokoll_4p!J226))),0,1))</f>
        <v/>
      </c>
      <c r="N260" s="1" t="str">
        <f t="shared" si="9"/>
        <v/>
      </c>
    </row>
    <row r="261" spans="2:14">
      <c r="B261" s="1" t="str">
        <f>IF(Protokoll_4p!F227="","",IF(VALUE(LEFT(Protokoll_4p!F227,FIND(":",Protokoll_4p!F227)-1))&gt;VALUE(RIGHT(Protokoll_4p!F227,LEN(Protokoll_4p!F227)-FIND(":",Protokoll_4p!F227))),1,0))</f>
        <v/>
      </c>
      <c r="C261" s="1" t="str">
        <f>IF(Protokoll_4p!G227="","",IF(VALUE(LEFT(Protokoll_4p!G227,FIND(":",Protokoll_4p!G227)-1))&gt;VALUE(RIGHT(Protokoll_4p!G227,LEN(Protokoll_4p!G227)-FIND(":",Protokoll_4p!G227))),1,0))</f>
        <v/>
      </c>
      <c r="D261" s="1" t="str">
        <f>IF(Protokoll_4p!H227="","",IF(VALUE(LEFT(Protokoll_4p!H227,FIND(":",Protokoll_4p!H227)-1))&gt;VALUE(RIGHT(Protokoll_4p!H227,LEN(Protokoll_4p!H227)-FIND(":",Protokoll_4p!H227))),1,0))</f>
        <v/>
      </c>
      <c r="E261" s="1" t="str">
        <f>IF(Protokoll_4p!I227="","",IF(VALUE(LEFT(Protokoll_4p!I227,FIND(":",Protokoll_4p!I227)-1))&gt;VALUE(RIGHT(Protokoll_4p!I227,LEN(Protokoll_4p!I227)-FIND(":",Protokoll_4p!I227))),1,0))</f>
        <v/>
      </c>
      <c r="F261" s="1" t="str">
        <f>IF(Protokoll_4p!J227="","",IF(VALUE(LEFT(Protokoll_4p!J227,FIND(":",Protokoll_4p!J227)-1))&gt;VALUE(RIGHT(Protokoll_4p!J227,LEN(Protokoll_4p!J227)-FIND(":",Protokoll_4p!J227))),1,0))</f>
        <v/>
      </c>
      <c r="G261" s="1" t="str">
        <f t="shared" si="8"/>
        <v/>
      </c>
      <c r="I261" s="1" t="str">
        <f>IF(Protokoll_4p!F227="","",IF(VALUE(LEFT(Protokoll_4p!F227,FIND(":",Protokoll_4p!F227)-1))&gt;VALUE(RIGHT(Protokoll_4p!F227,LEN(Protokoll_4p!F227)-FIND(":",Protokoll_4p!F227))),0,1))</f>
        <v/>
      </c>
      <c r="J261" s="1" t="str">
        <f>IF(Protokoll_4p!G227="","",IF(VALUE(LEFT(Protokoll_4p!G227,FIND(":",Protokoll_4p!G227)-1))&gt;VALUE(RIGHT(Protokoll_4p!G227,LEN(Protokoll_4p!G227)-FIND(":",Protokoll_4p!G227))),0,1))</f>
        <v/>
      </c>
      <c r="K261" s="1" t="str">
        <f>IF(Protokoll_4p!H227="","",IF(VALUE(LEFT(Protokoll_4p!H227,FIND(":",Protokoll_4p!H227)-1))&gt;VALUE(RIGHT(Protokoll_4p!H227,LEN(Protokoll_4p!H227)-FIND(":",Protokoll_4p!H227))),0,1))</f>
        <v/>
      </c>
      <c r="L261" s="1" t="str">
        <f>IF(Protokoll_4p!I227="","",IF(VALUE(LEFT(Protokoll_4p!I227,FIND(":",Protokoll_4p!I227)-1))&gt;VALUE(RIGHT(Protokoll_4p!I227,LEN(Protokoll_4p!I227)-FIND(":",Protokoll_4p!I227))),0,1))</f>
        <v/>
      </c>
      <c r="M261" s="1" t="str">
        <f>IF(Protokoll_4p!J227="","",IF(VALUE(LEFT(Protokoll_4p!J227,FIND(":",Protokoll_4p!J227)-1))&gt;VALUE(RIGHT(Protokoll_4p!J227,LEN(Protokoll_4p!J227)-FIND(":",Protokoll_4p!J227))),0,1))</f>
        <v/>
      </c>
      <c r="N261" s="1" t="str">
        <f t="shared" si="9"/>
        <v/>
      </c>
    </row>
    <row r="262" spans="2:14">
      <c r="B262" s="1" t="str">
        <f>IF(Protokoll_4p!F228="","",IF(VALUE(LEFT(Protokoll_4p!F228,FIND(":",Protokoll_4p!F228)-1))&gt;VALUE(RIGHT(Protokoll_4p!F228,LEN(Protokoll_4p!F228)-FIND(":",Protokoll_4p!F228))),1,0))</f>
        <v/>
      </c>
      <c r="C262" s="1" t="str">
        <f>IF(Protokoll_4p!G228="","",IF(VALUE(LEFT(Protokoll_4p!G228,FIND(":",Protokoll_4p!G228)-1))&gt;VALUE(RIGHT(Protokoll_4p!G228,LEN(Protokoll_4p!G228)-FIND(":",Protokoll_4p!G228))),1,0))</f>
        <v/>
      </c>
      <c r="D262" s="1" t="str">
        <f>IF(Protokoll_4p!H228="","",IF(VALUE(LEFT(Protokoll_4p!H228,FIND(":",Protokoll_4p!H228)-1))&gt;VALUE(RIGHT(Protokoll_4p!H228,LEN(Protokoll_4p!H228)-FIND(":",Protokoll_4p!H228))),1,0))</f>
        <v/>
      </c>
      <c r="E262" s="1" t="str">
        <f>IF(Protokoll_4p!I228="","",IF(VALUE(LEFT(Protokoll_4p!I228,FIND(":",Protokoll_4p!I228)-1))&gt;VALUE(RIGHT(Protokoll_4p!I228,LEN(Protokoll_4p!I228)-FIND(":",Protokoll_4p!I228))),1,0))</f>
        <v/>
      </c>
      <c r="F262" s="1" t="str">
        <f>IF(Protokoll_4p!J228="","",IF(VALUE(LEFT(Protokoll_4p!J228,FIND(":",Protokoll_4p!J228)-1))&gt;VALUE(RIGHT(Protokoll_4p!J228,LEN(Protokoll_4p!J228)-FIND(":",Protokoll_4p!J228))),1,0))</f>
        <v/>
      </c>
      <c r="G262" s="1" t="str">
        <f t="shared" si="8"/>
        <v/>
      </c>
      <c r="I262" s="1" t="str">
        <f>IF(Protokoll_4p!F228="","",IF(VALUE(LEFT(Protokoll_4p!F228,FIND(":",Protokoll_4p!F228)-1))&gt;VALUE(RIGHT(Protokoll_4p!F228,LEN(Protokoll_4p!F228)-FIND(":",Protokoll_4p!F228))),0,1))</f>
        <v/>
      </c>
      <c r="J262" s="1" t="str">
        <f>IF(Protokoll_4p!G228="","",IF(VALUE(LEFT(Protokoll_4p!G228,FIND(":",Protokoll_4p!G228)-1))&gt;VALUE(RIGHT(Protokoll_4p!G228,LEN(Protokoll_4p!G228)-FIND(":",Protokoll_4p!G228))),0,1))</f>
        <v/>
      </c>
      <c r="K262" s="1" t="str">
        <f>IF(Protokoll_4p!H228="","",IF(VALUE(LEFT(Protokoll_4p!H228,FIND(":",Protokoll_4p!H228)-1))&gt;VALUE(RIGHT(Protokoll_4p!H228,LEN(Protokoll_4p!H228)-FIND(":",Protokoll_4p!H228))),0,1))</f>
        <v/>
      </c>
      <c r="L262" s="1" t="str">
        <f>IF(Protokoll_4p!I228="","",IF(VALUE(LEFT(Protokoll_4p!I228,FIND(":",Protokoll_4p!I228)-1))&gt;VALUE(RIGHT(Protokoll_4p!I228,LEN(Protokoll_4p!I228)-FIND(":",Protokoll_4p!I228))),0,1))</f>
        <v/>
      </c>
      <c r="M262" s="1" t="str">
        <f>IF(Protokoll_4p!J228="","",IF(VALUE(LEFT(Protokoll_4p!J228,FIND(":",Protokoll_4p!J228)-1))&gt;VALUE(RIGHT(Protokoll_4p!J228,LEN(Protokoll_4p!J228)-FIND(":",Protokoll_4p!J228))),0,1))</f>
        <v/>
      </c>
      <c r="N262" s="1" t="str">
        <f t="shared" si="9"/>
        <v/>
      </c>
    </row>
    <row r="263" spans="2:14">
      <c r="B263" s="1" t="str">
        <f>IF(Protokoll_4p!F229="","",IF(VALUE(LEFT(Protokoll_4p!F229,FIND(":",Protokoll_4p!F229)-1))&gt;VALUE(RIGHT(Protokoll_4p!F229,LEN(Protokoll_4p!F229)-FIND(":",Protokoll_4p!F229))),1,0))</f>
        <v/>
      </c>
      <c r="C263" s="1" t="str">
        <f>IF(Protokoll_4p!G229="","",IF(VALUE(LEFT(Protokoll_4p!G229,FIND(":",Protokoll_4p!G229)-1))&gt;VALUE(RIGHT(Protokoll_4p!G229,LEN(Protokoll_4p!G229)-FIND(":",Protokoll_4p!G229))),1,0))</f>
        <v/>
      </c>
      <c r="D263" s="1" t="str">
        <f>IF(Protokoll_4p!H229="","",IF(VALUE(LEFT(Protokoll_4p!H229,FIND(":",Protokoll_4p!H229)-1))&gt;VALUE(RIGHT(Protokoll_4p!H229,LEN(Protokoll_4p!H229)-FIND(":",Protokoll_4p!H229))),1,0))</f>
        <v/>
      </c>
      <c r="E263" s="1" t="str">
        <f>IF(Protokoll_4p!I229="","",IF(VALUE(LEFT(Protokoll_4p!I229,FIND(":",Protokoll_4p!I229)-1))&gt;VALUE(RIGHT(Protokoll_4p!I229,LEN(Protokoll_4p!I229)-FIND(":",Protokoll_4p!I229))),1,0))</f>
        <v/>
      </c>
      <c r="F263" s="1" t="str">
        <f>IF(Protokoll_4p!J229="","",IF(VALUE(LEFT(Protokoll_4p!J229,FIND(":",Protokoll_4p!J229)-1))&gt;VALUE(RIGHT(Protokoll_4p!J229,LEN(Protokoll_4p!J229)-FIND(":",Protokoll_4p!J229))),1,0))</f>
        <v/>
      </c>
      <c r="G263" s="1" t="str">
        <f t="shared" si="8"/>
        <v/>
      </c>
      <c r="I263" s="1" t="str">
        <f>IF(Protokoll_4p!F229="","",IF(VALUE(LEFT(Protokoll_4p!F229,FIND(":",Protokoll_4p!F229)-1))&gt;VALUE(RIGHT(Protokoll_4p!F229,LEN(Protokoll_4p!F229)-FIND(":",Protokoll_4p!F229))),0,1))</f>
        <v/>
      </c>
      <c r="J263" s="1" t="str">
        <f>IF(Protokoll_4p!G229="","",IF(VALUE(LEFT(Protokoll_4p!G229,FIND(":",Protokoll_4p!G229)-1))&gt;VALUE(RIGHT(Protokoll_4p!G229,LEN(Protokoll_4p!G229)-FIND(":",Protokoll_4p!G229))),0,1))</f>
        <v/>
      </c>
      <c r="K263" s="1" t="str">
        <f>IF(Protokoll_4p!H229="","",IF(VALUE(LEFT(Protokoll_4p!H229,FIND(":",Protokoll_4p!H229)-1))&gt;VALUE(RIGHT(Protokoll_4p!H229,LEN(Protokoll_4p!H229)-FIND(":",Protokoll_4p!H229))),0,1))</f>
        <v/>
      </c>
      <c r="L263" s="1" t="str">
        <f>IF(Protokoll_4p!I229="","",IF(VALUE(LEFT(Protokoll_4p!I229,FIND(":",Protokoll_4p!I229)-1))&gt;VALUE(RIGHT(Protokoll_4p!I229,LEN(Protokoll_4p!I229)-FIND(":",Protokoll_4p!I229))),0,1))</f>
        <v/>
      </c>
      <c r="M263" s="1" t="str">
        <f>IF(Protokoll_4p!J229="","",IF(VALUE(LEFT(Protokoll_4p!J229,FIND(":",Protokoll_4p!J229)-1))&gt;VALUE(RIGHT(Protokoll_4p!J229,LEN(Protokoll_4p!J229)-FIND(":",Protokoll_4p!J229))),0,1))</f>
        <v/>
      </c>
      <c r="N263" s="1" t="str">
        <f t="shared" si="9"/>
        <v/>
      </c>
    </row>
    <row r="264" spans="2:14">
      <c r="B264" s="1" t="str">
        <f>IF(Protokoll_4p!F230="","",IF(VALUE(LEFT(Protokoll_4p!F230,FIND(":",Protokoll_4p!F230)-1))&gt;VALUE(RIGHT(Protokoll_4p!F230,LEN(Protokoll_4p!F230)-FIND(":",Protokoll_4p!F230))),1,0))</f>
        <v/>
      </c>
      <c r="C264" s="1" t="str">
        <f>IF(Protokoll_4p!G230="","",IF(VALUE(LEFT(Protokoll_4p!G230,FIND(":",Protokoll_4p!G230)-1))&gt;VALUE(RIGHT(Protokoll_4p!G230,LEN(Protokoll_4p!G230)-FIND(":",Protokoll_4p!G230))),1,0))</f>
        <v/>
      </c>
      <c r="D264" s="1" t="str">
        <f>IF(Protokoll_4p!H230="","",IF(VALUE(LEFT(Protokoll_4p!H230,FIND(":",Protokoll_4p!H230)-1))&gt;VALUE(RIGHT(Protokoll_4p!H230,LEN(Protokoll_4p!H230)-FIND(":",Protokoll_4p!H230))),1,0))</f>
        <v/>
      </c>
      <c r="E264" s="1" t="str">
        <f>IF(Protokoll_4p!I230="","",IF(VALUE(LEFT(Protokoll_4p!I230,FIND(":",Protokoll_4p!I230)-1))&gt;VALUE(RIGHT(Protokoll_4p!I230,LEN(Protokoll_4p!I230)-FIND(":",Protokoll_4p!I230))),1,0))</f>
        <v/>
      </c>
      <c r="F264" s="1" t="str">
        <f>IF(Protokoll_4p!J230="","",IF(VALUE(LEFT(Protokoll_4p!J230,FIND(":",Protokoll_4p!J230)-1))&gt;VALUE(RIGHT(Protokoll_4p!J230,LEN(Protokoll_4p!J230)-FIND(":",Protokoll_4p!J230))),1,0))</f>
        <v/>
      </c>
      <c r="G264" s="1" t="str">
        <f t="shared" si="8"/>
        <v/>
      </c>
      <c r="I264" s="1" t="str">
        <f>IF(Protokoll_4p!F230="","",IF(VALUE(LEFT(Protokoll_4p!F230,FIND(":",Protokoll_4p!F230)-1))&gt;VALUE(RIGHT(Protokoll_4p!F230,LEN(Protokoll_4p!F230)-FIND(":",Protokoll_4p!F230))),0,1))</f>
        <v/>
      </c>
      <c r="J264" s="1" t="str">
        <f>IF(Protokoll_4p!G230="","",IF(VALUE(LEFT(Protokoll_4p!G230,FIND(":",Protokoll_4p!G230)-1))&gt;VALUE(RIGHT(Protokoll_4p!G230,LEN(Protokoll_4p!G230)-FIND(":",Protokoll_4p!G230))),0,1))</f>
        <v/>
      </c>
      <c r="K264" s="1" t="str">
        <f>IF(Protokoll_4p!H230="","",IF(VALUE(LEFT(Protokoll_4p!H230,FIND(":",Protokoll_4p!H230)-1))&gt;VALUE(RIGHT(Protokoll_4p!H230,LEN(Protokoll_4p!H230)-FIND(":",Protokoll_4p!H230))),0,1))</f>
        <v/>
      </c>
      <c r="L264" s="1" t="str">
        <f>IF(Protokoll_4p!I230="","",IF(VALUE(LEFT(Protokoll_4p!I230,FIND(":",Protokoll_4p!I230)-1))&gt;VALUE(RIGHT(Protokoll_4p!I230,LEN(Protokoll_4p!I230)-FIND(":",Protokoll_4p!I230))),0,1))</f>
        <v/>
      </c>
      <c r="M264" s="1" t="str">
        <f>IF(Protokoll_4p!J230="","",IF(VALUE(LEFT(Protokoll_4p!J230,FIND(":",Protokoll_4p!J230)-1))&gt;VALUE(RIGHT(Protokoll_4p!J230,LEN(Protokoll_4p!J230)-FIND(":",Protokoll_4p!J230))),0,1))</f>
        <v/>
      </c>
      <c r="N264" s="1" t="str">
        <f t="shared" si="9"/>
        <v/>
      </c>
    </row>
    <row r="265" spans="2:14">
      <c r="B265" s="1" t="str">
        <f>IF(Protokoll_4p!F231="","",IF(VALUE(LEFT(Protokoll_4p!F231,FIND(":",Protokoll_4p!F231)-1))&gt;VALUE(RIGHT(Protokoll_4p!F231,LEN(Protokoll_4p!F231)-FIND(":",Protokoll_4p!F231))),1,0))</f>
        <v/>
      </c>
      <c r="C265" s="1" t="str">
        <f>IF(Protokoll_4p!G231="","",IF(VALUE(LEFT(Protokoll_4p!G231,FIND(":",Protokoll_4p!G231)-1))&gt;VALUE(RIGHT(Protokoll_4p!G231,LEN(Protokoll_4p!G231)-FIND(":",Protokoll_4p!G231))),1,0))</f>
        <v/>
      </c>
      <c r="D265" s="1" t="str">
        <f>IF(Protokoll_4p!H231="","",IF(VALUE(LEFT(Protokoll_4p!H231,FIND(":",Protokoll_4p!H231)-1))&gt;VALUE(RIGHT(Protokoll_4p!H231,LEN(Protokoll_4p!H231)-FIND(":",Protokoll_4p!H231))),1,0))</f>
        <v/>
      </c>
      <c r="E265" s="1" t="str">
        <f>IF(Protokoll_4p!I231="","",IF(VALUE(LEFT(Protokoll_4p!I231,FIND(":",Protokoll_4p!I231)-1))&gt;VALUE(RIGHT(Protokoll_4p!I231,LEN(Protokoll_4p!I231)-FIND(":",Protokoll_4p!I231))),1,0))</f>
        <v/>
      </c>
      <c r="F265" s="1" t="str">
        <f>IF(Protokoll_4p!J231="","",IF(VALUE(LEFT(Protokoll_4p!J231,FIND(":",Protokoll_4p!J231)-1))&gt;VALUE(RIGHT(Protokoll_4p!J231,LEN(Protokoll_4p!J231)-FIND(":",Protokoll_4p!J231))),1,0))</f>
        <v/>
      </c>
      <c r="G265" s="1" t="str">
        <f t="shared" si="8"/>
        <v/>
      </c>
      <c r="I265" s="1" t="str">
        <f>IF(Protokoll_4p!F231="","",IF(VALUE(LEFT(Protokoll_4p!F231,FIND(":",Protokoll_4p!F231)-1))&gt;VALUE(RIGHT(Protokoll_4p!F231,LEN(Protokoll_4p!F231)-FIND(":",Protokoll_4p!F231))),0,1))</f>
        <v/>
      </c>
      <c r="J265" s="1" t="str">
        <f>IF(Protokoll_4p!G231="","",IF(VALUE(LEFT(Protokoll_4p!G231,FIND(":",Protokoll_4p!G231)-1))&gt;VALUE(RIGHT(Protokoll_4p!G231,LEN(Protokoll_4p!G231)-FIND(":",Protokoll_4p!G231))),0,1))</f>
        <v/>
      </c>
      <c r="K265" s="1" t="str">
        <f>IF(Protokoll_4p!H231="","",IF(VALUE(LEFT(Protokoll_4p!H231,FIND(":",Protokoll_4p!H231)-1))&gt;VALUE(RIGHT(Protokoll_4p!H231,LEN(Protokoll_4p!H231)-FIND(":",Protokoll_4p!H231))),0,1))</f>
        <v/>
      </c>
      <c r="L265" s="1" t="str">
        <f>IF(Protokoll_4p!I231="","",IF(VALUE(LEFT(Protokoll_4p!I231,FIND(":",Protokoll_4p!I231)-1))&gt;VALUE(RIGHT(Protokoll_4p!I231,LEN(Protokoll_4p!I231)-FIND(":",Protokoll_4p!I231))),0,1))</f>
        <v/>
      </c>
      <c r="M265" s="1" t="str">
        <f>IF(Protokoll_4p!J231="","",IF(VALUE(LEFT(Protokoll_4p!J231,FIND(":",Protokoll_4p!J231)-1))&gt;VALUE(RIGHT(Protokoll_4p!J231,LEN(Protokoll_4p!J231)-FIND(":",Protokoll_4p!J231))),0,1))</f>
        <v/>
      </c>
      <c r="N265" s="1" t="str">
        <f t="shared" si="9"/>
        <v/>
      </c>
    </row>
    <row r="266" spans="2:14">
      <c r="B266" s="1" t="str">
        <f>IF(Protokoll_4p!F232="","",IF(VALUE(LEFT(Protokoll_4p!F232,FIND(":",Protokoll_4p!F232)-1))&gt;VALUE(RIGHT(Protokoll_4p!F232,LEN(Protokoll_4p!F232)-FIND(":",Protokoll_4p!F232))),1,0))</f>
        <v/>
      </c>
      <c r="C266" s="1" t="str">
        <f>IF(Protokoll_4p!G232="","",IF(VALUE(LEFT(Protokoll_4p!G232,FIND(":",Protokoll_4p!G232)-1))&gt;VALUE(RIGHT(Protokoll_4p!G232,LEN(Protokoll_4p!G232)-FIND(":",Protokoll_4p!G232))),1,0))</f>
        <v/>
      </c>
      <c r="D266" s="1" t="str">
        <f>IF(Protokoll_4p!H232="","",IF(VALUE(LEFT(Protokoll_4p!H232,FIND(":",Protokoll_4p!H232)-1))&gt;VALUE(RIGHT(Protokoll_4p!H232,LEN(Protokoll_4p!H232)-FIND(":",Protokoll_4p!H232))),1,0))</f>
        <v/>
      </c>
      <c r="E266" s="1" t="str">
        <f>IF(Protokoll_4p!I232="","",IF(VALUE(LEFT(Protokoll_4p!I232,FIND(":",Protokoll_4p!I232)-1))&gt;VALUE(RIGHT(Protokoll_4p!I232,LEN(Protokoll_4p!I232)-FIND(":",Protokoll_4p!I232))),1,0))</f>
        <v/>
      </c>
      <c r="F266" s="1" t="str">
        <f>IF(Protokoll_4p!J232="","",IF(VALUE(LEFT(Protokoll_4p!J232,FIND(":",Protokoll_4p!J232)-1))&gt;VALUE(RIGHT(Protokoll_4p!J232,LEN(Protokoll_4p!J232)-FIND(":",Protokoll_4p!J232))),1,0))</f>
        <v/>
      </c>
      <c r="G266" s="1" t="str">
        <f t="shared" si="8"/>
        <v/>
      </c>
      <c r="I266" s="1" t="str">
        <f>IF(Protokoll_4p!F232="","",IF(VALUE(LEFT(Protokoll_4p!F232,FIND(":",Protokoll_4p!F232)-1))&gt;VALUE(RIGHT(Protokoll_4p!F232,LEN(Protokoll_4p!F232)-FIND(":",Protokoll_4p!F232))),0,1))</f>
        <v/>
      </c>
      <c r="J266" s="1" t="str">
        <f>IF(Protokoll_4p!G232="","",IF(VALUE(LEFT(Protokoll_4p!G232,FIND(":",Protokoll_4p!G232)-1))&gt;VALUE(RIGHT(Protokoll_4p!G232,LEN(Protokoll_4p!G232)-FIND(":",Protokoll_4p!G232))),0,1))</f>
        <v/>
      </c>
      <c r="K266" s="1" t="str">
        <f>IF(Protokoll_4p!H232="","",IF(VALUE(LEFT(Protokoll_4p!H232,FIND(":",Protokoll_4p!H232)-1))&gt;VALUE(RIGHT(Protokoll_4p!H232,LEN(Protokoll_4p!H232)-FIND(":",Protokoll_4p!H232))),0,1))</f>
        <v/>
      </c>
      <c r="L266" s="1" t="str">
        <f>IF(Protokoll_4p!I232="","",IF(VALUE(LEFT(Protokoll_4p!I232,FIND(":",Protokoll_4p!I232)-1))&gt;VALUE(RIGHT(Protokoll_4p!I232,LEN(Protokoll_4p!I232)-FIND(":",Protokoll_4p!I232))),0,1))</f>
        <v/>
      </c>
      <c r="M266" s="1" t="str">
        <f>IF(Protokoll_4p!J232="","",IF(VALUE(LEFT(Protokoll_4p!J232,FIND(":",Protokoll_4p!J232)-1))&gt;VALUE(RIGHT(Protokoll_4p!J232,LEN(Protokoll_4p!J232)-FIND(":",Protokoll_4p!J232))),0,1))</f>
        <v/>
      </c>
      <c r="N266" s="1" t="str">
        <f t="shared" si="9"/>
        <v/>
      </c>
    </row>
    <row r="267" spans="2:14">
      <c r="B267" s="1" t="str">
        <f>IF(Protokoll_4p!F233="","",IF(VALUE(LEFT(Protokoll_4p!F233,FIND(":",Protokoll_4p!F233)-1))&gt;VALUE(RIGHT(Protokoll_4p!F233,LEN(Protokoll_4p!F233)-FIND(":",Protokoll_4p!F233))),1,0))</f>
        <v/>
      </c>
      <c r="C267" s="1" t="str">
        <f>IF(Protokoll_4p!G233="","",IF(VALUE(LEFT(Protokoll_4p!G233,FIND(":",Protokoll_4p!G233)-1))&gt;VALUE(RIGHT(Protokoll_4p!G233,LEN(Protokoll_4p!G233)-FIND(":",Protokoll_4p!G233))),1,0))</f>
        <v/>
      </c>
      <c r="D267" s="1" t="str">
        <f>IF(Protokoll_4p!H233="","",IF(VALUE(LEFT(Protokoll_4p!H233,FIND(":",Protokoll_4p!H233)-1))&gt;VALUE(RIGHT(Protokoll_4p!H233,LEN(Protokoll_4p!H233)-FIND(":",Protokoll_4p!H233))),1,0))</f>
        <v/>
      </c>
      <c r="E267" s="1" t="str">
        <f>IF(Protokoll_4p!I233="","",IF(VALUE(LEFT(Protokoll_4p!I233,FIND(":",Protokoll_4p!I233)-1))&gt;VALUE(RIGHT(Protokoll_4p!I233,LEN(Protokoll_4p!I233)-FIND(":",Protokoll_4p!I233))),1,0))</f>
        <v/>
      </c>
      <c r="F267" s="1" t="str">
        <f>IF(Protokoll_4p!J233="","",IF(VALUE(LEFT(Protokoll_4p!J233,FIND(":",Protokoll_4p!J233)-1))&gt;VALUE(RIGHT(Protokoll_4p!J233,LEN(Protokoll_4p!J233)-FIND(":",Protokoll_4p!J233))),1,0))</f>
        <v/>
      </c>
      <c r="G267" s="1" t="str">
        <f t="shared" si="8"/>
        <v/>
      </c>
      <c r="I267" s="1" t="str">
        <f>IF(Protokoll_4p!F233="","",IF(VALUE(LEFT(Protokoll_4p!F233,FIND(":",Protokoll_4p!F233)-1))&gt;VALUE(RIGHT(Protokoll_4p!F233,LEN(Protokoll_4p!F233)-FIND(":",Protokoll_4p!F233))),0,1))</f>
        <v/>
      </c>
      <c r="J267" s="1" t="str">
        <f>IF(Protokoll_4p!G233="","",IF(VALUE(LEFT(Protokoll_4p!G233,FIND(":",Protokoll_4p!G233)-1))&gt;VALUE(RIGHT(Protokoll_4p!G233,LEN(Protokoll_4p!G233)-FIND(":",Protokoll_4p!G233))),0,1))</f>
        <v/>
      </c>
      <c r="K267" s="1" t="str">
        <f>IF(Protokoll_4p!H233="","",IF(VALUE(LEFT(Protokoll_4p!H233,FIND(":",Protokoll_4p!H233)-1))&gt;VALUE(RIGHT(Protokoll_4p!H233,LEN(Protokoll_4p!H233)-FIND(":",Protokoll_4p!H233))),0,1))</f>
        <v/>
      </c>
      <c r="L267" s="1" t="str">
        <f>IF(Protokoll_4p!I233="","",IF(VALUE(LEFT(Protokoll_4p!I233,FIND(":",Protokoll_4p!I233)-1))&gt;VALUE(RIGHT(Protokoll_4p!I233,LEN(Protokoll_4p!I233)-FIND(":",Protokoll_4p!I233))),0,1))</f>
        <v/>
      </c>
      <c r="M267" s="1" t="str">
        <f>IF(Protokoll_4p!J233="","",IF(VALUE(LEFT(Protokoll_4p!J233,FIND(":",Protokoll_4p!J233)-1))&gt;VALUE(RIGHT(Protokoll_4p!J233,LEN(Protokoll_4p!J233)-FIND(":",Protokoll_4p!J233))),0,1))</f>
        <v/>
      </c>
      <c r="N267" s="1" t="str">
        <f t="shared" si="9"/>
        <v/>
      </c>
    </row>
    <row r="268" spans="2:14">
      <c r="B268" s="1" t="str">
        <f>IF(Protokoll_4p!F234="","",IF(VALUE(LEFT(Protokoll_4p!F234,FIND(":",Protokoll_4p!F234)-1))&gt;VALUE(RIGHT(Protokoll_4p!F234,LEN(Protokoll_4p!F234)-FIND(":",Protokoll_4p!F234))),1,0))</f>
        <v/>
      </c>
      <c r="C268" s="1" t="str">
        <f>IF(Protokoll_4p!G234="","",IF(VALUE(LEFT(Protokoll_4p!G234,FIND(":",Protokoll_4p!G234)-1))&gt;VALUE(RIGHT(Protokoll_4p!G234,LEN(Protokoll_4p!G234)-FIND(":",Protokoll_4p!G234))),1,0))</f>
        <v/>
      </c>
      <c r="D268" s="1" t="str">
        <f>IF(Protokoll_4p!H234="","",IF(VALUE(LEFT(Protokoll_4p!H234,FIND(":",Protokoll_4p!H234)-1))&gt;VALUE(RIGHT(Protokoll_4p!H234,LEN(Protokoll_4p!H234)-FIND(":",Protokoll_4p!H234))),1,0))</f>
        <v/>
      </c>
      <c r="E268" s="1" t="str">
        <f>IF(Protokoll_4p!I234="","",IF(VALUE(LEFT(Protokoll_4p!I234,FIND(":",Protokoll_4p!I234)-1))&gt;VALUE(RIGHT(Protokoll_4p!I234,LEN(Protokoll_4p!I234)-FIND(":",Protokoll_4p!I234))),1,0))</f>
        <v/>
      </c>
      <c r="F268" s="1" t="str">
        <f>IF(Protokoll_4p!J234="","",IF(VALUE(LEFT(Protokoll_4p!J234,FIND(":",Protokoll_4p!J234)-1))&gt;VALUE(RIGHT(Protokoll_4p!J234,LEN(Protokoll_4p!J234)-FIND(":",Protokoll_4p!J234))),1,0))</f>
        <v/>
      </c>
      <c r="G268" s="1" t="str">
        <f t="shared" si="8"/>
        <v/>
      </c>
      <c r="I268" s="1" t="str">
        <f>IF(Protokoll_4p!F234="","",IF(VALUE(LEFT(Protokoll_4p!F234,FIND(":",Protokoll_4p!F234)-1))&gt;VALUE(RIGHT(Protokoll_4p!F234,LEN(Protokoll_4p!F234)-FIND(":",Protokoll_4p!F234))),0,1))</f>
        <v/>
      </c>
      <c r="J268" s="1" t="str">
        <f>IF(Protokoll_4p!G234="","",IF(VALUE(LEFT(Protokoll_4p!G234,FIND(":",Protokoll_4p!G234)-1))&gt;VALUE(RIGHT(Protokoll_4p!G234,LEN(Protokoll_4p!G234)-FIND(":",Protokoll_4p!G234))),0,1))</f>
        <v/>
      </c>
      <c r="K268" s="1" t="str">
        <f>IF(Protokoll_4p!H234="","",IF(VALUE(LEFT(Protokoll_4p!H234,FIND(":",Protokoll_4p!H234)-1))&gt;VALUE(RIGHT(Protokoll_4p!H234,LEN(Protokoll_4p!H234)-FIND(":",Protokoll_4p!H234))),0,1))</f>
        <v/>
      </c>
      <c r="L268" s="1" t="str">
        <f>IF(Protokoll_4p!I234="","",IF(VALUE(LEFT(Protokoll_4p!I234,FIND(":",Protokoll_4p!I234)-1))&gt;VALUE(RIGHT(Protokoll_4p!I234,LEN(Protokoll_4p!I234)-FIND(":",Protokoll_4p!I234))),0,1))</f>
        <v/>
      </c>
      <c r="M268" s="1" t="str">
        <f>IF(Protokoll_4p!J234="","",IF(VALUE(LEFT(Protokoll_4p!J234,FIND(":",Protokoll_4p!J234)-1))&gt;VALUE(RIGHT(Protokoll_4p!J234,LEN(Protokoll_4p!J234)-FIND(":",Protokoll_4p!J234))),0,1))</f>
        <v/>
      </c>
      <c r="N268" s="1" t="str">
        <f t="shared" si="9"/>
        <v/>
      </c>
    </row>
    <row r="269" spans="2:14">
      <c r="B269" s="1" t="str">
        <f>IF(Protokoll_4p!F235="","",IF(VALUE(LEFT(Protokoll_4p!F235,FIND(":",Protokoll_4p!F235)-1))&gt;VALUE(RIGHT(Protokoll_4p!F235,LEN(Protokoll_4p!F235)-FIND(":",Protokoll_4p!F235))),1,0))</f>
        <v/>
      </c>
      <c r="C269" s="1" t="str">
        <f>IF(Protokoll_4p!G235="","",IF(VALUE(LEFT(Protokoll_4p!G235,FIND(":",Protokoll_4p!G235)-1))&gt;VALUE(RIGHT(Protokoll_4p!G235,LEN(Protokoll_4p!G235)-FIND(":",Protokoll_4p!G235))),1,0))</f>
        <v/>
      </c>
      <c r="D269" s="1" t="str">
        <f>IF(Protokoll_4p!H235="","",IF(VALUE(LEFT(Protokoll_4p!H235,FIND(":",Protokoll_4p!H235)-1))&gt;VALUE(RIGHT(Protokoll_4p!H235,LEN(Protokoll_4p!H235)-FIND(":",Protokoll_4p!H235))),1,0))</f>
        <v/>
      </c>
      <c r="E269" s="1" t="str">
        <f>IF(Protokoll_4p!I235="","",IF(VALUE(LEFT(Protokoll_4p!I235,FIND(":",Protokoll_4p!I235)-1))&gt;VALUE(RIGHT(Protokoll_4p!I235,LEN(Protokoll_4p!I235)-FIND(":",Protokoll_4p!I235))),1,0))</f>
        <v/>
      </c>
      <c r="F269" s="1" t="str">
        <f>IF(Protokoll_4p!J235="","",IF(VALUE(LEFT(Protokoll_4p!J235,FIND(":",Protokoll_4p!J235)-1))&gt;VALUE(RIGHT(Protokoll_4p!J235,LEN(Protokoll_4p!J235)-FIND(":",Protokoll_4p!J235))),1,0))</f>
        <v/>
      </c>
      <c r="G269" s="1" t="str">
        <f t="shared" si="8"/>
        <v/>
      </c>
      <c r="I269" s="1" t="str">
        <f>IF(Protokoll_4p!F235="","",IF(VALUE(LEFT(Protokoll_4p!F235,FIND(":",Protokoll_4p!F235)-1))&gt;VALUE(RIGHT(Protokoll_4p!F235,LEN(Protokoll_4p!F235)-FIND(":",Protokoll_4p!F235))),0,1))</f>
        <v/>
      </c>
      <c r="J269" s="1" t="str">
        <f>IF(Protokoll_4p!G235="","",IF(VALUE(LEFT(Protokoll_4p!G235,FIND(":",Protokoll_4p!G235)-1))&gt;VALUE(RIGHT(Protokoll_4p!G235,LEN(Protokoll_4p!G235)-FIND(":",Protokoll_4p!G235))),0,1))</f>
        <v/>
      </c>
      <c r="K269" s="1" t="str">
        <f>IF(Protokoll_4p!H235="","",IF(VALUE(LEFT(Protokoll_4p!H235,FIND(":",Protokoll_4p!H235)-1))&gt;VALUE(RIGHT(Protokoll_4p!H235,LEN(Protokoll_4p!H235)-FIND(":",Protokoll_4p!H235))),0,1))</f>
        <v/>
      </c>
      <c r="L269" s="1" t="str">
        <f>IF(Protokoll_4p!I235="","",IF(VALUE(LEFT(Protokoll_4p!I235,FIND(":",Protokoll_4p!I235)-1))&gt;VALUE(RIGHT(Protokoll_4p!I235,LEN(Protokoll_4p!I235)-FIND(":",Protokoll_4p!I235))),0,1))</f>
        <v/>
      </c>
      <c r="M269" s="1" t="str">
        <f>IF(Protokoll_4p!J235="","",IF(VALUE(LEFT(Protokoll_4p!J235,FIND(":",Protokoll_4p!J235)-1))&gt;VALUE(RIGHT(Protokoll_4p!J235,LEN(Protokoll_4p!J235)-FIND(":",Protokoll_4p!J235))),0,1))</f>
        <v/>
      </c>
      <c r="N269" s="1" t="str">
        <f t="shared" si="9"/>
        <v/>
      </c>
    </row>
    <row r="270" spans="2:14">
      <c r="B270" s="1" t="str">
        <f>IF(Protokoll_4p!F236="","",IF(VALUE(LEFT(Protokoll_4p!F236,FIND(":",Protokoll_4p!F236)-1))&gt;VALUE(RIGHT(Protokoll_4p!F236,LEN(Protokoll_4p!F236)-FIND(":",Protokoll_4p!F236))),1,0))</f>
        <v/>
      </c>
      <c r="C270" s="1" t="str">
        <f>IF(Protokoll_4p!G236="","",IF(VALUE(LEFT(Protokoll_4p!G236,FIND(":",Protokoll_4p!G236)-1))&gt;VALUE(RIGHT(Protokoll_4p!G236,LEN(Protokoll_4p!G236)-FIND(":",Protokoll_4p!G236))),1,0))</f>
        <v/>
      </c>
      <c r="D270" s="1" t="str">
        <f>IF(Protokoll_4p!H236="","",IF(VALUE(LEFT(Protokoll_4p!H236,FIND(":",Protokoll_4p!H236)-1))&gt;VALUE(RIGHT(Protokoll_4p!H236,LEN(Protokoll_4p!H236)-FIND(":",Protokoll_4p!H236))),1,0))</f>
        <v/>
      </c>
      <c r="E270" s="1" t="str">
        <f>IF(Protokoll_4p!I236="","",IF(VALUE(LEFT(Protokoll_4p!I236,FIND(":",Protokoll_4p!I236)-1))&gt;VALUE(RIGHT(Protokoll_4p!I236,LEN(Protokoll_4p!I236)-FIND(":",Protokoll_4p!I236))),1,0))</f>
        <v/>
      </c>
      <c r="F270" s="1" t="str">
        <f>IF(Protokoll_4p!J236="","",IF(VALUE(LEFT(Protokoll_4p!J236,FIND(":",Protokoll_4p!J236)-1))&gt;VALUE(RIGHT(Protokoll_4p!J236,LEN(Protokoll_4p!J236)-FIND(":",Protokoll_4p!J236))),1,0))</f>
        <v/>
      </c>
      <c r="G270" s="1" t="str">
        <f t="shared" si="8"/>
        <v/>
      </c>
      <c r="I270" s="1" t="str">
        <f>IF(Protokoll_4p!F236="","",IF(VALUE(LEFT(Protokoll_4p!F236,FIND(":",Protokoll_4p!F236)-1))&gt;VALUE(RIGHT(Protokoll_4p!F236,LEN(Protokoll_4p!F236)-FIND(":",Protokoll_4p!F236))),0,1))</f>
        <v/>
      </c>
      <c r="J270" s="1" t="str">
        <f>IF(Protokoll_4p!G236="","",IF(VALUE(LEFT(Protokoll_4p!G236,FIND(":",Protokoll_4p!G236)-1))&gt;VALUE(RIGHT(Protokoll_4p!G236,LEN(Protokoll_4p!G236)-FIND(":",Protokoll_4p!G236))),0,1))</f>
        <v/>
      </c>
      <c r="K270" s="1" t="str">
        <f>IF(Protokoll_4p!H236="","",IF(VALUE(LEFT(Protokoll_4p!H236,FIND(":",Protokoll_4p!H236)-1))&gt;VALUE(RIGHT(Protokoll_4p!H236,LEN(Protokoll_4p!H236)-FIND(":",Protokoll_4p!H236))),0,1))</f>
        <v/>
      </c>
      <c r="L270" s="1" t="str">
        <f>IF(Protokoll_4p!I236="","",IF(VALUE(LEFT(Protokoll_4p!I236,FIND(":",Protokoll_4p!I236)-1))&gt;VALUE(RIGHT(Protokoll_4p!I236,LEN(Protokoll_4p!I236)-FIND(":",Protokoll_4p!I236))),0,1))</f>
        <v/>
      </c>
      <c r="M270" s="1" t="str">
        <f>IF(Protokoll_4p!J236="","",IF(VALUE(LEFT(Protokoll_4p!J236,FIND(":",Protokoll_4p!J236)-1))&gt;VALUE(RIGHT(Protokoll_4p!J236,LEN(Protokoll_4p!J236)-FIND(":",Protokoll_4p!J236))),0,1))</f>
        <v/>
      </c>
      <c r="N270" s="1" t="str">
        <f t="shared" si="9"/>
        <v/>
      </c>
    </row>
    <row r="271" spans="2:14">
      <c r="B271" s="1" t="str">
        <f>IF(Protokoll_4p!F237="","",IF(VALUE(LEFT(Protokoll_4p!F237,FIND(":",Protokoll_4p!F237)-1))&gt;VALUE(RIGHT(Protokoll_4p!F237,LEN(Protokoll_4p!F237)-FIND(":",Protokoll_4p!F237))),1,0))</f>
        <v/>
      </c>
      <c r="C271" s="1" t="str">
        <f>IF(Protokoll_4p!G237="","",IF(VALUE(LEFT(Protokoll_4p!G237,FIND(":",Protokoll_4p!G237)-1))&gt;VALUE(RIGHT(Protokoll_4p!G237,LEN(Protokoll_4p!G237)-FIND(":",Protokoll_4p!G237))),1,0))</f>
        <v/>
      </c>
      <c r="D271" s="1" t="str">
        <f>IF(Protokoll_4p!H237="","",IF(VALUE(LEFT(Protokoll_4p!H237,FIND(":",Protokoll_4p!H237)-1))&gt;VALUE(RIGHT(Protokoll_4p!H237,LEN(Protokoll_4p!H237)-FIND(":",Protokoll_4p!H237))),1,0))</f>
        <v/>
      </c>
      <c r="E271" s="1" t="str">
        <f>IF(Protokoll_4p!I237="","",IF(VALUE(LEFT(Protokoll_4p!I237,FIND(":",Protokoll_4p!I237)-1))&gt;VALUE(RIGHT(Protokoll_4p!I237,LEN(Protokoll_4p!I237)-FIND(":",Protokoll_4p!I237))),1,0))</f>
        <v/>
      </c>
      <c r="F271" s="1" t="str">
        <f>IF(Protokoll_4p!J237="","",IF(VALUE(LEFT(Protokoll_4p!J237,FIND(":",Protokoll_4p!J237)-1))&gt;VALUE(RIGHT(Protokoll_4p!J237,LEN(Protokoll_4p!J237)-FIND(":",Protokoll_4p!J237))),1,0))</f>
        <v/>
      </c>
      <c r="G271" s="1" t="str">
        <f t="shared" si="8"/>
        <v/>
      </c>
      <c r="I271" s="1" t="str">
        <f>IF(Protokoll_4p!F237="","",IF(VALUE(LEFT(Protokoll_4p!F237,FIND(":",Protokoll_4p!F237)-1))&gt;VALUE(RIGHT(Protokoll_4p!F237,LEN(Protokoll_4p!F237)-FIND(":",Protokoll_4p!F237))),0,1))</f>
        <v/>
      </c>
      <c r="J271" s="1" t="str">
        <f>IF(Protokoll_4p!G237="","",IF(VALUE(LEFT(Protokoll_4p!G237,FIND(":",Protokoll_4p!G237)-1))&gt;VALUE(RIGHT(Protokoll_4p!G237,LEN(Protokoll_4p!G237)-FIND(":",Protokoll_4p!G237))),0,1))</f>
        <v/>
      </c>
      <c r="K271" s="1" t="str">
        <f>IF(Protokoll_4p!H237="","",IF(VALUE(LEFT(Protokoll_4p!H237,FIND(":",Protokoll_4p!H237)-1))&gt;VALUE(RIGHT(Protokoll_4p!H237,LEN(Protokoll_4p!H237)-FIND(":",Protokoll_4p!H237))),0,1))</f>
        <v/>
      </c>
      <c r="L271" s="1" t="str">
        <f>IF(Protokoll_4p!I237="","",IF(VALUE(LEFT(Protokoll_4p!I237,FIND(":",Protokoll_4p!I237)-1))&gt;VALUE(RIGHT(Protokoll_4p!I237,LEN(Protokoll_4p!I237)-FIND(":",Protokoll_4p!I237))),0,1))</f>
        <v/>
      </c>
      <c r="M271" s="1" t="str">
        <f>IF(Protokoll_4p!J237="","",IF(VALUE(LEFT(Protokoll_4p!J237,FIND(":",Protokoll_4p!J237)-1))&gt;VALUE(RIGHT(Protokoll_4p!J237,LEN(Protokoll_4p!J237)-FIND(":",Protokoll_4p!J237))),0,1))</f>
        <v/>
      </c>
      <c r="N271" s="1" t="str">
        <f t="shared" si="9"/>
        <v/>
      </c>
    </row>
    <row r="272" spans="2:14">
      <c r="B272" s="1" t="str">
        <f>IF(Protokoll_4p!F238="","",IF(VALUE(LEFT(Protokoll_4p!F238,FIND(":",Protokoll_4p!F238)-1))&gt;VALUE(RIGHT(Protokoll_4p!F238,LEN(Protokoll_4p!F238)-FIND(":",Protokoll_4p!F238))),1,0))</f>
        <v/>
      </c>
      <c r="C272" s="1" t="str">
        <f>IF(Protokoll_4p!G238="","",IF(VALUE(LEFT(Protokoll_4p!G238,FIND(":",Protokoll_4p!G238)-1))&gt;VALUE(RIGHT(Protokoll_4p!G238,LEN(Protokoll_4p!G238)-FIND(":",Protokoll_4p!G238))),1,0))</f>
        <v/>
      </c>
      <c r="D272" s="1" t="str">
        <f>IF(Protokoll_4p!H238="","",IF(VALUE(LEFT(Protokoll_4p!H238,FIND(":",Protokoll_4p!H238)-1))&gt;VALUE(RIGHT(Protokoll_4p!H238,LEN(Protokoll_4p!H238)-FIND(":",Protokoll_4p!H238))),1,0))</f>
        <v/>
      </c>
      <c r="E272" s="1" t="str">
        <f>IF(Protokoll_4p!I238="","",IF(VALUE(LEFT(Protokoll_4p!I238,FIND(":",Protokoll_4p!I238)-1))&gt;VALUE(RIGHT(Protokoll_4p!I238,LEN(Protokoll_4p!I238)-FIND(":",Protokoll_4p!I238))),1,0))</f>
        <v/>
      </c>
      <c r="F272" s="1" t="str">
        <f>IF(Protokoll_4p!J238="","",IF(VALUE(LEFT(Protokoll_4p!J238,FIND(":",Protokoll_4p!J238)-1))&gt;VALUE(RIGHT(Protokoll_4p!J238,LEN(Protokoll_4p!J238)-FIND(":",Protokoll_4p!J238))),1,0))</f>
        <v/>
      </c>
      <c r="G272" s="1" t="str">
        <f t="shared" si="8"/>
        <v/>
      </c>
      <c r="I272" s="1" t="str">
        <f>IF(Protokoll_4p!F238="","",IF(VALUE(LEFT(Protokoll_4p!F238,FIND(":",Protokoll_4p!F238)-1))&gt;VALUE(RIGHT(Protokoll_4p!F238,LEN(Protokoll_4p!F238)-FIND(":",Protokoll_4p!F238))),0,1))</f>
        <v/>
      </c>
      <c r="J272" s="1" t="str">
        <f>IF(Protokoll_4p!G238="","",IF(VALUE(LEFT(Protokoll_4p!G238,FIND(":",Protokoll_4p!G238)-1))&gt;VALUE(RIGHT(Protokoll_4p!G238,LEN(Protokoll_4p!G238)-FIND(":",Protokoll_4p!G238))),0,1))</f>
        <v/>
      </c>
      <c r="K272" s="1" t="str">
        <f>IF(Protokoll_4p!H238="","",IF(VALUE(LEFT(Protokoll_4p!H238,FIND(":",Protokoll_4p!H238)-1))&gt;VALUE(RIGHT(Protokoll_4p!H238,LEN(Protokoll_4p!H238)-FIND(":",Protokoll_4p!H238))),0,1))</f>
        <v/>
      </c>
      <c r="L272" s="1" t="str">
        <f>IF(Protokoll_4p!I238="","",IF(VALUE(LEFT(Protokoll_4p!I238,FIND(":",Protokoll_4p!I238)-1))&gt;VALUE(RIGHT(Protokoll_4p!I238,LEN(Protokoll_4p!I238)-FIND(":",Protokoll_4p!I238))),0,1))</f>
        <v/>
      </c>
      <c r="M272" s="1" t="str">
        <f>IF(Protokoll_4p!J238="","",IF(VALUE(LEFT(Protokoll_4p!J238,FIND(":",Protokoll_4p!J238)-1))&gt;VALUE(RIGHT(Protokoll_4p!J238,LEN(Protokoll_4p!J238)-FIND(":",Protokoll_4p!J238))),0,1))</f>
        <v/>
      </c>
      <c r="N272" s="1" t="str">
        <f t="shared" si="9"/>
        <v/>
      </c>
    </row>
    <row r="273" spans="2:14">
      <c r="B273" s="1" t="str">
        <f>IF(Protokoll_4p!F239="","",IF(VALUE(LEFT(Protokoll_4p!F239,FIND(":",Protokoll_4p!F239)-1))&gt;VALUE(RIGHT(Protokoll_4p!F239,LEN(Protokoll_4p!F239)-FIND(":",Protokoll_4p!F239))),1,0))</f>
        <v/>
      </c>
      <c r="C273" s="1" t="str">
        <f>IF(Protokoll_4p!G239="","",IF(VALUE(LEFT(Protokoll_4p!G239,FIND(":",Protokoll_4p!G239)-1))&gt;VALUE(RIGHT(Protokoll_4p!G239,LEN(Protokoll_4p!G239)-FIND(":",Protokoll_4p!G239))),1,0))</f>
        <v/>
      </c>
      <c r="D273" s="1" t="str">
        <f>IF(Protokoll_4p!H239="","",IF(VALUE(LEFT(Protokoll_4p!H239,FIND(":",Protokoll_4p!H239)-1))&gt;VALUE(RIGHT(Protokoll_4p!H239,LEN(Protokoll_4p!H239)-FIND(":",Protokoll_4p!H239))),1,0))</f>
        <v/>
      </c>
      <c r="E273" s="1" t="str">
        <f>IF(Protokoll_4p!I239="","",IF(VALUE(LEFT(Protokoll_4p!I239,FIND(":",Protokoll_4p!I239)-1))&gt;VALUE(RIGHT(Protokoll_4p!I239,LEN(Protokoll_4p!I239)-FIND(":",Protokoll_4p!I239))),1,0))</f>
        <v/>
      </c>
      <c r="F273" s="1" t="str">
        <f>IF(Protokoll_4p!J239="","",IF(VALUE(LEFT(Protokoll_4p!J239,FIND(":",Protokoll_4p!J239)-1))&gt;VALUE(RIGHT(Protokoll_4p!J239,LEN(Protokoll_4p!J239)-FIND(":",Protokoll_4p!J239))),1,0))</f>
        <v/>
      </c>
      <c r="G273" s="1" t="str">
        <f t="shared" si="8"/>
        <v/>
      </c>
      <c r="I273" s="1" t="str">
        <f>IF(Protokoll_4p!F239="","",IF(VALUE(LEFT(Protokoll_4p!F239,FIND(":",Protokoll_4p!F239)-1))&gt;VALUE(RIGHT(Protokoll_4p!F239,LEN(Protokoll_4p!F239)-FIND(":",Protokoll_4p!F239))),0,1))</f>
        <v/>
      </c>
      <c r="J273" s="1" t="str">
        <f>IF(Protokoll_4p!G239="","",IF(VALUE(LEFT(Protokoll_4p!G239,FIND(":",Protokoll_4p!G239)-1))&gt;VALUE(RIGHT(Protokoll_4p!G239,LEN(Protokoll_4p!G239)-FIND(":",Protokoll_4p!G239))),0,1))</f>
        <v/>
      </c>
      <c r="K273" s="1" t="str">
        <f>IF(Protokoll_4p!H239="","",IF(VALUE(LEFT(Protokoll_4p!H239,FIND(":",Protokoll_4p!H239)-1))&gt;VALUE(RIGHT(Protokoll_4p!H239,LEN(Protokoll_4p!H239)-FIND(":",Protokoll_4p!H239))),0,1))</f>
        <v/>
      </c>
      <c r="L273" s="1" t="str">
        <f>IF(Protokoll_4p!I239="","",IF(VALUE(LEFT(Protokoll_4p!I239,FIND(":",Protokoll_4p!I239)-1))&gt;VALUE(RIGHT(Protokoll_4p!I239,LEN(Protokoll_4p!I239)-FIND(":",Protokoll_4p!I239))),0,1))</f>
        <v/>
      </c>
      <c r="M273" s="1" t="str">
        <f>IF(Protokoll_4p!J239="","",IF(VALUE(LEFT(Protokoll_4p!J239,FIND(":",Protokoll_4p!J239)-1))&gt;VALUE(RIGHT(Protokoll_4p!J239,LEN(Protokoll_4p!J239)-FIND(":",Protokoll_4p!J239))),0,1))</f>
        <v/>
      </c>
      <c r="N273" s="1" t="str">
        <f t="shared" si="9"/>
        <v/>
      </c>
    </row>
    <row r="274" spans="2:14">
      <c r="B274" s="1" t="str">
        <f>IF(Protokoll_4p!F240="","",IF(VALUE(LEFT(Protokoll_4p!F240,FIND(":",Protokoll_4p!F240)-1))&gt;VALUE(RIGHT(Protokoll_4p!F240,LEN(Protokoll_4p!F240)-FIND(":",Protokoll_4p!F240))),1,0))</f>
        <v/>
      </c>
      <c r="C274" s="1" t="str">
        <f>IF(Protokoll_4p!G240="","",IF(VALUE(LEFT(Protokoll_4p!G240,FIND(":",Protokoll_4p!G240)-1))&gt;VALUE(RIGHT(Protokoll_4p!G240,LEN(Protokoll_4p!G240)-FIND(":",Protokoll_4p!G240))),1,0))</f>
        <v/>
      </c>
      <c r="D274" s="1" t="str">
        <f>IF(Protokoll_4p!H240="","",IF(VALUE(LEFT(Protokoll_4p!H240,FIND(":",Protokoll_4p!H240)-1))&gt;VALUE(RIGHT(Protokoll_4p!H240,LEN(Protokoll_4p!H240)-FIND(":",Protokoll_4p!H240))),1,0))</f>
        <v/>
      </c>
      <c r="E274" s="1" t="str">
        <f>IF(Protokoll_4p!I240="","",IF(VALUE(LEFT(Protokoll_4p!I240,FIND(":",Protokoll_4p!I240)-1))&gt;VALUE(RIGHT(Protokoll_4p!I240,LEN(Protokoll_4p!I240)-FIND(":",Protokoll_4p!I240))),1,0))</f>
        <v/>
      </c>
      <c r="F274" s="1" t="str">
        <f>IF(Protokoll_4p!J240="","",IF(VALUE(LEFT(Protokoll_4p!J240,FIND(":",Protokoll_4p!J240)-1))&gt;VALUE(RIGHT(Protokoll_4p!J240,LEN(Protokoll_4p!J240)-FIND(":",Protokoll_4p!J240))),1,0))</f>
        <v/>
      </c>
      <c r="G274" s="1" t="str">
        <f t="shared" si="8"/>
        <v/>
      </c>
      <c r="I274" s="1" t="str">
        <f>IF(Protokoll_4p!F240="","",IF(VALUE(LEFT(Protokoll_4p!F240,FIND(":",Protokoll_4p!F240)-1))&gt;VALUE(RIGHT(Protokoll_4p!F240,LEN(Protokoll_4p!F240)-FIND(":",Protokoll_4p!F240))),0,1))</f>
        <v/>
      </c>
      <c r="J274" s="1" t="str">
        <f>IF(Protokoll_4p!G240="","",IF(VALUE(LEFT(Protokoll_4p!G240,FIND(":",Protokoll_4p!G240)-1))&gt;VALUE(RIGHT(Protokoll_4p!G240,LEN(Protokoll_4p!G240)-FIND(":",Protokoll_4p!G240))),0,1))</f>
        <v/>
      </c>
      <c r="K274" s="1" t="str">
        <f>IF(Protokoll_4p!H240="","",IF(VALUE(LEFT(Protokoll_4p!H240,FIND(":",Protokoll_4p!H240)-1))&gt;VALUE(RIGHT(Protokoll_4p!H240,LEN(Protokoll_4p!H240)-FIND(":",Protokoll_4p!H240))),0,1))</f>
        <v/>
      </c>
      <c r="L274" s="1" t="str">
        <f>IF(Protokoll_4p!I240="","",IF(VALUE(LEFT(Protokoll_4p!I240,FIND(":",Protokoll_4p!I240)-1))&gt;VALUE(RIGHT(Protokoll_4p!I240,LEN(Protokoll_4p!I240)-FIND(":",Protokoll_4p!I240))),0,1))</f>
        <v/>
      </c>
      <c r="M274" s="1" t="str">
        <f>IF(Protokoll_4p!J240="","",IF(VALUE(LEFT(Protokoll_4p!J240,FIND(":",Protokoll_4p!J240)-1))&gt;VALUE(RIGHT(Protokoll_4p!J240,LEN(Protokoll_4p!J240)-FIND(":",Protokoll_4p!J240))),0,1))</f>
        <v/>
      </c>
      <c r="N274" s="1" t="str">
        <f t="shared" si="9"/>
        <v/>
      </c>
    </row>
    <row r="275" spans="2:14">
      <c r="B275" s="1" t="str">
        <f>IF(Protokoll_4p!F241="","",IF(VALUE(LEFT(Protokoll_4p!F241,FIND(":",Protokoll_4p!F241)-1))&gt;VALUE(RIGHT(Protokoll_4p!F241,LEN(Protokoll_4p!F241)-FIND(":",Protokoll_4p!F241))),1,0))</f>
        <v/>
      </c>
      <c r="C275" s="1" t="str">
        <f>IF(Protokoll_4p!G241="","",IF(VALUE(LEFT(Protokoll_4p!G241,FIND(":",Protokoll_4p!G241)-1))&gt;VALUE(RIGHT(Protokoll_4p!G241,LEN(Protokoll_4p!G241)-FIND(":",Protokoll_4p!G241))),1,0))</f>
        <v/>
      </c>
      <c r="D275" s="1" t="str">
        <f>IF(Protokoll_4p!H241="","",IF(VALUE(LEFT(Protokoll_4p!H241,FIND(":",Protokoll_4p!H241)-1))&gt;VALUE(RIGHT(Protokoll_4p!H241,LEN(Protokoll_4p!H241)-FIND(":",Protokoll_4p!H241))),1,0))</f>
        <v/>
      </c>
      <c r="E275" s="1" t="str">
        <f>IF(Protokoll_4p!I241="","",IF(VALUE(LEFT(Protokoll_4p!I241,FIND(":",Protokoll_4p!I241)-1))&gt;VALUE(RIGHT(Protokoll_4p!I241,LEN(Protokoll_4p!I241)-FIND(":",Protokoll_4p!I241))),1,0))</f>
        <v/>
      </c>
      <c r="F275" s="1" t="str">
        <f>IF(Protokoll_4p!J241="","",IF(VALUE(LEFT(Protokoll_4p!J241,FIND(":",Protokoll_4p!J241)-1))&gt;VALUE(RIGHT(Protokoll_4p!J241,LEN(Protokoll_4p!J241)-FIND(":",Protokoll_4p!J241))),1,0))</f>
        <v/>
      </c>
      <c r="G275" s="1" t="str">
        <f t="shared" si="8"/>
        <v/>
      </c>
      <c r="I275" s="1" t="str">
        <f>IF(Protokoll_4p!F241="","",IF(VALUE(LEFT(Protokoll_4p!F241,FIND(":",Protokoll_4p!F241)-1))&gt;VALUE(RIGHT(Protokoll_4p!F241,LEN(Protokoll_4p!F241)-FIND(":",Protokoll_4p!F241))),0,1))</f>
        <v/>
      </c>
      <c r="J275" s="1" t="str">
        <f>IF(Protokoll_4p!G241="","",IF(VALUE(LEFT(Protokoll_4p!G241,FIND(":",Protokoll_4p!G241)-1))&gt;VALUE(RIGHT(Protokoll_4p!G241,LEN(Protokoll_4p!G241)-FIND(":",Protokoll_4p!G241))),0,1))</f>
        <v/>
      </c>
      <c r="K275" s="1" t="str">
        <f>IF(Protokoll_4p!H241="","",IF(VALUE(LEFT(Protokoll_4p!H241,FIND(":",Protokoll_4p!H241)-1))&gt;VALUE(RIGHT(Protokoll_4p!H241,LEN(Protokoll_4p!H241)-FIND(":",Protokoll_4p!H241))),0,1))</f>
        <v/>
      </c>
      <c r="L275" s="1" t="str">
        <f>IF(Protokoll_4p!I241="","",IF(VALUE(LEFT(Protokoll_4p!I241,FIND(":",Protokoll_4p!I241)-1))&gt;VALUE(RIGHT(Protokoll_4p!I241,LEN(Protokoll_4p!I241)-FIND(":",Protokoll_4p!I241))),0,1))</f>
        <v/>
      </c>
      <c r="M275" s="1" t="str">
        <f>IF(Protokoll_4p!J241="","",IF(VALUE(LEFT(Protokoll_4p!J241,FIND(":",Protokoll_4p!J241)-1))&gt;VALUE(RIGHT(Protokoll_4p!J241,LEN(Protokoll_4p!J241)-FIND(":",Protokoll_4p!J241))),0,1))</f>
        <v/>
      </c>
      <c r="N275" s="1" t="str">
        <f t="shared" si="9"/>
        <v/>
      </c>
    </row>
    <row r="276" spans="2:14">
      <c r="B276" s="1" t="str">
        <f>IF(Protokoll_4p!F242="","",IF(VALUE(LEFT(Protokoll_4p!F242,FIND(":",Protokoll_4p!F242)-1))&gt;VALUE(RIGHT(Protokoll_4p!F242,LEN(Protokoll_4p!F242)-FIND(":",Protokoll_4p!F242))),1,0))</f>
        <v/>
      </c>
      <c r="C276" s="1" t="str">
        <f>IF(Protokoll_4p!G242="","",IF(VALUE(LEFT(Protokoll_4p!G242,FIND(":",Protokoll_4p!G242)-1))&gt;VALUE(RIGHT(Protokoll_4p!G242,LEN(Protokoll_4p!G242)-FIND(":",Protokoll_4p!G242))),1,0))</f>
        <v/>
      </c>
      <c r="D276" s="1" t="str">
        <f>IF(Protokoll_4p!H242="","",IF(VALUE(LEFT(Protokoll_4p!H242,FIND(":",Protokoll_4p!H242)-1))&gt;VALUE(RIGHT(Protokoll_4p!H242,LEN(Protokoll_4p!H242)-FIND(":",Protokoll_4p!H242))),1,0))</f>
        <v/>
      </c>
      <c r="E276" s="1" t="str">
        <f>IF(Protokoll_4p!I242="","",IF(VALUE(LEFT(Protokoll_4p!I242,FIND(":",Protokoll_4p!I242)-1))&gt;VALUE(RIGHT(Protokoll_4p!I242,LEN(Protokoll_4p!I242)-FIND(":",Protokoll_4p!I242))),1,0))</f>
        <v/>
      </c>
      <c r="F276" s="1" t="str">
        <f>IF(Protokoll_4p!J242="","",IF(VALUE(LEFT(Protokoll_4p!J242,FIND(":",Protokoll_4p!J242)-1))&gt;VALUE(RIGHT(Protokoll_4p!J242,LEN(Protokoll_4p!J242)-FIND(":",Protokoll_4p!J242))),1,0))</f>
        <v/>
      </c>
      <c r="G276" s="1" t="str">
        <f t="shared" si="8"/>
        <v/>
      </c>
      <c r="I276" s="1" t="str">
        <f>IF(Protokoll_4p!F242="","",IF(VALUE(LEFT(Protokoll_4p!F242,FIND(":",Protokoll_4p!F242)-1))&gt;VALUE(RIGHT(Protokoll_4p!F242,LEN(Protokoll_4p!F242)-FIND(":",Protokoll_4p!F242))),0,1))</f>
        <v/>
      </c>
      <c r="J276" s="1" t="str">
        <f>IF(Protokoll_4p!G242="","",IF(VALUE(LEFT(Protokoll_4p!G242,FIND(":",Protokoll_4p!G242)-1))&gt;VALUE(RIGHT(Protokoll_4p!G242,LEN(Protokoll_4p!G242)-FIND(":",Protokoll_4p!G242))),0,1))</f>
        <v/>
      </c>
      <c r="K276" s="1" t="str">
        <f>IF(Protokoll_4p!H242="","",IF(VALUE(LEFT(Protokoll_4p!H242,FIND(":",Protokoll_4p!H242)-1))&gt;VALUE(RIGHT(Protokoll_4p!H242,LEN(Protokoll_4p!H242)-FIND(":",Protokoll_4p!H242))),0,1))</f>
        <v/>
      </c>
      <c r="L276" s="1" t="str">
        <f>IF(Protokoll_4p!I242="","",IF(VALUE(LEFT(Protokoll_4p!I242,FIND(":",Protokoll_4p!I242)-1))&gt;VALUE(RIGHT(Protokoll_4p!I242,LEN(Protokoll_4p!I242)-FIND(":",Protokoll_4p!I242))),0,1))</f>
        <v/>
      </c>
      <c r="M276" s="1" t="str">
        <f>IF(Protokoll_4p!J242="","",IF(VALUE(LEFT(Protokoll_4p!J242,FIND(":",Protokoll_4p!J242)-1))&gt;VALUE(RIGHT(Protokoll_4p!J242,LEN(Protokoll_4p!J242)-FIND(":",Protokoll_4p!J242))),0,1))</f>
        <v/>
      </c>
      <c r="N276" s="1" t="str">
        <f t="shared" si="9"/>
        <v/>
      </c>
    </row>
    <row r="277" spans="2:14">
      <c r="B277" s="1" t="str">
        <f>IF(Protokoll_4p!F243="","",IF(VALUE(LEFT(Protokoll_4p!F243,FIND(":",Protokoll_4p!F243)-1))&gt;VALUE(RIGHT(Protokoll_4p!F243,LEN(Protokoll_4p!F243)-FIND(":",Protokoll_4p!F243))),1,0))</f>
        <v/>
      </c>
      <c r="C277" s="1" t="str">
        <f>IF(Protokoll_4p!G243="","",IF(VALUE(LEFT(Protokoll_4p!G243,FIND(":",Protokoll_4p!G243)-1))&gt;VALUE(RIGHT(Protokoll_4p!G243,LEN(Protokoll_4p!G243)-FIND(":",Protokoll_4p!G243))),1,0))</f>
        <v/>
      </c>
      <c r="D277" s="1" t="str">
        <f>IF(Protokoll_4p!H243="","",IF(VALUE(LEFT(Protokoll_4p!H243,FIND(":",Protokoll_4p!H243)-1))&gt;VALUE(RIGHT(Protokoll_4p!H243,LEN(Protokoll_4p!H243)-FIND(":",Protokoll_4p!H243))),1,0))</f>
        <v/>
      </c>
      <c r="E277" s="1" t="str">
        <f>IF(Protokoll_4p!I243="","",IF(VALUE(LEFT(Protokoll_4p!I243,FIND(":",Protokoll_4p!I243)-1))&gt;VALUE(RIGHT(Protokoll_4p!I243,LEN(Protokoll_4p!I243)-FIND(":",Protokoll_4p!I243))),1,0))</f>
        <v/>
      </c>
      <c r="F277" s="1" t="str">
        <f>IF(Protokoll_4p!J243="","",IF(VALUE(LEFT(Protokoll_4p!J243,FIND(":",Protokoll_4p!J243)-1))&gt;VALUE(RIGHT(Protokoll_4p!J243,LEN(Protokoll_4p!J243)-FIND(":",Protokoll_4p!J243))),1,0))</f>
        <v/>
      </c>
      <c r="G277" s="1" t="str">
        <f t="shared" si="8"/>
        <v/>
      </c>
      <c r="I277" s="1" t="str">
        <f>IF(Protokoll_4p!F243="","",IF(VALUE(LEFT(Protokoll_4p!F243,FIND(":",Protokoll_4p!F243)-1))&gt;VALUE(RIGHT(Protokoll_4p!F243,LEN(Protokoll_4p!F243)-FIND(":",Protokoll_4p!F243))),0,1))</f>
        <v/>
      </c>
      <c r="J277" s="1" t="str">
        <f>IF(Protokoll_4p!G243="","",IF(VALUE(LEFT(Protokoll_4p!G243,FIND(":",Protokoll_4p!G243)-1))&gt;VALUE(RIGHT(Protokoll_4p!G243,LEN(Protokoll_4p!G243)-FIND(":",Protokoll_4p!G243))),0,1))</f>
        <v/>
      </c>
      <c r="K277" s="1" t="str">
        <f>IF(Protokoll_4p!H243="","",IF(VALUE(LEFT(Protokoll_4p!H243,FIND(":",Protokoll_4p!H243)-1))&gt;VALUE(RIGHT(Protokoll_4p!H243,LEN(Protokoll_4p!H243)-FIND(":",Protokoll_4p!H243))),0,1))</f>
        <v/>
      </c>
      <c r="L277" s="1" t="str">
        <f>IF(Protokoll_4p!I243="","",IF(VALUE(LEFT(Protokoll_4p!I243,FIND(":",Protokoll_4p!I243)-1))&gt;VALUE(RIGHT(Protokoll_4p!I243,LEN(Protokoll_4p!I243)-FIND(":",Protokoll_4p!I243))),0,1))</f>
        <v/>
      </c>
      <c r="M277" s="1" t="str">
        <f>IF(Protokoll_4p!J243="","",IF(VALUE(LEFT(Protokoll_4p!J243,FIND(":",Protokoll_4p!J243)-1))&gt;VALUE(RIGHT(Protokoll_4p!J243,LEN(Protokoll_4p!J243)-FIND(":",Protokoll_4p!J243))),0,1))</f>
        <v/>
      </c>
      <c r="N277" s="1" t="str">
        <f t="shared" si="9"/>
        <v/>
      </c>
    </row>
    <row r="278" spans="2:14">
      <c r="B278" s="1" t="str">
        <f>IF(Protokoll_4p!F244="","",IF(VALUE(LEFT(Protokoll_4p!F244,FIND(":",Protokoll_4p!F244)-1))&gt;VALUE(RIGHT(Protokoll_4p!F244,LEN(Protokoll_4p!F244)-FIND(":",Protokoll_4p!F244))),1,0))</f>
        <v/>
      </c>
      <c r="C278" s="1" t="str">
        <f>IF(Protokoll_4p!G244="","",IF(VALUE(LEFT(Protokoll_4p!G244,FIND(":",Protokoll_4p!G244)-1))&gt;VALUE(RIGHT(Protokoll_4p!G244,LEN(Protokoll_4p!G244)-FIND(":",Protokoll_4p!G244))),1,0))</f>
        <v/>
      </c>
      <c r="D278" s="1" t="str">
        <f>IF(Protokoll_4p!H244="","",IF(VALUE(LEFT(Protokoll_4p!H244,FIND(":",Protokoll_4p!H244)-1))&gt;VALUE(RIGHT(Protokoll_4p!H244,LEN(Protokoll_4p!H244)-FIND(":",Protokoll_4p!H244))),1,0))</f>
        <v/>
      </c>
      <c r="E278" s="1" t="str">
        <f>IF(Protokoll_4p!I244="","",IF(VALUE(LEFT(Protokoll_4p!I244,FIND(":",Protokoll_4p!I244)-1))&gt;VALUE(RIGHT(Protokoll_4p!I244,LEN(Protokoll_4p!I244)-FIND(":",Protokoll_4p!I244))),1,0))</f>
        <v/>
      </c>
      <c r="F278" s="1" t="str">
        <f>IF(Protokoll_4p!J244="","",IF(VALUE(LEFT(Protokoll_4p!J244,FIND(":",Protokoll_4p!J244)-1))&gt;VALUE(RIGHT(Protokoll_4p!J244,LEN(Protokoll_4p!J244)-FIND(":",Protokoll_4p!J244))),1,0))</f>
        <v/>
      </c>
      <c r="G278" s="1" t="str">
        <f t="shared" si="8"/>
        <v/>
      </c>
      <c r="I278" s="1" t="str">
        <f>IF(Protokoll_4p!F244="","",IF(VALUE(LEFT(Protokoll_4p!F244,FIND(":",Protokoll_4p!F244)-1))&gt;VALUE(RIGHT(Protokoll_4p!F244,LEN(Protokoll_4p!F244)-FIND(":",Protokoll_4p!F244))),0,1))</f>
        <v/>
      </c>
      <c r="J278" s="1" t="str">
        <f>IF(Protokoll_4p!G244="","",IF(VALUE(LEFT(Protokoll_4p!G244,FIND(":",Protokoll_4p!G244)-1))&gt;VALUE(RIGHT(Protokoll_4p!G244,LEN(Protokoll_4p!G244)-FIND(":",Protokoll_4p!G244))),0,1))</f>
        <v/>
      </c>
      <c r="K278" s="1" t="str">
        <f>IF(Protokoll_4p!H244="","",IF(VALUE(LEFT(Protokoll_4p!H244,FIND(":",Protokoll_4p!H244)-1))&gt;VALUE(RIGHT(Protokoll_4p!H244,LEN(Protokoll_4p!H244)-FIND(":",Protokoll_4p!H244))),0,1))</f>
        <v/>
      </c>
      <c r="L278" s="1" t="str">
        <f>IF(Protokoll_4p!I244="","",IF(VALUE(LEFT(Protokoll_4p!I244,FIND(":",Protokoll_4p!I244)-1))&gt;VALUE(RIGHT(Protokoll_4p!I244,LEN(Protokoll_4p!I244)-FIND(":",Protokoll_4p!I244))),0,1))</f>
        <v/>
      </c>
      <c r="M278" s="1" t="str">
        <f>IF(Protokoll_4p!J244="","",IF(VALUE(LEFT(Protokoll_4p!J244,FIND(":",Protokoll_4p!J244)-1))&gt;VALUE(RIGHT(Protokoll_4p!J244,LEN(Protokoll_4p!J244)-FIND(":",Protokoll_4p!J244))),0,1))</f>
        <v/>
      </c>
      <c r="N278" s="1" t="str">
        <f t="shared" si="9"/>
        <v/>
      </c>
    </row>
    <row r="279" spans="2:14">
      <c r="B279" s="1" t="str">
        <f>IF(Protokoll_4p!F245="","",IF(VALUE(LEFT(Protokoll_4p!F245,FIND(":",Protokoll_4p!F245)-1))&gt;VALUE(RIGHT(Protokoll_4p!F245,LEN(Protokoll_4p!F245)-FIND(":",Protokoll_4p!F245))),1,0))</f>
        <v/>
      </c>
      <c r="C279" s="1" t="str">
        <f>IF(Protokoll_4p!G245="","",IF(VALUE(LEFT(Protokoll_4p!G245,FIND(":",Protokoll_4p!G245)-1))&gt;VALUE(RIGHT(Protokoll_4p!G245,LEN(Protokoll_4p!G245)-FIND(":",Protokoll_4p!G245))),1,0))</f>
        <v/>
      </c>
      <c r="D279" s="1" t="str">
        <f>IF(Protokoll_4p!H245="","",IF(VALUE(LEFT(Protokoll_4p!H245,FIND(":",Protokoll_4p!H245)-1))&gt;VALUE(RIGHT(Protokoll_4p!H245,LEN(Protokoll_4p!H245)-FIND(":",Protokoll_4p!H245))),1,0))</f>
        <v/>
      </c>
      <c r="E279" s="1" t="str">
        <f>IF(Protokoll_4p!I245="","",IF(VALUE(LEFT(Protokoll_4p!I245,FIND(":",Protokoll_4p!I245)-1))&gt;VALUE(RIGHT(Protokoll_4p!I245,LEN(Protokoll_4p!I245)-FIND(":",Protokoll_4p!I245))),1,0))</f>
        <v/>
      </c>
      <c r="F279" s="1" t="str">
        <f>IF(Protokoll_4p!J245="","",IF(VALUE(LEFT(Protokoll_4p!J245,FIND(":",Protokoll_4p!J245)-1))&gt;VALUE(RIGHT(Protokoll_4p!J245,LEN(Protokoll_4p!J245)-FIND(":",Protokoll_4p!J245))),1,0))</f>
        <v/>
      </c>
      <c r="G279" s="1" t="str">
        <f t="shared" si="8"/>
        <v/>
      </c>
      <c r="I279" s="1" t="str">
        <f>IF(Protokoll_4p!F245="","",IF(VALUE(LEFT(Protokoll_4p!F245,FIND(":",Protokoll_4p!F245)-1))&gt;VALUE(RIGHT(Protokoll_4p!F245,LEN(Protokoll_4p!F245)-FIND(":",Protokoll_4p!F245))),0,1))</f>
        <v/>
      </c>
      <c r="J279" s="1" t="str">
        <f>IF(Protokoll_4p!G245="","",IF(VALUE(LEFT(Protokoll_4p!G245,FIND(":",Protokoll_4p!G245)-1))&gt;VALUE(RIGHT(Protokoll_4p!G245,LEN(Protokoll_4p!G245)-FIND(":",Protokoll_4p!G245))),0,1))</f>
        <v/>
      </c>
      <c r="K279" s="1" t="str">
        <f>IF(Protokoll_4p!H245="","",IF(VALUE(LEFT(Protokoll_4p!H245,FIND(":",Protokoll_4p!H245)-1))&gt;VALUE(RIGHT(Protokoll_4p!H245,LEN(Protokoll_4p!H245)-FIND(":",Protokoll_4p!H245))),0,1))</f>
        <v/>
      </c>
      <c r="L279" s="1" t="str">
        <f>IF(Protokoll_4p!I245="","",IF(VALUE(LEFT(Protokoll_4p!I245,FIND(":",Protokoll_4p!I245)-1))&gt;VALUE(RIGHT(Protokoll_4p!I245,LEN(Protokoll_4p!I245)-FIND(":",Protokoll_4p!I245))),0,1))</f>
        <v/>
      </c>
      <c r="M279" s="1" t="str">
        <f>IF(Protokoll_4p!J245="","",IF(VALUE(LEFT(Protokoll_4p!J245,FIND(":",Protokoll_4p!J245)-1))&gt;VALUE(RIGHT(Protokoll_4p!J245,LEN(Protokoll_4p!J245)-FIND(":",Protokoll_4p!J245))),0,1))</f>
        <v/>
      </c>
      <c r="N279" s="1" t="str">
        <f t="shared" si="9"/>
        <v/>
      </c>
    </row>
    <row r="280" spans="2:14">
      <c r="B280" s="1" t="str">
        <f>IF(Protokoll_4p!F246="","",IF(VALUE(LEFT(Protokoll_4p!F246,FIND(":",Protokoll_4p!F246)-1))&gt;VALUE(RIGHT(Protokoll_4p!F246,LEN(Protokoll_4p!F246)-FIND(":",Protokoll_4p!F246))),1,0))</f>
        <v/>
      </c>
      <c r="C280" s="1" t="str">
        <f>IF(Protokoll_4p!G246="","",IF(VALUE(LEFT(Protokoll_4p!G246,FIND(":",Protokoll_4p!G246)-1))&gt;VALUE(RIGHT(Protokoll_4p!G246,LEN(Protokoll_4p!G246)-FIND(":",Protokoll_4p!G246))),1,0))</f>
        <v/>
      </c>
      <c r="D280" s="1" t="str">
        <f>IF(Protokoll_4p!H246="","",IF(VALUE(LEFT(Protokoll_4p!H246,FIND(":",Protokoll_4p!H246)-1))&gt;VALUE(RIGHT(Protokoll_4p!H246,LEN(Protokoll_4p!H246)-FIND(":",Protokoll_4p!H246))),1,0))</f>
        <v/>
      </c>
      <c r="E280" s="1" t="str">
        <f>IF(Protokoll_4p!I246="","",IF(VALUE(LEFT(Protokoll_4p!I246,FIND(":",Protokoll_4p!I246)-1))&gt;VALUE(RIGHT(Protokoll_4p!I246,LEN(Protokoll_4p!I246)-FIND(":",Protokoll_4p!I246))),1,0))</f>
        <v/>
      </c>
      <c r="F280" s="1" t="str">
        <f>IF(Protokoll_4p!J246="","",IF(VALUE(LEFT(Protokoll_4p!J246,FIND(":",Protokoll_4p!J246)-1))&gt;VALUE(RIGHT(Protokoll_4p!J246,LEN(Protokoll_4p!J246)-FIND(":",Protokoll_4p!J246))),1,0))</f>
        <v/>
      </c>
      <c r="G280" s="1" t="str">
        <f t="shared" si="8"/>
        <v/>
      </c>
      <c r="I280" s="1" t="str">
        <f>IF(Protokoll_4p!F246="","",IF(VALUE(LEFT(Protokoll_4p!F246,FIND(":",Protokoll_4p!F246)-1))&gt;VALUE(RIGHT(Protokoll_4p!F246,LEN(Protokoll_4p!F246)-FIND(":",Protokoll_4p!F246))),0,1))</f>
        <v/>
      </c>
      <c r="J280" s="1" t="str">
        <f>IF(Protokoll_4p!G246="","",IF(VALUE(LEFT(Protokoll_4p!G246,FIND(":",Protokoll_4p!G246)-1))&gt;VALUE(RIGHT(Protokoll_4p!G246,LEN(Protokoll_4p!G246)-FIND(":",Protokoll_4p!G246))),0,1))</f>
        <v/>
      </c>
      <c r="K280" s="1" t="str">
        <f>IF(Protokoll_4p!H246="","",IF(VALUE(LEFT(Protokoll_4p!H246,FIND(":",Protokoll_4p!H246)-1))&gt;VALUE(RIGHT(Protokoll_4p!H246,LEN(Protokoll_4p!H246)-FIND(":",Protokoll_4p!H246))),0,1))</f>
        <v/>
      </c>
      <c r="L280" s="1" t="str">
        <f>IF(Protokoll_4p!I246="","",IF(VALUE(LEFT(Protokoll_4p!I246,FIND(":",Protokoll_4p!I246)-1))&gt;VALUE(RIGHT(Protokoll_4p!I246,LEN(Protokoll_4p!I246)-FIND(":",Protokoll_4p!I246))),0,1))</f>
        <v/>
      </c>
      <c r="M280" s="1" t="str">
        <f>IF(Protokoll_4p!J246="","",IF(VALUE(LEFT(Protokoll_4p!J246,FIND(":",Protokoll_4p!J246)-1))&gt;VALUE(RIGHT(Protokoll_4p!J246,LEN(Protokoll_4p!J246)-FIND(":",Protokoll_4p!J246))),0,1))</f>
        <v/>
      </c>
      <c r="N280" s="1" t="str">
        <f t="shared" si="9"/>
        <v/>
      </c>
    </row>
    <row r="281" spans="2:14">
      <c r="B281" s="1" t="str">
        <f>IF(Protokoll_4p!F247="","",IF(VALUE(LEFT(Protokoll_4p!F247,FIND(":",Protokoll_4p!F247)-1))&gt;VALUE(RIGHT(Protokoll_4p!F247,LEN(Protokoll_4p!F247)-FIND(":",Protokoll_4p!F247))),1,0))</f>
        <v/>
      </c>
      <c r="C281" s="1" t="str">
        <f>IF(Protokoll_4p!G247="","",IF(VALUE(LEFT(Protokoll_4p!G247,FIND(":",Protokoll_4p!G247)-1))&gt;VALUE(RIGHT(Protokoll_4p!G247,LEN(Protokoll_4p!G247)-FIND(":",Protokoll_4p!G247))),1,0))</f>
        <v/>
      </c>
      <c r="D281" s="1" t="str">
        <f>IF(Protokoll_4p!H247="","",IF(VALUE(LEFT(Protokoll_4p!H247,FIND(":",Protokoll_4p!H247)-1))&gt;VALUE(RIGHT(Protokoll_4p!H247,LEN(Protokoll_4p!H247)-FIND(":",Protokoll_4p!H247))),1,0))</f>
        <v/>
      </c>
      <c r="E281" s="1" t="str">
        <f>IF(Protokoll_4p!I247="","",IF(VALUE(LEFT(Protokoll_4p!I247,FIND(":",Protokoll_4p!I247)-1))&gt;VALUE(RIGHT(Protokoll_4p!I247,LEN(Protokoll_4p!I247)-FIND(":",Protokoll_4p!I247))),1,0))</f>
        <v/>
      </c>
      <c r="F281" s="1" t="str">
        <f>IF(Protokoll_4p!J247="","",IF(VALUE(LEFT(Protokoll_4p!J247,FIND(":",Protokoll_4p!J247)-1))&gt;VALUE(RIGHT(Protokoll_4p!J247,LEN(Protokoll_4p!J247)-FIND(":",Protokoll_4p!J247))),1,0))</f>
        <v/>
      </c>
      <c r="G281" s="1" t="str">
        <f t="shared" si="8"/>
        <v/>
      </c>
      <c r="I281" s="1" t="str">
        <f>IF(Protokoll_4p!F247="","",IF(VALUE(LEFT(Protokoll_4p!F247,FIND(":",Protokoll_4p!F247)-1))&gt;VALUE(RIGHT(Protokoll_4p!F247,LEN(Protokoll_4p!F247)-FIND(":",Protokoll_4p!F247))),0,1))</f>
        <v/>
      </c>
      <c r="J281" s="1" t="str">
        <f>IF(Protokoll_4p!G247="","",IF(VALUE(LEFT(Protokoll_4p!G247,FIND(":",Protokoll_4p!G247)-1))&gt;VALUE(RIGHT(Protokoll_4p!G247,LEN(Protokoll_4p!G247)-FIND(":",Protokoll_4p!G247))),0,1))</f>
        <v/>
      </c>
      <c r="K281" s="1" t="str">
        <f>IF(Protokoll_4p!H247="","",IF(VALUE(LEFT(Protokoll_4p!H247,FIND(":",Protokoll_4p!H247)-1))&gt;VALUE(RIGHT(Protokoll_4p!H247,LEN(Protokoll_4p!H247)-FIND(":",Protokoll_4p!H247))),0,1))</f>
        <v/>
      </c>
      <c r="L281" s="1" t="str">
        <f>IF(Protokoll_4p!I247="","",IF(VALUE(LEFT(Protokoll_4p!I247,FIND(":",Protokoll_4p!I247)-1))&gt;VALUE(RIGHT(Protokoll_4p!I247,LEN(Protokoll_4p!I247)-FIND(":",Protokoll_4p!I247))),0,1))</f>
        <v/>
      </c>
      <c r="M281" s="1" t="str">
        <f>IF(Protokoll_4p!J247="","",IF(VALUE(LEFT(Protokoll_4p!J247,FIND(":",Protokoll_4p!J247)-1))&gt;VALUE(RIGHT(Protokoll_4p!J247,LEN(Protokoll_4p!J247)-FIND(":",Protokoll_4p!J247))),0,1))</f>
        <v/>
      </c>
      <c r="N281" s="1" t="str">
        <f t="shared" si="9"/>
        <v/>
      </c>
    </row>
    <row r="282" spans="2:14">
      <c r="B282" s="1" t="str">
        <f>IF(Protokoll_4p!F248="","",IF(VALUE(LEFT(Protokoll_4p!F248,FIND(":",Protokoll_4p!F248)-1))&gt;VALUE(RIGHT(Protokoll_4p!F248,LEN(Protokoll_4p!F248)-FIND(":",Protokoll_4p!F248))),1,0))</f>
        <v/>
      </c>
      <c r="C282" s="1" t="str">
        <f>IF(Protokoll_4p!G248="","",IF(VALUE(LEFT(Protokoll_4p!G248,FIND(":",Protokoll_4p!G248)-1))&gt;VALUE(RIGHT(Protokoll_4p!G248,LEN(Protokoll_4p!G248)-FIND(":",Protokoll_4p!G248))),1,0))</f>
        <v/>
      </c>
      <c r="D282" s="1" t="str">
        <f>IF(Protokoll_4p!H248="","",IF(VALUE(LEFT(Protokoll_4p!H248,FIND(":",Protokoll_4p!H248)-1))&gt;VALUE(RIGHT(Protokoll_4p!H248,LEN(Protokoll_4p!H248)-FIND(":",Protokoll_4p!H248))),1,0))</f>
        <v/>
      </c>
      <c r="E282" s="1" t="str">
        <f>IF(Protokoll_4p!I248="","",IF(VALUE(LEFT(Protokoll_4p!I248,FIND(":",Protokoll_4p!I248)-1))&gt;VALUE(RIGHT(Protokoll_4p!I248,LEN(Protokoll_4p!I248)-FIND(":",Protokoll_4p!I248))),1,0))</f>
        <v/>
      </c>
      <c r="F282" s="1" t="str">
        <f>IF(Protokoll_4p!J248="","",IF(VALUE(LEFT(Protokoll_4p!J248,FIND(":",Protokoll_4p!J248)-1))&gt;VALUE(RIGHT(Protokoll_4p!J248,LEN(Protokoll_4p!J248)-FIND(":",Protokoll_4p!J248))),1,0))</f>
        <v/>
      </c>
      <c r="G282" s="1" t="str">
        <f t="shared" si="8"/>
        <v/>
      </c>
      <c r="I282" s="1" t="str">
        <f>IF(Protokoll_4p!F248="","",IF(VALUE(LEFT(Protokoll_4p!F248,FIND(":",Protokoll_4p!F248)-1))&gt;VALUE(RIGHT(Protokoll_4p!F248,LEN(Protokoll_4p!F248)-FIND(":",Protokoll_4p!F248))),0,1))</f>
        <v/>
      </c>
      <c r="J282" s="1" t="str">
        <f>IF(Protokoll_4p!G248="","",IF(VALUE(LEFT(Protokoll_4p!G248,FIND(":",Protokoll_4p!G248)-1))&gt;VALUE(RIGHT(Protokoll_4p!G248,LEN(Protokoll_4p!G248)-FIND(":",Protokoll_4p!G248))),0,1))</f>
        <v/>
      </c>
      <c r="K282" s="1" t="str">
        <f>IF(Protokoll_4p!H248="","",IF(VALUE(LEFT(Protokoll_4p!H248,FIND(":",Protokoll_4p!H248)-1))&gt;VALUE(RIGHT(Protokoll_4p!H248,LEN(Protokoll_4p!H248)-FIND(":",Protokoll_4p!H248))),0,1))</f>
        <v/>
      </c>
      <c r="L282" s="1" t="str">
        <f>IF(Protokoll_4p!I248="","",IF(VALUE(LEFT(Protokoll_4p!I248,FIND(":",Protokoll_4p!I248)-1))&gt;VALUE(RIGHT(Protokoll_4p!I248,LEN(Protokoll_4p!I248)-FIND(":",Protokoll_4p!I248))),0,1))</f>
        <v/>
      </c>
      <c r="M282" s="1" t="str">
        <f>IF(Protokoll_4p!J248="","",IF(VALUE(LEFT(Protokoll_4p!J248,FIND(":",Protokoll_4p!J248)-1))&gt;VALUE(RIGHT(Protokoll_4p!J248,LEN(Protokoll_4p!J248)-FIND(":",Protokoll_4p!J248))),0,1))</f>
        <v/>
      </c>
      <c r="N282" s="1" t="str">
        <f t="shared" si="9"/>
        <v/>
      </c>
    </row>
    <row r="283" spans="2:14">
      <c r="B283" s="1" t="str">
        <f>IF(Protokoll_4p!F249="","",IF(VALUE(LEFT(Protokoll_4p!F249,FIND(":",Protokoll_4p!F249)-1))&gt;VALUE(RIGHT(Protokoll_4p!F249,LEN(Protokoll_4p!F249)-FIND(":",Protokoll_4p!F249))),1,0))</f>
        <v/>
      </c>
      <c r="C283" s="1" t="str">
        <f>IF(Protokoll_4p!G249="","",IF(VALUE(LEFT(Protokoll_4p!G249,FIND(":",Protokoll_4p!G249)-1))&gt;VALUE(RIGHT(Protokoll_4p!G249,LEN(Protokoll_4p!G249)-FIND(":",Protokoll_4p!G249))),1,0))</f>
        <v/>
      </c>
      <c r="D283" s="1" t="str">
        <f>IF(Protokoll_4p!H249="","",IF(VALUE(LEFT(Protokoll_4p!H249,FIND(":",Protokoll_4p!H249)-1))&gt;VALUE(RIGHT(Protokoll_4p!H249,LEN(Protokoll_4p!H249)-FIND(":",Protokoll_4p!H249))),1,0))</f>
        <v/>
      </c>
      <c r="E283" s="1" t="str">
        <f>IF(Protokoll_4p!I249="","",IF(VALUE(LEFT(Protokoll_4p!I249,FIND(":",Protokoll_4p!I249)-1))&gt;VALUE(RIGHT(Protokoll_4p!I249,LEN(Protokoll_4p!I249)-FIND(":",Protokoll_4p!I249))),1,0))</f>
        <v/>
      </c>
      <c r="F283" s="1" t="str">
        <f>IF(Protokoll_4p!J249="","",IF(VALUE(LEFT(Protokoll_4p!J249,FIND(":",Protokoll_4p!J249)-1))&gt;VALUE(RIGHT(Protokoll_4p!J249,LEN(Protokoll_4p!J249)-FIND(":",Protokoll_4p!J249))),1,0))</f>
        <v/>
      </c>
      <c r="G283" s="1" t="str">
        <f t="shared" si="8"/>
        <v/>
      </c>
      <c r="I283" s="1" t="str">
        <f>IF(Protokoll_4p!F249="","",IF(VALUE(LEFT(Protokoll_4p!F249,FIND(":",Protokoll_4p!F249)-1))&gt;VALUE(RIGHT(Protokoll_4p!F249,LEN(Protokoll_4p!F249)-FIND(":",Protokoll_4p!F249))),0,1))</f>
        <v/>
      </c>
      <c r="J283" s="1" t="str">
        <f>IF(Protokoll_4p!G249="","",IF(VALUE(LEFT(Protokoll_4p!G249,FIND(":",Protokoll_4p!G249)-1))&gt;VALUE(RIGHT(Protokoll_4p!G249,LEN(Protokoll_4p!G249)-FIND(":",Protokoll_4p!G249))),0,1))</f>
        <v/>
      </c>
      <c r="K283" s="1" t="str">
        <f>IF(Protokoll_4p!H249="","",IF(VALUE(LEFT(Protokoll_4p!H249,FIND(":",Protokoll_4p!H249)-1))&gt;VALUE(RIGHT(Protokoll_4p!H249,LEN(Protokoll_4p!H249)-FIND(":",Protokoll_4p!H249))),0,1))</f>
        <v/>
      </c>
      <c r="L283" s="1" t="str">
        <f>IF(Protokoll_4p!I249="","",IF(VALUE(LEFT(Protokoll_4p!I249,FIND(":",Protokoll_4p!I249)-1))&gt;VALUE(RIGHT(Protokoll_4p!I249,LEN(Protokoll_4p!I249)-FIND(":",Protokoll_4p!I249))),0,1))</f>
        <v/>
      </c>
      <c r="M283" s="1" t="str">
        <f>IF(Protokoll_4p!J249="","",IF(VALUE(LEFT(Protokoll_4p!J249,FIND(":",Protokoll_4p!J249)-1))&gt;VALUE(RIGHT(Protokoll_4p!J249,LEN(Protokoll_4p!J249)-FIND(":",Protokoll_4p!J249))),0,1))</f>
        <v/>
      </c>
      <c r="N283" s="1" t="str">
        <f t="shared" si="9"/>
        <v/>
      </c>
    </row>
    <row r="284" spans="2:14">
      <c r="B284" s="1" t="str">
        <f>IF(Protokoll_4p!F250="","",IF(VALUE(LEFT(Protokoll_4p!F250,FIND(":",Protokoll_4p!F250)-1))&gt;VALUE(RIGHT(Protokoll_4p!F250,LEN(Protokoll_4p!F250)-FIND(":",Protokoll_4p!F250))),1,0))</f>
        <v/>
      </c>
      <c r="C284" s="1" t="str">
        <f>IF(Protokoll_4p!G250="","",IF(VALUE(LEFT(Protokoll_4p!G250,FIND(":",Protokoll_4p!G250)-1))&gt;VALUE(RIGHT(Protokoll_4p!G250,LEN(Protokoll_4p!G250)-FIND(":",Protokoll_4p!G250))),1,0))</f>
        <v/>
      </c>
      <c r="D284" s="1" t="str">
        <f>IF(Protokoll_4p!H250="","",IF(VALUE(LEFT(Protokoll_4p!H250,FIND(":",Protokoll_4p!H250)-1))&gt;VALUE(RIGHT(Protokoll_4p!H250,LEN(Protokoll_4p!H250)-FIND(":",Protokoll_4p!H250))),1,0))</f>
        <v/>
      </c>
      <c r="E284" s="1" t="str">
        <f>IF(Protokoll_4p!I250="","",IF(VALUE(LEFT(Protokoll_4p!I250,FIND(":",Protokoll_4p!I250)-1))&gt;VALUE(RIGHT(Protokoll_4p!I250,LEN(Protokoll_4p!I250)-FIND(":",Protokoll_4p!I250))),1,0))</f>
        <v/>
      </c>
      <c r="F284" s="1" t="str">
        <f>IF(Protokoll_4p!J250="","",IF(VALUE(LEFT(Protokoll_4p!J250,FIND(":",Protokoll_4p!J250)-1))&gt;VALUE(RIGHT(Protokoll_4p!J250,LEN(Protokoll_4p!J250)-FIND(":",Protokoll_4p!J250))),1,0))</f>
        <v/>
      </c>
      <c r="G284" s="1" t="str">
        <f t="shared" si="8"/>
        <v/>
      </c>
      <c r="I284" s="1" t="str">
        <f>IF(Protokoll_4p!F250="","",IF(VALUE(LEFT(Protokoll_4p!F250,FIND(":",Protokoll_4p!F250)-1))&gt;VALUE(RIGHT(Protokoll_4p!F250,LEN(Protokoll_4p!F250)-FIND(":",Protokoll_4p!F250))),0,1))</f>
        <v/>
      </c>
      <c r="J284" s="1" t="str">
        <f>IF(Protokoll_4p!G250="","",IF(VALUE(LEFT(Protokoll_4p!G250,FIND(":",Protokoll_4p!G250)-1))&gt;VALUE(RIGHT(Protokoll_4p!G250,LEN(Protokoll_4p!G250)-FIND(":",Protokoll_4p!G250))),0,1))</f>
        <v/>
      </c>
      <c r="K284" s="1" t="str">
        <f>IF(Protokoll_4p!H250="","",IF(VALUE(LEFT(Protokoll_4p!H250,FIND(":",Protokoll_4p!H250)-1))&gt;VALUE(RIGHT(Protokoll_4p!H250,LEN(Protokoll_4p!H250)-FIND(":",Protokoll_4p!H250))),0,1))</f>
        <v/>
      </c>
      <c r="L284" s="1" t="str">
        <f>IF(Protokoll_4p!I250="","",IF(VALUE(LEFT(Protokoll_4p!I250,FIND(":",Protokoll_4p!I250)-1))&gt;VALUE(RIGHT(Protokoll_4p!I250,LEN(Protokoll_4p!I250)-FIND(":",Protokoll_4p!I250))),0,1))</f>
        <v/>
      </c>
      <c r="M284" s="1" t="str">
        <f>IF(Protokoll_4p!J250="","",IF(VALUE(LEFT(Protokoll_4p!J250,FIND(":",Protokoll_4p!J250)-1))&gt;VALUE(RIGHT(Protokoll_4p!J250,LEN(Protokoll_4p!J250)-FIND(":",Protokoll_4p!J250))),0,1))</f>
        <v/>
      </c>
      <c r="N284" s="1" t="str">
        <f t="shared" si="9"/>
        <v/>
      </c>
    </row>
    <row r="285" spans="2:14">
      <c r="B285" s="1" t="str">
        <f>IF(Protokoll_4p!F251="","",IF(VALUE(LEFT(Protokoll_4p!F251,FIND(":",Protokoll_4p!F251)-1))&gt;VALUE(RIGHT(Protokoll_4p!F251,LEN(Protokoll_4p!F251)-FIND(":",Protokoll_4p!F251))),1,0))</f>
        <v/>
      </c>
      <c r="C285" s="1" t="str">
        <f>IF(Protokoll_4p!G251="","",IF(VALUE(LEFT(Protokoll_4p!G251,FIND(":",Protokoll_4p!G251)-1))&gt;VALUE(RIGHT(Protokoll_4p!G251,LEN(Protokoll_4p!G251)-FIND(":",Protokoll_4p!G251))),1,0))</f>
        <v/>
      </c>
      <c r="D285" s="1" t="str">
        <f>IF(Protokoll_4p!H251="","",IF(VALUE(LEFT(Protokoll_4p!H251,FIND(":",Protokoll_4p!H251)-1))&gt;VALUE(RIGHT(Protokoll_4p!H251,LEN(Protokoll_4p!H251)-FIND(":",Protokoll_4p!H251))),1,0))</f>
        <v/>
      </c>
      <c r="E285" s="1" t="str">
        <f>IF(Protokoll_4p!I251="","",IF(VALUE(LEFT(Protokoll_4p!I251,FIND(":",Protokoll_4p!I251)-1))&gt;VALUE(RIGHT(Protokoll_4p!I251,LEN(Protokoll_4p!I251)-FIND(":",Protokoll_4p!I251))),1,0))</f>
        <v/>
      </c>
      <c r="F285" s="1" t="str">
        <f>IF(Protokoll_4p!J251="","",IF(VALUE(LEFT(Protokoll_4p!J251,FIND(":",Protokoll_4p!J251)-1))&gt;VALUE(RIGHT(Protokoll_4p!J251,LEN(Protokoll_4p!J251)-FIND(":",Protokoll_4p!J251))),1,0))</f>
        <v/>
      </c>
      <c r="G285" s="1" t="str">
        <f t="shared" si="8"/>
        <v/>
      </c>
      <c r="I285" s="1" t="str">
        <f>IF(Protokoll_4p!F251="","",IF(VALUE(LEFT(Protokoll_4p!F251,FIND(":",Protokoll_4p!F251)-1))&gt;VALUE(RIGHT(Protokoll_4p!F251,LEN(Protokoll_4p!F251)-FIND(":",Protokoll_4p!F251))),0,1))</f>
        <v/>
      </c>
      <c r="J285" s="1" t="str">
        <f>IF(Protokoll_4p!G251="","",IF(VALUE(LEFT(Protokoll_4p!G251,FIND(":",Protokoll_4p!G251)-1))&gt;VALUE(RIGHT(Protokoll_4p!G251,LEN(Protokoll_4p!G251)-FIND(":",Protokoll_4p!G251))),0,1))</f>
        <v/>
      </c>
      <c r="K285" s="1" t="str">
        <f>IF(Protokoll_4p!H251="","",IF(VALUE(LEFT(Protokoll_4p!H251,FIND(":",Protokoll_4p!H251)-1))&gt;VALUE(RIGHT(Protokoll_4p!H251,LEN(Protokoll_4p!H251)-FIND(":",Protokoll_4p!H251))),0,1))</f>
        <v/>
      </c>
      <c r="L285" s="1" t="str">
        <f>IF(Protokoll_4p!I251="","",IF(VALUE(LEFT(Protokoll_4p!I251,FIND(":",Protokoll_4p!I251)-1))&gt;VALUE(RIGHT(Protokoll_4p!I251,LEN(Protokoll_4p!I251)-FIND(":",Protokoll_4p!I251))),0,1))</f>
        <v/>
      </c>
      <c r="M285" s="1" t="str">
        <f>IF(Protokoll_4p!J251="","",IF(VALUE(LEFT(Protokoll_4p!J251,FIND(":",Protokoll_4p!J251)-1))&gt;VALUE(RIGHT(Protokoll_4p!J251,LEN(Protokoll_4p!J251)-FIND(":",Protokoll_4p!J251))),0,1))</f>
        <v/>
      </c>
      <c r="N285" s="1" t="str">
        <f t="shared" si="9"/>
        <v/>
      </c>
    </row>
    <row r="286" spans="2:14">
      <c r="B286" s="1" t="str">
        <f>IF(Protokoll_4p!F257="","",IF(VALUE(LEFT(Protokoll_4p!F257,FIND(":",Protokoll_4p!F257)-1))&gt;VALUE(RIGHT(Protokoll_4p!F257,LEN(Protokoll_4p!F257)-FIND(":",Protokoll_4p!F257))),1,0))</f>
        <v/>
      </c>
      <c r="C286" s="1" t="str">
        <f>IF(Protokoll_4p!G257="","",IF(VALUE(LEFT(Protokoll_4p!G257,FIND(":",Protokoll_4p!G257)-1))&gt;VALUE(RIGHT(Protokoll_4p!G257,LEN(Protokoll_4p!G257)-FIND(":",Protokoll_4p!G257))),1,0))</f>
        <v/>
      </c>
      <c r="D286" s="1" t="str">
        <f>IF(Protokoll_4p!H257="","",IF(VALUE(LEFT(Protokoll_4p!H257,FIND(":",Protokoll_4p!H257)-1))&gt;VALUE(RIGHT(Protokoll_4p!H257,LEN(Protokoll_4p!H257)-FIND(":",Protokoll_4p!H257))),1,0))</f>
        <v/>
      </c>
      <c r="E286" s="1" t="str">
        <f>IF(Protokoll_4p!I257="","",IF(VALUE(LEFT(Protokoll_4p!I257,FIND(":",Protokoll_4p!I257)-1))&gt;VALUE(RIGHT(Protokoll_4p!I257,LEN(Protokoll_4p!I257)-FIND(":",Protokoll_4p!I257))),1,0))</f>
        <v/>
      </c>
      <c r="F286" s="1" t="str">
        <f>IF(Protokoll_4p!J257="","",IF(VALUE(LEFT(Protokoll_4p!J257,FIND(":",Protokoll_4p!J257)-1))&gt;VALUE(RIGHT(Protokoll_4p!J257,LEN(Protokoll_4p!J257)-FIND(":",Protokoll_4p!J257))),1,0))</f>
        <v/>
      </c>
      <c r="G286" s="1" t="str">
        <f t="shared" si="8"/>
        <v/>
      </c>
      <c r="I286" s="1" t="str">
        <f>IF(Protokoll_4p!F257="","",IF(VALUE(LEFT(Protokoll_4p!F257,FIND(":",Protokoll_4p!F257)-1))&gt;VALUE(RIGHT(Protokoll_4p!F257,LEN(Protokoll_4p!F257)-FIND(":",Protokoll_4p!F257))),0,1))</f>
        <v/>
      </c>
      <c r="J286" s="1" t="str">
        <f>IF(Protokoll_4p!G257="","",IF(VALUE(LEFT(Protokoll_4p!G257,FIND(":",Protokoll_4p!G257)-1))&gt;VALUE(RIGHT(Protokoll_4p!G257,LEN(Protokoll_4p!G257)-FIND(":",Protokoll_4p!G257))),0,1))</f>
        <v/>
      </c>
      <c r="K286" s="1" t="str">
        <f>IF(Protokoll_4p!H257="","",IF(VALUE(LEFT(Protokoll_4p!H257,FIND(":",Protokoll_4p!H257)-1))&gt;VALUE(RIGHT(Protokoll_4p!H257,LEN(Protokoll_4p!H257)-FIND(":",Protokoll_4p!H257))),0,1))</f>
        <v/>
      </c>
      <c r="L286" s="1" t="str">
        <f>IF(Protokoll_4p!I257="","",IF(VALUE(LEFT(Protokoll_4p!I257,FIND(":",Protokoll_4p!I257)-1))&gt;VALUE(RIGHT(Protokoll_4p!I257,LEN(Protokoll_4p!I257)-FIND(":",Protokoll_4p!I257))),0,1))</f>
        <v/>
      </c>
      <c r="M286" s="1" t="str">
        <f>IF(Protokoll_4p!J257="","",IF(VALUE(LEFT(Protokoll_4p!J257,FIND(":",Protokoll_4p!J257)-1))&gt;VALUE(RIGHT(Protokoll_4p!J257,LEN(Protokoll_4p!J257)-FIND(":",Protokoll_4p!J257))),0,1))</f>
        <v/>
      </c>
      <c r="N286" s="1" t="str">
        <f t="shared" si="9"/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8048-4923-4470-BEB9-C4E559E0B23C}">
  <dimension ref="B1:N286"/>
  <sheetViews>
    <sheetView workbookViewId="0">
      <selection activeCell="F14" sqref="F14"/>
    </sheetView>
  </sheetViews>
  <sheetFormatPr defaultColWidth="3.28515625" defaultRowHeight="15"/>
  <cols>
    <col min="2" max="4" width="8.5703125" customWidth="1"/>
    <col min="5" max="6" width="8.5703125" style="52" customWidth="1"/>
    <col min="7" max="7" width="8.42578125" bestFit="1" customWidth="1"/>
    <col min="9" max="14" width="8.42578125" bestFit="1" customWidth="1"/>
    <col min="15" max="15" width="1.5703125" customWidth="1"/>
  </cols>
  <sheetData>
    <row r="1" spans="2:14">
      <c r="B1" s="50"/>
      <c r="G1" t="s">
        <v>143</v>
      </c>
      <c r="N1" t="s">
        <v>144</v>
      </c>
    </row>
    <row r="2" spans="2:14">
      <c r="B2" s="1">
        <f>IF(Protokoll_5p!F8="","",IF(VALUE(LEFT(Protokoll_5p!F8,FIND(":",Protokoll_5p!F8)-1))&gt;VALUE(RIGHT(Protokoll_5p!F8,LEN(Protokoll_5p!F8)-FIND(":",Protokoll_5p!F8))),1,0))</f>
        <v>0</v>
      </c>
      <c r="C2" s="1">
        <f>IF(Protokoll_5p!G8="","",IF(VALUE(LEFT(Protokoll_5p!G8,FIND(":",Protokoll_5p!G8)-1))&gt;VALUE(RIGHT(Protokoll_5p!G8,LEN(Protokoll_5p!G8)-FIND(":",Protokoll_5p!G8))),1,0))</f>
        <v>0</v>
      </c>
      <c r="D2" s="1">
        <f>IF(Protokoll_5p!H8="","",IF(VALUE(LEFT(Protokoll_5p!H8,FIND(":",Protokoll_5p!H8)-1))&gt;VALUE(RIGHT(Protokoll_5p!H8,LEN(Protokoll_5p!H8)-FIND(":",Protokoll_5p!H8))),1,0))</f>
        <v>0</v>
      </c>
      <c r="E2" s="1" t="str">
        <f>IF(Protokoll_5p!I8="","",IF(VALUE(LEFT(Protokoll_5p!I8,FIND(":",Protokoll_5p!I8)-1))&gt;VALUE(RIGHT(Protokoll_5p!I8,LEN(Protokoll_5p!I8)-FIND(":",Protokoll_5p!I8))),1,0))</f>
        <v/>
      </c>
      <c r="F2" s="1" t="str">
        <f>IF(Protokoll_5p!J8="","",IF(VALUE(LEFT(Protokoll_5p!J8,FIND(":",Protokoll_5p!J8)-1))&gt;VALUE(RIGHT(Protokoll_5p!J8,LEN(Protokoll_5p!J8)-FIND(":",Protokoll_5p!J8))),1,0))</f>
        <v/>
      </c>
      <c r="G2" s="1">
        <f>IF(B2="","",SUM(B2:F2))</f>
        <v>0</v>
      </c>
      <c r="I2" s="1">
        <f>IF(Protokoll_5p!F8="","",IF(VALUE(LEFT(Protokoll_5p!F8,FIND(":",Protokoll_5p!F8)-1))&gt;VALUE(RIGHT(Protokoll_5p!F8,LEN(Protokoll_5p!F8)-FIND(":",Protokoll_5p!F8))),0,1))</f>
        <v>1</v>
      </c>
      <c r="J2" s="1">
        <f>IF(Protokoll_5p!G8="","",IF(VALUE(LEFT(Protokoll_5p!G8,FIND(":",Protokoll_5p!G8)-1))&gt;VALUE(RIGHT(Protokoll_5p!G8,LEN(Protokoll_5p!G8)-FIND(":",Protokoll_5p!G8))),0,1))</f>
        <v>1</v>
      </c>
      <c r="K2" s="1">
        <f>IF(Protokoll_5p!H8="","",IF(VALUE(LEFT(Protokoll_5p!H8,FIND(":",Protokoll_5p!H8)-1))&gt;VALUE(RIGHT(Protokoll_5p!H8,LEN(Protokoll_5p!H8)-FIND(":",Protokoll_5p!H8))),0,1))</f>
        <v>1</v>
      </c>
      <c r="L2" s="1" t="str">
        <f>IF(Protokoll_5p!I8="","",IF(VALUE(LEFT(Protokoll_5p!I8,FIND(":",Protokoll_5p!I8)-1))&gt;VALUE(RIGHT(Protokoll_5p!I8,LEN(Protokoll_5p!I8)-FIND(":",Protokoll_5p!I8))),0,1))</f>
        <v/>
      </c>
      <c r="M2" s="1" t="str">
        <f>IF(Protokoll_5p!J8="","",IF(VALUE(LEFT(Protokoll_5p!J8,FIND(":",Protokoll_5p!J8)-1))&gt;VALUE(RIGHT(Protokoll_5p!J8,LEN(Protokoll_5p!J8)-FIND(":",Protokoll_5p!J8))),0,1))</f>
        <v/>
      </c>
      <c r="N2" s="1">
        <f>IF(I2="","",SUM(I2:M2))</f>
        <v>3</v>
      </c>
    </row>
    <row r="3" spans="2:14">
      <c r="B3" s="1">
        <f>IF(Protokoll_5p!F9="","",IF(VALUE(LEFT(Protokoll_5p!F9,FIND(":",Protokoll_5p!F9)-1))&gt;VALUE(RIGHT(Protokoll_5p!F9,LEN(Protokoll_5p!F9)-FIND(":",Protokoll_5p!F9))),1,0))</f>
        <v>0</v>
      </c>
      <c r="C3" s="1">
        <f>IF(Protokoll_5p!G9="","",IF(VALUE(LEFT(Protokoll_5p!G9,FIND(":",Protokoll_5p!G9)-1))&gt;VALUE(RIGHT(Protokoll_5p!G9,LEN(Protokoll_5p!G9)-FIND(":",Protokoll_5p!G9))),1,0))</f>
        <v>1</v>
      </c>
      <c r="D3" s="1">
        <f>IF(Protokoll_5p!H9="","",IF(VALUE(LEFT(Protokoll_5p!H9,FIND(":",Protokoll_5p!H9)-1))&gt;VALUE(RIGHT(Protokoll_5p!H9,LEN(Protokoll_5p!H9)-FIND(":",Protokoll_5p!H9))),1,0))</f>
        <v>0</v>
      </c>
      <c r="E3" s="1">
        <f>IF(Protokoll_5p!I9="","",IF(VALUE(LEFT(Protokoll_5p!I9,FIND(":",Protokoll_5p!I9)-1))&gt;VALUE(RIGHT(Protokoll_5p!I9,LEN(Protokoll_5p!I9)-FIND(":",Protokoll_5p!I9))),1,0))</f>
        <v>0</v>
      </c>
      <c r="F3" s="1" t="str">
        <f>IF(Protokoll_5p!J9="","",IF(VALUE(LEFT(Protokoll_5p!J9,FIND(":",Protokoll_5p!J9)-1))&gt;VALUE(RIGHT(Protokoll_5p!J9,LEN(Protokoll_5p!J9)-FIND(":",Protokoll_5p!J9))),1,0))</f>
        <v/>
      </c>
      <c r="G3" s="1">
        <f t="shared" ref="G3:G66" si="0">IF(B3="","",SUM(B3:F3))</f>
        <v>1</v>
      </c>
      <c r="I3" s="1">
        <f>IF(Protokoll_5p!F9="","",IF(VALUE(LEFT(Protokoll_5p!F9,FIND(":",Protokoll_5p!F9)-1))&gt;VALUE(RIGHT(Protokoll_5p!F9,LEN(Protokoll_5p!F9)-FIND(":",Protokoll_5p!F9))),0,1))</f>
        <v>1</v>
      </c>
      <c r="J3" s="1">
        <f>IF(Protokoll_5p!G9="","",IF(VALUE(LEFT(Protokoll_5p!G9,FIND(":",Protokoll_5p!G9)-1))&gt;VALUE(RIGHT(Protokoll_5p!G9,LEN(Protokoll_5p!G9)-FIND(":",Protokoll_5p!G9))),0,1))</f>
        <v>0</v>
      </c>
      <c r="K3" s="1">
        <f>IF(Protokoll_5p!H9="","",IF(VALUE(LEFT(Protokoll_5p!H9,FIND(":",Protokoll_5p!H9)-1))&gt;VALUE(RIGHT(Protokoll_5p!H9,LEN(Protokoll_5p!H9)-FIND(":",Protokoll_5p!H9))),0,1))</f>
        <v>1</v>
      </c>
      <c r="L3" s="1">
        <f>IF(Protokoll_5p!I9="","",IF(VALUE(LEFT(Protokoll_5p!I9,FIND(":",Protokoll_5p!I9)-1))&gt;VALUE(RIGHT(Protokoll_5p!I9,LEN(Protokoll_5p!I9)-FIND(":",Protokoll_5p!I9))),0,1))</f>
        <v>1</v>
      </c>
      <c r="M3" s="1" t="str">
        <f>IF(Protokoll_5p!J9="","",IF(VALUE(LEFT(Protokoll_5p!J9,FIND(":",Protokoll_5p!J9)-1))&gt;VALUE(RIGHT(Protokoll_5p!J9,LEN(Protokoll_5p!J9)-FIND(":",Protokoll_5p!J9))),0,1))</f>
        <v/>
      </c>
      <c r="N3" s="1">
        <f t="shared" ref="N3:N66" si="1">IF(I3="","",SUM(I3:M3))</f>
        <v>3</v>
      </c>
    </row>
    <row r="4" spans="2:14">
      <c r="B4" s="1">
        <f>IF(Protokoll_5p!F10="","",IF(VALUE(LEFT(Protokoll_5p!F10,FIND(":",Protokoll_5p!F10)-1))&gt;VALUE(RIGHT(Protokoll_5p!F10,LEN(Protokoll_5p!F10)-FIND(":",Protokoll_5p!F10))),1,0))</f>
        <v>0</v>
      </c>
      <c r="C4" s="1">
        <f>IF(Protokoll_5p!G10="","",IF(VALUE(LEFT(Protokoll_5p!G10,FIND(":",Protokoll_5p!G10)-1))&gt;VALUE(RIGHT(Protokoll_5p!G10,LEN(Protokoll_5p!G10)-FIND(":",Protokoll_5p!G10))),1,0))</f>
        <v>1</v>
      </c>
      <c r="D4" s="1">
        <f>IF(Protokoll_5p!H10="","",IF(VALUE(LEFT(Protokoll_5p!H10,FIND(":",Protokoll_5p!H10)-1))&gt;VALUE(RIGHT(Protokoll_5p!H10,LEN(Protokoll_5p!H10)-FIND(":",Protokoll_5p!H10))),1,0))</f>
        <v>1</v>
      </c>
      <c r="E4" s="1">
        <f>IF(Protokoll_5p!I10="","",IF(VALUE(LEFT(Protokoll_5p!I10,FIND(":",Protokoll_5p!I10)-1))&gt;VALUE(RIGHT(Protokoll_5p!I10,LEN(Protokoll_5p!I10)-FIND(":",Protokoll_5p!I10))),1,0))</f>
        <v>0</v>
      </c>
      <c r="F4" s="1">
        <f>IF(Protokoll_5p!J10="","",IF(VALUE(LEFT(Protokoll_5p!J10,FIND(":",Protokoll_5p!J10)-1))&gt;VALUE(RIGHT(Protokoll_5p!J10,LEN(Protokoll_5p!J10)-FIND(":",Protokoll_5p!J10))),1,0))</f>
        <v>1</v>
      </c>
      <c r="G4" s="1">
        <f t="shared" si="0"/>
        <v>3</v>
      </c>
      <c r="I4" s="1">
        <f>IF(Protokoll_5p!F10="","",IF(VALUE(LEFT(Protokoll_5p!F10,FIND(":",Protokoll_5p!F10)-1))&gt;VALUE(RIGHT(Protokoll_5p!F10,LEN(Protokoll_5p!F10)-FIND(":",Protokoll_5p!F10))),0,1))</f>
        <v>1</v>
      </c>
      <c r="J4" s="1">
        <f>IF(Protokoll_5p!G10="","",IF(VALUE(LEFT(Protokoll_5p!G10,FIND(":",Protokoll_5p!G10)-1))&gt;VALUE(RIGHT(Protokoll_5p!G10,LEN(Protokoll_5p!G10)-FIND(":",Protokoll_5p!G10))),0,1))</f>
        <v>0</v>
      </c>
      <c r="K4" s="1">
        <f>IF(Protokoll_5p!H10="","",IF(VALUE(LEFT(Protokoll_5p!H10,FIND(":",Protokoll_5p!H10)-1))&gt;VALUE(RIGHT(Protokoll_5p!H10,LEN(Protokoll_5p!H10)-FIND(":",Protokoll_5p!H10))),0,1))</f>
        <v>0</v>
      </c>
      <c r="L4" s="1">
        <f>IF(Protokoll_5p!I10="","",IF(VALUE(LEFT(Protokoll_5p!I10,FIND(":",Protokoll_5p!I10)-1))&gt;VALUE(RIGHT(Protokoll_5p!I10,LEN(Protokoll_5p!I10)-FIND(":",Protokoll_5p!I10))),0,1))</f>
        <v>1</v>
      </c>
      <c r="M4" s="1">
        <f>IF(Protokoll_5p!J10="","",IF(VALUE(LEFT(Protokoll_5p!J10,FIND(":",Protokoll_5p!J10)-1))&gt;VALUE(RIGHT(Protokoll_5p!J10,LEN(Protokoll_5p!J10)-FIND(":",Protokoll_5p!J10))),0,1))</f>
        <v>0</v>
      </c>
      <c r="N4" s="1">
        <f t="shared" si="1"/>
        <v>2</v>
      </c>
    </row>
    <row r="5" spans="2:14">
      <c r="B5" s="1">
        <f>IF(Protokoll_5p!F11="","",IF(VALUE(LEFT(Protokoll_5p!F11,FIND(":",Protokoll_5p!F11)-1))&gt;VALUE(RIGHT(Protokoll_5p!F11,LEN(Protokoll_5p!F11)-FIND(":",Protokoll_5p!F11))),1,0))</f>
        <v>0</v>
      </c>
      <c r="C5" s="1">
        <f>IF(Protokoll_5p!G11="","",IF(VALUE(LEFT(Protokoll_5p!G11,FIND(":",Protokoll_5p!G11)-1))&gt;VALUE(RIGHT(Protokoll_5p!G11,LEN(Protokoll_5p!G11)-FIND(":",Protokoll_5p!G11))),1,0))</f>
        <v>1</v>
      </c>
      <c r="D5" s="1">
        <f>IF(Protokoll_5p!H11="","",IF(VALUE(LEFT(Protokoll_5p!H11,FIND(":",Protokoll_5p!H11)-1))&gt;VALUE(RIGHT(Protokoll_5p!H11,LEN(Protokoll_5p!H11)-FIND(":",Protokoll_5p!H11))),1,0))</f>
        <v>1</v>
      </c>
      <c r="E5" s="1">
        <f>IF(Protokoll_5p!I11="","",IF(VALUE(LEFT(Protokoll_5p!I11,FIND(":",Protokoll_5p!I11)-1))&gt;VALUE(RIGHT(Protokoll_5p!I11,LEN(Protokoll_5p!I11)-FIND(":",Protokoll_5p!I11))),1,0))</f>
        <v>0</v>
      </c>
      <c r="F5" s="1">
        <f>IF(Protokoll_5p!J11="","",IF(VALUE(LEFT(Protokoll_5p!J11,FIND(":",Protokoll_5p!J11)-1))&gt;VALUE(RIGHT(Protokoll_5p!J11,LEN(Protokoll_5p!J11)-FIND(":",Protokoll_5p!J11))),1,0))</f>
        <v>0</v>
      </c>
      <c r="G5" s="1">
        <f t="shared" si="0"/>
        <v>2</v>
      </c>
      <c r="I5" s="1">
        <f>IF(Protokoll_5p!F11="","",IF(VALUE(LEFT(Protokoll_5p!F11,FIND(":",Protokoll_5p!F11)-1))&gt;VALUE(RIGHT(Protokoll_5p!F11,LEN(Protokoll_5p!F11)-FIND(":",Protokoll_5p!F11))),0,1))</f>
        <v>1</v>
      </c>
      <c r="J5" s="1">
        <f>IF(Protokoll_5p!G11="","",IF(VALUE(LEFT(Protokoll_5p!G11,FIND(":",Protokoll_5p!G11)-1))&gt;VALUE(RIGHT(Protokoll_5p!G11,LEN(Protokoll_5p!G11)-FIND(":",Protokoll_5p!G11))),0,1))</f>
        <v>0</v>
      </c>
      <c r="K5" s="1">
        <f>IF(Protokoll_5p!H11="","",IF(VALUE(LEFT(Protokoll_5p!H11,FIND(":",Protokoll_5p!H11)-1))&gt;VALUE(RIGHT(Protokoll_5p!H11,LEN(Protokoll_5p!H11)-FIND(":",Protokoll_5p!H11))),0,1))</f>
        <v>0</v>
      </c>
      <c r="L5" s="1">
        <f>IF(Protokoll_5p!I11="","",IF(VALUE(LEFT(Protokoll_5p!I11,FIND(":",Protokoll_5p!I11)-1))&gt;VALUE(RIGHT(Protokoll_5p!I11,LEN(Protokoll_5p!I11)-FIND(":",Protokoll_5p!I11))),0,1))</f>
        <v>1</v>
      </c>
      <c r="M5" s="1">
        <f>IF(Protokoll_5p!J11="","",IF(VALUE(LEFT(Protokoll_5p!J11,FIND(":",Protokoll_5p!J11)-1))&gt;VALUE(RIGHT(Protokoll_5p!J11,LEN(Protokoll_5p!J11)-FIND(":",Protokoll_5p!J11))),0,1))</f>
        <v>1</v>
      </c>
      <c r="N5" s="1">
        <f t="shared" si="1"/>
        <v>3</v>
      </c>
    </row>
    <row r="6" spans="2:14">
      <c r="B6" s="1" t="str">
        <f>IF(Protokoll_5p!F12="","",IF(VALUE(LEFT(Protokoll_5p!F12,FIND(":",Protokoll_5p!F12)-1))&gt;VALUE(RIGHT(Protokoll_5p!F12,LEN(Protokoll_5p!F12)-FIND(":",Protokoll_5p!F12))),1,0))</f>
        <v/>
      </c>
      <c r="C6" s="1" t="str">
        <f>IF(Protokoll_5p!G12="","",IF(VALUE(LEFT(Protokoll_5p!G12,FIND(":",Protokoll_5p!G12)-1))&gt;VALUE(RIGHT(Protokoll_5p!G12,LEN(Protokoll_5p!G12)-FIND(":",Protokoll_5p!G12))),1,0))</f>
        <v/>
      </c>
      <c r="D6" s="1" t="str">
        <f>IF(Protokoll_5p!H12="","",IF(VALUE(LEFT(Protokoll_5p!H12,FIND(":",Protokoll_5p!H12)-1))&gt;VALUE(RIGHT(Protokoll_5p!H12,LEN(Protokoll_5p!H12)-FIND(":",Protokoll_5p!H12))),1,0))</f>
        <v/>
      </c>
      <c r="E6" s="1" t="str">
        <f>IF(Protokoll_5p!I12="","",IF(VALUE(LEFT(Protokoll_5p!I12,FIND(":",Protokoll_5p!I12)-1))&gt;VALUE(RIGHT(Protokoll_5p!I12,LEN(Protokoll_5p!I12)-FIND(":",Protokoll_5p!I12))),1,0))</f>
        <v/>
      </c>
      <c r="F6" s="1" t="str">
        <f>IF(Protokoll_5p!J12="","",IF(VALUE(LEFT(Protokoll_5p!J12,FIND(":",Protokoll_5p!J12)-1))&gt;VALUE(RIGHT(Protokoll_5p!J12,LEN(Protokoll_5p!J12)-FIND(":",Protokoll_5p!J12))),1,0))</f>
        <v/>
      </c>
      <c r="G6" s="1" t="str">
        <f t="shared" si="0"/>
        <v/>
      </c>
      <c r="I6" s="1" t="str">
        <f>IF(Protokoll_5p!F12="","",IF(VALUE(LEFT(Protokoll_5p!F12,FIND(":",Protokoll_5p!F12)-1))&gt;VALUE(RIGHT(Protokoll_5p!F12,LEN(Protokoll_5p!F12)-FIND(":",Protokoll_5p!F12))),0,1))</f>
        <v/>
      </c>
      <c r="J6" s="1" t="str">
        <f>IF(Protokoll_5p!G12="","",IF(VALUE(LEFT(Protokoll_5p!G12,FIND(":",Protokoll_5p!G12)-1))&gt;VALUE(RIGHT(Protokoll_5p!G12,LEN(Protokoll_5p!G12)-FIND(":",Protokoll_5p!G12))),0,1))</f>
        <v/>
      </c>
      <c r="K6" s="1" t="str">
        <f>IF(Protokoll_5p!H12="","",IF(VALUE(LEFT(Protokoll_5p!H12,FIND(":",Protokoll_5p!H12)-1))&gt;VALUE(RIGHT(Protokoll_5p!H12,LEN(Protokoll_5p!H12)-FIND(":",Protokoll_5p!H12))),0,1))</f>
        <v/>
      </c>
      <c r="L6" s="1" t="str">
        <f>IF(Protokoll_5p!I12="","",IF(VALUE(LEFT(Protokoll_5p!I12,FIND(":",Protokoll_5p!I12)-1))&gt;VALUE(RIGHT(Protokoll_5p!I12,LEN(Protokoll_5p!I12)-FIND(":",Protokoll_5p!I12))),0,1))</f>
        <v/>
      </c>
      <c r="M6" s="1" t="str">
        <f>IF(Protokoll_5p!J12="","",IF(VALUE(LEFT(Protokoll_5p!J12,FIND(":",Protokoll_5p!J12)-1))&gt;VALUE(RIGHT(Protokoll_5p!J12,LEN(Protokoll_5p!J12)-FIND(":",Protokoll_5p!J12))),0,1))</f>
        <v/>
      </c>
      <c r="N6" s="1" t="str">
        <f t="shared" si="1"/>
        <v/>
      </c>
    </row>
    <row r="7" spans="2:14">
      <c r="B7" s="1">
        <f>IF(Protokoll_5p!F13="","",IF(VALUE(LEFT(Protokoll_5p!F13,FIND(":",Protokoll_5p!F13)-1))&gt;VALUE(RIGHT(Protokoll_5p!F13,LEN(Protokoll_5p!F13)-FIND(":",Protokoll_5p!F13))),1,0))</f>
        <v>1</v>
      </c>
      <c r="C7" s="1">
        <f>IF(Protokoll_5p!G13="","",IF(VALUE(LEFT(Protokoll_5p!G13,FIND(":",Protokoll_5p!G13)-1))&gt;VALUE(RIGHT(Protokoll_5p!G13,LEN(Protokoll_5p!G13)-FIND(":",Protokoll_5p!G13))),1,0))</f>
        <v>1</v>
      </c>
      <c r="D7" s="1">
        <f>IF(Protokoll_5p!H13="","",IF(VALUE(LEFT(Protokoll_5p!H13,FIND(":",Protokoll_5p!H13)-1))&gt;VALUE(RIGHT(Protokoll_5p!H13,LEN(Protokoll_5p!H13)-FIND(":",Protokoll_5p!H13))),1,0))</f>
        <v>0</v>
      </c>
      <c r="E7" s="1">
        <f>IF(Protokoll_5p!I13="","",IF(VALUE(LEFT(Protokoll_5p!I13,FIND(":",Protokoll_5p!I13)-1))&gt;VALUE(RIGHT(Protokoll_5p!I13,LEN(Protokoll_5p!I13)-FIND(":",Protokoll_5p!I13))),1,0))</f>
        <v>1</v>
      </c>
      <c r="F7" s="1" t="str">
        <f>IF(Protokoll_5p!J13="","",IF(VALUE(LEFT(Protokoll_5p!J13,FIND(":",Protokoll_5p!J13)-1))&gt;VALUE(RIGHT(Protokoll_5p!J13,LEN(Protokoll_5p!J13)-FIND(":",Protokoll_5p!J13))),1,0))</f>
        <v/>
      </c>
      <c r="G7" s="1">
        <f t="shared" si="0"/>
        <v>3</v>
      </c>
      <c r="I7" s="1">
        <f>IF(Protokoll_5p!F13="","",IF(VALUE(LEFT(Protokoll_5p!F13,FIND(":",Protokoll_5p!F13)-1))&gt;VALUE(RIGHT(Protokoll_5p!F13,LEN(Protokoll_5p!F13)-FIND(":",Protokoll_5p!F13))),0,1))</f>
        <v>0</v>
      </c>
      <c r="J7" s="1">
        <f>IF(Protokoll_5p!G13="","",IF(VALUE(LEFT(Protokoll_5p!G13,FIND(":",Protokoll_5p!G13)-1))&gt;VALUE(RIGHT(Protokoll_5p!G13,LEN(Protokoll_5p!G13)-FIND(":",Protokoll_5p!G13))),0,1))</f>
        <v>0</v>
      </c>
      <c r="K7" s="1">
        <f>IF(Protokoll_5p!H13="","",IF(VALUE(LEFT(Protokoll_5p!H13,FIND(":",Protokoll_5p!H13)-1))&gt;VALUE(RIGHT(Protokoll_5p!H13,LEN(Protokoll_5p!H13)-FIND(":",Protokoll_5p!H13))),0,1))</f>
        <v>1</v>
      </c>
      <c r="L7" s="1">
        <f>IF(Protokoll_5p!I13="","",IF(VALUE(LEFT(Protokoll_5p!I13,FIND(":",Protokoll_5p!I13)-1))&gt;VALUE(RIGHT(Protokoll_5p!I13,LEN(Protokoll_5p!I13)-FIND(":",Protokoll_5p!I13))),0,1))</f>
        <v>0</v>
      </c>
      <c r="M7" s="1" t="str">
        <f>IF(Protokoll_5p!J13="","",IF(VALUE(LEFT(Protokoll_5p!J13,FIND(":",Protokoll_5p!J13)-1))&gt;VALUE(RIGHT(Protokoll_5p!J13,LEN(Protokoll_5p!J13)-FIND(":",Protokoll_5p!J13))),0,1))</f>
        <v/>
      </c>
      <c r="N7" s="1">
        <f t="shared" si="1"/>
        <v>1</v>
      </c>
    </row>
    <row r="8" spans="2:14">
      <c r="B8" s="1">
        <f>IF(Protokoll_5p!F14="","",IF(VALUE(LEFT(Protokoll_5p!F14,FIND(":",Protokoll_5p!F14)-1))&gt;VALUE(RIGHT(Protokoll_5p!F14,LEN(Protokoll_5p!F14)-FIND(":",Protokoll_5p!F14))),1,0))</f>
        <v>0</v>
      </c>
      <c r="C8" s="1">
        <f>IF(Protokoll_5p!G14="","",IF(VALUE(LEFT(Protokoll_5p!G14,FIND(":",Protokoll_5p!G14)-1))&gt;VALUE(RIGHT(Protokoll_5p!G14,LEN(Protokoll_5p!G14)-FIND(":",Protokoll_5p!G14))),1,0))</f>
        <v>0</v>
      </c>
      <c r="D8" s="1">
        <f>IF(Protokoll_5p!H14="","",IF(VALUE(LEFT(Protokoll_5p!H14,FIND(":",Protokoll_5p!H14)-1))&gt;VALUE(RIGHT(Protokoll_5p!H14,LEN(Protokoll_5p!H14)-FIND(":",Protokoll_5p!H14))),1,0))</f>
        <v>0</v>
      </c>
      <c r="E8" s="1" t="str">
        <f>IF(Protokoll_5p!I14="","",IF(VALUE(LEFT(Protokoll_5p!I14,FIND(":",Protokoll_5p!I14)-1))&gt;VALUE(RIGHT(Protokoll_5p!I14,LEN(Protokoll_5p!I14)-FIND(":",Protokoll_5p!I14))),1,0))</f>
        <v/>
      </c>
      <c r="F8" s="1" t="str">
        <f>IF(Protokoll_5p!J14="","",IF(VALUE(LEFT(Protokoll_5p!J14,FIND(":",Protokoll_5p!J14)-1))&gt;VALUE(RIGHT(Protokoll_5p!J14,LEN(Protokoll_5p!J14)-FIND(":",Protokoll_5p!J14))),1,0))</f>
        <v/>
      </c>
      <c r="G8" s="1">
        <f t="shared" si="0"/>
        <v>0</v>
      </c>
      <c r="I8" s="1">
        <f>IF(Protokoll_5p!F14="","",IF(VALUE(LEFT(Protokoll_5p!F14,FIND(":",Protokoll_5p!F14)-1))&gt;VALUE(RIGHT(Protokoll_5p!F14,LEN(Protokoll_5p!F14)-FIND(":",Protokoll_5p!F14))),0,1))</f>
        <v>1</v>
      </c>
      <c r="J8" s="1">
        <f>IF(Protokoll_5p!G14="","",IF(VALUE(LEFT(Protokoll_5p!G14,FIND(":",Protokoll_5p!G14)-1))&gt;VALUE(RIGHT(Protokoll_5p!G14,LEN(Protokoll_5p!G14)-FIND(":",Protokoll_5p!G14))),0,1))</f>
        <v>1</v>
      </c>
      <c r="K8" s="1">
        <f>IF(Protokoll_5p!H14="","",IF(VALUE(LEFT(Protokoll_5p!H14,FIND(":",Protokoll_5p!H14)-1))&gt;VALUE(RIGHT(Protokoll_5p!H14,LEN(Protokoll_5p!H14)-FIND(":",Protokoll_5p!H14))),0,1))</f>
        <v>1</v>
      </c>
      <c r="L8" s="1" t="str">
        <f>IF(Protokoll_5p!I14="","",IF(VALUE(LEFT(Protokoll_5p!I14,FIND(":",Protokoll_5p!I14)-1))&gt;VALUE(RIGHT(Protokoll_5p!I14,LEN(Protokoll_5p!I14)-FIND(":",Protokoll_5p!I14))),0,1))</f>
        <v/>
      </c>
      <c r="M8" s="1" t="str">
        <f>IF(Protokoll_5p!J14="","",IF(VALUE(LEFT(Protokoll_5p!J14,FIND(":",Protokoll_5p!J14)-1))&gt;VALUE(RIGHT(Protokoll_5p!J14,LEN(Protokoll_5p!J14)-FIND(":",Protokoll_5p!J14))),0,1))</f>
        <v/>
      </c>
      <c r="N8" s="1">
        <f t="shared" si="1"/>
        <v>3</v>
      </c>
    </row>
    <row r="9" spans="2:14">
      <c r="B9" s="1" t="str">
        <f>IF(Protokoll_5p!F15="","",IF(VALUE(LEFT(Protokoll_5p!F15,FIND(":",Protokoll_5p!F15)-1))&gt;VALUE(RIGHT(Protokoll_5p!F15,LEN(Protokoll_5p!F15)-FIND(":",Protokoll_5p!F15))),1,0))</f>
        <v/>
      </c>
      <c r="C9" s="1" t="str">
        <f>IF(Protokoll_5p!G15="","",IF(VALUE(LEFT(Protokoll_5p!G15,FIND(":",Protokoll_5p!G15)-1))&gt;VALUE(RIGHT(Protokoll_5p!G15,LEN(Protokoll_5p!G15)-FIND(":",Protokoll_5p!G15))),1,0))</f>
        <v/>
      </c>
      <c r="D9" s="1" t="str">
        <f>IF(Protokoll_5p!H15="","",IF(VALUE(LEFT(Protokoll_5p!H15,FIND(":",Protokoll_5p!H15)-1))&gt;VALUE(RIGHT(Protokoll_5p!H15,LEN(Protokoll_5p!H15)-FIND(":",Protokoll_5p!H15))),1,0))</f>
        <v/>
      </c>
      <c r="E9" s="1" t="str">
        <f>IF(Protokoll_5p!I15="","",IF(VALUE(LEFT(Protokoll_5p!I15,FIND(":",Protokoll_5p!I15)-1))&gt;VALUE(RIGHT(Protokoll_5p!I15,LEN(Protokoll_5p!I15)-FIND(":",Protokoll_5p!I15))),1,0))</f>
        <v/>
      </c>
      <c r="F9" s="1" t="str">
        <f>IF(Protokoll_5p!J15="","",IF(VALUE(LEFT(Protokoll_5p!J15,FIND(":",Protokoll_5p!J15)-1))&gt;VALUE(RIGHT(Protokoll_5p!J15,LEN(Protokoll_5p!J15)-FIND(":",Protokoll_5p!J15))),1,0))</f>
        <v/>
      </c>
      <c r="G9" s="1" t="str">
        <f t="shared" si="0"/>
        <v/>
      </c>
      <c r="I9" s="1" t="str">
        <f>IF(Protokoll_5p!F15="","",IF(VALUE(LEFT(Protokoll_5p!F15,FIND(":",Protokoll_5p!F15)-1))&gt;VALUE(RIGHT(Protokoll_5p!F15,LEN(Protokoll_5p!F15)-FIND(":",Protokoll_5p!F15))),0,1))</f>
        <v/>
      </c>
      <c r="J9" s="1" t="str">
        <f>IF(Protokoll_5p!G15="","",IF(VALUE(LEFT(Protokoll_5p!G15,FIND(":",Protokoll_5p!G15)-1))&gt;VALUE(RIGHT(Protokoll_5p!G15,LEN(Protokoll_5p!G15)-FIND(":",Protokoll_5p!G15))),0,1))</f>
        <v/>
      </c>
      <c r="K9" s="1" t="str">
        <f>IF(Protokoll_5p!H15="","",IF(VALUE(LEFT(Protokoll_5p!H15,FIND(":",Protokoll_5p!H15)-1))&gt;VALUE(RIGHT(Protokoll_5p!H15,LEN(Protokoll_5p!H15)-FIND(":",Protokoll_5p!H15))),0,1))</f>
        <v/>
      </c>
      <c r="L9" s="1" t="str">
        <f>IF(Protokoll_5p!I15="","",IF(VALUE(LEFT(Protokoll_5p!I15,FIND(":",Protokoll_5p!I15)-1))&gt;VALUE(RIGHT(Protokoll_5p!I15,LEN(Protokoll_5p!I15)-FIND(":",Protokoll_5p!I15))),0,1))</f>
        <v/>
      </c>
      <c r="M9" s="1" t="str">
        <f>IF(Protokoll_5p!J15="","",IF(VALUE(LEFT(Protokoll_5p!J15,FIND(":",Protokoll_5p!J15)-1))&gt;VALUE(RIGHT(Protokoll_5p!J15,LEN(Protokoll_5p!J15)-FIND(":",Protokoll_5p!J15))),0,1))</f>
        <v/>
      </c>
      <c r="N9" s="1" t="str">
        <f t="shared" si="1"/>
        <v/>
      </c>
    </row>
    <row r="10" spans="2:14">
      <c r="B10" s="1" t="str">
        <f>IF(Protokoll_5p!F16="","",IF(VALUE(LEFT(Protokoll_5p!F16,FIND(":",Protokoll_5p!F16)-1))&gt;VALUE(RIGHT(Protokoll_5p!F16,LEN(Protokoll_5p!F16)-FIND(":",Protokoll_5p!F16))),1,0))</f>
        <v/>
      </c>
      <c r="C10" s="1" t="str">
        <f>IF(Protokoll_5p!G16="","",IF(VALUE(LEFT(Protokoll_5p!G16,FIND(":",Protokoll_5p!G16)-1))&gt;VALUE(RIGHT(Protokoll_5p!G16,LEN(Protokoll_5p!G16)-FIND(":",Protokoll_5p!G16))),1,0))</f>
        <v/>
      </c>
      <c r="D10" s="1" t="str">
        <f>IF(Protokoll_5p!H16="","",IF(VALUE(LEFT(Protokoll_5p!H16,FIND(":",Protokoll_5p!H16)-1))&gt;VALUE(RIGHT(Protokoll_5p!H16,LEN(Protokoll_5p!H16)-FIND(":",Protokoll_5p!H16))),1,0))</f>
        <v/>
      </c>
      <c r="E10" s="1" t="str">
        <f>IF(Protokoll_5p!I16="","",IF(VALUE(LEFT(Protokoll_5p!I16,FIND(":",Protokoll_5p!I16)-1))&gt;VALUE(RIGHT(Protokoll_5p!I16,LEN(Protokoll_5p!I16)-FIND(":",Protokoll_5p!I16))),1,0))</f>
        <v/>
      </c>
      <c r="F10" s="1" t="str">
        <f>IF(Protokoll_5p!J16="","",IF(VALUE(LEFT(Protokoll_5p!J16,FIND(":",Protokoll_5p!J16)-1))&gt;VALUE(RIGHT(Protokoll_5p!J16,LEN(Protokoll_5p!J16)-FIND(":",Protokoll_5p!J16))),1,0))</f>
        <v/>
      </c>
      <c r="G10" s="1" t="str">
        <f t="shared" si="0"/>
        <v/>
      </c>
      <c r="I10" s="1" t="str">
        <f>IF(Protokoll_5p!F16="","",IF(VALUE(LEFT(Protokoll_5p!F16,FIND(":",Protokoll_5p!F16)-1))&gt;VALUE(RIGHT(Protokoll_5p!F16,LEN(Protokoll_5p!F16)-FIND(":",Protokoll_5p!F16))),0,1))</f>
        <v/>
      </c>
      <c r="J10" s="1" t="str">
        <f>IF(Protokoll_5p!G16="","",IF(VALUE(LEFT(Protokoll_5p!G16,FIND(":",Protokoll_5p!G16)-1))&gt;VALUE(RIGHT(Protokoll_5p!G16,LEN(Protokoll_5p!G16)-FIND(":",Protokoll_5p!G16))),0,1))</f>
        <v/>
      </c>
      <c r="K10" s="1" t="str">
        <f>IF(Protokoll_5p!H16="","",IF(VALUE(LEFT(Protokoll_5p!H16,FIND(":",Protokoll_5p!H16)-1))&gt;VALUE(RIGHT(Protokoll_5p!H16,LEN(Protokoll_5p!H16)-FIND(":",Protokoll_5p!H16))),0,1))</f>
        <v/>
      </c>
      <c r="L10" s="1" t="str">
        <f>IF(Protokoll_5p!I16="","",IF(VALUE(LEFT(Protokoll_5p!I16,FIND(":",Protokoll_5p!I16)-1))&gt;VALUE(RIGHT(Protokoll_5p!I16,LEN(Protokoll_5p!I16)-FIND(":",Protokoll_5p!I16))),0,1))</f>
        <v/>
      </c>
      <c r="M10" s="1" t="str">
        <f>IF(Protokoll_5p!J16="","",IF(VALUE(LEFT(Protokoll_5p!J16,FIND(":",Protokoll_5p!J16)-1))&gt;VALUE(RIGHT(Protokoll_5p!J16,LEN(Protokoll_5p!J16)-FIND(":",Protokoll_5p!J16))),0,1))</f>
        <v/>
      </c>
      <c r="N10" s="1" t="str">
        <f t="shared" si="1"/>
        <v/>
      </c>
    </row>
    <row r="11" spans="2:14">
      <c r="B11" s="1" t="e">
        <f>IF(Protokoll_5p!F17="","",IF(VALUE(LEFT(Protokoll_5p!F17,FIND(":",Protokoll_5p!F17)-1))&gt;VALUE(RIGHT(Protokoll_5p!F17,LEN(Protokoll_5p!F17)-FIND(":",Protokoll_5p!F17))),1,0))</f>
        <v>#VALUE!</v>
      </c>
      <c r="C11" s="1" t="e">
        <f>IF(Protokoll_5p!G17="","",IF(VALUE(LEFT(Protokoll_5p!G17,FIND(":",Protokoll_5p!G17)-1))&gt;VALUE(RIGHT(Protokoll_5p!G17,LEN(Protokoll_5p!G17)-FIND(":",Protokoll_5p!G17))),1,0))</f>
        <v>#VALUE!</v>
      </c>
      <c r="D11" s="1" t="e">
        <f>IF(Protokoll_5p!H17="","",IF(VALUE(LEFT(Protokoll_5p!H17,FIND(":",Protokoll_5p!H17)-1))&gt;VALUE(RIGHT(Protokoll_5p!H17,LEN(Protokoll_5p!H17)-FIND(":",Protokoll_5p!H17))),1,0))</f>
        <v>#VALUE!</v>
      </c>
      <c r="E11" s="1" t="e">
        <f>IF(Protokoll_5p!I17="","",IF(VALUE(LEFT(Protokoll_5p!I17,FIND(":",Protokoll_5p!I17)-1))&gt;VALUE(RIGHT(Protokoll_5p!I17,LEN(Protokoll_5p!I17)-FIND(":",Protokoll_5p!I17))),1,0))</f>
        <v>#VALUE!</v>
      </c>
      <c r="F11" s="1" t="e">
        <f>IF(Protokoll_5p!J17="","",IF(VALUE(LEFT(Protokoll_5p!J17,FIND(":",Protokoll_5p!J17)-1))&gt;VALUE(RIGHT(Protokoll_5p!J17,LEN(Protokoll_5p!J17)-FIND(":",Protokoll_5p!J17))),1,0))</f>
        <v>#VALUE!</v>
      </c>
      <c r="G11" s="1" t="e">
        <f t="shared" si="0"/>
        <v>#VALUE!</v>
      </c>
      <c r="I11" s="1" t="e">
        <f>IF(Protokoll_5p!F17="","",IF(VALUE(LEFT(Protokoll_5p!F17,FIND(":",Protokoll_5p!F17)-1))&gt;VALUE(RIGHT(Protokoll_5p!F17,LEN(Protokoll_5p!F17)-FIND(":",Protokoll_5p!F17))),0,1))</f>
        <v>#VALUE!</v>
      </c>
      <c r="J11" s="1" t="e">
        <f>IF(Protokoll_5p!G17="","",IF(VALUE(LEFT(Protokoll_5p!G17,FIND(":",Protokoll_5p!G17)-1))&gt;VALUE(RIGHT(Protokoll_5p!G17,LEN(Protokoll_5p!G17)-FIND(":",Protokoll_5p!G17))),0,1))</f>
        <v>#VALUE!</v>
      </c>
      <c r="K11" s="1" t="e">
        <f>IF(Protokoll_5p!H17="","",IF(VALUE(LEFT(Protokoll_5p!H17,FIND(":",Protokoll_5p!H17)-1))&gt;VALUE(RIGHT(Protokoll_5p!H17,LEN(Protokoll_5p!H17)-FIND(":",Protokoll_5p!H17))),0,1))</f>
        <v>#VALUE!</v>
      </c>
      <c r="L11" s="1" t="e">
        <f>IF(Protokoll_5p!I17="","",IF(VALUE(LEFT(Protokoll_5p!I17,FIND(":",Protokoll_5p!I17)-1))&gt;VALUE(RIGHT(Protokoll_5p!I17,LEN(Protokoll_5p!I17)-FIND(":",Protokoll_5p!I17))),0,1))</f>
        <v>#VALUE!</v>
      </c>
      <c r="M11" s="1" t="e">
        <f>IF(Protokoll_5p!J17="","",IF(VALUE(LEFT(Protokoll_5p!J17,FIND(":",Protokoll_5p!J17)-1))&gt;VALUE(RIGHT(Protokoll_5p!J17,LEN(Protokoll_5p!J17)-FIND(":",Protokoll_5p!J17))),0,1))</f>
        <v>#VALUE!</v>
      </c>
      <c r="N11" s="1" t="e">
        <f t="shared" si="1"/>
        <v>#VALUE!</v>
      </c>
    </row>
    <row r="12" spans="2:14">
      <c r="B12" s="1">
        <f>IF(Protokoll_5p!F18="","",IF(VALUE(LEFT(Protokoll_5p!F18,FIND(":",Protokoll_5p!F18)-1))&gt;VALUE(RIGHT(Protokoll_5p!F18,LEN(Protokoll_5p!F18)-FIND(":",Protokoll_5p!F18))),1,0))</f>
        <v>1</v>
      </c>
      <c r="C12" s="1">
        <f>IF(Protokoll_5p!G18="","",IF(VALUE(LEFT(Protokoll_5p!G18,FIND(":",Protokoll_5p!G18)-1))&gt;VALUE(RIGHT(Protokoll_5p!G18,LEN(Protokoll_5p!G18)-FIND(":",Protokoll_5p!G18))),1,0))</f>
        <v>1</v>
      </c>
      <c r="D12" s="1">
        <f>IF(Protokoll_5p!H18="","",IF(VALUE(LEFT(Protokoll_5p!H18,FIND(":",Protokoll_5p!H18)-1))&gt;VALUE(RIGHT(Protokoll_5p!H18,LEN(Protokoll_5p!H18)-FIND(":",Protokoll_5p!H18))),1,0))</f>
        <v>1</v>
      </c>
      <c r="E12" s="1" t="str">
        <f>IF(Protokoll_5p!I18="","",IF(VALUE(LEFT(Protokoll_5p!I18,FIND(":",Protokoll_5p!I18)-1))&gt;VALUE(RIGHT(Protokoll_5p!I18,LEN(Protokoll_5p!I18)-FIND(":",Protokoll_5p!I18))),1,0))</f>
        <v/>
      </c>
      <c r="F12" s="1" t="str">
        <f>IF(Protokoll_5p!J18="","",IF(VALUE(LEFT(Protokoll_5p!J18,FIND(":",Protokoll_5p!J18)-1))&gt;VALUE(RIGHT(Protokoll_5p!J18,LEN(Protokoll_5p!J18)-FIND(":",Protokoll_5p!J18))),1,0))</f>
        <v/>
      </c>
      <c r="G12" s="1">
        <f t="shared" si="0"/>
        <v>3</v>
      </c>
      <c r="I12" s="1">
        <f>IF(Protokoll_5p!F18="","",IF(VALUE(LEFT(Protokoll_5p!F18,FIND(":",Protokoll_5p!F18)-1))&gt;VALUE(RIGHT(Protokoll_5p!F18,LEN(Protokoll_5p!F18)-FIND(":",Protokoll_5p!F18))),0,1))</f>
        <v>0</v>
      </c>
      <c r="J12" s="1">
        <f>IF(Protokoll_5p!G18="","",IF(VALUE(LEFT(Protokoll_5p!G18,FIND(":",Protokoll_5p!G18)-1))&gt;VALUE(RIGHT(Protokoll_5p!G18,LEN(Protokoll_5p!G18)-FIND(":",Protokoll_5p!G18))),0,1))</f>
        <v>0</v>
      </c>
      <c r="K12" s="1">
        <f>IF(Protokoll_5p!H18="","",IF(VALUE(LEFT(Protokoll_5p!H18,FIND(":",Protokoll_5p!H18)-1))&gt;VALUE(RIGHT(Protokoll_5p!H18,LEN(Protokoll_5p!H18)-FIND(":",Protokoll_5p!H18))),0,1))</f>
        <v>0</v>
      </c>
      <c r="L12" s="1" t="str">
        <f>IF(Protokoll_5p!I18="","",IF(VALUE(LEFT(Protokoll_5p!I18,FIND(":",Protokoll_5p!I18)-1))&gt;VALUE(RIGHT(Protokoll_5p!I18,LEN(Protokoll_5p!I18)-FIND(":",Protokoll_5p!I18))),0,1))</f>
        <v/>
      </c>
      <c r="M12" s="1" t="str">
        <f>IF(Protokoll_5p!J18="","",IF(VALUE(LEFT(Protokoll_5p!J18,FIND(":",Protokoll_5p!J18)-1))&gt;VALUE(RIGHT(Protokoll_5p!J18,LEN(Protokoll_5p!J18)-FIND(":",Protokoll_5p!J18))),0,1))</f>
        <v/>
      </c>
      <c r="N12" s="1">
        <f t="shared" si="1"/>
        <v>0</v>
      </c>
    </row>
    <row r="13" spans="2:14">
      <c r="B13" s="1">
        <f>IF(Protokoll_5p!F19="","",IF(VALUE(LEFT(Protokoll_5p!F19,FIND(":",Protokoll_5p!F19)-1))&gt;VALUE(RIGHT(Protokoll_5p!F19,LEN(Protokoll_5p!F19)-FIND(":",Protokoll_5p!F19))),1,0))</f>
        <v>0</v>
      </c>
      <c r="C13" s="1">
        <f>IF(Protokoll_5p!G19="","",IF(VALUE(LEFT(Protokoll_5p!G19,FIND(":",Protokoll_5p!G19)-1))&gt;VALUE(RIGHT(Protokoll_5p!G19,LEN(Protokoll_5p!G19)-FIND(":",Protokoll_5p!G19))),1,0))</f>
        <v>1</v>
      </c>
      <c r="D13" s="1">
        <f>IF(Protokoll_5p!H19="","",IF(VALUE(LEFT(Protokoll_5p!H19,FIND(":",Protokoll_5p!H19)-1))&gt;VALUE(RIGHT(Protokoll_5p!H19,LEN(Protokoll_5p!H19)-FIND(":",Protokoll_5p!H19))),1,0))</f>
        <v>0</v>
      </c>
      <c r="E13" s="1">
        <f>IF(Protokoll_5p!I19="","",IF(VALUE(LEFT(Protokoll_5p!I19,FIND(":",Protokoll_5p!I19)-1))&gt;VALUE(RIGHT(Protokoll_5p!I19,LEN(Protokoll_5p!I19)-FIND(":",Protokoll_5p!I19))),1,0))</f>
        <v>0</v>
      </c>
      <c r="F13" s="1" t="str">
        <f>IF(Protokoll_5p!J19="","",IF(VALUE(LEFT(Protokoll_5p!J19,FIND(":",Protokoll_5p!J19)-1))&gt;VALUE(RIGHT(Protokoll_5p!J19,LEN(Protokoll_5p!J19)-FIND(":",Protokoll_5p!J19))),1,0))</f>
        <v/>
      </c>
      <c r="G13" s="1">
        <f t="shared" si="0"/>
        <v>1</v>
      </c>
      <c r="I13" s="1">
        <f>IF(Protokoll_5p!F19="","",IF(VALUE(LEFT(Protokoll_5p!F19,FIND(":",Protokoll_5p!F19)-1))&gt;VALUE(RIGHT(Protokoll_5p!F19,LEN(Protokoll_5p!F19)-FIND(":",Protokoll_5p!F19))),0,1))</f>
        <v>1</v>
      </c>
      <c r="J13" s="1">
        <f>IF(Protokoll_5p!G19="","",IF(VALUE(LEFT(Protokoll_5p!G19,FIND(":",Protokoll_5p!G19)-1))&gt;VALUE(RIGHT(Protokoll_5p!G19,LEN(Protokoll_5p!G19)-FIND(":",Protokoll_5p!G19))),0,1))</f>
        <v>0</v>
      </c>
      <c r="K13" s="1">
        <f>IF(Protokoll_5p!H19="","",IF(VALUE(LEFT(Protokoll_5p!H19,FIND(":",Protokoll_5p!H19)-1))&gt;VALUE(RIGHT(Protokoll_5p!H19,LEN(Protokoll_5p!H19)-FIND(":",Protokoll_5p!H19))),0,1))</f>
        <v>1</v>
      </c>
      <c r="L13" s="1">
        <f>IF(Protokoll_5p!I19="","",IF(VALUE(LEFT(Protokoll_5p!I19,FIND(":",Protokoll_5p!I19)-1))&gt;VALUE(RIGHT(Protokoll_5p!I19,LEN(Protokoll_5p!I19)-FIND(":",Protokoll_5p!I19))),0,1))</f>
        <v>1</v>
      </c>
      <c r="M13" s="1" t="str">
        <f>IF(Protokoll_5p!J19="","",IF(VALUE(LEFT(Protokoll_5p!J19,FIND(":",Protokoll_5p!J19)-1))&gt;VALUE(RIGHT(Protokoll_5p!J19,LEN(Protokoll_5p!J19)-FIND(":",Protokoll_5p!J19))),0,1))</f>
        <v/>
      </c>
      <c r="N13" s="1">
        <f t="shared" si="1"/>
        <v>3</v>
      </c>
    </row>
    <row r="14" spans="2:14">
      <c r="B14" s="1">
        <f>IF(Protokoll_5p!F20="","",IF(VALUE(LEFT(Protokoll_5p!F20,FIND(":",Protokoll_5p!F20)-1))&gt;VALUE(RIGHT(Protokoll_5p!F20,LEN(Protokoll_5p!F20)-FIND(":",Protokoll_5p!F20))),1,0))</f>
        <v>0</v>
      </c>
      <c r="C14" s="1">
        <f>IF(Protokoll_5p!G20="","",IF(VALUE(LEFT(Protokoll_5p!G20,FIND(":",Protokoll_5p!G20)-1))&gt;VALUE(RIGHT(Protokoll_5p!G20,LEN(Protokoll_5p!G20)-FIND(":",Protokoll_5p!G20))),1,0))</f>
        <v>1</v>
      </c>
      <c r="D14" s="1">
        <f>IF(Protokoll_5p!H20="","",IF(VALUE(LEFT(Protokoll_5p!H20,FIND(":",Protokoll_5p!H20)-1))&gt;VALUE(RIGHT(Protokoll_5p!H20,LEN(Protokoll_5p!H20)-FIND(":",Protokoll_5p!H20))),1,0))</f>
        <v>1</v>
      </c>
      <c r="E14" s="1">
        <f>IF(Protokoll_5p!I20="","",IF(VALUE(LEFT(Protokoll_5p!I20,FIND(":",Protokoll_5p!I20)-1))&gt;VALUE(RIGHT(Protokoll_5p!I20,LEN(Protokoll_5p!I20)-FIND(":",Protokoll_5p!I20))),1,0))</f>
        <v>1</v>
      </c>
      <c r="F14" s="1" t="str">
        <f>IF(Protokoll_5p!J20="","",IF(VALUE(LEFT(Protokoll_5p!J20,FIND(":",Protokoll_5p!J20)-1))&gt;VALUE(RIGHT(Protokoll_5p!J20,LEN(Protokoll_5p!J20)-FIND(":",Protokoll_5p!J20))),1,0))</f>
        <v/>
      </c>
      <c r="G14" s="1">
        <f t="shared" si="0"/>
        <v>3</v>
      </c>
      <c r="I14" s="1">
        <f>IF(Protokoll_5p!F20="","",IF(VALUE(LEFT(Protokoll_5p!F20,FIND(":",Protokoll_5p!F20)-1))&gt;VALUE(RIGHT(Protokoll_5p!F20,LEN(Protokoll_5p!F20)-FIND(":",Protokoll_5p!F20))),0,1))</f>
        <v>1</v>
      </c>
      <c r="J14" s="1">
        <f>IF(Protokoll_5p!G20="","",IF(VALUE(LEFT(Protokoll_5p!G20,FIND(":",Protokoll_5p!G20)-1))&gt;VALUE(RIGHT(Protokoll_5p!G20,LEN(Protokoll_5p!G20)-FIND(":",Protokoll_5p!G20))),0,1))</f>
        <v>0</v>
      </c>
      <c r="K14" s="1">
        <f>IF(Protokoll_5p!H20="","",IF(VALUE(LEFT(Protokoll_5p!H20,FIND(":",Protokoll_5p!H20)-1))&gt;VALUE(RIGHT(Protokoll_5p!H20,LEN(Protokoll_5p!H20)-FIND(":",Protokoll_5p!H20))),0,1))</f>
        <v>0</v>
      </c>
      <c r="L14" s="1">
        <f>IF(Protokoll_5p!I20="","",IF(VALUE(LEFT(Protokoll_5p!I20,FIND(":",Protokoll_5p!I20)-1))&gt;VALUE(RIGHT(Protokoll_5p!I20,LEN(Protokoll_5p!I20)-FIND(":",Protokoll_5p!I20))),0,1))</f>
        <v>0</v>
      </c>
      <c r="M14" s="1" t="str">
        <f>IF(Protokoll_5p!J20="","",IF(VALUE(LEFT(Protokoll_5p!J20,FIND(":",Protokoll_5p!J20)-1))&gt;VALUE(RIGHT(Protokoll_5p!J20,LEN(Protokoll_5p!J20)-FIND(":",Protokoll_5p!J20))),0,1))</f>
        <v/>
      </c>
      <c r="N14" s="1">
        <f t="shared" si="1"/>
        <v>1</v>
      </c>
    </row>
    <row r="15" spans="2:14">
      <c r="B15" s="1">
        <f>IF(Protokoll_5p!F21="","",IF(VALUE(LEFT(Protokoll_5p!F21,FIND(":",Protokoll_5p!F21)-1))&gt;VALUE(RIGHT(Protokoll_5p!F21,LEN(Protokoll_5p!F21)-FIND(":",Protokoll_5p!F21))),1,0))</f>
        <v>1</v>
      </c>
      <c r="C15" s="1">
        <f>IF(Protokoll_5p!G21="","",IF(VALUE(LEFT(Protokoll_5p!G21,FIND(":",Protokoll_5p!G21)-1))&gt;VALUE(RIGHT(Protokoll_5p!G21,LEN(Protokoll_5p!G21)-FIND(":",Protokoll_5p!G21))),1,0))</f>
        <v>0</v>
      </c>
      <c r="D15" s="1">
        <f>IF(Protokoll_5p!H21="","",IF(VALUE(LEFT(Protokoll_5p!H21,FIND(":",Protokoll_5p!H21)-1))&gt;VALUE(RIGHT(Protokoll_5p!H21,LEN(Protokoll_5p!H21)-FIND(":",Protokoll_5p!H21))),1,0))</f>
        <v>1</v>
      </c>
      <c r="E15" s="1">
        <f>IF(Protokoll_5p!I21="","",IF(VALUE(LEFT(Protokoll_5p!I21,FIND(":",Protokoll_5p!I21)-1))&gt;VALUE(RIGHT(Protokoll_5p!I21,LEN(Protokoll_5p!I21)-FIND(":",Protokoll_5p!I21))),1,0))</f>
        <v>1</v>
      </c>
      <c r="F15" s="1" t="str">
        <f>IF(Protokoll_5p!J21="","",IF(VALUE(LEFT(Protokoll_5p!J21,FIND(":",Protokoll_5p!J21)-1))&gt;VALUE(RIGHT(Protokoll_5p!J21,LEN(Protokoll_5p!J21)-FIND(":",Protokoll_5p!J21))),1,0))</f>
        <v/>
      </c>
      <c r="G15" s="1">
        <f t="shared" si="0"/>
        <v>3</v>
      </c>
      <c r="I15" s="1">
        <f>IF(Protokoll_5p!F21="","",IF(VALUE(LEFT(Protokoll_5p!F21,FIND(":",Protokoll_5p!F21)-1))&gt;VALUE(RIGHT(Protokoll_5p!F21,LEN(Protokoll_5p!F21)-FIND(":",Protokoll_5p!F21))),0,1))</f>
        <v>0</v>
      </c>
      <c r="J15" s="1">
        <f>IF(Protokoll_5p!G21="","",IF(VALUE(LEFT(Protokoll_5p!G21,FIND(":",Protokoll_5p!G21)-1))&gt;VALUE(RIGHT(Protokoll_5p!G21,LEN(Protokoll_5p!G21)-FIND(":",Protokoll_5p!G21))),0,1))</f>
        <v>1</v>
      </c>
      <c r="K15" s="1">
        <f>IF(Protokoll_5p!H21="","",IF(VALUE(LEFT(Protokoll_5p!H21,FIND(":",Protokoll_5p!H21)-1))&gt;VALUE(RIGHT(Protokoll_5p!H21,LEN(Protokoll_5p!H21)-FIND(":",Protokoll_5p!H21))),0,1))</f>
        <v>0</v>
      </c>
      <c r="L15" s="1">
        <f>IF(Protokoll_5p!I21="","",IF(VALUE(LEFT(Protokoll_5p!I21,FIND(":",Protokoll_5p!I21)-1))&gt;VALUE(RIGHT(Protokoll_5p!I21,LEN(Protokoll_5p!I21)-FIND(":",Protokoll_5p!I21))),0,1))</f>
        <v>0</v>
      </c>
      <c r="M15" s="1" t="str">
        <f>IF(Protokoll_5p!J21="","",IF(VALUE(LEFT(Protokoll_5p!J21,FIND(":",Protokoll_5p!J21)-1))&gt;VALUE(RIGHT(Protokoll_5p!J21,LEN(Protokoll_5p!J21)-FIND(":",Protokoll_5p!J21))),0,1))</f>
        <v/>
      </c>
      <c r="N15" s="1">
        <f t="shared" si="1"/>
        <v>1</v>
      </c>
    </row>
    <row r="16" spans="2:14">
      <c r="B16" s="1" t="str">
        <f>IF(Protokoll_5p!F22="","",IF(VALUE(LEFT(Protokoll_5p!F22,FIND(":",Protokoll_5p!F22)-1))&gt;VALUE(RIGHT(Protokoll_5p!F22,LEN(Protokoll_5p!F22)-FIND(":",Protokoll_5p!F22))),1,0))</f>
        <v/>
      </c>
      <c r="C16" s="1" t="str">
        <f>IF(Protokoll_5p!G22="","",IF(VALUE(LEFT(Protokoll_5p!G22,FIND(":",Protokoll_5p!G22)-1))&gt;VALUE(RIGHT(Protokoll_5p!G22,LEN(Protokoll_5p!G22)-FIND(":",Protokoll_5p!G22))),1,0))</f>
        <v/>
      </c>
      <c r="D16" s="1" t="str">
        <f>IF(Protokoll_5p!H22="","",IF(VALUE(LEFT(Protokoll_5p!H22,FIND(":",Protokoll_5p!H22)-1))&gt;VALUE(RIGHT(Protokoll_5p!H22,LEN(Protokoll_5p!H22)-FIND(":",Protokoll_5p!H22))),1,0))</f>
        <v/>
      </c>
      <c r="E16" s="1" t="str">
        <f>IF(Protokoll_5p!I22="","",IF(VALUE(LEFT(Protokoll_5p!I22,FIND(":",Protokoll_5p!I22)-1))&gt;VALUE(RIGHT(Protokoll_5p!I22,LEN(Protokoll_5p!I22)-FIND(":",Protokoll_5p!I22))),1,0))</f>
        <v/>
      </c>
      <c r="F16" s="1" t="str">
        <f>IF(Protokoll_5p!J22="","",IF(VALUE(LEFT(Protokoll_5p!J22,FIND(":",Protokoll_5p!J22)-1))&gt;VALUE(RIGHT(Protokoll_5p!J22,LEN(Protokoll_5p!J22)-FIND(":",Protokoll_5p!J22))),1,0))</f>
        <v/>
      </c>
      <c r="G16" s="1" t="str">
        <f t="shared" si="0"/>
        <v/>
      </c>
      <c r="I16" s="1" t="str">
        <f>IF(Protokoll_5p!F22="","",IF(VALUE(LEFT(Protokoll_5p!F22,FIND(":",Protokoll_5p!F22)-1))&gt;VALUE(RIGHT(Protokoll_5p!F22,LEN(Protokoll_5p!F22)-FIND(":",Protokoll_5p!F22))),0,1))</f>
        <v/>
      </c>
      <c r="J16" s="1" t="str">
        <f>IF(Protokoll_5p!G22="","",IF(VALUE(LEFT(Protokoll_5p!G22,FIND(":",Protokoll_5p!G22)-1))&gt;VALUE(RIGHT(Protokoll_5p!G22,LEN(Protokoll_5p!G22)-FIND(":",Protokoll_5p!G22))),0,1))</f>
        <v/>
      </c>
      <c r="K16" s="1" t="str">
        <f>IF(Protokoll_5p!H22="","",IF(VALUE(LEFT(Protokoll_5p!H22,FIND(":",Protokoll_5p!H22)-1))&gt;VALUE(RIGHT(Protokoll_5p!H22,LEN(Protokoll_5p!H22)-FIND(":",Protokoll_5p!H22))),0,1))</f>
        <v/>
      </c>
      <c r="L16" s="1" t="str">
        <f>IF(Protokoll_5p!I22="","",IF(VALUE(LEFT(Protokoll_5p!I22,FIND(":",Protokoll_5p!I22)-1))&gt;VALUE(RIGHT(Protokoll_5p!I22,LEN(Protokoll_5p!I22)-FIND(":",Protokoll_5p!I22))),0,1))</f>
        <v/>
      </c>
      <c r="M16" s="1" t="str">
        <f>IF(Protokoll_5p!J22="","",IF(VALUE(LEFT(Protokoll_5p!J22,FIND(":",Protokoll_5p!J22)-1))&gt;VALUE(RIGHT(Protokoll_5p!J22,LEN(Protokoll_5p!J22)-FIND(":",Protokoll_5p!J22))),0,1))</f>
        <v/>
      </c>
      <c r="N16" s="1" t="str">
        <f t="shared" si="1"/>
        <v/>
      </c>
    </row>
    <row r="17" spans="2:14">
      <c r="B17" s="1">
        <f>IF(Protokoll_5p!F23="","",IF(VALUE(LEFT(Protokoll_5p!F23,FIND(":",Protokoll_5p!F23)-1))&gt;VALUE(RIGHT(Protokoll_5p!F23,LEN(Protokoll_5p!F23)-FIND(":",Protokoll_5p!F23))),1,0))</f>
        <v>1</v>
      </c>
      <c r="C17" s="1">
        <f>IF(Protokoll_5p!G23="","",IF(VALUE(LEFT(Protokoll_5p!G23,FIND(":",Protokoll_5p!G23)-1))&gt;VALUE(RIGHT(Protokoll_5p!G23,LEN(Protokoll_5p!G23)-FIND(":",Protokoll_5p!G23))),1,0))</f>
        <v>1</v>
      </c>
      <c r="D17" s="1">
        <f>IF(Protokoll_5p!H23="","",IF(VALUE(LEFT(Protokoll_5p!H23,FIND(":",Protokoll_5p!H23)-1))&gt;VALUE(RIGHT(Protokoll_5p!H23,LEN(Protokoll_5p!H23)-FIND(":",Protokoll_5p!H23))),1,0))</f>
        <v>1</v>
      </c>
      <c r="E17" s="1" t="str">
        <f>IF(Protokoll_5p!I23="","",IF(VALUE(LEFT(Protokoll_5p!I23,FIND(":",Protokoll_5p!I23)-1))&gt;VALUE(RIGHT(Protokoll_5p!I23,LEN(Protokoll_5p!I23)-FIND(":",Protokoll_5p!I23))),1,0))</f>
        <v/>
      </c>
      <c r="F17" s="1" t="str">
        <f>IF(Protokoll_5p!J23="","",IF(VALUE(LEFT(Protokoll_5p!J23,FIND(":",Protokoll_5p!J23)-1))&gt;VALUE(RIGHT(Protokoll_5p!J23,LEN(Protokoll_5p!J23)-FIND(":",Protokoll_5p!J23))),1,0))</f>
        <v/>
      </c>
      <c r="G17" s="1">
        <f t="shared" si="0"/>
        <v>3</v>
      </c>
      <c r="I17" s="1">
        <f>IF(Protokoll_5p!F23="","",IF(VALUE(LEFT(Protokoll_5p!F23,FIND(":",Protokoll_5p!F23)-1))&gt;VALUE(RIGHT(Protokoll_5p!F23,LEN(Protokoll_5p!F23)-FIND(":",Protokoll_5p!F23))),0,1))</f>
        <v>0</v>
      </c>
      <c r="J17" s="1">
        <f>IF(Protokoll_5p!G23="","",IF(VALUE(LEFT(Protokoll_5p!G23,FIND(":",Protokoll_5p!G23)-1))&gt;VALUE(RIGHT(Protokoll_5p!G23,LEN(Protokoll_5p!G23)-FIND(":",Protokoll_5p!G23))),0,1))</f>
        <v>0</v>
      </c>
      <c r="K17" s="1">
        <f>IF(Protokoll_5p!H23="","",IF(VALUE(LEFT(Protokoll_5p!H23,FIND(":",Protokoll_5p!H23)-1))&gt;VALUE(RIGHT(Protokoll_5p!H23,LEN(Protokoll_5p!H23)-FIND(":",Protokoll_5p!H23))),0,1))</f>
        <v>0</v>
      </c>
      <c r="L17" s="1" t="str">
        <f>IF(Protokoll_5p!I23="","",IF(VALUE(LEFT(Protokoll_5p!I23,FIND(":",Protokoll_5p!I23)-1))&gt;VALUE(RIGHT(Protokoll_5p!I23,LEN(Protokoll_5p!I23)-FIND(":",Protokoll_5p!I23))),0,1))</f>
        <v/>
      </c>
      <c r="M17" s="1" t="str">
        <f>IF(Protokoll_5p!J23="","",IF(VALUE(LEFT(Protokoll_5p!J23,FIND(":",Protokoll_5p!J23)-1))&gt;VALUE(RIGHT(Protokoll_5p!J23,LEN(Protokoll_5p!J23)-FIND(":",Protokoll_5p!J23))),0,1))</f>
        <v/>
      </c>
      <c r="N17" s="1">
        <f t="shared" si="1"/>
        <v>0</v>
      </c>
    </row>
    <row r="18" spans="2:14">
      <c r="B18" s="1" t="str">
        <f>IF(Protokoll_5p!F24="","",IF(VALUE(LEFT(Protokoll_5p!F24,FIND(":",Protokoll_5p!F24)-1))&gt;VALUE(RIGHT(Protokoll_5p!F24,LEN(Protokoll_5p!F24)-FIND(":",Protokoll_5p!F24))),1,0))</f>
        <v/>
      </c>
      <c r="C18" s="1" t="str">
        <f>IF(Protokoll_5p!G24="","",IF(VALUE(LEFT(Protokoll_5p!G24,FIND(":",Protokoll_5p!G24)-1))&gt;VALUE(RIGHT(Protokoll_5p!G24,LEN(Protokoll_5p!G24)-FIND(":",Protokoll_5p!G24))),1,0))</f>
        <v/>
      </c>
      <c r="D18" s="1" t="str">
        <f>IF(Protokoll_5p!H24="","",IF(VALUE(LEFT(Protokoll_5p!H24,FIND(":",Protokoll_5p!H24)-1))&gt;VALUE(RIGHT(Protokoll_5p!H24,LEN(Protokoll_5p!H24)-FIND(":",Protokoll_5p!H24))),1,0))</f>
        <v/>
      </c>
      <c r="E18" s="1" t="str">
        <f>IF(Protokoll_5p!I24="","",IF(VALUE(LEFT(Protokoll_5p!I24,FIND(":",Protokoll_5p!I24)-1))&gt;VALUE(RIGHT(Protokoll_5p!I24,LEN(Protokoll_5p!I24)-FIND(":",Protokoll_5p!I24))),1,0))</f>
        <v/>
      </c>
      <c r="F18" s="1" t="str">
        <f>IF(Protokoll_5p!J24="","",IF(VALUE(LEFT(Protokoll_5p!J24,FIND(":",Protokoll_5p!J24)-1))&gt;VALUE(RIGHT(Protokoll_5p!J24,LEN(Protokoll_5p!J24)-FIND(":",Protokoll_5p!J24))),1,0))</f>
        <v/>
      </c>
      <c r="G18" s="1" t="str">
        <f t="shared" si="0"/>
        <v/>
      </c>
      <c r="I18" s="1" t="str">
        <f>IF(Protokoll_5p!F24="","",IF(VALUE(LEFT(Protokoll_5p!F24,FIND(":",Protokoll_5p!F24)-1))&gt;VALUE(RIGHT(Protokoll_5p!F24,LEN(Protokoll_5p!F24)-FIND(":",Protokoll_5p!F24))),0,1))</f>
        <v/>
      </c>
      <c r="J18" s="1" t="str">
        <f>IF(Protokoll_5p!G24="","",IF(VALUE(LEFT(Protokoll_5p!G24,FIND(":",Protokoll_5p!G24)-1))&gt;VALUE(RIGHT(Protokoll_5p!G24,LEN(Protokoll_5p!G24)-FIND(":",Protokoll_5p!G24))),0,1))</f>
        <v/>
      </c>
      <c r="K18" s="1" t="str">
        <f>IF(Protokoll_5p!H24="","",IF(VALUE(LEFT(Protokoll_5p!H24,FIND(":",Protokoll_5p!H24)-1))&gt;VALUE(RIGHT(Protokoll_5p!H24,LEN(Protokoll_5p!H24)-FIND(":",Protokoll_5p!H24))),0,1))</f>
        <v/>
      </c>
      <c r="L18" s="1" t="str">
        <f>IF(Protokoll_5p!I24="","",IF(VALUE(LEFT(Protokoll_5p!I24,FIND(":",Protokoll_5p!I24)-1))&gt;VALUE(RIGHT(Protokoll_5p!I24,LEN(Protokoll_5p!I24)-FIND(":",Protokoll_5p!I24))),0,1))</f>
        <v/>
      </c>
      <c r="M18" s="1" t="str">
        <f>IF(Protokoll_5p!J24="","",IF(VALUE(LEFT(Protokoll_5p!J24,FIND(":",Protokoll_5p!J24)-1))&gt;VALUE(RIGHT(Protokoll_5p!J24,LEN(Protokoll_5p!J24)-FIND(":",Protokoll_5p!J24))),0,1))</f>
        <v/>
      </c>
      <c r="N18" s="1" t="str">
        <f t="shared" si="1"/>
        <v/>
      </c>
    </row>
    <row r="19" spans="2:14">
      <c r="B19" s="1" t="str">
        <f>IF(Protokoll_5p!F25="","",IF(VALUE(LEFT(Protokoll_5p!F25,FIND(":",Protokoll_5p!F25)-1))&gt;VALUE(RIGHT(Protokoll_5p!F25,LEN(Protokoll_5p!F25)-FIND(":",Protokoll_5p!F25))),1,0))</f>
        <v/>
      </c>
      <c r="C19" s="1" t="str">
        <f>IF(Protokoll_5p!G25="","",IF(VALUE(LEFT(Protokoll_5p!G25,FIND(":",Protokoll_5p!G25)-1))&gt;VALUE(RIGHT(Protokoll_5p!G25,LEN(Protokoll_5p!G25)-FIND(":",Protokoll_5p!G25))),1,0))</f>
        <v/>
      </c>
      <c r="D19" s="1" t="str">
        <f>IF(Protokoll_5p!H25="","",IF(VALUE(LEFT(Protokoll_5p!H25,FIND(":",Protokoll_5p!H25)-1))&gt;VALUE(RIGHT(Protokoll_5p!H25,LEN(Protokoll_5p!H25)-FIND(":",Protokoll_5p!H25))),1,0))</f>
        <v/>
      </c>
      <c r="E19" s="1" t="str">
        <f>IF(Protokoll_5p!I25="","",IF(VALUE(LEFT(Protokoll_5p!I25,FIND(":",Protokoll_5p!I25)-1))&gt;VALUE(RIGHT(Protokoll_5p!I25,LEN(Protokoll_5p!I25)-FIND(":",Protokoll_5p!I25))),1,0))</f>
        <v/>
      </c>
      <c r="F19" s="1" t="str">
        <f>IF(Protokoll_5p!J25="","",IF(VALUE(LEFT(Protokoll_5p!J25,FIND(":",Protokoll_5p!J25)-1))&gt;VALUE(RIGHT(Protokoll_5p!J25,LEN(Protokoll_5p!J25)-FIND(":",Protokoll_5p!J25))),1,0))</f>
        <v/>
      </c>
      <c r="G19" s="1" t="str">
        <f t="shared" si="0"/>
        <v/>
      </c>
      <c r="I19" s="1" t="str">
        <f>IF(Protokoll_5p!F25="","",IF(VALUE(LEFT(Protokoll_5p!F25,FIND(":",Protokoll_5p!F25)-1))&gt;VALUE(RIGHT(Protokoll_5p!F25,LEN(Protokoll_5p!F25)-FIND(":",Protokoll_5p!F25))),0,1))</f>
        <v/>
      </c>
      <c r="J19" s="1" t="str">
        <f>IF(Protokoll_5p!G25="","",IF(VALUE(LEFT(Protokoll_5p!G25,FIND(":",Protokoll_5p!G25)-1))&gt;VALUE(RIGHT(Protokoll_5p!G25,LEN(Protokoll_5p!G25)-FIND(":",Protokoll_5p!G25))),0,1))</f>
        <v/>
      </c>
      <c r="K19" s="1" t="str">
        <f>IF(Protokoll_5p!H25="","",IF(VALUE(LEFT(Protokoll_5p!H25,FIND(":",Protokoll_5p!H25)-1))&gt;VALUE(RIGHT(Protokoll_5p!H25,LEN(Protokoll_5p!H25)-FIND(":",Protokoll_5p!H25))),0,1))</f>
        <v/>
      </c>
      <c r="L19" s="1" t="str">
        <f>IF(Protokoll_5p!I25="","",IF(VALUE(LEFT(Protokoll_5p!I25,FIND(":",Protokoll_5p!I25)-1))&gt;VALUE(RIGHT(Protokoll_5p!I25,LEN(Protokoll_5p!I25)-FIND(":",Protokoll_5p!I25))),0,1))</f>
        <v/>
      </c>
      <c r="M19" s="1" t="str">
        <f>IF(Protokoll_5p!J25="","",IF(VALUE(LEFT(Protokoll_5p!J25,FIND(":",Protokoll_5p!J25)-1))&gt;VALUE(RIGHT(Protokoll_5p!J25,LEN(Protokoll_5p!J25)-FIND(":",Protokoll_5p!J25))),0,1))</f>
        <v/>
      </c>
      <c r="N19" s="1" t="str">
        <f t="shared" si="1"/>
        <v/>
      </c>
    </row>
    <row r="20" spans="2:14">
      <c r="B20" s="1" t="str">
        <f>IF(Protokoll_5p!F26="","",IF(VALUE(LEFT(Protokoll_5p!F26,FIND(":",Protokoll_5p!F26)-1))&gt;VALUE(RIGHT(Protokoll_5p!F26,LEN(Protokoll_5p!F26)-FIND(":",Protokoll_5p!F26))),1,0))</f>
        <v/>
      </c>
      <c r="C20" s="1" t="str">
        <f>IF(Protokoll_5p!G26="","",IF(VALUE(LEFT(Protokoll_5p!G26,FIND(":",Protokoll_5p!G26)-1))&gt;VALUE(RIGHT(Protokoll_5p!G26,LEN(Protokoll_5p!G26)-FIND(":",Protokoll_5p!G26))),1,0))</f>
        <v/>
      </c>
      <c r="D20" s="1" t="str">
        <f>IF(Protokoll_5p!H26="","",IF(VALUE(LEFT(Protokoll_5p!H26,FIND(":",Protokoll_5p!H26)-1))&gt;VALUE(RIGHT(Protokoll_5p!H26,LEN(Protokoll_5p!H26)-FIND(":",Protokoll_5p!H26))),1,0))</f>
        <v/>
      </c>
      <c r="E20" s="1" t="str">
        <f>IF(Protokoll_5p!I26="","",IF(VALUE(LEFT(Protokoll_5p!I26,FIND(":",Protokoll_5p!I26)-1))&gt;VALUE(RIGHT(Protokoll_5p!I26,LEN(Protokoll_5p!I26)-FIND(":",Protokoll_5p!I26))),1,0))</f>
        <v/>
      </c>
      <c r="F20" s="1" t="str">
        <f>IF(Protokoll_5p!J26="","",IF(VALUE(LEFT(Protokoll_5p!J26,FIND(":",Protokoll_5p!J26)-1))&gt;VALUE(RIGHT(Protokoll_5p!J26,LEN(Protokoll_5p!J26)-FIND(":",Protokoll_5p!J26))),1,0))</f>
        <v/>
      </c>
      <c r="G20" s="1" t="str">
        <f t="shared" si="0"/>
        <v/>
      </c>
      <c r="I20" s="1" t="str">
        <f>IF(Protokoll_5p!F26="","",IF(VALUE(LEFT(Protokoll_5p!F26,FIND(":",Protokoll_5p!F26)-1))&gt;VALUE(RIGHT(Protokoll_5p!F26,LEN(Protokoll_5p!F26)-FIND(":",Protokoll_5p!F26))),0,1))</f>
        <v/>
      </c>
      <c r="J20" s="1" t="str">
        <f>IF(Protokoll_5p!G26="","",IF(VALUE(LEFT(Protokoll_5p!G26,FIND(":",Protokoll_5p!G26)-1))&gt;VALUE(RIGHT(Protokoll_5p!G26,LEN(Protokoll_5p!G26)-FIND(":",Protokoll_5p!G26))),0,1))</f>
        <v/>
      </c>
      <c r="K20" s="1" t="str">
        <f>IF(Protokoll_5p!H26="","",IF(VALUE(LEFT(Protokoll_5p!H26,FIND(":",Protokoll_5p!H26)-1))&gt;VALUE(RIGHT(Protokoll_5p!H26,LEN(Protokoll_5p!H26)-FIND(":",Protokoll_5p!H26))),0,1))</f>
        <v/>
      </c>
      <c r="L20" s="1" t="str">
        <f>IF(Protokoll_5p!I26="","",IF(VALUE(LEFT(Protokoll_5p!I26,FIND(":",Protokoll_5p!I26)-1))&gt;VALUE(RIGHT(Protokoll_5p!I26,LEN(Protokoll_5p!I26)-FIND(":",Protokoll_5p!I26))),0,1))</f>
        <v/>
      </c>
      <c r="M20" s="1" t="str">
        <f>IF(Protokoll_5p!J26="","",IF(VALUE(LEFT(Protokoll_5p!J26,FIND(":",Protokoll_5p!J26)-1))&gt;VALUE(RIGHT(Protokoll_5p!J26,LEN(Protokoll_5p!J26)-FIND(":",Protokoll_5p!J26))),0,1))</f>
        <v/>
      </c>
      <c r="N20" s="1" t="str">
        <f t="shared" si="1"/>
        <v/>
      </c>
    </row>
    <row r="21" spans="2:14">
      <c r="B21" s="1" t="e">
        <f>IF(Protokoll_5p!F27="","",IF(VALUE(LEFT(Protokoll_5p!F27,FIND(":",Protokoll_5p!F27)-1))&gt;VALUE(RIGHT(Protokoll_5p!F27,LEN(Protokoll_5p!F27)-FIND(":",Protokoll_5p!F27))),1,0))</f>
        <v>#VALUE!</v>
      </c>
      <c r="C21" s="1" t="e">
        <f>IF(Protokoll_5p!G27="","",IF(VALUE(LEFT(Protokoll_5p!G27,FIND(":",Protokoll_5p!G27)-1))&gt;VALUE(RIGHT(Protokoll_5p!G27,LEN(Protokoll_5p!G27)-FIND(":",Protokoll_5p!G27))),1,0))</f>
        <v>#VALUE!</v>
      </c>
      <c r="D21" s="1" t="e">
        <f>IF(Protokoll_5p!H27="","",IF(VALUE(LEFT(Protokoll_5p!H27,FIND(":",Protokoll_5p!H27)-1))&gt;VALUE(RIGHT(Protokoll_5p!H27,LEN(Protokoll_5p!H27)-FIND(":",Protokoll_5p!H27))),1,0))</f>
        <v>#VALUE!</v>
      </c>
      <c r="E21" s="1" t="e">
        <f>IF(Protokoll_5p!I27="","",IF(VALUE(LEFT(Protokoll_5p!I27,FIND(":",Protokoll_5p!I27)-1))&gt;VALUE(RIGHT(Protokoll_5p!I27,LEN(Protokoll_5p!I27)-FIND(":",Protokoll_5p!I27))),1,0))</f>
        <v>#VALUE!</v>
      </c>
      <c r="F21" s="1" t="e">
        <f>IF(Protokoll_5p!J27="","",IF(VALUE(LEFT(Protokoll_5p!J27,FIND(":",Protokoll_5p!J27)-1))&gt;VALUE(RIGHT(Protokoll_5p!J27,LEN(Protokoll_5p!J27)-FIND(":",Protokoll_5p!J27))),1,0))</f>
        <v>#VALUE!</v>
      </c>
      <c r="G21" s="1" t="e">
        <f t="shared" si="0"/>
        <v>#VALUE!</v>
      </c>
      <c r="I21" s="1" t="e">
        <f>IF(Protokoll_5p!F27="","",IF(VALUE(LEFT(Protokoll_5p!F27,FIND(":",Protokoll_5p!F27)-1))&gt;VALUE(RIGHT(Protokoll_5p!F27,LEN(Protokoll_5p!F27)-FIND(":",Protokoll_5p!F27))),0,1))</f>
        <v>#VALUE!</v>
      </c>
      <c r="J21" s="1" t="e">
        <f>IF(Protokoll_5p!G27="","",IF(VALUE(LEFT(Protokoll_5p!G27,FIND(":",Protokoll_5p!G27)-1))&gt;VALUE(RIGHT(Protokoll_5p!G27,LEN(Protokoll_5p!G27)-FIND(":",Protokoll_5p!G27))),0,1))</f>
        <v>#VALUE!</v>
      </c>
      <c r="K21" s="1" t="e">
        <f>IF(Protokoll_5p!H27="","",IF(VALUE(LEFT(Protokoll_5p!H27,FIND(":",Protokoll_5p!H27)-1))&gt;VALUE(RIGHT(Protokoll_5p!H27,LEN(Protokoll_5p!H27)-FIND(":",Protokoll_5p!H27))),0,1))</f>
        <v>#VALUE!</v>
      </c>
      <c r="L21" s="1" t="e">
        <f>IF(Protokoll_5p!I27="","",IF(VALUE(LEFT(Protokoll_5p!I27,FIND(":",Protokoll_5p!I27)-1))&gt;VALUE(RIGHT(Protokoll_5p!I27,LEN(Protokoll_5p!I27)-FIND(":",Protokoll_5p!I27))),0,1))</f>
        <v>#VALUE!</v>
      </c>
      <c r="M21" s="1" t="e">
        <f>IF(Protokoll_5p!J27="","",IF(VALUE(LEFT(Protokoll_5p!J27,FIND(":",Protokoll_5p!J27)-1))&gt;VALUE(RIGHT(Protokoll_5p!J27,LEN(Protokoll_5p!J27)-FIND(":",Protokoll_5p!J27))),0,1))</f>
        <v>#VALUE!</v>
      </c>
      <c r="N21" s="1" t="e">
        <f t="shared" si="1"/>
        <v>#VALUE!</v>
      </c>
    </row>
    <row r="22" spans="2:14">
      <c r="B22" s="1">
        <f>IF(Protokoll_5p!F28="","",IF(VALUE(LEFT(Protokoll_5p!F28,FIND(":",Protokoll_5p!F28)-1))&gt;VALUE(RIGHT(Protokoll_5p!F28,LEN(Protokoll_5p!F28)-FIND(":",Protokoll_5p!F28))),1,0))</f>
        <v>0</v>
      </c>
      <c r="C22" s="1">
        <f>IF(Protokoll_5p!G28="","",IF(VALUE(LEFT(Protokoll_5p!G28,FIND(":",Protokoll_5p!G28)-1))&gt;VALUE(RIGHT(Protokoll_5p!G28,LEN(Protokoll_5p!G28)-FIND(":",Protokoll_5p!G28))),1,0))</f>
        <v>0</v>
      </c>
      <c r="D22" s="1">
        <f>IF(Protokoll_5p!H28="","",IF(VALUE(LEFT(Protokoll_5p!H28,FIND(":",Protokoll_5p!H28)-1))&gt;VALUE(RIGHT(Protokoll_5p!H28,LEN(Protokoll_5p!H28)-FIND(":",Protokoll_5p!H28))),1,0))</f>
        <v>0</v>
      </c>
      <c r="E22" s="1" t="str">
        <f>IF(Protokoll_5p!I28="","",IF(VALUE(LEFT(Protokoll_5p!I28,FIND(":",Protokoll_5p!I28)-1))&gt;VALUE(RIGHT(Protokoll_5p!I28,LEN(Protokoll_5p!I28)-FIND(":",Protokoll_5p!I28))),1,0))</f>
        <v/>
      </c>
      <c r="F22" s="1" t="str">
        <f>IF(Protokoll_5p!J28="","",IF(VALUE(LEFT(Protokoll_5p!J28,FIND(":",Protokoll_5p!J28)-1))&gt;VALUE(RIGHT(Protokoll_5p!J28,LEN(Protokoll_5p!J28)-FIND(":",Protokoll_5p!J28))),1,0))</f>
        <v/>
      </c>
      <c r="G22" s="1">
        <f t="shared" si="0"/>
        <v>0</v>
      </c>
      <c r="I22" s="1">
        <f>IF(Protokoll_5p!F28="","",IF(VALUE(LEFT(Protokoll_5p!F28,FIND(":",Protokoll_5p!F28)-1))&gt;VALUE(RIGHT(Protokoll_5p!F28,LEN(Protokoll_5p!F28)-FIND(":",Protokoll_5p!F28))),0,1))</f>
        <v>1</v>
      </c>
      <c r="J22" s="1">
        <f>IF(Protokoll_5p!G28="","",IF(VALUE(LEFT(Protokoll_5p!G28,FIND(":",Protokoll_5p!G28)-1))&gt;VALUE(RIGHT(Protokoll_5p!G28,LEN(Protokoll_5p!G28)-FIND(":",Protokoll_5p!G28))),0,1))</f>
        <v>1</v>
      </c>
      <c r="K22" s="1">
        <f>IF(Protokoll_5p!H28="","",IF(VALUE(LEFT(Protokoll_5p!H28,FIND(":",Protokoll_5p!H28)-1))&gt;VALUE(RIGHT(Protokoll_5p!H28,LEN(Protokoll_5p!H28)-FIND(":",Protokoll_5p!H28))),0,1))</f>
        <v>1</v>
      </c>
      <c r="L22" s="1" t="str">
        <f>IF(Protokoll_5p!I28="","",IF(VALUE(LEFT(Protokoll_5p!I28,FIND(":",Protokoll_5p!I28)-1))&gt;VALUE(RIGHT(Protokoll_5p!I28,LEN(Protokoll_5p!I28)-FIND(":",Protokoll_5p!I28))),0,1))</f>
        <v/>
      </c>
      <c r="M22" s="1" t="str">
        <f>IF(Protokoll_5p!J28="","",IF(VALUE(LEFT(Protokoll_5p!J28,FIND(":",Protokoll_5p!J28)-1))&gt;VALUE(RIGHT(Protokoll_5p!J28,LEN(Protokoll_5p!J28)-FIND(":",Protokoll_5p!J28))),0,1))</f>
        <v/>
      </c>
      <c r="N22" s="1">
        <f t="shared" si="1"/>
        <v>3</v>
      </c>
    </row>
    <row r="23" spans="2:14">
      <c r="B23" s="1">
        <f>IF(Protokoll_5p!F29="","",IF(VALUE(LEFT(Protokoll_5p!F29,FIND(":",Protokoll_5p!F29)-1))&gt;VALUE(RIGHT(Protokoll_5p!F29,LEN(Protokoll_5p!F29)-FIND(":",Protokoll_5p!F29))),1,0))</f>
        <v>0</v>
      </c>
      <c r="C23" s="1">
        <f>IF(Protokoll_5p!G29="","",IF(VALUE(LEFT(Protokoll_5p!G29,FIND(":",Protokoll_5p!G29)-1))&gt;VALUE(RIGHT(Protokoll_5p!G29,LEN(Protokoll_5p!G29)-FIND(":",Protokoll_5p!G29))),1,0))</f>
        <v>1</v>
      </c>
      <c r="D23" s="1">
        <f>IF(Protokoll_5p!H29="","",IF(VALUE(LEFT(Protokoll_5p!H29,FIND(":",Protokoll_5p!H29)-1))&gt;VALUE(RIGHT(Protokoll_5p!H29,LEN(Protokoll_5p!H29)-FIND(":",Protokoll_5p!H29))),1,0))</f>
        <v>0</v>
      </c>
      <c r="E23" s="1">
        <f>IF(Protokoll_5p!I29="","",IF(VALUE(LEFT(Protokoll_5p!I29,FIND(":",Protokoll_5p!I29)-1))&gt;VALUE(RIGHT(Protokoll_5p!I29,LEN(Protokoll_5p!I29)-FIND(":",Protokoll_5p!I29))),1,0))</f>
        <v>0</v>
      </c>
      <c r="F23" s="1" t="str">
        <f>IF(Protokoll_5p!J29="","",IF(VALUE(LEFT(Protokoll_5p!J29,FIND(":",Protokoll_5p!J29)-1))&gt;VALUE(RIGHT(Protokoll_5p!J29,LEN(Protokoll_5p!J29)-FIND(":",Protokoll_5p!J29))),1,0))</f>
        <v/>
      </c>
      <c r="G23" s="1">
        <f t="shared" si="0"/>
        <v>1</v>
      </c>
      <c r="I23" s="1">
        <f>IF(Protokoll_5p!F29="","",IF(VALUE(LEFT(Protokoll_5p!F29,FIND(":",Protokoll_5p!F29)-1))&gt;VALUE(RIGHT(Protokoll_5p!F29,LEN(Protokoll_5p!F29)-FIND(":",Protokoll_5p!F29))),0,1))</f>
        <v>1</v>
      </c>
      <c r="J23" s="1">
        <f>IF(Protokoll_5p!G29="","",IF(VALUE(LEFT(Protokoll_5p!G29,FIND(":",Protokoll_5p!G29)-1))&gt;VALUE(RIGHT(Protokoll_5p!G29,LEN(Protokoll_5p!G29)-FIND(":",Protokoll_5p!G29))),0,1))</f>
        <v>0</v>
      </c>
      <c r="K23" s="1">
        <f>IF(Protokoll_5p!H29="","",IF(VALUE(LEFT(Protokoll_5p!H29,FIND(":",Protokoll_5p!H29)-1))&gt;VALUE(RIGHT(Protokoll_5p!H29,LEN(Protokoll_5p!H29)-FIND(":",Protokoll_5p!H29))),0,1))</f>
        <v>1</v>
      </c>
      <c r="L23" s="1">
        <f>IF(Protokoll_5p!I29="","",IF(VALUE(LEFT(Protokoll_5p!I29,FIND(":",Protokoll_5p!I29)-1))&gt;VALUE(RIGHT(Protokoll_5p!I29,LEN(Protokoll_5p!I29)-FIND(":",Protokoll_5p!I29))),0,1))</f>
        <v>1</v>
      </c>
      <c r="M23" s="1" t="str">
        <f>IF(Protokoll_5p!J29="","",IF(VALUE(LEFT(Protokoll_5p!J29,FIND(":",Protokoll_5p!J29)-1))&gt;VALUE(RIGHT(Protokoll_5p!J29,LEN(Protokoll_5p!J29)-FIND(":",Protokoll_5p!J29))),0,1))</f>
        <v/>
      </c>
      <c r="N23" s="1">
        <f t="shared" si="1"/>
        <v>3</v>
      </c>
    </row>
    <row r="24" spans="2:14">
      <c r="B24" s="1">
        <f>IF(Protokoll_5p!F30="","",IF(VALUE(LEFT(Protokoll_5p!F30,FIND(":",Protokoll_5p!F30)-1))&gt;VALUE(RIGHT(Protokoll_5p!F30,LEN(Protokoll_5p!F30)-FIND(":",Protokoll_5p!F30))),1,0))</f>
        <v>0</v>
      </c>
      <c r="C24" s="1">
        <f>IF(Protokoll_5p!G30="","",IF(VALUE(LEFT(Protokoll_5p!G30,FIND(":",Protokoll_5p!G30)-1))&gt;VALUE(RIGHT(Protokoll_5p!G30,LEN(Protokoll_5p!G30)-FIND(":",Protokoll_5p!G30))),1,0))</f>
        <v>0</v>
      </c>
      <c r="D24" s="1">
        <f>IF(Protokoll_5p!H30="","",IF(VALUE(LEFT(Protokoll_5p!H30,FIND(":",Protokoll_5p!H30)-1))&gt;VALUE(RIGHT(Protokoll_5p!H30,LEN(Protokoll_5p!H30)-FIND(":",Protokoll_5p!H30))),1,0))</f>
        <v>0</v>
      </c>
      <c r="E24" s="1" t="str">
        <f>IF(Protokoll_5p!I30="","",IF(VALUE(LEFT(Protokoll_5p!I30,FIND(":",Protokoll_5p!I30)-1))&gt;VALUE(RIGHT(Protokoll_5p!I30,LEN(Protokoll_5p!I30)-FIND(":",Protokoll_5p!I30))),1,0))</f>
        <v/>
      </c>
      <c r="F24" s="1" t="str">
        <f>IF(Protokoll_5p!J30="","",IF(VALUE(LEFT(Protokoll_5p!J30,FIND(":",Protokoll_5p!J30)-1))&gt;VALUE(RIGHT(Protokoll_5p!J30,LEN(Protokoll_5p!J30)-FIND(":",Protokoll_5p!J30))),1,0))</f>
        <v/>
      </c>
      <c r="G24" s="1">
        <f t="shared" si="0"/>
        <v>0</v>
      </c>
      <c r="I24" s="1">
        <f>IF(Protokoll_5p!F30="","",IF(VALUE(LEFT(Protokoll_5p!F30,FIND(":",Protokoll_5p!F30)-1))&gt;VALUE(RIGHT(Protokoll_5p!F30,LEN(Protokoll_5p!F30)-FIND(":",Protokoll_5p!F30))),0,1))</f>
        <v>1</v>
      </c>
      <c r="J24" s="1">
        <f>IF(Protokoll_5p!G30="","",IF(VALUE(LEFT(Protokoll_5p!G30,FIND(":",Protokoll_5p!G30)-1))&gt;VALUE(RIGHT(Protokoll_5p!G30,LEN(Protokoll_5p!G30)-FIND(":",Protokoll_5p!G30))),0,1))</f>
        <v>1</v>
      </c>
      <c r="K24" s="1">
        <f>IF(Protokoll_5p!H30="","",IF(VALUE(LEFT(Protokoll_5p!H30,FIND(":",Protokoll_5p!H30)-1))&gt;VALUE(RIGHT(Protokoll_5p!H30,LEN(Protokoll_5p!H30)-FIND(":",Protokoll_5p!H30))),0,1))</f>
        <v>1</v>
      </c>
      <c r="L24" s="1" t="str">
        <f>IF(Protokoll_5p!I30="","",IF(VALUE(LEFT(Protokoll_5p!I30,FIND(":",Protokoll_5p!I30)-1))&gt;VALUE(RIGHT(Protokoll_5p!I30,LEN(Protokoll_5p!I30)-FIND(":",Protokoll_5p!I30))),0,1))</f>
        <v/>
      </c>
      <c r="M24" s="1" t="str">
        <f>IF(Protokoll_5p!J30="","",IF(VALUE(LEFT(Protokoll_5p!J30,FIND(":",Protokoll_5p!J30)-1))&gt;VALUE(RIGHT(Protokoll_5p!J30,LEN(Protokoll_5p!J30)-FIND(":",Protokoll_5p!J30))),0,1))</f>
        <v/>
      </c>
      <c r="N24" s="1">
        <f t="shared" si="1"/>
        <v>3</v>
      </c>
    </row>
    <row r="25" spans="2:14">
      <c r="B25" s="1">
        <f>IF(Protokoll_5p!F31="","",IF(VALUE(LEFT(Protokoll_5p!F31,FIND(":",Protokoll_5p!F31)-1))&gt;VALUE(RIGHT(Protokoll_5p!F31,LEN(Protokoll_5p!F31)-FIND(":",Protokoll_5p!F31))),1,0))</f>
        <v>1</v>
      </c>
      <c r="C25" s="1">
        <f>IF(Protokoll_5p!G31="","",IF(VALUE(LEFT(Protokoll_5p!G31,FIND(":",Protokoll_5p!G31)-1))&gt;VALUE(RIGHT(Protokoll_5p!G31,LEN(Protokoll_5p!G31)-FIND(":",Protokoll_5p!G31))),1,0))</f>
        <v>0</v>
      </c>
      <c r="D25" s="1">
        <f>IF(Protokoll_5p!H31="","",IF(VALUE(LEFT(Protokoll_5p!H31,FIND(":",Protokoll_5p!H31)-1))&gt;VALUE(RIGHT(Protokoll_5p!H31,LEN(Protokoll_5p!H31)-FIND(":",Protokoll_5p!H31))),1,0))</f>
        <v>1</v>
      </c>
      <c r="E25" s="1">
        <f>IF(Protokoll_5p!I31="","",IF(VALUE(LEFT(Protokoll_5p!I31,FIND(":",Protokoll_5p!I31)-1))&gt;VALUE(RIGHT(Protokoll_5p!I31,LEN(Protokoll_5p!I31)-FIND(":",Protokoll_5p!I31))),1,0))</f>
        <v>1</v>
      </c>
      <c r="F25" s="1" t="str">
        <f>IF(Protokoll_5p!J31="","",IF(VALUE(LEFT(Protokoll_5p!J31,FIND(":",Protokoll_5p!J31)-1))&gt;VALUE(RIGHT(Protokoll_5p!J31,LEN(Protokoll_5p!J31)-FIND(":",Protokoll_5p!J31))),1,0))</f>
        <v/>
      </c>
      <c r="G25" s="1">
        <f t="shared" si="0"/>
        <v>3</v>
      </c>
      <c r="I25" s="1">
        <f>IF(Protokoll_5p!F31="","",IF(VALUE(LEFT(Protokoll_5p!F31,FIND(":",Protokoll_5p!F31)-1))&gt;VALUE(RIGHT(Protokoll_5p!F31,LEN(Protokoll_5p!F31)-FIND(":",Protokoll_5p!F31))),0,1))</f>
        <v>0</v>
      </c>
      <c r="J25" s="1">
        <f>IF(Protokoll_5p!G31="","",IF(VALUE(LEFT(Protokoll_5p!G31,FIND(":",Protokoll_5p!G31)-1))&gt;VALUE(RIGHT(Protokoll_5p!G31,LEN(Protokoll_5p!G31)-FIND(":",Protokoll_5p!G31))),0,1))</f>
        <v>1</v>
      </c>
      <c r="K25" s="1">
        <f>IF(Protokoll_5p!H31="","",IF(VALUE(LEFT(Protokoll_5p!H31,FIND(":",Protokoll_5p!H31)-1))&gt;VALUE(RIGHT(Protokoll_5p!H31,LEN(Protokoll_5p!H31)-FIND(":",Protokoll_5p!H31))),0,1))</f>
        <v>0</v>
      </c>
      <c r="L25" s="1">
        <f>IF(Protokoll_5p!I31="","",IF(VALUE(LEFT(Protokoll_5p!I31,FIND(":",Protokoll_5p!I31)-1))&gt;VALUE(RIGHT(Protokoll_5p!I31,LEN(Protokoll_5p!I31)-FIND(":",Protokoll_5p!I31))),0,1))</f>
        <v>0</v>
      </c>
      <c r="M25" s="1" t="str">
        <f>IF(Protokoll_5p!J31="","",IF(VALUE(LEFT(Protokoll_5p!J31,FIND(":",Protokoll_5p!J31)-1))&gt;VALUE(RIGHT(Protokoll_5p!J31,LEN(Protokoll_5p!J31)-FIND(":",Protokoll_5p!J31))),0,1))</f>
        <v/>
      </c>
      <c r="N25" s="1">
        <f t="shared" si="1"/>
        <v>1</v>
      </c>
    </row>
    <row r="26" spans="2:14">
      <c r="B26" s="1" t="str">
        <f>IF(Protokoll_5p!F32="","",IF(VALUE(LEFT(Protokoll_5p!F32,FIND(":",Protokoll_5p!F32)-1))&gt;VALUE(RIGHT(Protokoll_5p!F32,LEN(Protokoll_5p!F32)-FIND(":",Protokoll_5p!F32))),1,0))</f>
        <v/>
      </c>
      <c r="C26" s="1" t="str">
        <f>IF(Protokoll_5p!G32="","",IF(VALUE(LEFT(Protokoll_5p!G32,FIND(":",Protokoll_5p!G32)-1))&gt;VALUE(RIGHT(Protokoll_5p!G32,LEN(Protokoll_5p!G32)-FIND(":",Protokoll_5p!G32))),1,0))</f>
        <v/>
      </c>
      <c r="D26" s="1" t="str">
        <f>IF(Protokoll_5p!H32="","",IF(VALUE(LEFT(Protokoll_5p!H32,FIND(":",Protokoll_5p!H32)-1))&gt;VALUE(RIGHT(Protokoll_5p!H32,LEN(Protokoll_5p!H32)-FIND(":",Protokoll_5p!H32))),1,0))</f>
        <v/>
      </c>
      <c r="E26" s="1" t="str">
        <f>IF(Protokoll_5p!I32="","",IF(VALUE(LEFT(Protokoll_5p!I32,FIND(":",Protokoll_5p!I32)-1))&gt;VALUE(RIGHT(Protokoll_5p!I32,LEN(Protokoll_5p!I32)-FIND(":",Protokoll_5p!I32))),1,0))</f>
        <v/>
      </c>
      <c r="F26" s="1" t="str">
        <f>IF(Protokoll_5p!J32="","",IF(VALUE(LEFT(Protokoll_5p!J32,FIND(":",Protokoll_5p!J32)-1))&gt;VALUE(RIGHT(Protokoll_5p!J32,LEN(Protokoll_5p!J32)-FIND(":",Protokoll_5p!J32))),1,0))</f>
        <v/>
      </c>
      <c r="G26" s="1" t="str">
        <f t="shared" si="0"/>
        <v/>
      </c>
      <c r="I26" s="1" t="str">
        <f>IF(Protokoll_5p!F32="","",IF(VALUE(LEFT(Protokoll_5p!F32,FIND(":",Protokoll_5p!F32)-1))&gt;VALUE(RIGHT(Protokoll_5p!F32,LEN(Protokoll_5p!F32)-FIND(":",Protokoll_5p!F32))),0,1))</f>
        <v/>
      </c>
      <c r="J26" s="1" t="str">
        <f>IF(Protokoll_5p!G32="","",IF(VALUE(LEFT(Protokoll_5p!G32,FIND(":",Protokoll_5p!G32)-1))&gt;VALUE(RIGHT(Protokoll_5p!G32,LEN(Protokoll_5p!G32)-FIND(":",Protokoll_5p!G32))),0,1))</f>
        <v/>
      </c>
      <c r="K26" s="1" t="str">
        <f>IF(Protokoll_5p!H32="","",IF(VALUE(LEFT(Protokoll_5p!H32,FIND(":",Protokoll_5p!H32)-1))&gt;VALUE(RIGHT(Protokoll_5p!H32,LEN(Protokoll_5p!H32)-FIND(":",Protokoll_5p!H32))),0,1))</f>
        <v/>
      </c>
      <c r="L26" s="1" t="str">
        <f>IF(Protokoll_5p!I32="","",IF(VALUE(LEFT(Protokoll_5p!I32,FIND(":",Protokoll_5p!I32)-1))&gt;VALUE(RIGHT(Protokoll_5p!I32,LEN(Protokoll_5p!I32)-FIND(":",Protokoll_5p!I32))),0,1))</f>
        <v/>
      </c>
      <c r="M26" s="1" t="str">
        <f>IF(Protokoll_5p!J32="","",IF(VALUE(LEFT(Protokoll_5p!J32,FIND(":",Protokoll_5p!J32)-1))&gt;VALUE(RIGHT(Protokoll_5p!J32,LEN(Protokoll_5p!J32)-FIND(":",Protokoll_5p!J32))),0,1))</f>
        <v/>
      </c>
      <c r="N26" s="1" t="str">
        <f t="shared" si="1"/>
        <v/>
      </c>
    </row>
    <row r="27" spans="2:14">
      <c r="B27" s="1">
        <f>IF(Protokoll_5p!F33="","",IF(VALUE(LEFT(Protokoll_5p!F33,FIND(":",Protokoll_5p!F33)-1))&gt;VALUE(RIGHT(Protokoll_5p!F33,LEN(Protokoll_5p!F33)-FIND(":",Protokoll_5p!F33))),1,0))</f>
        <v>0</v>
      </c>
      <c r="C27" s="1">
        <f>IF(Protokoll_5p!G33="","",IF(VALUE(LEFT(Protokoll_5p!G33,FIND(":",Protokoll_5p!G33)-1))&gt;VALUE(RIGHT(Protokoll_5p!G33,LEN(Protokoll_5p!G33)-FIND(":",Protokoll_5p!G33))),1,0))</f>
        <v>0</v>
      </c>
      <c r="D27" s="1">
        <f>IF(Protokoll_5p!H33="","",IF(VALUE(LEFT(Protokoll_5p!H33,FIND(":",Protokoll_5p!H33)-1))&gt;VALUE(RIGHT(Protokoll_5p!H33,LEN(Protokoll_5p!H33)-FIND(":",Protokoll_5p!H33))),1,0))</f>
        <v>0</v>
      </c>
      <c r="E27" s="1" t="str">
        <f>IF(Protokoll_5p!I33="","",IF(VALUE(LEFT(Protokoll_5p!I33,FIND(":",Protokoll_5p!I33)-1))&gt;VALUE(RIGHT(Protokoll_5p!I33,LEN(Protokoll_5p!I33)-FIND(":",Protokoll_5p!I33))),1,0))</f>
        <v/>
      </c>
      <c r="F27" s="1" t="str">
        <f>IF(Protokoll_5p!J33="","",IF(VALUE(LEFT(Protokoll_5p!J33,FIND(":",Protokoll_5p!J33)-1))&gt;VALUE(RIGHT(Protokoll_5p!J33,LEN(Protokoll_5p!J33)-FIND(":",Protokoll_5p!J33))),1,0))</f>
        <v/>
      </c>
      <c r="G27" s="1">
        <f t="shared" si="0"/>
        <v>0</v>
      </c>
      <c r="I27" s="1">
        <f>IF(Protokoll_5p!F33="","",IF(VALUE(LEFT(Protokoll_5p!F33,FIND(":",Protokoll_5p!F33)-1))&gt;VALUE(RIGHT(Protokoll_5p!F33,LEN(Protokoll_5p!F33)-FIND(":",Protokoll_5p!F33))),0,1))</f>
        <v>1</v>
      </c>
      <c r="J27" s="1">
        <f>IF(Protokoll_5p!G33="","",IF(VALUE(LEFT(Protokoll_5p!G33,FIND(":",Protokoll_5p!G33)-1))&gt;VALUE(RIGHT(Protokoll_5p!G33,LEN(Protokoll_5p!G33)-FIND(":",Protokoll_5p!G33))),0,1))</f>
        <v>1</v>
      </c>
      <c r="K27" s="1">
        <f>IF(Protokoll_5p!H33="","",IF(VALUE(LEFT(Protokoll_5p!H33,FIND(":",Protokoll_5p!H33)-1))&gt;VALUE(RIGHT(Protokoll_5p!H33,LEN(Protokoll_5p!H33)-FIND(":",Protokoll_5p!H33))),0,1))</f>
        <v>1</v>
      </c>
      <c r="L27" s="1" t="str">
        <f>IF(Protokoll_5p!I33="","",IF(VALUE(LEFT(Protokoll_5p!I33,FIND(":",Protokoll_5p!I33)-1))&gt;VALUE(RIGHT(Protokoll_5p!I33,LEN(Protokoll_5p!I33)-FIND(":",Protokoll_5p!I33))),0,1))</f>
        <v/>
      </c>
      <c r="M27" s="1" t="str">
        <f>IF(Protokoll_5p!J33="","",IF(VALUE(LEFT(Protokoll_5p!J33,FIND(":",Protokoll_5p!J33)-1))&gt;VALUE(RIGHT(Protokoll_5p!J33,LEN(Protokoll_5p!J33)-FIND(":",Protokoll_5p!J33))),0,1))</f>
        <v/>
      </c>
      <c r="N27" s="1">
        <f t="shared" si="1"/>
        <v>3</v>
      </c>
    </row>
    <row r="28" spans="2:14">
      <c r="B28" s="1" t="str">
        <f>IF(Protokoll_5p!F34="","",IF(VALUE(LEFT(Protokoll_5p!F34,FIND(":",Protokoll_5p!F34)-1))&gt;VALUE(RIGHT(Protokoll_5p!F34,LEN(Protokoll_5p!F34)-FIND(":",Protokoll_5p!F34))),1,0))</f>
        <v/>
      </c>
      <c r="C28" s="1" t="str">
        <f>IF(Protokoll_5p!G34="","",IF(VALUE(LEFT(Protokoll_5p!G34,FIND(":",Protokoll_5p!G34)-1))&gt;VALUE(RIGHT(Protokoll_5p!G34,LEN(Protokoll_5p!G34)-FIND(":",Protokoll_5p!G34))),1,0))</f>
        <v/>
      </c>
      <c r="D28" s="1" t="str">
        <f>IF(Protokoll_5p!H34="","",IF(VALUE(LEFT(Protokoll_5p!H34,FIND(":",Protokoll_5p!H34)-1))&gt;VALUE(RIGHT(Protokoll_5p!H34,LEN(Protokoll_5p!H34)-FIND(":",Protokoll_5p!H34))),1,0))</f>
        <v/>
      </c>
      <c r="E28" s="1" t="str">
        <f>IF(Protokoll_5p!I34="","",IF(VALUE(LEFT(Protokoll_5p!I34,FIND(":",Protokoll_5p!I34)-1))&gt;VALUE(RIGHT(Protokoll_5p!I34,LEN(Protokoll_5p!I34)-FIND(":",Protokoll_5p!I34))),1,0))</f>
        <v/>
      </c>
      <c r="F28" s="1" t="str">
        <f>IF(Protokoll_5p!J34="","",IF(VALUE(LEFT(Protokoll_5p!J34,FIND(":",Protokoll_5p!J34)-1))&gt;VALUE(RIGHT(Protokoll_5p!J34,LEN(Protokoll_5p!J34)-FIND(":",Protokoll_5p!J34))),1,0))</f>
        <v/>
      </c>
      <c r="G28" s="1" t="str">
        <f t="shared" si="0"/>
        <v/>
      </c>
      <c r="I28" s="1" t="str">
        <f>IF(Protokoll_5p!F34="","",IF(VALUE(LEFT(Protokoll_5p!F34,FIND(":",Protokoll_5p!F34)-1))&gt;VALUE(RIGHT(Protokoll_5p!F34,LEN(Protokoll_5p!F34)-FIND(":",Protokoll_5p!F34))),0,1))</f>
        <v/>
      </c>
      <c r="J28" s="1" t="str">
        <f>IF(Protokoll_5p!G34="","",IF(VALUE(LEFT(Protokoll_5p!G34,FIND(":",Protokoll_5p!G34)-1))&gt;VALUE(RIGHT(Protokoll_5p!G34,LEN(Protokoll_5p!G34)-FIND(":",Protokoll_5p!G34))),0,1))</f>
        <v/>
      </c>
      <c r="K28" s="1" t="str">
        <f>IF(Protokoll_5p!H34="","",IF(VALUE(LEFT(Protokoll_5p!H34,FIND(":",Protokoll_5p!H34)-1))&gt;VALUE(RIGHT(Protokoll_5p!H34,LEN(Protokoll_5p!H34)-FIND(":",Protokoll_5p!H34))),0,1))</f>
        <v/>
      </c>
      <c r="L28" s="1" t="str">
        <f>IF(Protokoll_5p!I34="","",IF(VALUE(LEFT(Protokoll_5p!I34,FIND(":",Protokoll_5p!I34)-1))&gt;VALUE(RIGHT(Protokoll_5p!I34,LEN(Protokoll_5p!I34)-FIND(":",Protokoll_5p!I34))),0,1))</f>
        <v/>
      </c>
      <c r="M28" s="1" t="str">
        <f>IF(Protokoll_5p!J34="","",IF(VALUE(LEFT(Protokoll_5p!J34,FIND(":",Protokoll_5p!J34)-1))&gt;VALUE(RIGHT(Protokoll_5p!J34,LEN(Protokoll_5p!J34)-FIND(":",Protokoll_5p!J34))),0,1))</f>
        <v/>
      </c>
      <c r="N28" s="1" t="str">
        <f t="shared" si="1"/>
        <v/>
      </c>
    </row>
    <row r="29" spans="2:14">
      <c r="B29" s="1" t="str">
        <f>IF(Protokoll_5p!F35="","",IF(VALUE(LEFT(Protokoll_5p!F35,FIND(":",Protokoll_5p!F35)-1))&gt;VALUE(RIGHT(Protokoll_5p!F35,LEN(Protokoll_5p!F35)-FIND(":",Protokoll_5p!F35))),1,0))</f>
        <v/>
      </c>
      <c r="C29" s="1" t="str">
        <f>IF(Protokoll_5p!G35="","",IF(VALUE(LEFT(Protokoll_5p!G35,FIND(":",Protokoll_5p!G35)-1))&gt;VALUE(RIGHT(Protokoll_5p!G35,LEN(Protokoll_5p!G35)-FIND(":",Protokoll_5p!G35))),1,0))</f>
        <v/>
      </c>
      <c r="D29" s="1" t="str">
        <f>IF(Protokoll_5p!H35="","",IF(VALUE(LEFT(Protokoll_5p!H35,FIND(":",Protokoll_5p!H35)-1))&gt;VALUE(RIGHT(Protokoll_5p!H35,LEN(Protokoll_5p!H35)-FIND(":",Protokoll_5p!H35))),1,0))</f>
        <v/>
      </c>
      <c r="E29" s="1" t="str">
        <f>IF(Protokoll_5p!I35="","",IF(VALUE(LEFT(Protokoll_5p!I35,FIND(":",Protokoll_5p!I35)-1))&gt;VALUE(RIGHT(Protokoll_5p!I35,LEN(Protokoll_5p!I35)-FIND(":",Protokoll_5p!I35))),1,0))</f>
        <v/>
      </c>
      <c r="F29" s="1" t="str">
        <f>IF(Protokoll_5p!J35="","",IF(VALUE(LEFT(Protokoll_5p!J35,FIND(":",Protokoll_5p!J35)-1))&gt;VALUE(RIGHT(Protokoll_5p!J35,LEN(Protokoll_5p!J35)-FIND(":",Protokoll_5p!J35))),1,0))</f>
        <v/>
      </c>
      <c r="G29" s="1" t="str">
        <f t="shared" si="0"/>
        <v/>
      </c>
      <c r="I29" s="1" t="str">
        <f>IF(Protokoll_5p!F35="","",IF(VALUE(LEFT(Protokoll_5p!F35,FIND(":",Protokoll_5p!F35)-1))&gt;VALUE(RIGHT(Protokoll_5p!F35,LEN(Protokoll_5p!F35)-FIND(":",Protokoll_5p!F35))),0,1))</f>
        <v/>
      </c>
      <c r="J29" s="1" t="str">
        <f>IF(Protokoll_5p!G35="","",IF(VALUE(LEFT(Protokoll_5p!G35,FIND(":",Protokoll_5p!G35)-1))&gt;VALUE(RIGHT(Protokoll_5p!G35,LEN(Protokoll_5p!G35)-FIND(":",Protokoll_5p!G35))),0,1))</f>
        <v/>
      </c>
      <c r="K29" s="1" t="str">
        <f>IF(Protokoll_5p!H35="","",IF(VALUE(LEFT(Protokoll_5p!H35,FIND(":",Protokoll_5p!H35)-1))&gt;VALUE(RIGHT(Protokoll_5p!H35,LEN(Protokoll_5p!H35)-FIND(":",Protokoll_5p!H35))),0,1))</f>
        <v/>
      </c>
      <c r="L29" s="1" t="str">
        <f>IF(Protokoll_5p!I35="","",IF(VALUE(LEFT(Protokoll_5p!I35,FIND(":",Protokoll_5p!I35)-1))&gt;VALUE(RIGHT(Protokoll_5p!I35,LEN(Protokoll_5p!I35)-FIND(":",Protokoll_5p!I35))),0,1))</f>
        <v/>
      </c>
      <c r="M29" s="1" t="str">
        <f>IF(Protokoll_5p!J35="","",IF(VALUE(LEFT(Protokoll_5p!J35,FIND(":",Protokoll_5p!J35)-1))&gt;VALUE(RIGHT(Protokoll_5p!J35,LEN(Protokoll_5p!J35)-FIND(":",Protokoll_5p!J35))),0,1))</f>
        <v/>
      </c>
      <c r="N29" s="1" t="str">
        <f t="shared" si="1"/>
        <v/>
      </c>
    </row>
    <row r="30" spans="2:14">
      <c r="B30" s="1" t="str">
        <f>IF(Protokoll_5p!F36="","",IF(VALUE(LEFT(Protokoll_5p!F36,FIND(":",Protokoll_5p!F36)-1))&gt;VALUE(RIGHT(Protokoll_5p!F36,LEN(Protokoll_5p!F36)-FIND(":",Protokoll_5p!F36))),1,0))</f>
        <v/>
      </c>
      <c r="C30" s="1" t="str">
        <f>IF(Protokoll_5p!G36="","",IF(VALUE(LEFT(Protokoll_5p!G36,FIND(":",Protokoll_5p!G36)-1))&gt;VALUE(RIGHT(Protokoll_5p!G36,LEN(Protokoll_5p!G36)-FIND(":",Protokoll_5p!G36))),1,0))</f>
        <v/>
      </c>
      <c r="D30" s="1" t="str">
        <f>IF(Protokoll_5p!H36="","",IF(VALUE(LEFT(Protokoll_5p!H36,FIND(":",Protokoll_5p!H36)-1))&gt;VALUE(RIGHT(Protokoll_5p!H36,LEN(Protokoll_5p!H36)-FIND(":",Protokoll_5p!H36))),1,0))</f>
        <v/>
      </c>
      <c r="E30" s="1" t="str">
        <f>IF(Protokoll_5p!I36="","",IF(VALUE(LEFT(Protokoll_5p!I36,FIND(":",Protokoll_5p!I36)-1))&gt;VALUE(RIGHT(Protokoll_5p!I36,LEN(Protokoll_5p!I36)-FIND(":",Protokoll_5p!I36))),1,0))</f>
        <v/>
      </c>
      <c r="F30" s="1" t="str">
        <f>IF(Protokoll_5p!J36="","",IF(VALUE(LEFT(Protokoll_5p!J36,FIND(":",Protokoll_5p!J36)-1))&gt;VALUE(RIGHT(Protokoll_5p!J36,LEN(Protokoll_5p!J36)-FIND(":",Protokoll_5p!J36))),1,0))</f>
        <v/>
      </c>
      <c r="G30" s="1" t="str">
        <f t="shared" si="0"/>
        <v/>
      </c>
      <c r="I30" s="1" t="str">
        <f>IF(Protokoll_5p!F36="","",IF(VALUE(LEFT(Protokoll_5p!F36,FIND(":",Protokoll_5p!F36)-1))&gt;VALUE(RIGHT(Protokoll_5p!F36,LEN(Protokoll_5p!F36)-FIND(":",Protokoll_5p!F36))),0,1))</f>
        <v/>
      </c>
      <c r="J30" s="1" t="str">
        <f>IF(Protokoll_5p!G36="","",IF(VALUE(LEFT(Protokoll_5p!G36,FIND(":",Protokoll_5p!G36)-1))&gt;VALUE(RIGHT(Protokoll_5p!G36,LEN(Protokoll_5p!G36)-FIND(":",Protokoll_5p!G36))),0,1))</f>
        <v/>
      </c>
      <c r="K30" s="1" t="str">
        <f>IF(Protokoll_5p!H36="","",IF(VALUE(LEFT(Protokoll_5p!H36,FIND(":",Protokoll_5p!H36)-1))&gt;VALUE(RIGHT(Protokoll_5p!H36,LEN(Protokoll_5p!H36)-FIND(":",Protokoll_5p!H36))),0,1))</f>
        <v/>
      </c>
      <c r="L30" s="1" t="str">
        <f>IF(Protokoll_5p!I36="","",IF(VALUE(LEFT(Protokoll_5p!I36,FIND(":",Protokoll_5p!I36)-1))&gt;VALUE(RIGHT(Protokoll_5p!I36,LEN(Protokoll_5p!I36)-FIND(":",Protokoll_5p!I36))),0,1))</f>
        <v/>
      </c>
      <c r="M30" s="1" t="str">
        <f>IF(Protokoll_5p!J36="","",IF(VALUE(LEFT(Protokoll_5p!J36,FIND(":",Protokoll_5p!J36)-1))&gt;VALUE(RIGHT(Protokoll_5p!J36,LEN(Protokoll_5p!J36)-FIND(":",Protokoll_5p!J36))),0,1))</f>
        <v/>
      </c>
      <c r="N30" s="1" t="str">
        <f t="shared" si="1"/>
        <v/>
      </c>
    </row>
    <row r="31" spans="2:14">
      <c r="B31" s="1" t="e">
        <f>IF(Protokoll_5p!F37="","",IF(VALUE(LEFT(Protokoll_5p!F37,FIND(":",Protokoll_5p!F37)-1))&gt;VALUE(RIGHT(Protokoll_5p!F37,LEN(Protokoll_5p!F37)-FIND(":",Protokoll_5p!F37))),1,0))</f>
        <v>#VALUE!</v>
      </c>
      <c r="C31" s="1" t="e">
        <f>IF(Protokoll_5p!G37="","",IF(VALUE(LEFT(Protokoll_5p!G37,FIND(":",Protokoll_5p!G37)-1))&gt;VALUE(RIGHT(Protokoll_5p!G37,LEN(Protokoll_5p!G37)-FIND(":",Protokoll_5p!G37))),1,0))</f>
        <v>#VALUE!</v>
      </c>
      <c r="D31" s="1" t="e">
        <f>IF(Protokoll_5p!H37="","",IF(VALUE(LEFT(Protokoll_5p!H37,FIND(":",Protokoll_5p!H37)-1))&gt;VALUE(RIGHT(Protokoll_5p!H37,LEN(Protokoll_5p!H37)-FIND(":",Protokoll_5p!H37))),1,0))</f>
        <v>#VALUE!</v>
      </c>
      <c r="E31" s="1" t="e">
        <f>IF(Protokoll_5p!I37="","",IF(VALUE(LEFT(Protokoll_5p!I37,FIND(":",Protokoll_5p!I37)-1))&gt;VALUE(RIGHT(Protokoll_5p!I37,LEN(Protokoll_5p!I37)-FIND(":",Protokoll_5p!I37))),1,0))</f>
        <v>#VALUE!</v>
      </c>
      <c r="F31" s="1" t="e">
        <f>IF(Protokoll_5p!J37="","",IF(VALUE(LEFT(Protokoll_5p!J37,FIND(":",Protokoll_5p!J37)-1))&gt;VALUE(RIGHT(Protokoll_5p!J37,LEN(Protokoll_5p!J37)-FIND(":",Protokoll_5p!J37))),1,0))</f>
        <v>#VALUE!</v>
      </c>
      <c r="G31" s="1" t="e">
        <f t="shared" si="0"/>
        <v>#VALUE!</v>
      </c>
      <c r="I31" s="1" t="e">
        <f>IF(Protokoll_5p!F37="","",IF(VALUE(LEFT(Protokoll_5p!F37,FIND(":",Protokoll_5p!F37)-1))&gt;VALUE(RIGHT(Protokoll_5p!F37,LEN(Protokoll_5p!F37)-FIND(":",Protokoll_5p!F37))),0,1))</f>
        <v>#VALUE!</v>
      </c>
      <c r="J31" s="1" t="e">
        <f>IF(Protokoll_5p!G37="","",IF(VALUE(LEFT(Protokoll_5p!G37,FIND(":",Protokoll_5p!G37)-1))&gt;VALUE(RIGHT(Protokoll_5p!G37,LEN(Protokoll_5p!G37)-FIND(":",Protokoll_5p!G37))),0,1))</f>
        <v>#VALUE!</v>
      </c>
      <c r="K31" s="1" t="e">
        <f>IF(Protokoll_5p!H37="","",IF(VALUE(LEFT(Protokoll_5p!H37,FIND(":",Protokoll_5p!H37)-1))&gt;VALUE(RIGHT(Protokoll_5p!H37,LEN(Protokoll_5p!H37)-FIND(":",Protokoll_5p!H37))),0,1))</f>
        <v>#VALUE!</v>
      </c>
      <c r="L31" s="1" t="e">
        <f>IF(Protokoll_5p!I37="","",IF(VALUE(LEFT(Protokoll_5p!I37,FIND(":",Protokoll_5p!I37)-1))&gt;VALUE(RIGHT(Protokoll_5p!I37,LEN(Protokoll_5p!I37)-FIND(":",Protokoll_5p!I37))),0,1))</f>
        <v>#VALUE!</v>
      </c>
      <c r="M31" s="1" t="e">
        <f>IF(Protokoll_5p!J37="","",IF(VALUE(LEFT(Protokoll_5p!J37,FIND(":",Protokoll_5p!J37)-1))&gt;VALUE(RIGHT(Protokoll_5p!J37,LEN(Protokoll_5p!J37)-FIND(":",Protokoll_5p!J37))),0,1))</f>
        <v>#VALUE!</v>
      </c>
      <c r="N31" s="1" t="e">
        <f t="shared" si="1"/>
        <v>#VALUE!</v>
      </c>
    </row>
    <row r="32" spans="2:14">
      <c r="B32" s="1">
        <f>IF(Protokoll_5p!F38="","",IF(VALUE(LEFT(Protokoll_5p!F38,FIND(":",Protokoll_5p!F38)-1))&gt;VALUE(RIGHT(Protokoll_5p!F38,LEN(Protokoll_5p!F38)-FIND(":",Protokoll_5p!F38))),1,0))</f>
        <v>0</v>
      </c>
      <c r="C32" s="1">
        <f>IF(Protokoll_5p!G38="","",IF(VALUE(LEFT(Protokoll_5p!G38,FIND(":",Protokoll_5p!G38)-1))&gt;VALUE(RIGHT(Protokoll_5p!G38,LEN(Protokoll_5p!G38)-FIND(":",Protokoll_5p!G38))),1,0))</f>
        <v>0</v>
      </c>
      <c r="D32" s="1">
        <f>IF(Protokoll_5p!H38="","",IF(VALUE(LEFT(Protokoll_5p!H38,FIND(":",Protokoll_5p!H38)-1))&gt;VALUE(RIGHT(Protokoll_5p!H38,LEN(Protokoll_5p!H38)-FIND(":",Protokoll_5p!H38))),1,0))</f>
        <v>1</v>
      </c>
      <c r="E32" s="1">
        <f>IF(Protokoll_5p!I38="","",IF(VALUE(LEFT(Protokoll_5p!I38,FIND(":",Protokoll_5p!I38)-1))&gt;VALUE(RIGHT(Protokoll_5p!I38,LEN(Protokoll_5p!I38)-FIND(":",Protokoll_5p!I38))),1,0))</f>
        <v>0</v>
      </c>
      <c r="F32" s="1" t="str">
        <f>IF(Protokoll_5p!J38="","",IF(VALUE(LEFT(Protokoll_5p!J38,FIND(":",Protokoll_5p!J38)-1))&gt;VALUE(RIGHT(Protokoll_5p!J38,LEN(Protokoll_5p!J38)-FIND(":",Protokoll_5p!J38))),1,0))</f>
        <v/>
      </c>
      <c r="G32" s="1">
        <f t="shared" si="0"/>
        <v>1</v>
      </c>
      <c r="I32" s="1">
        <f>IF(Protokoll_5p!F38="","",IF(VALUE(LEFT(Protokoll_5p!F38,FIND(":",Protokoll_5p!F38)-1))&gt;VALUE(RIGHT(Protokoll_5p!F38,LEN(Protokoll_5p!F38)-FIND(":",Protokoll_5p!F38))),0,1))</f>
        <v>1</v>
      </c>
      <c r="J32" s="1">
        <f>IF(Protokoll_5p!G38="","",IF(VALUE(LEFT(Protokoll_5p!G38,FIND(":",Protokoll_5p!G38)-1))&gt;VALUE(RIGHT(Protokoll_5p!G38,LEN(Protokoll_5p!G38)-FIND(":",Protokoll_5p!G38))),0,1))</f>
        <v>1</v>
      </c>
      <c r="K32" s="1">
        <f>IF(Protokoll_5p!H38="","",IF(VALUE(LEFT(Protokoll_5p!H38,FIND(":",Protokoll_5p!H38)-1))&gt;VALUE(RIGHT(Protokoll_5p!H38,LEN(Protokoll_5p!H38)-FIND(":",Protokoll_5p!H38))),0,1))</f>
        <v>0</v>
      </c>
      <c r="L32" s="1">
        <f>IF(Protokoll_5p!I38="","",IF(VALUE(LEFT(Protokoll_5p!I38,FIND(":",Protokoll_5p!I38)-1))&gt;VALUE(RIGHT(Protokoll_5p!I38,LEN(Protokoll_5p!I38)-FIND(":",Protokoll_5p!I38))),0,1))</f>
        <v>1</v>
      </c>
      <c r="M32" s="1" t="str">
        <f>IF(Protokoll_5p!J38="","",IF(VALUE(LEFT(Protokoll_5p!J38,FIND(":",Protokoll_5p!J38)-1))&gt;VALUE(RIGHT(Protokoll_5p!J38,LEN(Protokoll_5p!J38)-FIND(":",Protokoll_5p!J38))),0,1))</f>
        <v/>
      </c>
      <c r="N32" s="1">
        <f t="shared" si="1"/>
        <v>3</v>
      </c>
    </row>
    <row r="33" spans="2:14">
      <c r="B33" s="1">
        <f>IF(Protokoll_5p!F39="","",IF(VALUE(LEFT(Protokoll_5p!F39,FIND(":",Protokoll_5p!F39)-1))&gt;VALUE(RIGHT(Protokoll_5p!F39,LEN(Protokoll_5p!F39)-FIND(":",Protokoll_5p!F39))),1,0))</f>
        <v>0</v>
      </c>
      <c r="C33" s="1">
        <f>IF(Protokoll_5p!G39="","",IF(VALUE(LEFT(Protokoll_5p!G39,FIND(":",Protokoll_5p!G39)-1))&gt;VALUE(RIGHT(Protokoll_5p!G39,LEN(Protokoll_5p!G39)-FIND(":",Protokoll_5p!G39))),1,0))</f>
        <v>1</v>
      </c>
      <c r="D33" s="1">
        <f>IF(Protokoll_5p!H39="","",IF(VALUE(LEFT(Protokoll_5p!H39,FIND(":",Protokoll_5p!H39)-1))&gt;VALUE(RIGHT(Protokoll_5p!H39,LEN(Protokoll_5p!H39)-FIND(":",Protokoll_5p!H39))),1,0))</f>
        <v>1</v>
      </c>
      <c r="E33" s="1">
        <f>IF(Protokoll_5p!I39="","",IF(VALUE(LEFT(Protokoll_5p!I39,FIND(":",Protokoll_5p!I39)-1))&gt;VALUE(RIGHT(Protokoll_5p!I39,LEN(Protokoll_5p!I39)-FIND(":",Protokoll_5p!I39))),1,0))</f>
        <v>0</v>
      </c>
      <c r="F33" s="1">
        <f>IF(Protokoll_5p!J39="","",IF(VALUE(LEFT(Protokoll_5p!J39,FIND(":",Protokoll_5p!J39)-1))&gt;VALUE(RIGHT(Protokoll_5p!J39,LEN(Protokoll_5p!J39)-FIND(":",Protokoll_5p!J39))),1,0))</f>
        <v>0</v>
      </c>
      <c r="G33" s="1">
        <f t="shared" si="0"/>
        <v>2</v>
      </c>
      <c r="I33" s="1">
        <f>IF(Protokoll_5p!F39="","",IF(VALUE(LEFT(Protokoll_5p!F39,FIND(":",Protokoll_5p!F39)-1))&gt;VALUE(RIGHT(Protokoll_5p!F39,LEN(Protokoll_5p!F39)-FIND(":",Protokoll_5p!F39))),0,1))</f>
        <v>1</v>
      </c>
      <c r="J33" s="1">
        <f>IF(Protokoll_5p!G39="","",IF(VALUE(LEFT(Protokoll_5p!G39,FIND(":",Protokoll_5p!G39)-1))&gt;VALUE(RIGHT(Protokoll_5p!G39,LEN(Protokoll_5p!G39)-FIND(":",Protokoll_5p!G39))),0,1))</f>
        <v>0</v>
      </c>
      <c r="K33" s="1">
        <f>IF(Protokoll_5p!H39="","",IF(VALUE(LEFT(Protokoll_5p!H39,FIND(":",Protokoll_5p!H39)-1))&gt;VALUE(RIGHT(Protokoll_5p!H39,LEN(Protokoll_5p!H39)-FIND(":",Protokoll_5p!H39))),0,1))</f>
        <v>0</v>
      </c>
      <c r="L33" s="1">
        <f>IF(Protokoll_5p!I39="","",IF(VALUE(LEFT(Protokoll_5p!I39,FIND(":",Protokoll_5p!I39)-1))&gt;VALUE(RIGHT(Protokoll_5p!I39,LEN(Protokoll_5p!I39)-FIND(":",Protokoll_5p!I39))),0,1))</f>
        <v>1</v>
      </c>
      <c r="M33" s="1">
        <f>IF(Protokoll_5p!J39="","",IF(VALUE(LEFT(Protokoll_5p!J39,FIND(":",Protokoll_5p!J39)-1))&gt;VALUE(RIGHT(Protokoll_5p!J39,LEN(Protokoll_5p!J39)-FIND(":",Protokoll_5p!J39))),0,1))</f>
        <v>1</v>
      </c>
      <c r="N33" s="1">
        <f t="shared" si="1"/>
        <v>3</v>
      </c>
    </row>
    <row r="34" spans="2:14">
      <c r="B34" s="1">
        <f>IF(Protokoll_5p!F40="","",IF(VALUE(LEFT(Protokoll_5p!F40,FIND(":",Protokoll_5p!F40)-1))&gt;VALUE(RIGHT(Protokoll_5p!F40,LEN(Protokoll_5p!F40)-FIND(":",Protokoll_5p!F40))),1,0))</f>
        <v>1</v>
      </c>
      <c r="C34" s="1">
        <f>IF(Protokoll_5p!G40="","",IF(VALUE(LEFT(Protokoll_5p!G40,FIND(":",Protokoll_5p!G40)-1))&gt;VALUE(RIGHT(Protokoll_5p!G40,LEN(Protokoll_5p!G40)-FIND(":",Protokoll_5p!G40))),1,0))</f>
        <v>1</v>
      </c>
      <c r="D34" s="1">
        <f>IF(Protokoll_5p!H40="","",IF(VALUE(LEFT(Protokoll_5p!H40,FIND(":",Protokoll_5p!H40)-1))&gt;VALUE(RIGHT(Protokoll_5p!H40,LEN(Protokoll_5p!H40)-FIND(":",Protokoll_5p!H40))),1,0))</f>
        <v>1</v>
      </c>
      <c r="E34" s="1" t="str">
        <f>IF(Protokoll_5p!I40="","",IF(VALUE(LEFT(Protokoll_5p!I40,FIND(":",Protokoll_5p!I40)-1))&gt;VALUE(RIGHT(Protokoll_5p!I40,LEN(Protokoll_5p!I40)-FIND(":",Protokoll_5p!I40))),1,0))</f>
        <v/>
      </c>
      <c r="F34" s="1" t="str">
        <f>IF(Protokoll_5p!J40="","",IF(VALUE(LEFT(Protokoll_5p!J40,FIND(":",Protokoll_5p!J40)-1))&gt;VALUE(RIGHT(Protokoll_5p!J40,LEN(Protokoll_5p!J40)-FIND(":",Protokoll_5p!J40))),1,0))</f>
        <v/>
      </c>
      <c r="G34" s="1">
        <f t="shared" si="0"/>
        <v>3</v>
      </c>
      <c r="I34" s="1">
        <f>IF(Protokoll_5p!F40="","",IF(VALUE(LEFT(Protokoll_5p!F40,FIND(":",Protokoll_5p!F40)-1))&gt;VALUE(RIGHT(Protokoll_5p!F40,LEN(Protokoll_5p!F40)-FIND(":",Protokoll_5p!F40))),0,1))</f>
        <v>0</v>
      </c>
      <c r="J34" s="1">
        <f>IF(Protokoll_5p!G40="","",IF(VALUE(LEFT(Protokoll_5p!G40,FIND(":",Protokoll_5p!G40)-1))&gt;VALUE(RIGHT(Protokoll_5p!G40,LEN(Protokoll_5p!G40)-FIND(":",Protokoll_5p!G40))),0,1))</f>
        <v>0</v>
      </c>
      <c r="K34" s="1">
        <f>IF(Protokoll_5p!H40="","",IF(VALUE(LEFT(Protokoll_5p!H40,FIND(":",Protokoll_5p!H40)-1))&gt;VALUE(RIGHT(Protokoll_5p!H40,LEN(Protokoll_5p!H40)-FIND(":",Protokoll_5p!H40))),0,1))</f>
        <v>0</v>
      </c>
      <c r="L34" s="1" t="str">
        <f>IF(Protokoll_5p!I40="","",IF(VALUE(LEFT(Protokoll_5p!I40,FIND(":",Protokoll_5p!I40)-1))&gt;VALUE(RIGHT(Protokoll_5p!I40,LEN(Protokoll_5p!I40)-FIND(":",Protokoll_5p!I40))),0,1))</f>
        <v/>
      </c>
      <c r="M34" s="1" t="str">
        <f>IF(Protokoll_5p!J40="","",IF(VALUE(LEFT(Protokoll_5p!J40,FIND(":",Protokoll_5p!J40)-1))&gt;VALUE(RIGHT(Protokoll_5p!J40,LEN(Protokoll_5p!J40)-FIND(":",Protokoll_5p!J40))),0,1))</f>
        <v/>
      </c>
      <c r="N34" s="1">
        <f t="shared" si="1"/>
        <v>0</v>
      </c>
    </row>
    <row r="35" spans="2:14">
      <c r="B35" s="1">
        <f>IF(Protokoll_5p!F41="","",IF(VALUE(LEFT(Protokoll_5p!F41,FIND(":",Protokoll_5p!F41)-1))&gt;VALUE(RIGHT(Protokoll_5p!F41,LEN(Protokoll_5p!F41)-FIND(":",Protokoll_5p!F41))),1,0))</f>
        <v>1</v>
      </c>
      <c r="C35" s="1">
        <f>IF(Protokoll_5p!G41="","",IF(VALUE(LEFT(Protokoll_5p!G41,FIND(":",Protokoll_5p!G41)-1))&gt;VALUE(RIGHT(Protokoll_5p!G41,LEN(Protokoll_5p!G41)-FIND(":",Protokoll_5p!G41))),1,0))</f>
        <v>1</v>
      </c>
      <c r="D35" s="1">
        <f>IF(Protokoll_5p!H41="","",IF(VALUE(LEFT(Protokoll_5p!H41,FIND(":",Protokoll_5p!H41)-1))&gt;VALUE(RIGHT(Protokoll_5p!H41,LEN(Protokoll_5p!H41)-FIND(":",Protokoll_5p!H41))),1,0))</f>
        <v>1</v>
      </c>
      <c r="E35" s="1" t="str">
        <f>IF(Protokoll_5p!I41="","",IF(VALUE(LEFT(Protokoll_5p!I41,FIND(":",Protokoll_5p!I41)-1))&gt;VALUE(RIGHT(Protokoll_5p!I41,LEN(Protokoll_5p!I41)-FIND(":",Protokoll_5p!I41))),1,0))</f>
        <v/>
      </c>
      <c r="F35" s="1" t="str">
        <f>IF(Protokoll_5p!J41="","",IF(VALUE(LEFT(Protokoll_5p!J41,FIND(":",Protokoll_5p!J41)-1))&gt;VALUE(RIGHT(Protokoll_5p!J41,LEN(Protokoll_5p!J41)-FIND(":",Protokoll_5p!J41))),1,0))</f>
        <v/>
      </c>
      <c r="G35" s="1">
        <f t="shared" si="0"/>
        <v>3</v>
      </c>
      <c r="I35" s="1">
        <f>IF(Protokoll_5p!F41="","",IF(VALUE(LEFT(Protokoll_5p!F41,FIND(":",Protokoll_5p!F41)-1))&gt;VALUE(RIGHT(Protokoll_5p!F41,LEN(Protokoll_5p!F41)-FIND(":",Protokoll_5p!F41))),0,1))</f>
        <v>0</v>
      </c>
      <c r="J35" s="1">
        <f>IF(Protokoll_5p!G41="","",IF(VALUE(LEFT(Protokoll_5p!G41,FIND(":",Protokoll_5p!G41)-1))&gt;VALUE(RIGHT(Protokoll_5p!G41,LEN(Protokoll_5p!G41)-FIND(":",Protokoll_5p!G41))),0,1))</f>
        <v>0</v>
      </c>
      <c r="K35" s="1">
        <f>IF(Protokoll_5p!H41="","",IF(VALUE(LEFT(Protokoll_5p!H41,FIND(":",Protokoll_5p!H41)-1))&gt;VALUE(RIGHT(Protokoll_5p!H41,LEN(Protokoll_5p!H41)-FIND(":",Protokoll_5p!H41))),0,1))</f>
        <v>0</v>
      </c>
      <c r="L35" s="1" t="str">
        <f>IF(Protokoll_5p!I41="","",IF(VALUE(LEFT(Protokoll_5p!I41,FIND(":",Protokoll_5p!I41)-1))&gt;VALUE(RIGHT(Protokoll_5p!I41,LEN(Protokoll_5p!I41)-FIND(":",Protokoll_5p!I41))),0,1))</f>
        <v/>
      </c>
      <c r="M35" s="1" t="str">
        <f>IF(Protokoll_5p!J41="","",IF(VALUE(LEFT(Protokoll_5p!J41,FIND(":",Protokoll_5p!J41)-1))&gt;VALUE(RIGHT(Protokoll_5p!J41,LEN(Protokoll_5p!J41)-FIND(":",Protokoll_5p!J41))),0,1))</f>
        <v/>
      </c>
      <c r="N35" s="1">
        <f t="shared" si="1"/>
        <v>0</v>
      </c>
    </row>
    <row r="36" spans="2:14">
      <c r="B36" s="1" t="str">
        <f>IF(Protokoll_5p!F42="","",IF(VALUE(LEFT(Protokoll_5p!F42,FIND(":",Protokoll_5p!F42)-1))&gt;VALUE(RIGHT(Protokoll_5p!F42,LEN(Protokoll_5p!F42)-FIND(":",Protokoll_5p!F42))),1,0))</f>
        <v/>
      </c>
      <c r="C36" s="1" t="str">
        <f>IF(Protokoll_5p!G42="","",IF(VALUE(LEFT(Protokoll_5p!G42,FIND(":",Protokoll_5p!G42)-1))&gt;VALUE(RIGHT(Protokoll_5p!G42,LEN(Protokoll_5p!G42)-FIND(":",Protokoll_5p!G42))),1,0))</f>
        <v/>
      </c>
      <c r="D36" s="1" t="str">
        <f>IF(Protokoll_5p!H42="","",IF(VALUE(LEFT(Protokoll_5p!H42,FIND(":",Protokoll_5p!H42)-1))&gt;VALUE(RIGHT(Protokoll_5p!H42,LEN(Protokoll_5p!H42)-FIND(":",Protokoll_5p!H42))),1,0))</f>
        <v/>
      </c>
      <c r="E36" s="1" t="str">
        <f>IF(Protokoll_5p!I42="","",IF(VALUE(LEFT(Protokoll_5p!I42,FIND(":",Protokoll_5p!I42)-1))&gt;VALUE(RIGHT(Protokoll_5p!I42,LEN(Protokoll_5p!I42)-FIND(":",Protokoll_5p!I42))),1,0))</f>
        <v/>
      </c>
      <c r="F36" s="1" t="str">
        <f>IF(Protokoll_5p!J42="","",IF(VALUE(LEFT(Protokoll_5p!J42,FIND(":",Protokoll_5p!J42)-1))&gt;VALUE(RIGHT(Protokoll_5p!J42,LEN(Protokoll_5p!J42)-FIND(":",Protokoll_5p!J42))),1,0))</f>
        <v/>
      </c>
      <c r="G36" s="1" t="str">
        <f t="shared" si="0"/>
        <v/>
      </c>
      <c r="I36" s="1" t="str">
        <f>IF(Protokoll_5p!F42="","",IF(VALUE(LEFT(Protokoll_5p!F42,FIND(":",Protokoll_5p!F42)-1))&gt;VALUE(RIGHT(Protokoll_5p!F42,LEN(Protokoll_5p!F42)-FIND(":",Protokoll_5p!F42))),0,1))</f>
        <v/>
      </c>
      <c r="J36" s="1" t="str">
        <f>IF(Protokoll_5p!G42="","",IF(VALUE(LEFT(Protokoll_5p!G42,FIND(":",Protokoll_5p!G42)-1))&gt;VALUE(RIGHT(Protokoll_5p!G42,LEN(Protokoll_5p!G42)-FIND(":",Protokoll_5p!G42))),0,1))</f>
        <v/>
      </c>
      <c r="K36" s="1" t="str">
        <f>IF(Protokoll_5p!H42="","",IF(VALUE(LEFT(Protokoll_5p!H42,FIND(":",Protokoll_5p!H42)-1))&gt;VALUE(RIGHT(Protokoll_5p!H42,LEN(Protokoll_5p!H42)-FIND(":",Protokoll_5p!H42))),0,1))</f>
        <v/>
      </c>
      <c r="L36" s="1" t="str">
        <f>IF(Protokoll_5p!I42="","",IF(VALUE(LEFT(Protokoll_5p!I42,FIND(":",Protokoll_5p!I42)-1))&gt;VALUE(RIGHT(Protokoll_5p!I42,LEN(Protokoll_5p!I42)-FIND(":",Protokoll_5p!I42))),0,1))</f>
        <v/>
      </c>
      <c r="M36" s="1" t="str">
        <f>IF(Protokoll_5p!J42="","",IF(VALUE(LEFT(Protokoll_5p!J42,FIND(":",Protokoll_5p!J42)-1))&gt;VALUE(RIGHT(Protokoll_5p!J42,LEN(Protokoll_5p!J42)-FIND(":",Protokoll_5p!J42))),0,1))</f>
        <v/>
      </c>
      <c r="N36" s="1" t="str">
        <f t="shared" si="1"/>
        <v/>
      </c>
    </row>
    <row r="37" spans="2:14">
      <c r="B37" s="1">
        <f>IF(Protokoll_5p!F43="","",IF(VALUE(LEFT(Protokoll_5p!F43,FIND(":",Protokoll_5p!F43)-1))&gt;VALUE(RIGHT(Protokoll_5p!F43,LEN(Protokoll_5p!F43)-FIND(":",Protokoll_5p!F43))),1,0))</f>
        <v>0</v>
      </c>
      <c r="C37" s="1">
        <f>IF(Protokoll_5p!G43="","",IF(VALUE(LEFT(Protokoll_5p!G43,FIND(":",Protokoll_5p!G43)-1))&gt;VALUE(RIGHT(Protokoll_5p!G43,LEN(Protokoll_5p!G43)-FIND(":",Protokoll_5p!G43))),1,0))</f>
        <v>1</v>
      </c>
      <c r="D37" s="1">
        <f>IF(Protokoll_5p!H43="","",IF(VALUE(LEFT(Protokoll_5p!H43,FIND(":",Protokoll_5p!H43)-1))&gt;VALUE(RIGHT(Protokoll_5p!H43,LEN(Protokoll_5p!H43)-FIND(":",Protokoll_5p!H43))),1,0))</f>
        <v>1</v>
      </c>
      <c r="E37" s="1">
        <f>IF(Protokoll_5p!I43="","",IF(VALUE(LEFT(Protokoll_5p!I43,FIND(":",Protokoll_5p!I43)-1))&gt;VALUE(RIGHT(Protokoll_5p!I43,LEN(Protokoll_5p!I43)-FIND(":",Protokoll_5p!I43))),1,0))</f>
        <v>1</v>
      </c>
      <c r="F37" s="1" t="str">
        <f>IF(Protokoll_5p!J43="","",IF(VALUE(LEFT(Protokoll_5p!J43,FIND(":",Protokoll_5p!J43)-1))&gt;VALUE(RIGHT(Protokoll_5p!J43,LEN(Protokoll_5p!J43)-FIND(":",Protokoll_5p!J43))),1,0))</f>
        <v/>
      </c>
      <c r="G37" s="1">
        <f t="shared" si="0"/>
        <v>3</v>
      </c>
      <c r="I37" s="1">
        <f>IF(Protokoll_5p!F43="","",IF(VALUE(LEFT(Protokoll_5p!F43,FIND(":",Protokoll_5p!F43)-1))&gt;VALUE(RIGHT(Protokoll_5p!F43,LEN(Protokoll_5p!F43)-FIND(":",Protokoll_5p!F43))),0,1))</f>
        <v>1</v>
      </c>
      <c r="J37" s="1">
        <f>IF(Protokoll_5p!G43="","",IF(VALUE(LEFT(Protokoll_5p!G43,FIND(":",Protokoll_5p!G43)-1))&gt;VALUE(RIGHT(Protokoll_5p!G43,LEN(Protokoll_5p!G43)-FIND(":",Protokoll_5p!G43))),0,1))</f>
        <v>0</v>
      </c>
      <c r="K37" s="1">
        <f>IF(Protokoll_5p!H43="","",IF(VALUE(LEFT(Protokoll_5p!H43,FIND(":",Protokoll_5p!H43)-1))&gt;VALUE(RIGHT(Protokoll_5p!H43,LEN(Protokoll_5p!H43)-FIND(":",Protokoll_5p!H43))),0,1))</f>
        <v>0</v>
      </c>
      <c r="L37" s="1">
        <f>IF(Protokoll_5p!I43="","",IF(VALUE(LEFT(Protokoll_5p!I43,FIND(":",Protokoll_5p!I43)-1))&gt;VALUE(RIGHT(Protokoll_5p!I43,LEN(Protokoll_5p!I43)-FIND(":",Protokoll_5p!I43))),0,1))</f>
        <v>0</v>
      </c>
      <c r="M37" s="1" t="str">
        <f>IF(Protokoll_5p!J43="","",IF(VALUE(LEFT(Protokoll_5p!J43,FIND(":",Protokoll_5p!J43)-1))&gt;VALUE(RIGHT(Protokoll_5p!J43,LEN(Protokoll_5p!J43)-FIND(":",Protokoll_5p!J43))),0,1))</f>
        <v/>
      </c>
      <c r="N37" s="1">
        <f t="shared" si="1"/>
        <v>1</v>
      </c>
    </row>
    <row r="38" spans="2:14">
      <c r="B38" s="1">
        <f>IF(Protokoll_5p!F44="","",IF(VALUE(LEFT(Protokoll_5p!F44,FIND(":",Protokoll_5p!F44)-1))&gt;VALUE(RIGHT(Protokoll_5p!F44,LEN(Protokoll_5p!F44)-FIND(":",Protokoll_5p!F44))),1,0))</f>
        <v>0</v>
      </c>
      <c r="C38" s="1">
        <f>IF(Protokoll_5p!G44="","",IF(VALUE(LEFT(Protokoll_5p!G44,FIND(":",Protokoll_5p!G44)-1))&gt;VALUE(RIGHT(Protokoll_5p!G44,LEN(Protokoll_5p!G44)-FIND(":",Protokoll_5p!G44))),1,0))</f>
        <v>0</v>
      </c>
      <c r="D38" s="1">
        <f>IF(Protokoll_5p!H44="","",IF(VALUE(LEFT(Protokoll_5p!H44,FIND(":",Protokoll_5p!H44)-1))&gt;VALUE(RIGHT(Protokoll_5p!H44,LEN(Protokoll_5p!H44)-FIND(":",Protokoll_5p!H44))),1,0))</f>
        <v>0</v>
      </c>
      <c r="E38" s="1" t="str">
        <f>IF(Protokoll_5p!I44="","",IF(VALUE(LEFT(Protokoll_5p!I44,FIND(":",Protokoll_5p!I44)-1))&gt;VALUE(RIGHT(Protokoll_5p!I44,LEN(Protokoll_5p!I44)-FIND(":",Protokoll_5p!I44))),1,0))</f>
        <v/>
      </c>
      <c r="F38" s="1" t="str">
        <f>IF(Protokoll_5p!J44="","",IF(VALUE(LEFT(Protokoll_5p!J44,FIND(":",Protokoll_5p!J44)-1))&gt;VALUE(RIGHT(Protokoll_5p!J44,LEN(Protokoll_5p!J44)-FIND(":",Protokoll_5p!J44))),1,0))</f>
        <v/>
      </c>
      <c r="G38" s="1">
        <f t="shared" si="0"/>
        <v>0</v>
      </c>
      <c r="I38" s="1">
        <f>IF(Protokoll_5p!F44="","",IF(VALUE(LEFT(Protokoll_5p!F44,FIND(":",Protokoll_5p!F44)-1))&gt;VALUE(RIGHT(Protokoll_5p!F44,LEN(Protokoll_5p!F44)-FIND(":",Protokoll_5p!F44))),0,1))</f>
        <v>1</v>
      </c>
      <c r="J38" s="1">
        <f>IF(Protokoll_5p!G44="","",IF(VALUE(LEFT(Protokoll_5p!G44,FIND(":",Protokoll_5p!G44)-1))&gt;VALUE(RIGHT(Protokoll_5p!G44,LEN(Protokoll_5p!G44)-FIND(":",Protokoll_5p!G44))),0,1))</f>
        <v>1</v>
      </c>
      <c r="K38" s="1">
        <f>IF(Protokoll_5p!H44="","",IF(VALUE(LEFT(Protokoll_5p!H44,FIND(":",Protokoll_5p!H44)-1))&gt;VALUE(RIGHT(Protokoll_5p!H44,LEN(Protokoll_5p!H44)-FIND(":",Protokoll_5p!H44))),0,1))</f>
        <v>1</v>
      </c>
      <c r="L38" s="1" t="str">
        <f>IF(Protokoll_5p!I44="","",IF(VALUE(LEFT(Protokoll_5p!I44,FIND(":",Protokoll_5p!I44)-1))&gt;VALUE(RIGHT(Protokoll_5p!I44,LEN(Protokoll_5p!I44)-FIND(":",Protokoll_5p!I44))),0,1))</f>
        <v/>
      </c>
      <c r="M38" s="1" t="str">
        <f>IF(Protokoll_5p!J44="","",IF(VALUE(LEFT(Protokoll_5p!J44,FIND(":",Protokoll_5p!J44)-1))&gt;VALUE(RIGHT(Protokoll_5p!J44,LEN(Protokoll_5p!J44)-FIND(":",Protokoll_5p!J44))),0,1))</f>
        <v/>
      </c>
      <c r="N38" s="1">
        <f t="shared" si="1"/>
        <v>3</v>
      </c>
    </row>
    <row r="39" spans="2:14">
      <c r="B39" s="1">
        <f>IF(Protokoll_5p!F45="","",IF(VALUE(LEFT(Protokoll_5p!F45,FIND(":",Protokoll_5p!F45)-1))&gt;VALUE(RIGHT(Protokoll_5p!F45,LEN(Protokoll_5p!F45)-FIND(":",Protokoll_5p!F45))),1,0))</f>
        <v>1</v>
      </c>
      <c r="C39" s="1">
        <f>IF(Protokoll_5p!G45="","",IF(VALUE(LEFT(Protokoll_5p!G45,FIND(":",Protokoll_5p!G45)-1))&gt;VALUE(RIGHT(Protokoll_5p!G45,LEN(Protokoll_5p!G45)-FIND(":",Protokoll_5p!G45))),1,0))</f>
        <v>1</v>
      </c>
      <c r="D39" s="1">
        <f>IF(Protokoll_5p!H45="","",IF(VALUE(LEFT(Protokoll_5p!H45,FIND(":",Protokoll_5p!H45)-1))&gt;VALUE(RIGHT(Protokoll_5p!H45,LEN(Protokoll_5p!H45)-FIND(":",Protokoll_5p!H45))),1,0))</f>
        <v>0</v>
      </c>
      <c r="E39" s="1">
        <f>IF(Protokoll_5p!I45="","",IF(VALUE(LEFT(Protokoll_5p!I45,FIND(":",Protokoll_5p!I45)-1))&gt;VALUE(RIGHT(Protokoll_5p!I45,LEN(Protokoll_5p!I45)-FIND(":",Protokoll_5p!I45))),1,0))</f>
        <v>1</v>
      </c>
      <c r="F39" s="1" t="str">
        <f>IF(Protokoll_5p!J45="","",IF(VALUE(LEFT(Protokoll_5p!J45,FIND(":",Protokoll_5p!J45)-1))&gt;VALUE(RIGHT(Protokoll_5p!J45,LEN(Protokoll_5p!J45)-FIND(":",Protokoll_5p!J45))),1,0))</f>
        <v/>
      </c>
      <c r="G39" s="1">
        <f t="shared" si="0"/>
        <v>3</v>
      </c>
      <c r="I39" s="1">
        <f>IF(Protokoll_5p!F45="","",IF(VALUE(LEFT(Protokoll_5p!F45,FIND(":",Protokoll_5p!F45)-1))&gt;VALUE(RIGHT(Protokoll_5p!F45,LEN(Protokoll_5p!F45)-FIND(":",Protokoll_5p!F45))),0,1))</f>
        <v>0</v>
      </c>
      <c r="J39" s="1">
        <f>IF(Protokoll_5p!G45="","",IF(VALUE(LEFT(Protokoll_5p!G45,FIND(":",Protokoll_5p!G45)-1))&gt;VALUE(RIGHT(Protokoll_5p!G45,LEN(Protokoll_5p!G45)-FIND(":",Protokoll_5p!G45))),0,1))</f>
        <v>0</v>
      </c>
      <c r="K39" s="1">
        <f>IF(Protokoll_5p!H45="","",IF(VALUE(LEFT(Protokoll_5p!H45,FIND(":",Protokoll_5p!H45)-1))&gt;VALUE(RIGHT(Protokoll_5p!H45,LEN(Protokoll_5p!H45)-FIND(":",Protokoll_5p!H45))),0,1))</f>
        <v>1</v>
      </c>
      <c r="L39" s="1">
        <f>IF(Protokoll_5p!I45="","",IF(VALUE(LEFT(Protokoll_5p!I45,FIND(":",Protokoll_5p!I45)-1))&gt;VALUE(RIGHT(Protokoll_5p!I45,LEN(Protokoll_5p!I45)-FIND(":",Protokoll_5p!I45))),0,1))</f>
        <v>0</v>
      </c>
      <c r="M39" s="1" t="str">
        <f>IF(Protokoll_5p!J45="","",IF(VALUE(LEFT(Protokoll_5p!J45,FIND(":",Protokoll_5p!J45)-1))&gt;VALUE(RIGHT(Protokoll_5p!J45,LEN(Protokoll_5p!J45)-FIND(":",Protokoll_5p!J45))),0,1))</f>
        <v/>
      </c>
      <c r="N39" s="1">
        <f t="shared" si="1"/>
        <v>1</v>
      </c>
    </row>
    <row r="40" spans="2:14">
      <c r="B40" s="1" t="str">
        <f>IF(Protokoll_5p!F46="","",IF(VALUE(LEFT(Protokoll_5p!F46,FIND(":",Protokoll_5p!F46)-1))&gt;VALUE(RIGHT(Protokoll_5p!F46,LEN(Protokoll_5p!F46)-FIND(":",Protokoll_5p!F46))),1,0))</f>
        <v/>
      </c>
      <c r="C40" s="1" t="str">
        <f>IF(Protokoll_5p!G46="","",IF(VALUE(LEFT(Protokoll_5p!G46,FIND(":",Protokoll_5p!G46)-1))&gt;VALUE(RIGHT(Protokoll_5p!G46,LEN(Protokoll_5p!G46)-FIND(":",Protokoll_5p!G46))),1,0))</f>
        <v/>
      </c>
      <c r="D40" s="1" t="str">
        <f>IF(Protokoll_5p!H46="","",IF(VALUE(LEFT(Protokoll_5p!H46,FIND(":",Protokoll_5p!H46)-1))&gt;VALUE(RIGHT(Protokoll_5p!H46,LEN(Protokoll_5p!H46)-FIND(":",Protokoll_5p!H46))),1,0))</f>
        <v/>
      </c>
      <c r="E40" s="1" t="str">
        <f>IF(Protokoll_5p!I46="","",IF(VALUE(LEFT(Protokoll_5p!I46,FIND(":",Protokoll_5p!I46)-1))&gt;VALUE(RIGHT(Protokoll_5p!I46,LEN(Protokoll_5p!I46)-FIND(":",Protokoll_5p!I46))),1,0))</f>
        <v/>
      </c>
      <c r="F40" s="1" t="str">
        <f>IF(Protokoll_5p!J46="","",IF(VALUE(LEFT(Protokoll_5p!J46,FIND(":",Protokoll_5p!J46)-1))&gt;VALUE(RIGHT(Protokoll_5p!J46,LEN(Protokoll_5p!J46)-FIND(":",Protokoll_5p!J46))),1,0))</f>
        <v/>
      </c>
      <c r="G40" s="1" t="str">
        <f t="shared" si="0"/>
        <v/>
      </c>
      <c r="I40" s="1" t="str">
        <f>IF(Protokoll_5p!F46="","",IF(VALUE(LEFT(Protokoll_5p!F46,FIND(":",Protokoll_5p!F46)-1))&gt;VALUE(RIGHT(Protokoll_5p!F46,LEN(Protokoll_5p!F46)-FIND(":",Protokoll_5p!F46))),0,1))</f>
        <v/>
      </c>
      <c r="J40" s="1" t="str">
        <f>IF(Protokoll_5p!G46="","",IF(VALUE(LEFT(Protokoll_5p!G46,FIND(":",Protokoll_5p!G46)-1))&gt;VALUE(RIGHT(Protokoll_5p!G46,LEN(Protokoll_5p!G46)-FIND(":",Protokoll_5p!G46))),0,1))</f>
        <v/>
      </c>
      <c r="K40" s="1" t="str">
        <f>IF(Protokoll_5p!H46="","",IF(VALUE(LEFT(Protokoll_5p!H46,FIND(":",Protokoll_5p!H46)-1))&gt;VALUE(RIGHT(Protokoll_5p!H46,LEN(Protokoll_5p!H46)-FIND(":",Protokoll_5p!H46))),0,1))</f>
        <v/>
      </c>
      <c r="L40" s="1" t="str">
        <f>IF(Protokoll_5p!I46="","",IF(VALUE(LEFT(Protokoll_5p!I46,FIND(":",Protokoll_5p!I46)-1))&gt;VALUE(RIGHT(Protokoll_5p!I46,LEN(Protokoll_5p!I46)-FIND(":",Protokoll_5p!I46))),0,1))</f>
        <v/>
      </c>
      <c r="M40" s="1" t="str">
        <f>IF(Protokoll_5p!J46="","",IF(VALUE(LEFT(Protokoll_5p!J46,FIND(":",Protokoll_5p!J46)-1))&gt;VALUE(RIGHT(Protokoll_5p!J46,LEN(Protokoll_5p!J46)-FIND(":",Protokoll_5p!J46))),0,1))</f>
        <v/>
      </c>
      <c r="N40" s="1" t="str">
        <f t="shared" si="1"/>
        <v/>
      </c>
    </row>
    <row r="41" spans="2:14">
      <c r="B41" s="1" t="e">
        <f>IF(Protokoll_5p!F47="","",IF(VALUE(LEFT(Protokoll_5p!F47,FIND(":",Protokoll_5p!F47)-1))&gt;VALUE(RIGHT(Protokoll_5p!F47,LEN(Protokoll_5p!F47)-FIND(":",Protokoll_5p!F47))),1,0))</f>
        <v>#VALUE!</v>
      </c>
      <c r="C41" s="1" t="e">
        <f>IF(Protokoll_5p!G47="","",IF(VALUE(LEFT(Protokoll_5p!G47,FIND(":",Protokoll_5p!G47)-1))&gt;VALUE(RIGHT(Protokoll_5p!G47,LEN(Protokoll_5p!G47)-FIND(":",Protokoll_5p!G47))),1,0))</f>
        <v>#VALUE!</v>
      </c>
      <c r="D41" s="1" t="e">
        <f>IF(Protokoll_5p!H47="","",IF(VALUE(LEFT(Protokoll_5p!H47,FIND(":",Protokoll_5p!H47)-1))&gt;VALUE(RIGHT(Protokoll_5p!H47,LEN(Protokoll_5p!H47)-FIND(":",Protokoll_5p!H47))),1,0))</f>
        <v>#VALUE!</v>
      </c>
      <c r="E41" s="1" t="e">
        <f>IF(Protokoll_5p!I47="","",IF(VALUE(LEFT(Protokoll_5p!I47,FIND(":",Protokoll_5p!I47)-1))&gt;VALUE(RIGHT(Protokoll_5p!I47,LEN(Protokoll_5p!I47)-FIND(":",Protokoll_5p!I47))),1,0))</f>
        <v>#VALUE!</v>
      </c>
      <c r="F41" s="1" t="e">
        <f>IF(Protokoll_5p!J47="","",IF(VALUE(LEFT(Protokoll_5p!J47,FIND(":",Protokoll_5p!J47)-1))&gt;VALUE(RIGHT(Protokoll_5p!J47,LEN(Protokoll_5p!J47)-FIND(":",Protokoll_5p!J47))),1,0))</f>
        <v>#VALUE!</v>
      </c>
      <c r="G41" s="1" t="e">
        <f t="shared" si="0"/>
        <v>#VALUE!</v>
      </c>
      <c r="I41" s="1" t="e">
        <f>IF(Protokoll_5p!F47="","",IF(VALUE(LEFT(Protokoll_5p!F47,FIND(":",Protokoll_5p!F47)-1))&gt;VALUE(RIGHT(Protokoll_5p!F47,LEN(Protokoll_5p!F47)-FIND(":",Protokoll_5p!F47))),0,1))</f>
        <v>#VALUE!</v>
      </c>
      <c r="J41" s="1" t="e">
        <f>IF(Protokoll_5p!G47="","",IF(VALUE(LEFT(Protokoll_5p!G47,FIND(":",Protokoll_5p!G47)-1))&gt;VALUE(RIGHT(Protokoll_5p!G47,LEN(Protokoll_5p!G47)-FIND(":",Protokoll_5p!G47))),0,1))</f>
        <v>#VALUE!</v>
      </c>
      <c r="K41" s="1" t="e">
        <f>IF(Protokoll_5p!H47="","",IF(VALUE(LEFT(Protokoll_5p!H47,FIND(":",Protokoll_5p!H47)-1))&gt;VALUE(RIGHT(Protokoll_5p!H47,LEN(Protokoll_5p!H47)-FIND(":",Protokoll_5p!H47))),0,1))</f>
        <v>#VALUE!</v>
      </c>
      <c r="L41" s="1" t="e">
        <f>IF(Protokoll_5p!I47="","",IF(VALUE(LEFT(Protokoll_5p!I47,FIND(":",Protokoll_5p!I47)-1))&gt;VALUE(RIGHT(Protokoll_5p!I47,LEN(Protokoll_5p!I47)-FIND(":",Protokoll_5p!I47))),0,1))</f>
        <v>#VALUE!</v>
      </c>
      <c r="M41" s="1" t="e">
        <f>IF(Protokoll_5p!J47="","",IF(VALUE(LEFT(Protokoll_5p!J47,FIND(":",Protokoll_5p!J47)-1))&gt;VALUE(RIGHT(Protokoll_5p!J47,LEN(Protokoll_5p!J47)-FIND(":",Protokoll_5p!J47))),0,1))</f>
        <v>#VALUE!</v>
      </c>
      <c r="N41" s="1" t="e">
        <f t="shared" si="1"/>
        <v>#VALUE!</v>
      </c>
    </row>
    <row r="42" spans="2:14">
      <c r="B42" s="1">
        <f>IF(Protokoll_5p!F48="","",IF(VALUE(LEFT(Protokoll_5p!F48,FIND(":",Protokoll_5p!F48)-1))&gt;VALUE(RIGHT(Protokoll_5p!F48,LEN(Protokoll_5p!F48)-FIND(":",Protokoll_5p!F48))),1,0))</f>
        <v>0</v>
      </c>
      <c r="C42" s="1">
        <f>IF(Protokoll_5p!G48="","",IF(VALUE(LEFT(Protokoll_5p!G48,FIND(":",Protokoll_5p!G48)-1))&gt;VALUE(RIGHT(Protokoll_5p!G48,LEN(Protokoll_5p!G48)-FIND(":",Protokoll_5p!G48))),1,0))</f>
        <v>0</v>
      </c>
      <c r="D42" s="1">
        <f>IF(Protokoll_5p!H48="","",IF(VALUE(LEFT(Protokoll_5p!H48,FIND(":",Protokoll_5p!H48)-1))&gt;VALUE(RIGHT(Protokoll_5p!H48,LEN(Protokoll_5p!H48)-FIND(":",Protokoll_5p!H48))),1,0))</f>
        <v>0</v>
      </c>
      <c r="E42" s="1" t="str">
        <f>IF(Protokoll_5p!I48="","",IF(VALUE(LEFT(Protokoll_5p!I48,FIND(":",Protokoll_5p!I48)-1))&gt;VALUE(RIGHT(Protokoll_5p!I48,LEN(Protokoll_5p!I48)-FIND(":",Protokoll_5p!I48))),1,0))</f>
        <v/>
      </c>
      <c r="F42" s="1" t="str">
        <f>IF(Protokoll_5p!J48="","",IF(VALUE(LEFT(Protokoll_5p!J48,FIND(":",Protokoll_5p!J48)-1))&gt;VALUE(RIGHT(Protokoll_5p!J48,LEN(Protokoll_5p!J48)-FIND(":",Protokoll_5p!J48))),1,0))</f>
        <v/>
      </c>
      <c r="G42" s="1">
        <f t="shared" si="0"/>
        <v>0</v>
      </c>
      <c r="I42" s="1">
        <f>IF(Protokoll_5p!F48="","",IF(VALUE(LEFT(Protokoll_5p!F48,FIND(":",Protokoll_5p!F48)-1))&gt;VALUE(RIGHT(Protokoll_5p!F48,LEN(Protokoll_5p!F48)-FIND(":",Protokoll_5p!F48))),0,1))</f>
        <v>1</v>
      </c>
      <c r="J42" s="1">
        <f>IF(Protokoll_5p!G48="","",IF(VALUE(LEFT(Protokoll_5p!G48,FIND(":",Protokoll_5p!G48)-1))&gt;VALUE(RIGHT(Protokoll_5p!G48,LEN(Protokoll_5p!G48)-FIND(":",Protokoll_5p!G48))),0,1))</f>
        <v>1</v>
      </c>
      <c r="K42" s="1">
        <f>IF(Protokoll_5p!H48="","",IF(VALUE(LEFT(Protokoll_5p!H48,FIND(":",Protokoll_5p!H48)-1))&gt;VALUE(RIGHT(Protokoll_5p!H48,LEN(Protokoll_5p!H48)-FIND(":",Protokoll_5p!H48))),0,1))</f>
        <v>1</v>
      </c>
      <c r="L42" s="1" t="str">
        <f>IF(Protokoll_5p!I48="","",IF(VALUE(LEFT(Protokoll_5p!I48,FIND(":",Protokoll_5p!I48)-1))&gt;VALUE(RIGHT(Protokoll_5p!I48,LEN(Protokoll_5p!I48)-FIND(":",Protokoll_5p!I48))),0,1))</f>
        <v/>
      </c>
      <c r="M42" s="1" t="str">
        <f>IF(Protokoll_5p!J48="","",IF(VALUE(LEFT(Protokoll_5p!J48,FIND(":",Protokoll_5p!J48)-1))&gt;VALUE(RIGHT(Protokoll_5p!J48,LEN(Protokoll_5p!J48)-FIND(":",Protokoll_5p!J48))),0,1))</f>
        <v/>
      </c>
      <c r="N42" s="1">
        <f t="shared" si="1"/>
        <v>3</v>
      </c>
    </row>
    <row r="43" spans="2:14">
      <c r="B43" s="1">
        <f>IF(Protokoll_5p!F49="","",IF(VALUE(LEFT(Protokoll_5p!F49,FIND(":",Protokoll_5p!F49)-1))&gt;VALUE(RIGHT(Protokoll_5p!F49,LEN(Protokoll_5p!F49)-FIND(":",Protokoll_5p!F49))),1,0))</f>
        <v>0</v>
      </c>
      <c r="C43" s="1">
        <f>IF(Protokoll_5p!G49="","",IF(VALUE(LEFT(Protokoll_5p!G49,FIND(":",Protokoll_5p!G49)-1))&gt;VALUE(RIGHT(Protokoll_5p!G49,LEN(Protokoll_5p!G49)-FIND(":",Protokoll_5p!G49))),1,0))</f>
        <v>1</v>
      </c>
      <c r="D43" s="1">
        <f>IF(Protokoll_5p!H49="","",IF(VALUE(LEFT(Protokoll_5p!H49,FIND(":",Protokoll_5p!H49)-1))&gt;VALUE(RIGHT(Protokoll_5p!H49,LEN(Protokoll_5p!H49)-FIND(":",Protokoll_5p!H49))),1,0))</f>
        <v>0</v>
      </c>
      <c r="E43" s="1">
        <f>IF(Protokoll_5p!I49="","",IF(VALUE(LEFT(Protokoll_5p!I49,FIND(":",Protokoll_5p!I49)-1))&gt;VALUE(RIGHT(Protokoll_5p!I49,LEN(Protokoll_5p!I49)-FIND(":",Protokoll_5p!I49))),1,0))</f>
        <v>1</v>
      </c>
      <c r="F43" s="1">
        <f>IF(Protokoll_5p!J49="","",IF(VALUE(LEFT(Protokoll_5p!J49,FIND(":",Protokoll_5p!J49)-1))&gt;VALUE(RIGHT(Protokoll_5p!J49,LEN(Protokoll_5p!J49)-FIND(":",Protokoll_5p!J49))),1,0))</f>
        <v>0</v>
      </c>
      <c r="G43" s="1">
        <f t="shared" si="0"/>
        <v>2</v>
      </c>
      <c r="I43" s="1">
        <f>IF(Protokoll_5p!F49="","",IF(VALUE(LEFT(Protokoll_5p!F49,FIND(":",Protokoll_5p!F49)-1))&gt;VALUE(RIGHT(Protokoll_5p!F49,LEN(Protokoll_5p!F49)-FIND(":",Protokoll_5p!F49))),0,1))</f>
        <v>1</v>
      </c>
      <c r="J43" s="1">
        <f>IF(Protokoll_5p!G49="","",IF(VALUE(LEFT(Protokoll_5p!G49,FIND(":",Protokoll_5p!G49)-1))&gt;VALUE(RIGHT(Protokoll_5p!G49,LEN(Protokoll_5p!G49)-FIND(":",Protokoll_5p!G49))),0,1))</f>
        <v>0</v>
      </c>
      <c r="K43" s="1">
        <f>IF(Protokoll_5p!H49="","",IF(VALUE(LEFT(Protokoll_5p!H49,FIND(":",Protokoll_5p!H49)-1))&gt;VALUE(RIGHT(Protokoll_5p!H49,LEN(Protokoll_5p!H49)-FIND(":",Protokoll_5p!H49))),0,1))</f>
        <v>1</v>
      </c>
      <c r="L43" s="1">
        <f>IF(Protokoll_5p!I49="","",IF(VALUE(LEFT(Protokoll_5p!I49,FIND(":",Protokoll_5p!I49)-1))&gt;VALUE(RIGHT(Protokoll_5p!I49,LEN(Protokoll_5p!I49)-FIND(":",Protokoll_5p!I49))),0,1))</f>
        <v>0</v>
      </c>
      <c r="M43" s="1">
        <f>IF(Protokoll_5p!J49="","",IF(VALUE(LEFT(Protokoll_5p!J49,FIND(":",Protokoll_5p!J49)-1))&gt;VALUE(RIGHT(Protokoll_5p!J49,LEN(Protokoll_5p!J49)-FIND(":",Protokoll_5p!J49))),0,1))</f>
        <v>1</v>
      </c>
      <c r="N43" s="1">
        <f t="shared" si="1"/>
        <v>3</v>
      </c>
    </row>
    <row r="44" spans="2:14">
      <c r="B44" s="1">
        <f>IF(Protokoll_5p!F50="","",IF(VALUE(LEFT(Protokoll_5p!F50,FIND(":",Protokoll_5p!F50)-1))&gt;VALUE(RIGHT(Protokoll_5p!F50,LEN(Protokoll_5p!F50)-FIND(":",Protokoll_5p!F50))),1,0))</f>
        <v>1</v>
      </c>
      <c r="C44" s="1">
        <f>IF(Protokoll_5p!G50="","",IF(VALUE(LEFT(Protokoll_5p!G50,FIND(":",Protokoll_5p!G50)-1))&gt;VALUE(RIGHT(Protokoll_5p!G50,LEN(Protokoll_5p!G50)-FIND(":",Protokoll_5p!G50))),1,0))</f>
        <v>0</v>
      </c>
      <c r="D44" s="1">
        <f>IF(Protokoll_5p!H50="","",IF(VALUE(LEFT(Protokoll_5p!H50,FIND(":",Protokoll_5p!H50)-1))&gt;VALUE(RIGHT(Protokoll_5p!H50,LEN(Protokoll_5p!H50)-FIND(":",Protokoll_5p!H50))),1,0))</f>
        <v>0</v>
      </c>
      <c r="E44" s="1">
        <f>IF(Protokoll_5p!I50="","",IF(VALUE(LEFT(Protokoll_5p!I50,FIND(":",Protokoll_5p!I50)-1))&gt;VALUE(RIGHT(Protokoll_5p!I50,LEN(Protokoll_5p!I50)-FIND(":",Protokoll_5p!I50))),1,0))</f>
        <v>0</v>
      </c>
      <c r="F44" s="1" t="str">
        <f>IF(Protokoll_5p!J50="","",IF(VALUE(LEFT(Protokoll_5p!J50,FIND(":",Protokoll_5p!J50)-1))&gt;VALUE(RIGHT(Protokoll_5p!J50,LEN(Protokoll_5p!J50)-FIND(":",Protokoll_5p!J50))),1,0))</f>
        <v/>
      </c>
      <c r="G44" s="1">
        <f t="shared" si="0"/>
        <v>1</v>
      </c>
      <c r="I44" s="1">
        <f>IF(Protokoll_5p!F50="","",IF(VALUE(LEFT(Protokoll_5p!F50,FIND(":",Protokoll_5p!F50)-1))&gt;VALUE(RIGHT(Protokoll_5p!F50,LEN(Protokoll_5p!F50)-FIND(":",Protokoll_5p!F50))),0,1))</f>
        <v>0</v>
      </c>
      <c r="J44" s="1">
        <f>IF(Protokoll_5p!G50="","",IF(VALUE(LEFT(Protokoll_5p!G50,FIND(":",Protokoll_5p!G50)-1))&gt;VALUE(RIGHT(Protokoll_5p!G50,LEN(Protokoll_5p!G50)-FIND(":",Protokoll_5p!G50))),0,1))</f>
        <v>1</v>
      </c>
      <c r="K44" s="1">
        <f>IF(Protokoll_5p!H50="","",IF(VALUE(LEFT(Protokoll_5p!H50,FIND(":",Protokoll_5p!H50)-1))&gt;VALUE(RIGHT(Protokoll_5p!H50,LEN(Protokoll_5p!H50)-FIND(":",Protokoll_5p!H50))),0,1))</f>
        <v>1</v>
      </c>
      <c r="L44" s="1">
        <f>IF(Protokoll_5p!I50="","",IF(VALUE(LEFT(Protokoll_5p!I50,FIND(":",Protokoll_5p!I50)-1))&gt;VALUE(RIGHT(Protokoll_5p!I50,LEN(Protokoll_5p!I50)-FIND(":",Protokoll_5p!I50))),0,1))</f>
        <v>1</v>
      </c>
      <c r="M44" s="1" t="str">
        <f>IF(Protokoll_5p!J50="","",IF(VALUE(LEFT(Protokoll_5p!J50,FIND(":",Protokoll_5p!J50)-1))&gt;VALUE(RIGHT(Protokoll_5p!J50,LEN(Protokoll_5p!J50)-FIND(":",Protokoll_5p!J50))),0,1))</f>
        <v/>
      </c>
      <c r="N44" s="1">
        <f t="shared" si="1"/>
        <v>3</v>
      </c>
    </row>
    <row r="45" spans="2:14">
      <c r="B45" s="1">
        <f>IF(Protokoll_5p!F51="","",IF(VALUE(LEFT(Protokoll_5p!F51,FIND(":",Protokoll_5p!F51)-1))&gt;VALUE(RIGHT(Protokoll_5p!F51,LEN(Protokoll_5p!F51)-FIND(":",Protokoll_5p!F51))),1,0))</f>
        <v>1</v>
      </c>
      <c r="C45" s="1">
        <f>IF(Protokoll_5p!G51="","",IF(VALUE(LEFT(Protokoll_5p!G51,FIND(":",Protokoll_5p!G51)-1))&gt;VALUE(RIGHT(Protokoll_5p!G51,LEN(Protokoll_5p!G51)-FIND(":",Protokoll_5p!G51))),1,0))</f>
        <v>1</v>
      </c>
      <c r="D45" s="1">
        <f>IF(Protokoll_5p!H51="","",IF(VALUE(LEFT(Protokoll_5p!H51,FIND(":",Protokoll_5p!H51)-1))&gt;VALUE(RIGHT(Protokoll_5p!H51,LEN(Protokoll_5p!H51)-FIND(":",Protokoll_5p!H51))),1,0))</f>
        <v>0</v>
      </c>
      <c r="E45" s="1">
        <f>IF(Protokoll_5p!I51="","",IF(VALUE(LEFT(Protokoll_5p!I51,FIND(":",Protokoll_5p!I51)-1))&gt;VALUE(RIGHT(Protokoll_5p!I51,LEN(Protokoll_5p!I51)-FIND(":",Protokoll_5p!I51))),1,0))</f>
        <v>0</v>
      </c>
      <c r="F45" s="1">
        <f>IF(Protokoll_5p!J51="","",IF(VALUE(LEFT(Protokoll_5p!J51,FIND(":",Protokoll_5p!J51)-1))&gt;VALUE(RIGHT(Protokoll_5p!J51,LEN(Protokoll_5p!J51)-FIND(":",Protokoll_5p!J51))),1,0))</f>
        <v>1</v>
      </c>
      <c r="G45" s="1">
        <f t="shared" si="0"/>
        <v>3</v>
      </c>
      <c r="I45" s="1">
        <f>IF(Protokoll_5p!F51="","",IF(VALUE(LEFT(Protokoll_5p!F51,FIND(":",Protokoll_5p!F51)-1))&gt;VALUE(RIGHT(Protokoll_5p!F51,LEN(Protokoll_5p!F51)-FIND(":",Protokoll_5p!F51))),0,1))</f>
        <v>0</v>
      </c>
      <c r="J45" s="1">
        <f>IF(Protokoll_5p!G51="","",IF(VALUE(LEFT(Protokoll_5p!G51,FIND(":",Protokoll_5p!G51)-1))&gt;VALUE(RIGHT(Protokoll_5p!G51,LEN(Protokoll_5p!G51)-FIND(":",Protokoll_5p!G51))),0,1))</f>
        <v>0</v>
      </c>
      <c r="K45" s="1">
        <f>IF(Protokoll_5p!H51="","",IF(VALUE(LEFT(Protokoll_5p!H51,FIND(":",Protokoll_5p!H51)-1))&gt;VALUE(RIGHT(Protokoll_5p!H51,LEN(Protokoll_5p!H51)-FIND(":",Protokoll_5p!H51))),0,1))</f>
        <v>1</v>
      </c>
      <c r="L45" s="1">
        <f>IF(Protokoll_5p!I51="","",IF(VALUE(LEFT(Protokoll_5p!I51,FIND(":",Protokoll_5p!I51)-1))&gt;VALUE(RIGHT(Protokoll_5p!I51,LEN(Protokoll_5p!I51)-FIND(":",Protokoll_5p!I51))),0,1))</f>
        <v>1</v>
      </c>
      <c r="M45" s="1">
        <f>IF(Protokoll_5p!J51="","",IF(VALUE(LEFT(Protokoll_5p!J51,FIND(":",Protokoll_5p!J51)-1))&gt;VALUE(RIGHT(Protokoll_5p!J51,LEN(Protokoll_5p!J51)-FIND(":",Protokoll_5p!J51))),0,1))</f>
        <v>0</v>
      </c>
      <c r="N45" s="1">
        <f t="shared" si="1"/>
        <v>2</v>
      </c>
    </row>
    <row r="46" spans="2:14">
      <c r="B46" s="1" t="str">
        <f>IF(Protokoll_5p!F52="","",IF(VALUE(LEFT(Protokoll_5p!F52,FIND(":",Protokoll_5p!F52)-1))&gt;VALUE(RIGHT(Protokoll_5p!F52,LEN(Protokoll_5p!F52)-FIND(":",Protokoll_5p!F52))),1,0))</f>
        <v/>
      </c>
      <c r="C46" s="1" t="str">
        <f>IF(Protokoll_5p!G52="","",IF(VALUE(LEFT(Protokoll_5p!G52,FIND(":",Protokoll_5p!G52)-1))&gt;VALUE(RIGHT(Protokoll_5p!G52,LEN(Protokoll_5p!G52)-FIND(":",Protokoll_5p!G52))),1,0))</f>
        <v/>
      </c>
      <c r="D46" s="1" t="str">
        <f>IF(Protokoll_5p!H52="","",IF(VALUE(LEFT(Protokoll_5p!H52,FIND(":",Protokoll_5p!H52)-1))&gt;VALUE(RIGHT(Protokoll_5p!H52,LEN(Protokoll_5p!H52)-FIND(":",Protokoll_5p!H52))),1,0))</f>
        <v/>
      </c>
      <c r="E46" s="1" t="str">
        <f>IF(Protokoll_5p!I52="","",IF(VALUE(LEFT(Protokoll_5p!I52,FIND(":",Protokoll_5p!I52)-1))&gt;VALUE(RIGHT(Protokoll_5p!I52,LEN(Protokoll_5p!I52)-FIND(":",Protokoll_5p!I52))),1,0))</f>
        <v/>
      </c>
      <c r="F46" s="1" t="str">
        <f>IF(Protokoll_5p!J52="","",IF(VALUE(LEFT(Protokoll_5p!J52,FIND(":",Protokoll_5p!J52)-1))&gt;VALUE(RIGHT(Protokoll_5p!J52,LEN(Protokoll_5p!J52)-FIND(":",Protokoll_5p!J52))),1,0))</f>
        <v/>
      </c>
      <c r="G46" s="1" t="str">
        <f t="shared" si="0"/>
        <v/>
      </c>
      <c r="I46" s="1" t="str">
        <f>IF(Protokoll_5p!F52="","",IF(VALUE(LEFT(Protokoll_5p!F52,FIND(":",Protokoll_5p!F52)-1))&gt;VALUE(RIGHT(Protokoll_5p!F52,LEN(Protokoll_5p!F52)-FIND(":",Protokoll_5p!F52))),0,1))</f>
        <v/>
      </c>
      <c r="J46" s="1" t="str">
        <f>IF(Protokoll_5p!G52="","",IF(VALUE(LEFT(Protokoll_5p!G52,FIND(":",Protokoll_5p!G52)-1))&gt;VALUE(RIGHT(Protokoll_5p!G52,LEN(Protokoll_5p!G52)-FIND(":",Protokoll_5p!G52))),0,1))</f>
        <v/>
      </c>
      <c r="K46" s="1" t="str">
        <f>IF(Protokoll_5p!H52="","",IF(VALUE(LEFT(Protokoll_5p!H52,FIND(":",Protokoll_5p!H52)-1))&gt;VALUE(RIGHT(Protokoll_5p!H52,LEN(Protokoll_5p!H52)-FIND(":",Protokoll_5p!H52))),0,1))</f>
        <v/>
      </c>
      <c r="L46" s="1" t="str">
        <f>IF(Protokoll_5p!I52="","",IF(VALUE(LEFT(Protokoll_5p!I52,FIND(":",Protokoll_5p!I52)-1))&gt;VALUE(RIGHT(Protokoll_5p!I52,LEN(Protokoll_5p!I52)-FIND(":",Protokoll_5p!I52))),0,1))</f>
        <v/>
      </c>
      <c r="M46" s="1" t="str">
        <f>IF(Protokoll_5p!J52="","",IF(VALUE(LEFT(Protokoll_5p!J52,FIND(":",Protokoll_5p!J52)-1))&gt;VALUE(RIGHT(Protokoll_5p!J52,LEN(Protokoll_5p!J52)-FIND(":",Protokoll_5p!J52))),0,1))</f>
        <v/>
      </c>
      <c r="N46" s="1" t="str">
        <f t="shared" si="1"/>
        <v/>
      </c>
    </row>
    <row r="47" spans="2:14">
      <c r="B47" s="1">
        <f>IF(Protokoll_5p!F53="","",IF(VALUE(LEFT(Protokoll_5p!F53,FIND(":",Protokoll_5p!F53)-1))&gt;VALUE(RIGHT(Protokoll_5p!F53,LEN(Protokoll_5p!F53)-FIND(":",Protokoll_5p!F53))),1,0))</f>
        <v>1</v>
      </c>
      <c r="C47" s="1">
        <f>IF(Protokoll_5p!G53="","",IF(VALUE(LEFT(Protokoll_5p!G53,FIND(":",Protokoll_5p!G53)-1))&gt;VALUE(RIGHT(Protokoll_5p!G53,LEN(Protokoll_5p!G53)-FIND(":",Protokoll_5p!G53))),1,0))</f>
        <v>0</v>
      </c>
      <c r="D47" s="1">
        <f>IF(Protokoll_5p!H53="","",IF(VALUE(LEFT(Protokoll_5p!H53,FIND(":",Protokoll_5p!H53)-1))&gt;VALUE(RIGHT(Protokoll_5p!H53,LEN(Protokoll_5p!H53)-FIND(":",Protokoll_5p!H53))),1,0))</f>
        <v>0</v>
      </c>
      <c r="E47" s="1">
        <f>IF(Protokoll_5p!I53="","",IF(VALUE(LEFT(Protokoll_5p!I53,FIND(":",Protokoll_5p!I53)-1))&gt;VALUE(RIGHT(Protokoll_5p!I53,LEN(Protokoll_5p!I53)-FIND(":",Protokoll_5p!I53))),1,0))</f>
        <v>0</v>
      </c>
      <c r="F47" s="1" t="str">
        <f>IF(Protokoll_5p!J53="","",IF(VALUE(LEFT(Protokoll_5p!J53,FIND(":",Protokoll_5p!J53)-1))&gt;VALUE(RIGHT(Protokoll_5p!J53,LEN(Protokoll_5p!J53)-FIND(":",Protokoll_5p!J53))),1,0))</f>
        <v/>
      </c>
      <c r="G47" s="1">
        <f t="shared" si="0"/>
        <v>1</v>
      </c>
      <c r="I47" s="1">
        <f>IF(Protokoll_5p!F53="","",IF(VALUE(LEFT(Protokoll_5p!F53,FIND(":",Protokoll_5p!F53)-1))&gt;VALUE(RIGHT(Protokoll_5p!F53,LEN(Protokoll_5p!F53)-FIND(":",Protokoll_5p!F53))),0,1))</f>
        <v>0</v>
      </c>
      <c r="J47" s="1">
        <f>IF(Protokoll_5p!G53="","",IF(VALUE(LEFT(Protokoll_5p!G53,FIND(":",Protokoll_5p!G53)-1))&gt;VALUE(RIGHT(Protokoll_5p!G53,LEN(Protokoll_5p!G53)-FIND(":",Protokoll_5p!G53))),0,1))</f>
        <v>1</v>
      </c>
      <c r="K47" s="1">
        <f>IF(Protokoll_5p!H53="","",IF(VALUE(LEFT(Protokoll_5p!H53,FIND(":",Protokoll_5p!H53)-1))&gt;VALUE(RIGHT(Protokoll_5p!H53,LEN(Protokoll_5p!H53)-FIND(":",Protokoll_5p!H53))),0,1))</f>
        <v>1</v>
      </c>
      <c r="L47" s="1">
        <f>IF(Protokoll_5p!I53="","",IF(VALUE(LEFT(Protokoll_5p!I53,FIND(":",Protokoll_5p!I53)-1))&gt;VALUE(RIGHT(Protokoll_5p!I53,LEN(Protokoll_5p!I53)-FIND(":",Protokoll_5p!I53))),0,1))</f>
        <v>1</v>
      </c>
      <c r="M47" s="1" t="str">
        <f>IF(Protokoll_5p!J53="","",IF(VALUE(LEFT(Protokoll_5p!J53,FIND(":",Protokoll_5p!J53)-1))&gt;VALUE(RIGHT(Protokoll_5p!J53,LEN(Protokoll_5p!J53)-FIND(":",Protokoll_5p!J53))),0,1))</f>
        <v/>
      </c>
      <c r="N47" s="1">
        <f t="shared" si="1"/>
        <v>3</v>
      </c>
    </row>
    <row r="48" spans="2:14">
      <c r="B48" s="1" t="str">
        <f>IF(Protokoll_5p!F54="","",IF(VALUE(LEFT(Protokoll_5p!F54,FIND(":",Protokoll_5p!F54)-1))&gt;VALUE(RIGHT(Protokoll_5p!F54,LEN(Protokoll_5p!F54)-FIND(":",Protokoll_5p!F54))),1,0))</f>
        <v/>
      </c>
      <c r="C48" s="1" t="str">
        <f>IF(Protokoll_5p!G54="","",IF(VALUE(LEFT(Protokoll_5p!G54,FIND(":",Protokoll_5p!G54)-1))&gt;VALUE(RIGHT(Protokoll_5p!G54,LEN(Protokoll_5p!G54)-FIND(":",Protokoll_5p!G54))),1,0))</f>
        <v/>
      </c>
      <c r="D48" s="1" t="str">
        <f>IF(Protokoll_5p!H54="","",IF(VALUE(LEFT(Protokoll_5p!H54,FIND(":",Protokoll_5p!H54)-1))&gt;VALUE(RIGHT(Protokoll_5p!H54,LEN(Protokoll_5p!H54)-FIND(":",Protokoll_5p!H54))),1,0))</f>
        <v/>
      </c>
      <c r="E48" s="1" t="str">
        <f>IF(Protokoll_5p!I54="","",IF(VALUE(LEFT(Protokoll_5p!I54,FIND(":",Protokoll_5p!I54)-1))&gt;VALUE(RIGHT(Protokoll_5p!I54,LEN(Protokoll_5p!I54)-FIND(":",Protokoll_5p!I54))),1,0))</f>
        <v/>
      </c>
      <c r="F48" s="1" t="str">
        <f>IF(Protokoll_5p!J54="","",IF(VALUE(LEFT(Protokoll_5p!J54,FIND(":",Protokoll_5p!J54)-1))&gt;VALUE(RIGHT(Protokoll_5p!J54,LEN(Protokoll_5p!J54)-FIND(":",Protokoll_5p!J54))),1,0))</f>
        <v/>
      </c>
      <c r="G48" s="1" t="str">
        <f t="shared" si="0"/>
        <v/>
      </c>
      <c r="I48" s="1" t="str">
        <f>IF(Protokoll_5p!F54="","",IF(VALUE(LEFT(Protokoll_5p!F54,FIND(":",Protokoll_5p!F54)-1))&gt;VALUE(RIGHT(Protokoll_5p!F54,LEN(Protokoll_5p!F54)-FIND(":",Protokoll_5p!F54))),0,1))</f>
        <v/>
      </c>
      <c r="J48" s="1" t="str">
        <f>IF(Protokoll_5p!G54="","",IF(VALUE(LEFT(Protokoll_5p!G54,FIND(":",Protokoll_5p!G54)-1))&gt;VALUE(RIGHT(Protokoll_5p!G54,LEN(Protokoll_5p!G54)-FIND(":",Protokoll_5p!G54))),0,1))</f>
        <v/>
      </c>
      <c r="K48" s="1" t="str">
        <f>IF(Protokoll_5p!H54="","",IF(VALUE(LEFT(Protokoll_5p!H54,FIND(":",Protokoll_5p!H54)-1))&gt;VALUE(RIGHT(Protokoll_5p!H54,LEN(Protokoll_5p!H54)-FIND(":",Protokoll_5p!H54))),0,1))</f>
        <v/>
      </c>
      <c r="L48" s="1" t="str">
        <f>IF(Protokoll_5p!I54="","",IF(VALUE(LEFT(Protokoll_5p!I54,FIND(":",Protokoll_5p!I54)-1))&gt;VALUE(RIGHT(Protokoll_5p!I54,LEN(Protokoll_5p!I54)-FIND(":",Protokoll_5p!I54))),0,1))</f>
        <v/>
      </c>
      <c r="M48" s="1" t="str">
        <f>IF(Protokoll_5p!J54="","",IF(VALUE(LEFT(Protokoll_5p!J54,FIND(":",Protokoll_5p!J54)-1))&gt;VALUE(RIGHT(Protokoll_5p!J54,LEN(Protokoll_5p!J54)-FIND(":",Protokoll_5p!J54))),0,1))</f>
        <v/>
      </c>
      <c r="N48" s="1" t="str">
        <f t="shared" si="1"/>
        <v/>
      </c>
    </row>
    <row r="49" spans="2:14">
      <c r="B49" s="1" t="str">
        <f>IF(Protokoll_5p!F55="","",IF(VALUE(LEFT(Protokoll_5p!F55,FIND(":",Protokoll_5p!F55)-1))&gt;VALUE(RIGHT(Protokoll_5p!F55,LEN(Protokoll_5p!F55)-FIND(":",Protokoll_5p!F55))),1,0))</f>
        <v/>
      </c>
      <c r="C49" s="1" t="str">
        <f>IF(Protokoll_5p!G55="","",IF(VALUE(LEFT(Protokoll_5p!G55,FIND(":",Protokoll_5p!G55)-1))&gt;VALUE(RIGHT(Protokoll_5p!G55,LEN(Protokoll_5p!G55)-FIND(":",Protokoll_5p!G55))),1,0))</f>
        <v/>
      </c>
      <c r="D49" s="1" t="str">
        <f>IF(Protokoll_5p!H55="","",IF(VALUE(LEFT(Protokoll_5p!H55,FIND(":",Protokoll_5p!H55)-1))&gt;VALUE(RIGHT(Protokoll_5p!H55,LEN(Protokoll_5p!H55)-FIND(":",Protokoll_5p!H55))),1,0))</f>
        <v/>
      </c>
      <c r="E49" s="1" t="str">
        <f>IF(Protokoll_5p!I55="","",IF(VALUE(LEFT(Protokoll_5p!I55,FIND(":",Protokoll_5p!I55)-1))&gt;VALUE(RIGHT(Protokoll_5p!I55,LEN(Protokoll_5p!I55)-FIND(":",Protokoll_5p!I55))),1,0))</f>
        <v/>
      </c>
      <c r="F49" s="1" t="str">
        <f>IF(Protokoll_5p!J55="","",IF(VALUE(LEFT(Protokoll_5p!J55,FIND(":",Protokoll_5p!J55)-1))&gt;VALUE(RIGHT(Protokoll_5p!J55,LEN(Protokoll_5p!J55)-FIND(":",Protokoll_5p!J55))),1,0))</f>
        <v/>
      </c>
      <c r="G49" s="1" t="str">
        <f t="shared" si="0"/>
        <v/>
      </c>
      <c r="I49" s="1" t="str">
        <f>IF(Protokoll_5p!F55="","",IF(VALUE(LEFT(Protokoll_5p!F55,FIND(":",Protokoll_5p!F55)-1))&gt;VALUE(RIGHT(Protokoll_5p!F55,LEN(Protokoll_5p!F55)-FIND(":",Protokoll_5p!F55))),0,1))</f>
        <v/>
      </c>
      <c r="J49" s="1" t="str">
        <f>IF(Protokoll_5p!G55="","",IF(VALUE(LEFT(Protokoll_5p!G55,FIND(":",Protokoll_5p!G55)-1))&gt;VALUE(RIGHT(Protokoll_5p!G55,LEN(Protokoll_5p!G55)-FIND(":",Protokoll_5p!G55))),0,1))</f>
        <v/>
      </c>
      <c r="K49" s="1" t="str">
        <f>IF(Protokoll_5p!H55="","",IF(VALUE(LEFT(Protokoll_5p!H55,FIND(":",Protokoll_5p!H55)-1))&gt;VALUE(RIGHT(Protokoll_5p!H55,LEN(Protokoll_5p!H55)-FIND(":",Protokoll_5p!H55))),0,1))</f>
        <v/>
      </c>
      <c r="L49" s="1" t="str">
        <f>IF(Protokoll_5p!I55="","",IF(VALUE(LEFT(Protokoll_5p!I55,FIND(":",Protokoll_5p!I55)-1))&gt;VALUE(RIGHT(Protokoll_5p!I55,LEN(Protokoll_5p!I55)-FIND(":",Protokoll_5p!I55))),0,1))</f>
        <v/>
      </c>
      <c r="M49" s="1" t="str">
        <f>IF(Protokoll_5p!J55="","",IF(VALUE(LEFT(Protokoll_5p!J55,FIND(":",Protokoll_5p!J55)-1))&gt;VALUE(RIGHT(Protokoll_5p!J55,LEN(Protokoll_5p!J55)-FIND(":",Protokoll_5p!J55))),0,1))</f>
        <v/>
      </c>
      <c r="N49" s="1" t="str">
        <f t="shared" si="1"/>
        <v/>
      </c>
    </row>
    <row r="50" spans="2:14">
      <c r="B50" s="1" t="str">
        <f>IF(Protokoll_5p!F56="","",IF(VALUE(LEFT(Protokoll_5p!F56,FIND(":",Protokoll_5p!F56)-1))&gt;VALUE(RIGHT(Protokoll_5p!F56,LEN(Protokoll_5p!F56)-FIND(":",Protokoll_5p!F56))),1,0))</f>
        <v/>
      </c>
      <c r="C50" s="1" t="str">
        <f>IF(Protokoll_5p!G56="","",IF(VALUE(LEFT(Protokoll_5p!G56,FIND(":",Protokoll_5p!G56)-1))&gt;VALUE(RIGHT(Protokoll_5p!G56,LEN(Protokoll_5p!G56)-FIND(":",Protokoll_5p!G56))),1,0))</f>
        <v/>
      </c>
      <c r="D50" s="1" t="str">
        <f>IF(Protokoll_5p!H56="","",IF(VALUE(LEFT(Protokoll_5p!H56,FIND(":",Protokoll_5p!H56)-1))&gt;VALUE(RIGHT(Protokoll_5p!H56,LEN(Protokoll_5p!H56)-FIND(":",Protokoll_5p!H56))),1,0))</f>
        <v/>
      </c>
      <c r="E50" s="1" t="str">
        <f>IF(Protokoll_5p!I56="","",IF(VALUE(LEFT(Protokoll_5p!I56,FIND(":",Protokoll_5p!I56)-1))&gt;VALUE(RIGHT(Protokoll_5p!I56,LEN(Protokoll_5p!I56)-FIND(":",Protokoll_5p!I56))),1,0))</f>
        <v/>
      </c>
      <c r="F50" s="1" t="str">
        <f>IF(Protokoll_5p!J56="","",IF(VALUE(LEFT(Protokoll_5p!J56,FIND(":",Protokoll_5p!J56)-1))&gt;VALUE(RIGHT(Protokoll_5p!J56,LEN(Protokoll_5p!J56)-FIND(":",Protokoll_5p!J56))),1,0))</f>
        <v/>
      </c>
      <c r="G50" s="1" t="str">
        <f t="shared" si="0"/>
        <v/>
      </c>
      <c r="I50" s="1" t="str">
        <f>IF(Protokoll_5p!F56="","",IF(VALUE(LEFT(Protokoll_5p!F56,FIND(":",Protokoll_5p!F56)-1))&gt;VALUE(RIGHT(Protokoll_5p!F56,LEN(Protokoll_5p!F56)-FIND(":",Protokoll_5p!F56))),0,1))</f>
        <v/>
      </c>
      <c r="J50" s="1" t="str">
        <f>IF(Protokoll_5p!G56="","",IF(VALUE(LEFT(Protokoll_5p!G56,FIND(":",Protokoll_5p!G56)-1))&gt;VALUE(RIGHT(Protokoll_5p!G56,LEN(Protokoll_5p!G56)-FIND(":",Protokoll_5p!G56))),0,1))</f>
        <v/>
      </c>
      <c r="K50" s="1" t="str">
        <f>IF(Protokoll_5p!H56="","",IF(VALUE(LEFT(Protokoll_5p!H56,FIND(":",Protokoll_5p!H56)-1))&gt;VALUE(RIGHT(Protokoll_5p!H56,LEN(Protokoll_5p!H56)-FIND(":",Protokoll_5p!H56))),0,1))</f>
        <v/>
      </c>
      <c r="L50" s="1" t="str">
        <f>IF(Protokoll_5p!I56="","",IF(VALUE(LEFT(Protokoll_5p!I56,FIND(":",Protokoll_5p!I56)-1))&gt;VALUE(RIGHT(Protokoll_5p!I56,LEN(Protokoll_5p!I56)-FIND(":",Protokoll_5p!I56))),0,1))</f>
        <v/>
      </c>
      <c r="M50" s="1" t="str">
        <f>IF(Protokoll_5p!J56="","",IF(VALUE(LEFT(Protokoll_5p!J56,FIND(":",Protokoll_5p!J56)-1))&gt;VALUE(RIGHT(Protokoll_5p!J56,LEN(Protokoll_5p!J56)-FIND(":",Protokoll_5p!J56))),0,1))</f>
        <v/>
      </c>
      <c r="N50" s="1" t="str">
        <f t="shared" si="1"/>
        <v/>
      </c>
    </row>
    <row r="51" spans="2:14">
      <c r="B51" s="1" t="e">
        <f>IF(Protokoll_5p!F57="","",IF(VALUE(LEFT(Protokoll_5p!F57,FIND(":",Protokoll_5p!F57)-1))&gt;VALUE(RIGHT(Protokoll_5p!F57,LEN(Protokoll_5p!F57)-FIND(":",Protokoll_5p!F57))),1,0))</f>
        <v>#VALUE!</v>
      </c>
      <c r="C51" s="1" t="e">
        <f>IF(Protokoll_5p!G57="","",IF(VALUE(LEFT(Protokoll_5p!G57,FIND(":",Protokoll_5p!G57)-1))&gt;VALUE(RIGHT(Protokoll_5p!G57,LEN(Protokoll_5p!G57)-FIND(":",Protokoll_5p!G57))),1,0))</f>
        <v>#VALUE!</v>
      </c>
      <c r="D51" s="1" t="e">
        <f>IF(Protokoll_5p!H57="","",IF(VALUE(LEFT(Protokoll_5p!H57,FIND(":",Protokoll_5p!H57)-1))&gt;VALUE(RIGHT(Protokoll_5p!H57,LEN(Protokoll_5p!H57)-FIND(":",Protokoll_5p!H57))),1,0))</f>
        <v>#VALUE!</v>
      </c>
      <c r="E51" s="1" t="e">
        <f>IF(Protokoll_5p!I57="","",IF(VALUE(LEFT(Protokoll_5p!I57,FIND(":",Protokoll_5p!I57)-1))&gt;VALUE(RIGHT(Protokoll_5p!I57,LEN(Protokoll_5p!I57)-FIND(":",Protokoll_5p!I57))),1,0))</f>
        <v>#VALUE!</v>
      </c>
      <c r="F51" s="1" t="e">
        <f>IF(Protokoll_5p!J57="","",IF(VALUE(LEFT(Protokoll_5p!J57,FIND(":",Protokoll_5p!J57)-1))&gt;VALUE(RIGHT(Protokoll_5p!J57,LEN(Protokoll_5p!J57)-FIND(":",Protokoll_5p!J57))),1,0))</f>
        <v>#VALUE!</v>
      </c>
      <c r="G51" s="1" t="e">
        <f t="shared" si="0"/>
        <v>#VALUE!</v>
      </c>
      <c r="I51" s="1" t="e">
        <f>IF(Protokoll_5p!F57="","",IF(VALUE(LEFT(Protokoll_5p!F57,FIND(":",Protokoll_5p!F57)-1))&gt;VALUE(RIGHT(Protokoll_5p!F57,LEN(Protokoll_5p!F57)-FIND(":",Protokoll_5p!F57))),0,1))</f>
        <v>#VALUE!</v>
      </c>
      <c r="J51" s="1" t="e">
        <f>IF(Protokoll_5p!G57="","",IF(VALUE(LEFT(Protokoll_5p!G57,FIND(":",Protokoll_5p!G57)-1))&gt;VALUE(RIGHT(Protokoll_5p!G57,LEN(Protokoll_5p!G57)-FIND(":",Protokoll_5p!G57))),0,1))</f>
        <v>#VALUE!</v>
      </c>
      <c r="K51" s="1" t="e">
        <f>IF(Protokoll_5p!H57="","",IF(VALUE(LEFT(Protokoll_5p!H57,FIND(":",Protokoll_5p!H57)-1))&gt;VALUE(RIGHT(Protokoll_5p!H57,LEN(Protokoll_5p!H57)-FIND(":",Protokoll_5p!H57))),0,1))</f>
        <v>#VALUE!</v>
      </c>
      <c r="L51" s="1" t="e">
        <f>IF(Protokoll_5p!I57="","",IF(VALUE(LEFT(Protokoll_5p!I57,FIND(":",Protokoll_5p!I57)-1))&gt;VALUE(RIGHT(Protokoll_5p!I57,LEN(Protokoll_5p!I57)-FIND(":",Protokoll_5p!I57))),0,1))</f>
        <v>#VALUE!</v>
      </c>
      <c r="M51" s="1" t="e">
        <f>IF(Protokoll_5p!J57="","",IF(VALUE(LEFT(Protokoll_5p!J57,FIND(":",Protokoll_5p!J57)-1))&gt;VALUE(RIGHT(Protokoll_5p!J57,LEN(Protokoll_5p!J57)-FIND(":",Protokoll_5p!J57))),0,1))</f>
        <v>#VALUE!</v>
      </c>
      <c r="N51" s="1" t="e">
        <f t="shared" si="1"/>
        <v>#VALUE!</v>
      </c>
    </row>
    <row r="52" spans="2:14">
      <c r="B52" s="1">
        <f>IF(Protokoll_5p!F58="","",IF(VALUE(LEFT(Protokoll_5p!F58,FIND(":",Protokoll_5p!F58)-1))&gt;VALUE(RIGHT(Protokoll_5p!F58,LEN(Protokoll_5p!F58)-FIND(":",Protokoll_5p!F58))),1,0))</f>
        <v>1</v>
      </c>
      <c r="C52" s="1">
        <f>IF(Protokoll_5p!G58="","",IF(VALUE(LEFT(Protokoll_5p!G58,FIND(":",Protokoll_5p!G58)-1))&gt;VALUE(RIGHT(Protokoll_5p!G58,LEN(Protokoll_5p!G58)-FIND(":",Protokoll_5p!G58))),1,0))</f>
        <v>1</v>
      </c>
      <c r="D52" s="1">
        <f>IF(Protokoll_5p!H58="","",IF(VALUE(LEFT(Protokoll_5p!H58,FIND(":",Protokoll_5p!H58)-1))&gt;VALUE(RIGHT(Protokoll_5p!H58,LEN(Protokoll_5p!H58)-FIND(":",Protokoll_5p!H58))),1,0))</f>
        <v>0</v>
      </c>
      <c r="E52" s="1">
        <f>IF(Protokoll_5p!I58="","",IF(VALUE(LEFT(Protokoll_5p!I58,FIND(":",Protokoll_5p!I58)-1))&gt;VALUE(RIGHT(Protokoll_5p!I58,LEN(Protokoll_5p!I58)-FIND(":",Protokoll_5p!I58))),1,0))</f>
        <v>0</v>
      </c>
      <c r="F52" s="1">
        <f>IF(Protokoll_5p!J58="","",IF(VALUE(LEFT(Protokoll_5p!J58,FIND(":",Protokoll_5p!J58)-1))&gt;VALUE(RIGHT(Protokoll_5p!J58,LEN(Protokoll_5p!J58)-FIND(":",Protokoll_5p!J58))),1,0))</f>
        <v>0</v>
      </c>
      <c r="G52" s="1">
        <f t="shared" si="0"/>
        <v>2</v>
      </c>
      <c r="I52" s="1">
        <f>IF(Protokoll_5p!F58="","",IF(VALUE(LEFT(Protokoll_5p!F58,FIND(":",Protokoll_5p!F58)-1))&gt;VALUE(RIGHT(Protokoll_5p!F58,LEN(Protokoll_5p!F58)-FIND(":",Protokoll_5p!F58))),0,1))</f>
        <v>0</v>
      </c>
      <c r="J52" s="1">
        <f>IF(Protokoll_5p!G58="","",IF(VALUE(LEFT(Protokoll_5p!G58,FIND(":",Protokoll_5p!G58)-1))&gt;VALUE(RIGHT(Protokoll_5p!G58,LEN(Protokoll_5p!G58)-FIND(":",Protokoll_5p!G58))),0,1))</f>
        <v>0</v>
      </c>
      <c r="K52" s="1">
        <f>IF(Protokoll_5p!H58="","",IF(VALUE(LEFT(Protokoll_5p!H58,FIND(":",Protokoll_5p!H58)-1))&gt;VALUE(RIGHT(Protokoll_5p!H58,LEN(Protokoll_5p!H58)-FIND(":",Protokoll_5p!H58))),0,1))</f>
        <v>1</v>
      </c>
      <c r="L52" s="1">
        <f>IF(Protokoll_5p!I58="","",IF(VALUE(LEFT(Protokoll_5p!I58,FIND(":",Protokoll_5p!I58)-1))&gt;VALUE(RIGHT(Protokoll_5p!I58,LEN(Protokoll_5p!I58)-FIND(":",Protokoll_5p!I58))),0,1))</f>
        <v>1</v>
      </c>
      <c r="M52" s="1">
        <f>IF(Protokoll_5p!J58="","",IF(VALUE(LEFT(Protokoll_5p!J58,FIND(":",Protokoll_5p!J58)-1))&gt;VALUE(RIGHT(Protokoll_5p!J58,LEN(Protokoll_5p!J58)-FIND(":",Protokoll_5p!J58))),0,1))</f>
        <v>1</v>
      </c>
      <c r="N52" s="1">
        <f t="shared" si="1"/>
        <v>3</v>
      </c>
    </row>
    <row r="53" spans="2:14">
      <c r="B53" s="1">
        <f>IF(Protokoll_5p!F59="","",IF(VALUE(LEFT(Protokoll_5p!F59,FIND(":",Protokoll_5p!F59)-1))&gt;VALUE(RIGHT(Protokoll_5p!F59,LEN(Protokoll_5p!F59)-FIND(":",Protokoll_5p!F59))),1,0))</f>
        <v>0</v>
      </c>
      <c r="C53" s="1">
        <f>IF(Protokoll_5p!G59="","",IF(VALUE(LEFT(Protokoll_5p!G59,FIND(":",Protokoll_5p!G59)-1))&gt;VALUE(RIGHT(Protokoll_5p!G59,LEN(Protokoll_5p!G59)-FIND(":",Protokoll_5p!G59))),1,0))</f>
        <v>0</v>
      </c>
      <c r="D53" s="1">
        <f>IF(Protokoll_5p!H59="","",IF(VALUE(LEFT(Protokoll_5p!H59,FIND(":",Protokoll_5p!H59)-1))&gt;VALUE(RIGHT(Protokoll_5p!H59,LEN(Protokoll_5p!H59)-FIND(":",Protokoll_5p!H59))),1,0))</f>
        <v>0</v>
      </c>
      <c r="E53" s="1" t="str">
        <f>IF(Protokoll_5p!I59="","",IF(VALUE(LEFT(Protokoll_5p!I59,FIND(":",Protokoll_5p!I59)-1))&gt;VALUE(RIGHT(Protokoll_5p!I59,LEN(Protokoll_5p!I59)-FIND(":",Protokoll_5p!I59))),1,0))</f>
        <v/>
      </c>
      <c r="F53" s="1" t="str">
        <f>IF(Protokoll_5p!J59="","",IF(VALUE(LEFT(Protokoll_5p!J59,FIND(":",Protokoll_5p!J59)-1))&gt;VALUE(RIGHT(Protokoll_5p!J59,LEN(Protokoll_5p!J59)-FIND(":",Protokoll_5p!J59))),1,0))</f>
        <v/>
      </c>
      <c r="G53" s="1">
        <f t="shared" si="0"/>
        <v>0</v>
      </c>
      <c r="I53" s="1">
        <f>IF(Protokoll_5p!F59="","",IF(VALUE(LEFT(Protokoll_5p!F59,FIND(":",Protokoll_5p!F59)-1))&gt;VALUE(RIGHT(Protokoll_5p!F59,LEN(Protokoll_5p!F59)-FIND(":",Protokoll_5p!F59))),0,1))</f>
        <v>1</v>
      </c>
      <c r="J53" s="1">
        <f>IF(Protokoll_5p!G59="","",IF(VALUE(LEFT(Protokoll_5p!G59,FIND(":",Protokoll_5p!G59)-1))&gt;VALUE(RIGHT(Protokoll_5p!G59,LEN(Protokoll_5p!G59)-FIND(":",Protokoll_5p!G59))),0,1))</f>
        <v>1</v>
      </c>
      <c r="K53" s="1">
        <f>IF(Protokoll_5p!H59="","",IF(VALUE(LEFT(Protokoll_5p!H59,FIND(":",Protokoll_5p!H59)-1))&gt;VALUE(RIGHT(Protokoll_5p!H59,LEN(Protokoll_5p!H59)-FIND(":",Protokoll_5p!H59))),0,1))</f>
        <v>1</v>
      </c>
      <c r="L53" s="1" t="str">
        <f>IF(Protokoll_5p!I59="","",IF(VALUE(LEFT(Protokoll_5p!I59,FIND(":",Protokoll_5p!I59)-1))&gt;VALUE(RIGHT(Protokoll_5p!I59,LEN(Protokoll_5p!I59)-FIND(":",Protokoll_5p!I59))),0,1))</f>
        <v/>
      </c>
      <c r="M53" s="1" t="str">
        <f>IF(Protokoll_5p!J59="","",IF(VALUE(LEFT(Protokoll_5p!J59,FIND(":",Protokoll_5p!J59)-1))&gt;VALUE(RIGHT(Protokoll_5p!J59,LEN(Protokoll_5p!J59)-FIND(":",Protokoll_5p!J59))),0,1))</f>
        <v/>
      </c>
      <c r="N53" s="1">
        <f t="shared" si="1"/>
        <v>3</v>
      </c>
    </row>
    <row r="54" spans="2:14">
      <c r="B54" s="1">
        <f>IF(Protokoll_5p!F60="","",IF(VALUE(LEFT(Protokoll_5p!F60,FIND(":",Protokoll_5p!F60)-1))&gt;VALUE(RIGHT(Protokoll_5p!F60,LEN(Protokoll_5p!F60)-FIND(":",Protokoll_5p!F60))),1,0))</f>
        <v>0</v>
      </c>
      <c r="C54" s="1">
        <f>IF(Protokoll_5p!G60="","",IF(VALUE(LEFT(Protokoll_5p!G60,FIND(":",Protokoll_5p!G60)-1))&gt;VALUE(RIGHT(Protokoll_5p!G60,LEN(Protokoll_5p!G60)-FIND(":",Protokoll_5p!G60))),1,0))</f>
        <v>1</v>
      </c>
      <c r="D54" s="1">
        <f>IF(Protokoll_5p!H60="","",IF(VALUE(LEFT(Protokoll_5p!H60,FIND(":",Protokoll_5p!H60)-1))&gt;VALUE(RIGHT(Protokoll_5p!H60,LEN(Protokoll_5p!H60)-FIND(":",Protokoll_5p!H60))),1,0))</f>
        <v>0</v>
      </c>
      <c r="E54" s="1">
        <f>IF(Protokoll_5p!I60="","",IF(VALUE(LEFT(Protokoll_5p!I60,FIND(":",Protokoll_5p!I60)-1))&gt;VALUE(RIGHT(Protokoll_5p!I60,LEN(Protokoll_5p!I60)-FIND(":",Protokoll_5p!I60))),1,0))</f>
        <v>0</v>
      </c>
      <c r="F54" s="1" t="str">
        <f>IF(Protokoll_5p!J60="","",IF(VALUE(LEFT(Protokoll_5p!J60,FIND(":",Protokoll_5p!J60)-1))&gt;VALUE(RIGHT(Protokoll_5p!J60,LEN(Protokoll_5p!J60)-FIND(":",Protokoll_5p!J60))),1,0))</f>
        <v/>
      </c>
      <c r="G54" s="1">
        <f t="shared" si="0"/>
        <v>1</v>
      </c>
      <c r="I54" s="1">
        <f>IF(Protokoll_5p!F60="","",IF(VALUE(LEFT(Protokoll_5p!F60,FIND(":",Protokoll_5p!F60)-1))&gt;VALUE(RIGHT(Protokoll_5p!F60,LEN(Protokoll_5p!F60)-FIND(":",Protokoll_5p!F60))),0,1))</f>
        <v>1</v>
      </c>
      <c r="J54" s="1">
        <f>IF(Protokoll_5p!G60="","",IF(VALUE(LEFT(Protokoll_5p!G60,FIND(":",Protokoll_5p!G60)-1))&gt;VALUE(RIGHT(Protokoll_5p!G60,LEN(Protokoll_5p!G60)-FIND(":",Protokoll_5p!G60))),0,1))</f>
        <v>0</v>
      </c>
      <c r="K54" s="1">
        <f>IF(Protokoll_5p!H60="","",IF(VALUE(LEFT(Protokoll_5p!H60,FIND(":",Protokoll_5p!H60)-1))&gt;VALUE(RIGHT(Protokoll_5p!H60,LEN(Protokoll_5p!H60)-FIND(":",Protokoll_5p!H60))),0,1))</f>
        <v>1</v>
      </c>
      <c r="L54" s="1">
        <f>IF(Protokoll_5p!I60="","",IF(VALUE(LEFT(Protokoll_5p!I60,FIND(":",Protokoll_5p!I60)-1))&gt;VALUE(RIGHT(Protokoll_5p!I60,LEN(Protokoll_5p!I60)-FIND(":",Protokoll_5p!I60))),0,1))</f>
        <v>1</v>
      </c>
      <c r="M54" s="1" t="str">
        <f>IF(Protokoll_5p!J60="","",IF(VALUE(LEFT(Protokoll_5p!J60,FIND(":",Protokoll_5p!J60)-1))&gt;VALUE(RIGHT(Protokoll_5p!J60,LEN(Protokoll_5p!J60)-FIND(":",Protokoll_5p!J60))),0,1))</f>
        <v/>
      </c>
      <c r="N54" s="1">
        <f t="shared" si="1"/>
        <v>3</v>
      </c>
    </row>
    <row r="55" spans="2:14">
      <c r="B55" s="1">
        <f>IF(Protokoll_5p!F61="","",IF(VALUE(LEFT(Protokoll_5p!F61,FIND(":",Protokoll_5p!F61)-1))&gt;VALUE(RIGHT(Protokoll_5p!F61,LEN(Protokoll_5p!F61)-FIND(":",Protokoll_5p!F61))),1,0))</f>
        <v>0</v>
      </c>
      <c r="C55" s="1">
        <f>IF(Protokoll_5p!G61="","",IF(VALUE(LEFT(Protokoll_5p!G61,FIND(":",Protokoll_5p!G61)-1))&gt;VALUE(RIGHT(Protokoll_5p!G61,LEN(Protokoll_5p!G61)-FIND(":",Protokoll_5p!G61))),1,0))</f>
        <v>0</v>
      </c>
      <c r="D55" s="1">
        <f>IF(Protokoll_5p!H61="","",IF(VALUE(LEFT(Protokoll_5p!H61,FIND(":",Protokoll_5p!H61)-1))&gt;VALUE(RIGHT(Protokoll_5p!H61,LEN(Protokoll_5p!H61)-FIND(":",Protokoll_5p!H61))),1,0))</f>
        <v>0</v>
      </c>
      <c r="E55" s="1" t="str">
        <f>IF(Protokoll_5p!I61="","",IF(VALUE(LEFT(Protokoll_5p!I61,FIND(":",Protokoll_5p!I61)-1))&gt;VALUE(RIGHT(Protokoll_5p!I61,LEN(Protokoll_5p!I61)-FIND(":",Protokoll_5p!I61))),1,0))</f>
        <v/>
      </c>
      <c r="F55" s="1" t="str">
        <f>IF(Protokoll_5p!J61="","",IF(VALUE(LEFT(Protokoll_5p!J61,FIND(":",Protokoll_5p!J61)-1))&gt;VALUE(RIGHT(Protokoll_5p!J61,LEN(Protokoll_5p!J61)-FIND(":",Protokoll_5p!J61))),1,0))</f>
        <v/>
      </c>
      <c r="G55" s="1">
        <f t="shared" si="0"/>
        <v>0</v>
      </c>
      <c r="I55" s="1">
        <f>IF(Protokoll_5p!F61="","",IF(VALUE(LEFT(Protokoll_5p!F61,FIND(":",Protokoll_5p!F61)-1))&gt;VALUE(RIGHT(Protokoll_5p!F61,LEN(Protokoll_5p!F61)-FIND(":",Protokoll_5p!F61))),0,1))</f>
        <v>1</v>
      </c>
      <c r="J55" s="1">
        <f>IF(Protokoll_5p!G61="","",IF(VALUE(LEFT(Protokoll_5p!G61,FIND(":",Protokoll_5p!G61)-1))&gt;VALUE(RIGHT(Protokoll_5p!G61,LEN(Protokoll_5p!G61)-FIND(":",Protokoll_5p!G61))),0,1))</f>
        <v>1</v>
      </c>
      <c r="K55" s="1">
        <f>IF(Protokoll_5p!H61="","",IF(VALUE(LEFT(Protokoll_5p!H61,FIND(":",Protokoll_5p!H61)-1))&gt;VALUE(RIGHT(Protokoll_5p!H61,LEN(Protokoll_5p!H61)-FIND(":",Protokoll_5p!H61))),0,1))</f>
        <v>1</v>
      </c>
      <c r="L55" s="1" t="str">
        <f>IF(Protokoll_5p!I61="","",IF(VALUE(LEFT(Protokoll_5p!I61,FIND(":",Protokoll_5p!I61)-1))&gt;VALUE(RIGHT(Protokoll_5p!I61,LEN(Protokoll_5p!I61)-FIND(":",Protokoll_5p!I61))),0,1))</f>
        <v/>
      </c>
      <c r="M55" s="1" t="str">
        <f>IF(Protokoll_5p!J61="","",IF(VALUE(LEFT(Protokoll_5p!J61,FIND(":",Protokoll_5p!J61)-1))&gt;VALUE(RIGHT(Protokoll_5p!J61,LEN(Protokoll_5p!J61)-FIND(":",Protokoll_5p!J61))),0,1))</f>
        <v/>
      </c>
      <c r="N55" s="1">
        <f t="shared" si="1"/>
        <v>3</v>
      </c>
    </row>
    <row r="56" spans="2:14">
      <c r="B56" s="1" t="str">
        <f>IF(Protokoll_5p!F62="","",IF(VALUE(LEFT(Protokoll_5p!F62,FIND(":",Protokoll_5p!F62)-1))&gt;VALUE(RIGHT(Protokoll_5p!F62,LEN(Protokoll_5p!F62)-FIND(":",Protokoll_5p!F62))),1,0))</f>
        <v/>
      </c>
      <c r="C56" s="1" t="str">
        <f>IF(Protokoll_5p!G62="","",IF(VALUE(LEFT(Protokoll_5p!G62,FIND(":",Protokoll_5p!G62)-1))&gt;VALUE(RIGHT(Protokoll_5p!G62,LEN(Protokoll_5p!G62)-FIND(":",Protokoll_5p!G62))),1,0))</f>
        <v/>
      </c>
      <c r="D56" s="1" t="str">
        <f>IF(Protokoll_5p!H62="","",IF(VALUE(LEFT(Protokoll_5p!H62,FIND(":",Protokoll_5p!H62)-1))&gt;VALUE(RIGHT(Protokoll_5p!H62,LEN(Protokoll_5p!H62)-FIND(":",Protokoll_5p!H62))),1,0))</f>
        <v/>
      </c>
      <c r="E56" s="1" t="str">
        <f>IF(Protokoll_5p!I62="","",IF(VALUE(LEFT(Protokoll_5p!I62,FIND(":",Protokoll_5p!I62)-1))&gt;VALUE(RIGHT(Protokoll_5p!I62,LEN(Protokoll_5p!I62)-FIND(":",Protokoll_5p!I62))),1,0))</f>
        <v/>
      </c>
      <c r="F56" s="1" t="str">
        <f>IF(Protokoll_5p!J62="","",IF(VALUE(LEFT(Protokoll_5p!J62,FIND(":",Protokoll_5p!J62)-1))&gt;VALUE(RIGHT(Protokoll_5p!J62,LEN(Protokoll_5p!J62)-FIND(":",Protokoll_5p!J62))),1,0))</f>
        <v/>
      </c>
      <c r="G56" s="1" t="str">
        <f t="shared" si="0"/>
        <v/>
      </c>
      <c r="I56" s="1" t="str">
        <f>IF(Protokoll_5p!F62="","",IF(VALUE(LEFT(Protokoll_5p!F62,FIND(":",Protokoll_5p!F62)-1))&gt;VALUE(RIGHT(Protokoll_5p!F62,LEN(Protokoll_5p!F62)-FIND(":",Protokoll_5p!F62))),0,1))</f>
        <v/>
      </c>
      <c r="J56" s="1" t="str">
        <f>IF(Protokoll_5p!G62="","",IF(VALUE(LEFT(Protokoll_5p!G62,FIND(":",Protokoll_5p!G62)-1))&gt;VALUE(RIGHT(Protokoll_5p!G62,LEN(Protokoll_5p!G62)-FIND(":",Protokoll_5p!G62))),0,1))</f>
        <v/>
      </c>
      <c r="K56" s="1" t="str">
        <f>IF(Protokoll_5p!H62="","",IF(VALUE(LEFT(Protokoll_5p!H62,FIND(":",Protokoll_5p!H62)-1))&gt;VALUE(RIGHT(Protokoll_5p!H62,LEN(Protokoll_5p!H62)-FIND(":",Protokoll_5p!H62))),0,1))</f>
        <v/>
      </c>
      <c r="L56" s="1" t="str">
        <f>IF(Protokoll_5p!I62="","",IF(VALUE(LEFT(Protokoll_5p!I62,FIND(":",Protokoll_5p!I62)-1))&gt;VALUE(RIGHT(Protokoll_5p!I62,LEN(Protokoll_5p!I62)-FIND(":",Protokoll_5p!I62))),0,1))</f>
        <v/>
      </c>
      <c r="M56" s="1" t="str">
        <f>IF(Protokoll_5p!J62="","",IF(VALUE(LEFT(Protokoll_5p!J62,FIND(":",Protokoll_5p!J62)-1))&gt;VALUE(RIGHT(Protokoll_5p!J62,LEN(Protokoll_5p!J62)-FIND(":",Protokoll_5p!J62))),0,1))</f>
        <v/>
      </c>
      <c r="N56" s="1" t="str">
        <f t="shared" si="1"/>
        <v/>
      </c>
    </row>
    <row r="57" spans="2:14">
      <c r="B57" s="1" t="str">
        <f>IF(Protokoll_5p!F63="","",IF(VALUE(LEFT(Protokoll_5p!F63,FIND(":",Protokoll_5p!F63)-1))&gt;VALUE(RIGHT(Protokoll_5p!F63,LEN(Protokoll_5p!F63)-FIND(":",Protokoll_5p!F63))),1,0))</f>
        <v/>
      </c>
      <c r="C57" s="1" t="str">
        <f>IF(Protokoll_5p!G63="","",IF(VALUE(LEFT(Protokoll_5p!G63,FIND(":",Protokoll_5p!G63)-1))&gt;VALUE(RIGHT(Protokoll_5p!G63,LEN(Protokoll_5p!G63)-FIND(":",Protokoll_5p!G63))),1,0))</f>
        <v/>
      </c>
      <c r="D57" s="1" t="str">
        <f>IF(Protokoll_5p!H63="","",IF(VALUE(LEFT(Protokoll_5p!H63,FIND(":",Protokoll_5p!H63)-1))&gt;VALUE(RIGHT(Protokoll_5p!H63,LEN(Protokoll_5p!H63)-FIND(":",Protokoll_5p!H63))),1,0))</f>
        <v/>
      </c>
      <c r="E57" s="1" t="str">
        <f>IF(Protokoll_5p!I63="","",IF(VALUE(LEFT(Protokoll_5p!I63,FIND(":",Protokoll_5p!I63)-1))&gt;VALUE(RIGHT(Protokoll_5p!I63,LEN(Protokoll_5p!I63)-FIND(":",Protokoll_5p!I63))),1,0))</f>
        <v/>
      </c>
      <c r="F57" s="1" t="str">
        <f>IF(Protokoll_5p!J63="","",IF(VALUE(LEFT(Protokoll_5p!J63,FIND(":",Protokoll_5p!J63)-1))&gt;VALUE(RIGHT(Protokoll_5p!J63,LEN(Protokoll_5p!J63)-FIND(":",Protokoll_5p!J63))),1,0))</f>
        <v/>
      </c>
      <c r="G57" s="1" t="str">
        <f t="shared" si="0"/>
        <v/>
      </c>
      <c r="I57" s="1" t="str">
        <f>IF(Protokoll_5p!F63="","",IF(VALUE(LEFT(Protokoll_5p!F63,FIND(":",Protokoll_5p!F63)-1))&gt;VALUE(RIGHT(Protokoll_5p!F63,LEN(Protokoll_5p!F63)-FIND(":",Protokoll_5p!F63))),0,1))</f>
        <v/>
      </c>
      <c r="J57" s="1" t="str">
        <f>IF(Protokoll_5p!G63="","",IF(VALUE(LEFT(Protokoll_5p!G63,FIND(":",Protokoll_5p!G63)-1))&gt;VALUE(RIGHT(Protokoll_5p!G63,LEN(Protokoll_5p!G63)-FIND(":",Protokoll_5p!G63))),0,1))</f>
        <v/>
      </c>
      <c r="K57" s="1" t="str">
        <f>IF(Protokoll_5p!H63="","",IF(VALUE(LEFT(Protokoll_5p!H63,FIND(":",Protokoll_5p!H63)-1))&gt;VALUE(RIGHT(Protokoll_5p!H63,LEN(Protokoll_5p!H63)-FIND(":",Protokoll_5p!H63))),0,1))</f>
        <v/>
      </c>
      <c r="L57" s="1" t="str">
        <f>IF(Protokoll_5p!I63="","",IF(VALUE(LEFT(Protokoll_5p!I63,FIND(":",Protokoll_5p!I63)-1))&gt;VALUE(RIGHT(Protokoll_5p!I63,LEN(Protokoll_5p!I63)-FIND(":",Protokoll_5p!I63))),0,1))</f>
        <v/>
      </c>
      <c r="M57" s="1" t="str">
        <f>IF(Protokoll_5p!J63="","",IF(VALUE(LEFT(Protokoll_5p!J63,FIND(":",Protokoll_5p!J63)-1))&gt;VALUE(RIGHT(Protokoll_5p!J63,LEN(Protokoll_5p!J63)-FIND(":",Protokoll_5p!J63))),0,1))</f>
        <v/>
      </c>
      <c r="N57" s="1" t="str">
        <f t="shared" si="1"/>
        <v/>
      </c>
    </row>
    <row r="58" spans="2:14">
      <c r="B58" s="1" t="str">
        <f>IF(Protokoll_5p!F64="","",IF(VALUE(LEFT(Protokoll_5p!F64,FIND(":",Protokoll_5p!F64)-1))&gt;VALUE(RIGHT(Protokoll_5p!F64,LEN(Protokoll_5p!F64)-FIND(":",Protokoll_5p!F64))),1,0))</f>
        <v/>
      </c>
      <c r="C58" s="1" t="str">
        <f>IF(Protokoll_5p!G64="","",IF(VALUE(LEFT(Protokoll_5p!G64,FIND(":",Protokoll_5p!G64)-1))&gt;VALUE(RIGHT(Protokoll_5p!G64,LEN(Protokoll_5p!G64)-FIND(":",Protokoll_5p!G64))),1,0))</f>
        <v/>
      </c>
      <c r="D58" s="1" t="str">
        <f>IF(Protokoll_5p!H64="","",IF(VALUE(LEFT(Protokoll_5p!H64,FIND(":",Protokoll_5p!H64)-1))&gt;VALUE(RIGHT(Protokoll_5p!H64,LEN(Protokoll_5p!H64)-FIND(":",Protokoll_5p!H64))),1,0))</f>
        <v/>
      </c>
      <c r="E58" s="1" t="str">
        <f>IF(Protokoll_5p!I64="","",IF(VALUE(LEFT(Protokoll_5p!I64,FIND(":",Protokoll_5p!I64)-1))&gt;VALUE(RIGHT(Protokoll_5p!I64,LEN(Protokoll_5p!I64)-FIND(":",Protokoll_5p!I64))),1,0))</f>
        <v/>
      </c>
      <c r="F58" s="1" t="str">
        <f>IF(Protokoll_5p!J64="","",IF(VALUE(LEFT(Protokoll_5p!J64,FIND(":",Protokoll_5p!J64)-1))&gt;VALUE(RIGHT(Protokoll_5p!J64,LEN(Protokoll_5p!J64)-FIND(":",Protokoll_5p!J64))),1,0))</f>
        <v/>
      </c>
      <c r="G58" s="1" t="str">
        <f t="shared" si="0"/>
        <v/>
      </c>
      <c r="I58" s="1" t="str">
        <f>IF(Protokoll_5p!F64="","",IF(VALUE(LEFT(Protokoll_5p!F64,FIND(":",Protokoll_5p!F64)-1))&gt;VALUE(RIGHT(Protokoll_5p!F64,LEN(Protokoll_5p!F64)-FIND(":",Protokoll_5p!F64))),0,1))</f>
        <v/>
      </c>
      <c r="J58" s="1" t="str">
        <f>IF(Protokoll_5p!G64="","",IF(VALUE(LEFT(Protokoll_5p!G64,FIND(":",Protokoll_5p!G64)-1))&gt;VALUE(RIGHT(Protokoll_5p!G64,LEN(Protokoll_5p!G64)-FIND(":",Protokoll_5p!G64))),0,1))</f>
        <v/>
      </c>
      <c r="K58" s="1" t="str">
        <f>IF(Protokoll_5p!H64="","",IF(VALUE(LEFT(Protokoll_5p!H64,FIND(":",Protokoll_5p!H64)-1))&gt;VALUE(RIGHT(Protokoll_5p!H64,LEN(Protokoll_5p!H64)-FIND(":",Protokoll_5p!H64))),0,1))</f>
        <v/>
      </c>
      <c r="L58" s="1" t="str">
        <f>IF(Protokoll_5p!I64="","",IF(VALUE(LEFT(Protokoll_5p!I64,FIND(":",Protokoll_5p!I64)-1))&gt;VALUE(RIGHT(Protokoll_5p!I64,LEN(Protokoll_5p!I64)-FIND(":",Protokoll_5p!I64))),0,1))</f>
        <v/>
      </c>
      <c r="M58" s="1" t="str">
        <f>IF(Protokoll_5p!J64="","",IF(VALUE(LEFT(Protokoll_5p!J64,FIND(":",Protokoll_5p!J64)-1))&gt;VALUE(RIGHT(Protokoll_5p!J64,LEN(Protokoll_5p!J64)-FIND(":",Protokoll_5p!J64))),0,1))</f>
        <v/>
      </c>
      <c r="N58" s="1" t="str">
        <f t="shared" si="1"/>
        <v/>
      </c>
    </row>
    <row r="59" spans="2:14">
      <c r="B59" s="1" t="str">
        <f>IF(Protokoll_5p!F65="","",IF(VALUE(LEFT(Protokoll_5p!F65,FIND(":",Protokoll_5p!F65)-1))&gt;VALUE(RIGHT(Protokoll_5p!F65,LEN(Protokoll_5p!F65)-FIND(":",Protokoll_5p!F65))),1,0))</f>
        <v/>
      </c>
      <c r="C59" s="1" t="str">
        <f>IF(Protokoll_5p!G65="","",IF(VALUE(LEFT(Protokoll_5p!G65,FIND(":",Protokoll_5p!G65)-1))&gt;VALUE(RIGHT(Protokoll_5p!G65,LEN(Protokoll_5p!G65)-FIND(":",Protokoll_5p!G65))),1,0))</f>
        <v/>
      </c>
      <c r="D59" s="1" t="str">
        <f>IF(Protokoll_5p!H65="","",IF(VALUE(LEFT(Protokoll_5p!H65,FIND(":",Protokoll_5p!H65)-1))&gt;VALUE(RIGHT(Protokoll_5p!H65,LEN(Protokoll_5p!H65)-FIND(":",Protokoll_5p!H65))),1,0))</f>
        <v/>
      </c>
      <c r="E59" s="1" t="str">
        <f>IF(Protokoll_5p!I65="","",IF(VALUE(LEFT(Protokoll_5p!I65,FIND(":",Protokoll_5p!I65)-1))&gt;VALUE(RIGHT(Protokoll_5p!I65,LEN(Protokoll_5p!I65)-FIND(":",Protokoll_5p!I65))),1,0))</f>
        <v/>
      </c>
      <c r="F59" s="1" t="str">
        <f>IF(Protokoll_5p!J65="","",IF(VALUE(LEFT(Protokoll_5p!J65,FIND(":",Protokoll_5p!J65)-1))&gt;VALUE(RIGHT(Protokoll_5p!J65,LEN(Protokoll_5p!J65)-FIND(":",Protokoll_5p!J65))),1,0))</f>
        <v/>
      </c>
      <c r="G59" s="1" t="str">
        <f t="shared" si="0"/>
        <v/>
      </c>
      <c r="I59" s="1" t="str">
        <f>IF(Protokoll_5p!F65="","",IF(VALUE(LEFT(Protokoll_5p!F65,FIND(":",Protokoll_5p!F65)-1))&gt;VALUE(RIGHT(Protokoll_5p!F65,LEN(Protokoll_5p!F65)-FIND(":",Protokoll_5p!F65))),0,1))</f>
        <v/>
      </c>
      <c r="J59" s="1" t="str">
        <f>IF(Protokoll_5p!G65="","",IF(VALUE(LEFT(Protokoll_5p!G65,FIND(":",Protokoll_5p!G65)-1))&gt;VALUE(RIGHT(Protokoll_5p!G65,LEN(Protokoll_5p!G65)-FIND(":",Protokoll_5p!G65))),0,1))</f>
        <v/>
      </c>
      <c r="K59" s="1" t="str">
        <f>IF(Protokoll_5p!H65="","",IF(VALUE(LEFT(Protokoll_5p!H65,FIND(":",Protokoll_5p!H65)-1))&gt;VALUE(RIGHT(Protokoll_5p!H65,LEN(Protokoll_5p!H65)-FIND(":",Protokoll_5p!H65))),0,1))</f>
        <v/>
      </c>
      <c r="L59" s="1" t="str">
        <f>IF(Protokoll_5p!I65="","",IF(VALUE(LEFT(Protokoll_5p!I65,FIND(":",Protokoll_5p!I65)-1))&gt;VALUE(RIGHT(Protokoll_5p!I65,LEN(Protokoll_5p!I65)-FIND(":",Protokoll_5p!I65))),0,1))</f>
        <v/>
      </c>
      <c r="M59" s="1" t="str">
        <f>IF(Protokoll_5p!J65="","",IF(VALUE(LEFT(Protokoll_5p!J65,FIND(":",Protokoll_5p!J65)-1))&gt;VALUE(RIGHT(Protokoll_5p!J65,LEN(Protokoll_5p!J65)-FIND(":",Protokoll_5p!J65))),0,1))</f>
        <v/>
      </c>
      <c r="N59" s="1" t="str">
        <f t="shared" si="1"/>
        <v/>
      </c>
    </row>
    <row r="60" spans="2:14">
      <c r="B60" s="1" t="str">
        <f>IF(Protokoll_5p!F66="","",IF(VALUE(LEFT(Protokoll_5p!F66,FIND(":",Protokoll_5p!F66)-1))&gt;VALUE(RIGHT(Protokoll_5p!F66,LEN(Protokoll_5p!F66)-FIND(":",Protokoll_5p!F66))),1,0))</f>
        <v/>
      </c>
      <c r="C60" s="1" t="str">
        <f>IF(Protokoll_5p!G66="","",IF(VALUE(LEFT(Protokoll_5p!G66,FIND(":",Protokoll_5p!G66)-1))&gt;VALUE(RIGHT(Protokoll_5p!G66,LEN(Protokoll_5p!G66)-FIND(":",Protokoll_5p!G66))),1,0))</f>
        <v/>
      </c>
      <c r="D60" s="1" t="str">
        <f>IF(Protokoll_5p!H66="","",IF(VALUE(LEFT(Protokoll_5p!H66,FIND(":",Protokoll_5p!H66)-1))&gt;VALUE(RIGHT(Protokoll_5p!H66,LEN(Protokoll_5p!H66)-FIND(":",Protokoll_5p!H66))),1,0))</f>
        <v/>
      </c>
      <c r="E60" s="1" t="str">
        <f>IF(Protokoll_5p!I66="","",IF(VALUE(LEFT(Protokoll_5p!I66,FIND(":",Protokoll_5p!I66)-1))&gt;VALUE(RIGHT(Protokoll_5p!I66,LEN(Protokoll_5p!I66)-FIND(":",Protokoll_5p!I66))),1,0))</f>
        <v/>
      </c>
      <c r="F60" s="1" t="str">
        <f>IF(Protokoll_5p!J66="","",IF(VALUE(LEFT(Protokoll_5p!J66,FIND(":",Protokoll_5p!J66)-1))&gt;VALUE(RIGHT(Protokoll_5p!J66,LEN(Protokoll_5p!J66)-FIND(":",Protokoll_5p!J66))),1,0))</f>
        <v/>
      </c>
      <c r="G60" s="1" t="str">
        <f t="shared" si="0"/>
        <v/>
      </c>
      <c r="I60" s="1" t="str">
        <f>IF(Protokoll_5p!F66="","",IF(VALUE(LEFT(Protokoll_5p!F66,FIND(":",Protokoll_5p!F66)-1))&gt;VALUE(RIGHT(Protokoll_5p!F66,LEN(Protokoll_5p!F66)-FIND(":",Protokoll_5p!F66))),0,1))</f>
        <v/>
      </c>
      <c r="J60" s="1" t="str">
        <f>IF(Protokoll_5p!G66="","",IF(VALUE(LEFT(Protokoll_5p!G66,FIND(":",Protokoll_5p!G66)-1))&gt;VALUE(RIGHT(Protokoll_5p!G66,LEN(Protokoll_5p!G66)-FIND(":",Protokoll_5p!G66))),0,1))</f>
        <v/>
      </c>
      <c r="K60" s="1" t="str">
        <f>IF(Protokoll_5p!H66="","",IF(VALUE(LEFT(Protokoll_5p!H66,FIND(":",Protokoll_5p!H66)-1))&gt;VALUE(RIGHT(Protokoll_5p!H66,LEN(Protokoll_5p!H66)-FIND(":",Protokoll_5p!H66))),0,1))</f>
        <v/>
      </c>
      <c r="L60" s="1" t="str">
        <f>IF(Protokoll_5p!I66="","",IF(VALUE(LEFT(Protokoll_5p!I66,FIND(":",Protokoll_5p!I66)-1))&gt;VALUE(RIGHT(Protokoll_5p!I66,LEN(Protokoll_5p!I66)-FIND(":",Protokoll_5p!I66))),0,1))</f>
        <v/>
      </c>
      <c r="M60" s="1" t="str">
        <f>IF(Protokoll_5p!J66="","",IF(VALUE(LEFT(Protokoll_5p!J66,FIND(":",Protokoll_5p!J66)-1))&gt;VALUE(RIGHT(Protokoll_5p!J66,LEN(Protokoll_5p!J66)-FIND(":",Protokoll_5p!J66))),0,1))</f>
        <v/>
      </c>
      <c r="N60" s="1" t="str">
        <f t="shared" si="1"/>
        <v/>
      </c>
    </row>
    <row r="61" spans="2:14">
      <c r="B61" s="1" t="e">
        <f>IF(Protokoll_5p!F67="","",IF(VALUE(LEFT(Protokoll_5p!F67,FIND(":",Protokoll_5p!F67)-1))&gt;VALUE(RIGHT(Protokoll_5p!F67,LEN(Protokoll_5p!F67)-FIND(":",Protokoll_5p!F67))),1,0))</f>
        <v>#VALUE!</v>
      </c>
      <c r="C61" s="1" t="e">
        <f>IF(Protokoll_5p!G67="","",IF(VALUE(LEFT(Protokoll_5p!G67,FIND(":",Protokoll_5p!G67)-1))&gt;VALUE(RIGHT(Protokoll_5p!G67,LEN(Protokoll_5p!G67)-FIND(":",Protokoll_5p!G67))),1,0))</f>
        <v>#VALUE!</v>
      </c>
      <c r="D61" s="1" t="e">
        <f>IF(Protokoll_5p!H67="","",IF(VALUE(LEFT(Protokoll_5p!H67,FIND(":",Protokoll_5p!H67)-1))&gt;VALUE(RIGHT(Protokoll_5p!H67,LEN(Protokoll_5p!H67)-FIND(":",Protokoll_5p!H67))),1,0))</f>
        <v>#VALUE!</v>
      </c>
      <c r="E61" s="1" t="e">
        <f>IF(Protokoll_5p!I67="","",IF(VALUE(LEFT(Protokoll_5p!I67,FIND(":",Protokoll_5p!I67)-1))&gt;VALUE(RIGHT(Protokoll_5p!I67,LEN(Protokoll_5p!I67)-FIND(":",Protokoll_5p!I67))),1,0))</f>
        <v>#VALUE!</v>
      </c>
      <c r="F61" s="1" t="e">
        <f>IF(Protokoll_5p!J67="","",IF(VALUE(LEFT(Protokoll_5p!J67,FIND(":",Protokoll_5p!J67)-1))&gt;VALUE(RIGHT(Protokoll_5p!J67,LEN(Protokoll_5p!J67)-FIND(":",Protokoll_5p!J67))),1,0))</f>
        <v>#VALUE!</v>
      </c>
      <c r="G61" s="1" t="e">
        <f t="shared" si="0"/>
        <v>#VALUE!</v>
      </c>
      <c r="I61" s="1" t="e">
        <f>IF(Protokoll_5p!F67="","",IF(VALUE(LEFT(Protokoll_5p!F67,FIND(":",Protokoll_5p!F67)-1))&gt;VALUE(RIGHT(Protokoll_5p!F67,LEN(Protokoll_5p!F67)-FIND(":",Protokoll_5p!F67))),0,1))</f>
        <v>#VALUE!</v>
      </c>
      <c r="J61" s="1" t="e">
        <f>IF(Protokoll_5p!G67="","",IF(VALUE(LEFT(Protokoll_5p!G67,FIND(":",Protokoll_5p!G67)-1))&gt;VALUE(RIGHT(Protokoll_5p!G67,LEN(Protokoll_5p!G67)-FIND(":",Protokoll_5p!G67))),0,1))</f>
        <v>#VALUE!</v>
      </c>
      <c r="K61" s="1" t="e">
        <f>IF(Protokoll_5p!H67="","",IF(VALUE(LEFT(Protokoll_5p!H67,FIND(":",Protokoll_5p!H67)-1))&gt;VALUE(RIGHT(Protokoll_5p!H67,LEN(Protokoll_5p!H67)-FIND(":",Protokoll_5p!H67))),0,1))</f>
        <v>#VALUE!</v>
      </c>
      <c r="L61" s="1" t="e">
        <f>IF(Protokoll_5p!I67="","",IF(VALUE(LEFT(Protokoll_5p!I67,FIND(":",Protokoll_5p!I67)-1))&gt;VALUE(RIGHT(Protokoll_5p!I67,LEN(Protokoll_5p!I67)-FIND(":",Protokoll_5p!I67))),0,1))</f>
        <v>#VALUE!</v>
      </c>
      <c r="M61" s="1" t="e">
        <f>IF(Protokoll_5p!J67="","",IF(VALUE(LEFT(Protokoll_5p!J67,FIND(":",Protokoll_5p!J67)-1))&gt;VALUE(RIGHT(Protokoll_5p!J67,LEN(Protokoll_5p!J67)-FIND(":",Protokoll_5p!J67))),0,1))</f>
        <v>#VALUE!</v>
      </c>
      <c r="N61" s="1" t="e">
        <f t="shared" si="1"/>
        <v>#VALUE!</v>
      </c>
    </row>
    <row r="62" spans="2:14">
      <c r="B62" s="1">
        <f>IF(Protokoll_5p!F68="","",IF(VALUE(LEFT(Protokoll_5p!F68,FIND(":",Protokoll_5p!F68)-1))&gt;VALUE(RIGHT(Protokoll_5p!F68,LEN(Protokoll_5p!F68)-FIND(":",Protokoll_5p!F68))),1,0))</f>
        <v>0</v>
      </c>
      <c r="C62" s="1">
        <f>IF(Protokoll_5p!G68="","",IF(VALUE(LEFT(Protokoll_5p!G68,FIND(":",Protokoll_5p!G68)-1))&gt;VALUE(RIGHT(Protokoll_5p!G68,LEN(Protokoll_5p!G68)-FIND(":",Protokoll_5p!G68))),1,0))</f>
        <v>0</v>
      </c>
      <c r="D62" s="1">
        <f>IF(Protokoll_5p!H68="","",IF(VALUE(LEFT(Protokoll_5p!H68,FIND(":",Protokoll_5p!H68)-1))&gt;VALUE(RIGHT(Protokoll_5p!H68,LEN(Protokoll_5p!H68)-FIND(":",Protokoll_5p!H68))),1,0))</f>
        <v>0</v>
      </c>
      <c r="E62" s="1" t="str">
        <f>IF(Protokoll_5p!I68="","",IF(VALUE(LEFT(Protokoll_5p!I68,FIND(":",Protokoll_5p!I68)-1))&gt;VALUE(RIGHT(Protokoll_5p!I68,LEN(Protokoll_5p!I68)-FIND(":",Protokoll_5p!I68))),1,0))</f>
        <v/>
      </c>
      <c r="F62" s="1" t="str">
        <f>IF(Protokoll_5p!J68="","",IF(VALUE(LEFT(Protokoll_5p!J68,FIND(":",Protokoll_5p!J68)-1))&gt;VALUE(RIGHT(Protokoll_5p!J68,LEN(Protokoll_5p!J68)-FIND(":",Protokoll_5p!J68))),1,0))</f>
        <v/>
      </c>
      <c r="G62" s="1">
        <f t="shared" si="0"/>
        <v>0</v>
      </c>
      <c r="I62" s="1">
        <f>IF(Protokoll_5p!F68="","",IF(VALUE(LEFT(Protokoll_5p!F68,FIND(":",Protokoll_5p!F68)-1))&gt;VALUE(RIGHT(Protokoll_5p!F68,LEN(Protokoll_5p!F68)-FIND(":",Protokoll_5p!F68))),0,1))</f>
        <v>1</v>
      </c>
      <c r="J62" s="1">
        <f>IF(Protokoll_5p!G68="","",IF(VALUE(LEFT(Protokoll_5p!G68,FIND(":",Protokoll_5p!G68)-1))&gt;VALUE(RIGHT(Protokoll_5p!G68,LEN(Protokoll_5p!G68)-FIND(":",Protokoll_5p!G68))),0,1))</f>
        <v>1</v>
      </c>
      <c r="K62" s="1">
        <f>IF(Protokoll_5p!H68="","",IF(VALUE(LEFT(Protokoll_5p!H68,FIND(":",Protokoll_5p!H68)-1))&gt;VALUE(RIGHT(Protokoll_5p!H68,LEN(Protokoll_5p!H68)-FIND(":",Protokoll_5p!H68))),0,1))</f>
        <v>1</v>
      </c>
      <c r="L62" s="1" t="str">
        <f>IF(Protokoll_5p!I68="","",IF(VALUE(LEFT(Protokoll_5p!I68,FIND(":",Protokoll_5p!I68)-1))&gt;VALUE(RIGHT(Protokoll_5p!I68,LEN(Protokoll_5p!I68)-FIND(":",Protokoll_5p!I68))),0,1))</f>
        <v/>
      </c>
      <c r="M62" s="1" t="str">
        <f>IF(Protokoll_5p!J68="","",IF(VALUE(LEFT(Protokoll_5p!J68,FIND(":",Protokoll_5p!J68)-1))&gt;VALUE(RIGHT(Protokoll_5p!J68,LEN(Protokoll_5p!J68)-FIND(":",Protokoll_5p!J68))),0,1))</f>
        <v/>
      </c>
      <c r="N62" s="1">
        <f t="shared" si="1"/>
        <v>3</v>
      </c>
    </row>
    <row r="63" spans="2:14">
      <c r="B63" s="1">
        <f>IF(Protokoll_5p!F69="","",IF(VALUE(LEFT(Protokoll_5p!F69,FIND(":",Protokoll_5p!F69)-1))&gt;VALUE(RIGHT(Protokoll_5p!F69,LEN(Protokoll_5p!F69)-FIND(":",Protokoll_5p!F69))),1,0))</f>
        <v>1</v>
      </c>
      <c r="C63" s="1">
        <f>IF(Protokoll_5p!G69="","",IF(VALUE(LEFT(Protokoll_5p!G69,FIND(":",Protokoll_5p!G69)-1))&gt;VALUE(RIGHT(Protokoll_5p!G69,LEN(Protokoll_5p!G69)-FIND(":",Protokoll_5p!G69))),1,0))</f>
        <v>0</v>
      </c>
      <c r="D63" s="1">
        <f>IF(Protokoll_5p!H69="","",IF(VALUE(LEFT(Protokoll_5p!H69,FIND(":",Protokoll_5p!H69)-1))&gt;VALUE(RIGHT(Protokoll_5p!H69,LEN(Protokoll_5p!H69)-FIND(":",Protokoll_5p!H69))),1,0))</f>
        <v>1</v>
      </c>
      <c r="E63" s="1">
        <f>IF(Protokoll_5p!I69="","",IF(VALUE(LEFT(Protokoll_5p!I69,FIND(":",Protokoll_5p!I69)-1))&gt;VALUE(RIGHT(Protokoll_5p!I69,LEN(Protokoll_5p!I69)-FIND(":",Protokoll_5p!I69))),1,0))</f>
        <v>1</v>
      </c>
      <c r="F63" s="1" t="str">
        <f>IF(Protokoll_5p!J69="","",IF(VALUE(LEFT(Protokoll_5p!J69,FIND(":",Protokoll_5p!J69)-1))&gt;VALUE(RIGHT(Protokoll_5p!J69,LEN(Protokoll_5p!J69)-FIND(":",Protokoll_5p!J69))),1,0))</f>
        <v/>
      </c>
      <c r="G63" s="1">
        <f t="shared" si="0"/>
        <v>3</v>
      </c>
      <c r="I63" s="1">
        <f>IF(Protokoll_5p!F69="","",IF(VALUE(LEFT(Protokoll_5p!F69,FIND(":",Protokoll_5p!F69)-1))&gt;VALUE(RIGHT(Protokoll_5p!F69,LEN(Protokoll_5p!F69)-FIND(":",Protokoll_5p!F69))),0,1))</f>
        <v>0</v>
      </c>
      <c r="J63" s="1">
        <f>IF(Protokoll_5p!G69="","",IF(VALUE(LEFT(Protokoll_5p!G69,FIND(":",Protokoll_5p!G69)-1))&gt;VALUE(RIGHT(Protokoll_5p!G69,LEN(Protokoll_5p!G69)-FIND(":",Protokoll_5p!G69))),0,1))</f>
        <v>1</v>
      </c>
      <c r="K63" s="1">
        <f>IF(Protokoll_5p!H69="","",IF(VALUE(LEFT(Protokoll_5p!H69,FIND(":",Protokoll_5p!H69)-1))&gt;VALUE(RIGHT(Protokoll_5p!H69,LEN(Protokoll_5p!H69)-FIND(":",Protokoll_5p!H69))),0,1))</f>
        <v>0</v>
      </c>
      <c r="L63" s="1">
        <f>IF(Protokoll_5p!I69="","",IF(VALUE(LEFT(Protokoll_5p!I69,FIND(":",Protokoll_5p!I69)-1))&gt;VALUE(RIGHT(Protokoll_5p!I69,LEN(Protokoll_5p!I69)-FIND(":",Protokoll_5p!I69))),0,1))</f>
        <v>0</v>
      </c>
      <c r="M63" s="1" t="str">
        <f>IF(Protokoll_5p!J69="","",IF(VALUE(LEFT(Protokoll_5p!J69,FIND(":",Protokoll_5p!J69)-1))&gt;VALUE(RIGHT(Protokoll_5p!J69,LEN(Protokoll_5p!J69)-FIND(":",Protokoll_5p!J69))),0,1))</f>
        <v/>
      </c>
      <c r="N63" s="1">
        <f t="shared" si="1"/>
        <v>1</v>
      </c>
    </row>
    <row r="64" spans="2:14">
      <c r="B64" s="1">
        <f>IF(Protokoll_5p!F70="","",IF(VALUE(LEFT(Protokoll_5p!F70,FIND(":",Protokoll_5p!F70)-1))&gt;VALUE(RIGHT(Protokoll_5p!F70,LEN(Protokoll_5p!F70)-FIND(":",Protokoll_5p!F70))),1,0))</f>
        <v>1</v>
      </c>
      <c r="C64" s="1">
        <f>IF(Protokoll_5p!G70="","",IF(VALUE(LEFT(Protokoll_5p!G70,FIND(":",Protokoll_5p!G70)-1))&gt;VALUE(RIGHT(Protokoll_5p!G70,LEN(Protokoll_5p!G70)-FIND(":",Protokoll_5p!G70))),1,0))</f>
        <v>1</v>
      </c>
      <c r="D64" s="1">
        <f>IF(Protokoll_5p!H70="","",IF(VALUE(LEFT(Protokoll_5p!H70,FIND(":",Protokoll_5p!H70)-1))&gt;VALUE(RIGHT(Protokoll_5p!H70,LEN(Protokoll_5p!H70)-FIND(":",Protokoll_5p!H70))),1,0))</f>
        <v>1</v>
      </c>
      <c r="E64" s="1" t="str">
        <f>IF(Protokoll_5p!I70="","",IF(VALUE(LEFT(Protokoll_5p!I70,FIND(":",Protokoll_5p!I70)-1))&gt;VALUE(RIGHT(Protokoll_5p!I70,LEN(Protokoll_5p!I70)-FIND(":",Protokoll_5p!I70))),1,0))</f>
        <v/>
      </c>
      <c r="F64" s="1" t="str">
        <f>IF(Protokoll_5p!J70="","",IF(VALUE(LEFT(Protokoll_5p!J70,FIND(":",Protokoll_5p!J70)-1))&gt;VALUE(RIGHT(Protokoll_5p!J70,LEN(Protokoll_5p!J70)-FIND(":",Protokoll_5p!J70))),1,0))</f>
        <v/>
      </c>
      <c r="G64" s="1">
        <f t="shared" si="0"/>
        <v>3</v>
      </c>
      <c r="I64" s="1">
        <f>IF(Protokoll_5p!F70="","",IF(VALUE(LEFT(Protokoll_5p!F70,FIND(":",Protokoll_5p!F70)-1))&gt;VALUE(RIGHT(Protokoll_5p!F70,LEN(Protokoll_5p!F70)-FIND(":",Protokoll_5p!F70))),0,1))</f>
        <v>0</v>
      </c>
      <c r="J64" s="1">
        <f>IF(Protokoll_5p!G70="","",IF(VALUE(LEFT(Protokoll_5p!G70,FIND(":",Protokoll_5p!G70)-1))&gt;VALUE(RIGHT(Protokoll_5p!G70,LEN(Protokoll_5p!G70)-FIND(":",Protokoll_5p!G70))),0,1))</f>
        <v>0</v>
      </c>
      <c r="K64" s="1">
        <f>IF(Protokoll_5p!H70="","",IF(VALUE(LEFT(Protokoll_5p!H70,FIND(":",Protokoll_5p!H70)-1))&gt;VALUE(RIGHT(Protokoll_5p!H70,LEN(Protokoll_5p!H70)-FIND(":",Protokoll_5p!H70))),0,1))</f>
        <v>0</v>
      </c>
      <c r="L64" s="1" t="str">
        <f>IF(Protokoll_5p!I70="","",IF(VALUE(LEFT(Protokoll_5p!I70,FIND(":",Protokoll_5p!I70)-1))&gt;VALUE(RIGHT(Protokoll_5p!I70,LEN(Protokoll_5p!I70)-FIND(":",Protokoll_5p!I70))),0,1))</f>
        <v/>
      </c>
      <c r="M64" s="1" t="str">
        <f>IF(Protokoll_5p!J70="","",IF(VALUE(LEFT(Protokoll_5p!J70,FIND(":",Protokoll_5p!J70)-1))&gt;VALUE(RIGHT(Protokoll_5p!J70,LEN(Protokoll_5p!J70)-FIND(":",Protokoll_5p!J70))),0,1))</f>
        <v/>
      </c>
      <c r="N64" s="1">
        <f t="shared" si="1"/>
        <v>0</v>
      </c>
    </row>
    <row r="65" spans="2:14">
      <c r="B65" s="1">
        <f>IF(Protokoll_5p!F71="","",IF(VALUE(LEFT(Protokoll_5p!F71,FIND(":",Protokoll_5p!F71)-1))&gt;VALUE(RIGHT(Protokoll_5p!F71,LEN(Protokoll_5p!F71)-FIND(":",Protokoll_5p!F71))),1,0))</f>
        <v>0</v>
      </c>
      <c r="C65" s="1">
        <f>IF(Protokoll_5p!G71="","",IF(VALUE(LEFT(Protokoll_5p!G71,FIND(":",Protokoll_5p!G71)-1))&gt;VALUE(RIGHT(Protokoll_5p!G71,LEN(Protokoll_5p!G71)-FIND(":",Protokoll_5p!G71))),1,0))</f>
        <v>0</v>
      </c>
      <c r="D65" s="1">
        <f>IF(Protokoll_5p!H71="","",IF(VALUE(LEFT(Protokoll_5p!H71,FIND(":",Protokoll_5p!H71)-1))&gt;VALUE(RIGHT(Protokoll_5p!H71,LEN(Protokoll_5p!H71)-FIND(":",Protokoll_5p!H71))),1,0))</f>
        <v>0</v>
      </c>
      <c r="E65" s="1" t="str">
        <f>IF(Protokoll_5p!I71="","",IF(VALUE(LEFT(Protokoll_5p!I71,FIND(":",Protokoll_5p!I71)-1))&gt;VALUE(RIGHT(Protokoll_5p!I71,LEN(Protokoll_5p!I71)-FIND(":",Protokoll_5p!I71))),1,0))</f>
        <v/>
      </c>
      <c r="F65" s="1" t="str">
        <f>IF(Protokoll_5p!J71="","",IF(VALUE(LEFT(Protokoll_5p!J71,FIND(":",Protokoll_5p!J71)-1))&gt;VALUE(RIGHT(Protokoll_5p!J71,LEN(Protokoll_5p!J71)-FIND(":",Protokoll_5p!J71))),1,0))</f>
        <v/>
      </c>
      <c r="G65" s="1">
        <f t="shared" si="0"/>
        <v>0</v>
      </c>
      <c r="I65" s="1">
        <f>IF(Protokoll_5p!F71="","",IF(VALUE(LEFT(Protokoll_5p!F71,FIND(":",Protokoll_5p!F71)-1))&gt;VALUE(RIGHT(Protokoll_5p!F71,LEN(Protokoll_5p!F71)-FIND(":",Protokoll_5p!F71))),0,1))</f>
        <v>1</v>
      </c>
      <c r="J65" s="1">
        <f>IF(Protokoll_5p!G71="","",IF(VALUE(LEFT(Protokoll_5p!G71,FIND(":",Protokoll_5p!G71)-1))&gt;VALUE(RIGHT(Protokoll_5p!G71,LEN(Protokoll_5p!G71)-FIND(":",Protokoll_5p!G71))),0,1))</f>
        <v>1</v>
      </c>
      <c r="K65" s="1">
        <f>IF(Protokoll_5p!H71="","",IF(VALUE(LEFT(Protokoll_5p!H71,FIND(":",Protokoll_5p!H71)-1))&gt;VALUE(RIGHT(Protokoll_5p!H71,LEN(Protokoll_5p!H71)-FIND(":",Protokoll_5p!H71))),0,1))</f>
        <v>1</v>
      </c>
      <c r="L65" s="1" t="str">
        <f>IF(Protokoll_5p!I71="","",IF(VALUE(LEFT(Protokoll_5p!I71,FIND(":",Protokoll_5p!I71)-1))&gt;VALUE(RIGHT(Protokoll_5p!I71,LEN(Protokoll_5p!I71)-FIND(":",Protokoll_5p!I71))),0,1))</f>
        <v/>
      </c>
      <c r="M65" s="1" t="str">
        <f>IF(Protokoll_5p!J71="","",IF(VALUE(LEFT(Protokoll_5p!J71,FIND(":",Protokoll_5p!J71)-1))&gt;VALUE(RIGHT(Protokoll_5p!J71,LEN(Protokoll_5p!J71)-FIND(":",Protokoll_5p!J71))),0,1))</f>
        <v/>
      </c>
      <c r="N65" s="1">
        <f t="shared" si="1"/>
        <v>3</v>
      </c>
    </row>
    <row r="66" spans="2:14">
      <c r="B66" s="1" t="str">
        <f>IF(Protokoll_5p!F72="","",IF(VALUE(LEFT(Protokoll_5p!F72,FIND(":",Protokoll_5p!F72)-1))&gt;VALUE(RIGHT(Protokoll_5p!F72,LEN(Protokoll_5p!F72)-FIND(":",Protokoll_5p!F72))),1,0))</f>
        <v/>
      </c>
      <c r="C66" s="1" t="str">
        <f>IF(Protokoll_5p!G72="","",IF(VALUE(LEFT(Protokoll_5p!G72,FIND(":",Protokoll_5p!G72)-1))&gt;VALUE(RIGHT(Protokoll_5p!G72,LEN(Protokoll_5p!G72)-FIND(":",Protokoll_5p!G72))),1,0))</f>
        <v/>
      </c>
      <c r="D66" s="1" t="str">
        <f>IF(Protokoll_5p!H72="","",IF(VALUE(LEFT(Protokoll_5p!H72,FIND(":",Protokoll_5p!H72)-1))&gt;VALUE(RIGHT(Protokoll_5p!H72,LEN(Protokoll_5p!H72)-FIND(":",Protokoll_5p!H72))),1,0))</f>
        <v/>
      </c>
      <c r="E66" s="1" t="str">
        <f>IF(Protokoll_5p!I72="","",IF(VALUE(LEFT(Protokoll_5p!I72,FIND(":",Protokoll_5p!I72)-1))&gt;VALUE(RIGHT(Protokoll_5p!I72,LEN(Protokoll_5p!I72)-FIND(":",Protokoll_5p!I72))),1,0))</f>
        <v/>
      </c>
      <c r="F66" s="1" t="str">
        <f>IF(Protokoll_5p!J72="","",IF(VALUE(LEFT(Protokoll_5p!J72,FIND(":",Protokoll_5p!J72)-1))&gt;VALUE(RIGHT(Protokoll_5p!J72,LEN(Protokoll_5p!J72)-FIND(":",Protokoll_5p!J72))),1,0))</f>
        <v/>
      </c>
      <c r="G66" s="1" t="str">
        <f t="shared" si="0"/>
        <v/>
      </c>
      <c r="I66" s="1" t="str">
        <f>IF(Protokoll_5p!F72="","",IF(VALUE(LEFT(Protokoll_5p!F72,FIND(":",Protokoll_5p!F72)-1))&gt;VALUE(RIGHT(Protokoll_5p!F72,LEN(Protokoll_5p!F72)-FIND(":",Protokoll_5p!F72))),0,1))</f>
        <v/>
      </c>
      <c r="J66" s="1" t="str">
        <f>IF(Protokoll_5p!G72="","",IF(VALUE(LEFT(Protokoll_5p!G72,FIND(":",Protokoll_5p!G72)-1))&gt;VALUE(RIGHT(Protokoll_5p!G72,LEN(Protokoll_5p!G72)-FIND(":",Protokoll_5p!G72))),0,1))</f>
        <v/>
      </c>
      <c r="K66" s="1" t="str">
        <f>IF(Protokoll_5p!H72="","",IF(VALUE(LEFT(Protokoll_5p!H72,FIND(":",Protokoll_5p!H72)-1))&gt;VALUE(RIGHT(Protokoll_5p!H72,LEN(Protokoll_5p!H72)-FIND(":",Protokoll_5p!H72))),0,1))</f>
        <v/>
      </c>
      <c r="L66" s="1" t="str">
        <f>IF(Protokoll_5p!I72="","",IF(VALUE(LEFT(Protokoll_5p!I72,FIND(":",Protokoll_5p!I72)-1))&gt;VALUE(RIGHT(Protokoll_5p!I72,LEN(Protokoll_5p!I72)-FIND(":",Protokoll_5p!I72))),0,1))</f>
        <v/>
      </c>
      <c r="M66" s="1" t="str">
        <f>IF(Protokoll_5p!J72="","",IF(VALUE(LEFT(Protokoll_5p!J72,FIND(":",Protokoll_5p!J72)-1))&gt;VALUE(RIGHT(Protokoll_5p!J72,LEN(Protokoll_5p!J72)-FIND(":",Protokoll_5p!J72))),0,1))</f>
        <v/>
      </c>
      <c r="N66" s="1" t="str">
        <f t="shared" si="1"/>
        <v/>
      </c>
    </row>
    <row r="67" spans="2:14">
      <c r="B67" s="1">
        <f>IF(Protokoll_5p!F73="","",IF(VALUE(LEFT(Protokoll_5p!F73,FIND(":",Protokoll_5p!F73)-1))&gt;VALUE(RIGHT(Protokoll_5p!F73,LEN(Protokoll_5p!F73)-FIND(":",Protokoll_5p!F73))),1,0))</f>
        <v>0</v>
      </c>
      <c r="C67" s="1">
        <f>IF(Protokoll_5p!G73="","",IF(VALUE(LEFT(Protokoll_5p!G73,FIND(":",Protokoll_5p!G73)-1))&gt;VALUE(RIGHT(Protokoll_5p!G73,LEN(Protokoll_5p!G73)-FIND(":",Protokoll_5p!G73))),1,0))</f>
        <v>1</v>
      </c>
      <c r="D67" s="1">
        <f>IF(Protokoll_5p!H73="","",IF(VALUE(LEFT(Protokoll_5p!H73,FIND(":",Protokoll_5p!H73)-1))&gt;VALUE(RIGHT(Protokoll_5p!H73,LEN(Protokoll_5p!H73)-FIND(":",Protokoll_5p!H73))),1,0))</f>
        <v>0</v>
      </c>
      <c r="E67" s="1">
        <f>IF(Protokoll_5p!I73="","",IF(VALUE(LEFT(Protokoll_5p!I73,FIND(":",Protokoll_5p!I73)-1))&gt;VALUE(RIGHT(Protokoll_5p!I73,LEN(Protokoll_5p!I73)-FIND(":",Protokoll_5p!I73))),1,0))</f>
        <v>0</v>
      </c>
      <c r="F67" s="1" t="str">
        <f>IF(Protokoll_5p!J73="","",IF(VALUE(LEFT(Protokoll_5p!J73,FIND(":",Protokoll_5p!J73)-1))&gt;VALUE(RIGHT(Protokoll_5p!J73,LEN(Protokoll_5p!J73)-FIND(":",Protokoll_5p!J73))),1,0))</f>
        <v/>
      </c>
      <c r="G67" s="1">
        <f t="shared" ref="G67:G130" si="2">IF(B67="","",SUM(B67:F67))</f>
        <v>1</v>
      </c>
      <c r="I67" s="1">
        <f>IF(Protokoll_5p!F73="","",IF(VALUE(LEFT(Protokoll_5p!F73,FIND(":",Protokoll_5p!F73)-1))&gt;VALUE(RIGHT(Protokoll_5p!F73,LEN(Protokoll_5p!F73)-FIND(":",Protokoll_5p!F73))),0,1))</f>
        <v>1</v>
      </c>
      <c r="J67" s="1">
        <f>IF(Protokoll_5p!G73="","",IF(VALUE(LEFT(Protokoll_5p!G73,FIND(":",Protokoll_5p!G73)-1))&gt;VALUE(RIGHT(Protokoll_5p!G73,LEN(Protokoll_5p!G73)-FIND(":",Protokoll_5p!G73))),0,1))</f>
        <v>0</v>
      </c>
      <c r="K67" s="1">
        <f>IF(Protokoll_5p!H73="","",IF(VALUE(LEFT(Protokoll_5p!H73,FIND(":",Protokoll_5p!H73)-1))&gt;VALUE(RIGHT(Protokoll_5p!H73,LEN(Protokoll_5p!H73)-FIND(":",Protokoll_5p!H73))),0,1))</f>
        <v>1</v>
      </c>
      <c r="L67" s="1">
        <f>IF(Protokoll_5p!I73="","",IF(VALUE(LEFT(Protokoll_5p!I73,FIND(":",Protokoll_5p!I73)-1))&gt;VALUE(RIGHT(Protokoll_5p!I73,LEN(Protokoll_5p!I73)-FIND(":",Protokoll_5p!I73))),0,1))</f>
        <v>1</v>
      </c>
      <c r="M67" s="1" t="str">
        <f>IF(Protokoll_5p!J73="","",IF(VALUE(LEFT(Protokoll_5p!J73,FIND(":",Protokoll_5p!J73)-1))&gt;VALUE(RIGHT(Protokoll_5p!J73,LEN(Protokoll_5p!J73)-FIND(":",Protokoll_5p!J73))),0,1))</f>
        <v/>
      </c>
      <c r="N67" s="1">
        <f t="shared" ref="N67:N130" si="3">IF(I67="","",SUM(I67:M67))</f>
        <v>3</v>
      </c>
    </row>
    <row r="68" spans="2:14">
      <c r="B68" s="1">
        <f>IF(Protokoll_5p!F74="","",IF(VALUE(LEFT(Protokoll_5p!F74,FIND(":",Protokoll_5p!F74)-1))&gt;VALUE(RIGHT(Protokoll_5p!F74,LEN(Protokoll_5p!F74)-FIND(":",Protokoll_5p!F74))),1,0))</f>
        <v>0</v>
      </c>
      <c r="C68" s="1">
        <f>IF(Protokoll_5p!G74="","",IF(VALUE(LEFT(Protokoll_5p!G74,FIND(":",Protokoll_5p!G74)-1))&gt;VALUE(RIGHT(Protokoll_5p!G74,LEN(Protokoll_5p!G74)-FIND(":",Protokoll_5p!G74))),1,0))</f>
        <v>0</v>
      </c>
      <c r="D68" s="1">
        <f>IF(Protokoll_5p!H74="","",IF(VALUE(LEFT(Protokoll_5p!H74,FIND(":",Protokoll_5p!H74)-1))&gt;VALUE(RIGHT(Protokoll_5p!H74,LEN(Protokoll_5p!H74)-FIND(":",Protokoll_5p!H74))),1,0))</f>
        <v>1</v>
      </c>
      <c r="E68" s="1">
        <f>IF(Protokoll_5p!I74="","",IF(VALUE(LEFT(Protokoll_5p!I74,FIND(":",Protokoll_5p!I74)-1))&gt;VALUE(RIGHT(Protokoll_5p!I74,LEN(Protokoll_5p!I74)-FIND(":",Protokoll_5p!I74))),1,0))</f>
        <v>1</v>
      </c>
      <c r="F68" s="1">
        <f>IF(Protokoll_5p!J74="","",IF(VALUE(LEFT(Protokoll_5p!J74,FIND(":",Protokoll_5p!J74)-1))&gt;VALUE(RIGHT(Protokoll_5p!J74,LEN(Protokoll_5p!J74)-FIND(":",Protokoll_5p!J74))),1,0))</f>
        <v>1</v>
      </c>
      <c r="G68" s="1">
        <f t="shared" si="2"/>
        <v>3</v>
      </c>
      <c r="I68" s="1">
        <f>IF(Protokoll_5p!F74="","",IF(VALUE(LEFT(Protokoll_5p!F74,FIND(":",Protokoll_5p!F74)-1))&gt;VALUE(RIGHT(Protokoll_5p!F74,LEN(Protokoll_5p!F74)-FIND(":",Protokoll_5p!F74))),0,1))</f>
        <v>1</v>
      </c>
      <c r="J68" s="1">
        <f>IF(Protokoll_5p!G74="","",IF(VALUE(LEFT(Protokoll_5p!G74,FIND(":",Protokoll_5p!G74)-1))&gt;VALUE(RIGHT(Protokoll_5p!G74,LEN(Protokoll_5p!G74)-FIND(":",Protokoll_5p!G74))),0,1))</f>
        <v>1</v>
      </c>
      <c r="K68" s="1">
        <f>IF(Protokoll_5p!H74="","",IF(VALUE(LEFT(Protokoll_5p!H74,FIND(":",Protokoll_5p!H74)-1))&gt;VALUE(RIGHT(Protokoll_5p!H74,LEN(Protokoll_5p!H74)-FIND(":",Protokoll_5p!H74))),0,1))</f>
        <v>0</v>
      </c>
      <c r="L68" s="1">
        <f>IF(Protokoll_5p!I74="","",IF(VALUE(LEFT(Protokoll_5p!I74,FIND(":",Protokoll_5p!I74)-1))&gt;VALUE(RIGHT(Protokoll_5p!I74,LEN(Protokoll_5p!I74)-FIND(":",Protokoll_5p!I74))),0,1))</f>
        <v>0</v>
      </c>
      <c r="M68" s="1">
        <f>IF(Protokoll_5p!J74="","",IF(VALUE(LEFT(Protokoll_5p!J74,FIND(":",Protokoll_5p!J74)-1))&gt;VALUE(RIGHT(Protokoll_5p!J74,LEN(Protokoll_5p!J74)-FIND(":",Protokoll_5p!J74))),0,1))</f>
        <v>0</v>
      </c>
      <c r="N68" s="1">
        <f t="shared" si="3"/>
        <v>2</v>
      </c>
    </row>
    <row r="69" spans="2:14">
      <c r="B69" s="1">
        <f>IF(Protokoll_5p!F75="","",IF(VALUE(LEFT(Protokoll_5p!F75,FIND(":",Protokoll_5p!F75)-1))&gt;VALUE(RIGHT(Protokoll_5p!F75,LEN(Protokoll_5p!F75)-FIND(":",Protokoll_5p!F75))),1,0))</f>
        <v>1</v>
      </c>
      <c r="C69" s="1">
        <f>IF(Protokoll_5p!G75="","",IF(VALUE(LEFT(Protokoll_5p!G75,FIND(":",Protokoll_5p!G75)-1))&gt;VALUE(RIGHT(Protokoll_5p!G75,LEN(Protokoll_5p!G75)-FIND(":",Protokoll_5p!G75))),1,0))</f>
        <v>1</v>
      </c>
      <c r="D69" s="1">
        <f>IF(Protokoll_5p!H75="","",IF(VALUE(LEFT(Protokoll_5p!H75,FIND(":",Protokoll_5p!H75)-1))&gt;VALUE(RIGHT(Protokoll_5p!H75,LEN(Protokoll_5p!H75)-FIND(":",Protokoll_5p!H75))),1,0))</f>
        <v>0</v>
      </c>
      <c r="E69" s="1">
        <f>IF(Protokoll_5p!I75="","",IF(VALUE(LEFT(Protokoll_5p!I75,FIND(":",Protokoll_5p!I75)-1))&gt;VALUE(RIGHT(Protokoll_5p!I75,LEN(Protokoll_5p!I75)-FIND(":",Protokoll_5p!I75))),1,0))</f>
        <v>1</v>
      </c>
      <c r="F69" s="1" t="str">
        <f>IF(Protokoll_5p!J75="","",IF(VALUE(LEFT(Protokoll_5p!J75,FIND(":",Protokoll_5p!J75)-1))&gt;VALUE(RIGHT(Protokoll_5p!J75,LEN(Protokoll_5p!J75)-FIND(":",Protokoll_5p!J75))),1,0))</f>
        <v/>
      </c>
      <c r="G69" s="1">
        <f t="shared" si="2"/>
        <v>3</v>
      </c>
      <c r="I69" s="1">
        <f>IF(Protokoll_5p!F75="","",IF(VALUE(LEFT(Protokoll_5p!F75,FIND(":",Protokoll_5p!F75)-1))&gt;VALUE(RIGHT(Protokoll_5p!F75,LEN(Protokoll_5p!F75)-FIND(":",Protokoll_5p!F75))),0,1))</f>
        <v>0</v>
      </c>
      <c r="J69" s="1">
        <f>IF(Protokoll_5p!G75="","",IF(VALUE(LEFT(Protokoll_5p!G75,FIND(":",Protokoll_5p!G75)-1))&gt;VALUE(RIGHT(Protokoll_5p!G75,LEN(Protokoll_5p!G75)-FIND(":",Protokoll_5p!G75))),0,1))</f>
        <v>0</v>
      </c>
      <c r="K69" s="1">
        <f>IF(Protokoll_5p!H75="","",IF(VALUE(LEFT(Protokoll_5p!H75,FIND(":",Protokoll_5p!H75)-1))&gt;VALUE(RIGHT(Protokoll_5p!H75,LEN(Protokoll_5p!H75)-FIND(":",Protokoll_5p!H75))),0,1))</f>
        <v>1</v>
      </c>
      <c r="L69" s="1">
        <f>IF(Protokoll_5p!I75="","",IF(VALUE(LEFT(Protokoll_5p!I75,FIND(":",Protokoll_5p!I75)-1))&gt;VALUE(RIGHT(Protokoll_5p!I75,LEN(Protokoll_5p!I75)-FIND(":",Protokoll_5p!I75))),0,1))</f>
        <v>0</v>
      </c>
      <c r="M69" s="1" t="str">
        <f>IF(Protokoll_5p!J75="","",IF(VALUE(LEFT(Protokoll_5p!J75,FIND(":",Protokoll_5p!J75)-1))&gt;VALUE(RIGHT(Protokoll_5p!J75,LEN(Protokoll_5p!J75)-FIND(":",Protokoll_5p!J75))),0,1))</f>
        <v/>
      </c>
      <c r="N69" s="1">
        <f t="shared" si="3"/>
        <v>1</v>
      </c>
    </row>
    <row r="70" spans="2:14">
      <c r="B70" s="1" t="str">
        <f>IF(Protokoll_5p!F76="","",IF(VALUE(LEFT(Protokoll_5p!F76,FIND(":",Protokoll_5p!F76)-1))&gt;VALUE(RIGHT(Protokoll_5p!F76,LEN(Protokoll_5p!F76)-FIND(":",Protokoll_5p!F76))),1,0))</f>
        <v/>
      </c>
      <c r="C70" s="1" t="str">
        <f>IF(Protokoll_5p!G76="","",IF(VALUE(LEFT(Protokoll_5p!G76,FIND(":",Protokoll_5p!G76)-1))&gt;VALUE(RIGHT(Protokoll_5p!G76,LEN(Protokoll_5p!G76)-FIND(":",Protokoll_5p!G76))),1,0))</f>
        <v/>
      </c>
      <c r="D70" s="1" t="str">
        <f>IF(Protokoll_5p!H76="","",IF(VALUE(LEFT(Protokoll_5p!H76,FIND(":",Protokoll_5p!H76)-1))&gt;VALUE(RIGHT(Protokoll_5p!H76,LEN(Protokoll_5p!H76)-FIND(":",Protokoll_5p!H76))),1,0))</f>
        <v/>
      </c>
      <c r="E70" s="1" t="str">
        <f>IF(Protokoll_5p!I76="","",IF(VALUE(LEFT(Protokoll_5p!I76,FIND(":",Protokoll_5p!I76)-1))&gt;VALUE(RIGHT(Protokoll_5p!I76,LEN(Protokoll_5p!I76)-FIND(":",Protokoll_5p!I76))),1,0))</f>
        <v/>
      </c>
      <c r="F70" s="1" t="str">
        <f>IF(Protokoll_5p!J76="","",IF(VALUE(LEFT(Protokoll_5p!J76,FIND(":",Protokoll_5p!J76)-1))&gt;VALUE(RIGHT(Protokoll_5p!J76,LEN(Protokoll_5p!J76)-FIND(":",Protokoll_5p!J76))),1,0))</f>
        <v/>
      </c>
      <c r="G70" s="1" t="str">
        <f t="shared" si="2"/>
        <v/>
      </c>
      <c r="I70" s="1" t="str">
        <f>IF(Protokoll_5p!F76="","",IF(VALUE(LEFT(Protokoll_5p!F76,FIND(":",Protokoll_5p!F76)-1))&gt;VALUE(RIGHT(Protokoll_5p!F76,LEN(Protokoll_5p!F76)-FIND(":",Protokoll_5p!F76))),0,1))</f>
        <v/>
      </c>
      <c r="J70" s="1" t="str">
        <f>IF(Protokoll_5p!G76="","",IF(VALUE(LEFT(Protokoll_5p!G76,FIND(":",Protokoll_5p!G76)-1))&gt;VALUE(RIGHT(Protokoll_5p!G76,LEN(Protokoll_5p!G76)-FIND(":",Protokoll_5p!G76))),0,1))</f>
        <v/>
      </c>
      <c r="K70" s="1" t="str">
        <f>IF(Protokoll_5p!H76="","",IF(VALUE(LEFT(Protokoll_5p!H76,FIND(":",Protokoll_5p!H76)-1))&gt;VALUE(RIGHT(Protokoll_5p!H76,LEN(Protokoll_5p!H76)-FIND(":",Protokoll_5p!H76))),0,1))</f>
        <v/>
      </c>
      <c r="L70" s="1" t="str">
        <f>IF(Protokoll_5p!I76="","",IF(VALUE(LEFT(Protokoll_5p!I76,FIND(":",Protokoll_5p!I76)-1))&gt;VALUE(RIGHT(Protokoll_5p!I76,LEN(Protokoll_5p!I76)-FIND(":",Protokoll_5p!I76))),0,1))</f>
        <v/>
      </c>
      <c r="M70" s="1" t="str">
        <f>IF(Protokoll_5p!J76="","",IF(VALUE(LEFT(Protokoll_5p!J76,FIND(":",Protokoll_5p!J76)-1))&gt;VALUE(RIGHT(Protokoll_5p!J76,LEN(Protokoll_5p!J76)-FIND(":",Protokoll_5p!J76))),0,1))</f>
        <v/>
      </c>
      <c r="N70" s="1" t="str">
        <f t="shared" si="3"/>
        <v/>
      </c>
    </row>
    <row r="71" spans="2:14">
      <c r="B71" s="1" t="e">
        <f>IF(Protokoll_5p!F77="","",IF(VALUE(LEFT(Protokoll_5p!F77,FIND(":",Protokoll_5p!F77)-1))&gt;VALUE(RIGHT(Protokoll_5p!F77,LEN(Protokoll_5p!F77)-FIND(":",Protokoll_5p!F77))),1,0))</f>
        <v>#VALUE!</v>
      </c>
      <c r="C71" s="1" t="e">
        <f>IF(Protokoll_5p!G77="","",IF(VALUE(LEFT(Protokoll_5p!G77,FIND(":",Protokoll_5p!G77)-1))&gt;VALUE(RIGHT(Protokoll_5p!G77,LEN(Protokoll_5p!G77)-FIND(":",Protokoll_5p!G77))),1,0))</f>
        <v>#VALUE!</v>
      </c>
      <c r="D71" s="1" t="e">
        <f>IF(Protokoll_5p!H77="","",IF(VALUE(LEFT(Protokoll_5p!H77,FIND(":",Protokoll_5p!H77)-1))&gt;VALUE(RIGHT(Protokoll_5p!H77,LEN(Protokoll_5p!H77)-FIND(":",Protokoll_5p!H77))),1,0))</f>
        <v>#VALUE!</v>
      </c>
      <c r="E71" s="1" t="e">
        <f>IF(Protokoll_5p!I77="","",IF(VALUE(LEFT(Protokoll_5p!I77,FIND(":",Protokoll_5p!I77)-1))&gt;VALUE(RIGHT(Protokoll_5p!I77,LEN(Protokoll_5p!I77)-FIND(":",Protokoll_5p!I77))),1,0))</f>
        <v>#VALUE!</v>
      </c>
      <c r="F71" s="1" t="e">
        <f>IF(Protokoll_5p!J77="","",IF(VALUE(LEFT(Protokoll_5p!J77,FIND(":",Protokoll_5p!J77)-1))&gt;VALUE(RIGHT(Protokoll_5p!J77,LEN(Protokoll_5p!J77)-FIND(":",Protokoll_5p!J77))),1,0))</f>
        <v>#VALUE!</v>
      </c>
      <c r="G71" s="1" t="e">
        <f t="shared" si="2"/>
        <v>#VALUE!</v>
      </c>
      <c r="I71" s="1" t="e">
        <f>IF(Protokoll_5p!F77="","",IF(VALUE(LEFT(Protokoll_5p!F77,FIND(":",Protokoll_5p!F77)-1))&gt;VALUE(RIGHT(Protokoll_5p!F77,LEN(Protokoll_5p!F77)-FIND(":",Protokoll_5p!F77))),0,1))</f>
        <v>#VALUE!</v>
      </c>
      <c r="J71" s="1" t="e">
        <f>IF(Protokoll_5p!G77="","",IF(VALUE(LEFT(Protokoll_5p!G77,FIND(":",Protokoll_5p!G77)-1))&gt;VALUE(RIGHT(Protokoll_5p!G77,LEN(Protokoll_5p!G77)-FIND(":",Protokoll_5p!G77))),0,1))</f>
        <v>#VALUE!</v>
      </c>
      <c r="K71" s="1" t="e">
        <f>IF(Protokoll_5p!H77="","",IF(VALUE(LEFT(Protokoll_5p!H77,FIND(":",Protokoll_5p!H77)-1))&gt;VALUE(RIGHT(Protokoll_5p!H77,LEN(Protokoll_5p!H77)-FIND(":",Protokoll_5p!H77))),0,1))</f>
        <v>#VALUE!</v>
      </c>
      <c r="L71" s="1" t="e">
        <f>IF(Protokoll_5p!I77="","",IF(VALUE(LEFT(Protokoll_5p!I77,FIND(":",Protokoll_5p!I77)-1))&gt;VALUE(RIGHT(Protokoll_5p!I77,LEN(Protokoll_5p!I77)-FIND(":",Protokoll_5p!I77))),0,1))</f>
        <v>#VALUE!</v>
      </c>
      <c r="M71" s="1" t="e">
        <f>IF(Protokoll_5p!J77="","",IF(VALUE(LEFT(Protokoll_5p!J77,FIND(":",Protokoll_5p!J77)-1))&gt;VALUE(RIGHT(Protokoll_5p!J77,LEN(Protokoll_5p!J77)-FIND(":",Protokoll_5p!J77))),0,1))</f>
        <v>#VALUE!</v>
      </c>
      <c r="N71" s="1" t="e">
        <f t="shared" si="3"/>
        <v>#VALUE!</v>
      </c>
    </row>
    <row r="72" spans="2:14">
      <c r="B72" s="1">
        <f>IF(Protokoll_5p!F78="","",IF(VALUE(LEFT(Protokoll_5p!F78,FIND(":",Protokoll_5p!F78)-1))&gt;VALUE(RIGHT(Protokoll_5p!F78,LEN(Protokoll_5p!F78)-FIND(":",Protokoll_5p!F78))),1,0))</f>
        <v>1</v>
      </c>
      <c r="C72" s="1">
        <f>IF(Protokoll_5p!G78="","",IF(VALUE(LEFT(Protokoll_5p!G78,FIND(":",Protokoll_5p!G78)-1))&gt;VALUE(RIGHT(Protokoll_5p!G78,LEN(Protokoll_5p!G78)-FIND(":",Protokoll_5p!G78))),1,0))</f>
        <v>1</v>
      </c>
      <c r="D72" s="1">
        <f>IF(Protokoll_5p!H78="","",IF(VALUE(LEFT(Protokoll_5p!H78,FIND(":",Protokoll_5p!H78)-1))&gt;VALUE(RIGHT(Protokoll_5p!H78,LEN(Protokoll_5p!H78)-FIND(":",Protokoll_5p!H78))),1,0))</f>
        <v>1</v>
      </c>
      <c r="E72" s="1" t="str">
        <f>IF(Protokoll_5p!I78="","",IF(VALUE(LEFT(Protokoll_5p!I78,FIND(":",Protokoll_5p!I78)-1))&gt;VALUE(RIGHT(Protokoll_5p!I78,LEN(Protokoll_5p!I78)-FIND(":",Protokoll_5p!I78))),1,0))</f>
        <v/>
      </c>
      <c r="F72" s="1" t="str">
        <f>IF(Protokoll_5p!J78="","",IF(VALUE(LEFT(Protokoll_5p!J78,FIND(":",Protokoll_5p!J78)-1))&gt;VALUE(RIGHT(Protokoll_5p!J78,LEN(Protokoll_5p!J78)-FIND(":",Protokoll_5p!J78))),1,0))</f>
        <v/>
      </c>
      <c r="G72" s="1">
        <f t="shared" si="2"/>
        <v>3</v>
      </c>
      <c r="I72" s="1">
        <f>IF(Protokoll_5p!F78="","",IF(VALUE(LEFT(Protokoll_5p!F78,FIND(":",Protokoll_5p!F78)-1))&gt;VALUE(RIGHT(Protokoll_5p!F78,LEN(Protokoll_5p!F78)-FIND(":",Protokoll_5p!F78))),0,1))</f>
        <v>0</v>
      </c>
      <c r="J72" s="1">
        <f>IF(Protokoll_5p!G78="","",IF(VALUE(LEFT(Protokoll_5p!G78,FIND(":",Protokoll_5p!G78)-1))&gt;VALUE(RIGHT(Protokoll_5p!G78,LEN(Protokoll_5p!G78)-FIND(":",Protokoll_5p!G78))),0,1))</f>
        <v>0</v>
      </c>
      <c r="K72" s="1">
        <f>IF(Protokoll_5p!H78="","",IF(VALUE(LEFT(Protokoll_5p!H78,FIND(":",Protokoll_5p!H78)-1))&gt;VALUE(RIGHT(Protokoll_5p!H78,LEN(Protokoll_5p!H78)-FIND(":",Protokoll_5p!H78))),0,1))</f>
        <v>0</v>
      </c>
      <c r="L72" s="1" t="str">
        <f>IF(Protokoll_5p!I78="","",IF(VALUE(LEFT(Protokoll_5p!I78,FIND(":",Protokoll_5p!I78)-1))&gt;VALUE(RIGHT(Protokoll_5p!I78,LEN(Protokoll_5p!I78)-FIND(":",Protokoll_5p!I78))),0,1))</f>
        <v/>
      </c>
      <c r="M72" s="1" t="str">
        <f>IF(Protokoll_5p!J78="","",IF(VALUE(LEFT(Protokoll_5p!J78,FIND(":",Protokoll_5p!J78)-1))&gt;VALUE(RIGHT(Protokoll_5p!J78,LEN(Protokoll_5p!J78)-FIND(":",Protokoll_5p!J78))),0,1))</f>
        <v/>
      </c>
      <c r="N72" s="1">
        <f t="shared" si="3"/>
        <v>0</v>
      </c>
    </row>
    <row r="73" spans="2:14">
      <c r="B73" s="1">
        <f>IF(Protokoll_5p!F79="","",IF(VALUE(LEFT(Protokoll_5p!F79,FIND(":",Protokoll_5p!F79)-1))&gt;VALUE(RIGHT(Protokoll_5p!F79,LEN(Protokoll_5p!F79)-FIND(":",Protokoll_5p!F79))),1,0))</f>
        <v>1</v>
      </c>
      <c r="C73" s="1">
        <f>IF(Protokoll_5p!G79="","",IF(VALUE(LEFT(Protokoll_5p!G79,FIND(":",Protokoll_5p!G79)-1))&gt;VALUE(RIGHT(Protokoll_5p!G79,LEN(Protokoll_5p!G79)-FIND(":",Protokoll_5p!G79))),1,0))</f>
        <v>1</v>
      </c>
      <c r="D73" s="1">
        <f>IF(Protokoll_5p!H79="","",IF(VALUE(LEFT(Protokoll_5p!H79,FIND(":",Protokoll_5p!H79)-1))&gt;VALUE(RIGHT(Protokoll_5p!H79,LEN(Protokoll_5p!H79)-FIND(":",Protokoll_5p!H79))),1,0))</f>
        <v>0</v>
      </c>
      <c r="E73" s="1">
        <f>IF(Protokoll_5p!I79="","",IF(VALUE(LEFT(Protokoll_5p!I79,FIND(":",Protokoll_5p!I79)-1))&gt;VALUE(RIGHT(Protokoll_5p!I79,LEN(Protokoll_5p!I79)-FIND(":",Protokoll_5p!I79))),1,0))</f>
        <v>1</v>
      </c>
      <c r="F73" s="1" t="str">
        <f>IF(Protokoll_5p!J79="","",IF(VALUE(LEFT(Protokoll_5p!J79,FIND(":",Protokoll_5p!J79)-1))&gt;VALUE(RIGHT(Protokoll_5p!J79,LEN(Protokoll_5p!J79)-FIND(":",Protokoll_5p!J79))),1,0))</f>
        <v/>
      </c>
      <c r="G73" s="1">
        <f t="shared" si="2"/>
        <v>3</v>
      </c>
      <c r="I73" s="1">
        <f>IF(Protokoll_5p!F79="","",IF(VALUE(LEFT(Protokoll_5p!F79,FIND(":",Protokoll_5p!F79)-1))&gt;VALUE(RIGHT(Protokoll_5p!F79,LEN(Protokoll_5p!F79)-FIND(":",Protokoll_5p!F79))),0,1))</f>
        <v>0</v>
      </c>
      <c r="J73" s="1">
        <f>IF(Protokoll_5p!G79="","",IF(VALUE(LEFT(Protokoll_5p!G79,FIND(":",Protokoll_5p!G79)-1))&gt;VALUE(RIGHT(Protokoll_5p!G79,LEN(Protokoll_5p!G79)-FIND(":",Protokoll_5p!G79))),0,1))</f>
        <v>0</v>
      </c>
      <c r="K73" s="1">
        <f>IF(Protokoll_5p!H79="","",IF(VALUE(LEFT(Protokoll_5p!H79,FIND(":",Protokoll_5p!H79)-1))&gt;VALUE(RIGHT(Protokoll_5p!H79,LEN(Protokoll_5p!H79)-FIND(":",Protokoll_5p!H79))),0,1))</f>
        <v>1</v>
      </c>
      <c r="L73" s="1">
        <f>IF(Protokoll_5p!I79="","",IF(VALUE(LEFT(Protokoll_5p!I79,FIND(":",Protokoll_5p!I79)-1))&gt;VALUE(RIGHT(Protokoll_5p!I79,LEN(Protokoll_5p!I79)-FIND(":",Protokoll_5p!I79))),0,1))</f>
        <v>0</v>
      </c>
      <c r="M73" s="1" t="str">
        <f>IF(Protokoll_5p!J79="","",IF(VALUE(LEFT(Protokoll_5p!J79,FIND(":",Protokoll_5p!J79)-1))&gt;VALUE(RIGHT(Protokoll_5p!J79,LEN(Protokoll_5p!J79)-FIND(":",Protokoll_5p!J79))),0,1))</f>
        <v/>
      </c>
      <c r="N73" s="1">
        <f t="shared" si="3"/>
        <v>1</v>
      </c>
    </row>
    <row r="74" spans="2:14">
      <c r="B74" s="1">
        <f>IF(Protokoll_5p!F80="","",IF(VALUE(LEFT(Protokoll_5p!F80,FIND(":",Protokoll_5p!F80)-1))&gt;VALUE(RIGHT(Protokoll_5p!F80,LEN(Protokoll_5p!F80)-FIND(":",Protokoll_5p!F80))),1,0))</f>
        <v>1</v>
      </c>
      <c r="C74" s="1">
        <f>IF(Protokoll_5p!G80="","",IF(VALUE(LEFT(Protokoll_5p!G80,FIND(":",Protokoll_5p!G80)-1))&gt;VALUE(RIGHT(Protokoll_5p!G80,LEN(Protokoll_5p!G80)-FIND(":",Protokoll_5p!G80))),1,0))</f>
        <v>1</v>
      </c>
      <c r="D74" s="1">
        <f>IF(Protokoll_5p!H80="","",IF(VALUE(LEFT(Protokoll_5p!H80,FIND(":",Protokoll_5p!H80)-1))&gt;VALUE(RIGHT(Protokoll_5p!H80,LEN(Protokoll_5p!H80)-FIND(":",Protokoll_5p!H80))),1,0))</f>
        <v>0</v>
      </c>
      <c r="E74" s="1">
        <f>IF(Protokoll_5p!I80="","",IF(VALUE(LEFT(Protokoll_5p!I80,FIND(":",Protokoll_5p!I80)-1))&gt;VALUE(RIGHT(Protokoll_5p!I80,LEN(Protokoll_5p!I80)-FIND(":",Protokoll_5p!I80))),1,0))</f>
        <v>1</v>
      </c>
      <c r="F74" s="1" t="str">
        <f>IF(Protokoll_5p!J80="","",IF(VALUE(LEFT(Protokoll_5p!J80,FIND(":",Protokoll_5p!J80)-1))&gt;VALUE(RIGHT(Protokoll_5p!J80,LEN(Protokoll_5p!J80)-FIND(":",Protokoll_5p!J80))),1,0))</f>
        <v/>
      </c>
      <c r="G74" s="1">
        <f t="shared" si="2"/>
        <v>3</v>
      </c>
      <c r="I74" s="1">
        <f>IF(Protokoll_5p!F80="","",IF(VALUE(LEFT(Protokoll_5p!F80,FIND(":",Protokoll_5p!F80)-1))&gt;VALUE(RIGHT(Protokoll_5p!F80,LEN(Protokoll_5p!F80)-FIND(":",Protokoll_5p!F80))),0,1))</f>
        <v>0</v>
      </c>
      <c r="J74" s="1">
        <f>IF(Protokoll_5p!G80="","",IF(VALUE(LEFT(Protokoll_5p!G80,FIND(":",Protokoll_5p!G80)-1))&gt;VALUE(RIGHT(Protokoll_5p!G80,LEN(Protokoll_5p!G80)-FIND(":",Protokoll_5p!G80))),0,1))</f>
        <v>0</v>
      </c>
      <c r="K74" s="1">
        <f>IF(Protokoll_5p!H80="","",IF(VALUE(LEFT(Protokoll_5p!H80,FIND(":",Protokoll_5p!H80)-1))&gt;VALUE(RIGHT(Protokoll_5p!H80,LEN(Protokoll_5p!H80)-FIND(":",Protokoll_5p!H80))),0,1))</f>
        <v>1</v>
      </c>
      <c r="L74" s="1">
        <f>IF(Protokoll_5p!I80="","",IF(VALUE(LEFT(Protokoll_5p!I80,FIND(":",Protokoll_5p!I80)-1))&gt;VALUE(RIGHT(Protokoll_5p!I80,LEN(Protokoll_5p!I80)-FIND(":",Protokoll_5p!I80))),0,1))</f>
        <v>0</v>
      </c>
      <c r="M74" s="1" t="str">
        <f>IF(Protokoll_5p!J80="","",IF(VALUE(LEFT(Protokoll_5p!J80,FIND(":",Protokoll_5p!J80)-1))&gt;VALUE(RIGHT(Protokoll_5p!J80,LEN(Protokoll_5p!J80)-FIND(":",Protokoll_5p!J80))),0,1))</f>
        <v/>
      </c>
      <c r="N74" s="1">
        <f t="shared" si="3"/>
        <v>1</v>
      </c>
    </row>
    <row r="75" spans="2:14">
      <c r="B75" s="1">
        <f>IF(Protokoll_5p!F81="","",IF(VALUE(LEFT(Protokoll_5p!F81,FIND(":",Protokoll_5p!F81)-1))&gt;VALUE(RIGHT(Protokoll_5p!F81,LEN(Protokoll_5p!F81)-FIND(":",Protokoll_5p!F81))),1,0))</f>
        <v>1</v>
      </c>
      <c r="C75" s="1">
        <f>IF(Protokoll_5p!G81="","",IF(VALUE(LEFT(Protokoll_5p!G81,FIND(":",Protokoll_5p!G81)-1))&gt;VALUE(RIGHT(Protokoll_5p!G81,LEN(Protokoll_5p!G81)-FIND(":",Protokoll_5p!G81))),1,0))</f>
        <v>1</v>
      </c>
      <c r="D75" s="1">
        <f>IF(Protokoll_5p!H81="","",IF(VALUE(LEFT(Protokoll_5p!H81,FIND(":",Protokoll_5p!H81)-1))&gt;VALUE(RIGHT(Protokoll_5p!H81,LEN(Protokoll_5p!H81)-FIND(":",Protokoll_5p!H81))),1,0))</f>
        <v>1</v>
      </c>
      <c r="E75" s="1" t="str">
        <f>IF(Protokoll_5p!I81="","",IF(VALUE(LEFT(Protokoll_5p!I81,FIND(":",Protokoll_5p!I81)-1))&gt;VALUE(RIGHT(Protokoll_5p!I81,LEN(Protokoll_5p!I81)-FIND(":",Protokoll_5p!I81))),1,0))</f>
        <v/>
      </c>
      <c r="F75" s="1" t="str">
        <f>IF(Protokoll_5p!J81="","",IF(VALUE(LEFT(Protokoll_5p!J81,FIND(":",Protokoll_5p!J81)-1))&gt;VALUE(RIGHT(Protokoll_5p!J81,LEN(Protokoll_5p!J81)-FIND(":",Protokoll_5p!J81))),1,0))</f>
        <v/>
      </c>
      <c r="G75" s="1">
        <f t="shared" si="2"/>
        <v>3</v>
      </c>
      <c r="I75" s="1">
        <f>IF(Protokoll_5p!F81="","",IF(VALUE(LEFT(Protokoll_5p!F81,FIND(":",Protokoll_5p!F81)-1))&gt;VALUE(RIGHT(Protokoll_5p!F81,LEN(Protokoll_5p!F81)-FIND(":",Protokoll_5p!F81))),0,1))</f>
        <v>0</v>
      </c>
      <c r="J75" s="1">
        <f>IF(Protokoll_5p!G81="","",IF(VALUE(LEFT(Protokoll_5p!G81,FIND(":",Protokoll_5p!G81)-1))&gt;VALUE(RIGHT(Protokoll_5p!G81,LEN(Protokoll_5p!G81)-FIND(":",Protokoll_5p!G81))),0,1))</f>
        <v>0</v>
      </c>
      <c r="K75" s="1">
        <f>IF(Protokoll_5p!H81="","",IF(VALUE(LEFT(Protokoll_5p!H81,FIND(":",Protokoll_5p!H81)-1))&gt;VALUE(RIGHT(Protokoll_5p!H81,LEN(Protokoll_5p!H81)-FIND(":",Protokoll_5p!H81))),0,1))</f>
        <v>0</v>
      </c>
      <c r="L75" s="1" t="str">
        <f>IF(Protokoll_5p!I81="","",IF(VALUE(LEFT(Protokoll_5p!I81,FIND(":",Protokoll_5p!I81)-1))&gt;VALUE(RIGHT(Protokoll_5p!I81,LEN(Protokoll_5p!I81)-FIND(":",Protokoll_5p!I81))),0,1))</f>
        <v/>
      </c>
      <c r="M75" s="1" t="str">
        <f>IF(Protokoll_5p!J81="","",IF(VALUE(LEFT(Protokoll_5p!J81,FIND(":",Protokoll_5p!J81)-1))&gt;VALUE(RIGHT(Protokoll_5p!J81,LEN(Protokoll_5p!J81)-FIND(":",Protokoll_5p!J81))),0,1))</f>
        <v/>
      </c>
      <c r="N75" s="1">
        <f t="shared" si="3"/>
        <v>0</v>
      </c>
    </row>
    <row r="76" spans="2:14">
      <c r="B76" s="1" t="str">
        <f>IF(Protokoll_5p!F82="","",IF(VALUE(LEFT(Protokoll_5p!F82,FIND(":",Protokoll_5p!F82)-1))&gt;VALUE(RIGHT(Protokoll_5p!F82,LEN(Protokoll_5p!F82)-FIND(":",Protokoll_5p!F82))),1,0))</f>
        <v/>
      </c>
      <c r="C76" s="1" t="str">
        <f>IF(Protokoll_5p!G82="","",IF(VALUE(LEFT(Protokoll_5p!G82,FIND(":",Protokoll_5p!G82)-1))&gt;VALUE(RIGHT(Protokoll_5p!G82,LEN(Protokoll_5p!G82)-FIND(":",Protokoll_5p!G82))),1,0))</f>
        <v/>
      </c>
      <c r="D76" s="1" t="str">
        <f>IF(Protokoll_5p!H82="","",IF(VALUE(LEFT(Protokoll_5p!H82,FIND(":",Protokoll_5p!H82)-1))&gt;VALUE(RIGHT(Protokoll_5p!H82,LEN(Protokoll_5p!H82)-FIND(":",Protokoll_5p!H82))),1,0))</f>
        <v/>
      </c>
      <c r="E76" s="1" t="str">
        <f>IF(Protokoll_5p!I82="","",IF(VALUE(LEFT(Protokoll_5p!I82,FIND(":",Protokoll_5p!I82)-1))&gt;VALUE(RIGHT(Protokoll_5p!I82,LEN(Protokoll_5p!I82)-FIND(":",Protokoll_5p!I82))),1,0))</f>
        <v/>
      </c>
      <c r="F76" s="1" t="str">
        <f>IF(Protokoll_5p!J82="","",IF(VALUE(LEFT(Protokoll_5p!J82,FIND(":",Protokoll_5p!J82)-1))&gt;VALUE(RIGHT(Protokoll_5p!J82,LEN(Protokoll_5p!J82)-FIND(":",Protokoll_5p!J82))),1,0))</f>
        <v/>
      </c>
      <c r="G76" s="1" t="str">
        <f t="shared" si="2"/>
        <v/>
      </c>
      <c r="I76" s="1" t="str">
        <f>IF(Protokoll_5p!F82="","",IF(VALUE(LEFT(Protokoll_5p!F82,FIND(":",Protokoll_5p!F82)-1))&gt;VALUE(RIGHT(Protokoll_5p!F82,LEN(Protokoll_5p!F82)-FIND(":",Protokoll_5p!F82))),0,1))</f>
        <v/>
      </c>
      <c r="J76" s="1" t="str">
        <f>IF(Protokoll_5p!G82="","",IF(VALUE(LEFT(Protokoll_5p!G82,FIND(":",Protokoll_5p!G82)-1))&gt;VALUE(RIGHT(Protokoll_5p!G82,LEN(Protokoll_5p!G82)-FIND(":",Protokoll_5p!G82))),0,1))</f>
        <v/>
      </c>
      <c r="K76" s="1" t="str">
        <f>IF(Protokoll_5p!H82="","",IF(VALUE(LEFT(Protokoll_5p!H82,FIND(":",Protokoll_5p!H82)-1))&gt;VALUE(RIGHT(Protokoll_5p!H82,LEN(Protokoll_5p!H82)-FIND(":",Protokoll_5p!H82))),0,1))</f>
        <v/>
      </c>
      <c r="L76" s="1" t="str">
        <f>IF(Protokoll_5p!I82="","",IF(VALUE(LEFT(Protokoll_5p!I82,FIND(":",Protokoll_5p!I82)-1))&gt;VALUE(RIGHT(Protokoll_5p!I82,LEN(Protokoll_5p!I82)-FIND(":",Protokoll_5p!I82))),0,1))</f>
        <v/>
      </c>
      <c r="M76" s="1" t="str">
        <f>IF(Protokoll_5p!J82="","",IF(VALUE(LEFT(Protokoll_5p!J82,FIND(":",Protokoll_5p!J82)-1))&gt;VALUE(RIGHT(Protokoll_5p!J82,LEN(Protokoll_5p!J82)-FIND(":",Protokoll_5p!J82))),0,1))</f>
        <v/>
      </c>
      <c r="N76" s="1" t="str">
        <f t="shared" si="3"/>
        <v/>
      </c>
    </row>
    <row r="77" spans="2:14">
      <c r="B77" s="1" t="str">
        <f>IF(Protokoll_5p!F83="","",IF(VALUE(LEFT(Protokoll_5p!F83,FIND(":",Protokoll_5p!F83)-1))&gt;VALUE(RIGHT(Protokoll_5p!F83,LEN(Protokoll_5p!F83)-FIND(":",Protokoll_5p!F83))),1,0))</f>
        <v/>
      </c>
      <c r="C77" s="1" t="str">
        <f>IF(Protokoll_5p!G83="","",IF(VALUE(LEFT(Protokoll_5p!G83,FIND(":",Protokoll_5p!G83)-1))&gt;VALUE(RIGHT(Protokoll_5p!G83,LEN(Protokoll_5p!G83)-FIND(":",Protokoll_5p!G83))),1,0))</f>
        <v/>
      </c>
      <c r="D77" s="1" t="str">
        <f>IF(Protokoll_5p!H83="","",IF(VALUE(LEFT(Protokoll_5p!H83,FIND(":",Protokoll_5p!H83)-1))&gt;VALUE(RIGHT(Protokoll_5p!H83,LEN(Protokoll_5p!H83)-FIND(":",Protokoll_5p!H83))),1,0))</f>
        <v/>
      </c>
      <c r="E77" s="1" t="str">
        <f>IF(Protokoll_5p!I83="","",IF(VALUE(LEFT(Protokoll_5p!I83,FIND(":",Protokoll_5p!I83)-1))&gt;VALUE(RIGHT(Protokoll_5p!I83,LEN(Protokoll_5p!I83)-FIND(":",Protokoll_5p!I83))),1,0))</f>
        <v/>
      </c>
      <c r="F77" s="1" t="str">
        <f>IF(Protokoll_5p!J83="","",IF(VALUE(LEFT(Protokoll_5p!J83,FIND(":",Protokoll_5p!J83)-1))&gt;VALUE(RIGHT(Protokoll_5p!J83,LEN(Protokoll_5p!J83)-FIND(":",Protokoll_5p!J83))),1,0))</f>
        <v/>
      </c>
      <c r="G77" s="1" t="str">
        <f t="shared" si="2"/>
        <v/>
      </c>
      <c r="I77" s="1" t="str">
        <f>IF(Protokoll_5p!F83="","",IF(VALUE(LEFT(Protokoll_5p!F83,FIND(":",Protokoll_5p!F83)-1))&gt;VALUE(RIGHT(Protokoll_5p!F83,LEN(Protokoll_5p!F83)-FIND(":",Protokoll_5p!F83))),0,1))</f>
        <v/>
      </c>
      <c r="J77" s="1" t="str">
        <f>IF(Protokoll_5p!G83="","",IF(VALUE(LEFT(Protokoll_5p!G83,FIND(":",Protokoll_5p!G83)-1))&gt;VALUE(RIGHT(Protokoll_5p!G83,LEN(Protokoll_5p!G83)-FIND(":",Protokoll_5p!G83))),0,1))</f>
        <v/>
      </c>
      <c r="K77" s="1" t="str">
        <f>IF(Protokoll_5p!H83="","",IF(VALUE(LEFT(Protokoll_5p!H83,FIND(":",Protokoll_5p!H83)-1))&gt;VALUE(RIGHT(Protokoll_5p!H83,LEN(Protokoll_5p!H83)-FIND(":",Protokoll_5p!H83))),0,1))</f>
        <v/>
      </c>
      <c r="L77" s="1" t="str">
        <f>IF(Protokoll_5p!I83="","",IF(VALUE(LEFT(Protokoll_5p!I83,FIND(":",Protokoll_5p!I83)-1))&gt;VALUE(RIGHT(Protokoll_5p!I83,LEN(Protokoll_5p!I83)-FIND(":",Protokoll_5p!I83))),0,1))</f>
        <v/>
      </c>
      <c r="M77" s="1" t="str">
        <f>IF(Protokoll_5p!J83="","",IF(VALUE(LEFT(Protokoll_5p!J83,FIND(":",Protokoll_5p!J83)-1))&gt;VALUE(RIGHT(Protokoll_5p!J83,LEN(Protokoll_5p!J83)-FIND(":",Protokoll_5p!J83))),0,1))</f>
        <v/>
      </c>
      <c r="N77" s="1" t="str">
        <f t="shared" si="3"/>
        <v/>
      </c>
    </row>
    <row r="78" spans="2:14">
      <c r="B78" s="1" t="str">
        <f>IF(Protokoll_5p!F84="","",IF(VALUE(LEFT(Protokoll_5p!F84,FIND(":",Protokoll_5p!F84)-1))&gt;VALUE(RIGHT(Protokoll_5p!F84,LEN(Protokoll_5p!F84)-FIND(":",Protokoll_5p!F84))),1,0))</f>
        <v/>
      </c>
      <c r="C78" s="1" t="str">
        <f>IF(Protokoll_5p!G84="","",IF(VALUE(LEFT(Protokoll_5p!G84,FIND(":",Protokoll_5p!G84)-1))&gt;VALUE(RIGHT(Protokoll_5p!G84,LEN(Protokoll_5p!G84)-FIND(":",Protokoll_5p!G84))),1,0))</f>
        <v/>
      </c>
      <c r="D78" s="1" t="str">
        <f>IF(Protokoll_5p!H84="","",IF(VALUE(LEFT(Protokoll_5p!H84,FIND(":",Protokoll_5p!H84)-1))&gt;VALUE(RIGHT(Protokoll_5p!H84,LEN(Protokoll_5p!H84)-FIND(":",Protokoll_5p!H84))),1,0))</f>
        <v/>
      </c>
      <c r="E78" s="1" t="str">
        <f>IF(Protokoll_5p!I84="","",IF(VALUE(LEFT(Protokoll_5p!I84,FIND(":",Protokoll_5p!I84)-1))&gt;VALUE(RIGHT(Protokoll_5p!I84,LEN(Protokoll_5p!I84)-FIND(":",Protokoll_5p!I84))),1,0))</f>
        <v/>
      </c>
      <c r="F78" s="1" t="str">
        <f>IF(Protokoll_5p!J84="","",IF(VALUE(LEFT(Protokoll_5p!J84,FIND(":",Protokoll_5p!J84)-1))&gt;VALUE(RIGHT(Protokoll_5p!J84,LEN(Protokoll_5p!J84)-FIND(":",Protokoll_5p!J84))),1,0))</f>
        <v/>
      </c>
      <c r="G78" s="1" t="str">
        <f t="shared" si="2"/>
        <v/>
      </c>
      <c r="I78" s="1" t="str">
        <f>IF(Protokoll_5p!F84="","",IF(VALUE(LEFT(Protokoll_5p!F84,FIND(":",Protokoll_5p!F84)-1))&gt;VALUE(RIGHT(Protokoll_5p!F84,LEN(Protokoll_5p!F84)-FIND(":",Protokoll_5p!F84))),0,1))</f>
        <v/>
      </c>
      <c r="J78" s="1" t="str">
        <f>IF(Protokoll_5p!G84="","",IF(VALUE(LEFT(Protokoll_5p!G84,FIND(":",Protokoll_5p!G84)-1))&gt;VALUE(RIGHT(Protokoll_5p!G84,LEN(Protokoll_5p!G84)-FIND(":",Protokoll_5p!G84))),0,1))</f>
        <v/>
      </c>
      <c r="K78" s="1" t="str">
        <f>IF(Protokoll_5p!H84="","",IF(VALUE(LEFT(Protokoll_5p!H84,FIND(":",Protokoll_5p!H84)-1))&gt;VALUE(RIGHT(Protokoll_5p!H84,LEN(Protokoll_5p!H84)-FIND(":",Protokoll_5p!H84))),0,1))</f>
        <v/>
      </c>
      <c r="L78" s="1" t="str">
        <f>IF(Protokoll_5p!I84="","",IF(VALUE(LEFT(Protokoll_5p!I84,FIND(":",Protokoll_5p!I84)-1))&gt;VALUE(RIGHT(Protokoll_5p!I84,LEN(Protokoll_5p!I84)-FIND(":",Protokoll_5p!I84))),0,1))</f>
        <v/>
      </c>
      <c r="M78" s="1" t="str">
        <f>IF(Protokoll_5p!J84="","",IF(VALUE(LEFT(Protokoll_5p!J84,FIND(":",Protokoll_5p!J84)-1))&gt;VALUE(RIGHT(Protokoll_5p!J84,LEN(Protokoll_5p!J84)-FIND(":",Protokoll_5p!J84))),0,1))</f>
        <v/>
      </c>
      <c r="N78" s="1" t="str">
        <f t="shared" si="3"/>
        <v/>
      </c>
    </row>
    <row r="79" spans="2:14">
      <c r="B79" s="1" t="str">
        <f>IF(Protokoll_5p!F85="","",IF(VALUE(LEFT(Protokoll_5p!F85,FIND(":",Protokoll_5p!F85)-1))&gt;VALUE(RIGHT(Protokoll_5p!F85,LEN(Protokoll_5p!F85)-FIND(":",Protokoll_5p!F85))),1,0))</f>
        <v/>
      </c>
      <c r="C79" s="1" t="str">
        <f>IF(Protokoll_5p!G85="","",IF(VALUE(LEFT(Protokoll_5p!G85,FIND(":",Protokoll_5p!G85)-1))&gt;VALUE(RIGHT(Protokoll_5p!G85,LEN(Protokoll_5p!G85)-FIND(":",Protokoll_5p!G85))),1,0))</f>
        <v/>
      </c>
      <c r="D79" s="1" t="str">
        <f>IF(Protokoll_5p!H85="","",IF(VALUE(LEFT(Protokoll_5p!H85,FIND(":",Protokoll_5p!H85)-1))&gt;VALUE(RIGHT(Protokoll_5p!H85,LEN(Protokoll_5p!H85)-FIND(":",Protokoll_5p!H85))),1,0))</f>
        <v/>
      </c>
      <c r="E79" s="1" t="str">
        <f>IF(Protokoll_5p!I85="","",IF(VALUE(LEFT(Protokoll_5p!I85,FIND(":",Protokoll_5p!I85)-1))&gt;VALUE(RIGHT(Protokoll_5p!I85,LEN(Protokoll_5p!I85)-FIND(":",Protokoll_5p!I85))),1,0))</f>
        <v/>
      </c>
      <c r="F79" s="1" t="str">
        <f>IF(Protokoll_5p!J85="","",IF(VALUE(LEFT(Protokoll_5p!J85,FIND(":",Protokoll_5p!J85)-1))&gt;VALUE(RIGHT(Protokoll_5p!J85,LEN(Protokoll_5p!J85)-FIND(":",Protokoll_5p!J85))),1,0))</f>
        <v/>
      </c>
      <c r="G79" s="1" t="str">
        <f t="shared" si="2"/>
        <v/>
      </c>
      <c r="I79" s="1" t="str">
        <f>IF(Protokoll_5p!F85="","",IF(VALUE(LEFT(Protokoll_5p!F85,FIND(":",Protokoll_5p!F85)-1))&gt;VALUE(RIGHT(Protokoll_5p!F85,LEN(Protokoll_5p!F85)-FIND(":",Protokoll_5p!F85))),0,1))</f>
        <v/>
      </c>
      <c r="J79" s="1" t="str">
        <f>IF(Protokoll_5p!G85="","",IF(VALUE(LEFT(Protokoll_5p!G85,FIND(":",Protokoll_5p!G85)-1))&gt;VALUE(RIGHT(Protokoll_5p!G85,LEN(Protokoll_5p!G85)-FIND(":",Protokoll_5p!G85))),0,1))</f>
        <v/>
      </c>
      <c r="K79" s="1" t="str">
        <f>IF(Protokoll_5p!H85="","",IF(VALUE(LEFT(Protokoll_5p!H85,FIND(":",Protokoll_5p!H85)-1))&gt;VALUE(RIGHT(Protokoll_5p!H85,LEN(Protokoll_5p!H85)-FIND(":",Protokoll_5p!H85))),0,1))</f>
        <v/>
      </c>
      <c r="L79" s="1" t="str">
        <f>IF(Protokoll_5p!I85="","",IF(VALUE(LEFT(Protokoll_5p!I85,FIND(":",Protokoll_5p!I85)-1))&gt;VALUE(RIGHT(Protokoll_5p!I85,LEN(Protokoll_5p!I85)-FIND(":",Protokoll_5p!I85))),0,1))</f>
        <v/>
      </c>
      <c r="M79" s="1" t="str">
        <f>IF(Protokoll_5p!J85="","",IF(VALUE(LEFT(Protokoll_5p!J85,FIND(":",Protokoll_5p!J85)-1))&gt;VALUE(RIGHT(Protokoll_5p!J85,LEN(Protokoll_5p!J85)-FIND(":",Protokoll_5p!J85))),0,1))</f>
        <v/>
      </c>
      <c r="N79" s="1" t="str">
        <f t="shared" si="3"/>
        <v/>
      </c>
    </row>
    <row r="80" spans="2:14">
      <c r="B80" s="1" t="str">
        <f>IF(Protokoll_5p!F86="","",IF(VALUE(LEFT(Protokoll_5p!F86,FIND(":",Protokoll_5p!F86)-1))&gt;VALUE(RIGHT(Protokoll_5p!F86,LEN(Protokoll_5p!F86)-FIND(":",Protokoll_5p!F86))),1,0))</f>
        <v/>
      </c>
      <c r="C80" s="1" t="str">
        <f>IF(Protokoll_5p!G86="","",IF(VALUE(LEFT(Protokoll_5p!G86,FIND(":",Protokoll_5p!G86)-1))&gt;VALUE(RIGHT(Protokoll_5p!G86,LEN(Protokoll_5p!G86)-FIND(":",Protokoll_5p!G86))),1,0))</f>
        <v/>
      </c>
      <c r="D80" s="1" t="str">
        <f>IF(Protokoll_5p!H86="","",IF(VALUE(LEFT(Protokoll_5p!H86,FIND(":",Protokoll_5p!H86)-1))&gt;VALUE(RIGHT(Protokoll_5p!H86,LEN(Protokoll_5p!H86)-FIND(":",Protokoll_5p!H86))),1,0))</f>
        <v/>
      </c>
      <c r="E80" s="1" t="str">
        <f>IF(Protokoll_5p!I86="","",IF(VALUE(LEFT(Protokoll_5p!I86,FIND(":",Protokoll_5p!I86)-1))&gt;VALUE(RIGHT(Protokoll_5p!I86,LEN(Protokoll_5p!I86)-FIND(":",Protokoll_5p!I86))),1,0))</f>
        <v/>
      </c>
      <c r="F80" s="1" t="str">
        <f>IF(Protokoll_5p!J86="","",IF(VALUE(LEFT(Protokoll_5p!J86,FIND(":",Protokoll_5p!J86)-1))&gt;VALUE(RIGHT(Protokoll_5p!J86,LEN(Protokoll_5p!J86)-FIND(":",Protokoll_5p!J86))),1,0))</f>
        <v/>
      </c>
      <c r="G80" s="1" t="str">
        <f t="shared" si="2"/>
        <v/>
      </c>
      <c r="I80" s="1" t="str">
        <f>IF(Protokoll_5p!F86="","",IF(VALUE(LEFT(Protokoll_5p!F86,FIND(":",Protokoll_5p!F86)-1))&gt;VALUE(RIGHT(Protokoll_5p!F86,LEN(Protokoll_5p!F86)-FIND(":",Protokoll_5p!F86))),0,1))</f>
        <v/>
      </c>
      <c r="J80" s="1" t="str">
        <f>IF(Protokoll_5p!G86="","",IF(VALUE(LEFT(Protokoll_5p!G86,FIND(":",Protokoll_5p!G86)-1))&gt;VALUE(RIGHT(Protokoll_5p!G86,LEN(Protokoll_5p!G86)-FIND(":",Protokoll_5p!G86))),0,1))</f>
        <v/>
      </c>
      <c r="K80" s="1" t="str">
        <f>IF(Protokoll_5p!H86="","",IF(VALUE(LEFT(Protokoll_5p!H86,FIND(":",Protokoll_5p!H86)-1))&gt;VALUE(RIGHT(Protokoll_5p!H86,LEN(Protokoll_5p!H86)-FIND(":",Protokoll_5p!H86))),0,1))</f>
        <v/>
      </c>
      <c r="L80" s="1" t="str">
        <f>IF(Protokoll_5p!I86="","",IF(VALUE(LEFT(Protokoll_5p!I86,FIND(":",Protokoll_5p!I86)-1))&gt;VALUE(RIGHT(Protokoll_5p!I86,LEN(Protokoll_5p!I86)-FIND(":",Protokoll_5p!I86))),0,1))</f>
        <v/>
      </c>
      <c r="M80" s="1" t="str">
        <f>IF(Protokoll_5p!J86="","",IF(VALUE(LEFT(Protokoll_5p!J86,FIND(":",Protokoll_5p!J86)-1))&gt;VALUE(RIGHT(Protokoll_5p!J86,LEN(Protokoll_5p!J86)-FIND(":",Protokoll_5p!J86))),0,1))</f>
        <v/>
      </c>
      <c r="N80" s="1" t="str">
        <f t="shared" si="3"/>
        <v/>
      </c>
    </row>
    <row r="81" spans="2:14">
      <c r="B81" s="1" t="e">
        <f>IF(Protokoll_5p!F87="","",IF(VALUE(LEFT(Protokoll_5p!F87,FIND(":",Protokoll_5p!F87)-1))&gt;VALUE(RIGHT(Protokoll_5p!F87,LEN(Protokoll_5p!F87)-FIND(":",Protokoll_5p!F87))),1,0))</f>
        <v>#VALUE!</v>
      </c>
      <c r="C81" s="1" t="e">
        <f>IF(Protokoll_5p!G87="","",IF(VALUE(LEFT(Protokoll_5p!G87,FIND(":",Protokoll_5p!G87)-1))&gt;VALUE(RIGHT(Protokoll_5p!G87,LEN(Protokoll_5p!G87)-FIND(":",Protokoll_5p!G87))),1,0))</f>
        <v>#VALUE!</v>
      </c>
      <c r="D81" s="1" t="e">
        <f>IF(Protokoll_5p!H87="","",IF(VALUE(LEFT(Protokoll_5p!H87,FIND(":",Protokoll_5p!H87)-1))&gt;VALUE(RIGHT(Protokoll_5p!H87,LEN(Protokoll_5p!H87)-FIND(":",Protokoll_5p!H87))),1,0))</f>
        <v>#VALUE!</v>
      </c>
      <c r="E81" s="1" t="e">
        <f>IF(Protokoll_5p!I87="","",IF(VALUE(LEFT(Protokoll_5p!I87,FIND(":",Protokoll_5p!I87)-1))&gt;VALUE(RIGHT(Protokoll_5p!I87,LEN(Protokoll_5p!I87)-FIND(":",Protokoll_5p!I87))),1,0))</f>
        <v>#VALUE!</v>
      </c>
      <c r="F81" s="1" t="e">
        <f>IF(Protokoll_5p!J87="","",IF(VALUE(LEFT(Protokoll_5p!J87,FIND(":",Protokoll_5p!J87)-1))&gt;VALUE(RIGHT(Protokoll_5p!J87,LEN(Protokoll_5p!J87)-FIND(":",Protokoll_5p!J87))),1,0))</f>
        <v>#VALUE!</v>
      </c>
      <c r="G81" s="1" t="e">
        <f t="shared" si="2"/>
        <v>#VALUE!</v>
      </c>
      <c r="I81" s="1" t="e">
        <f>IF(Protokoll_5p!F87="","",IF(VALUE(LEFT(Protokoll_5p!F87,FIND(":",Protokoll_5p!F87)-1))&gt;VALUE(RIGHT(Protokoll_5p!F87,LEN(Protokoll_5p!F87)-FIND(":",Protokoll_5p!F87))),0,1))</f>
        <v>#VALUE!</v>
      </c>
      <c r="J81" s="1" t="e">
        <f>IF(Protokoll_5p!G87="","",IF(VALUE(LEFT(Protokoll_5p!G87,FIND(":",Protokoll_5p!G87)-1))&gt;VALUE(RIGHT(Protokoll_5p!G87,LEN(Protokoll_5p!G87)-FIND(":",Protokoll_5p!G87))),0,1))</f>
        <v>#VALUE!</v>
      </c>
      <c r="K81" s="1" t="e">
        <f>IF(Protokoll_5p!H87="","",IF(VALUE(LEFT(Protokoll_5p!H87,FIND(":",Protokoll_5p!H87)-1))&gt;VALUE(RIGHT(Protokoll_5p!H87,LEN(Protokoll_5p!H87)-FIND(":",Protokoll_5p!H87))),0,1))</f>
        <v>#VALUE!</v>
      </c>
      <c r="L81" s="1" t="e">
        <f>IF(Protokoll_5p!I87="","",IF(VALUE(LEFT(Protokoll_5p!I87,FIND(":",Protokoll_5p!I87)-1))&gt;VALUE(RIGHT(Protokoll_5p!I87,LEN(Protokoll_5p!I87)-FIND(":",Protokoll_5p!I87))),0,1))</f>
        <v>#VALUE!</v>
      </c>
      <c r="M81" s="1" t="e">
        <f>IF(Protokoll_5p!J87="","",IF(VALUE(LEFT(Protokoll_5p!J87,FIND(":",Protokoll_5p!J87)-1))&gt;VALUE(RIGHT(Protokoll_5p!J87,LEN(Protokoll_5p!J87)-FIND(":",Protokoll_5p!J87))),0,1))</f>
        <v>#VALUE!</v>
      </c>
      <c r="N81" s="1" t="e">
        <f t="shared" si="3"/>
        <v>#VALUE!</v>
      </c>
    </row>
    <row r="82" spans="2:14">
      <c r="B82" s="1">
        <f>IF(Protokoll_5p!F88="","",IF(VALUE(LEFT(Protokoll_5p!F88,FIND(":",Protokoll_5p!F88)-1))&gt;VALUE(RIGHT(Protokoll_5p!F88,LEN(Protokoll_5p!F88)-FIND(":",Protokoll_5p!F88))),1,0))</f>
        <v>1</v>
      </c>
      <c r="C82" s="1">
        <f>IF(Protokoll_5p!G88="","",IF(VALUE(LEFT(Protokoll_5p!G88,FIND(":",Protokoll_5p!G88)-1))&gt;VALUE(RIGHT(Protokoll_5p!G88,LEN(Protokoll_5p!G88)-FIND(":",Protokoll_5p!G88))),1,0))</f>
        <v>1</v>
      </c>
      <c r="D82" s="1">
        <f>IF(Protokoll_5p!H88="","",IF(VALUE(LEFT(Protokoll_5p!H88,FIND(":",Protokoll_5p!H88)-1))&gt;VALUE(RIGHT(Protokoll_5p!H88,LEN(Protokoll_5p!H88)-FIND(":",Protokoll_5p!H88))),1,0))</f>
        <v>0</v>
      </c>
      <c r="E82" s="1">
        <f>IF(Protokoll_5p!I88="","",IF(VALUE(LEFT(Protokoll_5p!I88,FIND(":",Protokoll_5p!I88)-1))&gt;VALUE(RIGHT(Protokoll_5p!I88,LEN(Protokoll_5p!I88)-FIND(":",Protokoll_5p!I88))),1,0))</f>
        <v>0</v>
      </c>
      <c r="F82" s="1">
        <f>IF(Protokoll_5p!J88="","",IF(VALUE(LEFT(Protokoll_5p!J88,FIND(":",Protokoll_5p!J88)-1))&gt;VALUE(RIGHT(Protokoll_5p!J88,LEN(Protokoll_5p!J88)-FIND(":",Protokoll_5p!J88))),1,0))</f>
        <v>1</v>
      </c>
      <c r="G82" s="1">
        <f t="shared" si="2"/>
        <v>3</v>
      </c>
      <c r="I82" s="1">
        <f>IF(Protokoll_5p!F88="","",IF(VALUE(LEFT(Protokoll_5p!F88,FIND(":",Protokoll_5p!F88)-1))&gt;VALUE(RIGHT(Protokoll_5p!F88,LEN(Protokoll_5p!F88)-FIND(":",Protokoll_5p!F88))),0,1))</f>
        <v>0</v>
      </c>
      <c r="J82" s="1">
        <f>IF(Protokoll_5p!G88="","",IF(VALUE(LEFT(Protokoll_5p!G88,FIND(":",Protokoll_5p!G88)-1))&gt;VALUE(RIGHT(Protokoll_5p!G88,LEN(Protokoll_5p!G88)-FIND(":",Protokoll_5p!G88))),0,1))</f>
        <v>0</v>
      </c>
      <c r="K82" s="1">
        <f>IF(Protokoll_5p!H88="","",IF(VALUE(LEFT(Protokoll_5p!H88,FIND(":",Protokoll_5p!H88)-1))&gt;VALUE(RIGHT(Protokoll_5p!H88,LEN(Protokoll_5p!H88)-FIND(":",Protokoll_5p!H88))),0,1))</f>
        <v>1</v>
      </c>
      <c r="L82" s="1">
        <f>IF(Protokoll_5p!I88="","",IF(VALUE(LEFT(Protokoll_5p!I88,FIND(":",Protokoll_5p!I88)-1))&gt;VALUE(RIGHT(Protokoll_5p!I88,LEN(Protokoll_5p!I88)-FIND(":",Protokoll_5p!I88))),0,1))</f>
        <v>1</v>
      </c>
      <c r="M82" s="1">
        <f>IF(Protokoll_5p!J88="","",IF(VALUE(LEFT(Protokoll_5p!J88,FIND(":",Protokoll_5p!J88)-1))&gt;VALUE(RIGHT(Protokoll_5p!J88,LEN(Protokoll_5p!J88)-FIND(":",Protokoll_5p!J88))),0,1))</f>
        <v>0</v>
      </c>
      <c r="N82" s="1">
        <f t="shared" si="3"/>
        <v>2</v>
      </c>
    </row>
    <row r="83" spans="2:14">
      <c r="B83" s="1">
        <f>IF(Protokoll_5p!F89="","",IF(VALUE(LEFT(Protokoll_5p!F89,FIND(":",Protokoll_5p!F89)-1))&gt;VALUE(RIGHT(Protokoll_5p!F89,LEN(Protokoll_5p!F89)-FIND(":",Protokoll_5p!F89))),1,0))</f>
        <v>0</v>
      </c>
      <c r="C83" s="1">
        <f>IF(Protokoll_5p!G89="","",IF(VALUE(LEFT(Protokoll_5p!G89,FIND(":",Protokoll_5p!G89)-1))&gt;VALUE(RIGHT(Protokoll_5p!G89,LEN(Protokoll_5p!G89)-FIND(":",Protokoll_5p!G89))),1,0))</f>
        <v>1</v>
      </c>
      <c r="D83" s="1">
        <f>IF(Protokoll_5p!H89="","",IF(VALUE(LEFT(Protokoll_5p!H89,FIND(":",Protokoll_5p!H89)-1))&gt;VALUE(RIGHT(Protokoll_5p!H89,LEN(Protokoll_5p!H89)-FIND(":",Protokoll_5p!H89))),1,0))</f>
        <v>1</v>
      </c>
      <c r="E83" s="1">
        <f>IF(Protokoll_5p!I89="","",IF(VALUE(LEFT(Protokoll_5p!I89,FIND(":",Protokoll_5p!I89)-1))&gt;VALUE(RIGHT(Protokoll_5p!I89,LEN(Protokoll_5p!I89)-FIND(":",Protokoll_5p!I89))),1,0))</f>
        <v>1</v>
      </c>
      <c r="F83" s="1" t="str">
        <f>IF(Protokoll_5p!J89="","",IF(VALUE(LEFT(Protokoll_5p!J89,FIND(":",Protokoll_5p!J89)-1))&gt;VALUE(RIGHT(Protokoll_5p!J89,LEN(Protokoll_5p!J89)-FIND(":",Protokoll_5p!J89))),1,0))</f>
        <v/>
      </c>
      <c r="G83" s="1">
        <f t="shared" si="2"/>
        <v>3</v>
      </c>
      <c r="I83" s="1">
        <f>IF(Protokoll_5p!F89="","",IF(VALUE(LEFT(Protokoll_5p!F89,FIND(":",Protokoll_5p!F89)-1))&gt;VALUE(RIGHT(Protokoll_5p!F89,LEN(Protokoll_5p!F89)-FIND(":",Protokoll_5p!F89))),0,1))</f>
        <v>1</v>
      </c>
      <c r="J83" s="1">
        <f>IF(Protokoll_5p!G89="","",IF(VALUE(LEFT(Protokoll_5p!G89,FIND(":",Protokoll_5p!G89)-1))&gt;VALUE(RIGHT(Protokoll_5p!G89,LEN(Protokoll_5p!G89)-FIND(":",Protokoll_5p!G89))),0,1))</f>
        <v>0</v>
      </c>
      <c r="K83" s="1">
        <f>IF(Protokoll_5p!H89="","",IF(VALUE(LEFT(Protokoll_5p!H89,FIND(":",Protokoll_5p!H89)-1))&gt;VALUE(RIGHT(Protokoll_5p!H89,LEN(Protokoll_5p!H89)-FIND(":",Protokoll_5p!H89))),0,1))</f>
        <v>0</v>
      </c>
      <c r="L83" s="1">
        <f>IF(Protokoll_5p!I89="","",IF(VALUE(LEFT(Protokoll_5p!I89,FIND(":",Protokoll_5p!I89)-1))&gt;VALUE(RIGHT(Protokoll_5p!I89,LEN(Protokoll_5p!I89)-FIND(":",Protokoll_5p!I89))),0,1))</f>
        <v>0</v>
      </c>
      <c r="M83" s="1" t="str">
        <f>IF(Protokoll_5p!J89="","",IF(VALUE(LEFT(Protokoll_5p!J89,FIND(":",Protokoll_5p!J89)-1))&gt;VALUE(RIGHT(Protokoll_5p!J89,LEN(Protokoll_5p!J89)-FIND(":",Protokoll_5p!J89))),0,1))</f>
        <v/>
      </c>
      <c r="N83" s="1">
        <f t="shared" si="3"/>
        <v>1</v>
      </c>
    </row>
    <row r="84" spans="2:14">
      <c r="B84" s="1">
        <f>IF(Protokoll_5p!F90="","",IF(VALUE(LEFT(Protokoll_5p!F90,FIND(":",Protokoll_5p!F90)-1))&gt;VALUE(RIGHT(Protokoll_5p!F90,LEN(Protokoll_5p!F90)-FIND(":",Protokoll_5p!F90))),1,0))</f>
        <v>1</v>
      </c>
      <c r="C84" s="1">
        <f>IF(Protokoll_5p!G90="","",IF(VALUE(LEFT(Protokoll_5p!G90,FIND(":",Protokoll_5p!G90)-1))&gt;VALUE(RIGHT(Protokoll_5p!G90,LEN(Protokoll_5p!G90)-FIND(":",Protokoll_5p!G90))),1,0))</f>
        <v>1</v>
      </c>
      <c r="D84" s="1">
        <f>IF(Protokoll_5p!H90="","",IF(VALUE(LEFT(Protokoll_5p!H90,FIND(":",Protokoll_5p!H90)-1))&gt;VALUE(RIGHT(Protokoll_5p!H90,LEN(Protokoll_5p!H90)-FIND(":",Protokoll_5p!H90))),1,0))</f>
        <v>1</v>
      </c>
      <c r="E84" s="1" t="str">
        <f>IF(Protokoll_5p!I90="","",IF(VALUE(LEFT(Protokoll_5p!I90,FIND(":",Protokoll_5p!I90)-1))&gt;VALUE(RIGHT(Protokoll_5p!I90,LEN(Protokoll_5p!I90)-FIND(":",Protokoll_5p!I90))),1,0))</f>
        <v/>
      </c>
      <c r="F84" s="1" t="str">
        <f>IF(Protokoll_5p!J90="","",IF(VALUE(LEFT(Protokoll_5p!J90,FIND(":",Protokoll_5p!J90)-1))&gt;VALUE(RIGHT(Protokoll_5p!J90,LEN(Protokoll_5p!J90)-FIND(":",Protokoll_5p!J90))),1,0))</f>
        <v/>
      </c>
      <c r="G84" s="1">
        <f t="shared" si="2"/>
        <v>3</v>
      </c>
      <c r="I84" s="1">
        <f>IF(Protokoll_5p!F90="","",IF(VALUE(LEFT(Protokoll_5p!F90,FIND(":",Protokoll_5p!F90)-1))&gt;VALUE(RIGHT(Protokoll_5p!F90,LEN(Protokoll_5p!F90)-FIND(":",Protokoll_5p!F90))),0,1))</f>
        <v>0</v>
      </c>
      <c r="J84" s="1">
        <f>IF(Protokoll_5p!G90="","",IF(VALUE(LEFT(Protokoll_5p!G90,FIND(":",Protokoll_5p!G90)-1))&gt;VALUE(RIGHT(Protokoll_5p!G90,LEN(Protokoll_5p!G90)-FIND(":",Protokoll_5p!G90))),0,1))</f>
        <v>0</v>
      </c>
      <c r="K84" s="1">
        <f>IF(Protokoll_5p!H90="","",IF(VALUE(LEFT(Protokoll_5p!H90,FIND(":",Protokoll_5p!H90)-1))&gt;VALUE(RIGHT(Protokoll_5p!H90,LEN(Protokoll_5p!H90)-FIND(":",Protokoll_5p!H90))),0,1))</f>
        <v>0</v>
      </c>
      <c r="L84" s="1" t="str">
        <f>IF(Protokoll_5p!I90="","",IF(VALUE(LEFT(Protokoll_5p!I90,FIND(":",Protokoll_5p!I90)-1))&gt;VALUE(RIGHT(Protokoll_5p!I90,LEN(Protokoll_5p!I90)-FIND(":",Protokoll_5p!I90))),0,1))</f>
        <v/>
      </c>
      <c r="M84" s="1" t="str">
        <f>IF(Protokoll_5p!J90="","",IF(VALUE(LEFT(Protokoll_5p!J90,FIND(":",Protokoll_5p!J90)-1))&gt;VALUE(RIGHT(Protokoll_5p!J90,LEN(Protokoll_5p!J90)-FIND(":",Protokoll_5p!J90))),0,1))</f>
        <v/>
      </c>
      <c r="N84" s="1">
        <f t="shared" si="3"/>
        <v>0</v>
      </c>
    </row>
    <row r="85" spans="2:14">
      <c r="B85" s="1">
        <f>IF(Protokoll_5p!F91="","",IF(VALUE(LEFT(Protokoll_5p!F91,FIND(":",Protokoll_5p!F91)-1))&gt;VALUE(RIGHT(Protokoll_5p!F91,LEN(Protokoll_5p!F91)-FIND(":",Protokoll_5p!F91))),1,0))</f>
        <v>0</v>
      </c>
      <c r="C85" s="1">
        <f>IF(Protokoll_5p!G91="","",IF(VALUE(LEFT(Protokoll_5p!G91,FIND(":",Protokoll_5p!G91)-1))&gt;VALUE(RIGHT(Protokoll_5p!G91,LEN(Protokoll_5p!G91)-FIND(":",Protokoll_5p!G91))),1,0))</f>
        <v>1</v>
      </c>
      <c r="D85" s="1">
        <f>IF(Protokoll_5p!H91="","",IF(VALUE(LEFT(Protokoll_5p!H91,FIND(":",Protokoll_5p!H91)-1))&gt;VALUE(RIGHT(Protokoll_5p!H91,LEN(Protokoll_5p!H91)-FIND(":",Protokoll_5p!H91))),1,0))</f>
        <v>1</v>
      </c>
      <c r="E85" s="1">
        <f>IF(Protokoll_5p!I91="","",IF(VALUE(LEFT(Protokoll_5p!I91,FIND(":",Protokoll_5p!I91)-1))&gt;VALUE(RIGHT(Protokoll_5p!I91,LEN(Protokoll_5p!I91)-FIND(":",Protokoll_5p!I91))),1,0))</f>
        <v>1</v>
      </c>
      <c r="F85" s="1" t="str">
        <f>IF(Protokoll_5p!J91="","",IF(VALUE(LEFT(Protokoll_5p!J91,FIND(":",Protokoll_5p!J91)-1))&gt;VALUE(RIGHT(Protokoll_5p!J91,LEN(Protokoll_5p!J91)-FIND(":",Protokoll_5p!J91))),1,0))</f>
        <v/>
      </c>
      <c r="G85" s="1">
        <f t="shared" si="2"/>
        <v>3</v>
      </c>
      <c r="I85" s="1">
        <f>IF(Protokoll_5p!F91="","",IF(VALUE(LEFT(Protokoll_5p!F91,FIND(":",Protokoll_5p!F91)-1))&gt;VALUE(RIGHT(Protokoll_5p!F91,LEN(Protokoll_5p!F91)-FIND(":",Protokoll_5p!F91))),0,1))</f>
        <v>1</v>
      </c>
      <c r="J85" s="1">
        <f>IF(Protokoll_5p!G91="","",IF(VALUE(LEFT(Protokoll_5p!G91,FIND(":",Protokoll_5p!G91)-1))&gt;VALUE(RIGHT(Protokoll_5p!G91,LEN(Protokoll_5p!G91)-FIND(":",Protokoll_5p!G91))),0,1))</f>
        <v>0</v>
      </c>
      <c r="K85" s="1">
        <f>IF(Protokoll_5p!H91="","",IF(VALUE(LEFT(Protokoll_5p!H91,FIND(":",Protokoll_5p!H91)-1))&gt;VALUE(RIGHT(Protokoll_5p!H91,LEN(Protokoll_5p!H91)-FIND(":",Protokoll_5p!H91))),0,1))</f>
        <v>0</v>
      </c>
      <c r="L85" s="1">
        <f>IF(Protokoll_5p!I91="","",IF(VALUE(LEFT(Protokoll_5p!I91,FIND(":",Protokoll_5p!I91)-1))&gt;VALUE(RIGHT(Protokoll_5p!I91,LEN(Protokoll_5p!I91)-FIND(":",Protokoll_5p!I91))),0,1))</f>
        <v>0</v>
      </c>
      <c r="M85" s="1" t="str">
        <f>IF(Protokoll_5p!J91="","",IF(VALUE(LEFT(Protokoll_5p!J91,FIND(":",Protokoll_5p!J91)-1))&gt;VALUE(RIGHT(Protokoll_5p!J91,LEN(Protokoll_5p!J91)-FIND(":",Protokoll_5p!J91))),0,1))</f>
        <v/>
      </c>
      <c r="N85" s="1">
        <f t="shared" si="3"/>
        <v>1</v>
      </c>
    </row>
    <row r="86" spans="2:14">
      <c r="B86" s="1" t="str">
        <f>IF(Protokoll_5p!F92="","",IF(VALUE(LEFT(Protokoll_5p!F92,FIND(":",Protokoll_5p!F92)-1))&gt;VALUE(RIGHT(Protokoll_5p!F92,LEN(Protokoll_5p!F92)-FIND(":",Protokoll_5p!F92))),1,0))</f>
        <v/>
      </c>
      <c r="C86" s="1" t="str">
        <f>IF(Protokoll_5p!G92="","",IF(VALUE(LEFT(Protokoll_5p!G92,FIND(":",Protokoll_5p!G92)-1))&gt;VALUE(RIGHT(Protokoll_5p!G92,LEN(Protokoll_5p!G92)-FIND(":",Protokoll_5p!G92))),1,0))</f>
        <v/>
      </c>
      <c r="D86" s="1" t="str">
        <f>IF(Protokoll_5p!H92="","",IF(VALUE(LEFT(Protokoll_5p!H92,FIND(":",Protokoll_5p!H92)-1))&gt;VALUE(RIGHT(Protokoll_5p!H92,LEN(Protokoll_5p!H92)-FIND(":",Protokoll_5p!H92))),1,0))</f>
        <v/>
      </c>
      <c r="E86" s="1" t="str">
        <f>IF(Protokoll_5p!I92="","",IF(VALUE(LEFT(Protokoll_5p!I92,FIND(":",Protokoll_5p!I92)-1))&gt;VALUE(RIGHT(Protokoll_5p!I92,LEN(Protokoll_5p!I92)-FIND(":",Protokoll_5p!I92))),1,0))</f>
        <v/>
      </c>
      <c r="F86" s="1" t="str">
        <f>IF(Protokoll_5p!J92="","",IF(VALUE(LEFT(Protokoll_5p!J92,FIND(":",Protokoll_5p!J92)-1))&gt;VALUE(RIGHT(Protokoll_5p!J92,LEN(Protokoll_5p!J92)-FIND(":",Protokoll_5p!J92))),1,0))</f>
        <v/>
      </c>
      <c r="G86" s="1" t="str">
        <f t="shared" si="2"/>
        <v/>
      </c>
      <c r="I86" s="1" t="str">
        <f>IF(Protokoll_5p!F92="","",IF(VALUE(LEFT(Protokoll_5p!F92,FIND(":",Protokoll_5p!F92)-1))&gt;VALUE(RIGHT(Protokoll_5p!F92,LEN(Protokoll_5p!F92)-FIND(":",Protokoll_5p!F92))),0,1))</f>
        <v/>
      </c>
      <c r="J86" s="1" t="str">
        <f>IF(Protokoll_5p!G92="","",IF(VALUE(LEFT(Protokoll_5p!G92,FIND(":",Protokoll_5p!G92)-1))&gt;VALUE(RIGHT(Protokoll_5p!G92,LEN(Protokoll_5p!G92)-FIND(":",Protokoll_5p!G92))),0,1))</f>
        <v/>
      </c>
      <c r="K86" s="1" t="str">
        <f>IF(Protokoll_5p!H92="","",IF(VALUE(LEFT(Protokoll_5p!H92,FIND(":",Protokoll_5p!H92)-1))&gt;VALUE(RIGHT(Protokoll_5p!H92,LEN(Protokoll_5p!H92)-FIND(":",Protokoll_5p!H92))),0,1))</f>
        <v/>
      </c>
      <c r="L86" s="1" t="str">
        <f>IF(Protokoll_5p!I92="","",IF(VALUE(LEFT(Protokoll_5p!I92,FIND(":",Protokoll_5p!I92)-1))&gt;VALUE(RIGHT(Protokoll_5p!I92,LEN(Protokoll_5p!I92)-FIND(":",Protokoll_5p!I92))),0,1))</f>
        <v/>
      </c>
      <c r="M86" s="1" t="str">
        <f>IF(Protokoll_5p!J92="","",IF(VALUE(LEFT(Protokoll_5p!J92,FIND(":",Protokoll_5p!J92)-1))&gt;VALUE(RIGHT(Protokoll_5p!J92,LEN(Protokoll_5p!J92)-FIND(":",Protokoll_5p!J92))),0,1))</f>
        <v/>
      </c>
      <c r="N86" s="1" t="str">
        <f t="shared" si="3"/>
        <v/>
      </c>
    </row>
    <row r="87" spans="2:14">
      <c r="B87" s="1" t="str">
        <f>IF(Protokoll_5p!F93="","",IF(VALUE(LEFT(Protokoll_5p!F93,FIND(":",Protokoll_5p!F93)-1))&gt;VALUE(RIGHT(Protokoll_5p!F93,LEN(Protokoll_5p!F93)-FIND(":",Protokoll_5p!F93))),1,0))</f>
        <v/>
      </c>
      <c r="C87" s="1" t="str">
        <f>IF(Protokoll_5p!G93="","",IF(VALUE(LEFT(Protokoll_5p!G93,FIND(":",Protokoll_5p!G93)-1))&gt;VALUE(RIGHT(Protokoll_5p!G93,LEN(Protokoll_5p!G93)-FIND(":",Protokoll_5p!G93))),1,0))</f>
        <v/>
      </c>
      <c r="D87" s="1" t="str">
        <f>IF(Protokoll_5p!H93="","",IF(VALUE(LEFT(Protokoll_5p!H93,FIND(":",Protokoll_5p!H93)-1))&gt;VALUE(RIGHT(Protokoll_5p!H93,LEN(Protokoll_5p!H93)-FIND(":",Protokoll_5p!H93))),1,0))</f>
        <v/>
      </c>
      <c r="E87" s="1" t="str">
        <f>IF(Protokoll_5p!I93="","",IF(VALUE(LEFT(Protokoll_5p!I93,FIND(":",Protokoll_5p!I93)-1))&gt;VALUE(RIGHT(Protokoll_5p!I93,LEN(Protokoll_5p!I93)-FIND(":",Protokoll_5p!I93))),1,0))</f>
        <v/>
      </c>
      <c r="F87" s="1" t="str">
        <f>IF(Protokoll_5p!J93="","",IF(VALUE(LEFT(Protokoll_5p!J93,FIND(":",Protokoll_5p!J93)-1))&gt;VALUE(RIGHT(Protokoll_5p!J93,LEN(Protokoll_5p!J93)-FIND(":",Protokoll_5p!J93))),1,0))</f>
        <v/>
      </c>
      <c r="G87" s="1" t="str">
        <f t="shared" si="2"/>
        <v/>
      </c>
      <c r="I87" s="1" t="str">
        <f>IF(Protokoll_5p!F93="","",IF(VALUE(LEFT(Protokoll_5p!F93,FIND(":",Protokoll_5p!F93)-1))&gt;VALUE(RIGHT(Protokoll_5p!F93,LEN(Protokoll_5p!F93)-FIND(":",Protokoll_5p!F93))),0,1))</f>
        <v/>
      </c>
      <c r="J87" s="1" t="str">
        <f>IF(Protokoll_5p!G93="","",IF(VALUE(LEFT(Protokoll_5p!G93,FIND(":",Protokoll_5p!G93)-1))&gt;VALUE(RIGHT(Protokoll_5p!G93,LEN(Protokoll_5p!G93)-FIND(":",Protokoll_5p!G93))),0,1))</f>
        <v/>
      </c>
      <c r="K87" s="1" t="str">
        <f>IF(Protokoll_5p!H93="","",IF(VALUE(LEFT(Protokoll_5p!H93,FIND(":",Protokoll_5p!H93)-1))&gt;VALUE(RIGHT(Protokoll_5p!H93,LEN(Protokoll_5p!H93)-FIND(":",Protokoll_5p!H93))),0,1))</f>
        <v/>
      </c>
      <c r="L87" s="1" t="str">
        <f>IF(Protokoll_5p!I93="","",IF(VALUE(LEFT(Protokoll_5p!I93,FIND(":",Protokoll_5p!I93)-1))&gt;VALUE(RIGHT(Protokoll_5p!I93,LEN(Protokoll_5p!I93)-FIND(":",Protokoll_5p!I93))),0,1))</f>
        <v/>
      </c>
      <c r="M87" s="1" t="str">
        <f>IF(Protokoll_5p!J93="","",IF(VALUE(LEFT(Protokoll_5p!J93,FIND(":",Protokoll_5p!J93)-1))&gt;VALUE(RIGHT(Protokoll_5p!J93,LEN(Protokoll_5p!J93)-FIND(":",Protokoll_5p!J93))),0,1))</f>
        <v/>
      </c>
      <c r="N87" s="1" t="str">
        <f t="shared" si="3"/>
        <v/>
      </c>
    </row>
    <row r="88" spans="2:14">
      <c r="B88" s="1" t="str">
        <f>IF(Protokoll_5p!F94="","",IF(VALUE(LEFT(Protokoll_5p!F94,FIND(":",Protokoll_5p!F94)-1))&gt;VALUE(RIGHT(Protokoll_5p!F94,LEN(Protokoll_5p!F94)-FIND(":",Protokoll_5p!F94))),1,0))</f>
        <v/>
      </c>
      <c r="C88" s="1" t="str">
        <f>IF(Protokoll_5p!G94="","",IF(VALUE(LEFT(Protokoll_5p!G94,FIND(":",Protokoll_5p!G94)-1))&gt;VALUE(RIGHT(Protokoll_5p!G94,LEN(Protokoll_5p!G94)-FIND(":",Protokoll_5p!G94))),1,0))</f>
        <v/>
      </c>
      <c r="D88" s="1" t="str">
        <f>IF(Protokoll_5p!H94="","",IF(VALUE(LEFT(Protokoll_5p!H94,FIND(":",Protokoll_5p!H94)-1))&gt;VALUE(RIGHT(Protokoll_5p!H94,LEN(Protokoll_5p!H94)-FIND(":",Protokoll_5p!H94))),1,0))</f>
        <v/>
      </c>
      <c r="E88" s="1" t="str">
        <f>IF(Protokoll_5p!I94="","",IF(VALUE(LEFT(Protokoll_5p!I94,FIND(":",Protokoll_5p!I94)-1))&gt;VALUE(RIGHT(Protokoll_5p!I94,LEN(Protokoll_5p!I94)-FIND(":",Protokoll_5p!I94))),1,0))</f>
        <v/>
      </c>
      <c r="F88" s="1" t="str">
        <f>IF(Protokoll_5p!J94="","",IF(VALUE(LEFT(Protokoll_5p!J94,FIND(":",Protokoll_5p!J94)-1))&gt;VALUE(RIGHT(Protokoll_5p!J94,LEN(Protokoll_5p!J94)-FIND(":",Protokoll_5p!J94))),1,0))</f>
        <v/>
      </c>
      <c r="G88" s="1" t="str">
        <f t="shared" si="2"/>
        <v/>
      </c>
      <c r="I88" s="1" t="str">
        <f>IF(Protokoll_5p!F94="","",IF(VALUE(LEFT(Protokoll_5p!F94,FIND(":",Protokoll_5p!F94)-1))&gt;VALUE(RIGHT(Protokoll_5p!F94,LEN(Protokoll_5p!F94)-FIND(":",Protokoll_5p!F94))),0,1))</f>
        <v/>
      </c>
      <c r="J88" s="1" t="str">
        <f>IF(Protokoll_5p!G94="","",IF(VALUE(LEFT(Protokoll_5p!G94,FIND(":",Protokoll_5p!G94)-1))&gt;VALUE(RIGHT(Protokoll_5p!G94,LEN(Protokoll_5p!G94)-FIND(":",Protokoll_5p!G94))),0,1))</f>
        <v/>
      </c>
      <c r="K88" s="1" t="str">
        <f>IF(Protokoll_5p!H94="","",IF(VALUE(LEFT(Protokoll_5p!H94,FIND(":",Protokoll_5p!H94)-1))&gt;VALUE(RIGHT(Protokoll_5p!H94,LEN(Protokoll_5p!H94)-FIND(":",Protokoll_5p!H94))),0,1))</f>
        <v/>
      </c>
      <c r="L88" s="1" t="str">
        <f>IF(Protokoll_5p!I94="","",IF(VALUE(LEFT(Protokoll_5p!I94,FIND(":",Protokoll_5p!I94)-1))&gt;VALUE(RIGHT(Protokoll_5p!I94,LEN(Protokoll_5p!I94)-FIND(":",Protokoll_5p!I94))),0,1))</f>
        <v/>
      </c>
      <c r="M88" s="1" t="str">
        <f>IF(Protokoll_5p!J94="","",IF(VALUE(LEFT(Protokoll_5p!J94,FIND(":",Protokoll_5p!J94)-1))&gt;VALUE(RIGHT(Protokoll_5p!J94,LEN(Protokoll_5p!J94)-FIND(":",Protokoll_5p!J94))),0,1))</f>
        <v/>
      </c>
      <c r="N88" s="1" t="str">
        <f t="shared" si="3"/>
        <v/>
      </c>
    </row>
    <row r="89" spans="2:14">
      <c r="B89" s="1" t="str">
        <f>IF(Protokoll_5p!F95="","",IF(VALUE(LEFT(Protokoll_5p!F95,FIND(":",Protokoll_5p!F95)-1))&gt;VALUE(RIGHT(Protokoll_5p!F95,LEN(Protokoll_5p!F95)-FIND(":",Protokoll_5p!F95))),1,0))</f>
        <v/>
      </c>
      <c r="C89" s="1" t="str">
        <f>IF(Protokoll_5p!G95="","",IF(VALUE(LEFT(Protokoll_5p!G95,FIND(":",Protokoll_5p!G95)-1))&gt;VALUE(RIGHT(Protokoll_5p!G95,LEN(Protokoll_5p!G95)-FIND(":",Protokoll_5p!G95))),1,0))</f>
        <v/>
      </c>
      <c r="D89" s="1" t="str">
        <f>IF(Protokoll_5p!H95="","",IF(VALUE(LEFT(Protokoll_5p!H95,FIND(":",Protokoll_5p!H95)-1))&gt;VALUE(RIGHT(Protokoll_5p!H95,LEN(Protokoll_5p!H95)-FIND(":",Protokoll_5p!H95))),1,0))</f>
        <v/>
      </c>
      <c r="E89" s="1" t="str">
        <f>IF(Protokoll_5p!I95="","",IF(VALUE(LEFT(Protokoll_5p!I95,FIND(":",Protokoll_5p!I95)-1))&gt;VALUE(RIGHT(Protokoll_5p!I95,LEN(Protokoll_5p!I95)-FIND(":",Protokoll_5p!I95))),1,0))</f>
        <v/>
      </c>
      <c r="F89" s="1" t="str">
        <f>IF(Protokoll_5p!J95="","",IF(VALUE(LEFT(Protokoll_5p!J95,FIND(":",Protokoll_5p!J95)-1))&gt;VALUE(RIGHT(Protokoll_5p!J95,LEN(Protokoll_5p!J95)-FIND(":",Protokoll_5p!J95))),1,0))</f>
        <v/>
      </c>
      <c r="G89" s="1" t="str">
        <f t="shared" si="2"/>
        <v/>
      </c>
      <c r="I89" s="1" t="str">
        <f>IF(Protokoll_5p!F95="","",IF(VALUE(LEFT(Protokoll_5p!F95,FIND(":",Protokoll_5p!F95)-1))&gt;VALUE(RIGHT(Protokoll_5p!F95,LEN(Protokoll_5p!F95)-FIND(":",Protokoll_5p!F95))),0,1))</f>
        <v/>
      </c>
      <c r="J89" s="1" t="str">
        <f>IF(Protokoll_5p!G95="","",IF(VALUE(LEFT(Protokoll_5p!G95,FIND(":",Protokoll_5p!G95)-1))&gt;VALUE(RIGHT(Protokoll_5p!G95,LEN(Protokoll_5p!G95)-FIND(":",Protokoll_5p!G95))),0,1))</f>
        <v/>
      </c>
      <c r="K89" s="1" t="str">
        <f>IF(Protokoll_5p!H95="","",IF(VALUE(LEFT(Protokoll_5p!H95,FIND(":",Protokoll_5p!H95)-1))&gt;VALUE(RIGHT(Protokoll_5p!H95,LEN(Protokoll_5p!H95)-FIND(":",Protokoll_5p!H95))),0,1))</f>
        <v/>
      </c>
      <c r="L89" s="1" t="str">
        <f>IF(Protokoll_5p!I95="","",IF(VALUE(LEFT(Protokoll_5p!I95,FIND(":",Protokoll_5p!I95)-1))&gt;VALUE(RIGHT(Protokoll_5p!I95,LEN(Protokoll_5p!I95)-FIND(":",Protokoll_5p!I95))),0,1))</f>
        <v/>
      </c>
      <c r="M89" s="1" t="str">
        <f>IF(Protokoll_5p!J95="","",IF(VALUE(LEFT(Protokoll_5p!J95,FIND(":",Protokoll_5p!J95)-1))&gt;VALUE(RIGHT(Protokoll_5p!J95,LEN(Protokoll_5p!J95)-FIND(":",Protokoll_5p!J95))),0,1))</f>
        <v/>
      </c>
      <c r="N89" s="1" t="str">
        <f t="shared" si="3"/>
        <v/>
      </c>
    </row>
    <row r="90" spans="2:14">
      <c r="B90" s="1" t="str">
        <f>IF(Protokoll_5p!F96="","",IF(VALUE(LEFT(Protokoll_5p!F96,FIND(":",Protokoll_5p!F96)-1))&gt;VALUE(RIGHT(Protokoll_5p!F96,LEN(Protokoll_5p!F96)-FIND(":",Protokoll_5p!F96))),1,0))</f>
        <v/>
      </c>
      <c r="C90" s="1" t="str">
        <f>IF(Protokoll_5p!G96="","",IF(VALUE(LEFT(Protokoll_5p!G96,FIND(":",Protokoll_5p!G96)-1))&gt;VALUE(RIGHT(Protokoll_5p!G96,LEN(Protokoll_5p!G96)-FIND(":",Protokoll_5p!G96))),1,0))</f>
        <v/>
      </c>
      <c r="D90" s="1" t="str">
        <f>IF(Protokoll_5p!H96="","",IF(VALUE(LEFT(Protokoll_5p!H96,FIND(":",Protokoll_5p!H96)-1))&gt;VALUE(RIGHT(Protokoll_5p!H96,LEN(Protokoll_5p!H96)-FIND(":",Protokoll_5p!H96))),1,0))</f>
        <v/>
      </c>
      <c r="E90" s="1" t="str">
        <f>IF(Protokoll_5p!I96="","",IF(VALUE(LEFT(Protokoll_5p!I96,FIND(":",Protokoll_5p!I96)-1))&gt;VALUE(RIGHT(Protokoll_5p!I96,LEN(Protokoll_5p!I96)-FIND(":",Protokoll_5p!I96))),1,0))</f>
        <v/>
      </c>
      <c r="F90" s="1" t="str">
        <f>IF(Protokoll_5p!J96="","",IF(VALUE(LEFT(Protokoll_5p!J96,FIND(":",Protokoll_5p!J96)-1))&gt;VALUE(RIGHT(Protokoll_5p!J96,LEN(Protokoll_5p!J96)-FIND(":",Protokoll_5p!J96))),1,0))</f>
        <v/>
      </c>
      <c r="G90" s="1" t="str">
        <f t="shared" si="2"/>
        <v/>
      </c>
      <c r="I90" s="1" t="str">
        <f>IF(Protokoll_5p!F96="","",IF(VALUE(LEFT(Protokoll_5p!F96,FIND(":",Protokoll_5p!F96)-1))&gt;VALUE(RIGHT(Protokoll_5p!F96,LEN(Protokoll_5p!F96)-FIND(":",Protokoll_5p!F96))),0,1))</f>
        <v/>
      </c>
      <c r="J90" s="1" t="str">
        <f>IF(Protokoll_5p!G96="","",IF(VALUE(LEFT(Protokoll_5p!G96,FIND(":",Protokoll_5p!G96)-1))&gt;VALUE(RIGHT(Protokoll_5p!G96,LEN(Protokoll_5p!G96)-FIND(":",Protokoll_5p!G96))),0,1))</f>
        <v/>
      </c>
      <c r="K90" s="1" t="str">
        <f>IF(Protokoll_5p!H96="","",IF(VALUE(LEFT(Protokoll_5p!H96,FIND(":",Protokoll_5p!H96)-1))&gt;VALUE(RIGHT(Protokoll_5p!H96,LEN(Protokoll_5p!H96)-FIND(":",Protokoll_5p!H96))),0,1))</f>
        <v/>
      </c>
      <c r="L90" s="1" t="str">
        <f>IF(Protokoll_5p!I96="","",IF(VALUE(LEFT(Protokoll_5p!I96,FIND(":",Protokoll_5p!I96)-1))&gt;VALUE(RIGHT(Protokoll_5p!I96,LEN(Protokoll_5p!I96)-FIND(":",Protokoll_5p!I96))),0,1))</f>
        <v/>
      </c>
      <c r="M90" s="1" t="str">
        <f>IF(Protokoll_5p!J96="","",IF(VALUE(LEFT(Protokoll_5p!J96,FIND(":",Protokoll_5p!J96)-1))&gt;VALUE(RIGHT(Protokoll_5p!J96,LEN(Protokoll_5p!J96)-FIND(":",Protokoll_5p!J96))),0,1))</f>
        <v/>
      </c>
      <c r="N90" s="1" t="str">
        <f t="shared" si="3"/>
        <v/>
      </c>
    </row>
    <row r="91" spans="2:14">
      <c r="B91" s="1" t="e">
        <f>IF(Protokoll_5p!F97="","",IF(VALUE(LEFT(Protokoll_5p!F97,FIND(":",Protokoll_5p!F97)-1))&gt;VALUE(RIGHT(Protokoll_5p!F97,LEN(Protokoll_5p!F97)-FIND(":",Protokoll_5p!F97))),1,0))</f>
        <v>#VALUE!</v>
      </c>
      <c r="C91" s="1" t="e">
        <f>IF(Protokoll_5p!G97="","",IF(VALUE(LEFT(Protokoll_5p!G97,FIND(":",Protokoll_5p!G97)-1))&gt;VALUE(RIGHT(Protokoll_5p!G97,LEN(Protokoll_5p!G97)-FIND(":",Protokoll_5p!G97))),1,0))</f>
        <v>#VALUE!</v>
      </c>
      <c r="D91" s="1" t="e">
        <f>IF(Protokoll_5p!H97="","",IF(VALUE(LEFT(Protokoll_5p!H97,FIND(":",Protokoll_5p!H97)-1))&gt;VALUE(RIGHT(Protokoll_5p!H97,LEN(Protokoll_5p!H97)-FIND(":",Protokoll_5p!H97))),1,0))</f>
        <v>#VALUE!</v>
      </c>
      <c r="E91" s="1" t="e">
        <f>IF(Protokoll_5p!I97="","",IF(VALUE(LEFT(Protokoll_5p!I97,FIND(":",Protokoll_5p!I97)-1))&gt;VALUE(RIGHT(Protokoll_5p!I97,LEN(Protokoll_5p!I97)-FIND(":",Protokoll_5p!I97))),1,0))</f>
        <v>#VALUE!</v>
      </c>
      <c r="F91" s="1" t="e">
        <f>IF(Protokoll_5p!J97="","",IF(VALUE(LEFT(Protokoll_5p!J97,FIND(":",Protokoll_5p!J97)-1))&gt;VALUE(RIGHT(Protokoll_5p!J97,LEN(Protokoll_5p!J97)-FIND(":",Protokoll_5p!J97))),1,0))</f>
        <v>#VALUE!</v>
      </c>
      <c r="G91" s="1" t="e">
        <f t="shared" si="2"/>
        <v>#VALUE!</v>
      </c>
      <c r="I91" s="1" t="e">
        <f>IF(Protokoll_5p!F97="","",IF(VALUE(LEFT(Protokoll_5p!F97,FIND(":",Protokoll_5p!F97)-1))&gt;VALUE(RIGHT(Protokoll_5p!F97,LEN(Protokoll_5p!F97)-FIND(":",Protokoll_5p!F97))),0,1))</f>
        <v>#VALUE!</v>
      </c>
      <c r="J91" s="1" t="e">
        <f>IF(Protokoll_5p!G97="","",IF(VALUE(LEFT(Protokoll_5p!G97,FIND(":",Protokoll_5p!G97)-1))&gt;VALUE(RIGHT(Protokoll_5p!G97,LEN(Protokoll_5p!G97)-FIND(":",Protokoll_5p!G97))),0,1))</f>
        <v>#VALUE!</v>
      </c>
      <c r="K91" s="1" t="e">
        <f>IF(Protokoll_5p!H97="","",IF(VALUE(LEFT(Protokoll_5p!H97,FIND(":",Protokoll_5p!H97)-1))&gt;VALUE(RIGHT(Protokoll_5p!H97,LEN(Protokoll_5p!H97)-FIND(":",Protokoll_5p!H97))),0,1))</f>
        <v>#VALUE!</v>
      </c>
      <c r="L91" s="1" t="e">
        <f>IF(Protokoll_5p!I97="","",IF(VALUE(LEFT(Protokoll_5p!I97,FIND(":",Protokoll_5p!I97)-1))&gt;VALUE(RIGHT(Protokoll_5p!I97,LEN(Protokoll_5p!I97)-FIND(":",Protokoll_5p!I97))),0,1))</f>
        <v>#VALUE!</v>
      </c>
      <c r="M91" s="1" t="e">
        <f>IF(Protokoll_5p!J97="","",IF(VALUE(LEFT(Protokoll_5p!J97,FIND(":",Protokoll_5p!J97)-1))&gt;VALUE(RIGHT(Protokoll_5p!J97,LEN(Protokoll_5p!J97)-FIND(":",Protokoll_5p!J97))),0,1))</f>
        <v>#VALUE!</v>
      </c>
      <c r="N91" s="1" t="e">
        <f t="shared" si="3"/>
        <v>#VALUE!</v>
      </c>
    </row>
    <row r="92" spans="2:14">
      <c r="B92" s="1">
        <f>IF(Protokoll_5p!F98="","",IF(VALUE(LEFT(Protokoll_5p!F98,FIND(":",Protokoll_5p!F98)-1))&gt;VALUE(RIGHT(Protokoll_5p!F98,LEN(Protokoll_5p!F98)-FIND(":",Protokoll_5p!F98))),1,0))</f>
        <v>0</v>
      </c>
      <c r="C92" s="1">
        <f>IF(Protokoll_5p!G98="","",IF(VALUE(LEFT(Protokoll_5p!G98,FIND(":",Protokoll_5p!G98)-1))&gt;VALUE(RIGHT(Protokoll_5p!G98,LEN(Protokoll_5p!G98)-FIND(":",Protokoll_5p!G98))),1,0))</f>
        <v>1</v>
      </c>
      <c r="D92" s="1">
        <f>IF(Protokoll_5p!H98="","",IF(VALUE(LEFT(Protokoll_5p!H98,FIND(":",Protokoll_5p!H98)-1))&gt;VALUE(RIGHT(Protokoll_5p!H98,LEN(Protokoll_5p!H98)-FIND(":",Protokoll_5p!H98))),1,0))</f>
        <v>0</v>
      </c>
      <c r="E92" s="1">
        <f>IF(Protokoll_5p!I98="","",IF(VALUE(LEFT(Protokoll_5p!I98,FIND(":",Protokoll_5p!I98)-1))&gt;VALUE(RIGHT(Protokoll_5p!I98,LEN(Protokoll_5p!I98)-FIND(":",Protokoll_5p!I98))),1,0))</f>
        <v>0</v>
      </c>
      <c r="F92" s="1" t="str">
        <f>IF(Protokoll_5p!J98="","",IF(VALUE(LEFT(Protokoll_5p!J98,FIND(":",Protokoll_5p!J98)-1))&gt;VALUE(RIGHT(Protokoll_5p!J98,LEN(Protokoll_5p!J98)-FIND(":",Protokoll_5p!J98))),1,0))</f>
        <v/>
      </c>
      <c r="G92" s="1">
        <f t="shared" si="2"/>
        <v>1</v>
      </c>
      <c r="I92" s="1">
        <f>IF(Protokoll_5p!F98="","",IF(VALUE(LEFT(Protokoll_5p!F98,FIND(":",Protokoll_5p!F98)-1))&gt;VALUE(RIGHT(Protokoll_5p!F98,LEN(Protokoll_5p!F98)-FIND(":",Protokoll_5p!F98))),0,1))</f>
        <v>1</v>
      </c>
      <c r="J92" s="1">
        <f>IF(Protokoll_5p!G98="","",IF(VALUE(LEFT(Protokoll_5p!G98,FIND(":",Protokoll_5p!G98)-1))&gt;VALUE(RIGHT(Protokoll_5p!G98,LEN(Protokoll_5p!G98)-FIND(":",Protokoll_5p!G98))),0,1))</f>
        <v>0</v>
      </c>
      <c r="K92" s="1">
        <f>IF(Protokoll_5p!H98="","",IF(VALUE(LEFT(Protokoll_5p!H98,FIND(":",Protokoll_5p!H98)-1))&gt;VALUE(RIGHT(Protokoll_5p!H98,LEN(Protokoll_5p!H98)-FIND(":",Protokoll_5p!H98))),0,1))</f>
        <v>1</v>
      </c>
      <c r="L92" s="1">
        <f>IF(Protokoll_5p!I98="","",IF(VALUE(LEFT(Protokoll_5p!I98,FIND(":",Protokoll_5p!I98)-1))&gt;VALUE(RIGHT(Protokoll_5p!I98,LEN(Protokoll_5p!I98)-FIND(":",Protokoll_5p!I98))),0,1))</f>
        <v>1</v>
      </c>
      <c r="M92" s="1" t="str">
        <f>IF(Protokoll_5p!J98="","",IF(VALUE(LEFT(Protokoll_5p!J98,FIND(":",Protokoll_5p!J98)-1))&gt;VALUE(RIGHT(Protokoll_5p!J98,LEN(Protokoll_5p!J98)-FIND(":",Protokoll_5p!J98))),0,1))</f>
        <v/>
      </c>
      <c r="N92" s="1">
        <f t="shared" si="3"/>
        <v>3</v>
      </c>
    </row>
    <row r="93" spans="2:14">
      <c r="B93" s="1">
        <f>IF(Protokoll_5p!F99="","",IF(VALUE(LEFT(Protokoll_5p!F99,FIND(":",Protokoll_5p!F99)-1))&gt;VALUE(RIGHT(Protokoll_5p!F99,LEN(Protokoll_5p!F99)-FIND(":",Protokoll_5p!F99))),1,0))</f>
        <v>0</v>
      </c>
      <c r="C93" s="1">
        <f>IF(Protokoll_5p!G99="","",IF(VALUE(LEFT(Protokoll_5p!G99,FIND(":",Protokoll_5p!G99)-1))&gt;VALUE(RIGHT(Protokoll_5p!G99,LEN(Protokoll_5p!G99)-FIND(":",Protokoll_5p!G99))),1,0))</f>
        <v>0</v>
      </c>
      <c r="D93" s="1">
        <f>IF(Protokoll_5p!H99="","",IF(VALUE(LEFT(Protokoll_5p!H99,FIND(":",Protokoll_5p!H99)-1))&gt;VALUE(RIGHT(Protokoll_5p!H99,LEN(Protokoll_5p!H99)-FIND(":",Protokoll_5p!H99))),1,0))</f>
        <v>0</v>
      </c>
      <c r="E93" s="1" t="str">
        <f>IF(Protokoll_5p!I99="","",IF(VALUE(LEFT(Protokoll_5p!I99,FIND(":",Protokoll_5p!I99)-1))&gt;VALUE(RIGHT(Protokoll_5p!I99,LEN(Protokoll_5p!I99)-FIND(":",Protokoll_5p!I99))),1,0))</f>
        <v/>
      </c>
      <c r="F93" s="1" t="str">
        <f>IF(Protokoll_5p!J99="","",IF(VALUE(LEFT(Protokoll_5p!J99,FIND(":",Protokoll_5p!J99)-1))&gt;VALUE(RIGHT(Protokoll_5p!J99,LEN(Protokoll_5p!J99)-FIND(":",Protokoll_5p!J99))),1,0))</f>
        <v/>
      </c>
      <c r="G93" s="1">
        <f t="shared" si="2"/>
        <v>0</v>
      </c>
      <c r="I93" s="1">
        <f>IF(Protokoll_5p!F99="","",IF(VALUE(LEFT(Protokoll_5p!F99,FIND(":",Protokoll_5p!F99)-1))&gt;VALUE(RIGHT(Protokoll_5p!F99,LEN(Protokoll_5p!F99)-FIND(":",Protokoll_5p!F99))),0,1))</f>
        <v>1</v>
      </c>
      <c r="J93" s="1">
        <f>IF(Protokoll_5p!G99="","",IF(VALUE(LEFT(Protokoll_5p!G99,FIND(":",Protokoll_5p!G99)-1))&gt;VALUE(RIGHT(Protokoll_5p!G99,LEN(Protokoll_5p!G99)-FIND(":",Protokoll_5p!G99))),0,1))</f>
        <v>1</v>
      </c>
      <c r="K93" s="1">
        <f>IF(Protokoll_5p!H99="","",IF(VALUE(LEFT(Protokoll_5p!H99,FIND(":",Protokoll_5p!H99)-1))&gt;VALUE(RIGHT(Protokoll_5p!H99,LEN(Protokoll_5p!H99)-FIND(":",Protokoll_5p!H99))),0,1))</f>
        <v>1</v>
      </c>
      <c r="L93" s="1" t="str">
        <f>IF(Protokoll_5p!I99="","",IF(VALUE(LEFT(Protokoll_5p!I99,FIND(":",Protokoll_5p!I99)-1))&gt;VALUE(RIGHT(Protokoll_5p!I99,LEN(Protokoll_5p!I99)-FIND(":",Protokoll_5p!I99))),0,1))</f>
        <v/>
      </c>
      <c r="M93" s="1" t="str">
        <f>IF(Protokoll_5p!J99="","",IF(VALUE(LEFT(Protokoll_5p!J99,FIND(":",Protokoll_5p!J99)-1))&gt;VALUE(RIGHT(Protokoll_5p!J99,LEN(Protokoll_5p!J99)-FIND(":",Protokoll_5p!J99))),0,1))</f>
        <v/>
      </c>
      <c r="N93" s="1">
        <f t="shared" si="3"/>
        <v>3</v>
      </c>
    </row>
    <row r="94" spans="2:14">
      <c r="B94" s="1">
        <f>IF(Protokoll_5p!F100="","",IF(VALUE(LEFT(Protokoll_5p!F100,FIND(":",Protokoll_5p!F100)-1))&gt;VALUE(RIGHT(Protokoll_5p!F100,LEN(Protokoll_5p!F100)-FIND(":",Protokoll_5p!F100))),1,0))</f>
        <v>0</v>
      </c>
      <c r="C94" s="1">
        <f>IF(Protokoll_5p!G100="","",IF(VALUE(LEFT(Protokoll_5p!G100,FIND(":",Protokoll_5p!G100)-1))&gt;VALUE(RIGHT(Protokoll_5p!G100,LEN(Protokoll_5p!G100)-FIND(":",Protokoll_5p!G100))),1,0))</f>
        <v>0</v>
      </c>
      <c r="D94" s="1">
        <f>IF(Protokoll_5p!H100="","",IF(VALUE(LEFT(Protokoll_5p!H100,FIND(":",Protokoll_5p!H100)-1))&gt;VALUE(RIGHT(Protokoll_5p!H100,LEN(Protokoll_5p!H100)-FIND(":",Protokoll_5p!H100))),1,0))</f>
        <v>0</v>
      </c>
      <c r="E94" s="1" t="str">
        <f>IF(Protokoll_5p!I100="","",IF(VALUE(LEFT(Protokoll_5p!I100,FIND(":",Protokoll_5p!I100)-1))&gt;VALUE(RIGHT(Protokoll_5p!I100,LEN(Protokoll_5p!I100)-FIND(":",Protokoll_5p!I100))),1,0))</f>
        <v/>
      </c>
      <c r="F94" s="1" t="str">
        <f>IF(Protokoll_5p!J100="","",IF(VALUE(LEFT(Protokoll_5p!J100,FIND(":",Protokoll_5p!J100)-1))&gt;VALUE(RIGHT(Protokoll_5p!J100,LEN(Protokoll_5p!J100)-FIND(":",Protokoll_5p!J100))),1,0))</f>
        <v/>
      </c>
      <c r="G94" s="1">
        <f t="shared" si="2"/>
        <v>0</v>
      </c>
      <c r="I94" s="1">
        <f>IF(Protokoll_5p!F100="","",IF(VALUE(LEFT(Protokoll_5p!F100,FIND(":",Protokoll_5p!F100)-1))&gt;VALUE(RIGHT(Protokoll_5p!F100,LEN(Protokoll_5p!F100)-FIND(":",Protokoll_5p!F100))),0,1))</f>
        <v>1</v>
      </c>
      <c r="J94" s="1">
        <f>IF(Protokoll_5p!G100="","",IF(VALUE(LEFT(Protokoll_5p!G100,FIND(":",Protokoll_5p!G100)-1))&gt;VALUE(RIGHT(Protokoll_5p!G100,LEN(Protokoll_5p!G100)-FIND(":",Protokoll_5p!G100))),0,1))</f>
        <v>1</v>
      </c>
      <c r="K94" s="1">
        <f>IF(Protokoll_5p!H100="","",IF(VALUE(LEFT(Protokoll_5p!H100,FIND(":",Protokoll_5p!H100)-1))&gt;VALUE(RIGHT(Protokoll_5p!H100,LEN(Protokoll_5p!H100)-FIND(":",Protokoll_5p!H100))),0,1))</f>
        <v>1</v>
      </c>
      <c r="L94" s="1" t="str">
        <f>IF(Protokoll_5p!I100="","",IF(VALUE(LEFT(Protokoll_5p!I100,FIND(":",Protokoll_5p!I100)-1))&gt;VALUE(RIGHT(Protokoll_5p!I100,LEN(Protokoll_5p!I100)-FIND(":",Protokoll_5p!I100))),0,1))</f>
        <v/>
      </c>
      <c r="M94" s="1" t="str">
        <f>IF(Protokoll_5p!J100="","",IF(VALUE(LEFT(Protokoll_5p!J100,FIND(":",Protokoll_5p!J100)-1))&gt;VALUE(RIGHT(Protokoll_5p!J100,LEN(Protokoll_5p!J100)-FIND(":",Protokoll_5p!J100))),0,1))</f>
        <v/>
      </c>
      <c r="N94" s="1">
        <f t="shared" si="3"/>
        <v>3</v>
      </c>
    </row>
    <row r="95" spans="2:14">
      <c r="B95" s="1">
        <f>IF(Protokoll_5p!F101="","",IF(VALUE(LEFT(Protokoll_5p!F101,FIND(":",Protokoll_5p!F101)-1))&gt;VALUE(RIGHT(Protokoll_5p!F101,LEN(Protokoll_5p!F101)-FIND(":",Protokoll_5p!F101))),1,0))</f>
        <v>0</v>
      </c>
      <c r="C95" s="1">
        <f>IF(Protokoll_5p!G101="","",IF(VALUE(LEFT(Protokoll_5p!G101,FIND(":",Protokoll_5p!G101)-1))&gt;VALUE(RIGHT(Protokoll_5p!G101,LEN(Protokoll_5p!G101)-FIND(":",Protokoll_5p!G101))),1,0))</f>
        <v>0</v>
      </c>
      <c r="D95" s="1">
        <f>IF(Protokoll_5p!H101="","",IF(VALUE(LEFT(Protokoll_5p!H101,FIND(":",Protokoll_5p!H101)-1))&gt;VALUE(RIGHT(Protokoll_5p!H101,LEN(Protokoll_5p!H101)-FIND(":",Protokoll_5p!H101))),1,0))</f>
        <v>1</v>
      </c>
      <c r="E95" s="1">
        <f>IF(Protokoll_5p!I101="","",IF(VALUE(LEFT(Protokoll_5p!I101,FIND(":",Protokoll_5p!I101)-1))&gt;VALUE(RIGHT(Protokoll_5p!I101,LEN(Protokoll_5p!I101)-FIND(":",Protokoll_5p!I101))),1,0))</f>
        <v>0</v>
      </c>
      <c r="F95" s="1" t="str">
        <f>IF(Protokoll_5p!J101="","",IF(VALUE(LEFT(Protokoll_5p!J101,FIND(":",Protokoll_5p!J101)-1))&gt;VALUE(RIGHT(Protokoll_5p!J101,LEN(Protokoll_5p!J101)-FIND(":",Protokoll_5p!J101))),1,0))</f>
        <v/>
      </c>
      <c r="G95" s="1">
        <f t="shared" si="2"/>
        <v>1</v>
      </c>
      <c r="I95" s="1">
        <f>IF(Protokoll_5p!F101="","",IF(VALUE(LEFT(Protokoll_5p!F101,FIND(":",Protokoll_5p!F101)-1))&gt;VALUE(RIGHT(Protokoll_5p!F101,LEN(Protokoll_5p!F101)-FIND(":",Protokoll_5p!F101))),0,1))</f>
        <v>1</v>
      </c>
      <c r="J95" s="1">
        <f>IF(Protokoll_5p!G101="","",IF(VALUE(LEFT(Protokoll_5p!G101,FIND(":",Protokoll_5p!G101)-1))&gt;VALUE(RIGHT(Protokoll_5p!G101,LEN(Protokoll_5p!G101)-FIND(":",Protokoll_5p!G101))),0,1))</f>
        <v>1</v>
      </c>
      <c r="K95" s="1">
        <f>IF(Protokoll_5p!H101="","",IF(VALUE(LEFT(Protokoll_5p!H101,FIND(":",Protokoll_5p!H101)-1))&gt;VALUE(RIGHT(Protokoll_5p!H101,LEN(Protokoll_5p!H101)-FIND(":",Protokoll_5p!H101))),0,1))</f>
        <v>0</v>
      </c>
      <c r="L95" s="1">
        <f>IF(Protokoll_5p!I101="","",IF(VALUE(LEFT(Protokoll_5p!I101,FIND(":",Protokoll_5p!I101)-1))&gt;VALUE(RIGHT(Protokoll_5p!I101,LEN(Protokoll_5p!I101)-FIND(":",Protokoll_5p!I101))),0,1))</f>
        <v>1</v>
      </c>
      <c r="M95" s="1" t="str">
        <f>IF(Protokoll_5p!J101="","",IF(VALUE(LEFT(Protokoll_5p!J101,FIND(":",Protokoll_5p!J101)-1))&gt;VALUE(RIGHT(Protokoll_5p!J101,LEN(Protokoll_5p!J101)-FIND(":",Protokoll_5p!J101))),0,1))</f>
        <v/>
      </c>
      <c r="N95" s="1">
        <f t="shared" si="3"/>
        <v>3</v>
      </c>
    </row>
    <row r="96" spans="2:14">
      <c r="B96" s="1" t="str">
        <f>IF(Protokoll_5p!F102="","",IF(VALUE(LEFT(Protokoll_5p!F102,FIND(":",Protokoll_5p!F102)-1))&gt;VALUE(RIGHT(Protokoll_5p!F102,LEN(Protokoll_5p!F102)-FIND(":",Protokoll_5p!F102))),1,0))</f>
        <v/>
      </c>
      <c r="C96" s="1" t="str">
        <f>IF(Protokoll_5p!G102="","",IF(VALUE(LEFT(Protokoll_5p!G102,FIND(":",Protokoll_5p!G102)-1))&gt;VALUE(RIGHT(Protokoll_5p!G102,LEN(Protokoll_5p!G102)-FIND(":",Protokoll_5p!G102))),1,0))</f>
        <v/>
      </c>
      <c r="D96" s="1" t="str">
        <f>IF(Protokoll_5p!H102="","",IF(VALUE(LEFT(Protokoll_5p!H102,FIND(":",Protokoll_5p!H102)-1))&gt;VALUE(RIGHT(Protokoll_5p!H102,LEN(Protokoll_5p!H102)-FIND(":",Protokoll_5p!H102))),1,0))</f>
        <v/>
      </c>
      <c r="E96" s="1" t="str">
        <f>IF(Protokoll_5p!I102="","",IF(VALUE(LEFT(Protokoll_5p!I102,FIND(":",Protokoll_5p!I102)-1))&gt;VALUE(RIGHT(Protokoll_5p!I102,LEN(Protokoll_5p!I102)-FIND(":",Protokoll_5p!I102))),1,0))</f>
        <v/>
      </c>
      <c r="F96" s="1" t="str">
        <f>IF(Protokoll_5p!J102="","",IF(VALUE(LEFT(Protokoll_5p!J102,FIND(":",Protokoll_5p!J102)-1))&gt;VALUE(RIGHT(Protokoll_5p!J102,LEN(Protokoll_5p!J102)-FIND(":",Protokoll_5p!J102))),1,0))</f>
        <v/>
      </c>
      <c r="G96" s="1" t="str">
        <f t="shared" si="2"/>
        <v/>
      </c>
      <c r="I96" s="1" t="str">
        <f>IF(Protokoll_5p!F102="","",IF(VALUE(LEFT(Protokoll_5p!F102,FIND(":",Protokoll_5p!F102)-1))&gt;VALUE(RIGHT(Protokoll_5p!F102,LEN(Protokoll_5p!F102)-FIND(":",Protokoll_5p!F102))),0,1))</f>
        <v/>
      </c>
      <c r="J96" s="1" t="str">
        <f>IF(Protokoll_5p!G102="","",IF(VALUE(LEFT(Protokoll_5p!G102,FIND(":",Protokoll_5p!G102)-1))&gt;VALUE(RIGHT(Protokoll_5p!G102,LEN(Protokoll_5p!G102)-FIND(":",Protokoll_5p!G102))),0,1))</f>
        <v/>
      </c>
      <c r="K96" s="1" t="str">
        <f>IF(Protokoll_5p!H102="","",IF(VALUE(LEFT(Protokoll_5p!H102,FIND(":",Protokoll_5p!H102)-1))&gt;VALUE(RIGHT(Protokoll_5p!H102,LEN(Protokoll_5p!H102)-FIND(":",Protokoll_5p!H102))),0,1))</f>
        <v/>
      </c>
      <c r="L96" s="1" t="str">
        <f>IF(Protokoll_5p!I102="","",IF(VALUE(LEFT(Protokoll_5p!I102,FIND(":",Protokoll_5p!I102)-1))&gt;VALUE(RIGHT(Protokoll_5p!I102,LEN(Protokoll_5p!I102)-FIND(":",Protokoll_5p!I102))),0,1))</f>
        <v/>
      </c>
      <c r="M96" s="1" t="str">
        <f>IF(Protokoll_5p!J102="","",IF(VALUE(LEFT(Protokoll_5p!J102,FIND(":",Protokoll_5p!J102)-1))&gt;VALUE(RIGHT(Protokoll_5p!J102,LEN(Protokoll_5p!J102)-FIND(":",Protokoll_5p!J102))),0,1))</f>
        <v/>
      </c>
      <c r="N96" s="1" t="str">
        <f t="shared" si="3"/>
        <v/>
      </c>
    </row>
    <row r="97" spans="2:14">
      <c r="B97" s="1" t="str">
        <f>IF(Protokoll_5p!F103="","",IF(VALUE(LEFT(Protokoll_5p!F103,FIND(":",Protokoll_5p!F103)-1))&gt;VALUE(RIGHT(Protokoll_5p!F103,LEN(Protokoll_5p!F103)-FIND(":",Protokoll_5p!F103))),1,0))</f>
        <v/>
      </c>
      <c r="C97" s="1" t="str">
        <f>IF(Protokoll_5p!G103="","",IF(VALUE(LEFT(Protokoll_5p!G103,FIND(":",Protokoll_5p!G103)-1))&gt;VALUE(RIGHT(Protokoll_5p!G103,LEN(Protokoll_5p!G103)-FIND(":",Protokoll_5p!G103))),1,0))</f>
        <v/>
      </c>
      <c r="D97" s="1" t="str">
        <f>IF(Protokoll_5p!H103="","",IF(VALUE(LEFT(Protokoll_5p!H103,FIND(":",Protokoll_5p!H103)-1))&gt;VALUE(RIGHT(Protokoll_5p!H103,LEN(Protokoll_5p!H103)-FIND(":",Protokoll_5p!H103))),1,0))</f>
        <v/>
      </c>
      <c r="E97" s="1" t="str">
        <f>IF(Protokoll_5p!I103="","",IF(VALUE(LEFT(Protokoll_5p!I103,FIND(":",Protokoll_5p!I103)-1))&gt;VALUE(RIGHT(Protokoll_5p!I103,LEN(Protokoll_5p!I103)-FIND(":",Protokoll_5p!I103))),1,0))</f>
        <v/>
      </c>
      <c r="F97" s="1" t="str">
        <f>IF(Protokoll_5p!J103="","",IF(VALUE(LEFT(Protokoll_5p!J103,FIND(":",Protokoll_5p!J103)-1))&gt;VALUE(RIGHT(Protokoll_5p!J103,LEN(Protokoll_5p!J103)-FIND(":",Protokoll_5p!J103))),1,0))</f>
        <v/>
      </c>
      <c r="G97" s="1" t="str">
        <f t="shared" si="2"/>
        <v/>
      </c>
      <c r="I97" s="1" t="str">
        <f>IF(Protokoll_5p!F103="","",IF(VALUE(LEFT(Protokoll_5p!F103,FIND(":",Protokoll_5p!F103)-1))&gt;VALUE(RIGHT(Protokoll_5p!F103,LEN(Protokoll_5p!F103)-FIND(":",Protokoll_5p!F103))),0,1))</f>
        <v/>
      </c>
      <c r="J97" s="1" t="str">
        <f>IF(Protokoll_5p!G103="","",IF(VALUE(LEFT(Protokoll_5p!G103,FIND(":",Protokoll_5p!G103)-1))&gt;VALUE(RIGHT(Protokoll_5p!G103,LEN(Protokoll_5p!G103)-FIND(":",Protokoll_5p!G103))),0,1))</f>
        <v/>
      </c>
      <c r="K97" s="1" t="str">
        <f>IF(Protokoll_5p!H103="","",IF(VALUE(LEFT(Protokoll_5p!H103,FIND(":",Protokoll_5p!H103)-1))&gt;VALUE(RIGHT(Protokoll_5p!H103,LEN(Protokoll_5p!H103)-FIND(":",Protokoll_5p!H103))),0,1))</f>
        <v/>
      </c>
      <c r="L97" s="1" t="str">
        <f>IF(Protokoll_5p!I103="","",IF(VALUE(LEFT(Protokoll_5p!I103,FIND(":",Protokoll_5p!I103)-1))&gt;VALUE(RIGHT(Protokoll_5p!I103,LEN(Protokoll_5p!I103)-FIND(":",Protokoll_5p!I103))),0,1))</f>
        <v/>
      </c>
      <c r="M97" s="1" t="str">
        <f>IF(Protokoll_5p!J103="","",IF(VALUE(LEFT(Protokoll_5p!J103,FIND(":",Protokoll_5p!J103)-1))&gt;VALUE(RIGHT(Protokoll_5p!J103,LEN(Protokoll_5p!J103)-FIND(":",Protokoll_5p!J103))),0,1))</f>
        <v/>
      </c>
      <c r="N97" s="1" t="str">
        <f t="shared" si="3"/>
        <v/>
      </c>
    </row>
    <row r="98" spans="2:14">
      <c r="B98" s="1" t="str">
        <f>IF(Protokoll_5p!F104="","",IF(VALUE(LEFT(Protokoll_5p!F104,FIND(":",Protokoll_5p!F104)-1))&gt;VALUE(RIGHT(Protokoll_5p!F104,LEN(Protokoll_5p!F104)-FIND(":",Protokoll_5p!F104))),1,0))</f>
        <v/>
      </c>
      <c r="C98" s="1" t="str">
        <f>IF(Protokoll_5p!G104="","",IF(VALUE(LEFT(Protokoll_5p!G104,FIND(":",Protokoll_5p!G104)-1))&gt;VALUE(RIGHT(Protokoll_5p!G104,LEN(Protokoll_5p!G104)-FIND(":",Protokoll_5p!G104))),1,0))</f>
        <v/>
      </c>
      <c r="D98" s="1" t="str">
        <f>IF(Protokoll_5p!H104="","",IF(VALUE(LEFT(Protokoll_5p!H104,FIND(":",Protokoll_5p!H104)-1))&gt;VALUE(RIGHT(Protokoll_5p!H104,LEN(Protokoll_5p!H104)-FIND(":",Protokoll_5p!H104))),1,0))</f>
        <v/>
      </c>
      <c r="E98" s="1" t="str">
        <f>IF(Protokoll_5p!I104="","",IF(VALUE(LEFT(Protokoll_5p!I104,FIND(":",Protokoll_5p!I104)-1))&gt;VALUE(RIGHT(Protokoll_5p!I104,LEN(Protokoll_5p!I104)-FIND(":",Protokoll_5p!I104))),1,0))</f>
        <v/>
      </c>
      <c r="F98" s="1" t="str">
        <f>IF(Protokoll_5p!J104="","",IF(VALUE(LEFT(Protokoll_5p!J104,FIND(":",Protokoll_5p!J104)-1))&gt;VALUE(RIGHT(Protokoll_5p!J104,LEN(Protokoll_5p!J104)-FIND(":",Protokoll_5p!J104))),1,0))</f>
        <v/>
      </c>
      <c r="G98" s="1" t="str">
        <f t="shared" si="2"/>
        <v/>
      </c>
      <c r="I98" s="1" t="str">
        <f>IF(Protokoll_5p!F104="","",IF(VALUE(LEFT(Protokoll_5p!F104,FIND(":",Protokoll_5p!F104)-1))&gt;VALUE(RIGHT(Protokoll_5p!F104,LEN(Protokoll_5p!F104)-FIND(":",Protokoll_5p!F104))),0,1))</f>
        <v/>
      </c>
      <c r="J98" s="1" t="str">
        <f>IF(Protokoll_5p!G104="","",IF(VALUE(LEFT(Protokoll_5p!G104,FIND(":",Protokoll_5p!G104)-1))&gt;VALUE(RIGHT(Protokoll_5p!G104,LEN(Protokoll_5p!G104)-FIND(":",Protokoll_5p!G104))),0,1))</f>
        <v/>
      </c>
      <c r="K98" s="1" t="str">
        <f>IF(Protokoll_5p!H104="","",IF(VALUE(LEFT(Protokoll_5p!H104,FIND(":",Protokoll_5p!H104)-1))&gt;VALUE(RIGHT(Protokoll_5p!H104,LEN(Protokoll_5p!H104)-FIND(":",Protokoll_5p!H104))),0,1))</f>
        <v/>
      </c>
      <c r="L98" s="1" t="str">
        <f>IF(Protokoll_5p!I104="","",IF(VALUE(LEFT(Protokoll_5p!I104,FIND(":",Protokoll_5p!I104)-1))&gt;VALUE(RIGHT(Protokoll_5p!I104,LEN(Protokoll_5p!I104)-FIND(":",Protokoll_5p!I104))),0,1))</f>
        <v/>
      </c>
      <c r="M98" s="1" t="str">
        <f>IF(Protokoll_5p!J104="","",IF(VALUE(LEFT(Protokoll_5p!J104,FIND(":",Protokoll_5p!J104)-1))&gt;VALUE(RIGHT(Protokoll_5p!J104,LEN(Protokoll_5p!J104)-FIND(":",Protokoll_5p!J104))),0,1))</f>
        <v/>
      </c>
      <c r="N98" s="1" t="str">
        <f t="shared" si="3"/>
        <v/>
      </c>
    </row>
    <row r="99" spans="2:14">
      <c r="B99" s="1" t="str">
        <f>IF(Protokoll_5p!F105="","",IF(VALUE(LEFT(Protokoll_5p!F105,FIND(":",Protokoll_5p!F105)-1))&gt;VALUE(RIGHT(Protokoll_5p!F105,LEN(Protokoll_5p!F105)-FIND(":",Protokoll_5p!F105))),1,0))</f>
        <v/>
      </c>
      <c r="C99" s="1" t="str">
        <f>IF(Protokoll_5p!G105="","",IF(VALUE(LEFT(Protokoll_5p!G105,FIND(":",Protokoll_5p!G105)-1))&gt;VALUE(RIGHT(Protokoll_5p!G105,LEN(Protokoll_5p!G105)-FIND(":",Protokoll_5p!G105))),1,0))</f>
        <v/>
      </c>
      <c r="D99" s="1" t="str">
        <f>IF(Protokoll_5p!H105="","",IF(VALUE(LEFT(Protokoll_5p!H105,FIND(":",Protokoll_5p!H105)-1))&gt;VALUE(RIGHT(Protokoll_5p!H105,LEN(Protokoll_5p!H105)-FIND(":",Protokoll_5p!H105))),1,0))</f>
        <v/>
      </c>
      <c r="E99" s="1" t="str">
        <f>IF(Protokoll_5p!I105="","",IF(VALUE(LEFT(Protokoll_5p!I105,FIND(":",Protokoll_5p!I105)-1))&gt;VALUE(RIGHT(Protokoll_5p!I105,LEN(Protokoll_5p!I105)-FIND(":",Protokoll_5p!I105))),1,0))</f>
        <v/>
      </c>
      <c r="F99" s="1" t="str">
        <f>IF(Protokoll_5p!J105="","",IF(VALUE(LEFT(Protokoll_5p!J105,FIND(":",Protokoll_5p!J105)-1))&gt;VALUE(RIGHT(Protokoll_5p!J105,LEN(Protokoll_5p!J105)-FIND(":",Protokoll_5p!J105))),1,0))</f>
        <v/>
      </c>
      <c r="G99" s="1" t="str">
        <f t="shared" si="2"/>
        <v/>
      </c>
      <c r="I99" s="1" t="str">
        <f>IF(Protokoll_5p!F105="","",IF(VALUE(LEFT(Protokoll_5p!F105,FIND(":",Protokoll_5p!F105)-1))&gt;VALUE(RIGHT(Protokoll_5p!F105,LEN(Protokoll_5p!F105)-FIND(":",Protokoll_5p!F105))),0,1))</f>
        <v/>
      </c>
      <c r="J99" s="1" t="str">
        <f>IF(Protokoll_5p!G105="","",IF(VALUE(LEFT(Protokoll_5p!G105,FIND(":",Protokoll_5p!G105)-1))&gt;VALUE(RIGHT(Protokoll_5p!G105,LEN(Protokoll_5p!G105)-FIND(":",Protokoll_5p!G105))),0,1))</f>
        <v/>
      </c>
      <c r="K99" s="1" t="str">
        <f>IF(Protokoll_5p!H105="","",IF(VALUE(LEFT(Protokoll_5p!H105,FIND(":",Protokoll_5p!H105)-1))&gt;VALUE(RIGHT(Protokoll_5p!H105,LEN(Protokoll_5p!H105)-FIND(":",Protokoll_5p!H105))),0,1))</f>
        <v/>
      </c>
      <c r="L99" s="1" t="str">
        <f>IF(Protokoll_5p!I105="","",IF(VALUE(LEFT(Protokoll_5p!I105,FIND(":",Protokoll_5p!I105)-1))&gt;VALUE(RIGHT(Protokoll_5p!I105,LEN(Protokoll_5p!I105)-FIND(":",Protokoll_5p!I105))),0,1))</f>
        <v/>
      </c>
      <c r="M99" s="1" t="str">
        <f>IF(Protokoll_5p!J105="","",IF(VALUE(LEFT(Protokoll_5p!J105,FIND(":",Protokoll_5p!J105)-1))&gt;VALUE(RIGHT(Protokoll_5p!J105,LEN(Protokoll_5p!J105)-FIND(":",Protokoll_5p!J105))),0,1))</f>
        <v/>
      </c>
      <c r="N99" s="1" t="str">
        <f t="shared" si="3"/>
        <v/>
      </c>
    </row>
    <row r="100" spans="2:14">
      <c r="B100" s="1" t="str">
        <f>IF(Protokoll_5p!F106="","",IF(VALUE(LEFT(Protokoll_5p!F106,FIND(":",Protokoll_5p!F106)-1))&gt;VALUE(RIGHT(Protokoll_5p!F106,LEN(Protokoll_5p!F106)-FIND(":",Protokoll_5p!F106))),1,0))</f>
        <v/>
      </c>
      <c r="C100" s="1" t="str">
        <f>IF(Protokoll_5p!G106="","",IF(VALUE(LEFT(Protokoll_5p!G106,FIND(":",Protokoll_5p!G106)-1))&gt;VALUE(RIGHT(Protokoll_5p!G106,LEN(Protokoll_5p!G106)-FIND(":",Protokoll_5p!G106))),1,0))</f>
        <v/>
      </c>
      <c r="D100" s="1" t="str">
        <f>IF(Protokoll_5p!H106="","",IF(VALUE(LEFT(Protokoll_5p!H106,FIND(":",Protokoll_5p!H106)-1))&gt;VALUE(RIGHT(Protokoll_5p!H106,LEN(Protokoll_5p!H106)-FIND(":",Protokoll_5p!H106))),1,0))</f>
        <v/>
      </c>
      <c r="E100" s="1" t="str">
        <f>IF(Protokoll_5p!I106="","",IF(VALUE(LEFT(Protokoll_5p!I106,FIND(":",Protokoll_5p!I106)-1))&gt;VALUE(RIGHT(Protokoll_5p!I106,LEN(Protokoll_5p!I106)-FIND(":",Protokoll_5p!I106))),1,0))</f>
        <v/>
      </c>
      <c r="F100" s="1" t="str">
        <f>IF(Protokoll_5p!J106="","",IF(VALUE(LEFT(Protokoll_5p!J106,FIND(":",Protokoll_5p!J106)-1))&gt;VALUE(RIGHT(Protokoll_5p!J106,LEN(Protokoll_5p!J106)-FIND(":",Protokoll_5p!J106))),1,0))</f>
        <v/>
      </c>
      <c r="G100" s="1" t="str">
        <f t="shared" si="2"/>
        <v/>
      </c>
      <c r="I100" s="1" t="str">
        <f>IF(Protokoll_5p!F106="","",IF(VALUE(LEFT(Protokoll_5p!F106,FIND(":",Protokoll_5p!F106)-1))&gt;VALUE(RIGHT(Protokoll_5p!F106,LEN(Protokoll_5p!F106)-FIND(":",Protokoll_5p!F106))),0,1))</f>
        <v/>
      </c>
      <c r="J100" s="1" t="str">
        <f>IF(Protokoll_5p!G106="","",IF(VALUE(LEFT(Protokoll_5p!G106,FIND(":",Protokoll_5p!G106)-1))&gt;VALUE(RIGHT(Protokoll_5p!G106,LEN(Protokoll_5p!G106)-FIND(":",Protokoll_5p!G106))),0,1))</f>
        <v/>
      </c>
      <c r="K100" s="1" t="str">
        <f>IF(Protokoll_5p!H106="","",IF(VALUE(LEFT(Protokoll_5p!H106,FIND(":",Protokoll_5p!H106)-1))&gt;VALUE(RIGHT(Protokoll_5p!H106,LEN(Protokoll_5p!H106)-FIND(":",Protokoll_5p!H106))),0,1))</f>
        <v/>
      </c>
      <c r="L100" s="1" t="str">
        <f>IF(Protokoll_5p!I106="","",IF(VALUE(LEFT(Protokoll_5p!I106,FIND(":",Protokoll_5p!I106)-1))&gt;VALUE(RIGHT(Protokoll_5p!I106,LEN(Protokoll_5p!I106)-FIND(":",Protokoll_5p!I106))),0,1))</f>
        <v/>
      </c>
      <c r="M100" s="1" t="str">
        <f>IF(Protokoll_5p!J106="","",IF(VALUE(LEFT(Protokoll_5p!J106,FIND(":",Protokoll_5p!J106)-1))&gt;VALUE(RIGHT(Protokoll_5p!J106,LEN(Protokoll_5p!J106)-FIND(":",Protokoll_5p!J106))),0,1))</f>
        <v/>
      </c>
      <c r="N100" s="1" t="str">
        <f t="shared" si="3"/>
        <v/>
      </c>
    </row>
    <row r="101" spans="2:14">
      <c r="B101" s="1" t="e">
        <f>IF(Protokoll_5p!F107="","",IF(VALUE(LEFT(Protokoll_5p!F107,FIND(":",Protokoll_5p!F107)-1))&gt;VALUE(RIGHT(Protokoll_5p!F107,LEN(Protokoll_5p!F107)-FIND(":",Protokoll_5p!F107))),1,0))</f>
        <v>#VALUE!</v>
      </c>
      <c r="C101" s="1" t="e">
        <f>IF(Protokoll_5p!G107="","",IF(VALUE(LEFT(Protokoll_5p!G107,FIND(":",Protokoll_5p!G107)-1))&gt;VALUE(RIGHT(Protokoll_5p!G107,LEN(Protokoll_5p!G107)-FIND(":",Protokoll_5p!G107))),1,0))</f>
        <v>#VALUE!</v>
      </c>
      <c r="D101" s="1" t="e">
        <f>IF(Protokoll_5p!H107="","",IF(VALUE(LEFT(Protokoll_5p!H107,FIND(":",Protokoll_5p!H107)-1))&gt;VALUE(RIGHT(Protokoll_5p!H107,LEN(Protokoll_5p!H107)-FIND(":",Protokoll_5p!H107))),1,0))</f>
        <v>#VALUE!</v>
      </c>
      <c r="E101" s="1" t="e">
        <f>IF(Protokoll_5p!I107="","",IF(VALUE(LEFT(Protokoll_5p!I107,FIND(":",Protokoll_5p!I107)-1))&gt;VALUE(RIGHT(Protokoll_5p!I107,LEN(Protokoll_5p!I107)-FIND(":",Protokoll_5p!I107))),1,0))</f>
        <v>#VALUE!</v>
      </c>
      <c r="F101" s="1" t="e">
        <f>IF(Protokoll_5p!J107="","",IF(VALUE(LEFT(Protokoll_5p!J107,FIND(":",Protokoll_5p!J107)-1))&gt;VALUE(RIGHT(Protokoll_5p!J107,LEN(Protokoll_5p!J107)-FIND(":",Protokoll_5p!J107))),1,0))</f>
        <v>#VALUE!</v>
      </c>
      <c r="G101" s="1" t="e">
        <f t="shared" si="2"/>
        <v>#VALUE!</v>
      </c>
      <c r="I101" s="1" t="e">
        <f>IF(Protokoll_5p!F107="","",IF(VALUE(LEFT(Protokoll_5p!F107,FIND(":",Protokoll_5p!F107)-1))&gt;VALUE(RIGHT(Protokoll_5p!F107,LEN(Protokoll_5p!F107)-FIND(":",Protokoll_5p!F107))),0,1))</f>
        <v>#VALUE!</v>
      </c>
      <c r="J101" s="1" t="e">
        <f>IF(Protokoll_5p!G107="","",IF(VALUE(LEFT(Protokoll_5p!G107,FIND(":",Protokoll_5p!G107)-1))&gt;VALUE(RIGHT(Protokoll_5p!G107,LEN(Protokoll_5p!G107)-FIND(":",Protokoll_5p!G107))),0,1))</f>
        <v>#VALUE!</v>
      </c>
      <c r="K101" s="1" t="e">
        <f>IF(Protokoll_5p!H107="","",IF(VALUE(LEFT(Protokoll_5p!H107,FIND(":",Protokoll_5p!H107)-1))&gt;VALUE(RIGHT(Protokoll_5p!H107,LEN(Protokoll_5p!H107)-FIND(":",Protokoll_5p!H107))),0,1))</f>
        <v>#VALUE!</v>
      </c>
      <c r="L101" s="1" t="e">
        <f>IF(Protokoll_5p!I107="","",IF(VALUE(LEFT(Protokoll_5p!I107,FIND(":",Protokoll_5p!I107)-1))&gt;VALUE(RIGHT(Protokoll_5p!I107,LEN(Protokoll_5p!I107)-FIND(":",Protokoll_5p!I107))),0,1))</f>
        <v>#VALUE!</v>
      </c>
      <c r="M101" s="1" t="e">
        <f>IF(Protokoll_5p!J107="","",IF(VALUE(LEFT(Protokoll_5p!J107,FIND(":",Protokoll_5p!J107)-1))&gt;VALUE(RIGHT(Protokoll_5p!J107,LEN(Protokoll_5p!J107)-FIND(":",Protokoll_5p!J107))),0,1))</f>
        <v>#VALUE!</v>
      </c>
      <c r="N101" s="1" t="e">
        <f t="shared" si="3"/>
        <v>#VALUE!</v>
      </c>
    </row>
    <row r="102" spans="2:14">
      <c r="B102" s="1">
        <f>IF(Protokoll_5p!F108="","",IF(VALUE(LEFT(Protokoll_5p!F108,FIND(":",Protokoll_5p!F108)-1))&gt;VALUE(RIGHT(Protokoll_5p!F108,LEN(Protokoll_5p!F108)-FIND(":",Protokoll_5p!F108))),1,0))</f>
        <v>0</v>
      </c>
      <c r="C102" s="1">
        <f>IF(Protokoll_5p!G108="","",IF(VALUE(LEFT(Protokoll_5p!G108,FIND(":",Protokoll_5p!G108)-1))&gt;VALUE(RIGHT(Protokoll_5p!G108,LEN(Protokoll_5p!G108)-FIND(":",Protokoll_5p!G108))),1,0))</f>
        <v>0</v>
      </c>
      <c r="D102" s="1">
        <f>IF(Protokoll_5p!H108="","",IF(VALUE(LEFT(Protokoll_5p!H108,FIND(":",Protokoll_5p!H108)-1))&gt;VALUE(RIGHT(Protokoll_5p!H108,LEN(Protokoll_5p!H108)-FIND(":",Protokoll_5p!H108))),1,0))</f>
        <v>0</v>
      </c>
      <c r="E102" s="1" t="str">
        <f>IF(Protokoll_5p!I108="","",IF(VALUE(LEFT(Protokoll_5p!I108,FIND(":",Protokoll_5p!I108)-1))&gt;VALUE(RIGHT(Protokoll_5p!I108,LEN(Protokoll_5p!I108)-FIND(":",Protokoll_5p!I108))),1,0))</f>
        <v/>
      </c>
      <c r="F102" s="1" t="str">
        <f>IF(Protokoll_5p!J108="","",IF(VALUE(LEFT(Protokoll_5p!J108,FIND(":",Protokoll_5p!J108)-1))&gt;VALUE(RIGHT(Protokoll_5p!J108,LEN(Protokoll_5p!J108)-FIND(":",Protokoll_5p!J108))),1,0))</f>
        <v/>
      </c>
      <c r="G102" s="1">
        <f t="shared" si="2"/>
        <v>0</v>
      </c>
      <c r="I102" s="1">
        <f>IF(Protokoll_5p!F108="","",IF(VALUE(LEFT(Protokoll_5p!F108,FIND(":",Protokoll_5p!F108)-1))&gt;VALUE(RIGHT(Protokoll_5p!F108,LEN(Protokoll_5p!F108)-FIND(":",Protokoll_5p!F108))),0,1))</f>
        <v>1</v>
      </c>
      <c r="J102" s="1">
        <f>IF(Protokoll_5p!G108="","",IF(VALUE(LEFT(Protokoll_5p!G108,FIND(":",Protokoll_5p!G108)-1))&gt;VALUE(RIGHT(Protokoll_5p!G108,LEN(Protokoll_5p!G108)-FIND(":",Protokoll_5p!G108))),0,1))</f>
        <v>1</v>
      </c>
      <c r="K102" s="1">
        <f>IF(Protokoll_5p!H108="","",IF(VALUE(LEFT(Protokoll_5p!H108,FIND(":",Protokoll_5p!H108)-1))&gt;VALUE(RIGHT(Protokoll_5p!H108,LEN(Protokoll_5p!H108)-FIND(":",Protokoll_5p!H108))),0,1))</f>
        <v>1</v>
      </c>
      <c r="L102" s="1" t="str">
        <f>IF(Protokoll_5p!I108="","",IF(VALUE(LEFT(Protokoll_5p!I108,FIND(":",Protokoll_5p!I108)-1))&gt;VALUE(RIGHT(Protokoll_5p!I108,LEN(Protokoll_5p!I108)-FIND(":",Protokoll_5p!I108))),0,1))</f>
        <v/>
      </c>
      <c r="M102" s="1" t="str">
        <f>IF(Protokoll_5p!J108="","",IF(VALUE(LEFT(Protokoll_5p!J108,FIND(":",Protokoll_5p!J108)-1))&gt;VALUE(RIGHT(Protokoll_5p!J108,LEN(Protokoll_5p!J108)-FIND(":",Protokoll_5p!J108))),0,1))</f>
        <v/>
      </c>
      <c r="N102" s="1">
        <f t="shared" si="3"/>
        <v>3</v>
      </c>
    </row>
    <row r="103" spans="2:14">
      <c r="B103" s="1">
        <f>IF(Protokoll_5p!F109="","",IF(VALUE(LEFT(Protokoll_5p!F109,FIND(":",Protokoll_5p!F109)-1))&gt;VALUE(RIGHT(Protokoll_5p!F109,LEN(Protokoll_5p!F109)-FIND(":",Protokoll_5p!F109))),1,0))</f>
        <v>0</v>
      </c>
      <c r="C103" s="1">
        <f>IF(Protokoll_5p!G109="","",IF(VALUE(LEFT(Protokoll_5p!G109,FIND(":",Protokoll_5p!G109)-1))&gt;VALUE(RIGHT(Protokoll_5p!G109,LEN(Protokoll_5p!G109)-FIND(":",Protokoll_5p!G109))),1,0))</f>
        <v>0</v>
      </c>
      <c r="D103" s="1">
        <f>IF(Protokoll_5p!H109="","",IF(VALUE(LEFT(Protokoll_5p!H109,FIND(":",Protokoll_5p!H109)-1))&gt;VALUE(RIGHT(Protokoll_5p!H109,LEN(Protokoll_5p!H109)-FIND(":",Protokoll_5p!H109))),1,0))</f>
        <v>0</v>
      </c>
      <c r="E103" s="1" t="str">
        <f>IF(Protokoll_5p!I109="","",IF(VALUE(LEFT(Protokoll_5p!I109,FIND(":",Protokoll_5p!I109)-1))&gt;VALUE(RIGHT(Protokoll_5p!I109,LEN(Protokoll_5p!I109)-FIND(":",Protokoll_5p!I109))),1,0))</f>
        <v/>
      </c>
      <c r="F103" s="1" t="str">
        <f>IF(Protokoll_5p!J109="","",IF(VALUE(LEFT(Protokoll_5p!J109,FIND(":",Protokoll_5p!J109)-1))&gt;VALUE(RIGHT(Protokoll_5p!J109,LEN(Protokoll_5p!J109)-FIND(":",Protokoll_5p!J109))),1,0))</f>
        <v/>
      </c>
      <c r="G103" s="1">
        <f t="shared" si="2"/>
        <v>0</v>
      </c>
      <c r="I103" s="1">
        <f>IF(Protokoll_5p!F109="","",IF(VALUE(LEFT(Protokoll_5p!F109,FIND(":",Protokoll_5p!F109)-1))&gt;VALUE(RIGHT(Protokoll_5p!F109,LEN(Protokoll_5p!F109)-FIND(":",Protokoll_5p!F109))),0,1))</f>
        <v>1</v>
      </c>
      <c r="J103" s="1">
        <f>IF(Protokoll_5p!G109="","",IF(VALUE(LEFT(Protokoll_5p!G109,FIND(":",Protokoll_5p!G109)-1))&gt;VALUE(RIGHT(Protokoll_5p!G109,LEN(Protokoll_5p!G109)-FIND(":",Protokoll_5p!G109))),0,1))</f>
        <v>1</v>
      </c>
      <c r="K103" s="1">
        <f>IF(Protokoll_5p!H109="","",IF(VALUE(LEFT(Protokoll_5p!H109,FIND(":",Protokoll_5p!H109)-1))&gt;VALUE(RIGHT(Protokoll_5p!H109,LEN(Protokoll_5p!H109)-FIND(":",Protokoll_5p!H109))),0,1))</f>
        <v>1</v>
      </c>
      <c r="L103" s="1" t="str">
        <f>IF(Protokoll_5p!I109="","",IF(VALUE(LEFT(Protokoll_5p!I109,FIND(":",Protokoll_5p!I109)-1))&gt;VALUE(RIGHT(Protokoll_5p!I109,LEN(Protokoll_5p!I109)-FIND(":",Protokoll_5p!I109))),0,1))</f>
        <v/>
      </c>
      <c r="M103" s="1" t="str">
        <f>IF(Protokoll_5p!J109="","",IF(VALUE(LEFT(Protokoll_5p!J109,FIND(":",Protokoll_5p!J109)-1))&gt;VALUE(RIGHT(Protokoll_5p!J109,LEN(Protokoll_5p!J109)-FIND(":",Protokoll_5p!J109))),0,1))</f>
        <v/>
      </c>
      <c r="N103" s="1">
        <f t="shared" si="3"/>
        <v>3</v>
      </c>
    </row>
    <row r="104" spans="2:14">
      <c r="B104" s="1">
        <f>IF(Protokoll_5p!F110="","",IF(VALUE(LEFT(Protokoll_5p!F110,FIND(":",Protokoll_5p!F110)-1))&gt;VALUE(RIGHT(Protokoll_5p!F110,LEN(Protokoll_5p!F110)-FIND(":",Protokoll_5p!F110))),1,0))</f>
        <v>0</v>
      </c>
      <c r="C104" s="1">
        <f>IF(Protokoll_5p!G110="","",IF(VALUE(LEFT(Protokoll_5p!G110,FIND(":",Protokoll_5p!G110)-1))&gt;VALUE(RIGHT(Protokoll_5p!G110,LEN(Protokoll_5p!G110)-FIND(":",Protokoll_5p!G110))),1,0))</f>
        <v>0</v>
      </c>
      <c r="D104" s="1">
        <f>IF(Protokoll_5p!H110="","",IF(VALUE(LEFT(Protokoll_5p!H110,FIND(":",Protokoll_5p!H110)-1))&gt;VALUE(RIGHT(Protokoll_5p!H110,LEN(Protokoll_5p!H110)-FIND(":",Protokoll_5p!H110))),1,0))</f>
        <v>1</v>
      </c>
      <c r="E104" s="1">
        <f>IF(Protokoll_5p!I110="","",IF(VALUE(LEFT(Protokoll_5p!I110,FIND(":",Protokoll_5p!I110)-1))&gt;VALUE(RIGHT(Protokoll_5p!I110,LEN(Protokoll_5p!I110)-FIND(":",Protokoll_5p!I110))),1,0))</f>
        <v>1</v>
      </c>
      <c r="F104" s="1">
        <f>IF(Protokoll_5p!J110="","",IF(VALUE(LEFT(Protokoll_5p!J110,FIND(":",Protokoll_5p!J110)-1))&gt;VALUE(RIGHT(Protokoll_5p!J110,LEN(Protokoll_5p!J110)-FIND(":",Protokoll_5p!J110))),1,0))</f>
        <v>0</v>
      </c>
      <c r="G104" s="1">
        <f t="shared" si="2"/>
        <v>2</v>
      </c>
      <c r="I104" s="1">
        <f>IF(Protokoll_5p!F110="","",IF(VALUE(LEFT(Protokoll_5p!F110,FIND(":",Protokoll_5p!F110)-1))&gt;VALUE(RIGHT(Protokoll_5p!F110,LEN(Protokoll_5p!F110)-FIND(":",Protokoll_5p!F110))),0,1))</f>
        <v>1</v>
      </c>
      <c r="J104" s="1">
        <f>IF(Protokoll_5p!G110="","",IF(VALUE(LEFT(Protokoll_5p!G110,FIND(":",Protokoll_5p!G110)-1))&gt;VALUE(RIGHT(Protokoll_5p!G110,LEN(Protokoll_5p!G110)-FIND(":",Protokoll_5p!G110))),0,1))</f>
        <v>1</v>
      </c>
      <c r="K104" s="1">
        <f>IF(Protokoll_5p!H110="","",IF(VALUE(LEFT(Protokoll_5p!H110,FIND(":",Protokoll_5p!H110)-1))&gt;VALUE(RIGHT(Protokoll_5p!H110,LEN(Protokoll_5p!H110)-FIND(":",Protokoll_5p!H110))),0,1))</f>
        <v>0</v>
      </c>
      <c r="L104" s="1">
        <f>IF(Protokoll_5p!I110="","",IF(VALUE(LEFT(Protokoll_5p!I110,FIND(":",Protokoll_5p!I110)-1))&gt;VALUE(RIGHT(Protokoll_5p!I110,LEN(Protokoll_5p!I110)-FIND(":",Protokoll_5p!I110))),0,1))</f>
        <v>0</v>
      </c>
      <c r="M104" s="1">
        <f>IF(Protokoll_5p!J110="","",IF(VALUE(LEFT(Protokoll_5p!J110,FIND(":",Protokoll_5p!J110)-1))&gt;VALUE(RIGHT(Protokoll_5p!J110,LEN(Protokoll_5p!J110)-FIND(":",Protokoll_5p!J110))),0,1))</f>
        <v>1</v>
      </c>
      <c r="N104" s="1">
        <f t="shared" si="3"/>
        <v>3</v>
      </c>
    </row>
    <row r="105" spans="2:14">
      <c r="B105" s="1">
        <f>IF(Protokoll_5p!F111="","",IF(VALUE(LEFT(Protokoll_5p!F111,FIND(":",Protokoll_5p!F111)-1))&gt;VALUE(RIGHT(Protokoll_5p!F111,LEN(Protokoll_5p!F111)-FIND(":",Protokoll_5p!F111))),1,0))</f>
        <v>1</v>
      </c>
      <c r="C105" s="1">
        <f>IF(Protokoll_5p!G111="","",IF(VALUE(LEFT(Protokoll_5p!G111,FIND(":",Protokoll_5p!G111)-1))&gt;VALUE(RIGHT(Protokoll_5p!G111,LEN(Protokoll_5p!G111)-FIND(":",Protokoll_5p!G111))),1,0))</f>
        <v>0</v>
      </c>
      <c r="D105" s="1">
        <f>IF(Protokoll_5p!H111="","",IF(VALUE(LEFT(Protokoll_5p!H111,FIND(":",Protokoll_5p!H111)-1))&gt;VALUE(RIGHT(Protokoll_5p!H111,LEN(Protokoll_5p!H111)-FIND(":",Protokoll_5p!H111))),1,0))</f>
        <v>0</v>
      </c>
      <c r="E105" s="1">
        <f>IF(Protokoll_5p!I111="","",IF(VALUE(LEFT(Protokoll_5p!I111,FIND(":",Protokoll_5p!I111)-1))&gt;VALUE(RIGHT(Protokoll_5p!I111,LEN(Protokoll_5p!I111)-FIND(":",Protokoll_5p!I111))),1,0))</f>
        <v>0</v>
      </c>
      <c r="F105" s="1" t="str">
        <f>IF(Protokoll_5p!J111="","",IF(VALUE(LEFT(Protokoll_5p!J111,FIND(":",Protokoll_5p!J111)-1))&gt;VALUE(RIGHT(Protokoll_5p!J111,LEN(Protokoll_5p!J111)-FIND(":",Protokoll_5p!J111))),1,0))</f>
        <v/>
      </c>
      <c r="G105" s="1">
        <f t="shared" si="2"/>
        <v>1</v>
      </c>
      <c r="I105" s="1">
        <f>IF(Protokoll_5p!F111="","",IF(VALUE(LEFT(Protokoll_5p!F111,FIND(":",Protokoll_5p!F111)-1))&gt;VALUE(RIGHT(Protokoll_5p!F111,LEN(Protokoll_5p!F111)-FIND(":",Protokoll_5p!F111))),0,1))</f>
        <v>0</v>
      </c>
      <c r="J105" s="1">
        <f>IF(Protokoll_5p!G111="","",IF(VALUE(LEFT(Protokoll_5p!G111,FIND(":",Protokoll_5p!G111)-1))&gt;VALUE(RIGHT(Protokoll_5p!G111,LEN(Protokoll_5p!G111)-FIND(":",Protokoll_5p!G111))),0,1))</f>
        <v>1</v>
      </c>
      <c r="K105" s="1">
        <f>IF(Protokoll_5p!H111="","",IF(VALUE(LEFT(Protokoll_5p!H111,FIND(":",Protokoll_5p!H111)-1))&gt;VALUE(RIGHT(Protokoll_5p!H111,LEN(Protokoll_5p!H111)-FIND(":",Protokoll_5p!H111))),0,1))</f>
        <v>1</v>
      </c>
      <c r="L105" s="1">
        <f>IF(Protokoll_5p!I111="","",IF(VALUE(LEFT(Protokoll_5p!I111,FIND(":",Protokoll_5p!I111)-1))&gt;VALUE(RIGHT(Protokoll_5p!I111,LEN(Protokoll_5p!I111)-FIND(":",Protokoll_5p!I111))),0,1))</f>
        <v>1</v>
      </c>
      <c r="M105" s="1" t="str">
        <f>IF(Protokoll_5p!J111="","",IF(VALUE(LEFT(Protokoll_5p!J111,FIND(":",Protokoll_5p!J111)-1))&gt;VALUE(RIGHT(Protokoll_5p!J111,LEN(Protokoll_5p!J111)-FIND(":",Protokoll_5p!J111))),0,1))</f>
        <v/>
      </c>
      <c r="N105" s="1">
        <f t="shared" si="3"/>
        <v>3</v>
      </c>
    </row>
    <row r="106" spans="2:14">
      <c r="B106" s="1" t="str">
        <f>IF(Protokoll_5p!F112="","",IF(VALUE(LEFT(Protokoll_5p!F112,FIND(":",Protokoll_5p!F112)-1))&gt;VALUE(RIGHT(Protokoll_5p!F112,LEN(Protokoll_5p!F112)-FIND(":",Protokoll_5p!F112))),1,0))</f>
        <v/>
      </c>
      <c r="C106" s="1" t="str">
        <f>IF(Protokoll_5p!G112="","",IF(VALUE(LEFT(Protokoll_5p!G112,FIND(":",Protokoll_5p!G112)-1))&gt;VALUE(RIGHT(Protokoll_5p!G112,LEN(Protokoll_5p!G112)-FIND(":",Protokoll_5p!G112))),1,0))</f>
        <v/>
      </c>
      <c r="D106" s="1" t="str">
        <f>IF(Protokoll_5p!H112="","",IF(VALUE(LEFT(Protokoll_5p!H112,FIND(":",Protokoll_5p!H112)-1))&gt;VALUE(RIGHT(Protokoll_5p!H112,LEN(Protokoll_5p!H112)-FIND(":",Protokoll_5p!H112))),1,0))</f>
        <v/>
      </c>
      <c r="E106" s="1" t="str">
        <f>IF(Protokoll_5p!I112="","",IF(VALUE(LEFT(Protokoll_5p!I112,FIND(":",Protokoll_5p!I112)-1))&gt;VALUE(RIGHT(Protokoll_5p!I112,LEN(Protokoll_5p!I112)-FIND(":",Protokoll_5p!I112))),1,0))</f>
        <v/>
      </c>
      <c r="F106" s="1" t="str">
        <f>IF(Protokoll_5p!J112="","",IF(VALUE(LEFT(Protokoll_5p!J112,FIND(":",Protokoll_5p!J112)-1))&gt;VALUE(RIGHT(Protokoll_5p!J112,LEN(Protokoll_5p!J112)-FIND(":",Protokoll_5p!J112))),1,0))</f>
        <v/>
      </c>
      <c r="G106" s="1" t="str">
        <f t="shared" si="2"/>
        <v/>
      </c>
      <c r="I106" s="1" t="str">
        <f>IF(Protokoll_5p!F112="","",IF(VALUE(LEFT(Protokoll_5p!F112,FIND(":",Protokoll_5p!F112)-1))&gt;VALUE(RIGHT(Protokoll_5p!F112,LEN(Protokoll_5p!F112)-FIND(":",Protokoll_5p!F112))),0,1))</f>
        <v/>
      </c>
      <c r="J106" s="1" t="str">
        <f>IF(Protokoll_5p!G112="","",IF(VALUE(LEFT(Protokoll_5p!G112,FIND(":",Protokoll_5p!G112)-1))&gt;VALUE(RIGHT(Protokoll_5p!G112,LEN(Protokoll_5p!G112)-FIND(":",Protokoll_5p!G112))),0,1))</f>
        <v/>
      </c>
      <c r="K106" s="1" t="str">
        <f>IF(Protokoll_5p!H112="","",IF(VALUE(LEFT(Protokoll_5p!H112,FIND(":",Protokoll_5p!H112)-1))&gt;VALUE(RIGHT(Protokoll_5p!H112,LEN(Protokoll_5p!H112)-FIND(":",Protokoll_5p!H112))),0,1))</f>
        <v/>
      </c>
      <c r="L106" s="1" t="str">
        <f>IF(Protokoll_5p!I112="","",IF(VALUE(LEFT(Protokoll_5p!I112,FIND(":",Protokoll_5p!I112)-1))&gt;VALUE(RIGHT(Protokoll_5p!I112,LEN(Protokoll_5p!I112)-FIND(":",Protokoll_5p!I112))),0,1))</f>
        <v/>
      </c>
      <c r="M106" s="1" t="str">
        <f>IF(Protokoll_5p!J112="","",IF(VALUE(LEFT(Protokoll_5p!J112,FIND(":",Protokoll_5p!J112)-1))&gt;VALUE(RIGHT(Protokoll_5p!J112,LEN(Protokoll_5p!J112)-FIND(":",Protokoll_5p!J112))),0,1))</f>
        <v/>
      </c>
      <c r="N106" s="1" t="str">
        <f t="shared" si="3"/>
        <v/>
      </c>
    </row>
    <row r="107" spans="2:14">
      <c r="B107" s="1" t="str">
        <f>IF(Protokoll_5p!F113="","",IF(VALUE(LEFT(Protokoll_5p!F113,FIND(":",Protokoll_5p!F113)-1))&gt;VALUE(RIGHT(Protokoll_5p!F113,LEN(Protokoll_5p!F113)-FIND(":",Protokoll_5p!F113))),1,0))</f>
        <v/>
      </c>
      <c r="C107" s="1" t="str">
        <f>IF(Protokoll_5p!G113="","",IF(VALUE(LEFT(Protokoll_5p!G113,FIND(":",Protokoll_5p!G113)-1))&gt;VALUE(RIGHT(Protokoll_5p!G113,LEN(Protokoll_5p!G113)-FIND(":",Protokoll_5p!G113))),1,0))</f>
        <v/>
      </c>
      <c r="D107" s="1" t="str">
        <f>IF(Protokoll_5p!H113="","",IF(VALUE(LEFT(Protokoll_5p!H113,FIND(":",Protokoll_5p!H113)-1))&gt;VALUE(RIGHT(Protokoll_5p!H113,LEN(Protokoll_5p!H113)-FIND(":",Protokoll_5p!H113))),1,0))</f>
        <v/>
      </c>
      <c r="E107" s="1" t="str">
        <f>IF(Protokoll_5p!I113="","",IF(VALUE(LEFT(Protokoll_5p!I113,FIND(":",Protokoll_5p!I113)-1))&gt;VALUE(RIGHT(Protokoll_5p!I113,LEN(Protokoll_5p!I113)-FIND(":",Protokoll_5p!I113))),1,0))</f>
        <v/>
      </c>
      <c r="F107" s="1" t="str">
        <f>IF(Protokoll_5p!J113="","",IF(VALUE(LEFT(Protokoll_5p!J113,FIND(":",Protokoll_5p!J113)-1))&gt;VALUE(RIGHT(Protokoll_5p!J113,LEN(Protokoll_5p!J113)-FIND(":",Protokoll_5p!J113))),1,0))</f>
        <v/>
      </c>
      <c r="G107" s="1" t="str">
        <f t="shared" si="2"/>
        <v/>
      </c>
      <c r="I107" s="1" t="str">
        <f>IF(Protokoll_5p!F113="","",IF(VALUE(LEFT(Protokoll_5p!F113,FIND(":",Protokoll_5p!F113)-1))&gt;VALUE(RIGHT(Protokoll_5p!F113,LEN(Protokoll_5p!F113)-FIND(":",Protokoll_5p!F113))),0,1))</f>
        <v/>
      </c>
      <c r="J107" s="1" t="str">
        <f>IF(Protokoll_5p!G113="","",IF(VALUE(LEFT(Protokoll_5p!G113,FIND(":",Protokoll_5p!G113)-1))&gt;VALUE(RIGHT(Protokoll_5p!G113,LEN(Protokoll_5p!G113)-FIND(":",Protokoll_5p!G113))),0,1))</f>
        <v/>
      </c>
      <c r="K107" s="1" t="str">
        <f>IF(Protokoll_5p!H113="","",IF(VALUE(LEFT(Protokoll_5p!H113,FIND(":",Protokoll_5p!H113)-1))&gt;VALUE(RIGHT(Protokoll_5p!H113,LEN(Protokoll_5p!H113)-FIND(":",Protokoll_5p!H113))),0,1))</f>
        <v/>
      </c>
      <c r="L107" s="1" t="str">
        <f>IF(Protokoll_5p!I113="","",IF(VALUE(LEFT(Protokoll_5p!I113,FIND(":",Protokoll_5p!I113)-1))&gt;VALUE(RIGHT(Protokoll_5p!I113,LEN(Protokoll_5p!I113)-FIND(":",Protokoll_5p!I113))),0,1))</f>
        <v/>
      </c>
      <c r="M107" s="1" t="str">
        <f>IF(Protokoll_5p!J113="","",IF(VALUE(LEFT(Protokoll_5p!J113,FIND(":",Protokoll_5p!J113)-1))&gt;VALUE(RIGHT(Protokoll_5p!J113,LEN(Protokoll_5p!J113)-FIND(":",Protokoll_5p!J113))),0,1))</f>
        <v/>
      </c>
      <c r="N107" s="1" t="str">
        <f t="shared" si="3"/>
        <v/>
      </c>
    </row>
    <row r="108" spans="2:14">
      <c r="B108" s="1" t="str">
        <f>IF(Protokoll_5p!F114="","",IF(VALUE(LEFT(Protokoll_5p!F114,FIND(":",Protokoll_5p!F114)-1))&gt;VALUE(RIGHT(Protokoll_5p!F114,LEN(Protokoll_5p!F114)-FIND(":",Protokoll_5p!F114))),1,0))</f>
        <v/>
      </c>
      <c r="C108" s="1" t="str">
        <f>IF(Protokoll_5p!G114="","",IF(VALUE(LEFT(Protokoll_5p!G114,FIND(":",Protokoll_5p!G114)-1))&gt;VALUE(RIGHT(Protokoll_5p!G114,LEN(Protokoll_5p!G114)-FIND(":",Protokoll_5p!G114))),1,0))</f>
        <v/>
      </c>
      <c r="D108" s="1" t="str">
        <f>IF(Protokoll_5p!H114="","",IF(VALUE(LEFT(Protokoll_5p!H114,FIND(":",Protokoll_5p!H114)-1))&gt;VALUE(RIGHT(Protokoll_5p!H114,LEN(Protokoll_5p!H114)-FIND(":",Protokoll_5p!H114))),1,0))</f>
        <v/>
      </c>
      <c r="E108" s="1" t="str">
        <f>IF(Protokoll_5p!I114="","",IF(VALUE(LEFT(Protokoll_5p!I114,FIND(":",Protokoll_5p!I114)-1))&gt;VALUE(RIGHT(Protokoll_5p!I114,LEN(Protokoll_5p!I114)-FIND(":",Protokoll_5p!I114))),1,0))</f>
        <v/>
      </c>
      <c r="F108" s="1" t="str">
        <f>IF(Protokoll_5p!J114="","",IF(VALUE(LEFT(Protokoll_5p!J114,FIND(":",Protokoll_5p!J114)-1))&gt;VALUE(RIGHT(Protokoll_5p!J114,LEN(Protokoll_5p!J114)-FIND(":",Protokoll_5p!J114))),1,0))</f>
        <v/>
      </c>
      <c r="G108" s="1" t="str">
        <f t="shared" si="2"/>
        <v/>
      </c>
      <c r="I108" s="1" t="str">
        <f>IF(Protokoll_5p!F114="","",IF(VALUE(LEFT(Protokoll_5p!F114,FIND(":",Protokoll_5p!F114)-1))&gt;VALUE(RIGHT(Protokoll_5p!F114,LEN(Protokoll_5p!F114)-FIND(":",Protokoll_5p!F114))),0,1))</f>
        <v/>
      </c>
      <c r="J108" s="1" t="str">
        <f>IF(Protokoll_5p!G114="","",IF(VALUE(LEFT(Protokoll_5p!G114,FIND(":",Protokoll_5p!G114)-1))&gt;VALUE(RIGHT(Protokoll_5p!G114,LEN(Protokoll_5p!G114)-FIND(":",Protokoll_5p!G114))),0,1))</f>
        <v/>
      </c>
      <c r="K108" s="1" t="str">
        <f>IF(Protokoll_5p!H114="","",IF(VALUE(LEFT(Protokoll_5p!H114,FIND(":",Protokoll_5p!H114)-1))&gt;VALUE(RIGHT(Protokoll_5p!H114,LEN(Protokoll_5p!H114)-FIND(":",Protokoll_5p!H114))),0,1))</f>
        <v/>
      </c>
      <c r="L108" s="1" t="str">
        <f>IF(Protokoll_5p!I114="","",IF(VALUE(LEFT(Protokoll_5p!I114,FIND(":",Protokoll_5p!I114)-1))&gt;VALUE(RIGHT(Protokoll_5p!I114,LEN(Protokoll_5p!I114)-FIND(":",Protokoll_5p!I114))),0,1))</f>
        <v/>
      </c>
      <c r="M108" s="1" t="str">
        <f>IF(Protokoll_5p!J114="","",IF(VALUE(LEFT(Protokoll_5p!J114,FIND(":",Protokoll_5p!J114)-1))&gt;VALUE(RIGHT(Protokoll_5p!J114,LEN(Protokoll_5p!J114)-FIND(":",Protokoll_5p!J114))),0,1))</f>
        <v/>
      </c>
      <c r="N108" s="1" t="str">
        <f t="shared" si="3"/>
        <v/>
      </c>
    </row>
    <row r="109" spans="2:14">
      <c r="B109" s="1" t="str">
        <f>IF(Protokoll_5p!F115="","",IF(VALUE(LEFT(Protokoll_5p!F115,FIND(":",Protokoll_5p!F115)-1))&gt;VALUE(RIGHT(Protokoll_5p!F115,LEN(Protokoll_5p!F115)-FIND(":",Protokoll_5p!F115))),1,0))</f>
        <v/>
      </c>
      <c r="C109" s="1" t="str">
        <f>IF(Protokoll_5p!G115="","",IF(VALUE(LEFT(Protokoll_5p!G115,FIND(":",Protokoll_5p!G115)-1))&gt;VALUE(RIGHT(Protokoll_5p!G115,LEN(Protokoll_5p!G115)-FIND(":",Protokoll_5p!G115))),1,0))</f>
        <v/>
      </c>
      <c r="D109" s="1" t="str">
        <f>IF(Protokoll_5p!H115="","",IF(VALUE(LEFT(Protokoll_5p!H115,FIND(":",Protokoll_5p!H115)-1))&gt;VALUE(RIGHT(Protokoll_5p!H115,LEN(Protokoll_5p!H115)-FIND(":",Protokoll_5p!H115))),1,0))</f>
        <v/>
      </c>
      <c r="E109" s="1" t="str">
        <f>IF(Protokoll_5p!I115="","",IF(VALUE(LEFT(Protokoll_5p!I115,FIND(":",Protokoll_5p!I115)-1))&gt;VALUE(RIGHT(Protokoll_5p!I115,LEN(Protokoll_5p!I115)-FIND(":",Protokoll_5p!I115))),1,0))</f>
        <v/>
      </c>
      <c r="F109" s="1" t="str">
        <f>IF(Protokoll_5p!J115="","",IF(VALUE(LEFT(Protokoll_5p!J115,FIND(":",Protokoll_5p!J115)-1))&gt;VALUE(RIGHT(Protokoll_5p!J115,LEN(Protokoll_5p!J115)-FIND(":",Protokoll_5p!J115))),1,0))</f>
        <v/>
      </c>
      <c r="G109" s="1" t="str">
        <f t="shared" si="2"/>
        <v/>
      </c>
      <c r="I109" s="1" t="str">
        <f>IF(Protokoll_5p!F115="","",IF(VALUE(LEFT(Protokoll_5p!F115,FIND(":",Protokoll_5p!F115)-1))&gt;VALUE(RIGHT(Protokoll_5p!F115,LEN(Protokoll_5p!F115)-FIND(":",Protokoll_5p!F115))),0,1))</f>
        <v/>
      </c>
      <c r="J109" s="1" t="str">
        <f>IF(Protokoll_5p!G115="","",IF(VALUE(LEFT(Protokoll_5p!G115,FIND(":",Protokoll_5p!G115)-1))&gt;VALUE(RIGHT(Protokoll_5p!G115,LEN(Protokoll_5p!G115)-FIND(":",Protokoll_5p!G115))),0,1))</f>
        <v/>
      </c>
      <c r="K109" s="1" t="str">
        <f>IF(Protokoll_5p!H115="","",IF(VALUE(LEFT(Protokoll_5p!H115,FIND(":",Protokoll_5p!H115)-1))&gt;VALUE(RIGHT(Protokoll_5p!H115,LEN(Protokoll_5p!H115)-FIND(":",Protokoll_5p!H115))),0,1))</f>
        <v/>
      </c>
      <c r="L109" s="1" t="str">
        <f>IF(Protokoll_5p!I115="","",IF(VALUE(LEFT(Protokoll_5p!I115,FIND(":",Protokoll_5p!I115)-1))&gt;VALUE(RIGHT(Protokoll_5p!I115,LEN(Protokoll_5p!I115)-FIND(":",Protokoll_5p!I115))),0,1))</f>
        <v/>
      </c>
      <c r="M109" s="1" t="str">
        <f>IF(Protokoll_5p!J115="","",IF(VALUE(LEFT(Protokoll_5p!J115,FIND(":",Protokoll_5p!J115)-1))&gt;VALUE(RIGHT(Protokoll_5p!J115,LEN(Protokoll_5p!J115)-FIND(":",Protokoll_5p!J115))),0,1))</f>
        <v/>
      </c>
      <c r="N109" s="1" t="str">
        <f t="shared" si="3"/>
        <v/>
      </c>
    </row>
    <row r="110" spans="2:14">
      <c r="B110" s="1" t="str">
        <f>IF(Protokoll_5p!F116="","",IF(VALUE(LEFT(Protokoll_5p!F116,FIND(":",Protokoll_5p!F116)-1))&gt;VALUE(RIGHT(Protokoll_5p!F116,LEN(Protokoll_5p!F116)-FIND(":",Protokoll_5p!F116))),1,0))</f>
        <v/>
      </c>
      <c r="C110" s="1" t="str">
        <f>IF(Protokoll_5p!G116="","",IF(VALUE(LEFT(Protokoll_5p!G116,FIND(":",Protokoll_5p!G116)-1))&gt;VALUE(RIGHT(Protokoll_5p!G116,LEN(Protokoll_5p!G116)-FIND(":",Protokoll_5p!G116))),1,0))</f>
        <v/>
      </c>
      <c r="D110" s="1" t="str">
        <f>IF(Protokoll_5p!H116="","",IF(VALUE(LEFT(Protokoll_5p!H116,FIND(":",Protokoll_5p!H116)-1))&gt;VALUE(RIGHT(Protokoll_5p!H116,LEN(Protokoll_5p!H116)-FIND(":",Protokoll_5p!H116))),1,0))</f>
        <v/>
      </c>
      <c r="E110" s="1" t="str">
        <f>IF(Protokoll_5p!I116="","",IF(VALUE(LEFT(Protokoll_5p!I116,FIND(":",Protokoll_5p!I116)-1))&gt;VALUE(RIGHT(Protokoll_5p!I116,LEN(Protokoll_5p!I116)-FIND(":",Protokoll_5p!I116))),1,0))</f>
        <v/>
      </c>
      <c r="F110" s="1" t="str">
        <f>IF(Protokoll_5p!J116="","",IF(VALUE(LEFT(Protokoll_5p!J116,FIND(":",Protokoll_5p!J116)-1))&gt;VALUE(RIGHT(Protokoll_5p!J116,LEN(Protokoll_5p!J116)-FIND(":",Protokoll_5p!J116))),1,0))</f>
        <v/>
      </c>
      <c r="G110" s="1" t="str">
        <f t="shared" si="2"/>
        <v/>
      </c>
      <c r="I110" s="1" t="str">
        <f>IF(Protokoll_5p!F116="","",IF(VALUE(LEFT(Protokoll_5p!F116,FIND(":",Protokoll_5p!F116)-1))&gt;VALUE(RIGHT(Protokoll_5p!F116,LEN(Protokoll_5p!F116)-FIND(":",Protokoll_5p!F116))),0,1))</f>
        <v/>
      </c>
      <c r="J110" s="1" t="str">
        <f>IF(Protokoll_5p!G116="","",IF(VALUE(LEFT(Protokoll_5p!G116,FIND(":",Protokoll_5p!G116)-1))&gt;VALUE(RIGHT(Protokoll_5p!G116,LEN(Protokoll_5p!G116)-FIND(":",Protokoll_5p!G116))),0,1))</f>
        <v/>
      </c>
      <c r="K110" s="1" t="str">
        <f>IF(Protokoll_5p!H116="","",IF(VALUE(LEFT(Protokoll_5p!H116,FIND(":",Protokoll_5p!H116)-1))&gt;VALUE(RIGHT(Protokoll_5p!H116,LEN(Protokoll_5p!H116)-FIND(":",Protokoll_5p!H116))),0,1))</f>
        <v/>
      </c>
      <c r="L110" s="1" t="str">
        <f>IF(Protokoll_5p!I116="","",IF(VALUE(LEFT(Protokoll_5p!I116,FIND(":",Protokoll_5p!I116)-1))&gt;VALUE(RIGHT(Protokoll_5p!I116,LEN(Protokoll_5p!I116)-FIND(":",Protokoll_5p!I116))),0,1))</f>
        <v/>
      </c>
      <c r="M110" s="1" t="str">
        <f>IF(Protokoll_5p!J116="","",IF(VALUE(LEFT(Protokoll_5p!J116,FIND(":",Protokoll_5p!J116)-1))&gt;VALUE(RIGHT(Protokoll_5p!J116,LEN(Protokoll_5p!J116)-FIND(":",Protokoll_5p!J116))),0,1))</f>
        <v/>
      </c>
      <c r="N110" s="1" t="str">
        <f t="shared" si="3"/>
        <v/>
      </c>
    </row>
    <row r="111" spans="2:14">
      <c r="B111" s="1" t="e">
        <f>IF(Protokoll_5p!F117="","",IF(VALUE(LEFT(Protokoll_5p!F117,FIND(":",Protokoll_5p!F117)-1))&gt;VALUE(RIGHT(Protokoll_5p!F117,LEN(Protokoll_5p!F117)-FIND(":",Protokoll_5p!F117))),1,0))</f>
        <v>#VALUE!</v>
      </c>
      <c r="C111" s="1" t="e">
        <f>IF(Protokoll_5p!G117="","",IF(VALUE(LEFT(Protokoll_5p!G117,FIND(":",Protokoll_5p!G117)-1))&gt;VALUE(RIGHT(Protokoll_5p!G117,LEN(Protokoll_5p!G117)-FIND(":",Protokoll_5p!G117))),1,0))</f>
        <v>#VALUE!</v>
      </c>
      <c r="D111" s="1" t="e">
        <f>IF(Protokoll_5p!H117="","",IF(VALUE(LEFT(Protokoll_5p!H117,FIND(":",Protokoll_5p!H117)-1))&gt;VALUE(RIGHT(Protokoll_5p!H117,LEN(Protokoll_5p!H117)-FIND(":",Protokoll_5p!H117))),1,0))</f>
        <v>#VALUE!</v>
      </c>
      <c r="E111" s="1" t="e">
        <f>IF(Protokoll_5p!I117="","",IF(VALUE(LEFT(Protokoll_5p!I117,FIND(":",Protokoll_5p!I117)-1))&gt;VALUE(RIGHT(Protokoll_5p!I117,LEN(Protokoll_5p!I117)-FIND(":",Protokoll_5p!I117))),1,0))</f>
        <v>#VALUE!</v>
      </c>
      <c r="F111" s="1" t="e">
        <f>IF(Protokoll_5p!J117="","",IF(VALUE(LEFT(Protokoll_5p!J117,FIND(":",Protokoll_5p!J117)-1))&gt;VALUE(RIGHT(Protokoll_5p!J117,LEN(Protokoll_5p!J117)-FIND(":",Protokoll_5p!J117))),1,0))</f>
        <v>#VALUE!</v>
      </c>
      <c r="G111" s="1" t="e">
        <f t="shared" si="2"/>
        <v>#VALUE!</v>
      </c>
      <c r="I111" s="1" t="e">
        <f>IF(Protokoll_5p!F117="","",IF(VALUE(LEFT(Protokoll_5p!F117,FIND(":",Protokoll_5p!F117)-1))&gt;VALUE(RIGHT(Protokoll_5p!F117,LEN(Protokoll_5p!F117)-FIND(":",Protokoll_5p!F117))),0,1))</f>
        <v>#VALUE!</v>
      </c>
      <c r="J111" s="1" t="e">
        <f>IF(Protokoll_5p!G117="","",IF(VALUE(LEFT(Protokoll_5p!G117,FIND(":",Protokoll_5p!G117)-1))&gt;VALUE(RIGHT(Protokoll_5p!G117,LEN(Protokoll_5p!G117)-FIND(":",Protokoll_5p!G117))),0,1))</f>
        <v>#VALUE!</v>
      </c>
      <c r="K111" s="1" t="e">
        <f>IF(Protokoll_5p!H117="","",IF(VALUE(LEFT(Protokoll_5p!H117,FIND(":",Protokoll_5p!H117)-1))&gt;VALUE(RIGHT(Protokoll_5p!H117,LEN(Protokoll_5p!H117)-FIND(":",Protokoll_5p!H117))),0,1))</f>
        <v>#VALUE!</v>
      </c>
      <c r="L111" s="1" t="e">
        <f>IF(Protokoll_5p!I117="","",IF(VALUE(LEFT(Protokoll_5p!I117,FIND(":",Protokoll_5p!I117)-1))&gt;VALUE(RIGHT(Protokoll_5p!I117,LEN(Protokoll_5p!I117)-FIND(":",Protokoll_5p!I117))),0,1))</f>
        <v>#VALUE!</v>
      </c>
      <c r="M111" s="1" t="e">
        <f>IF(Protokoll_5p!J117="","",IF(VALUE(LEFT(Protokoll_5p!J117,FIND(":",Protokoll_5p!J117)-1))&gt;VALUE(RIGHT(Protokoll_5p!J117,LEN(Protokoll_5p!J117)-FIND(":",Protokoll_5p!J117))),0,1))</f>
        <v>#VALUE!</v>
      </c>
      <c r="N111" s="1" t="e">
        <f t="shared" si="3"/>
        <v>#VALUE!</v>
      </c>
    </row>
    <row r="112" spans="2:14">
      <c r="B112" s="1">
        <f>IF(Protokoll_5p!F118="","",IF(VALUE(LEFT(Protokoll_5p!F118,FIND(":",Protokoll_5p!F118)-1))&gt;VALUE(RIGHT(Protokoll_5p!F118,LEN(Protokoll_5p!F118)-FIND(":",Protokoll_5p!F118))),1,0))</f>
        <v>0</v>
      </c>
      <c r="C112" s="1">
        <f>IF(Protokoll_5p!G118="","",IF(VALUE(LEFT(Protokoll_5p!G118,FIND(":",Protokoll_5p!G118)-1))&gt;VALUE(RIGHT(Protokoll_5p!G118,LEN(Protokoll_5p!G118)-FIND(":",Protokoll_5p!G118))),1,0))</f>
        <v>0</v>
      </c>
      <c r="D112" s="1">
        <f>IF(Protokoll_5p!H118="","",IF(VALUE(LEFT(Protokoll_5p!H118,FIND(":",Protokoll_5p!H118)-1))&gt;VALUE(RIGHT(Protokoll_5p!H118,LEN(Protokoll_5p!H118)-FIND(":",Protokoll_5p!H118))),1,0))</f>
        <v>0</v>
      </c>
      <c r="E112" s="1" t="str">
        <f>IF(Protokoll_5p!I118="","",IF(VALUE(LEFT(Protokoll_5p!I118,FIND(":",Protokoll_5p!I118)-1))&gt;VALUE(RIGHT(Protokoll_5p!I118,LEN(Protokoll_5p!I118)-FIND(":",Protokoll_5p!I118))),1,0))</f>
        <v/>
      </c>
      <c r="F112" s="1" t="str">
        <f>IF(Protokoll_5p!J118="","",IF(VALUE(LEFT(Protokoll_5p!J118,FIND(":",Protokoll_5p!J118)-1))&gt;VALUE(RIGHT(Protokoll_5p!J118,LEN(Protokoll_5p!J118)-FIND(":",Protokoll_5p!J118))),1,0))</f>
        <v/>
      </c>
      <c r="G112" s="1">
        <f t="shared" si="2"/>
        <v>0</v>
      </c>
      <c r="I112" s="1">
        <f>IF(Protokoll_5p!F118="","",IF(VALUE(LEFT(Protokoll_5p!F118,FIND(":",Protokoll_5p!F118)-1))&gt;VALUE(RIGHT(Protokoll_5p!F118,LEN(Protokoll_5p!F118)-FIND(":",Protokoll_5p!F118))),0,1))</f>
        <v>1</v>
      </c>
      <c r="J112" s="1">
        <f>IF(Protokoll_5p!G118="","",IF(VALUE(LEFT(Protokoll_5p!G118,FIND(":",Protokoll_5p!G118)-1))&gt;VALUE(RIGHT(Protokoll_5p!G118,LEN(Protokoll_5p!G118)-FIND(":",Protokoll_5p!G118))),0,1))</f>
        <v>1</v>
      </c>
      <c r="K112" s="1">
        <f>IF(Protokoll_5p!H118="","",IF(VALUE(LEFT(Protokoll_5p!H118,FIND(":",Protokoll_5p!H118)-1))&gt;VALUE(RIGHT(Protokoll_5p!H118,LEN(Protokoll_5p!H118)-FIND(":",Protokoll_5p!H118))),0,1))</f>
        <v>1</v>
      </c>
      <c r="L112" s="1" t="str">
        <f>IF(Protokoll_5p!I118="","",IF(VALUE(LEFT(Protokoll_5p!I118,FIND(":",Protokoll_5p!I118)-1))&gt;VALUE(RIGHT(Protokoll_5p!I118,LEN(Protokoll_5p!I118)-FIND(":",Protokoll_5p!I118))),0,1))</f>
        <v/>
      </c>
      <c r="M112" s="1" t="str">
        <f>IF(Protokoll_5p!J118="","",IF(VALUE(LEFT(Protokoll_5p!J118,FIND(":",Protokoll_5p!J118)-1))&gt;VALUE(RIGHT(Protokoll_5p!J118,LEN(Protokoll_5p!J118)-FIND(":",Protokoll_5p!J118))),0,1))</f>
        <v/>
      </c>
      <c r="N112" s="1">
        <f t="shared" si="3"/>
        <v>3</v>
      </c>
    </row>
    <row r="113" spans="2:14">
      <c r="B113" s="1">
        <f>IF(Protokoll_5p!F119="","",IF(VALUE(LEFT(Protokoll_5p!F119,FIND(":",Protokoll_5p!F119)-1))&gt;VALUE(RIGHT(Protokoll_5p!F119,LEN(Protokoll_5p!F119)-FIND(":",Protokoll_5p!F119))),1,0))</f>
        <v>1</v>
      </c>
      <c r="C113" s="1">
        <f>IF(Protokoll_5p!G119="","",IF(VALUE(LEFT(Protokoll_5p!G119,FIND(":",Protokoll_5p!G119)-1))&gt;VALUE(RIGHT(Protokoll_5p!G119,LEN(Protokoll_5p!G119)-FIND(":",Protokoll_5p!G119))),1,0))</f>
        <v>0</v>
      </c>
      <c r="D113" s="1">
        <f>IF(Protokoll_5p!H119="","",IF(VALUE(LEFT(Protokoll_5p!H119,FIND(":",Protokoll_5p!H119)-1))&gt;VALUE(RIGHT(Protokoll_5p!H119,LEN(Protokoll_5p!H119)-FIND(":",Protokoll_5p!H119))),1,0))</f>
        <v>0</v>
      </c>
      <c r="E113" s="1">
        <f>IF(Protokoll_5p!I119="","",IF(VALUE(LEFT(Protokoll_5p!I119,FIND(":",Protokoll_5p!I119)-1))&gt;VALUE(RIGHT(Protokoll_5p!I119,LEN(Protokoll_5p!I119)-FIND(":",Protokoll_5p!I119))),1,0))</f>
        <v>0</v>
      </c>
      <c r="F113" s="1" t="str">
        <f>IF(Protokoll_5p!J119="","",IF(VALUE(LEFT(Protokoll_5p!J119,FIND(":",Protokoll_5p!J119)-1))&gt;VALUE(RIGHT(Protokoll_5p!J119,LEN(Protokoll_5p!J119)-FIND(":",Protokoll_5p!J119))),1,0))</f>
        <v/>
      </c>
      <c r="G113" s="1">
        <f t="shared" si="2"/>
        <v>1</v>
      </c>
      <c r="I113" s="1">
        <f>IF(Protokoll_5p!F119="","",IF(VALUE(LEFT(Protokoll_5p!F119,FIND(":",Protokoll_5p!F119)-1))&gt;VALUE(RIGHT(Protokoll_5p!F119,LEN(Protokoll_5p!F119)-FIND(":",Protokoll_5p!F119))),0,1))</f>
        <v>0</v>
      </c>
      <c r="J113" s="1">
        <f>IF(Protokoll_5p!G119="","",IF(VALUE(LEFT(Protokoll_5p!G119,FIND(":",Protokoll_5p!G119)-1))&gt;VALUE(RIGHT(Protokoll_5p!G119,LEN(Protokoll_5p!G119)-FIND(":",Protokoll_5p!G119))),0,1))</f>
        <v>1</v>
      </c>
      <c r="K113" s="1">
        <f>IF(Protokoll_5p!H119="","",IF(VALUE(LEFT(Protokoll_5p!H119,FIND(":",Protokoll_5p!H119)-1))&gt;VALUE(RIGHT(Protokoll_5p!H119,LEN(Protokoll_5p!H119)-FIND(":",Protokoll_5p!H119))),0,1))</f>
        <v>1</v>
      </c>
      <c r="L113" s="1">
        <f>IF(Protokoll_5p!I119="","",IF(VALUE(LEFT(Protokoll_5p!I119,FIND(":",Protokoll_5p!I119)-1))&gt;VALUE(RIGHT(Protokoll_5p!I119,LEN(Protokoll_5p!I119)-FIND(":",Protokoll_5p!I119))),0,1))</f>
        <v>1</v>
      </c>
      <c r="M113" s="1" t="str">
        <f>IF(Protokoll_5p!J119="","",IF(VALUE(LEFT(Protokoll_5p!J119,FIND(":",Protokoll_5p!J119)-1))&gt;VALUE(RIGHT(Protokoll_5p!J119,LEN(Protokoll_5p!J119)-FIND(":",Protokoll_5p!J119))),0,1))</f>
        <v/>
      </c>
      <c r="N113" s="1">
        <f t="shared" si="3"/>
        <v>3</v>
      </c>
    </row>
    <row r="114" spans="2:14">
      <c r="B114" s="1">
        <f>IF(Protokoll_5p!F120="","",IF(VALUE(LEFT(Protokoll_5p!F120,FIND(":",Protokoll_5p!F120)-1))&gt;VALUE(RIGHT(Protokoll_5p!F120,LEN(Protokoll_5p!F120)-FIND(":",Protokoll_5p!F120))),1,0))</f>
        <v>0</v>
      </c>
      <c r="C114" s="1">
        <f>IF(Protokoll_5p!G120="","",IF(VALUE(LEFT(Protokoll_5p!G120,FIND(":",Protokoll_5p!G120)-1))&gt;VALUE(RIGHT(Protokoll_5p!G120,LEN(Protokoll_5p!G120)-FIND(":",Protokoll_5p!G120))),1,0))</f>
        <v>0</v>
      </c>
      <c r="D114" s="1">
        <f>IF(Protokoll_5p!H120="","",IF(VALUE(LEFT(Protokoll_5p!H120,FIND(":",Protokoll_5p!H120)-1))&gt;VALUE(RIGHT(Protokoll_5p!H120,LEN(Protokoll_5p!H120)-FIND(":",Protokoll_5p!H120))),1,0))</f>
        <v>0</v>
      </c>
      <c r="E114" s="1" t="str">
        <f>IF(Protokoll_5p!I120="","",IF(VALUE(LEFT(Protokoll_5p!I120,FIND(":",Protokoll_5p!I120)-1))&gt;VALUE(RIGHT(Protokoll_5p!I120,LEN(Protokoll_5p!I120)-FIND(":",Protokoll_5p!I120))),1,0))</f>
        <v/>
      </c>
      <c r="F114" s="1" t="str">
        <f>IF(Protokoll_5p!J120="","",IF(VALUE(LEFT(Protokoll_5p!J120,FIND(":",Protokoll_5p!J120)-1))&gt;VALUE(RIGHT(Protokoll_5p!J120,LEN(Protokoll_5p!J120)-FIND(":",Protokoll_5p!J120))),1,0))</f>
        <v/>
      </c>
      <c r="G114" s="1">
        <f t="shared" si="2"/>
        <v>0</v>
      </c>
      <c r="I114" s="1">
        <f>IF(Protokoll_5p!F120="","",IF(VALUE(LEFT(Protokoll_5p!F120,FIND(":",Protokoll_5p!F120)-1))&gt;VALUE(RIGHT(Protokoll_5p!F120,LEN(Protokoll_5p!F120)-FIND(":",Protokoll_5p!F120))),0,1))</f>
        <v>1</v>
      </c>
      <c r="J114" s="1">
        <f>IF(Protokoll_5p!G120="","",IF(VALUE(LEFT(Protokoll_5p!G120,FIND(":",Protokoll_5p!G120)-1))&gt;VALUE(RIGHT(Protokoll_5p!G120,LEN(Protokoll_5p!G120)-FIND(":",Protokoll_5p!G120))),0,1))</f>
        <v>1</v>
      </c>
      <c r="K114" s="1">
        <f>IF(Protokoll_5p!H120="","",IF(VALUE(LEFT(Protokoll_5p!H120,FIND(":",Protokoll_5p!H120)-1))&gt;VALUE(RIGHT(Protokoll_5p!H120,LEN(Protokoll_5p!H120)-FIND(":",Protokoll_5p!H120))),0,1))</f>
        <v>1</v>
      </c>
      <c r="L114" s="1" t="str">
        <f>IF(Protokoll_5p!I120="","",IF(VALUE(LEFT(Protokoll_5p!I120,FIND(":",Protokoll_5p!I120)-1))&gt;VALUE(RIGHT(Protokoll_5p!I120,LEN(Protokoll_5p!I120)-FIND(":",Protokoll_5p!I120))),0,1))</f>
        <v/>
      </c>
      <c r="M114" s="1" t="str">
        <f>IF(Protokoll_5p!J120="","",IF(VALUE(LEFT(Protokoll_5p!J120,FIND(":",Protokoll_5p!J120)-1))&gt;VALUE(RIGHT(Protokoll_5p!J120,LEN(Protokoll_5p!J120)-FIND(":",Protokoll_5p!J120))),0,1))</f>
        <v/>
      </c>
      <c r="N114" s="1">
        <f t="shared" si="3"/>
        <v>3</v>
      </c>
    </row>
    <row r="115" spans="2:14">
      <c r="B115" s="1">
        <f>IF(Protokoll_5p!F121="","",IF(VALUE(LEFT(Protokoll_5p!F121,FIND(":",Protokoll_5p!F121)-1))&gt;VALUE(RIGHT(Protokoll_5p!F121,LEN(Protokoll_5p!F121)-FIND(":",Protokoll_5p!F121))),1,0))</f>
        <v>0</v>
      </c>
      <c r="C115" s="1">
        <f>IF(Protokoll_5p!G121="","",IF(VALUE(LEFT(Protokoll_5p!G121,FIND(":",Protokoll_5p!G121)-1))&gt;VALUE(RIGHT(Protokoll_5p!G121,LEN(Protokoll_5p!G121)-FIND(":",Protokoll_5p!G121))),1,0))</f>
        <v>0</v>
      </c>
      <c r="D115" s="1">
        <f>IF(Protokoll_5p!H121="","",IF(VALUE(LEFT(Protokoll_5p!H121,FIND(":",Protokoll_5p!H121)-1))&gt;VALUE(RIGHT(Protokoll_5p!H121,LEN(Protokoll_5p!H121)-FIND(":",Protokoll_5p!H121))),1,0))</f>
        <v>0</v>
      </c>
      <c r="E115" s="1" t="str">
        <f>IF(Protokoll_5p!I121="","",IF(VALUE(LEFT(Protokoll_5p!I121,FIND(":",Protokoll_5p!I121)-1))&gt;VALUE(RIGHT(Protokoll_5p!I121,LEN(Protokoll_5p!I121)-FIND(":",Protokoll_5p!I121))),1,0))</f>
        <v/>
      </c>
      <c r="F115" s="1" t="str">
        <f>IF(Protokoll_5p!J121="","",IF(VALUE(LEFT(Protokoll_5p!J121,FIND(":",Protokoll_5p!J121)-1))&gt;VALUE(RIGHT(Protokoll_5p!J121,LEN(Protokoll_5p!J121)-FIND(":",Protokoll_5p!J121))),1,0))</f>
        <v/>
      </c>
      <c r="G115" s="1">
        <f t="shared" si="2"/>
        <v>0</v>
      </c>
      <c r="I115" s="1">
        <f>IF(Protokoll_5p!F121="","",IF(VALUE(LEFT(Protokoll_5p!F121,FIND(":",Protokoll_5p!F121)-1))&gt;VALUE(RIGHT(Protokoll_5p!F121,LEN(Protokoll_5p!F121)-FIND(":",Protokoll_5p!F121))),0,1))</f>
        <v>1</v>
      </c>
      <c r="J115" s="1">
        <f>IF(Protokoll_5p!G121="","",IF(VALUE(LEFT(Protokoll_5p!G121,FIND(":",Protokoll_5p!G121)-1))&gt;VALUE(RIGHT(Protokoll_5p!G121,LEN(Protokoll_5p!G121)-FIND(":",Protokoll_5p!G121))),0,1))</f>
        <v>1</v>
      </c>
      <c r="K115" s="1">
        <f>IF(Protokoll_5p!H121="","",IF(VALUE(LEFT(Protokoll_5p!H121,FIND(":",Protokoll_5p!H121)-1))&gt;VALUE(RIGHT(Protokoll_5p!H121,LEN(Protokoll_5p!H121)-FIND(":",Protokoll_5p!H121))),0,1))</f>
        <v>1</v>
      </c>
      <c r="L115" s="1" t="str">
        <f>IF(Protokoll_5p!I121="","",IF(VALUE(LEFT(Protokoll_5p!I121,FIND(":",Protokoll_5p!I121)-1))&gt;VALUE(RIGHT(Protokoll_5p!I121,LEN(Protokoll_5p!I121)-FIND(":",Protokoll_5p!I121))),0,1))</f>
        <v/>
      </c>
      <c r="M115" s="1" t="str">
        <f>IF(Protokoll_5p!J121="","",IF(VALUE(LEFT(Protokoll_5p!J121,FIND(":",Protokoll_5p!J121)-1))&gt;VALUE(RIGHT(Protokoll_5p!J121,LEN(Protokoll_5p!J121)-FIND(":",Protokoll_5p!J121))),0,1))</f>
        <v/>
      </c>
      <c r="N115" s="1">
        <f t="shared" si="3"/>
        <v>3</v>
      </c>
    </row>
    <row r="116" spans="2:14">
      <c r="B116" s="1" t="str">
        <f>IF(Protokoll_5p!F122="","",IF(VALUE(LEFT(Protokoll_5p!F122,FIND(":",Protokoll_5p!F122)-1))&gt;VALUE(RIGHT(Protokoll_5p!F122,LEN(Protokoll_5p!F122)-FIND(":",Protokoll_5p!F122))),1,0))</f>
        <v/>
      </c>
      <c r="C116" s="1" t="str">
        <f>IF(Protokoll_5p!G122="","",IF(VALUE(LEFT(Protokoll_5p!G122,FIND(":",Protokoll_5p!G122)-1))&gt;VALUE(RIGHT(Protokoll_5p!G122,LEN(Protokoll_5p!G122)-FIND(":",Protokoll_5p!G122))),1,0))</f>
        <v/>
      </c>
      <c r="D116" s="1" t="str">
        <f>IF(Protokoll_5p!H122="","",IF(VALUE(LEFT(Protokoll_5p!H122,FIND(":",Protokoll_5p!H122)-1))&gt;VALUE(RIGHT(Protokoll_5p!H122,LEN(Protokoll_5p!H122)-FIND(":",Protokoll_5p!H122))),1,0))</f>
        <v/>
      </c>
      <c r="E116" s="1" t="str">
        <f>IF(Protokoll_5p!I122="","",IF(VALUE(LEFT(Protokoll_5p!I122,FIND(":",Protokoll_5p!I122)-1))&gt;VALUE(RIGHT(Protokoll_5p!I122,LEN(Protokoll_5p!I122)-FIND(":",Protokoll_5p!I122))),1,0))</f>
        <v/>
      </c>
      <c r="F116" s="1" t="str">
        <f>IF(Protokoll_5p!J122="","",IF(VALUE(LEFT(Protokoll_5p!J122,FIND(":",Protokoll_5p!J122)-1))&gt;VALUE(RIGHT(Protokoll_5p!J122,LEN(Protokoll_5p!J122)-FIND(":",Protokoll_5p!J122))),1,0))</f>
        <v/>
      </c>
      <c r="G116" s="1" t="str">
        <f t="shared" si="2"/>
        <v/>
      </c>
      <c r="I116" s="1" t="str">
        <f>IF(Protokoll_5p!F122="","",IF(VALUE(LEFT(Protokoll_5p!F122,FIND(":",Protokoll_5p!F122)-1))&gt;VALUE(RIGHT(Protokoll_5p!F122,LEN(Protokoll_5p!F122)-FIND(":",Protokoll_5p!F122))),0,1))</f>
        <v/>
      </c>
      <c r="J116" s="1" t="str">
        <f>IF(Protokoll_5p!G122="","",IF(VALUE(LEFT(Protokoll_5p!G122,FIND(":",Protokoll_5p!G122)-1))&gt;VALUE(RIGHT(Protokoll_5p!G122,LEN(Protokoll_5p!G122)-FIND(":",Protokoll_5p!G122))),0,1))</f>
        <v/>
      </c>
      <c r="K116" s="1" t="str">
        <f>IF(Protokoll_5p!H122="","",IF(VALUE(LEFT(Protokoll_5p!H122,FIND(":",Protokoll_5p!H122)-1))&gt;VALUE(RIGHT(Protokoll_5p!H122,LEN(Protokoll_5p!H122)-FIND(":",Protokoll_5p!H122))),0,1))</f>
        <v/>
      </c>
      <c r="L116" s="1" t="str">
        <f>IF(Protokoll_5p!I122="","",IF(VALUE(LEFT(Protokoll_5p!I122,FIND(":",Protokoll_5p!I122)-1))&gt;VALUE(RIGHT(Protokoll_5p!I122,LEN(Protokoll_5p!I122)-FIND(":",Protokoll_5p!I122))),0,1))</f>
        <v/>
      </c>
      <c r="M116" s="1" t="str">
        <f>IF(Protokoll_5p!J122="","",IF(VALUE(LEFT(Protokoll_5p!J122,FIND(":",Protokoll_5p!J122)-1))&gt;VALUE(RIGHT(Protokoll_5p!J122,LEN(Protokoll_5p!J122)-FIND(":",Protokoll_5p!J122))),0,1))</f>
        <v/>
      </c>
      <c r="N116" s="1" t="str">
        <f t="shared" si="3"/>
        <v/>
      </c>
    </row>
    <row r="117" spans="2:14">
      <c r="B117" s="1" t="str">
        <f>IF(Protokoll_5p!F123="","",IF(VALUE(LEFT(Protokoll_5p!F123,FIND(":",Protokoll_5p!F123)-1))&gt;VALUE(RIGHT(Protokoll_5p!F123,LEN(Protokoll_5p!F123)-FIND(":",Protokoll_5p!F123))),1,0))</f>
        <v/>
      </c>
      <c r="C117" s="1" t="str">
        <f>IF(Protokoll_5p!G123="","",IF(VALUE(LEFT(Protokoll_5p!G123,FIND(":",Protokoll_5p!G123)-1))&gt;VALUE(RIGHT(Protokoll_5p!G123,LEN(Protokoll_5p!G123)-FIND(":",Protokoll_5p!G123))),1,0))</f>
        <v/>
      </c>
      <c r="D117" s="1" t="str">
        <f>IF(Protokoll_5p!H123="","",IF(VALUE(LEFT(Protokoll_5p!H123,FIND(":",Protokoll_5p!H123)-1))&gt;VALUE(RIGHT(Protokoll_5p!H123,LEN(Protokoll_5p!H123)-FIND(":",Protokoll_5p!H123))),1,0))</f>
        <v/>
      </c>
      <c r="E117" s="1" t="str">
        <f>IF(Protokoll_5p!I123="","",IF(VALUE(LEFT(Protokoll_5p!I123,FIND(":",Protokoll_5p!I123)-1))&gt;VALUE(RIGHT(Protokoll_5p!I123,LEN(Protokoll_5p!I123)-FIND(":",Protokoll_5p!I123))),1,0))</f>
        <v/>
      </c>
      <c r="F117" s="1" t="str">
        <f>IF(Protokoll_5p!J123="","",IF(VALUE(LEFT(Protokoll_5p!J123,FIND(":",Protokoll_5p!J123)-1))&gt;VALUE(RIGHT(Protokoll_5p!J123,LEN(Protokoll_5p!J123)-FIND(":",Protokoll_5p!J123))),1,0))</f>
        <v/>
      </c>
      <c r="G117" s="1" t="str">
        <f t="shared" si="2"/>
        <v/>
      </c>
      <c r="I117" s="1" t="str">
        <f>IF(Protokoll_5p!F123="","",IF(VALUE(LEFT(Protokoll_5p!F123,FIND(":",Protokoll_5p!F123)-1))&gt;VALUE(RIGHT(Protokoll_5p!F123,LEN(Protokoll_5p!F123)-FIND(":",Protokoll_5p!F123))),0,1))</f>
        <v/>
      </c>
      <c r="J117" s="1" t="str">
        <f>IF(Protokoll_5p!G123="","",IF(VALUE(LEFT(Protokoll_5p!G123,FIND(":",Protokoll_5p!G123)-1))&gt;VALUE(RIGHT(Protokoll_5p!G123,LEN(Protokoll_5p!G123)-FIND(":",Protokoll_5p!G123))),0,1))</f>
        <v/>
      </c>
      <c r="K117" s="1" t="str">
        <f>IF(Protokoll_5p!H123="","",IF(VALUE(LEFT(Protokoll_5p!H123,FIND(":",Protokoll_5p!H123)-1))&gt;VALUE(RIGHT(Protokoll_5p!H123,LEN(Protokoll_5p!H123)-FIND(":",Protokoll_5p!H123))),0,1))</f>
        <v/>
      </c>
      <c r="L117" s="1" t="str">
        <f>IF(Protokoll_5p!I123="","",IF(VALUE(LEFT(Protokoll_5p!I123,FIND(":",Protokoll_5p!I123)-1))&gt;VALUE(RIGHT(Protokoll_5p!I123,LEN(Protokoll_5p!I123)-FIND(":",Protokoll_5p!I123))),0,1))</f>
        <v/>
      </c>
      <c r="M117" s="1" t="str">
        <f>IF(Protokoll_5p!J123="","",IF(VALUE(LEFT(Protokoll_5p!J123,FIND(":",Protokoll_5p!J123)-1))&gt;VALUE(RIGHT(Protokoll_5p!J123,LEN(Protokoll_5p!J123)-FIND(":",Protokoll_5p!J123))),0,1))</f>
        <v/>
      </c>
      <c r="N117" s="1" t="str">
        <f t="shared" si="3"/>
        <v/>
      </c>
    </row>
    <row r="118" spans="2:14">
      <c r="B118" s="1" t="str">
        <f>IF(Protokoll_5p!F124="","",IF(VALUE(LEFT(Protokoll_5p!F124,FIND(":",Protokoll_5p!F124)-1))&gt;VALUE(RIGHT(Protokoll_5p!F124,LEN(Protokoll_5p!F124)-FIND(":",Protokoll_5p!F124))),1,0))</f>
        <v/>
      </c>
      <c r="C118" s="1" t="str">
        <f>IF(Protokoll_5p!G124="","",IF(VALUE(LEFT(Protokoll_5p!G124,FIND(":",Protokoll_5p!G124)-1))&gt;VALUE(RIGHT(Protokoll_5p!G124,LEN(Protokoll_5p!G124)-FIND(":",Protokoll_5p!G124))),1,0))</f>
        <v/>
      </c>
      <c r="D118" s="1" t="str">
        <f>IF(Protokoll_5p!H124="","",IF(VALUE(LEFT(Protokoll_5p!H124,FIND(":",Protokoll_5p!H124)-1))&gt;VALUE(RIGHT(Protokoll_5p!H124,LEN(Protokoll_5p!H124)-FIND(":",Protokoll_5p!H124))),1,0))</f>
        <v/>
      </c>
      <c r="E118" s="1" t="str">
        <f>IF(Protokoll_5p!I124="","",IF(VALUE(LEFT(Protokoll_5p!I124,FIND(":",Protokoll_5p!I124)-1))&gt;VALUE(RIGHT(Protokoll_5p!I124,LEN(Protokoll_5p!I124)-FIND(":",Protokoll_5p!I124))),1,0))</f>
        <v/>
      </c>
      <c r="F118" s="1" t="str">
        <f>IF(Protokoll_5p!J124="","",IF(VALUE(LEFT(Protokoll_5p!J124,FIND(":",Protokoll_5p!J124)-1))&gt;VALUE(RIGHT(Protokoll_5p!J124,LEN(Protokoll_5p!J124)-FIND(":",Protokoll_5p!J124))),1,0))</f>
        <v/>
      </c>
      <c r="G118" s="1" t="str">
        <f t="shared" si="2"/>
        <v/>
      </c>
      <c r="I118" s="1" t="str">
        <f>IF(Protokoll_5p!F124="","",IF(VALUE(LEFT(Protokoll_5p!F124,FIND(":",Protokoll_5p!F124)-1))&gt;VALUE(RIGHT(Protokoll_5p!F124,LEN(Protokoll_5p!F124)-FIND(":",Protokoll_5p!F124))),0,1))</f>
        <v/>
      </c>
      <c r="J118" s="1" t="str">
        <f>IF(Protokoll_5p!G124="","",IF(VALUE(LEFT(Protokoll_5p!G124,FIND(":",Protokoll_5p!G124)-1))&gt;VALUE(RIGHT(Protokoll_5p!G124,LEN(Protokoll_5p!G124)-FIND(":",Protokoll_5p!G124))),0,1))</f>
        <v/>
      </c>
      <c r="K118" s="1" t="str">
        <f>IF(Protokoll_5p!H124="","",IF(VALUE(LEFT(Protokoll_5p!H124,FIND(":",Protokoll_5p!H124)-1))&gt;VALUE(RIGHT(Protokoll_5p!H124,LEN(Protokoll_5p!H124)-FIND(":",Protokoll_5p!H124))),0,1))</f>
        <v/>
      </c>
      <c r="L118" s="1" t="str">
        <f>IF(Protokoll_5p!I124="","",IF(VALUE(LEFT(Protokoll_5p!I124,FIND(":",Protokoll_5p!I124)-1))&gt;VALUE(RIGHT(Protokoll_5p!I124,LEN(Protokoll_5p!I124)-FIND(":",Protokoll_5p!I124))),0,1))</f>
        <v/>
      </c>
      <c r="M118" s="1" t="str">
        <f>IF(Protokoll_5p!J124="","",IF(VALUE(LEFT(Protokoll_5p!J124,FIND(":",Protokoll_5p!J124)-1))&gt;VALUE(RIGHT(Protokoll_5p!J124,LEN(Protokoll_5p!J124)-FIND(":",Protokoll_5p!J124))),0,1))</f>
        <v/>
      </c>
      <c r="N118" s="1" t="str">
        <f t="shared" si="3"/>
        <v/>
      </c>
    </row>
    <row r="119" spans="2:14">
      <c r="B119" s="1" t="str">
        <f>IF(Protokoll_5p!F125="","",IF(VALUE(LEFT(Protokoll_5p!F125,FIND(":",Protokoll_5p!F125)-1))&gt;VALUE(RIGHT(Protokoll_5p!F125,LEN(Protokoll_5p!F125)-FIND(":",Protokoll_5p!F125))),1,0))</f>
        <v/>
      </c>
      <c r="C119" s="1" t="str">
        <f>IF(Protokoll_5p!G125="","",IF(VALUE(LEFT(Protokoll_5p!G125,FIND(":",Protokoll_5p!G125)-1))&gt;VALUE(RIGHT(Protokoll_5p!G125,LEN(Protokoll_5p!G125)-FIND(":",Protokoll_5p!G125))),1,0))</f>
        <v/>
      </c>
      <c r="D119" s="1" t="str">
        <f>IF(Protokoll_5p!H125="","",IF(VALUE(LEFT(Protokoll_5p!H125,FIND(":",Protokoll_5p!H125)-1))&gt;VALUE(RIGHT(Protokoll_5p!H125,LEN(Protokoll_5p!H125)-FIND(":",Protokoll_5p!H125))),1,0))</f>
        <v/>
      </c>
      <c r="E119" s="1" t="str">
        <f>IF(Protokoll_5p!I125="","",IF(VALUE(LEFT(Protokoll_5p!I125,FIND(":",Protokoll_5p!I125)-1))&gt;VALUE(RIGHT(Protokoll_5p!I125,LEN(Protokoll_5p!I125)-FIND(":",Protokoll_5p!I125))),1,0))</f>
        <v/>
      </c>
      <c r="F119" s="1" t="str">
        <f>IF(Protokoll_5p!J125="","",IF(VALUE(LEFT(Protokoll_5p!J125,FIND(":",Protokoll_5p!J125)-1))&gt;VALUE(RIGHT(Protokoll_5p!J125,LEN(Protokoll_5p!J125)-FIND(":",Protokoll_5p!J125))),1,0))</f>
        <v/>
      </c>
      <c r="G119" s="1" t="str">
        <f t="shared" si="2"/>
        <v/>
      </c>
      <c r="I119" s="1" t="str">
        <f>IF(Protokoll_5p!F125="","",IF(VALUE(LEFT(Protokoll_5p!F125,FIND(":",Protokoll_5p!F125)-1))&gt;VALUE(RIGHT(Protokoll_5p!F125,LEN(Protokoll_5p!F125)-FIND(":",Protokoll_5p!F125))),0,1))</f>
        <v/>
      </c>
      <c r="J119" s="1" t="str">
        <f>IF(Protokoll_5p!G125="","",IF(VALUE(LEFT(Protokoll_5p!G125,FIND(":",Protokoll_5p!G125)-1))&gt;VALUE(RIGHT(Protokoll_5p!G125,LEN(Protokoll_5p!G125)-FIND(":",Protokoll_5p!G125))),0,1))</f>
        <v/>
      </c>
      <c r="K119" s="1" t="str">
        <f>IF(Protokoll_5p!H125="","",IF(VALUE(LEFT(Protokoll_5p!H125,FIND(":",Protokoll_5p!H125)-1))&gt;VALUE(RIGHT(Protokoll_5p!H125,LEN(Protokoll_5p!H125)-FIND(":",Protokoll_5p!H125))),0,1))</f>
        <v/>
      </c>
      <c r="L119" s="1" t="str">
        <f>IF(Protokoll_5p!I125="","",IF(VALUE(LEFT(Protokoll_5p!I125,FIND(":",Protokoll_5p!I125)-1))&gt;VALUE(RIGHT(Protokoll_5p!I125,LEN(Protokoll_5p!I125)-FIND(":",Protokoll_5p!I125))),0,1))</f>
        <v/>
      </c>
      <c r="M119" s="1" t="str">
        <f>IF(Protokoll_5p!J125="","",IF(VALUE(LEFT(Protokoll_5p!J125,FIND(":",Protokoll_5p!J125)-1))&gt;VALUE(RIGHT(Protokoll_5p!J125,LEN(Protokoll_5p!J125)-FIND(":",Protokoll_5p!J125))),0,1))</f>
        <v/>
      </c>
      <c r="N119" s="1" t="str">
        <f t="shared" si="3"/>
        <v/>
      </c>
    </row>
    <row r="120" spans="2:14">
      <c r="B120" s="1" t="str">
        <f>IF(Protokoll_5p!F126="","",IF(VALUE(LEFT(Protokoll_5p!F126,FIND(":",Protokoll_5p!F126)-1))&gt;VALUE(RIGHT(Protokoll_5p!F126,LEN(Protokoll_5p!F126)-FIND(":",Protokoll_5p!F126))),1,0))</f>
        <v/>
      </c>
      <c r="C120" s="1" t="str">
        <f>IF(Protokoll_5p!G126="","",IF(VALUE(LEFT(Protokoll_5p!G126,FIND(":",Protokoll_5p!G126)-1))&gt;VALUE(RIGHT(Protokoll_5p!G126,LEN(Protokoll_5p!G126)-FIND(":",Protokoll_5p!G126))),1,0))</f>
        <v/>
      </c>
      <c r="D120" s="1" t="str">
        <f>IF(Protokoll_5p!H126="","",IF(VALUE(LEFT(Protokoll_5p!H126,FIND(":",Protokoll_5p!H126)-1))&gt;VALUE(RIGHT(Protokoll_5p!H126,LEN(Protokoll_5p!H126)-FIND(":",Protokoll_5p!H126))),1,0))</f>
        <v/>
      </c>
      <c r="E120" s="1" t="str">
        <f>IF(Protokoll_5p!I126="","",IF(VALUE(LEFT(Protokoll_5p!I126,FIND(":",Protokoll_5p!I126)-1))&gt;VALUE(RIGHT(Protokoll_5p!I126,LEN(Protokoll_5p!I126)-FIND(":",Protokoll_5p!I126))),1,0))</f>
        <v/>
      </c>
      <c r="F120" s="1" t="str">
        <f>IF(Protokoll_5p!J126="","",IF(VALUE(LEFT(Protokoll_5p!J126,FIND(":",Protokoll_5p!J126)-1))&gt;VALUE(RIGHT(Protokoll_5p!J126,LEN(Protokoll_5p!J126)-FIND(":",Protokoll_5p!J126))),1,0))</f>
        <v/>
      </c>
      <c r="G120" s="1" t="str">
        <f t="shared" si="2"/>
        <v/>
      </c>
      <c r="I120" s="1" t="str">
        <f>IF(Protokoll_5p!F126="","",IF(VALUE(LEFT(Protokoll_5p!F126,FIND(":",Protokoll_5p!F126)-1))&gt;VALUE(RIGHT(Protokoll_5p!F126,LEN(Protokoll_5p!F126)-FIND(":",Protokoll_5p!F126))),0,1))</f>
        <v/>
      </c>
      <c r="J120" s="1" t="str">
        <f>IF(Protokoll_5p!G126="","",IF(VALUE(LEFT(Protokoll_5p!G126,FIND(":",Protokoll_5p!G126)-1))&gt;VALUE(RIGHT(Protokoll_5p!G126,LEN(Protokoll_5p!G126)-FIND(":",Protokoll_5p!G126))),0,1))</f>
        <v/>
      </c>
      <c r="K120" s="1" t="str">
        <f>IF(Protokoll_5p!H126="","",IF(VALUE(LEFT(Protokoll_5p!H126,FIND(":",Protokoll_5p!H126)-1))&gt;VALUE(RIGHT(Protokoll_5p!H126,LEN(Protokoll_5p!H126)-FIND(":",Protokoll_5p!H126))),0,1))</f>
        <v/>
      </c>
      <c r="L120" s="1" t="str">
        <f>IF(Protokoll_5p!I126="","",IF(VALUE(LEFT(Protokoll_5p!I126,FIND(":",Protokoll_5p!I126)-1))&gt;VALUE(RIGHT(Protokoll_5p!I126,LEN(Protokoll_5p!I126)-FIND(":",Protokoll_5p!I126))),0,1))</f>
        <v/>
      </c>
      <c r="M120" s="1" t="str">
        <f>IF(Protokoll_5p!J126="","",IF(VALUE(LEFT(Protokoll_5p!J126,FIND(":",Protokoll_5p!J126)-1))&gt;VALUE(RIGHT(Protokoll_5p!J126,LEN(Protokoll_5p!J126)-FIND(":",Protokoll_5p!J126))),0,1))</f>
        <v/>
      </c>
      <c r="N120" s="1" t="str">
        <f t="shared" si="3"/>
        <v/>
      </c>
    </row>
    <row r="121" spans="2:14">
      <c r="B121" s="1" t="e">
        <f>IF(Protokoll_5p!#REF!="","",IF(VALUE(LEFT(Protokoll_5p!#REF!,FIND(":",Protokoll_5p!#REF!)-1))&gt;VALUE(RIGHT(Protokoll_5p!#REF!,LEN(Protokoll_5p!#REF!)-FIND(":",Protokoll_5p!#REF!))),1,0))</f>
        <v>#REF!</v>
      </c>
      <c r="C121" s="1" t="e">
        <f>IF(Protokoll_5p!#REF!="","",IF(VALUE(LEFT(Protokoll_5p!#REF!,FIND(":",Protokoll_5p!#REF!)-1))&gt;VALUE(RIGHT(Protokoll_5p!#REF!,LEN(Protokoll_5p!#REF!)-FIND(":",Protokoll_5p!#REF!))),1,0))</f>
        <v>#REF!</v>
      </c>
      <c r="D121" s="1" t="e">
        <f>IF(Protokoll_5p!#REF!="","",IF(VALUE(LEFT(Protokoll_5p!#REF!,FIND(":",Protokoll_5p!#REF!)-1))&gt;VALUE(RIGHT(Protokoll_5p!#REF!,LEN(Protokoll_5p!#REF!)-FIND(":",Protokoll_5p!#REF!))),1,0))</f>
        <v>#REF!</v>
      </c>
      <c r="E121" s="1" t="e">
        <f>IF(Protokoll_5p!#REF!="","",IF(VALUE(LEFT(Protokoll_5p!#REF!,FIND(":",Protokoll_5p!#REF!)-1))&gt;VALUE(RIGHT(Protokoll_5p!#REF!,LEN(Protokoll_5p!#REF!)-FIND(":",Protokoll_5p!#REF!))),1,0))</f>
        <v>#REF!</v>
      </c>
      <c r="F121" s="1" t="e">
        <f>IF(Protokoll_5p!#REF!="","",IF(VALUE(LEFT(Protokoll_5p!#REF!,FIND(":",Protokoll_5p!#REF!)-1))&gt;VALUE(RIGHT(Protokoll_5p!#REF!,LEN(Protokoll_5p!#REF!)-FIND(":",Protokoll_5p!#REF!))),1,0))</f>
        <v>#REF!</v>
      </c>
      <c r="G121" s="1" t="e">
        <f t="shared" si="2"/>
        <v>#REF!</v>
      </c>
      <c r="I121" s="1" t="e">
        <f>IF(Protokoll_5p!#REF!="","",IF(VALUE(LEFT(Protokoll_5p!#REF!,FIND(":",Protokoll_5p!#REF!)-1))&gt;VALUE(RIGHT(Protokoll_5p!#REF!,LEN(Protokoll_5p!#REF!)-FIND(":",Protokoll_5p!#REF!))),0,1))</f>
        <v>#REF!</v>
      </c>
      <c r="J121" s="1" t="e">
        <f>IF(Protokoll_5p!#REF!="","",IF(VALUE(LEFT(Protokoll_5p!#REF!,FIND(":",Protokoll_5p!#REF!)-1))&gt;VALUE(RIGHT(Protokoll_5p!#REF!,LEN(Protokoll_5p!#REF!)-FIND(":",Protokoll_5p!#REF!))),0,1))</f>
        <v>#REF!</v>
      </c>
      <c r="K121" s="1" t="e">
        <f>IF(Protokoll_5p!#REF!="","",IF(VALUE(LEFT(Protokoll_5p!#REF!,FIND(":",Protokoll_5p!#REF!)-1))&gt;VALUE(RIGHT(Protokoll_5p!#REF!,LEN(Protokoll_5p!#REF!)-FIND(":",Protokoll_5p!#REF!))),0,1))</f>
        <v>#REF!</v>
      </c>
      <c r="L121" s="1" t="e">
        <f>IF(Protokoll_5p!#REF!="","",IF(VALUE(LEFT(Protokoll_5p!#REF!,FIND(":",Protokoll_5p!#REF!)-1))&gt;VALUE(RIGHT(Protokoll_5p!#REF!,LEN(Protokoll_5p!#REF!)-FIND(":",Protokoll_5p!#REF!))),0,1))</f>
        <v>#REF!</v>
      </c>
      <c r="M121" s="1" t="e">
        <f>IF(Protokoll_5p!#REF!="","",IF(VALUE(LEFT(Protokoll_5p!#REF!,FIND(":",Protokoll_5p!#REF!)-1))&gt;VALUE(RIGHT(Protokoll_5p!#REF!,LEN(Protokoll_5p!#REF!)-FIND(":",Protokoll_5p!#REF!))),0,1))</f>
        <v>#REF!</v>
      </c>
      <c r="N121" s="1" t="e">
        <f t="shared" si="3"/>
        <v>#REF!</v>
      </c>
    </row>
    <row r="122" spans="2:14">
      <c r="B122" s="1" t="e">
        <f>IF(Protokoll_5p!#REF!="","",IF(VALUE(LEFT(Protokoll_5p!#REF!,FIND(":",Protokoll_5p!#REF!)-1))&gt;VALUE(RIGHT(Protokoll_5p!#REF!,LEN(Protokoll_5p!#REF!)-FIND(":",Protokoll_5p!#REF!))),1,0))</f>
        <v>#REF!</v>
      </c>
      <c r="C122" s="1" t="e">
        <f>IF(Protokoll_5p!#REF!="","",IF(VALUE(LEFT(Protokoll_5p!#REF!,FIND(":",Protokoll_5p!#REF!)-1))&gt;VALUE(RIGHT(Protokoll_5p!#REF!,LEN(Protokoll_5p!#REF!)-FIND(":",Protokoll_5p!#REF!))),1,0))</f>
        <v>#REF!</v>
      </c>
      <c r="D122" s="1" t="e">
        <f>IF(Protokoll_5p!#REF!="","",IF(VALUE(LEFT(Protokoll_5p!#REF!,FIND(":",Protokoll_5p!#REF!)-1))&gt;VALUE(RIGHT(Protokoll_5p!#REF!,LEN(Protokoll_5p!#REF!)-FIND(":",Protokoll_5p!#REF!))),1,0))</f>
        <v>#REF!</v>
      </c>
      <c r="E122" s="1" t="e">
        <f>IF(Protokoll_5p!#REF!="","",IF(VALUE(LEFT(Protokoll_5p!#REF!,FIND(":",Protokoll_5p!#REF!)-1))&gt;VALUE(RIGHT(Protokoll_5p!#REF!,LEN(Protokoll_5p!#REF!)-FIND(":",Protokoll_5p!#REF!))),1,0))</f>
        <v>#REF!</v>
      </c>
      <c r="F122" s="1" t="e">
        <f>IF(Protokoll_5p!#REF!="","",IF(VALUE(LEFT(Protokoll_5p!#REF!,FIND(":",Protokoll_5p!#REF!)-1))&gt;VALUE(RIGHT(Protokoll_5p!#REF!,LEN(Protokoll_5p!#REF!)-FIND(":",Protokoll_5p!#REF!))),1,0))</f>
        <v>#REF!</v>
      </c>
      <c r="G122" s="1" t="e">
        <f t="shared" si="2"/>
        <v>#REF!</v>
      </c>
      <c r="I122" s="1" t="e">
        <f>IF(Protokoll_5p!#REF!="","",IF(VALUE(LEFT(Protokoll_5p!#REF!,FIND(":",Protokoll_5p!#REF!)-1))&gt;VALUE(RIGHT(Protokoll_5p!#REF!,LEN(Protokoll_5p!#REF!)-FIND(":",Protokoll_5p!#REF!))),0,1))</f>
        <v>#REF!</v>
      </c>
      <c r="J122" s="1" t="e">
        <f>IF(Protokoll_5p!#REF!="","",IF(VALUE(LEFT(Protokoll_5p!#REF!,FIND(":",Protokoll_5p!#REF!)-1))&gt;VALUE(RIGHT(Protokoll_5p!#REF!,LEN(Protokoll_5p!#REF!)-FIND(":",Protokoll_5p!#REF!))),0,1))</f>
        <v>#REF!</v>
      </c>
      <c r="K122" s="1" t="e">
        <f>IF(Protokoll_5p!#REF!="","",IF(VALUE(LEFT(Protokoll_5p!#REF!,FIND(":",Protokoll_5p!#REF!)-1))&gt;VALUE(RIGHT(Protokoll_5p!#REF!,LEN(Protokoll_5p!#REF!)-FIND(":",Protokoll_5p!#REF!))),0,1))</f>
        <v>#REF!</v>
      </c>
      <c r="L122" s="1" t="e">
        <f>IF(Protokoll_5p!#REF!="","",IF(VALUE(LEFT(Protokoll_5p!#REF!,FIND(":",Protokoll_5p!#REF!)-1))&gt;VALUE(RIGHT(Protokoll_5p!#REF!,LEN(Protokoll_5p!#REF!)-FIND(":",Protokoll_5p!#REF!))),0,1))</f>
        <v>#REF!</v>
      </c>
      <c r="M122" s="1" t="e">
        <f>IF(Protokoll_5p!#REF!="","",IF(VALUE(LEFT(Protokoll_5p!#REF!,FIND(":",Protokoll_5p!#REF!)-1))&gt;VALUE(RIGHT(Protokoll_5p!#REF!,LEN(Protokoll_5p!#REF!)-FIND(":",Protokoll_5p!#REF!))),0,1))</f>
        <v>#REF!</v>
      </c>
      <c r="N122" s="1" t="e">
        <f t="shared" si="3"/>
        <v>#REF!</v>
      </c>
    </row>
    <row r="123" spans="2:14">
      <c r="B123" s="1" t="e">
        <f>IF(Protokoll_5p!#REF!="","",IF(VALUE(LEFT(Protokoll_5p!#REF!,FIND(":",Protokoll_5p!#REF!)-1))&gt;VALUE(RIGHT(Protokoll_5p!#REF!,LEN(Protokoll_5p!#REF!)-FIND(":",Protokoll_5p!#REF!))),1,0))</f>
        <v>#REF!</v>
      </c>
      <c r="C123" s="1" t="e">
        <f>IF(Protokoll_5p!#REF!="","",IF(VALUE(LEFT(Protokoll_5p!#REF!,FIND(":",Protokoll_5p!#REF!)-1))&gt;VALUE(RIGHT(Protokoll_5p!#REF!,LEN(Protokoll_5p!#REF!)-FIND(":",Protokoll_5p!#REF!))),1,0))</f>
        <v>#REF!</v>
      </c>
      <c r="D123" s="1" t="e">
        <f>IF(Protokoll_5p!#REF!="","",IF(VALUE(LEFT(Protokoll_5p!#REF!,FIND(":",Protokoll_5p!#REF!)-1))&gt;VALUE(RIGHT(Protokoll_5p!#REF!,LEN(Protokoll_5p!#REF!)-FIND(":",Protokoll_5p!#REF!))),1,0))</f>
        <v>#REF!</v>
      </c>
      <c r="E123" s="1" t="e">
        <f>IF(Protokoll_5p!#REF!="","",IF(VALUE(LEFT(Protokoll_5p!#REF!,FIND(":",Protokoll_5p!#REF!)-1))&gt;VALUE(RIGHT(Protokoll_5p!#REF!,LEN(Protokoll_5p!#REF!)-FIND(":",Protokoll_5p!#REF!))),1,0))</f>
        <v>#REF!</v>
      </c>
      <c r="F123" s="1" t="e">
        <f>IF(Protokoll_5p!#REF!="","",IF(VALUE(LEFT(Protokoll_5p!#REF!,FIND(":",Protokoll_5p!#REF!)-1))&gt;VALUE(RIGHT(Protokoll_5p!#REF!,LEN(Protokoll_5p!#REF!)-FIND(":",Protokoll_5p!#REF!))),1,0))</f>
        <v>#REF!</v>
      </c>
      <c r="G123" s="1" t="e">
        <f t="shared" si="2"/>
        <v>#REF!</v>
      </c>
      <c r="I123" s="1" t="e">
        <f>IF(Protokoll_5p!#REF!="","",IF(VALUE(LEFT(Protokoll_5p!#REF!,FIND(":",Protokoll_5p!#REF!)-1))&gt;VALUE(RIGHT(Protokoll_5p!#REF!,LEN(Protokoll_5p!#REF!)-FIND(":",Protokoll_5p!#REF!))),0,1))</f>
        <v>#REF!</v>
      </c>
      <c r="J123" s="1" t="e">
        <f>IF(Protokoll_5p!#REF!="","",IF(VALUE(LEFT(Protokoll_5p!#REF!,FIND(":",Protokoll_5p!#REF!)-1))&gt;VALUE(RIGHT(Protokoll_5p!#REF!,LEN(Protokoll_5p!#REF!)-FIND(":",Protokoll_5p!#REF!))),0,1))</f>
        <v>#REF!</v>
      </c>
      <c r="K123" s="1" t="e">
        <f>IF(Protokoll_5p!#REF!="","",IF(VALUE(LEFT(Protokoll_5p!#REF!,FIND(":",Protokoll_5p!#REF!)-1))&gt;VALUE(RIGHT(Protokoll_5p!#REF!,LEN(Protokoll_5p!#REF!)-FIND(":",Protokoll_5p!#REF!))),0,1))</f>
        <v>#REF!</v>
      </c>
      <c r="L123" s="1" t="e">
        <f>IF(Protokoll_5p!#REF!="","",IF(VALUE(LEFT(Protokoll_5p!#REF!,FIND(":",Protokoll_5p!#REF!)-1))&gt;VALUE(RIGHT(Protokoll_5p!#REF!,LEN(Protokoll_5p!#REF!)-FIND(":",Protokoll_5p!#REF!))),0,1))</f>
        <v>#REF!</v>
      </c>
      <c r="M123" s="1" t="e">
        <f>IF(Protokoll_5p!#REF!="","",IF(VALUE(LEFT(Protokoll_5p!#REF!,FIND(":",Protokoll_5p!#REF!)-1))&gt;VALUE(RIGHT(Protokoll_5p!#REF!,LEN(Protokoll_5p!#REF!)-FIND(":",Protokoll_5p!#REF!))),0,1))</f>
        <v>#REF!</v>
      </c>
      <c r="N123" s="1" t="e">
        <f t="shared" si="3"/>
        <v>#REF!</v>
      </c>
    </row>
    <row r="124" spans="2:14">
      <c r="B124" s="1" t="e">
        <f>IF(Protokoll_5p!#REF!="","",IF(VALUE(LEFT(Protokoll_5p!#REF!,FIND(":",Protokoll_5p!#REF!)-1))&gt;VALUE(RIGHT(Protokoll_5p!#REF!,LEN(Protokoll_5p!#REF!)-FIND(":",Protokoll_5p!#REF!))),1,0))</f>
        <v>#REF!</v>
      </c>
      <c r="C124" s="1" t="e">
        <f>IF(Protokoll_5p!#REF!="","",IF(VALUE(LEFT(Protokoll_5p!#REF!,FIND(":",Protokoll_5p!#REF!)-1))&gt;VALUE(RIGHT(Protokoll_5p!#REF!,LEN(Protokoll_5p!#REF!)-FIND(":",Protokoll_5p!#REF!))),1,0))</f>
        <v>#REF!</v>
      </c>
      <c r="D124" s="1" t="e">
        <f>IF(Protokoll_5p!#REF!="","",IF(VALUE(LEFT(Protokoll_5p!#REF!,FIND(":",Protokoll_5p!#REF!)-1))&gt;VALUE(RIGHT(Protokoll_5p!#REF!,LEN(Protokoll_5p!#REF!)-FIND(":",Protokoll_5p!#REF!))),1,0))</f>
        <v>#REF!</v>
      </c>
      <c r="E124" s="1" t="e">
        <f>IF(Protokoll_5p!#REF!="","",IF(VALUE(LEFT(Protokoll_5p!#REF!,FIND(":",Protokoll_5p!#REF!)-1))&gt;VALUE(RIGHT(Protokoll_5p!#REF!,LEN(Protokoll_5p!#REF!)-FIND(":",Protokoll_5p!#REF!))),1,0))</f>
        <v>#REF!</v>
      </c>
      <c r="F124" s="1" t="e">
        <f>IF(Protokoll_5p!#REF!="","",IF(VALUE(LEFT(Protokoll_5p!#REF!,FIND(":",Protokoll_5p!#REF!)-1))&gt;VALUE(RIGHT(Protokoll_5p!#REF!,LEN(Protokoll_5p!#REF!)-FIND(":",Protokoll_5p!#REF!))),1,0))</f>
        <v>#REF!</v>
      </c>
      <c r="G124" s="1" t="e">
        <f t="shared" si="2"/>
        <v>#REF!</v>
      </c>
      <c r="I124" s="1" t="e">
        <f>IF(Protokoll_5p!#REF!="","",IF(VALUE(LEFT(Protokoll_5p!#REF!,FIND(":",Protokoll_5p!#REF!)-1))&gt;VALUE(RIGHT(Protokoll_5p!#REF!,LEN(Protokoll_5p!#REF!)-FIND(":",Protokoll_5p!#REF!))),0,1))</f>
        <v>#REF!</v>
      </c>
      <c r="J124" s="1" t="e">
        <f>IF(Protokoll_5p!#REF!="","",IF(VALUE(LEFT(Protokoll_5p!#REF!,FIND(":",Protokoll_5p!#REF!)-1))&gt;VALUE(RIGHT(Protokoll_5p!#REF!,LEN(Protokoll_5p!#REF!)-FIND(":",Protokoll_5p!#REF!))),0,1))</f>
        <v>#REF!</v>
      </c>
      <c r="K124" s="1" t="e">
        <f>IF(Protokoll_5p!#REF!="","",IF(VALUE(LEFT(Protokoll_5p!#REF!,FIND(":",Protokoll_5p!#REF!)-1))&gt;VALUE(RIGHT(Protokoll_5p!#REF!,LEN(Protokoll_5p!#REF!)-FIND(":",Protokoll_5p!#REF!))),0,1))</f>
        <v>#REF!</v>
      </c>
      <c r="L124" s="1" t="e">
        <f>IF(Protokoll_5p!#REF!="","",IF(VALUE(LEFT(Protokoll_5p!#REF!,FIND(":",Protokoll_5p!#REF!)-1))&gt;VALUE(RIGHT(Protokoll_5p!#REF!,LEN(Protokoll_5p!#REF!)-FIND(":",Protokoll_5p!#REF!))),0,1))</f>
        <v>#REF!</v>
      </c>
      <c r="M124" s="1" t="e">
        <f>IF(Protokoll_5p!#REF!="","",IF(VALUE(LEFT(Protokoll_5p!#REF!,FIND(":",Protokoll_5p!#REF!)-1))&gt;VALUE(RIGHT(Protokoll_5p!#REF!,LEN(Protokoll_5p!#REF!)-FIND(":",Protokoll_5p!#REF!))),0,1))</f>
        <v>#REF!</v>
      </c>
      <c r="N124" s="1" t="e">
        <f t="shared" si="3"/>
        <v>#REF!</v>
      </c>
    </row>
    <row r="125" spans="2:14">
      <c r="B125" s="1" t="e">
        <f>IF(Protokoll_5p!#REF!="","",IF(VALUE(LEFT(Protokoll_5p!#REF!,FIND(":",Protokoll_5p!#REF!)-1))&gt;VALUE(RIGHT(Protokoll_5p!#REF!,LEN(Protokoll_5p!#REF!)-FIND(":",Protokoll_5p!#REF!))),1,0))</f>
        <v>#REF!</v>
      </c>
      <c r="C125" s="1" t="e">
        <f>IF(Protokoll_5p!#REF!="","",IF(VALUE(LEFT(Protokoll_5p!#REF!,FIND(":",Protokoll_5p!#REF!)-1))&gt;VALUE(RIGHT(Protokoll_5p!#REF!,LEN(Protokoll_5p!#REF!)-FIND(":",Protokoll_5p!#REF!))),1,0))</f>
        <v>#REF!</v>
      </c>
      <c r="D125" s="1" t="e">
        <f>IF(Protokoll_5p!#REF!="","",IF(VALUE(LEFT(Protokoll_5p!#REF!,FIND(":",Protokoll_5p!#REF!)-1))&gt;VALUE(RIGHT(Protokoll_5p!#REF!,LEN(Protokoll_5p!#REF!)-FIND(":",Protokoll_5p!#REF!))),1,0))</f>
        <v>#REF!</v>
      </c>
      <c r="E125" s="1" t="e">
        <f>IF(Protokoll_5p!#REF!="","",IF(VALUE(LEFT(Protokoll_5p!#REF!,FIND(":",Protokoll_5p!#REF!)-1))&gt;VALUE(RIGHT(Protokoll_5p!#REF!,LEN(Protokoll_5p!#REF!)-FIND(":",Protokoll_5p!#REF!))),1,0))</f>
        <v>#REF!</v>
      </c>
      <c r="F125" s="1" t="e">
        <f>IF(Protokoll_5p!#REF!="","",IF(VALUE(LEFT(Protokoll_5p!#REF!,FIND(":",Protokoll_5p!#REF!)-1))&gt;VALUE(RIGHT(Protokoll_5p!#REF!,LEN(Protokoll_5p!#REF!)-FIND(":",Protokoll_5p!#REF!))),1,0))</f>
        <v>#REF!</v>
      </c>
      <c r="G125" s="1" t="e">
        <f t="shared" si="2"/>
        <v>#REF!</v>
      </c>
      <c r="I125" s="1" t="e">
        <f>IF(Protokoll_5p!#REF!="","",IF(VALUE(LEFT(Protokoll_5p!#REF!,FIND(":",Protokoll_5p!#REF!)-1))&gt;VALUE(RIGHT(Protokoll_5p!#REF!,LEN(Protokoll_5p!#REF!)-FIND(":",Protokoll_5p!#REF!))),0,1))</f>
        <v>#REF!</v>
      </c>
      <c r="J125" s="1" t="e">
        <f>IF(Protokoll_5p!#REF!="","",IF(VALUE(LEFT(Protokoll_5p!#REF!,FIND(":",Protokoll_5p!#REF!)-1))&gt;VALUE(RIGHT(Protokoll_5p!#REF!,LEN(Protokoll_5p!#REF!)-FIND(":",Protokoll_5p!#REF!))),0,1))</f>
        <v>#REF!</v>
      </c>
      <c r="K125" s="1" t="e">
        <f>IF(Protokoll_5p!#REF!="","",IF(VALUE(LEFT(Protokoll_5p!#REF!,FIND(":",Protokoll_5p!#REF!)-1))&gt;VALUE(RIGHT(Protokoll_5p!#REF!,LEN(Protokoll_5p!#REF!)-FIND(":",Protokoll_5p!#REF!))),0,1))</f>
        <v>#REF!</v>
      </c>
      <c r="L125" s="1" t="e">
        <f>IF(Protokoll_5p!#REF!="","",IF(VALUE(LEFT(Protokoll_5p!#REF!,FIND(":",Protokoll_5p!#REF!)-1))&gt;VALUE(RIGHT(Protokoll_5p!#REF!,LEN(Protokoll_5p!#REF!)-FIND(":",Protokoll_5p!#REF!))),0,1))</f>
        <v>#REF!</v>
      </c>
      <c r="M125" s="1" t="e">
        <f>IF(Protokoll_5p!#REF!="","",IF(VALUE(LEFT(Protokoll_5p!#REF!,FIND(":",Protokoll_5p!#REF!)-1))&gt;VALUE(RIGHT(Protokoll_5p!#REF!,LEN(Protokoll_5p!#REF!)-FIND(":",Protokoll_5p!#REF!))),0,1))</f>
        <v>#REF!</v>
      </c>
      <c r="N125" s="1" t="e">
        <f t="shared" si="3"/>
        <v>#REF!</v>
      </c>
    </row>
    <row r="126" spans="2:14">
      <c r="B126" s="1" t="e">
        <f>IF(Protokoll_5p!#REF!="","",IF(VALUE(LEFT(Protokoll_5p!#REF!,FIND(":",Protokoll_5p!#REF!)-1))&gt;VALUE(RIGHT(Protokoll_5p!#REF!,LEN(Protokoll_5p!#REF!)-FIND(":",Protokoll_5p!#REF!))),1,0))</f>
        <v>#REF!</v>
      </c>
      <c r="C126" s="1" t="e">
        <f>IF(Protokoll_5p!#REF!="","",IF(VALUE(LEFT(Protokoll_5p!#REF!,FIND(":",Protokoll_5p!#REF!)-1))&gt;VALUE(RIGHT(Protokoll_5p!#REF!,LEN(Protokoll_5p!#REF!)-FIND(":",Protokoll_5p!#REF!))),1,0))</f>
        <v>#REF!</v>
      </c>
      <c r="D126" s="1" t="e">
        <f>IF(Protokoll_5p!#REF!="","",IF(VALUE(LEFT(Protokoll_5p!#REF!,FIND(":",Protokoll_5p!#REF!)-1))&gt;VALUE(RIGHT(Protokoll_5p!#REF!,LEN(Protokoll_5p!#REF!)-FIND(":",Protokoll_5p!#REF!))),1,0))</f>
        <v>#REF!</v>
      </c>
      <c r="E126" s="1" t="e">
        <f>IF(Protokoll_5p!#REF!="","",IF(VALUE(LEFT(Protokoll_5p!#REF!,FIND(":",Protokoll_5p!#REF!)-1))&gt;VALUE(RIGHT(Protokoll_5p!#REF!,LEN(Protokoll_5p!#REF!)-FIND(":",Protokoll_5p!#REF!))),1,0))</f>
        <v>#REF!</v>
      </c>
      <c r="F126" s="1" t="e">
        <f>IF(Protokoll_5p!#REF!="","",IF(VALUE(LEFT(Protokoll_5p!#REF!,FIND(":",Protokoll_5p!#REF!)-1))&gt;VALUE(RIGHT(Protokoll_5p!#REF!,LEN(Protokoll_5p!#REF!)-FIND(":",Protokoll_5p!#REF!))),1,0))</f>
        <v>#REF!</v>
      </c>
      <c r="G126" s="1" t="e">
        <f t="shared" si="2"/>
        <v>#REF!</v>
      </c>
      <c r="I126" s="1" t="e">
        <f>IF(Protokoll_5p!#REF!="","",IF(VALUE(LEFT(Protokoll_5p!#REF!,FIND(":",Protokoll_5p!#REF!)-1))&gt;VALUE(RIGHT(Protokoll_5p!#REF!,LEN(Protokoll_5p!#REF!)-FIND(":",Protokoll_5p!#REF!))),0,1))</f>
        <v>#REF!</v>
      </c>
      <c r="J126" s="1" t="e">
        <f>IF(Protokoll_5p!#REF!="","",IF(VALUE(LEFT(Protokoll_5p!#REF!,FIND(":",Protokoll_5p!#REF!)-1))&gt;VALUE(RIGHT(Protokoll_5p!#REF!,LEN(Protokoll_5p!#REF!)-FIND(":",Protokoll_5p!#REF!))),0,1))</f>
        <v>#REF!</v>
      </c>
      <c r="K126" s="1" t="e">
        <f>IF(Protokoll_5p!#REF!="","",IF(VALUE(LEFT(Protokoll_5p!#REF!,FIND(":",Protokoll_5p!#REF!)-1))&gt;VALUE(RIGHT(Protokoll_5p!#REF!,LEN(Protokoll_5p!#REF!)-FIND(":",Protokoll_5p!#REF!))),0,1))</f>
        <v>#REF!</v>
      </c>
      <c r="L126" s="1" t="e">
        <f>IF(Protokoll_5p!#REF!="","",IF(VALUE(LEFT(Protokoll_5p!#REF!,FIND(":",Protokoll_5p!#REF!)-1))&gt;VALUE(RIGHT(Protokoll_5p!#REF!,LEN(Protokoll_5p!#REF!)-FIND(":",Protokoll_5p!#REF!))),0,1))</f>
        <v>#REF!</v>
      </c>
      <c r="M126" s="1" t="e">
        <f>IF(Protokoll_5p!#REF!="","",IF(VALUE(LEFT(Protokoll_5p!#REF!,FIND(":",Protokoll_5p!#REF!)-1))&gt;VALUE(RIGHT(Protokoll_5p!#REF!,LEN(Protokoll_5p!#REF!)-FIND(":",Protokoll_5p!#REF!))),0,1))</f>
        <v>#REF!</v>
      </c>
      <c r="N126" s="1" t="e">
        <f t="shared" si="3"/>
        <v>#REF!</v>
      </c>
    </row>
    <row r="127" spans="2:14">
      <c r="B127" s="1" t="e">
        <f>IF(Protokoll_5p!#REF!="","",IF(VALUE(LEFT(Protokoll_5p!#REF!,FIND(":",Protokoll_5p!#REF!)-1))&gt;VALUE(RIGHT(Protokoll_5p!#REF!,LEN(Protokoll_5p!#REF!)-FIND(":",Protokoll_5p!#REF!))),1,0))</f>
        <v>#REF!</v>
      </c>
      <c r="C127" s="1" t="e">
        <f>IF(Protokoll_5p!#REF!="","",IF(VALUE(LEFT(Protokoll_5p!#REF!,FIND(":",Protokoll_5p!#REF!)-1))&gt;VALUE(RIGHT(Protokoll_5p!#REF!,LEN(Protokoll_5p!#REF!)-FIND(":",Protokoll_5p!#REF!))),1,0))</f>
        <v>#REF!</v>
      </c>
      <c r="D127" s="1" t="e">
        <f>IF(Protokoll_5p!#REF!="","",IF(VALUE(LEFT(Protokoll_5p!#REF!,FIND(":",Protokoll_5p!#REF!)-1))&gt;VALUE(RIGHT(Protokoll_5p!#REF!,LEN(Protokoll_5p!#REF!)-FIND(":",Protokoll_5p!#REF!))),1,0))</f>
        <v>#REF!</v>
      </c>
      <c r="E127" s="1" t="e">
        <f>IF(Protokoll_5p!#REF!="","",IF(VALUE(LEFT(Protokoll_5p!#REF!,FIND(":",Protokoll_5p!#REF!)-1))&gt;VALUE(RIGHT(Protokoll_5p!#REF!,LEN(Protokoll_5p!#REF!)-FIND(":",Protokoll_5p!#REF!))),1,0))</f>
        <v>#REF!</v>
      </c>
      <c r="F127" s="1" t="e">
        <f>IF(Protokoll_5p!#REF!="","",IF(VALUE(LEFT(Protokoll_5p!#REF!,FIND(":",Protokoll_5p!#REF!)-1))&gt;VALUE(RIGHT(Protokoll_5p!#REF!,LEN(Protokoll_5p!#REF!)-FIND(":",Protokoll_5p!#REF!))),1,0))</f>
        <v>#REF!</v>
      </c>
      <c r="G127" s="1" t="e">
        <f t="shared" si="2"/>
        <v>#REF!</v>
      </c>
      <c r="I127" s="1" t="e">
        <f>IF(Protokoll_5p!#REF!="","",IF(VALUE(LEFT(Protokoll_5p!#REF!,FIND(":",Protokoll_5p!#REF!)-1))&gt;VALUE(RIGHT(Protokoll_5p!#REF!,LEN(Protokoll_5p!#REF!)-FIND(":",Protokoll_5p!#REF!))),0,1))</f>
        <v>#REF!</v>
      </c>
      <c r="J127" s="1" t="e">
        <f>IF(Protokoll_5p!#REF!="","",IF(VALUE(LEFT(Protokoll_5p!#REF!,FIND(":",Protokoll_5p!#REF!)-1))&gt;VALUE(RIGHT(Protokoll_5p!#REF!,LEN(Protokoll_5p!#REF!)-FIND(":",Protokoll_5p!#REF!))),0,1))</f>
        <v>#REF!</v>
      </c>
      <c r="K127" s="1" t="e">
        <f>IF(Protokoll_5p!#REF!="","",IF(VALUE(LEFT(Protokoll_5p!#REF!,FIND(":",Protokoll_5p!#REF!)-1))&gt;VALUE(RIGHT(Protokoll_5p!#REF!,LEN(Protokoll_5p!#REF!)-FIND(":",Protokoll_5p!#REF!))),0,1))</f>
        <v>#REF!</v>
      </c>
      <c r="L127" s="1" t="e">
        <f>IF(Protokoll_5p!#REF!="","",IF(VALUE(LEFT(Protokoll_5p!#REF!,FIND(":",Protokoll_5p!#REF!)-1))&gt;VALUE(RIGHT(Protokoll_5p!#REF!,LEN(Protokoll_5p!#REF!)-FIND(":",Protokoll_5p!#REF!))),0,1))</f>
        <v>#REF!</v>
      </c>
      <c r="M127" s="1" t="e">
        <f>IF(Protokoll_5p!#REF!="","",IF(VALUE(LEFT(Protokoll_5p!#REF!,FIND(":",Protokoll_5p!#REF!)-1))&gt;VALUE(RIGHT(Protokoll_5p!#REF!,LEN(Protokoll_5p!#REF!)-FIND(":",Protokoll_5p!#REF!))),0,1))</f>
        <v>#REF!</v>
      </c>
      <c r="N127" s="1" t="e">
        <f t="shared" si="3"/>
        <v>#REF!</v>
      </c>
    </row>
    <row r="128" spans="2:14">
      <c r="B128" s="1" t="e">
        <f>IF(Protokoll_5p!#REF!="","",IF(VALUE(LEFT(Protokoll_5p!#REF!,FIND(":",Protokoll_5p!#REF!)-1))&gt;VALUE(RIGHT(Protokoll_5p!#REF!,LEN(Protokoll_5p!#REF!)-FIND(":",Protokoll_5p!#REF!))),1,0))</f>
        <v>#REF!</v>
      </c>
      <c r="C128" s="1" t="e">
        <f>IF(Protokoll_5p!#REF!="","",IF(VALUE(LEFT(Protokoll_5p!#REF!,FIND(":",Protokoll_5p!#REF!)-1))&gt;VALUE(RIGHT(Protokoll_5p!#REF!,LEN(Protokoll_5p!#REF!)-FIND(":",Protokoll_5p!#REF!))),1,0))</f>
        <v>#REF!</v>
      </c>
      <c r="D128" s="1" t="e">
        <f>IF(Protokoll_5p!#REF!="","",IF(VALUE(LEFT(Protokoll_5p!#REF!,FIND(":",Protokoll_5p!#REF!)-1))&gt;VALUE(RIGHT(Protokoll_5p!#REF!,LEN(Protokoll_5p!#REF!)-FIND(":",Protokoll_5p!#REF!))),1,0))</f>
        <v>#REF!</v>
      </c>
      <c r="E128" s="1" t="e">
        <f>IF(Protokoll_5p!#REF!="","",IF(VALUE(LEFT(Protokoll_5p!#REF!,FIND(":",Protokoll_5p!#REF!)-1))&gt;VALUE(RIGHT(Protokoll_5p!#REF!,LEN(Protokoll_5p!#REF!)-FIND(":",Protokoll_5p!#REF!))),1,0))</f>
        <v>#REF!</v>
      </c>
      <c r="F128" s="1" t="e">
        <f>IF(Protokoll_5p!#REF!="","",IF(VALUE(LEFT(Protokoll_5p!#REF!,FIND(":",Protokoll_5p!#REF!)-1))&gt;VALUE(RIGHT(Protokoll_5p!#REF!,LEN(Protokoll_5p!#REF!)-FIND(":",Protokoll_5p!#REF!))),1,0))</f>
        <v>#REF!</v>
      </c>
      <c r="G128" s="1" t="e">
        <f t="shared" si="2"/>
        <v>#REF!</v>
      </c>
      <c r="I128" s="1" t="e">
        <f>IF(Protokoll_5p!#REF!="","",IF(VALUE(LEFT(Protokoll_5p!#REF!,FIND(":",Protokoll_5p!#REF!)-1))&gt;VALUE(RIGHT(Protokoll_5p!#REF!,LEN(Protokoll_5p!#REF!)-FIND(":",Protokoll_5p!#REF!))),0,1))</f>
        <v>#REF!</v>
      </c>
      <c r="J128" s="1" t="e">
        <f>IF(Protokoll_5p!#REF!="","",IF(VALUE(LEFT(Protokoll_5p!#REF!,FIND(":",Protokoll_5p!#REF!)-1))&gt;VALUE(RIGHT(Protokoll_5p!#REF!,LEN(Protokoll_5p!#REF!)-FIND(":",Protokoll_5p!#REF!))),0,1))</f>
        <v>#REF!</v>
      </c>
      <c r="K128" s="1" t="e">
        <f>IF(Protokoll_5p!#REF!="","",IF(VALUE(LEFT(Protokoll_5p!#REF!,FIND(":",Protokoll_5p!#REF!)-1))&gt;VALUE(RIGHT(Protokoll_5p!#REF!,LEN(Protokoll_5p!#REF!)-FIND(":",Protokoll_5p!#REF!))),0,1))</f>
        <v>#REF!</v>
      </c>
      <c r="L128" s="1" t="e">
        <f>IF(Protokoll_5p!#REF!="","",IF(VALUE(LEFT(Protokoll_5p!#REF!,FIND(":",Protokoll_5p!#REF!)-1))&gt;VALUE(RIGHT(Protokoll_5p!#REF!,LEN(Protokoll_5p!#REF!)-FIND(":",Protokoll_5p!#REF!))),0,1))</f>
        <v>#REF!</v>
      </c>
      <c r="M128" s="1" t="e">
        <f>IF(Protokoll_5p!#REF!="","",IF(VALUE(LEFT(Protokoll_5p!#REF!,FIND(":",Protokoll_5p!#REF!)-1))&gt;VALUE(RIGHT(Protokoll_5p!#REF!,LEN(Protokoll_5p!#REF!)-FIND(":",Protokoll_5p!#REF!))),0,1))</f>
        <v>#REF!</v>
      </c>
      <c r="N128" s="1" t="e">
        <f t="shared" si="3"/>
        <v>#REF!</v>
      </c>
    </row>
    <row r="129" spans="2:14">
      <c r="B129" s="1" t="e">
        <f>IF(Protokoll_5p!#REF!="","",IF(VALUE(LEFT(Protokoll_5p!#REF!,FIND(":",Protokoll_5p!#REF!)-1))&gt;VALUE(RIGHT(Protokoll_5p!#REF!,LEN(Protokoll_5p!#REF!)-FIND(":",Protokoll_5p!#REF!))),1,0))</f>
        <v>#REF!</v>
      </c>
      <c r="C129" s="1" t="e">
        <f>IF(Protokoll_5p!#REF!="","",IF(VALUE(LEFT(Protokoll_5p!#REF!,FIND(":",Protokoll_5p!#REF!)-1))&gt;VALUE(RIGHT(Protokoll_5p!#REF!,LEN(Protokoll_5p!#REF!)-FIND(":",Protokoll_5p!#REF!))),1,0))</f>
        <v>#REF!</v>
      </c>
      <c r="D129" s="1" t="e">
        <f>IF(Protokoll_5p!#REF!="","",IF(VALUE(LEFT(Protokoll_5p!#REF!,FIND(":",Protokoll_5p!#REF!)-1))&gt;VALUE(RIGHT(Protokoll_5p!#REF!,LEN(Protokoll_5p!#REF!)-FIND(":",Protokoll_5p!#REF!))),1,0))</f>
        <v>#REF!</v>
      </c>
      <c r="E129" s="1" t="e">
        <f>IF(Protokoll_5p!#REF!="","",IF(VALUE(LEFT(Protokoll_5p!#REF!,FIND(":",Protokoll_5p!#REF!)-1))&gt;VALUE(RIGHT(Protokoll_5p!#REF!,LEN(Protokoll_5p!#REF!)-FIND(":",Protokoll_5p!#REF!))),1,0))</f>
        <v>#REF!</v>
      </c>
      <c r="F129" s="1" t="e">
        <f>IF(Protokoll_5p!#REF!="","",IF(VALUE(LEFT(Protokoll_5p!#REF!,FIND(":",Protokoll_5p!#REF!)-1))&gt;VALUE(RIGHT(Protokoll_5p!#REF!,LEN(Protokoll_5p!#REF!)-FIND(":",Protokoll_5p!#REF!))),1,0))</f>
        <v>#REF!</v>
      </c>
      <c r="G129" s="1" t="e">
        <f t="shared" si="2"/>
        <v>#REF!</v>
      </c>
      <c r="I129" s="1" t="e">
        <f>IF(Protokoll_5p!#REF!="","",IF(VALUE(LEFT(Protokoll_5p!#REF!,FIND(":",Protokoll_5p!#REF!)-1))&gt;VALUE(RIGHT(Protokoll_5p!#REF!,LEN(Protokoll_5p!#REF!)-FIND(":",Protokoll_5p!#REF!))),0,1))</f>
        <v>#REF!</v>
      </c>
      <c r="J129" s="1" t="e">
        <f>IF(Protokoll_5p!#REF!="","",IF(VALUE(LEFT(Protokoll_5p!#REF!,FIND(":",Protokoll_5p!#REF!)-1))&gt;VALUE(RIGHT(Protokoll_5p!#REF!,LEN(Protokoll_5p!#REF!)-FIND(":",Protokoll_5p!#REF!))),0,1))</f>
        <v>#REF!</v>
      </c>
      <c r="K129" s="1" t="e">
        <f>IF(Protokoll_5p!#REF!="","",IF(VALUE(LEFT(Protokoll_5p!#REF!,FIND(":",Protokoll_5p!#REF!)-1))&gt;VALUE(RIGHT(Protokoll_5p!#REF!,LEN(Protokoll_5p!#REF!)-FIND(":",Protokoll_5p!#REF!))),0,1))</f>
        <v>#REF!</v>
      </c>
      <c r="L129" s="1" t="e">
        <f>IF(Protokoll_5p!#REF!="","",IF(VALUE(LEFT(Protokoll_5p!#REF!,FIND(":",Protokoll_5p!#REF!)-1))&gt;VALUE(RIGHT(Protokoll_5p!#REF!,LEN(Protokoll_5p!#REF!)-FIND(":",Protokoll_5p!#REF!))),0,1))</f>
        <v>#REF!</v>
      </c>
      <c r="M129" s="1" t="e">
        <f>IF(Protokoll_5p!#REF!="","",IF(VALUE(LEFT(Protokoll_5p!#REF!,FIND(":",Protokoll_5p!#REF!)-1))&gt;VALUE(RIGHT(Protokoll_5p!#REF!,LEN(Protokoll_5p!#REF!)-FIND(":",Protokoll_5p!#REF!))),0,1))</f>
        <v>#REF!</v>
      </c>
      <c r="N129" s="1" t="e">
        <f t="shared" si="3"/>
        <v>#REF!</v>
      </c>
    </row>
    <row r="130" spans="2:14">
      <c r="B130" s="1" t="e">
        <f>IF(Protokoll_5p!#REF!="","",IF(VALUE(LEFT(Protokoll_5p!#REF!,FIND(":",Protokoll_5p!#REF!)-1))&gt;VALUE(RIGHT(Protokoll_5p!#REF!,LEN(Protokoll_5p!#REF!)-FIND(":",Protokoll_5p!#REF!))),1,0))</f>
        <v>#REF!</v>
      </c>
      <c r="C130" s="1" t="e">
        <f>IF(Protokoll_5p!#REF!="","",IF(VALUE(LEFT(Protokoll_5p!#REF!,FIND(":",Protokoll_5p!#REF!)-1))&gt;VALUE(RIGHT(Protokoll_5p!#REF!,LEN(Protokoll_5p!#REF!)-FIND(":",Protokoll_5p!#REF!))),1,0))</f>
        <v>#REF!</v>
      </c>
      <c r="D130" s="1" t="e">
        <f>IF(Protokoll_5p!#REF!="","",IF(VALUE(LEFT(Protokoll_5p!#REF!,FIND(":",Protokoll_5p!#REF!)-1))&gt;VALUE(RIGHT(Protokoll_5p!#REF!,LEN(Protokoll_5p!#REF!)-FIND(":",Protokoll_5p!#REF!))),1,0))</f>
        <v>#REF!</v>
      </c>
      <c r="E130" s="1" t="e">
        <f>IF(Protokoll_5p!#REF!="","",IF(VALUE(LEFT(Protokoll_5p!#REF!,FIND(":",Protokoll_5p!#REF!)-1))&gt;VALUE(RIGHT(Protokoll_5p!#REF!,LEN(Protokoll_5p!#REF!)-FIND(":",Protokoll_5p!#REF!))),1,0))</f>
        <v>#REF!</v>
      </c>
      <c r="F130" s="1" t="e">
        <f>IF(Protokoll_5p!#REF!="","",IF(VALUE(LEFT(Protokoll_5p!#REF!,FIND(":",Protokoll_5p!#REF!)-1))&gt;VALUE(RIGHT(Protokoll_5p!#REF!,LEN(Protokoll_5p!#REF!)-FIND(":",Protokoll_5p!#REF!))),1,0))</f>
        <v>#REF!</v>
      </c>
      <c r="G130" s="1" t="e">
        <f t="shared" si="2"/>
        <v>#REF!</v>
      </c>
      <c r="I130" s="1" t="e">
        <f>IF(Protokoll_5p!#REF!="","",IF(VALUE(LEFT(Protokoll_5p!#REF!,FIND(":",Protokoll_5p!#REF!)-1))&gt;VALUE(RIGHT(Protokoll_5p!#REF!,LEN(Protokoll_5p!#REF!)-FIND(":",Protokoll_5p!#REF!))),0,1))</f>
        <v>#REF!</v>
      </c>
      <c r="J130" s="1" t="e">
        <f>IF(Protokoll_5p!#REF!="","",IF(VALUE(LEFT(Protokoll_5p!#REF!,FIND(":",Protokoll_5p!#REF!)-1))&gt;VALUE(RIGHT(Protokoll_5p!#REF!,LEN(Protokoll_5p!#REF!)-FIND(":",Protokoll_5p!#REF!))),0,1))</f>
        <v>#REF!</v>
      </c>
      <c r="K130" s="1" t="e">
        <f>IF(Protokoll_5p!#REF!="","",IF(VALUE(LEFT(Protokoll_5p!#REF!,FIND(":",Protokoll_5p!#REF!)-1))&gt;VALUE(RIGHT(Protokoll_5p!#REF!,LEN(Protokoll_5p!#REF!)-FIND(":",Protokoll_5p!#REF!))),0,1))</f>
        <v>#REF!</v>
      </c>
      <c r="L130" s="1" t="e">
        <f>IF(Protokoll_5p!#REF!="","",IF(VALUE(LEFT(Protokoll_5p!#REF!,FIND(":",Protokoll_5p!#REF!)-1))&gt;VALUE(RIGHT(Protokoll_5p!#REF!,LEN(Protokoll_5p!#REF!)-FIND(":",Protokoll_5p!#REF!))),0,1))</f>
        <v>#REF!</v>
      </c>
      <c r="M130" s="1" t="e">
        <f>IF(Protokoll_5p!#REF!="","",IF(VALUE(LEFT(Protokoll_5p!#REF!,FIND(":",Protokoll_5p!#REF!)-1))&gt;VALUE(RIGHT(Protokoll_5p!#REF!,LEN(Protokoll_5p!#REF!)-FIND(":",Protokoll_5p!#REF!))),0,1))</f>
        <v>#REF!</v>
      </c>
      <c r="N130" s="1" t="e">
        <f t="shared" si="3"/>
        <v>#REF!</v>
      </c>
    </row>
    <row r="131" spans="2:14">
      <c r="B131" s="1" t="e">
        <f>IF(Protokoll_5p!#REF!="","",IF(VALUE(LEFT(Protokoll_5p!#REF!,FIND(":",Protokoll_5p!#REF!)-1))&gt;VALUE(RIGHT(Protokoll_5p!#REF!,LEN(Protokoll_5p!#REF!)-FIND(":",Protokoll_5p!#REF!))),1,0))</f>
        <v>#REF!</v>
      </c>
      <c r="C131" s="1" t="e">
        <f>IF(Protokoll_5p!#REF!="","",IF(VALUE(LEFT(Protokoll_5p!#REF!,FIND(":",Protokoll_5p!#REF!)-1))&gt;VALUE(RIGHT(Protokoll_5p!#REF!,LEN(Protokoll_5p!#REF!)-FIND(":",Protokoll_5p!#REF!))),1,0))</f>
        <v>#REF!</v>
      </c>
      <c r="D131" s="1" t="e">
        <f>IF(Protokoll_5p!#REF!="","",IF(VALUE(LEFT(Protokoll_5p!#REF!,FIND(":",Protokoll_5p!#REF!)-1))&gt;VALUE(RIGHT(Protokoll_5p!#REF!,LEN(Protokoll_5p!#REF!)-FIND(":",Protokoll_5p!#REF!))),1,0))</f>
        <v>#REF!</v>
      </c>
      <c r="E131" s="1" t="e">
        <f>IF(Protokoll_5p!#REF!="","",IF(VALUE(LEFT(Protokoll_5p!#REF!,FIND(":",Protokoll_5p!#REF!)-1))&gt;VALUE(RIGHT(Protokoll_5p!#REF!,LEN(Protokoll_5p!#REF!)-FIND(":",Protokoll_5p!#REF!))),1,0))</f>
        <v>#REF!</v>
      </c>
      <c r="F131" s="1" t="e">
        <f>IF(Protokoll_5p!#REF!="","",IF(VALUE(LEFT(Protokoll_5p!#REF!,FIND(":",Protokoll_5p!#REF!)-1))&gt;VALUE(RIGHT(Protokoll_5p!#REF!,LEN(Protokoll_5p!#REF!)-FIND(":",Protokoll_5p!#REF!))),1,0))</f>
        <v>#REF!</v>
      </c>
      <c r="G131" s="1" t="e">
        <f t="shared" ref="G131:G194" si="4">IF(B131="","",SUM(B131:F131))</f>
        <v>#REF!</v>
      </c>
      <c r="I131" s="1" t="e">
        <f>IF(Protokoll_5p!#REF!="","",IF(VALUE(LEFT(Protokoll_5p!#REF!,FIND(":",Protokoll_5p!#REF!)-1))&gt;VALUE(RIGHT(Protokoll_5p!#REF!,LEN(Protokoll_5p!#REF!)-FIND(":",Protokoll_5p!#REF!))),0,1))</f>
        <v>#REF!</v>
      </c>
      <c r="J131" s="1" t="e">
        <f>IF(Protokoll_5p!#REF!="","",IF(VALUE(LEFT(Protokoll_5p!#REF!,FIND(":",Protokoll_5p!#REF!)-1))&gt;VALUE(RIGHT(Protokoll_5p!#REF!,LEN(Protokoll_5p!#REF!)-FIND(":",Protokoll_5p!#REF!))),0,1))</f>
        <v>#REF!</v>
      </c>
      <c r="K131" s="1" t="e">
        <f>IF(Protokoll_5p!#REF!="","",IF(VALUE(LEFT(Protokoll_5p!#REF!,FIND(":",Protokoll_5p!#REF!)-1))&gt;VALUE(RIGHT(Protokoll_5p!#REF!,LEN(Protokoll_5p!#REF!)-FIND(":",Protokoll_5p!#REF!))),0,1))</f>
        <v>#REF!</v>
      </c>
      <c r="L131" s="1" t="e">
        <f>IF(Protokoll_5p!#REF!="","",IF(VALUE(LEFT(Protokoll_5p!#REF!,FIND(":",Protokoll_5p!#REF!)-1))&gt;VALUE(RIGHT(Protokoll_5p!#REF!,LEN(Protokoll_5p!#REF!)-FIND(":",Protokoll_5p!#REF!))),0,1))</f>
        <v>#REF!</v>
      </c>
      <c r="M131" s="1" t="e">
        <f>IF(Protokoll_5p!#REF!="","",IF(VALUE(LEFT(Protokoll_5p!#REF!,FIND(":",Protokoll_5p!#REF!)-1))&gt;VALUE(RIGHT(Protokoll_5p!#REF!,LEN(Protokoll_5p!#REF!)-FIND(":",Protokoll_5p!#REF!))),0,1))</f>
        <v>#REF!</v>
      </c>
      <c r="N131" s="1" t="e">
        <f t="shared" ref="N131:N194" si="5">IF(I131="","",SUM(I131:M131))</f>
        <v>#REF!</v>
      </c>
    </row>
    <row r="132" spans="2:14">
      <c r="B132" s="1" t="e">
        <f>IF(Protokoll_5p!#REF!="","",IF(VALUE(LEFT(Protokoll_5p!#REF!,FIND(":",Protokoll_5p!#REF!)-1))&gt;VALUE(RIGHT(Protokoll_5p!#REF!,LEN(Protokoll_5p!#REF!)-FIND(":",Protokoll_5p!#REF!))),1,0))</f>
        <v>#REF!</v>
      </c>
      <c r="C132" s="1" t="e">
        <f>IF(Protokoll_5p!#REF!="","",IF(VALUE(LEFT(Protokoll_5p!#REF!,FIND(":",Protokoll_5p!#REF!)-1))&gt;VALUE(RIGHT(Protokoll_5p!#REF!,LEN(Protokoll_5p!#REF!)-FIND(":",Protokoll_5p!#REF!))),1,0))</f>
        <v>#REF!</v>
      </c>
      <c r="D132" s="1" t="e">
        <f>IF(Protokoll_5p!#REF!="","",IF(VALUE(LEFT(Protokoll_5p!#REF!,FIND(":",Protokoll_5p!#REF!)-1))&gt;VALUE(RIGHT(Protokoll_5p!#REF!,LEN(Protokoll_5p!#REF!)-FIND(":",Protokoll_5p!#REF!))),1,0))</f>
        <v>#REF!</v>
      </c>
      <c r="E132" s="1" t="e">
        <f>IF(Protokoll_5p!#REF!="","",IF(VALUE(LEFT(Protokoll_5p!#REF!,FIND(":",Protokoll_5p!#REF!)-1))&gt;VALUE(RIGHT(Protokoll_5p!#REF!,LEN(Protokoll_5p!#REF!)-FIND(":",Protokoll_5p!#REF!))),1,0))</f>
        <v>#REF!</v>
      </c>
      <c r="F132" s="1" t="e">
        <f>IF(Protokoll_5p!#REF!="","",IF(VALUE(LEFT(Protokoll_5p!#REF!,FIND(":",Protokoll_5p!#REF!)-1))&gt;VALUE(RIGHT(Protokoll_5p!#REF!,LEN(Protokoll_5p!#REF!)-FIND(":",Protokoll_5p!#REF!))),1,0))</f>
        <v>#REF!</v>
      </c>
      <c r="G132" s="1" t="e">
        <f t="shared" si="4"/>
        <v>#REF!</v>
      </c>
      <c r="I132" s="1" t="e">
        <f>IF(Protokoll_5p!#REF!="","",IF(VALUE(LEFT(Protokoll_5p!#REF!,FIND(":",Protokoll_5p!#REF!)-1))&gt;VALUE(RIGHT(Protokoll_5p!#REF!,LEN(Protokoll_5p!#REF!)-FIND(":",Protokoll_5p!#REF!))),0,1))</f>
        <v>#REF!</v>
      </c>
      <c r="J132" s="1" t="e">
        <f>IF(Protokoll_5p!#REF!="","",IF(VALUE(LEFT(Protokoll_5p!#REF!,FIND(":",Protokoll_5p!#REF!)-1))&gt;VALUE(RIGHT(Protokoll_5p!#REF!,LEN(Protokoll_5p!#REF!)-FIND(":",Protokoll_5p!#REF!))),0,1))</f>
        <v>#REF!</v>
      </c>
      <c r="K132" s="1" t="e">
        <f>IF(Protokoll_5p!#REF!="","",IF(VALUE(LEFT(Protokoll_5p!#REF!,FIND(":",Protokoll_5p!#REF!)-1))&gt;VALUE(RIGHT(Protokoll_5p!#REF!,LEN(Protokoll_5p!#REF!)-FIND(":",Protokoll_5p!#REF!))),0,1))</f>
        <v>#REF!</v>
      </c>
      <c r="L132" s="1" t="e">
        <f>IF(Protokoll_5p!#REF!="","",IF(VALUE(LEFT(Protokoll_5p!#REF!,FIND(":",Protokoll_5p!#REF!)-1))&gt;VALUE(RIGHT(Protokoll_5p!#REF!,LEN(Protokoll_5p!#REF!)-FIND(":",Protokoll_5p!#REF!))),0,1))</f>
        <v>#REF!</v>
      </c>
      <c r="M132" s="1" t="e">
        <f>IF(Protokoll_5p!#REF!="","",IF(VALUE(LEFT(Protokoll_5p!#REF!,FIND(":",Protokoll_5p!#REF!)-1))&gt;VALUE(RIGHT(Protokoll_5p!#REF!,LEN(Protokoll_5p!#REF!)-FIND(":",Protokoll_5p!#REF!))),0,1))</f>
        <v>#REF!</v>
      </c>
      <c r="N132" s="1" t="e">
        <f t="shared" si="5"/>
        <v>#REF!</v>
      </c>
    </row>
    <row r="133" spans="2:14">
      <c r="B133" s="1" t="e">
        <f>IF(Protokoll_5p!#REF!="","",IF(VALUE(LEFT(Protokoll_5p!#REF!,FIND(":",Protokoll_5p!#REF!)-1))&gt;VALUE(RIGHT(Protokoll_5p!#REF!,LEN(Protokoll_5p!#REF!)-FIND(":",Protokoll_5p!#REF!))),1,0))</f>
        <v>#REF!</v>
      </c>
      <c r="C133" s="1" t="e">
        <f>IF(Protokoll_5p!#REF!="","",IF(VALUE(LEFT(Protokoll_5p!#REF!,FIND(":",Protokoll_5p!#REF!)-1))&gt;VALUE(RIGHT(Protokoll_5p!#REF!,LEN(Protokoll_5p!#REF!)-FIND(":",Protokoll_5p!#REF!))),1,0))</f>
        <v>#REF!</v>
      </c>
      <c r="D133" s="1" t="e">
        <f>IF(Protokoll_5p!#REF!="","",IF(VALUE(LEFT(Protokoll_5p!#REF!,FIND(":",Protokoll_5p!#REF!)-1))&gt;VALUE(RIGHT(Protokoll_5p!#REF!,LEN(Protokoll_5p!#REF!)-FIND(":",Protokoll_5p!#REF!))),1,0))</f>
        <v>#REF!</v>
      </c>
      <c r="E133" s="1" t="e">
        <f>IF(Protokoll_5p!#REF!="","",IF(VALUE(LEFT(Protokoll_5p!#REF!,FIND(":",Protokoll_5p!#REF!)-1))&gt;VALUE(RIGHT(Protokoll_5p!#REF!,LEN(Protokoll_5p!#REF!)-FIND(":",Protokoll_5p!#REF!))),1,0))</f>
        <v>#REF!</v>
      </c>
      <c r="F133" s="1" t="e">
        <f>IF(Protokoll_5p!#REF!="","",IF(VALUE(LEFT(Protokoll_5p!#REF!,FIND(":",Protokoll_5p!#REF!)-1))&gt;VALUE(RIGHT(Protokoll_5p!#REF!,LEN(Protokoll_5p!#REF!)-FIND(":",Protokoll_5p!#REF!))),1,0))</f>
        <v>#REF!</v>
      </c>
      <c r="G133" s="1" t="e">
        <f t="shared" si="4"/>
        <v>#REF!</v>
      </c>
      <c r="I133" s="1" t="e">
        <f>IF(Protokoll_5p!#REF!="","",IF(VALUE(LEFT(Protokoll_5p!#REF!,FIND(":",Protokoll_5p!#REF!)-1))&gt;VALUE(RIGHT(Protokoll_5p!#REF!,LEN(Protokoll_5p!#REF!)-FIND(":",Protokoll_5p!#REF!))),0,1))</f>
        <v>#REF!</v>
      </c>
      <c r="J133" s="1" t="e">
        <f>IF(Protokoll_5p!#REF!="","",IF(VALUE(LEFT(Protokoll_5p!#REF!,FIND(":",Protokoll_5p!#REF!)-1))&gt;VALUE(RIGHT(Protokoll_5p!#REF!,LEN(Protokoll_5p!#REF!)-FIND(":",Protokoll_5p!#REF!))),0,1))</f>
        <v>#REF!</v>
      </c>
      <c r="K133" s="1" t="e">
        <f>IF(Protokoll_5p!#REF!="","",IF(VALUE(LEFT(Protokoll_5p!#REF!,FIND(":",Protokoll_5p!#REF!)-1))&gt;VALUE(RIGHT(Protokoll_5p!#REF!,LEN(Protokoll_5p!#REF!)-FIND(":",Protokoll_5p!#REF!))),0,1))</f>
        <v>#REF!</v>
      </c>
      <c r="L133" s="1" t="e">
        <f>IF(Protokoll_5p!#REF!="","",IF(VALUE(LEFT(Protokoll_5p!#REF!,FIND(":",Protokoll_5p!#REF!)-1))&gt;VALUE(RIGHT(Protokoll_5p!#REF!,LEN(Protokoll_5p!#REF!)-FIND(":",Protokoll_5p!#REF!))),0,1))</f>
        <v>#REF!</v>
      </c>
      <c r="M133" s="1" t="e">
        <f>IF(Protokoll_5p!#REF!="","",IF(VALUE(LEFT(Protokoll_5p!#REF!,FIND(":",Protokoll_5p!#REF!)-1))&gt;VALUE(RIGHT(Protokoll_5p!#REF!,LEN(Protokoll_5p!#REF!)-FIND(":",Protokoll_5p!#REF!))),0,1))</f>
        <v>#REF!</v>
      </c>
      <c r="N133" s="1" t="e">
        <f t="shared" si="5"/>
        <v>#REF!</v>
      </c>
    </row>
    <row r="134" spans="2:14">
      <c r="B134" s="1" t="e">
        <f>IF(Protokoll_5p!#REF!="","",IF(VALUE(LEFT(Protokoll_5p!#REF!,FIND(":",Protokoll_5p!#REF!)-1))&gt;VALUE(RIGHT(Protokoll_5p!#REF!,LEN(Protokoll_5p!#REF!)-FIND(":",Protokoll_5p!#REF!))),1,0))</f>
        <v>#REF!</v>
      </c>
      <c r="C134" s="1" t="e">
        <f>IF(Protokoll_5p!#REF!="","",IF(VALUE(LEFT(Protokoll_5p!#REF!,FIND(":",Protokoll_5p!#REF!)-1))&gt;VALUE(RIGHT(Protokoll_5p!#REF!,LEN(Protokoll_5p!#REF!)-FIND(":",Protokoll_5p!#REF!))),1,0))</f>
        <v>#REF!</v>
      </c>
      <c r="D134" s="1" t="e">
        <f>IF(Protokoll_5p!#REF!="","",IF(VALUE(LEFT(Protokoll_5p!#REF!,FIND(":",Protokoll_5p!#REF!)-1))&gt;VALUE(RIGHT(Protokoll_5p!#REF!,LEN(Protokoll_5p!#REF!)-FIND(":",Protokoll_5p!#REF!))),1,0))</f>
        <v>#REF!</v>
      </c>
      <c r="E134" s="1" t="e">
        <f>IF(Protokoll_5p!#REF!="","",IF(VALUE(LEFT(Protokoll_5p!#REF!,FIND(":",Protokoll_5p!#REF!)-1))&gt;VALUE(RIGHT(Protokoll_5p!#REF!,LEN(Protokoll_5p!#REF!)-FIND(":",Protokoll_5p!#REF!))),1,0))</f>
        <v>#REF!</v>
      </c>
      <c r="F134" s="1" t="e">
        <f>IF(Protokoll_5p!#REF!="","",IF(VALUE(LEFT(Protokoll_5p!#REF!,FIND(":",Protokoll_5p!#REF!)-1))&gt;VALUE(RIGHT(Protokoll_5p!#REF!,LEN(Protokoll_5p!#REF!)-FIND(":",Protokoll_5p!#REF!))),1,0))</f>
        <v>#REF!</v>
      </c>
      <c r="G134" s="1" t="e">
        <f t="shared" si="4"/>
        <v>#REF!</v>
      </c>
      <c r="I134" s="1" t="e">
        <f>IF(Protokoll_5p!#REF!="","",IF(VALUE(LEFT(Protokoll_5p!#REF!,FIND(":",Protokoll_5p!#REF!)-1))&gt;VALUE(RIGHT(Protokoll_5p!#REF!,LEN(Protokoll_5p!#REF!)-FIND(":",Protokoll_5p!#REF!))),0,1))</f>
        <v>#REF!</v>
      </c>
      <c r="J134" s="1" t="e">
        <f>IF(Protokoll_5p!#REF!="","",IF(VALUE(LEFT(Protokoll_5p!#REF!,FIND(":",Protokoll_5p!#REF!)-1))&gt;VALUE(RIGHT(Protokoll_5p!#REF!,LEN(Protokoll_5p!#REF!)-FIND(":",Protokoll_5p!#REF!))),0,1))</f>
        <v>#REF!</v>
      </c>
      <c r="K134" s="1" t="e">
        <f>IF(Protokoll_5p!#REF!="","",IF(VALUE(LEFT(Protokoll_5p!#REF!,FIND(":",Protokoll_5p!#REF!)-1))&gt;VALUE(RIGHT(Protokoll_5p!#REF!,LEN(Protokoll_5p!#REF!)-FIND(":",Protokoll_5p!#REF!))),0,1))</f>
        <v>#REF!</v>
      </c>
      <c r="L134" s="1" t="e">
        <f>IF(Protokoll_5p!#REF!="","",IF(VALUE(LEFT(Protokoll_5p!#REF!,FIND(":",Protokoll_5p!#REF!)-1))&gt;VALUE(RIGHT(Protokoll_5p!#REF!,LEN(Protokoll_5p!#REF!)-FIND(":",Protokoll_5p!#REF!))),0,1))</f>
        <v>#REF!</v>
      </c>
      <c r="M134" s="1" t="e">
        <f>IF(Protokoll_5p!#REF!="","",IF(VALUE(LEFT(Protokoll_5p!#REF!,FIND(":",Protokoll_5p!#REF!)-1))&gt;VALUE(RIGHT(Protokoll_5p!#REF!,LEN(Protokoll_5p!#REF!)-FIND(":",Protokoll_5p!#REF!))),0,1))</f>
        <v>#REF!</v>
      </c>
      <c r="N134" s="1" t="e">
        <f t="shared" si="5"/>
        <v>#REF!</v>
      </c>
    </row>
    <row r="135" spans="2:14">
      <c r="B135" s="1" t="e">
        <f>IF(Protokoll_5p!#REF!="","",IF(VALUE(LEFT(Protokoll_5p!#REF!,FIND(":",Protokoll_5p!#REF!)-1))&gt;VALUE(RIGHT(Protokoll_5p!#REF!,LEN(Protokoll_5p!#REF!)-FIND(":",Protokoll_5p!#REF!))),1,0))</f>
        <v>#REF!</v>
      </c>
      <c r="C135" s="1" t="e">
        <f>IF(Protokoll_5p!#REF!="","",IF(VALUE(LEFT(Protokoll_5p!#REF!,FIND(":",Protokoll_5p!#REF!)-1))&gt;VALUE(RIGHT(Protokoll_5p!#REF!,LEN(Protokoll_5p!#REF!)-FIND(":",Protokoll_5p!#REF!))),1,0))</f>
        <v>#REF!</v>
      </c>
      <c r="D135" s="1" t="e">
        <f>IF(Protokoll_5p!#REF!="","",IF(VALUE(LEFT(Protokoll_5p!#REF!,FIND(":",Protokoll_5p!#REF!)-1))&gt;VALUE(RIGHT(Protokoll_5p!#REF!,LEN(Protokoll_5p!#REF!)-FIND(":",Protokoll_5p!#REF!))),1,0))</f>
        <v>#REF!</v>
      </c>
      <c r="E135" s="1" t="e">
        <f>IF(Protokoll_5p!#REF!="","",IF(VALUE(LEFT(Protokoll_5p!#REF!,FIND(":",Protokoll_5p!#REF!)-1))&gt;VALUE(RIGHT(Protokoll_5p!#REF!,LEN(Protokoll_5p!#REF!)-FIND(":",Protokoll_5p!#REF!))),1,0))</f>
        <v>#REF!</v>
      </c>
      <c r="F135" s="1" t="e">
        <f>IF(Protokoll_5p!#REF!="","",IF(VALUE(LEFT(Protokoll_5p!#REF!,FIND(":",Protokoll_5p!#REF!)-1))&gt;VALUE(RIGHT(Protokoll_5p!#REF!,LEN(Protokoll_5p!#REF!)-FIND(":",Protokoll_5p!#REF!))),1,0))</f>
        <v>#REF!</v>
      </c>
      <c r="G135" s="1" t="e">
        <f t="shared" si="4"/>
        <v>#REF!</v>
      </c>
      <c r="I135" s="1" t="e">
        <f>IF(Protokoll_5p!#REF!="","",IF(VALUE(LEFT(Protokoll_5p!#REF!,FIND(":",Protokoll_5p!#REF!)-1))&gt;VALUE(RIGHT(Protokoll_5p!#REF!,LEN(Protokoll_5p!#REF!)-FIND(":",Protokoll_5p!#REF!))),0,1))</f>
        <v>#REF!</v>
      </c>
      <c r="J135" s="1" t="e">
        <f>IF(Protokoll_5p!#REF!="","",IF(VALUE(LEFT(Protokoll_5p!#REF!,FIND(":",Protokoll_5p!#REF!)-1))&gt;VALUE(RIGHT(Protokoll_5p!#REF!,LEN(Protokoll_5p!#REF!)-FIND(":",Protokoll_5p!#REF!))),0,1))</f>
        <v>#REF!</v>
      </c>
      <c r="K135" s="1" t="e">
        <f>IF(Protokoll_5p!#REF!="","",IF(VALUE(LEFT(Protokoll_5p!#REF!,FIND(":",Protokoll_5p!#REF!)-1))&gt;VALUE(RIGHT(Protokoll_5p!#REF!,LEN(Protokoll_5p!#REF!)-FIND(":",Protokoll_5p!#REF!))),0,1))</f>
        <v>#REF!</v>
      </c>
      <c r="L135" s="1" t="e">
        <f>IF(Protokoll_5p!#REF!="","",IF(VALUE(LEFT(Protokoll_5p!#REF!,FIND(":",Protokoll_5p!#REF!)-1))&gt;VALUE(RIGHT(Protokoll_5p!#REF!,LEN(Protokoll_5p!#REF!)-FIND(":",Protokoll_5p!#REF!))),0,1))</f>
        <v>#REF!</v>
      </c>
      <c r="M135" s="1" t="e">
        <f>IF(Protokoll_5p!#REF!="","",IF(VALUE(LEFT(Protokoll_5p!#REF!,FIND(":",Protokoll_5p!#REF!)-1))&gt;VALUE(RIGHT(Protokoll_5p!#REF!,LEN(Protokoll_5p!#REF!)-FIND(":",Protokoll_5p!#REF!))),0,1))</f>
        <v>#REF!</v>
      </c>
      <c r="N135" s="1" t="e">
        <f t="shared" si="5"/>
        <v>#REF!</v>
      </c>
    </row>
    <row r="136" spans="2:14">
      <c r="B136" s="1" t="e">
        <f>IF(Protokoll_5p!#REF!="","",IF(VALUE(LEFT(Protokoll_5p!#REF!,FIND(":",Protokoll_5p!#REF!)-1))&gt;VALUE(RIGHT(Protokoll_5p!#REF!,LEN(Protokoll_5p!#REF!)-FIND(":",Protokoll_5p!#REF!))),1,0))</f>
        <v>#REF!</v>
      </c>
      <c r="C136" s="1" t="e">
        <f>IF(Protokoll_5p!#REF!="","",IF(VALUE(LEFT(Protokoll_5p!#REF!,FIND(":",Protokoll_5p!#REF!)-1))&gt;VALUE(RIGHT(Protokoll_5p!#REF!,LEN(Protokoll_5p!#REF!)-FIND(":",Protokoll_5p!#REF!))),1,0))</f>
        <v>#REF!</v>
      </c>
      <c r="D136" s="1" t="e">
        <f>IF(Protokoll_5p!#REF!="","",IF(VALUE(LEFT(Protokoll_5p!#REF!,FIND(":",Protokoll_5p!#REF!)-1))&gt;VALUE(RIGHT(Protokoll_5p!#REF!,LEN(Protokoll_5p!#REF!)-FIND(":",Protokoll_5p!#REF!))),1,0))</f>
        <v>#REF!</v>
      </c>
      <c r="E136" s="1" t="e">
        <f>IF(Protokoll_5p!#REF!="","",IF(VALUE(LEFT(Protokoll_5p!#REF!,FIND(":",Protokoll_5p!#REF!)-1))&gt;VALUE(RIGHT(Protokoll_5p!#REF!,LEN(Protokoll_5p!#REF!)-FIND(":",Protokoll_5p!#REF!))),1,0))</f>
        <v>#REF!</v>
      </c>
      <c r="F136" s="1" t="e">
        <f>IF(Protokoll_5p!#REF!="","",IF(VALUE(LEFT(Protokoll_5p!#REF!,FIND(":",Protokoll_5p!#REF!)-1))&gt;VALUE(RIGHT(Protokoll_5p!#REF!,LEN(Protokoll_5p!#REF!)-FIND(":",Protokoll_5p!#REF!))),1,0))</f>
        <v>#REF!</v>
      </c>
      <c r="G136" s="1" t="e">
        <f t="shared" si="4"/>
        <v>#REF!</v>
      </c>
      <c r="I136" s="1" t="e">
        <f>IF(Protokoll_5p!#REF!="","",IF(VALUE(LEFT(Protokoll_5p!#REF!,FIND(":",Protokoll_5p!#REF!)-1))&gt;VALUE(RIGHT(Protokoll_5p!#REF!,LEN(Protokoll_5p!#REF!)-FIND(":",Protokoll_5p!#REF!))),0,1))</f>
        <v>#REF!</v>
      </c>
      <c r="J136" s="1" t="e">
        <f>IF(Protokoll_5p!#REF!="","",IF(VALUE(LEFT(Protokoll_5p!#REF!,FIND(":",Protokoll_5p!#REF!)-1))&gt;VALUE(RIGHT(Protokoll_5p!#REF!,LEN(Protokoll_5p!#REF!)-FIND(":",Protokoll_5p!#REF!))),0,1))</f>
        <v>#REF!</v>
      </c>
      <c r="K136" s="1" t="e">
        <f>IF(Protokoll_5p!#REF!="","",IF(VALUE(LEFT(Protokoll_5p!#REF!,FIND(":",Protokoll_5p!#REF!)-1))&gt;VALUE(RIGHT(Protokoll_5p!#REF!,LEN(Protokoll_5p!#REF!)-FIND(":",Protokoll_5p!#REF!))),0,1))</f>
        <v>#REF!</v>
      </c>
      <c r="L136" s="1" t="e">
        <f>IF(Protokoll_5p!#REF!="","",IF(VALUE(LEFT(Protokoll_5p!#REF!,FIND(":",Protokoll_5p!#REF!)-1))&gt;VALUE(RIGHT(Protokoll_5p!#REF!,LEN(Protokoll_5p!#REF!)-FIND(":",Protokoll_5p!#REF!))),0,1))</f>
        <v>#REF!</v>
      </c>
      <c r="M136" s="1" t="e">
        <f>IF(Protokoll_5p!#REF!="","",IF(VALUE(LEFT(Protokoll_5p!#REF!,FIND(":",Protokoll_5p!#REF!)-1))&gt;VALUE(RIGHT(Protokoll_5p!#REF!,LEN(Protokoll_5p!#REF!)-FIND(":",Protokoll_5p!#REF!))),0,1))</f>
        <v>#REF!</v>
      </c>
      <c r="N136" s="1" t="e">
        <f t="shared" si="5"/>
        <v>#REF!</v>
      </c>
    </row>
    <row r="137" spans="2:14">
      <c r="B137" s="1" t="e">
        <f>IF(Protokoll_5p!#REF!="","",IF(VALUE(LEFT(Protokoll_5p!#REF!,FIND(":",Protokoll_5p!#REF!)-1))&gt;VALUE(RIGHT(Protokoll_5p!#REF!,LEN(Protokoll_5p!#REF!)-FIND(":",Protokoll_5p!#REF!))),1,0))</f>
        <v>#REF!</v>
      </c>
      <c r="C137" s="1" t="e">
        <f>IF(Protokoll_5p!#REF!="","",IF(VALUE(LEFT(Protokoll_5p!#REF!,FIND(":",Protokoll_5p!#REF!)-1))&gt;VALUE(RIGHT(Protokoll_5p!#REF!,LEN(Protokoll_5p!#REF!)-FIND(":",Protokoll_5p!#REF!))),1,0))</f>
        <v>#REF!</v>
      </c>
      <c r="D137" s="1" t="e">
        <f>IF(Protokoll_5p!#REF!="","",IF(VALUE(LEFT(Protokoll_5p!#REF!,FIND(":",Protokoll_5p!#REF!)-1))&gt;VALUE(RIGHT(Protokoll_5p!#REF!,LEN(Protokoll_5p!#REF!)-FIND(":",Protokoll_5p!#REF!))),1,0))</f>
        <v>#REF!</v>
      </c>
      <c r="E137" s="1" t="e">
        <f>IF(Protokoll_5p!#REF!="","",IF(VALUE(LEFT(Protokoll_5p!#REF!,FIND(":",Protokoll_5p!#REF!)-1))&gt;VALUE(RIGHT(Protokoll_5p!#REF!,LEN(Protokoll_5p!#REF!)-FIND(":",Protokoll_5p!#REF!))),1,0))</f>
        <v>#REF!</v>
      </c>
      <c r="F137" s="1" t="e">
        <f>IF(Protokoll_5p!#REF!="","",IF(VALUE(LEFT(Protokoll_5p!#REF!,FIND(":",Protokoll_5p!#REF!)-1))&gt;VALUE(RIGHT(Protokoll_5p!#REF!,LEN(Protokoll_5p!#REF!)-FIND(":",Protokoll_5p!#REF!))),1,0))</f>
        <v>#REF!</v>
      </c>
      <c r="G137" s="1" t="e">
        <f t="shared" si="4"/>
        <v>#REF!</v>
      </c>
      <c r="I137" s="1" t="e">
        <f>IF(Protokoll_5p!#REF!="","",IF(VALUE(LEFT(Protokoll_5p!#REF!,FIND(":",Protokoll_5p!#REF!)-1))&gt;VALUE(RIGHT(Protokoll_5p!#REF!,LEN(Protokoll_5p!#REF!)-FIND(":",Protokoll_5p!#REF!))),0,1))</f>
        <v>#REF!</v>
      </c>
      <c r="J137" s="1" t="e">
        <f>IF(Protokoll_5p!#REF!="","",IF(VALUE(LEFT(Protokoll_5p!#REF!,FIND(":",Protokoll_5p!#REF!)-1))&gt;VALUE(RIGHT(Protokoll_5p!#REF!,LEN(Protokoll_5p!#REF!)-FIND(":",Protokoll_5p!#REF!))),0,1))</f>
        <v>#REF!</v>
      </c>
      <c r="K137" s="1" t="e">
        <f>IF(Protokoll_5p!#REF!="","",IF(VALUE(LEFT(Protokoll_5p!#REF!,FIND(":",Protokoll_5p!#REF!)-1))&gt;VALUE(RIGHT(Protokoll_5p!#REF!,LEN(Protokoll_5p!#REF!)-FIND(":",Protokoll_5p!#REF!))),0,1))</f>
        <v>#REF!</v>
      </c>
      <c r="L137" s="1" t="e">
        <f>IF(Protokoll_5p!#REF!="","",IF(VALUE(LEFT(Protokoll_5p!#REF!,FIND(":",Protokoll_5p!#REF!)-1))&gt;VALUE(RIGHT(Protokoll_5p!#REF!,LEN(Protokoll_5p!#REF!)-FIND(":",Protokoll_5p!#REF!))),0,1))</f>
        <v>#REF!</v>
      </c>
      <c r="M137" s="1" t="e">
        <f>IF(Protokoll_5p!#REF!="","",IF(VALUE(LEFT(Protokoll_5p!#REF!,FIND(":",Protokoll_5p!#REF!)-1))&gt;VALUE(RIGHT(Protokoll_5p!#REF!,LEN(Protokoll_5p!#REF!)-FIND(":",Protokoll_5p!#REF!))),0,1))</f>
        <v>#REF!</v>
      </c>
      <c r="N137" s="1" t="e">
        <f t="shared" si="5"/>
        <v>#REF!</v>
      </c>
    </row>
    <row r="138" spans="2:14">
      <c r="B138" s="1" t="e">
        <f>IF(Protokoll_5p!#REF!="","",IF(VALUE(LEFT(Protokoll_5p!#REF!,FIND(":",Protokoll_5p!#REF!)-1))&gt;VALUE(RIGHT(Protokoll_5p!#REF!,LEN(Protokoll_5p!#REF!)-FIND(":",Protokoll_5p!#REF!))),1,0))</f>
        <v>#REF!</v>
      </c>
      <c r="C138" s="1" t="e">
        <f>IF(Protokoll_5p!#REF!="","",IF(VALUE(LEFT(Protokoll_5p!#REF!,FIND(":",Protokoll_5p!#REF!)-1))&gt;VALUE(RIGHT(Protokoll_5p!#REF!,LEN(Protokoll_5p!#REF!)-FIND(":",Protokoll_5p!#REF!))),1,0))</f>
        <v>#REF!</v>
      </c>
      <c r="D138" s="1" t="e">
        <f>IF(Protokoll_5p!#REF!="","",IF(VALUE(LEFT(Protokoll_5p!#REF!,FIND(":",Protokoll_5p!#REF!)-1))&gt;VALUE(RIGHT(Protokoll_5p!#REF!,LEN(Protokoll_5p!#REF!)-FIND(":",Protokoll_5p!#REF!))),1,0))</f>
        <v>#REF!</v>
      </c>
      <c r="E138" s="1" t="e">
        <f>IF(Protokoll_5p!#REF!="","",IF(VALUE(LEFT(Protokoll_5p!#REF!,FIND(":",Protokoll_5p!#REF!)-1))&gt;VALUE(RIGHT(Protokoll_5p!#REF!,LEN(Protokoll_5p!#REF!)-FIND(":",Protokoll_5p!#REF!))),1,0))</f>
        <v>#REF!</v>
      </c>
      <c r="F138" s="1" t="e">
        <f>IF(Protokoll_5p!#REF!="","",IF(VALUE(LEFT(Protokoll_5p!#REF!,FIND(":",Protokoll_5p!#REF!)-1))&gt;VALUE(RIGHT(Protokoll_5p!#REF!,LEN(Protokoll_5p!#REF!)-FIND(":",Protokoll_5p!#REF!))),1,0))</f>
        <v>#REF!</v>
      </c>
      <c r="G138" s="1" t="e">
        <f t="shared" si="4"/>
        <v>#REF!</v>
      </c>
      <c r="I138" s="1" t="e">
        <f>IF(Protokoll_5p!#REF!="","",IF(VALUE(LEFT(Protokoll_5p!#REF!,FIND(":",Protokoll_5p!#REF!)-1))&gt;VALUE(RIGHT(Protokoll_5p!#REF!,LEN(Protokoll_5p!#REF!)-FIND(":",Protokoll_5p!#REF!))),0,1))</f>
        <v>#REF!</v>
      </c>
      <c r="J138" s="1" t="e">
        <f>IF(Protokoll_5p!#REF!="","",IF(VALUE(LEFT(Protokoll_5p!#REF!,FIND(":",Protokoll_5p!#REF!)-1))&gt;VALUE(RIGHT(Protokoll_5p!#REF!,LEN(Protokoll_5p!#REF!)-FIND(":",Protokoll_5p!#REF!))),0,1))</f>
        <v>#REF!</v>
      </c>
      <c r="K138" s="1" t="e">
        <f>IF(Protokoll_5p!#REF!="","",IF(VALUE(LEFT(Protokoll_5p!#REF!,FIND(":",Protokoll_5p!#REF!)-1))&gt;VALUE(RIGHT(Protokoll_5p!#REF!,LEN(Protokoll_5p!#REF!)-FIND(":",Protokoll_5p!#REF!))),0,1))</f>
        <v>#REF!</v>
      </c>
      <c r="L138" s="1" t="e">
        <f>IF(Protokoll_5p!#REF!="","",IF(VALUE(LEFT(Protokoll_5p!#REF!,FIND(":",Protokoll_5p!#REF!)-1))&gt;VALUE(RIGHT(Protokoll_5p!#REF!,LEN(Protokoll_5p!#REF!)-FIND(":",Protokoll_5p!#REF!))),0,1))</f>
        <v>#REF!</v>
      </c>
      <c r="M138" s="1" t="e">
        <f>IF(Protokoll_5p!#REF!="","",IF(VALUE(LEFT(Protokoll_5p!#REF!,FIND(":",Protokoll_5p!#REF!)-1))&gt;VALUE(RIGHT(Protokoll_5p!#REF!,LEN(Protokoll_5p!#REF!)-FIND(":",Protokoll_5p!#REF!))),0,1))</f>
        <v>#REF!</v>
      </c>
      <c r="N138" s="1" t="e">
        <f t="shared" si="5"/>
        <v>#REF!</v>
      </c>
    </row>
    <row r="139" spans="2:14">
      <c r="B139" s="1" t="e">
        <f>IF(Protokoll_5p!#REF!="","",IF(VALUE(LEFT(Protokoll_5p!#REF!,FIND(":",Protokoll_5p!#REF!)-1))&gt;VALUE(RIGHT(Protokoll_5p!#REF!,LEN(Protokoll_5p!#REF!)-FIND(":",Protokoll_5p!#REF!))),1,0))</f>
        <v>#REF!</v>
      </c>
      <c r="C139" s="1" t="e">
        <f>IF(Protokoll_5p!#REF!="","",IF(VALUE(LEFT(Protokoll_5p!#REF!,FIND(":",Protokoll_5p!#REF!)-1))&gt;VALUE(RIGHT(Protokoll_5p!#REF!,LEN(Protokoll_5p!#REF!)-FIND(":",Protokoll_5p!#REF!))),1,0))</f>
        <v>#REF!</v>
      </c>
      <c r="D139" s="1" t="e">
        <f>IF(Protokoll_5p!#REF!="","",IF(VALUE(LEFT(Protokoll_5p!#REF!,FIND(":",Protokoll_5p!#REF!)-1))&gt;VALUE(RIGHT(Protokoll_5p!#REF!,LEN(Protokoll_5p!#REF!)-FIND(":",Protokoll_5p!#REF!))),1,0))</f>
        <v>#REF!</v>
      </c>
      <c r="E139" s="1" t="e">
        <f>IF(Protokoll_5p!#REF!="","",IF(VALUE(LEFT(Protokoll_5p!#REF!,FIND(":",Protokoll_5p!#REF!)-1))&gt;VALUE(RIGHT(Protokoll_5p!#REF!,LEN(Protokoll_5p!#REF!)-FIND(":",Protokoll_5p!#REF!))),1,0))</f>
        <v>#REF!</v>
      </c>
      <c r="F139" s="1" t="e">
        <f>IF(Protokoll_5p!#REF!="","",IF(VALUE(LEFT(Protokoll_5p!#REF!,FIND(":",Protokoll_5p!#REF!)-1))&gt;VALUE(RIGHT(Protokoll_5p!#REF!,LEN(Protokoll_5p!#REF!)-FIND(":",Protokoll_5p!#REF!))),1,0))</f>
        <v>#REF!</v>
      </c>
      <c r="G139" s="1" t="e">
        <f t="shared" si="4"/>
        <v>#REF!</v>
      </c>
      <c r="I139" s="1" t="e">
        <f>IF(Protokoll_5p!#REF!="","",IF(VALUE(LEFT(Protokoll_5p!#REF!,FIND(":",Protokoll_5p!#REF!)-1))&gt;VALUE(RIGHT(Protokoll_5p!#REF!,LEN(Protokoll_5p!#REF!)-FIND(":",Protokoll_5p!#REF!))),0,1))</f>
        <v>#REF!</v>
      </c>
      <c r="J139" s="1" t="e">
        <f>IF(Protokoll_5p!#REF!="","",IF(VALUE(LEFT(Protokoll_5p!#REF!,FIND(":",Protokoll_5p!#REF!)-1))&gt;VALUE(RIGHT(Protokoll_5p!#REF!,LEN(Protokoll_5p!#REF!)-FIND(":",Protokoll_5p!#REF!))),0,1))</f>
        <v>#REF!</v>
      </c>
      <c r="K139" s="1" t="e">
        <f>IF(Protokoll_5p!#REF!="","",IF(VALUE(LEFT(Protokoll_5p!#REF!,FIND(":",Protokoll_5p!#REF!)-1))&gt;VALUE(RIGHT(Protokoll_5p!#REF!,LEN(Protokoll_5p!#REF!)-FIND(":",Protokoll_5p!#REF!))),0,1))</f>
        <v>#REF!</v>
      </c>
      <c r="L139" s="1" t="e">
        <f>IF(Protokoll_5p!#REF!="","",IF(VALUE(LEFT(Protokoll_5p!#REF!,FIND(":",Protokoll_5p!#REF!)-1))&gt;VALUE(RIGHT(Protokoll_5p!#REF!,LEN(Protokoll_5p!#REF!)-FIND(":",Protokoll_5p!#REF!))),0,1))</f>
        <v>#REF!</v>
      </c>
      <c r="M139" s="1" t="e">
        <f>IF(Protokoll_5p!#REF!="","",IF(VALUE(LEFT(Protokoll_5p!#REF!,FIND(":",Protokoll_5p!#REF!)-1))&gt;VALUE(RIGHT(Protokoll_5p!#REF!,LEN(Protokoll_5p!#REF!)-FIND(":",Protokoll_5p!#REF!))),0,1))</f>
        <v>#REF!</v>
      </c>
      <c r="N139" s="1" t="e">
        <f t="shared" si="5"/>
        <v>#REF!</v>
      </c>
    </row>
    <row r="140" spans="2:14">
      <c r="B140" s="1" t="e">
        <f>IF(Protokoll_5p!#REF!="","",IF(VALUE(LEFT(Protokoll_5p!#REF!,FIND(":",Protokoll_5p!#REF!)-1))&gt;VALUE(RIGHT(Protokoll_5p!#REF!,LEN(Protokoll_5p!#REF!)-FIND(":",Protokoll_5p!#REF!))),1,0))</f>
        <v>#REF!</v>
      </c>
      <c r="C140" s="1" t="e">
        <f>IF(Protokoll_5p!#REF!="","",IF(VALUE(LEFT(Protokoll_5p!#REF!,FIND(":",Protokoll_5p!#REF!)-1))&gt;VALUE(RIGHT(Protokoll_5p!#REF!,LEN(Protokoll_5p!#REF!)-FIND(":",Protokoll_5p!#REF!))),1,0))</f>
        <v>#REF!</v>
      </c>
      <c r="D140" s="1" t="e">
        <f>IF(Protokoll_5p!#REF!="","",IF(VALUE(LEFT(Protokoll_5p!#REF!,FIND(":",Protokoll_5p!#REF!)-1))&gt;VALUE(RIGHT(Protokoll_5p!#REF!,LEN(Protokoll_5p!#REF!)-FIND(":",Protokoll_5p!#REF!))),1,0))</f>
        <v>#REF!</v>
      </c>
      <c r="E140" s="1" t="e">
        <f>IF(Protokoll_5p!#REF!="","",IF(VALUE(LEFT(Protokoll_5p!#REF!,FIND(":",Protokoll_5p!#REF!)-1))&gt;VALUE(RIGHT(Protokoll_5p!#REF!,LEN(Protokoll_5p!#REF!)-FIND(":",Protokoll_5p!#REF!))),1,0))</f>
        <v>#REF!</v>
      </c>
      <c r="F140" s="1" t="e">
        <f>IF(Protokoll_5p!#REF!="","",IF(VALUE(LEFT(Protokoll_5p!#REF!,FIND(":",Protokoll_5p!#REF!)-1))&gt;VALUE(RIGHT(Protokoll_5p!#REF!,LEN(Protokoll_5p!#REF!)-FIND(":",Protokoll_5p!#REF!))),1,0))</f>
        <v>#REF!</v>
      </c>
      <c r="G140" s="1" t="e">
        <f t="shared" si="4"/>
        <v>#REF!</v>
      </c>
      <c r="I140" s="1" t="e">
        <f>IF(Protokoll_5p!#REF!="","",IF(VALUE(LEFT(Protokoll_5p!#REF!,FIND(":",Protokoll_5p!#REF!)-1))&gt;VALUE(RIGHT(Protokoll_5p!#REF!,LEN(Protokoll_5p!#REF!)-FIND(":",Protokoll_5p!#REF!))),0,1))</f>
        <v>#REF!</v>
      </c>
      <c r="J140" s="1" t="e">
        <f>IF(Protokoll_5p!#REF!="","",IF(VALUE(LEFT(Protokoll_5p!#REF!,FIND(":",Protokoll_5p!#REF!)-1))&gt;VALUE(RIGHT(Protokoll_5p!#REF!,LEN(Protokoll_5p!#REF!)-FIND(":",Protokoll_5p!#REF!))),0,1))</f>
        <v>#REF!</v>
      </c>
      <c r="K140" s="1" t="e">
        <f>IF(Protokoll_5p!#REF!="","",IF(VALUE(LEFT(Protokoll_5p!#REF!,FIND(":",Protokoll_5p!#REF!)-1))&gt;VALUE(RIGHT(Protokoll_5p!#REF!,LEN(Protokoll_5p!#REF!)-FIND(":",Protokoll_5p!#REF!))),0,1))</f>
        <v>#REF!</v>
      </c>
      <c r="L140" s="1" t="e">
        <f>IF(Protokoll_5p!#REF!="","",IF(VALUE(LEFT(Protokoll_5p!#REF!,FIND(":",Protokoll_5p!#REF!)-1))&gt;VALUE(RIGHT(Protokoll_5p!#REF!,LEN(Protokoll_5p!#REF!)-FIND(":",Protokoll_5p!#REF!))),0,1))</f>
        <v>#REF!</v>
      </c>
      <c r="M140" s="1" t="e">
        <f>IF(Protokoll_5p!#REF!="","",IF(VALUE(LEFT(Protokoll_5p!#REF!,FIND(":",Protokoll_5p!#REF!)-1))&gt;VALUE(RIGHT(Protokoll_5p!#REF!,LEN(Protokoll_5p!#REF!)-FIND(":",Protokoll_5p!#REF!))),0,1))</f>
        <v>#REF!</v>
      </c>
      <c r="N140" s="1" t="e">
        <f t="shared" si="5"/>
        <v>#REF!</v>
      </c>
    </row>
    <row r="141" spans="2:14">
      <c r="B141" s="1" t="e">
        <f>IF(Protokoll_5p!#REF!="","",IF(VALUE(LEFT(Protokoll_5p!#REF!,FIND(":",Protokoll_5p!#REF!)-1))&gt;VALUE(RIGHT(Protokoll_5p!#REF!,LEN(Protokoll_5p!#REF!)-FIND(":",Protokoll_5p!#REF!))),1,0))</f>
        <v>#REF!</v>
      </c>
      <c r="C141" s="1" t="e">
        <f>IF(Protokoll_5p!#REF!="","",IF(VALUE(LEFT(Protokoll_5p!#REF!,FIND(":",Protokoll_5p!#REF!)-1))&gt;VALUE(RIGHT(Protokoll_5p!#REF!,LEN(Protokoll_5p!#REF!)-FIND(":",Protokoll_5p!#REF!))),1,0))</f>
        <v>#REF!</v>
      </c>
      <c r="D141" s="1" t="e">
        <f>IF(Protokoll_5p!#REF!="","",IF(VALUE(LEFT(Protokoll_5p!#REF!,FIND(":",Protokoll_5p!#REF!)-1))&gt;VALUE(RIGHT(Protokoll_5p!#REF!,LEN(Protokoll_5p!#REF!)-FIND(":",Protokoll_5p!#REF!))),1,0))</f>
        <v>#REF!</v>
      </c>
      <c r="E141" s="1" t="e">
        <f>IF(Protokoll_5p!#REF!="","",IF(VALUE(LEFT(Protokoll_5p!#REF!,FIND(":",Protokoll_5p!#REF!)-1))&gt;VALUE(RIGHT(Protokoll_5p!#REF!,LEN(Protokoll_5p!#REF!)-FIND(":",Protokoll_5p!#REF!))),1,0))</f>
        <v>#REF!</v>
      </c>
      <c r="F141" s="1" t="e">
        <f>IF(Protokoll_5p!#REF!="","",IF(VALUE(LEFT(Protokoll_5p!#REF!,FIND(":",Protokoll_5p!#REF!)-1))&gt;VALUE(RIGHT(Protokoll_5p!#REF!,LEN(Protokoll_5p!#REF!)-FIND(":",Protokoll_5p!#REF!))),1,0))</f>
        <v>#REF!</v>
      </c>
      <c r="G141" s="1" t="e">
        <f t="shared" si="4"/>
        <v>#REF!</v>
      </c>
      <c r="I141" s="1" t="e">
        <f>IF(Protokoll_5p!#REF!="","",IF(VALUE(LEFT(Protokoll_5p!#REF!,FIND(":",Protokoll_5p!#REF!)-1))&gt;VALUE(RIGHT(Protokoll_5p!#REF!,LEN(Protokoll_5p!#REF!)-FIND(":",Protokoll_5p!#REF!))),0,1))</f>
        <v>#REF!</v>
      </c>
      <c r="J141" s="1" t="e">
        <f>IF(Protokoll_5p!#REF!="","",IF(VALUE(LEFT(Protokoll_5p!#REF!,FIND(":",Protokoll_5p!#REF!)-1))&gt;VALUE(RIGHT(Protokoll_5p!#REF!,LEN(Protokoll_5p!#REF!)-FIND(":",Protokoll_5p!#REF!))),0,1))</f>
        <v>#REF!</v>
      </c>
      <c r="K141" s="1" t="e">
        <f>IF(Protokoll_5p!#REF!="","",IF(VALUE(LEFT(Protokoll_5p!#REF!,FIND(":",Protokoll_5p!#REF!)-1))&gt;VALUE(RIGHT(Protokoll_5p!#REF!,LEN(Protokoll_5p!#REF!)-FIND(":",Protokoll_5p!#REF!))),0,1))</f>
        <v>#REF!</v>
      </c>
      <c r="L141" s="1" t="e">
        <f>IF(Protokoll_5p!#REF!="","",IF(VALUE(LEFT(Protokoll_5p!#REF!,FIND(":",Protokoll_5p!#REF!)-1))&gt;VALUE(RIGHT(Protokoll_5p!#REF!,LEN(Protokoll_5p!#REF!)-FIND(":",Protokoll_5p!#REF!))),0,1))</f>
        <v>#REF!</v>
      </c>
      <c r="M141" s="1" t="e">
        <f>IF(Protokoll_5p!#REF!="","",IF(VALUE(LEFT(Protokoll_5p!#REF!,FIND(":",Protokoll_5p!#REF!)-1))&gt;VALUE(RIGHT(Protokoll_5p!#REF!,LEN(Protokoll_5p!#REF!)-FIND(":",Protokoll_5p!#REF!))),0,1))</f>
        <v>#REF!</v>
      </c>
      <c r="N141" s="1" t="e">
        <f t="shared" si="5"/>
        <v>#REF!</v>
      </c>
    </row>
    <row r="142" spans="2:14">
      <c r="B142" s="1" t="e">
        <f>IF(Protokoll_5p!#REF!="","",IF(VALUE(LEFT(Protokoll_5p!#REF!,FIND(":",Protokoll_5p!#REF!)-1))&gt;VALUE(RIGHT(Protokoll_5p!#REF!,LEN(Protokoll_5p!#REF!)-FIND(":",Protokoll_5p!#REF!))),1,0))</f>
        <v>#REF!</v>
      </c>
      <c r="C142" s="1" t="e">
        <f>IF(Protokoll_5p!#REF!="","",IF(VALUE(LEFT(Protokoll_5p!#REF!,FIND(":",Protokoll_5p!#REF!)-1))&gt;VALUE(RIGHT(Protokoll_5p!#REF!,LEN(Protokoll_5p!#REF!)-FIND(":",Protokoll_5p!#REF!))),1,0))</f>
        <v>#REF!</v>
      </c>
      <c r="D142" s="1" t="e">
        <f>IF(Protokoll_5p!#REF!="","",IF(VALUE(LEFT(Protokoll_5p!#REF!,FIND(":",Protokoll_5p!#REF!)-1))&gt;VALUE(RIGHT(Protokoll_5p!#REF!,LEN(Protokoll_5p!#REF!)-FIND(":",Protokoll_5p!#REF!))),1,0))</f>
        <v>#REF!</v>
      </c>
      <c r="E142" s="1" t="e">
        <f>IF(Protokoll_5p!#REF!="","",IF(VALUE(LEFT(Protokoll_5p!#REF!,FIND(":",Protokoll_5p!#REF!)-1))&gt;VALUE(RIGHT(Protokoll_5p!#REF!,LEN(Protokoll_5p!#REF!)-FIND(":",Protokoll_5p!#REF!))),1,0))</f>
        <v>#REF!</v>
      </c>
      <c r="F142" s="1" t="e">
        <f>IF(Protokoll_5p!#REF!="","",IF(VALUE(LEFT(Protokoll_5p!#REF!,FIND(":",Protokoll_5p!#REF!)-1))&gt;VALUE(RIGHT(Protokoll_5p!#REF!,LEN(Protokoll_5p!#REF!)-FIND(":",Protokoll_5p!#REF!))),1,0))</f>
        <v>#REF!</v>
      </c>
      <c r="G142" s="1" t="e">
        <f t="shared" si="4"/>
        <v>#REF!</v>
      </c>
      <c r="I142" s="1" t="e">
        <f>IF(Protokoll_5p!#REF!="","",IF(VALUE(LEFT(Protokoll_5p!#REF!,FIND(":",Protokoll_5p!#REF!)-1))&gt;VALUE(RIGHT(Protokoll_5p!#REF!,LEN(Protokoll_5p!#REF!)-FIND(":",Protokoll_5p!#REF!))),0,1))</f>
        <v>#REF!</v>
      </c>
      <c r="J142" s="1" t="e">
        <f>IF(Protokoll_5p!#REF!="","",IF(VALUE(LEFT(Protokoll_5p!#REF!,FIND(":",Protokoll_5p!#REF!)-1))&gt;VALUE(RIGHT(Protokoll_5p!#REF!,LEN(Protokoll_5p!#REF!)-FIND(":",Protokoll_5p!#REF!))),0,1))</f>
        <v>#REF!</v>
      </c>
      <c r="K142" s="1" t="e">
        <f>IF(Protokoll_5p!#REF!="","",IF(VALUE(LEFT(Protokoll_5p!#REF!,FIND(":",Protokoll_5p!#REF!)-1))&gt;VALUE(RIGHT(Protokoll_5p!#REF!,LEN(Protokoll_5p!#REF!)-FIND(":",Protokoll_5p!#REF!))),0,1))</f>
        <v>#REF!</v>
      </c>
      <c r="L142" s="1" t="e">
        <f>IF(Protokoll_5p!#REF!="","",IF(VALUE(LEFT(Protokoll_5p!#REF!,FIND(":",Protokoll_5p!#REF!)-1))&gt;VALUE(RIGHT(Protokoll_5p!#REF!,LEN(Protokoll_5p!#REF!)-FIND(":",Protokoll_5p!#REF!))),0,1))</f>
        <v>#REF!</v>
      </c>
      <c r="M142" s="1" t="e">
        <f>IF(Protokoll_5p!#REF!="","",IF(VALUE(LEFT(Protokoll_5p!#REF!,FIND(":",Protokoll_5p!#REF!)-1))&gt;VALUE(RIGHT(Protokoll_5p!#REF!,LEN(Protokoll_5p!#REF!)-FIND(":",Protokoll_5p!#REF!))),0,1))</f>
        <v>#REF!</v>
      </c>
      <c r="N142" s="1" t="e">
        <f t="shared" si="5"/>
        <v>#REF!</v>
      </c>
    </row>
    <row r="143" spans="2:14">
      <c r="B143" s="1" t="e">
        <f>IF(Protokoll_5p!#REF!="","",IF(VALUE(LEFT(Protokoll_5p!#REF!,FIND(":",Protokoll_5p!#REF!)-1))&gt;VALUE(RIGHT(Protokoll_5p!#REF!,LEN(Protokoll_5p!#REF!)-FIND(":",Protokoll_5p!#REF!))),1,0))</f>
        <v>#REF!</v>
      </c>
      <c r="C143" s="1" t="e">
        <f>IF(Protokoll_5p!#REF!="","",IF(VALUE(LEFT(Protokoll_5p!#REF!,FIND(":",Protokoll_5p!#REF!)-1))&gt;VALUE(RIGHT(Protokoll_5p!#REF!,LEN(Protokoll_5p!#REF!)-FIND(":",Protokoll_5p!#REF!))),1,0))</f>
        <v>#REF!</v>
      </c>
      <c r="D143" s="1" t="e">
        <f>IF(Protokoll_5p!#REF!="","",IF(VALUE(LEFT(Protokoll_5p!#REF!,FIND(":",Protokoll_5p!#REF!)-1))&gt;VALUE(RIGHT(Protokoll_5p!#REF!,LEN(Protokoll_5p!#REF!)-FIND(":",Protokoll_5p!#REF!))),1,0))</f>
        <v>#REF!</v>
      </c>
      <c r="E143" s="1" t="e">
        <f>IF(Protokoll_5p!#REF!="","",IF(VALUE(LEFT(Protokoll_5p!#REF!,FIND(":",Protokoll_5p!#REF!)-1))&gt;VALUE(RIGHT(Protokoll_5p!#REF!,LEN(Protokoll_5p!#REF!)-FIND(":",Protokoll_5p!#REF!))),1,0))</f>
        <v>#REF!</v>
      </c>
      <c r="F143" s="1" t="e">
        <f>IF(Protokoll_5p!#REF!="","",IF(VALUE(LEFT(Protokoll_5p!#REF!,FIND(":",Protokoll_5p!#REF!)-1))&gt;VALUE(RIGHT(Protokoll_5p!#REF!,LEN(Protokoll_5p!#REF!)-FIND(":",Protokoll_5p!#REF!))),1,0))</f>
        <v>#REF!</v>
      </c>
      <c r="G143" s="1" t="e">
        <f t="shared" si="4"/>
        <v>#REF!</v>
      </c>
      <c r="I143" s="1" t="e">
        <f>IF(Protokoll_5p!#REF!="","",IF(VALUE(LEFT(Protokoll_5p!#REF!,FIND(":",Protokoll_5p!#REF!)-1))&gt;VALUE(RIGHT(Protokoll_5p!#REF!,LEN(Protokoll_5p!#REF!)-FIND(":",Protokoll_5p!#REF!))),0,1))</f>
        <v>#REF!</v>
      </c>
      <c r="J143" s="1" t="e">
        <f>IF(Protokoll_5p!#REF!="","",IF(VALUE(LEFT(Protokoll_5p!#REF!,FIND(":",Protokoll_5p!#REF!)-1))&gt;VALUE(RIGHT(Protokoll_5p!#REF!,LEN(Protokoll_5p!#REF!)-FIND(":",Protokoll_5p!#REF!))),0,1))</f>
        <v>#REF!</v>
      </c>
      <c r="K143" s="1" t="e">
        <f>IF(Protokoll_5p!#REF!="","",IF(VALUE(LEFT(Protokoll_5p!#REF!,FIND(":",Protokoll_5p!#REF!)-1))&gt;VALUE(RIGHT(Protokoll_5p!#REF!,LEN(Protokoll_5p!#REF!)-FIND(":",Protokoll_5p!#REF!))),0,1))</f>
        <v>#REF!</v>
      </c>
      <c r="L143" s="1" t="e">
        <f>IF(Protokoll_5p!#REF!="","",IF(VALUE(LEFT(Protokoll_5p!#REF!,FIND(":",Protokoll_5p!#REF!)-1))&gt;VALUE(RIGHT(Protokoll_5p!#REF!,LEN(Protokoll_5p!#REF!)-FIND(":",Protokoll_5p!#REF!))),0,1))</f>
        <v>#REF!</v>
      </c>
      <c r="M143" s="1" t="e">
        <f>IF(Protokoll_5p!#REF!="","",IF(VALUE(LEFT(Protokoll_5p!#REF!,FIND(":",Protokoll_5p!#REF!)-1))&gt;VALUE(RIGHT(Protokoll_5p!#REF!,LEN(Protokoll_5p!#REF!)-FIND(":",Protokoll_5p!#REF!))),0,1))</f>
        <v>#REF!</v>
      </c>
      <c r="N143" s="1" t="e">
        <f t="shared" si="5"/>
        <v>#REF!</v>
      </c>
    </row>
    <row r="144" spans="2:14">
      <c r="B144" s="1" t="e">
        <f>IF(Protokoll_5p!#REF!="","",IF(VALUE(LEFT(Protokoll_5p!#REF!,FIND(":",Protokoll_5p!#REF!)-1))&gt;VALUE(RIGHT(Protokoll_5p!#REF!,LEN(Protokoll_5p!#REF!)-FIND(":",Protokoll_5p!#REF!))),1,0))</f>
        <v>#REF!</v>
      </c>
      <c r="C144" s="1" t="e">
        <f>IF(Protokoll_5p!#REF!="","",IF(VALUE(LEFT(Protokoll_5p!#REF!,FIND(":",Protokoll_5p!#REF!)-1))&gt;VALUE(RIGHT(Protokoll_5p!#REF!,LEN(Protokoll_5p!#REF!)-FIND(":",Protokoll_5p!#REF!))),1,0))</f>
        <v>#REF!</v>
      </c>
      <c r="D144" s="1" t="e">
        <f>IF(Protokoll_5p!#REF!="","",IF(VALUE(LEFT(Protokoll_5p!#REF!,FIND(":",Protokoll_5p!#REF!)-1))&gt;VALUE(RIGHT(Protokoll_5p!#REF!,LEN(Protokoll_5p!#REF!)-FIND(":",Protokoll_5p!#REF!))),1,0))</f>
        <v>#REF!</v>
      </c>
      <c r="E144" s="1" t="e">
        <f>IF(Protokoll_5p!#REF!="","",IF(VALUE(LEFT(Protokoll_5p!#REF!,FIND(":",Protokoll_5p!#REF!)-1))&gt;VALUE(RIGHT(Protokoll_5p!#REF!,LEN(Protokoll_5p!#REF!)-FIND(":",Protokoll_5p!#REF!))),1,0))</f>
        <v>#REF!</v>
      </c>
      <c r="F144" s="1" t="e">
        <f>IF(Protokoll_5p!#REF!="","",IF(VALUE(LEFT(Protokoll_5p!#REF!,FIND(":",Protokoll_5p!#REF!)-1))&gt;VALUE(RIGHT(Protokoll_5p!#REF!,LEN(Protokoll_5p!#REF!)-FIND(":",Protokoll_5p!#REF!))),1,0))</f>
        <v>#REF!</v>
      </c>
      <c r="G144" s="1" t="e">
        <f t="shared" si="4"/>
        <v>#REF!</v>
      </c>
      <c r="I144" s="1" t="e">
        <f>IF(Protokoll_5p!#REF!="","",IF(VALUE(LEFT(Protokoll_5p!#REF!,FIND(":",Protokoll_5p!#REF!)-1))&gt;VALUE(RIGHT(Protokoll_5p!#REF!,LEN(Protokoll_5p!#REF!)-FIND(":",Protokoll_5p!#REF!))),0,1))</f>
        <v>#REF!</v>
      </c>
      <c r="J144" s="1" t="e">
        <f>IF(Protokoll_5p!#REF!="","",IF(VALUE(LEFT(Protokoll_5p!#REF!,FIND(":",Protokoll_5p!#REF!)-1))&gt;VALUE(RIGHT(Protokoll_5p!#REF!,LEN(Protokoll_5p!#REF!)-FIND(":",Protokoll_5p!#REF!))),0,1))</f>
        <v>#REF!</v>
      </c>
      <c r="K144" s="1" t="e">
        <f>IF(Protokoll_5p!#REF!="","",IF(VALUE(LEFT(Protokoll_5p!#REF!,FIND(":",Protokoll_5p!#REF!)-1))&gt;VALUE(RIGHT(Protokoll_5p!#REF!,LEN(Protokoll_5p!#REF!)-FIND(":",Protokoll_5p!#REF!))),0,1))</f>
        <v>#REF!</v>
      </c>
      <c r="L144" s="1" t="e">
        <f>IF(Protokoll_5p!#REF!="","",IF(VALUE(LEFT(Protokoll_5p!#REF!,FIND(":",Protokoll_5p!#REF!)-1))&gt;VALUE(RIGHT(Protokoll_5p!#REF!,LEN(Protokoll_5p!#REF!)-FIND(":",Protokoll_5p!#REF!))),0,1))</f>
        <v>#REF!</v>
      </c>
      <c r="M144" s="1" t="e">
        <f>IF(Protokoll_5p!#REF!="","",IF(VALUE(LEFT(Protokoll_5p!#REF!,FIND(":",Protokoll_5p!#REF!)-1))&gt;VALUE(RIGHT(Protokoll_5p!#REF!,LEN(Protokoll_5p!#REF!)-FIND(":",Protokoll_5p!#REF!))),0,1))</f>
        <v>#REF!</v>
      </c>
      <c r="N144" s="1" t="e">
        <f t="shared" si="5"/>
        <v>#REF!</v>
      </c>
    </row>
    <row r="145" spans="2:14">
      <c r="B145" s="1" t="e">
        <f>IF(Protokoll_5p!#REF!="","",IF(VALUE(LEFT(Protokoll_5p!#REF!,FIND(":",Protokoll_5p!#REF!)-1))&gt;VALUE(RIGHT(Protokoll_5p!#REF!,LEN(Protokoll_5p!#REF!)-FIND(":",Protokoll_5p!#REF!))),1,0))</f>
        <v>#REF!</v>
      </c>
      <c r="C145" s="1" t="e">
        <f>IF(Protokoll_5p!#REF!="","",IF(VALUE(LEFT(Protokoll_5p!#REF!,FIND(":",Protokoll_5p!#REF!)-1))&gt;VALUE(RIGHT(Protokoll_5p!#REF!,LEN(Protokoll_5p!#REF!)-FIND(":",Protokoll_5p!#REF!))),1,0))</f>
        <v>#REF!</v>
      </c>
      <c r="D145" s="1" t="e">
        <f>IF(Protokoll_5p!#REF!="","",IF(VALUE(LEFT(Protokoll_5p!#REF!,FIND(":",Protokoll_5p!#REF!)-1))&gt;VALUE(RIGHT(Protokoll_5p!#REF!,LEN(Protokoll_5p!#REF!)-FIND(":",Protokoll_5p!#REF!))),1,0))</f>
        <v>#REF!</v>
      </c>
      <c r="E145" s="1" t="e">
        <f>IF(Protokoll_5p!#REF!="","",IF(VALUE(LEFT(Protokoll_5p!#REF!,FIND(":",Protokoll_5p!#REF!)-1))&gt;VALUE(RIGHT(Protokoll_5p!#REF!,LEN(Protokoll_5p!#REF!)-FIND(":",Protokoll_5p!#REF!))),1,0))</f>
        <v>#REF!</v>
      </c>
      <c r="F145" s="1" t="e">
        <f>IF(Protokoll_5p!#REF!="","",IF(VALUE(LEFT(Protokoll_5p!#REF!,FIND(":",Protokoll_5p!#REF!)-1))&gt;VALUE(RIGHT(Protokoll_5p!#REF!,LEN(Protokoll_5p!#REF!)-FIND(":",Protokoll_5p!#REF!))),1,0))</f>
        <v>#REF!</v>
      </c>
      <c r="G145" s="1" t="e">
        <f t="shared" si="4"/>
        <v>#REF!</v>
      </c>
      <c r="I145" s="1" t="e">
        <f>IF(Protokoll_5p!#REF!="","",IF(VALUE(LEFT(Protokoll_5p!#REF!,FIND(":",Protokoll_5p!#REF!)-1))&gt;VALUE(RIGHT(Protokoll_5p!#REF!,LEN(Protokoll_5p!#REF!)-FIND(":",Protokoll_5p!#REF!))),0,1))</f>
        <v>#REF!</v>
      </c>
      <c r="J145" s="1" t="e">
        <f>IF(Protokoll_5p!#REF!="","",IF(VALUE(LEFT(Protokoll_5p!#REF!,FIND(":",Protokoll_5p!#REF!)-1))&gt;VALUE(RIGHT(Protokoll_5p!#REF!,LEN(Protokoll_5p!#REF!)-FIND(":",Protokoll_5p!#REF!))),0,1))</f>
        <v>#REF!</v>
      </c>
      <c r="K145" s="1" t="e">
        <f>IF(Protokoll_5p!#REF!="","",IF(VALUE(LEFT(Protokoll_5p!#REF!,FIND(":",Protokoll_5p!#REF!)-1))&gt;VALUE(RIGHT(Protokoll_5p!#REF!,LEN(Protokoll_5p!#REF!)-FIND(":",Protokoll_5p!#REF!))),0,1))</f>
        <v>#REF!</v>
      </c>
      <c r="L145" s="1" t="e">
        <f>IF(Protokoll_5p!#REF!="","",IF(VALUE(LEFT(Protokoll_5p!#REF!,FIND(":",Protokoll_5p!#REF!)-1))&gt;VALUE(RIGHT(Protokoll_5p!#REF!,LEN(Protokoll_5p!#REF!)-FIND(":",Protokoll_5p!#REF!))),0,1))</f>
        <v>#REF!</v>
      </c>
      <c r="M145" s="1" t="e">
        <f>IF(Protokoll_5p!#REF!="","",IF(VALUE(LEFT(Protokoll_5p!#REF!,FIND(":",Protokoll_5p!#REF!)-1))&gt;VALUE(RIGHT(Protokoll_5p!#REF!,LEN(Protokoll_5p!#REF!)-FIND(":",Protokoll_5p!#REF!))),0,1))</f>
        <v>#REF!</v>
      </c>
      <c r="N145" s="1" t="e">
        <f t="shared" si="5"/>
        <v>#REF!</v>
      </c>
    </row>
    <row r="146" spans="2:14">
      <c r="B146" s="1" t="e">
        <f>IF(Protokoll_5p!#REF!="","",IF(VALUE(LEFT(Protokoll_5p!#REF!,FIND(":",Protokoll_5p!#REF!)-1))&gt;VALUE(RIGHT(Protokoll_5p!#REF!,LEN(Protokoll_5p!#REF!)-FIND(":",Protokoll_5p!#REF!))),1,0))</f>
        <v>#REF!</v>
      </c>
      <c r="C146" s="1" t="e">
        <f>IF(Protokoll_5p!#REF!="","",IF(VALUE(LEFT(Protokoll_5p!#REF!,FIND(":",Protokoll_5p!#REF!)-1))&gt;VALUE(RIGHT(Protokoll_5p!#REF!,LEN(Protokoll_5p!#REF!)-FIND(":",Protokoll_5p!#REF!))),1,0))</f>
        <v>#REF!</v>
      </c>
      <c r="D146" s="1" t="e">
        <f>IF(Protokoll_5p!#REF!="","",IF(VALUE(LEFT(Protokoll_5p!#REF!,FIND(":",Protokoll_5p!#REF!)-1))&gt;VALUE(RIGHT(Protokoll_5p!#REF!,LEN(Protokoll_5p!#REF!)-FIND(":",Protokoll_5p!#REF!))),1,0))</f>
        <v>#REF!</v>
      </c>
      <c r="E146" s="1" t="e">
        <f>IF(Protokoll_5p!#REF!="","",IF(VALUE(LEFT(Protokoll_5p!#REF!,FIND(":",Protokoll_5p!#REF!)-1))&gt;VALUE(RIGHT(Protokoll_5p!#REF!,LEN(Protokoll_5p!#REF!)-FIND(":",Protokoll_5p!#REF!))),1,0))</f>
        <v>#REF!</v>
      </c>
      <c r="F146" s="1" t="e">
        <f>IF(Protokoll_5p!#REF!="","",IF(VALUE(LEFT(Protokoll_5p!#REF!,FIND(":",Protokoll_5p!#REF!)-1))&gt;VALUE(RIGHT(Protokoll_5p!#REF!,LEN(Protokoll_5p!#REF!)-FIND(":",Protokoll_5p!#REF!))),1,0))</f>
        <v>#REF!</v>
      </c>
      <c r="G146" s="1" t="e">
        <f t="shared" si="4"/>
        <v>#REF!</v>
      </c>
      <c r="I146" s="1" t="e">
        <f>IF(Protokoll_5p!#REF!="","",IF(VALUE(LEFT(Protokoll_5p!#REF!,FIND(":",Protokoll_5p!#REF!)-1))&gt;VALUE(RIGHT(Protokoll_5p!#REF!,LEN(Protokoll_5p!#REF!)-FIND(":",Protokoll_5p!#REF!))),0,1))</f>
        <v>#REF!</v>
      </c>
      <c r="J146" s="1" t="e">
        <f>IF(Protokoll_5p!#REF!="","",IF(VALUE(LEFT(Protokoll_5p!#REF!,FIND(":",Protokoll_5p!#REF!)-1))&gt;VALUE(RIGHT(Protokoll_5p!#REF!,LEN(Protokoll_5p!#REF!)-FIND(":",Protokoll_5p!#REF!))),0,1))</f>
        <v>#REF!</v>
      </c>
      <c r="K146" s="1" t="e">
        <f>IF(Protokoll_5p!#REF!="","",IF(VALUE(LEFT(Protokoll_5p!#REF!,FIND(":",Protokoll_5p!#REF!)-1))&gt;VALUE(RIGHT(Protokoll_5p!#REF!,LEN(Protokoll_5p!#REF!)-FIND(":",Protokoll_5p!#REF!))),0,1))</f>
        <v>#REF!</v>
      </c>
      <c r="L146" s="1" t="e">
        <f>IF(Protokoll_5p!#REF!="","",IF(VALUE(LEFT(Protokoll_5p!#REF!,FIND(":",Protokoll_5p!#REF!)-1))&gt;VALUE(RIGHT(Protokoll_5p!#REF!,LEN(Protokoll_5p!#REF!)-FIND(":",Protokoll_5p!#REF!))),0,1))</f>
        <v>#REF!</v>
      </c>
      <c r="M146" s="1" t="e">
        <f>IF(Protokoll_5p!#REF!="","",IF(VALUE(LEFT(Protokoll_5p!#REF!,FIND(":",Protokoll_5p!#REF!)-1))&gt;VALUE(RIGHT(Protokoll_5p!#REF!,LEN(Protokoll_5p!#REF!)-FIND(":",Protokoll_5p!#REF!))),0,1))</f>
        <v>#REF!</v>
      </c>
      <c r="N146" s="1" t="e">
        <f t="shared" si="5"/>
        <v>#REF!</v>
      </c>
    </row>
    <row r="147" spans="2:14">
      <c r="B147" s="1" t="e">
        <f>IF(Protokoll_5p!#REF!="","",IF(VALUE(LEFT(Protokoll_5p!#REF!,FIND(":",Protokoll_5p!#REF!)-1))&gt;VALUE(RIGHT(Protokoll_5p!#REF!,LEN(Protokoll_5p!#REF!)-FIND(":",Protokoll_5p!#REF!))),1,0))</f>
        <v>#REF!</v>
      </c>
      <c r="C147" s="1" t="e">
        <f>IF(Protokoll_5p!#REF!="","",IF(VALUE(LEFT(Protokoll_5p!#REF!,FIND(":",Protokoll_5p!#REF!)-1))&gt;VALUE(RIGHT(Protokoll_5p!#REF!,LEN(Protokoll_5p!#REF!)-FIND(":",Protokoll_5p!#REF!))),1,0))</f>
        <v>#REF!</v>
      </c>
      <c r="D147" s="1" t="e">
        <f>IF(Protokoll_5p!#REF!="","",IF(VALUE(LEFT(Protokoll_5p!#REF!,FIND(":",Protokoll_5p!#REF!)-1))&gt;VALUE(RIGHT(Protokoll_5p!#REF!,LEN(Protokoll_5p!#REF!)-FIND(":",Protokoll_5p!#REF!))),1,0))</f>
        <v>#REF!</v>
      </c>
      <c r="E147" s="1" t="e">
        <f>IF(Protokoll_5p!#REF!="","",IF(VALUE(LEFT(Protokoll_5p!#REF!,FIND(":",Protokoll_5p!#REF!)-1))&gt;VALUE(RIGHT(Protokoll_5p!#REF!,LEN(Protokoll_5p!#REF!)-FIND(":",Protokoll_5p!#REF!))),1,0))</f>
        <v>#REF!</v>
      </c>
      <c r="F147" s="1" t="e">
        <f>IF(Protokoll_5p!#REF!="","",IF(VALUE(LEFT(Protokoll_5p!#REF!,FIND(":",Protokoll_5p!#REF!)-1))&gt;VALUE(RIGHT(Protokoll_5p!#REF!,LEN(Protokoll_5p!#REF!)-FIND(":",Protokoll_5p!#REF!))),1,0))</f>
        <v>#REF!</v>
      </c>
      <c r="G147" s="1" t="e">
        <f t="shared" si="4"/>
        <v>#REF!</v>
      </c>
      <c r="I147" s="1" t="e">
        <f>IF(Protokoll_5p!#REF!="","",IF(VALUE(LEFT(Protokoll_5p!#REF!,FIND(":",Protokoll_5p!#REF!)-1))&gt;VALUE(RIGHT(Protokoll_5p!#REF!,LEN(Protokoll_5p!#REF!)-FIND(":",Protokoll_5p!#REF!))),0,1))</f>
        <v>#REF!</v>
      </c>
      <c r="J147" s="1" t="e">
        <f>IF(Protokoll_5p!#REF!="","",IF(VALUE(LEFT(Protokoll_5p!#REF!,FIND(":",Protokoll_5p!#REF!)-1))&gt;VALUE(RIGHT(Protokoll_5p!#REF!,LEN(Protokoll_5p!#REF!)-FIND(":",Protokoll_5p!#REF!))),0,1))</f>
        <v>#REF!</v>
      </c>
      <c r="K147" s="1" t="e">
        <f>IF(Protokoll_5p!#REF!="","",IF(VALUE(LEFT(Protokoll_5p!#REF!,FIND(":",Protokoll_5p!#REF!)-1))&gt;VALUE(RIGHT(Protokoll_5p!#REF!,LEN(Protokoll_5p!#REF!)-FIND(":",Protokoll_5p!#REF!))),0,1))</f>
        <v>#REF!</v>
      </c>
      <c r="L147" s="1" t="e">
        <f>IF(Protokoll_5p!#REF!="","",IF(VALUE(LEFT(Protokoll_5p!#REF!,FIND(":",Protokoll_5p!#REF!)-1))&gt;VALUE(RIGHT(Protokoll_5p!#REF!,LEN(Protokoll_5p!#REF!)-FIND(":",Protokoll_5p!#REF!))),0,1))</f>
        <v>#REF!</v>
      </c>
      <c r="M147" s="1" t="e">
        <f>IF(Protokoll_5p!#REF!="","",IF(VALUE(LEFT(Protokoll_5p!#REF!,FIND(":",Protokoll_5p!#REF!)-1))&gt;VALUE(RIGHT(Protokoll_5p!#REF!,LEN(Protokoll_5p!#REF!)-FIND(":",Protokoll_5p!#REF!))),0,1))</f>
        <v>#REF!</v>
      </c>
      <c r="N147" s="1" t="e">
        <f t="shared" si="5"/>
        <v>#REF!</v>
      </c>
    </row>
    <row r="148" spans="2:14">
      <c r="B148" s="1" t="e">
        <f>IF(Protokoll_5p!#REF!="","",IF(VALUE(LEFT(Protokoll_5p!#REF!,FIND(":",Protokoll_5p!#REF!)-1))&gt;VALUE(RIGHT(Protokoll_5p!#REF!,LEN(Protokoll_5p!#REF!)-FIND(":",Protokoll_5p!#REF!))),1,0))</f>
        <v>#REF!</v>
      </c>
      <c r="C148" s="1" t="e">
        <f>IF(Protokoll_5p!#REF!="","",IF(VALUE(LEFT(Protokoll_5p!#REF!,FIND(":",Protokoll_5p!#REF!)-1))&gt;VALUE(RIGHT(Protokoll_5p!#REF!,LEN(Protokoll_5p!#REF!)-FIND(":",Protokoll_5p!#REF!))),1,0))</f>
        <v>#REF!</v>
      </c>
      <c r="D148" s="1" t="e">
        <f>IF(Protokoll_5p!#REF!="","",IF(VALUE(LEFT(Protokoll_5p!#REF!,FIND(":",Protokoll_5p!#REF!)-1))&gt;VALUE(RIGHT(Protokoll_5p!#REF!,LEN(Protokoll_5p!#REF!)-FIND(":",Protokoll_5p!#REF!))),1,0))</f>
        <v>#REF!</v>
      </c>
      <c r="E148" s="1" t="e">
        <f>IF(Protokoll_5p!#REF!="","",IF(VALUE(LEFT(Protokoll_5p!#REF!,FIND(":",Protokoll_5p!#REF!)-1))&gt;VALUE(RIGHT(Protokoll_5p!#REF!,LEN(Protokoll_5p!#REF!)-FIND(":",Protokoll_5p!#REF!))),1,0))</f>
        <v>#REF!</v>
      </c>
      <c r="F148" s="1" t="e">
        <f>IF(Protokoll_5p!#REF!="","",IF(VALUE(LEFT(Protokoll_5p!#REF!,FIND(":",Protokoll_5p!#REF!)-1))&gt;VALUE(RIGHT(Protokoll_5p!#REF!,LEN(Protokoll_5p!#REF!)-FIND(":",Protokoll_5p!#REF!))),1,0))</f>
        <v>#REF!</v>
      </c>
      <c r="G148" s="1" t="e">
        <f t="shared" si="4"/>
        <v>#REF!</v>
      </c>
      <c r="I148" s="1" t="e">
        <f>IF(Protokoll_5p!#REF!="","",IF(VALUE(LEFT(Protokoll_5p!#REF!,FIND(":",Protokoll_5p!#REF!)-1))&gt;VALUE(RIGHT(Protokoll_5p!#REF!,LEN(Protokoll_5p!#REF!)-FIND(":",Protokoll_5p!#REF!))),0,1))</f>
        <v>#REF!</v>
      </c>
      <c r="J148" s="1" t="e">
        <f>IF(Protokoll_5p!#REF!="","",IF(VALUE(LEFT(Protokoll_5p!#REF!,FIND(":",Protokoll_5p!#REF!)-1))&gt;VALUE(RIGHT(Protokoll_5p!#REF!,LEN(Protokoll_5p!#REF!)-FIND(":",Protokoll_5p!#REF!))),0,1))</f>
        <v>#REF!</v>
      </c>
      <c r="K148" s="1" t="e">
        <f>IF(Protokoll_5p!#REF!="","",IF(VALUE(LEFT(Protokoll_5p!#REF!,FIND(":",Protokoll_5p!#REF!)-1))&gt;VALUE(RIGHT(Protokoll_5p!#REF!,LEN(Protokoll_5p!#REF!)-FIND(":",Protokoll_5p!#REF!))),0,1))</f>
        <v>#REF!</v>
      </c>
      <c r="L148" s="1" t="e">
        <f>IF(Protokoll_5p!#REF!="","",IF(VALUE(LEFT(Protokoll_5p!#REF!,FIND(":",Protokoll_5p!#REF!)-1))&gt;VALUE(RIGHT(Protokoll_5p!#REF!,LEN(Protokoll_5p!#REF!)-FIND(":",Protokoll_5p!#REF!))),0,1))</f>
        <v>#REF!</v>
      </c>
      <c r="M148" s="1" t="e">
        <f>IF(Protokoll_5p!#REF!="","",IF(VALUE(LEFT(Protokoll_5p!#REF!,FIND(":",Protokoll_5p!#REF!)-1))&gt;VALUE(RIGHT(Protokoll_5p!#REF!,LEN(Protokoll_5p!#REF!)-FIND(":",Protokoll_5p!#REF!))),0,1))</f>
        <v>#REF!</v>
      </c>
      <c r="N148" s="1" t="e">
        <f t="shared" si="5"/>
        <v>#REF!</v>
      </c>
    </row>
    <row r="149" spans="2:14">
      <c r="B149" s="1" t="e">
        <f>IF(Protokoll_5p!#REF!="","",IF(VALUE(LEFT(Protokoll_5p!#REF!,FIND(":",Protokoll_5p!#REF!)-1))&gt;VALUE(RIGHT(Protokoll_5p!#REF!,LEN(Protokoll_5p!#REF!)-FIND(":",Protokoll_5p!#REF!))),1,0))</f>
        <v>#REF!</v>
      </c>
      <c r="C149" s="1" t="e">
        <f>IF(Protokoll_5p!#REF!="","",IF(VALUE(LEFT(Protokoll_5p!#REF!,FIND(":",Protokoll_5p!#REF!)-1))&gt;VALUE(RIGHT(Protokoll_5p!#REF!,LEN(Protokoll_5p!#REF!)-FIND(":",Protokoll_5p!#REF!))),1,0))</f>
        <v>#REF!</v>
      </c>
      <c r="D149" s="1" t="e">
        <f>IF(Protokoll_5p!#REF!="","",IF(VALUE(LEFT(Protokoll_5p!#REF!,FIND(":",Protokoll_5p!#REF!)-1))&gt;VALUE(RIGHT(Protokoll_5p!#REF!,LEN(Protokoll_5p!#REF!)-FIND(":",Protokoll_5p!#REF!))),1,0))</f>
        <v>#REF!</v>
      </c>
      <c r="E149" s="1" t="e">
        <f>IF(Protokoll_5p!#REF!="","",IF(VALUE(LEFT(Protokoll_5p!#REF!,FIND(":",Protokoll_5p!#REF!)-1))&gt;VALUE(RIGHT(Protokoll_5p!#REF!,LEN(Protokoll_5p!#REF!)-FIND(":",Protokoll_5p!#REF!))),1,0))</f>
        <v>#REF!</v>
      </c>
      <c r="F149" s="1" t="e">
        <f>IF(Protokoll_5p!#REF!="","",IF(VALUE(LEFT(Protokoll_5p!#REF!,FIND(":",Protokoll_5p!#REF!)-1))&gt;VALUE(RIGHT(Protokoll_5p!#REF!,LEN(Protokoll_5p!#REF!)-FIND(":",Protokoll_5p!#REF!))),1,0))</f>
        <v>#REF!</v>
      </c>
      <c r="G149" s="1" t="e">
        <f t="shared" si="4"/>
        <v>#REF!</v>
      </c>
      <c r="I149" s="1" t="e">
        <f>IF(Protokoll_5p!#REF!="","",IF(VALUE(LEFT(Protokoll_5p!#REF!,FIND(":",Protokoll_5p!#REF!)-1))&gt;VALUE(RIGHT(Protokoll_5p!#REF!,LEN(Protokoll_5p!#REF!)-FIND(":",Protokoll_5p!#REF!))),0,1))</f>
        <v>#REF!</v>
      </c>
      <c r="J149" s="1" t="e">
        <f>IF(Protokoll_5p!#REF!="","",IF(VALUE(LEFT(Protokoll_5p!#REF!,FIND(":",Protokoll_5p!#REF!)-1))&gt;VALUE(RIGHT(Protokoll_5p!#REF!,LEN(Protokoll_5p!#REF!)-FIND(":",Protokoll_5p!#REF!))),0,1))</f>
        <v>#REF!</v>
      </c>
      <c r="K149" s="1" t="e">
        <f>IF(Protokoll_5p!#REF!="","",IF(VALUE(LEFT(Protokoll_5p!#REF!,FIND(":",Protokoll_5p!#REF!)-1))&gt;VALUE(RIGHT(Protokoll_5p!#REF!,LEN(Protokoll_5p!#REF!)-FIND(":",Protokoll_5p!#REF!))),0,1))</f>
        <v>#REF!</v>
      </c>
      <c r="L149" s="1" t="e">
        <f>IF(Protokoll_5p!#REF!="","",IF(VALUE(LEFT(Protokoll_5p!#REF!,FIND(":",Protokoll_5p!#REF!)-1))&gt;VALUE(RIGHT(Protokoll_5p!#REF!,LEN(Protokoll_5p!#REF!)-FIND(":",Protokoll_5p!#REF!))),0,1))</f>
        <v>#REF!</v>
      </c>
      <c r="M149" s="1" t="e">
        <f>IF(Protokoll_5p!#REF!="","",IF(VALUE(LEFT(Protokoll_5p!#REF!,FIND(":",Protokoll_5p!#REF!)-1))&gt;VALUE(RIGHT(Protokoll_5p!#REF!,LEN(Protokoll_5p!#REF!)-FIND(":",Protokoll_5p!#REF!))),0,1))</f>
        <v>#REF!</v>
      </c>
      <c r="N149" s="1" t="e">
        <f t="shared" si="5"/>
        <v>#REF!</v>
      </c>
    </row>
    <row r="150" spans="2:14">
      <c r="B150" s="1" t="e">
        <f>IF(Protokoll_5p!#REF!="","",IF(VALUE(LEFT(Protokoll_5p!#REF!,FIND(":",Protokoll_5p!#REF!)-1))&gt;VALUE(RIGHT(Protokoll_5p!#REF!,LEN(Protokoll_5p!#REF!)-FIND(":",Protokoll_5p!#REF!))),1,0))</f>
        <v>#REF!</v>
      </c>
      <c r="C150" s="1" t="e">
        <f>IF(Protokoll_5p!#REF!="","",IF(VALUE(LEFT(Protokoll_5p!#REF!,FIND(":",Protokoll_5p!#REF!)-1))&gt;VALUE(RIGHT(Protokoll_5p!#REF!,LEN(Protokoll_5p!#REF!)-FIND(":",Protokoll_5p!#REF!))),1,0))</f>
        <v>#REF!</v>
      </c>
      <c r="D150" s="1" t="e">
        <f>IF(Protokoll_5p!#REF!="","",IF(VALUE(LEFT(Protokoll_5p!#REF!,FIND(":",Protokoll_5p!#REF!)-1))&gt;VALUE(RIGHT(Protokoll_5p!#REF!,LEN(Protokoll_5p!#REF!)-FIND(":",Protokoll_5p!#REF!))),1,0))</f>
        <v>#REF!</v>
      </c>
      <c r="E150" s="1" t="e">
        <f>IF(Protokoll_5p!#REF!="","",IF(VALUE(LEFT(Protokoll_5p!#REF!,FIND(":",Protokoll_5p!#REF!)-1))&gt;VALUE(RIGHT(Protokoll_5p!#REF!,LEN(Protokoll_5p!#REF!)-FIND(":",Protokoll_5p!#REF!))),1,0))</f>
        <v>#REF!</v>
      </c>
      <c r="F150" s="1" t="e">
        <f>IF(Protokoll_5p!#REF!="","",IF(VALUE(LEFT(Protokoll_5p!#REF!,FIND(":",Protokoll_5p!#REF!)-1))&gt;VALUE(RIGHT(Protokoll_5p!#REF!,LEN(Protokoll_5p!#REF!)-FIND(":",Protokoll_5p!#REF!))),1,0))</f>
        <v>#REF!</v>
      </c>
      <c r="G150" s="1" t="e">
        <f t="shared" si="4"/>
        <v>#REF!</v>
      </c>
      <c r="I150" s="1" t="e">
        <f>IF(Protokoll_5p!#REF!="","",IF(VALUE(LEFT(Protokoll_5p!#REF!,FIND(":",Protokoll_5p!#REF!)-1))&gt;VALUE(RIGHT(Protokoll_5p!#REF!,LEN(Protokoll_5p!#REF!)-FIND(":",Protokoll_5p!#REF!))),0,1))</f>
        <v>#REF!</v>
      </c>
      <c r="J150" s="1" t="e">
        <f>IF(Protokoll_5p!#REF!="","",IF(VALUE(LEFT(Protokoll_5p!#REF!,FIND(":",Protokoll_5p!#REF!)-1))&gt;VALUE(RIGHT(Protokoll_5p!#REF!,LEN(Protokoll_5p!#REF!)-FIND(":",Protokoll_5p!#REF!))),0,1))</f>
        <v>#REF!</v>
      </c>
      <c r="K150" s="1" t="e">
        <f>IF(Protokoll_5p!#REF!="","",IF(VALUE(LEFT(Protokoll_5p!#REF!,FIND(":",Protokoll_5p!#REF!)-1))&gt;VALUE(RIGHT(Protokoll_5p!#REF!,LEN(Protokoll_5p!#REF!)-FIND(":",Protokoll_5p!#REF!))),0,1))</f>
        <v>#REF!</v>
      </c>
      <c r="L150" s="1" t="e">
        <f>IF(Protokoll_5p!#REF!="","",IF(VALUE(LEFT(Protokoll_5p!#REF!,FIND(":",Protokoll_5p!#REF!)-1))&gt;VALUE(RIGHT(Protokoll_5p!#REF!,LEN(Protokoll_5p!#REF!)-FIND(":",Protokoll_5p!#REF!))),0,1))</f>
        <v>#REF!</v>
      </c>
      <c r="M150" s="1" t="e">
        <f>IF(Protokoll_5p!#REF!="","",IF(VALUE(LEFT(Protokoll_5p!#REF!,FIND(":",Protokoll_5p!#REF!)-1))&gt;VALUE(RIGHT(Protokoll_5p!#REF!,LEN(Protokoll_5p!#REF!)-FIND(":",Protokoll_5p!#REF!))),0,1))</f>
        <v>#REF!</v>
      </c>
      <c r="N150" s="1" t="e">
        <f t="shared" si="5"/>
        <v>#REF!</v>
      </c>
    </row>
    <row r="151" spans="2:14">
      <c r="B151" s="1" t="e">
        <f>IF(Protokoll_5p!#REF!="","",IF(VALUE(LEFT(Protokoll_5p!#REF!,FIND(":",Protokoll_5p!#REF!)-1))&gt;VALUE(RIGHT(Protokoll_5p!#REF!,LEN(Protokoll_5p!#REF!)-FIND(":",Protokoll_5p!#REF!))),1,0))</f>
        <v>#REF!</v>
      </c>
      <c r="C151" s="1" t="e">
        <f>IF(Protokoll_5p!#REF!="","",IF(VALUE(LEFT(Protokoll_5p!#REF!,FIND(":",Protokoll_5p!#REF!)-1))&gt;VALUE(RIGHT(Protokoll_5p!#REF!,LEN(Protokoll_5p!#REF!)-FIND(":",Protokoll_5p!#REF!))),1,0))</f>
        <v>#REF!</v>
      </c>
      <c r="D151" s="1" t="e">
        <f>IF(Protokoll_5p!#REF!="","",IF(VALUE(LEFT(Protokoll_5p!#REF!,FIND(":",Protokoll_5p!#REF!)-1))&gt;VALUE(RIGHT(Protokoll_5p!#REF!,LEN(Protokoll_5p!#REF!)-FIND(":",Protokoll_5p!#REF!))),1,0))</f>
        <v>#REF!</v>
      </c>
      <c r="E151" s="1" t="e">
        <f>IF(Protokoll_5p!#REF!="","",IF(VALUE(LEFT(Protokoll_5p!#REF!,FIND(":",Protokoll_5p!#REF!)-1))&gt;VALUE(RIGHT(Protokoll_5p!#REF!,LEN(Protokoll_5p!#REF!)-FIND(":",Protokoll_5p!#REF!))),1,0))</f>
        <v>#REF!</v>
      </c>
      <c r="F151" s="1" t="e">
        <f>IF(Protokoll_5p!#REF!="","",IF(VALUE(LEFT(Protokoll_5p!#REF!,FIND(":",Protokoll_5p!#REF!)-1))&gt;VALUE(RIGHT(Protokoll_5p!#REF!,LEN(Protokoll_5p!#REF!)-FIND(":",Protokoll_5p!#REF!))),1,0))</f>
        <v>#REF!</v>
      </c>
      <c r="G151" s="1" t="e">
        <f t="shared" si="4"/>
        <v>#REF!</v>
      </c>
      <c r="I151" s="1" t="e">
        <f>IF(Protokoll_5p!#REF!="","",IF(VALUE(LEFT(Protokoll_5p!#REF!,FIND(":",Protokoll_5p!#REF!)-1))&gt;VALUE(RIGHT(Protokoll_5p!#REF!,LEN(Protokoll_5p!#REF!)-FIND(":",Protokoll_5p!#REF!))),0,1))</f>
        <v>#REF!</v>
      </c>
      <c r="J151" s="1" t="e">
        <f>IF(Protokoll_5p!#REF!="","",IF(VALUE(LEFT(Protokoll_5p!#REF!,FIND(":",Protokoll_5p!#REF!)-1))&gt;VALUE(RIGHT(Protokoll_5p!#REF!,LEN(Protokoll_5p!#REF!)-FIND(":",Protokoll_5p!#REF!))),0,1))</f>
        <v>#REF!</v>
      </c>
      <c r="K151" s="1" t="e">
        <f>IF(Protokoll_5p!#REF!="","",IF(VALUE(LEFT(Protokoll_5p!#REF!,FIND(":",Protokoll_5p!#REF!)-1))&gt;VALUE(RIGHT(Protokoll_5p!#REF!,LEN(Protokoll_5p!#REF!)-FIND(":",Protokoll_5p!#REF!))),0,1))</f>
        <v>#REF!</v>
      </c>
      <c r="L151" s="1" t="e">
        <f>IF(Protokoll_5p!#REF!="","",IF(VALUE(LEFT(Protokoll_5p!#REF!,FIND(":",Protokoll_5p!#REF!)-1))&gt;VALUE(RIGHT(Protokoll_5p!#REF!,LEN(Protokoll_5p!#REF!)-FIND(":",Protokoll_5p!#REF!))),0,1))</f>
        <v>#REF!</v>
      </c>
      <c r="M151" s="1" t="e">
        <f>IF(Protokoll_5p!#REF!="","",IF(VALUE(LEFT(Protokoll_5p!#REF!,FIND(":",Protokoll_5p!#REF!)-1))&gt;VALUE(RIGHT(Protokoll_5p!#REF!,LEN(Protokoll_5p!#REF!)-FIND(":",Protokoll_5p!#REF!))),0,1))</f>
        <v>#REF!</v>
      </c>
      <c r="N151" s="1" t="e">
        <f t="shared" si="5"/>
        <v>#REF!</v>
      </c>
    </row>
    <row r="152" spans="2:14">
      <c r="B152" s="1" t="e">
        <f>IF(Protokoll_5p!#REF!="","",IF(VALUE(LEFT(Protokoll_5p!#REF!,FIND(":",Protokoll_5p!#REF!)-1))&gt;VALUE(RIGHT(Protokoll_5p!#REF!,LEN(Protokoll_5p!#REF!)-FIND(":",Protokoll_5p!#REF!))),1,0))</f>
        <v>#REF!</v>
      </c>
      <c r="C152" s="1" t="e">
        <f>IF(Protokoll_5p!#REF!="","",IF(VALUE(LEFT(Protokoll_5p!#REF!,FIND(":",Protokoll_5p!#REF!)-1))&gt;VALUE(RIGHT(Protokoll_5p!#REF!,LEN(Protokoll_5p!#REF!)-FIND(":",Protokoll_5p!#REF!))),1,0))</f>
        <v>#REF!</v>
      </c>
      <c r="D152" s="1" t="e">
        <f>IF(Protokoll_5p!#REF!="","",IF(VALUE(LEFT(Protokoll_5p!#REF!,FIND(":",Protokoll_5p!#REF!)-1))&gt;VALUE(RIGHT(Protokoll_5p!#REF!,LEN(Protokoll_5p!#REF!)-FIND(":",Protokoll_5p!#REF!))),1,0))</f>
        <v>#REF!</v>
      </c>
      <c r="E152" s="1" t="e">
        <f>IF(Protokoll_5p!#REF!="","",IF(VALUE(LEFT(Protokoll_5p!#REF!,FIND(":",Protokoll_5p!#REF!)-1))&gt;VALUE(RIGHT(Protokoll_5p!#REF!,LEN(Protokoll_5p!#REF!)-FIND(":",Protokoll_5p!#REF!))),1,0))</f>
        <v>#REF!</v>
      </c>
      <c r="F152" s="1" t="e">
        <f>IF(Protokoll_5p!#REF!="","",IF(VALUE(LEFT(Protokoll_5p!#REF!,FIND(":",Protokoll_5p!#REF!)-1))&gt;VALUE(RIGHT(Protokoll_5p!#REF!,LEN(Protokoll_5p!#REF!)-FIND(":",Protokoll_5p!#REF!))),1,0))</f>
        <v>#REF!</v>
      </c>
      <c r="G152" s="1" t="e">
        <f t="shared" si="4"/>
        <v>#REF!</v>
      </c>
      <c r="I152" s="1" t="e">
        <f>IF(Protokoll_5p!#REF!="","",IF(VALUE(LEFT(Protokoll_5p!#REF!,FIND(":",Protokoll_5p!#REF!)-1))&gt;VALUE(RIGHT(Protokoll_5p!#REF!,LEN(Protokoll_5p!#REF!)-FIND(":",Protokoll_5p!#REF!))),0,1))</f>
        <v>#REF!</v>
      </c>
      <c r="J152" s="1" t="e">
        <f>IF(Protokoll_5p!#REF!="","",IF(VALUE(LEFT(Protokoll_5p!#REF!,FIND(":",Protokoll_5p!#REF!)-1))&gt;VALUE(RIGHT(Protokoll_5p!#REF!,LEN(Protokoll_5p!#REF!)-FIND(":",Protokoll_5p!#REF!))),0,1))</f>
        <v>#REF!</v>
      </c>
      <c r="K152" s="1" t="e">
        <f>IF(Protokoll_5p!#REF!="","",IF(VALUE(LEFT(Protokoll_5p!#REF!,FIND(":",Protokoll_5p!#REF!)-1))&gt;VALUE(RIGHT(Protokoll_5p!#REF!,LEN(Protokoll_5p!#REF!)-FIND(":",Protokoll_5p!#REF!))),0,1))</f>
        <v>#REF!</v>
      </c>
      <c r="L152" s="1" t="e">
        <f>IF(Protokoll_5p!#REF!="","",IF(VALUE(LEFT(Protokoll_5p!#REF!,FIND(":",Protokoll_5p!#REF!)-1))&gt;VALUE(RIGHT(Protokoll_5p!#REF!,LEN(Protokoll_5p!#REF!)-FIND(":",Protokoll_5p!#REF!))),0,1))</f>
        <v>#REF!</v>
      </c>
      <c r="M152" s="1" t="e">
        <f>IF(Protokoll_5p!#REF!="","",IF(VALUE(LEFT(Protokoll_5p!#REF!,FIND(":",Protokoll_5p!#REF!)-1))&gt;VALUE(RIGHT(Protokoll_5p!#REF!,LEN(Protokoll_5p!#REF!)-FIND(":",Protokoll_5p!#REF!))),0,1))</f>
        <v>#REF!</v>
      </c>
      <c r="N152" s="1" t="e">
        <f t="shared" si="5"/>
        <v>#REF!</v>
      </c>
    </row>
    <row r="153" spans="2:14">
      <c r="B153" s="1" t="e">
        <f>IF(Protokoll_5p!#REF!="","",IF(VALUE(LEFT(Protokoll_5p!#REF!,FIND(":",Protokoll_5p!#REF!)-1))&gt;VALUE(RIGHT(Protokoll_5p!#REF!,LEN(Protokoll_5p!#REF!)-FIND(":",Protokoll_5p!#REF!))),1,0))</f>
        <v>#REF!</v>
      </c>
      <c r="C153" s="1" t="e">
        <f>IF(Protokoll_5p!#REF!="","",IF(VALUE(LEFT(Protokoll_5p!#REF!,FIND(":",Protokoll_5p!#REF!)-1))&gt;VALUE(RIGHT(Protokoll_5p!#REF!,LEN(Protokoll_5p!#REF!)-FIND(":",Protokoll_5p!#REF!))),1,0))</f>
        <v>#REF!</v>
      </c>
      <c r="D153" s="1" t="e">
        <f>IF(Protokoll_5p!#REF!="","",IF(VALUE(LEFT(Protokoll_5p!#REF!,FIND(":",Protokoll_5p!#REF!)-1))&gt;VALUE(RIGHT(Protokoll_5p!#REF!,LEN(Protokoll_5p!#REF!)-FIND(":",Protokoll_5p!#REF!))),1,0))</f>
        <v>#REF!</v>
      </c>
      <c r="E153" s="1" t="e">
        <f>IF(Protokoll_5p!#REF!="","",IF(VALUE(LEFT(Protokoll_5p!#REF!,FIND(":",Protokoll_5p!#REF!)-1))&gt;VALUE(RIGHT(Protokoll_5p!#REF!,LEN(Protokoll_5p!#REF!)-FIND(":",Protokoll_5p!#REF!))),1,0))</f>
        <v>#REF!</v>
      </c>
      <c r="F153" s="1" t="e">
        <f>IF(Protokoll_5p!#REF!="","",IF(VALUE(LEFT(Protokoll_5p!#REF!,FIND(":",Protokoll_5p!#REF!)-1))&gt;VALUE(RIGHT(Protokoll_5p!#REF!,LEN(Protokoll_5p!#REF!)-FIND(":",Protokoll_5p!#REF!))),1,0))</f>
        <v>#REF!</v>
      </c>
      <c r="G153" s="1" t="e">
        <f t="shared" si="4"/>
        <v>#REF!</v>
      </c>
      <c r="I153" s="1" t="e">
        <f>IF(Protokoll_5p!#REF!="","",IF(VALUE(LEFT(Protokoll_5p!#REF!,FIND(":",Protokoll_5p!#REF!)-1))&gt;VALUE(RIGHT(Protokoll_5p!#REF!,LEN(Protokoll_5p!#REF!)-FIND(":",Protokoll_5p!#REF!))),0,1))</f>
        <v>#REF!</v>
      </c>
      <c r="J153" s="1" t="e">
        <f>IF(Protokoll_5p!#REF!="","",IF(VALUE(LEFT(Protokoll_5p!#REF!,FIND(":",Protokoll_5p!#REF!)-1))&gt;VALUE(RIGHT(Protokoll_5p!#REF!,LEN(Protokoll_5p!#REF!)-FIND(":",Protokoll_5p!#REF!))),0,1))</f>
        <v>#REF!</v>
      </c>
      <c r="K153" s="1" t="e">
        <f>IF(Protokoll_5p!#REF!="","",IF(VALUE(LEFT(Protokoll_5p!#REF!,FIND(":",Protokoll_5p!#REF!)-1))&gt;VALUE(RIGHT(Protokoll_5p!#REF!,LEN(Protokoll_5p!#REF!)-FIND(":",Protokoll_5p!#REF!))),0,1))</f>
        <v>#REF!</v>
      </c>
      <c r="L153" s="1" t="e">
        <f>IF(Protokoll_5p!#REF!="","",IF(VALUE(LEFT(Protokoll_5p!#REF!,FIND(":",Protokoll_5p!#REF!)-1))&gt;VALUE(RIGHT(Protokoll_5p!#REF!,LEN(Protokoll_5p!#REF!)-FIND(":",Protokoll_5p!#REF!))),0,1))</f>
        <v>#REF!</v>
      </c>
      <c r="M153" s="1" t="e">
        <f>IF(Protokoll_5p!#REF!="","",IF(VALUE(LEFT(Protokoll_5p!#REF!,FIND(":",Protokoll_5p!#REF!)-1))&gt;VALUE(RIGHT(Protokoll_5p!#REF!,LEN(Protokoll_5p!#REF!)-FIND(":",Protokoll_5p!#REF!))),0,1))</f>
        <v>#REF!</v>
      </c>
      <c r="N153" s="1" t="e">
        <f t="shared" si="5"/>
        <v>#REF!</v>
      </c>
    </row>
    <row r="154" spans="2:14">
      <c r="B154" s="1" t="e">
        <f>IF(Protokoll_5p!#REF!="","",IF(VALUE(LEFT(Protokoll_5p!#REF!,FIND(":",Protokoll_5p!#REF!)-1))&gt;VALUE(RIGHT(Protokoll_5p!#REF!,LEN(Protokoll_5p!#REF!)-FIND(":",Protokoll_5p!#REF!))),1,0))</f>
        <v>#REF!</v>
      </c>
      <c r="C154" s="1" t="e">
        <f>IF(Protokoll_5p!#REF!="","",IF(VALUE(LEFT(Protokoll_5p!#REF!,FIND(":",Protokoll_5p!#REF!)-1))&gt;VALUE(RIGHT(Protokoll_5p!#REF!,LEN(Protokoll_5p!#REF!)-FIND(":",Protokoll_5p!#REF!))),1,0))</f>
        <v>#REF!</v>
      </c>
      <c r="D154" s="1" t="e">
        <f>IF(Protokoll_5p!#REF!="","",IF(VALUE(LEFT(Protokoll_5p!#REF!,FIND(":",Protokoll_5p!#REF!)-1))&gt;VALUE(RIGHT(Protokoll_5p!#REF!,LEN(Protokoll_5p!#REF!)-FIND(":",Protokoll_5p!#REF!))),1,0))</f>
        <v>#REF!</v>
      </c>
      <c r="E154" s="1" t="e">
        <f>IF(Protokoll_5p!#REF!="","",IF(VALUE(LEFT(Protokoll_5p!#REF!,FIND(":",Protokoll_5p!#REF!)-1))&gt;VALUE(RIGHT(Protokoll_5p!#REF!,LEN(Protokoll_5p!#REF!)-FIND(":",Protokoll_5p!#REF!))),1,0))</f>
        <v>#REF!</v>
      </c>
      <c r="F154" s="1" t="e">
        <f>IF(Protokoll_5p!#REF!="","",IF(VALUE(LEFT(Protokoll_5p!#REF!,FIND(":",Protokoll_5p!#REF!)-1))&gt;VALUE(RIGHT(Protokoll_5p!#REF!,LEN(Protokoll_5p!#REF!)-FIND(":",Protokoll_5p!#REF!))),1,0))</f>
        <v>#REF!</v>
      </c>
      <c r="G154" s="1" t="e">
        <f t="shared" si="4"/>
        <v>#REF!</v>
      </c>
      <c r="I154" s="1" t="e">
        <f>IF(Protokoll_5p!#REF!="","",IF(VALUE(LEFT(Protokoll_5p!#REF!,FIND(":",Protokoll_5p!#REF!)-1))&gt;VALUE(RIGHT(Protokoll_5p!#REF!,LEN(Protokoll_5p!#REF!)-FIND(":",Protokoll_5p!#REF!))),0,1))</f>
        <v>#REF!</v>
      </c>
      <c r="J154" s="1" t="e">
        <f>IF(Protokoll_5p!#REF!="","",IF(VALUE(LEFT(Protokoll_5p!#REF!,FIND(":",Protokoll_5p!#REF!)-1))&gt;VALUE(RIGHT(Protokoll_5p!#REF!,LEN(Protokoll_5p!#REF!)-FIND(":",Protokoll_5p!#REF!))),0,1))</f>
        <v>#REF!</v>
      </c>
      <c r="K154" s="1" t="e">
        <f>IF(Protokoll_5p!#REF!="","",IF(VALUE(LEFT(Protokoll_5p!#REF!,FIND(":",Protokoll_5p!#REF!)-1))&gt;VALUE(RIGHT(Protokoll_5p!#REF!,LEN(Protokoll_5p!#REF!)-FIND(":",Protokoll_5p!#REF!))),0,1))</f>
        <v>#REF!</v>
      </c>
      <c r="L154" s="1" t="e">
        <f>IF(Protokoll_5p!#REF!="","",IF(VALUE(LEFT(Protokoll_5p!#REF!,FIND(":",Protokoll_5p!#REF!)-1))&gt;VALUE(RIGHT(Protokoll_5p!#REF!,LEN(Protokoll_5p!#REF!)-FIND(":",Protokoll_5p!#REF!))),0,1))</f>
        <v>#REF!</v>
      </c>
      <c r="M154" s="1" t="e">
        <f>IF(Protokoll_5p!#REF!="","",IF(VALUE(LEFT(Protokoll_5p!#REF!,FIND(":",Protokoll_5p!#REF!)-1))&gt;VALUE(RIGHT(Protokoll_5p!#REF!,LEN(Protokoll_5p!#REF!)-FIND(":",Protokoll_5p!#REF!))),0,1))</f>
        <v>#REF!</v>
      </c>
      <c r="N154" s="1" t="e">
        <f t="shared" si="5"/>
        <v>#REF!</v>
      </c>
    </row>
    <row r="155" spans="2:14">
      <c r="B155" s="1" t="e">
        <f>IF(Protokoll_5p!#REF!="","",IF(VALUE(LEFT(Protokoll_5p!#REF!,FIND(":",Protokoll_5p!#REF!)-1))&gt;VALUE(RIGHT(Protokoll_5p!#REF!,LEN(Protokoll_5p!#REF!)-FIND(":",Protokoll_5p!#REF!))),1,0))</f>
        <v>#REF!</v>
      </c>
      <c r="C155" s="1" t="e">
        <f>IF(Protokoll_5p!#REF!="","",IF(VALUE(LEFT(Protokoll_5p!#REF!,FIND(":",Protokoll_5p!#REF!)-1))&gt;VALUE(RIGHT(Protokoll_5p!#REF!,LEN(Protokoll_5p!#REF!)-FIND(":",Protokoll_5p!#REF!))),1,0))</f>
        <v>#REF!</v>
      </c>
      <c r="D155" s="1" t="e">
        <f>IF(Protokoll_5p!#REF!="","",IF(VALUE(LEFT(Protokoll_5p!#REF!,FIND(":",Protokoll_5p!#REF!)-1))&gt;VALUE(RIGHT(Protokoll_5p!#REF!,LEN(Protokoll_5p!#REF!)-FIND(":",Protokoll_5p!#REF!))),1,0))</f>
        <v>#REF!</v>
      </c>
      <c r="E155" s="1" t="e">
        <f>IF(Protokoll_5p!#REF!="","",IF(VALUE(LEFT(Protokoll_5p!#REF!,FIND(":",Protokoll_5p!#REF!)-1))&gt;VALUE(RIGHT(Protokoll_5p!#REF!,LEN(Protokoll_5p!#REF!)-FIND(":",Protokoll_5p!#REF!))),1,0))</f>
        <v>#REF!</v>
      </c>
      <c r="F155" s="1" t="e">
        <f>IF(Protokoll_5p!#REF!="","",IF(VALUE(LEFT(Protokoll_5p!#REF!,FIND(":",Protokoll_5p!#REF!)-1))&gt;VALUE(RIGHT(Protokoll_5p!#REF!,LEN(Protokoll_5p!#REF!)-FIND(":",Protokoll_5p!#REF!))),1,0))</f>
        <v>#REF!</v>
      </c>
      <c r="G155" s="1" t="e">
        <f t="shared" si="4"/>
        <v>#REF!</v>
      </c>
      <c r="I155" s="1" t="e">
        <f>IF(Protokoll_5p!#REF!="","",IF(VALUE(LEFT(Protokoll_5p!#REF!,FIND(":",Protokoll_5p!#REF!)-1))&gt;VALUE(RIGHT(Protokoll_5p!#REF!,LEN(Protokoll_5p!#REF!)-FIND(":",Protokoll_5p!#REF!))),0,1))</f>
        <v>#REF!</v>
      </c>
      <c r="J155" s="1" t="e">
        <f>IF(Protokoll_5p!#REF!="","",IF(VALUE(LEFT(Protokoll_5p!#REF!,FIND(":",Protokoll_5p!#REF!)-1))&gt;VALUE(RIGHT(Protokoll_5p!#REF!,LEN(Protokoll_5p!#REF!)-FIND(":",Protokoll_5p!#REF!))),0,1))</f>
        <v>#REF!</v>
      </c>
      <c r="K155" s="1" t="e">
        <f>IF(Protokoll_5p!#REF!="","",IF(VALUE(LEFT(Protokoll_5p!#REF!,FIND(":",Protokoll_5p!#REF!)-1))&gt;VALUE(RIGHT(Protokoll_5p!#REF!,LEN(Protokoll_5p!#REF!)-FIND(":",Protokoll_5p!#REF!))),0,1))</f>
        <v>#REF!</v>
      </c>
      <c r="L155" s="1" t="e">
        <f>IF(Protokoll_5p!#REF!="","",IF(VALUE(LEFT(Protokoll_5p!#REF!,FIND(":",Protokoll_5p!#REF!)-1))&gt;VALUE(RIGHT(Protokoll_5p!#REF!,LEN(Protokoll_5p!#REF!)-FIND(":",Protokoll_5p!#REF!))),0,1))</f>
        <v>#REF!</v>
      </c>
      <c r="M155" s="1" t="e">
        <f>IF(Protokoll_5p!#REF!="","",IF(VALUE(LEFT(Protokoll_5p!#REF!,FIND(":",Protokoll_5p!#REF!)-1))&gt;VALUE(RIGHT(Protokoll_5p!#REF!,LEN(Protokoll_5p!#REF!)-FIND(":",Protokoll_5p!#REF!))),0,1))</f>
        <v>#REF!</v>
      </c>
      <c r="N155" s="1" t="e">
        <f t="shared" si="5"/>
        <v>#REF!</v>
      </c>
    </row>
    <row r="156" spans="2:14">
      <c r="B156" s="1" t="e">
        <f>IF(Protokoll_5p!#REF!="","",IF(VALUE(LEFT(Protokoll_5p!#REF!,FIND(":",Protokoll_5p!#REF!)-1))&gt;VALUE(RIGHT(Protokoll_5p!#REF!,LEN(Protokoll_5p!#REF!)-FIND(":",Protokoll_5p!#REF!))),1,0))</f>
        <v>#REF!</v>
      </c>
      <c r="C156" s="1" t="e">
        <f>IF(Protokoll_5p!#REF!="","",IF(VALUE(LEFT(Protokoll_5p!#REF!,FIND(":",Protokoll_5p!#REF!)-1))&gt;VALUE(RIGHT(Protokoll_5p!#REF!,LEN(Protokoll_5p!#REF!)-FIND(":",Protokoll_5p!#REF!))),1,0))</f>
        <v>#REF!</v>
      </c>
      <c r="D156" s="1" t="e">
        <f>IF(Protokoll_5p!#REF!="","",IF(VALUE(LEFT(Protokoll_5p!#REF!,FIND(":",Protokoll_5p!#REF!)-1))&gt;VALUE(RIGHT(Protokoll_5p!#REF!,LEN(Protokoll_5p!#REF!)-FIND(":",Protokoll_5p!#REF!))),1,0))</f>
        <v>#REF!</v>
      </c>
      <c r="E156" s="1" t="e">
        <f>IF(Protokoll_5p!#REF!="","",IF(VALUE(LEFT(Protokoll_5p!#REF!,FIND(":",Protokoll_5p!#REF!)-1))&gt;VALUE(RIGHT(Protokoll_5p!#REF!,LEN(Protokoll_5p!#REF!)-FIND(":",Protokoll_5p!#REF!))),1,0))</f>
        <v>#REF!</v>
      </c>
      <c r="F156" s="1" t="e">
        <f>IF(Protokoll_5p!#REF!="","",IF(VALUE(LEFT(Protokoll_5p!#REF!,FIND(":",Protokoll_5p!#REF!)-1))&gt;VALUE(RIGHT(Protokoll_5p!#REF!,LEN(Protokoll_5p!#REF!)-FIND(":",Protokoll_5p!#REF!))),1,0))</f>
        <v>#REF!</v>
      </c>
      <c r="G156" s="1" t="e">
        <f t="shared" si="4"/>
        <v>#REF!</v>
      </c>
      <c r="I156" s="1" t="e">
        <f>IF(Protokoll_5p!#REF!="","",IF(VALUE(LEFT(Protokoll_5p!#REF!,FIND(":",Protokoll_5p!#REF!)-1))&gt;VALUE(RIGHT(Protokoll_5p!#REF!,LEN(Protokoll_5p!#REF!)-FIND(":",Protokoll_5p!#REF!))),0,1))</f>
        <v>#REF!</v>
      </c>
      <c r="J156" s="1" t="e">
        <f>IF(Protokoll_5p!#REF!="","",IF(VALUE(LEFT(Protokoll_5p!#REF!,FIND(":",Protokoll_5p!#REF!)-1))&gt;VALUE(RIGHT(Protokoll_5p!#REF!,LEN(Protokoll_5p!#REF!)-FIND(":",Protokoll_5p!#REF!))),0,1))</f>
        <v>#REF!</v>
      </c>
      <c r="K156" s="1" t="e">
        <f>IF(Protokoll_5p!#REF!="","",IF(VALUE(LEFT(Protokoll_5p!#REF!,FIND(":",Protokoll_5p!#REF!)-1))&gt;VALUE(RIGHT(Protokoll_5p!#REF!,LEN(Protokoll_5p!#REF!)-FIND(":",Protokoll_5p!#REF!))),0,1))</f>
        <v>#REF!</v>
      </c>
      <c r="L156" s="1" t="e">
        <f>IF(Protokoll_5p!#REF!="","",IF(VALUE(LEFT(Protokoll_5p!#REF!,FIND(":",Protokoll_5p!#REF!)-1))&gt;VALUE(RIGHT(Protokoll_5p!#REF!,LEN(Protokoll_5p!#REF!)-FIND(":",Protokoll_5p!#REF!))),0,1))</f>
        <v>#REF!</v>
      </c>
      <c r="M156" s="1" t="e">
        <f>IF(Protokoll_5p!#REF!="","",IF(VALUE(LEFT(Protokoll_5p!#REF!,FIND(":",Protokoll_5p!#REF!)-1))&gt;VALUE(RIGHT(Protokoll_5p!#REF!,LEN(Protokoll_5p!#REF!)-FIND(":",Protokoll_5p!#REF!))),0,1))</f>
        <v>#REF!</v>
      </c>
      <c r="N156" s="1" t="e">
        <f t="shared" si="5"/>
        <v>#REF!</v>
      </c>
    </row>
    <row r="157" spans="2:14">
      <c r="B157" s="1" t="e">
        <f>IF(Protokoll_5p!#REF!="","",IF(VALUE(LEFT(Protokoll_5p!#REF!,FIND(":",Protokoll_5p!#REF!)-1))&gt;VALUE(RIGHT(Protokoll_5p!#REF!,LEN(Protokoll_5p!#REF!)-FIND(":",Protokoll_5p!#REF!))),1,0))</f>
        <v>#REF!</v>
      </c>
      <c r="C157" s="1" t="e">
        <f>IF(Protokoll_5p!#REF!="","",IF(VALUE(LEFT(Protokoll_5p!#REF!,FIND(":",Protokoll_5p!#REF!)-1))&gt;VALUE(RIGHT(Protokoll_5p!#REF!,LEN(Protokoll_5p!#REF!)-FIND(":",Protokoll_5p!#REF!))),1,0))</f>
        <v>#REF!</v>
      </c>
      <c r="D157" s="1" t="e">
        <f>IF(Protokoll_5p!#REF!="","",IF(VALUE(LEFT(Protokoll_5p!#REF!,FIND(":",Protokoll_5p!#REF!)-1))&gt;VALUE(RIGHT(Protokoll_5p!#REF!,LEN(Protokoll_5p!#REF!)-FIND(":",Protokoll_5p!#REF!))),1,0))</f>
        <v>#REF!</v>
      </c>
      <c r="E157" s="1" t="e">
        <f>IF(Protokoll_5p!#REF!="","",IF(VALUE(LEFT(Protokoll_5p!#REF!,FIND(":",Protokoll_5p!#REF!)-1))&gt;VALUE(RIGHT(Protokoll_5p!#REF!,LEN(Protokoll_5p!#REF!)-FIND(":",Protokoll_5p!#REF!))),1,0))</f>
        <v>#REF!</v>
      </c>
      <c r="F157" s="1" t="e">
        <f>IF(Protokoll_5p!#REF!="","",IF(VALUE(LEFT(Protokoll_5p!#REF!,FIND(":",Protokoll_5p!#REF!)-1))&gt;VALUE(RIGHT(Protokoll_5p!#REF!,LEN(Protokoll_5p!#REF!)-FIND(":",Protokoll_5p!#REF!))),1,0))</f>
        <v>#REF!</v>
      </c>
      <c r="G157" s="1" t="e">
        <f t="shared" si="4"/>
        <v>#REF!</v>
      </c>
      <c r="I157" s="1" t="e">
        <f>IF(Protokoll_5p!#REF!="","",IF(VALUE(LEFT(Protokoll_5p!#REF!,FIND(":",Protokoll_5p!#REF!)-1))&gt;VALUE(RIGHT(Protokoll_5p!#REF!,LEN(Protokoll_5p!#REF!)-FIND(":",Protokoll_5p!#REF!))),0,1))</f>
        <v>#REF!</v>
      </c>
      <c r="J157" s="1" t="e">
        <f>IF(Protokoll_5p!#REF!="","",IF(VALUE(LEFT(Protokoll_5p!#REF!,FIND(":",Protokoll_5p!#REF!)-1))&gt;VALUE(RIGHT(Protokoll_5p!#REF!,LEN(Protokoll_5p!#REF!)-FIND(":",Protokoll_5p!#REF!))),0,1))</f>
        <v>#REF!</v>
      </c>
      <c r="K157" s="1" t="e">
        <f>IF(Protokoll_5p!#REF!="","",IF(VALUE(LEFT(Protokoll_5p!#REF!,FIND(":",Protokoll_5p!#REF!)-1))&gt;VALUE(RIGHT(Protokoll_5p!#REF!,LEN(Protokoll_5p!#REF!)-FIND(":",Protokoll_5p!#REF!))),0,1))</f>
        <v>#REF!</v>
      </c>
      <c r="L157" s="1" t="e">
        <f>IF(Protokoll_5p!#REF!="","",IF(VALUE(LEFT(Protokoll_5p!#REF!,FIND(":",Protokoll_5p!#REF!)-1))&gt;VALUE(RIGHT(Protokoll_5p!#REF!,LEN(Protokoll_5p!#REF!)-FIND(":",Protokoll_5p!#REF!))),0,1))</f>
        <v>#REF!</v>
      </c>
      <c r="M157" s="1" t="e">
        <f>IF(Protokoll_5p!#REF!="","",IF(VALUE(LEFT(Protokoll_5p!#REF!,FIND(":",Protokoll_5p!#REF!)-1))&gt;VALUE(RIGHT(Protokoll_5p!#REF!,LEN(Protokoll_5p!#REF!)-FIND(":",Protokoll_5p!#REF!))),0,1))</f>
        <v>#REF!</v>
      </c>
      <c r="N157" s="1" t="e">
        <f t="shared" si="5"/>
        <v>#REF!</v>
      </c>
    </row>
    <row r="158" spans="2:14">
      <c r="B158" s="1" t="e">
        <f>IF(Protokoll_5p!#REF!="","",IF(VALUE(LEFT(Protokoll_5p!#REF!,FIND(":",Protokoll_5p!#REF!)-1))&gt;VALUE(RIGHT(Protokoll_5p!#REF!,LEN(Protokoll_5p!#REF!)-FIND(":",Protokoll_5p!#REF!))),1,0))</f>
        <v>#REF!</v>
      </c>
      <c r="C158" s="1" t="e">
        <f>IF(Protokoll_5p!#REF!="","",IF(VALUE(LEFT(Protokoll_5p!#REF!,FIND(":",Protokoll_5p!#REF!)-1))&gt;VALUE(RIGHT(Protokoll_5p!#REF!,LEN(Protokoll_5p!#REF!)-FIND(":",Protokoll_5p!#REF!))),1,0))</f>
        <v>#REF!</v>
      </c>
      <c r="D158" s="1" t="e">
        <f>IF(Protokoll_5p!#REF!="","",IF(VALUE(LEFT(Protokoll_5p!#REF!,FIND(":",Protokoll_5p!#REF!)-1))&gt;VALUE(RIGHT(Protokoll_5p!#REF!,LEN(Protokoll_5p!#REF!)-FIND(":",Protokoll_5p!#REF!))),1,0))</f>
        <v>#REF!</v>
      </c>
      <c r="E158" s="1" t="e">
        <f>IF(Protokoll_5p!#REF!="","",IF(VALUE(LEFT(Protokoll_5p!#REF!,FIND(":",Protokoll_5p!#REF!)-1))&gt;VALUE(RIGHT(Protokoll_5p!#REF!,LEN(Protokoll_5p!#REF!)-FIND(":",Protokoll_5p!#REF!))),1,0))</f>
        <v>#REF!</v>
      </c>
      <c r="F158" s="1" t="e">
        <f>IF(Protokoll_5p!#REF!="","",IF(VALUE(LEFT(Protokoll_5p!#REF!,FIND(":",Protokoll_5p!#REF!)-1))&gt;VALUE(RIGHT(Protokoll_5p!#REF!,LEN(Protokoll_5p!#REF!)-FIND(":",Protokoll_5p!#REF!))),1,0))</f>
        <v>#REF!</v>
      </c>
      <c r="G158" s="1" t="e">
        <f t="shared" si="4"/>
        <v>#REF!</v>
      </c>
      <c r="I158" s="1" t="e">
        <f>IF(Protokoll_5p!#REF!="","",IF(VALUE(LEFT(Protokoll_5p!#REF!,FIND(":",Protokoll_5p!#REF!)-1))&gt;VALUE(RIGHT(Protokoll_5p!#REF!,LEN(Protokoll_5p!#REF!)-FIND(":",Protokoll_5p!#REF!))),0,1))</f>
        <v>#REF!</v>
      </c>
      <c r="J158" s="1" t="e">
        <f>IF(Protokoll_5p!#REF!="","",IF(VALUE(LEFT(Protokoll_5p!#REF!,FIND(":",Protokoll_5p!#REF!)-1))&gt;VALUE(RIGHT(Protokoll_5p!#REF!,LEN(Protokoll_5p!#REF!)-FIND(":",Protokoll_5p!#REF!))),0,1))</f>
        <v>#REF!</v>
      </c>
      <c r="K158" s="1" t="e">
        <f>IF(Protokoll_5p!#REF!="","",IF(VALUE(LEFT(Protokoll_5p!#REF!,FIND(":",Protokoll_5p!#REF!)-1))&gt;VALUE(RIGHT(Protokoll_5p!#REF!,LEN(Protokoll_5p!#REF!)-FIND(":",Protokoll_5p!#REF!))),0,1))</f>
        <v>#REF!</v>
      </c>
      <c r="L158" s="1" t="e">
        <f>IF(Protokoll_5p!#REF!="","",IF(VALUE(LEFT(Protokoll_5p!#REF!,FIND(":",Protokoll_5p!#REF!)-1))&gt;VALUE(RIGHT(Protokoll_5p!#REF!,LEN(Protokoll_5p!#REF!)-FIND(":",Protokoll_5p!#REF!))),0,1))</f>
        <v>#REF!</v>
      </c>
      <c r="M158" s="1" t="e">
        <f>IF(Protokoll_5p!#REF!="","",IF(VALUE(LEFT(Protokoll_5p!#REF!,FIND(":",Protokoll_5p!#REF!)-1))&gt;VALUE(RIGHT(Protokoll_5p!#REF!,LEN(Protokoll_5p!#REF!)-FIND(":",Protokoll_5p!#REF!))),0,1))</f>
        <v>#REF!</v>
      </c>
      <c r="N158" s="1" t="e">
        <f t="shared" si="5"/>
        <v>#REF!</v>
      </c>
    </row>
    <row r="159" spans="2:14">
      <c r="B159" s="1" t="e">
        <f>IF(Protokoll_5p!#REF!="","",IF(VALUE(LEFT(Protokoll_5p!#REF!,FIND(":",Protokoll_5p!#REF!)-1))&gt;VALUE(RIGHT(Protokoll_5p!#REF!,LEN(Protokoll_5p!#REF!)-FIND(":",Protokoll_5p!#REF!))),1,0))</f>
        <v>#REF!</v>
      </c>
      <c r="C159" s="1" t="e">
        <f>IF(Protokoll_5p!#REF!="","",IF(VALUE(LEFT(Protokoll_5p!#REF!,FIND(":",Protokoll_5p!#REF!)-1))&gt;VALUE(RIGHT(Protokoll_5p!#REF!,LEN(Protokoll_5p!#REF!)-FIND(":",Protokoll_5p!#REF!))),1,0))</f>
        <v>#REF!</v>
      </c>
      <c r="D159" s="1" t="e">
        <f>IF(Protokoll_5p!#REF!="","",IF(VALUE(LEFT(Protokoll_5p!#REF!,FIND(":",Protokoll_5p!#REF!)-1))&gt;VALUE(RIGHT(Protokoll_5p!#REF!,LEN(Protokoll_5p!#REF!)-FIND(":",Protokoll_5p!#REF!))),1,0))</f>
        <v>#REF!</v>
      </c>
      <c r="E159" s="1" t="e">
        <f>IF(Protokoll_5p!#REF!="","",IF(VALUE(LEFT(Protokoll_5p!#REF!,FIND(":",Protokoll_5p!#REF!)-1))&gt;VALUE(RIGHT(Protokoll_5p!#REF!,LEN(Protokoll_5p!#REF!)-FIND(":",Protokoll_5p!#REF!))),1,0))</f>
        <v>#REF!</v>
      </c>
      <c r="F159" s="1" t="e">
        <f>IF(Protokoll_5p!#REF!="","",IF(VALUE(LEFT(Protokoll_5p!#REF!,FIND(":",Protokoll_5p!#REF!)-1))&gt;VALUE(RIGHT(Protokoll_5p!#REF!,LEN(Protokoll_5p!#REF!)-FIND(":",Protokoll_5p!#REF!))),1,0))</f>
        <v>#REF!</v>
      </c>
      <c r="G159" s="1" t="e">
        <f t="shared" si="4"/>
        <v>#REF!</v>
      </c>
      <c r="I159" s="1" t="e">
        <f>IF(Protokoll_5p!#REF!="","",IF(VALUE(LEFT(Protokoll_5p!#REF!,FIND(":",Protokoll_5p!#REF!)-1))&gt;VALUE(RIGHT(Protokoll_5p!#REF!,LEN(Protokoll_5p!#REF!)-FIND(":",Protokoll_5p!#REF!))),0,1))</f>
        <v>#REF!</v>
      </c>
      <c r="J159" s="1" t="e">
        <f>IF(Protokoll_5p!#REF!="","",IF(VALUE(LEFT(Protokoll_5p!#REF!,FIND(":",Protokoll_5p!#REF!)-1))&gt;VALUE(RIGHT(Protokoll_5p!#REF!,LEN(Protokoll_5p!#REF!)-FIND(":",Protokoll_5p!#REF!))),0,1))</f>
        <v>#REF!</v>
      </c>
      <c r="K159" s="1" t="e">
        <f>IF(Protokoll_5p!#REF!="","",IF(VALUE(LEFT(Protokoll_5p!#REF!,FIND(":",Protokoll_5p!#REF!)-1))&gt;VALUE(RIGHT(Protokoll_5p!#REF!,LEN(Protokoll_5p!#REF!)-FIND(":",Protokoll_5p!#REF!))),0,1))</f>
        <v>#REF!</v>
      </c>
      <c r="L159" s="1" t="e">
        <f>IF(Protokoll_5p!#REF!="","",IF(VALUE(LEFT(Protokoll_5p!#REF!,FIND(":",Protokoll_5p!#REF!)-1))&gt;VALUE(RIGHT(Protokoll_5p!#REF!,LEN(Protokoll_5p!#REF!)-FIND(":",Protokoll_5p!#REF!))),0,1))</f>
        <v>#REF!</v>
      </c>
      <c r="M159" s="1" t="e">
        <f>IF(Protokoll_5p!#REF!="","",IF(VALUE(LEFT(Protokoll_5p!#REF!,FIND(":",Protokoll_5p!#REF!)-1))&gt;VALUE(RIGHT(Protokoll_5p!#REF!,LEN(Protokoll_5p!#REF!)-FIND(":",Protokoll_5p!#REF!))),0,1))</f>
        <v>#REF!</v>
      </c>
      <c r="N159" s="1" t="e">
        <f t="shared" si="5"/>
        <v>#REF!</v>
      </c>
    </row>
    <row r="160" spans="2:14">
      <c r="B160" s="1" t="e">
        <f>IF(Protokoll_5p!#REF!="","",IF(VALUE(LEFT(Protokoll_5p!#REF!,FIND(":",Protokoll_5p!#REF!)-1))&gt;VALUE(RIGHT(Protokoll_5p!#REF!,LEN(Protokoll_5p!#REF!)-FIND(":",Protokoll_5p!#REF!))),1,0))</f>
        <v>#REF!</v>
      </c>
      <c r="C160" s="1" t="e">
        <f>IF(Protokoll_5p!#REF!="","",IF(VALUE(LEFT(Protokoll_5p!#REF!,FIND(":",Protokoll_5p!#REF!)-1))&gt;VALUE(RIGHT(Protokoll_5p!#REF!,LEN(Protokoll_5p!#REF!)-FIND(":",Protokoll_5p!#REF!))),1,0))</f>
        <v>#REF!</v>
      </c>
      <c r="D160" s="1" t="e">
        <f>IF(Protokoll_5p!#REF!="","",IF(VALUE(LEFT(Protokoll_5p!#REF!,FIND(":",Protokoll_5p!#REF!)-1))&gt;VALUE(RIGHT(Protokoll_5p!#REF!,LEN(Protokoll_5p!#REF!)-FIND(":",Protokoll_5p!#REF!))),1,0))</f>
        <v>#REF!</v>
      </c>
      <c r="E160" s="1" t="e">
        <f>IF(Protokoll_5p!#REF!="","",IF(VALUE(LEFT(Protokoll_5p!#REF!,FIND(":",Protokoll_5p!#REF!)-1))&gt;VALUE(RIGHT(Protokoll_5p!#REF!,LEN(Protokoll_5p!#REF!)-FIND(":",Protokoll_5p!#REF!))),1,0))</f>
        <v>#REF!</v>
      </c>
      <c r="F160" s="1" t="e">
        <f>IF(Protokoll_5p!#REF!="","",IF(VALUE(LEFT(Protokoll_5p!#REF!,FIND(":",Protokoll_5p!#REF!)-1))&gt;VALUE(RIGHT(Protokoll_5p!#REF!,LEN(Protokoll_5p!#REF!)-FIND(":",Protokoll_5p!#REF!))),1,0))</f>
        <v>#REF!</v>
      </c>
      <c r="G160" s="1" t="e">
        <f t="shared" si="4"/>
        <v>#REF!</v>
      </c>
      <c r="I160" s="1" t="e">
        <f>IF(Protokoll_5p!#REF!="","",IF(VALUE(LEFT(Protokoll_5p!#REF!,FIND(":",Protokoll_5p!#REF!)-1))&gt;VALUE(RIGHT(Protokoll_5p!#REF!,LEN(Protokoll_5p!#REF!)-FIND(":",Protokoll_5p!#REF!))),0,1))</f>
        <v>#REF!</v>
      </c>
      <c r="J160" s="1" t="e">
        <f>IF(Protokoll_5p!#REF!="","",IF(VALUE(LEFT(Protokoll_5p!#REF!,FIND(":",Protokoll_5p!#REF!)-1))&gt;VALUE(RIGHT(Protokoll_5p!#REF!,LEN(Protokoll_5p!#REF!)-FIND(":",Protokoll_5p!#REF!))),0,1))</f>
        <v>#REF!</v>
      </c>
      <c r="K160" s="1" t="e">
        <f>IF(Protokoll_5p!#REF!="","",IF(VALUE(LEFT(Protokoll_5p!#REF!,FIND(":",Protokoll_5p!#REF!)-1))&gt;VALUE(RIGHT(Protokoll_5p!#REF!,LEN(Protokoll_5p!#REF!)-FIND(":",Protokoll_5p!#REF!))),0,1))</f>
        <v>#REF!</v>
      </c>
      <c r="L160" s="1" t="e">
        <f>IF(Protokoll_5p!#REF!="","",IF(VALUE(LEFT(Protokoll_5p!#REF!,FIND(":",Protokoll_5p!#REF!)-1))&gt;VALUE(RIGHT(Protokoll_5p!#REF!,LEN(Protokoll_5p!#REF!)-FIND(":",Protokoll_5p!#REF!))),0,1))</f>
        <v>#REF!</v>
      </c>
      <c r="M160" s="1" t="e">
        <f>IF(Protokoll_5p!#REF!="","",IF(VALUE(LEFT(Protokoll_5p!#REF!,FIND(":",Protokoll_5p!#REF!)-1))&gt;VALUE(RIGHT(Protokoll_5p!#REF!,LEN(Protokoll_5p!#REF!)-FIND(":",Protokoll_5p!#REF!))),0,1))</f>
        <v>#REF!</v>
      </c>
      <c r="N160" s="1" t="e">
        <f t="shared" si="5"/>
        <v>#REF!</v>
      </c>
    </row>
    <row r="161" spans="2:14">
      <c r="B161" s="1" t="str">
        <f>IF(Protokoll_5p!F127="","",IF(VALUE(LEFT(Protokoll_5p!F127,FIND(":",Protokoll_5p!F127)-1))&gt;VALUE(RIGHT(Protokoll_5p!F127,LEN(Protokoll_5p!F127)-FIND(":",Protokoll_5p!F127))),1,0))</f>
        <v/>
      </c>
      <c r="C161" s="1" t="str">
        <f>IF(Protokoll_5p!G127="","",IF(VALUE(LEFT(Protokoll_5p!G127,FIND(":",Protokoll_5p!G127)-1))&gt;VALUE(RIGHT(Protokoll_5p!G127,LEN(Protokoll_5p!G127)-FIND(":",Protokoll_5p!G127))),1,0))</f>
        <v/>
      </c>
      <c r="D161" s="1" t="str">
        <f>IF(Protokoll_5p!H127="","",IF(VALUE(LEFT(Protokoll_5p!H127,FIND(":",Protokoll_5p!H127)-1))&gt;VALUE(RIGHT(Protokoll_5p!H127,LEN(Protokoll_5p!H127)-FIND(":",Protokoll_5p!H127))),1,0))</f>
        <v/>
      </c>
      <c r="E161" s="1" t="str">
        <f>IF(Protokoll_5p!I127="","",IF(VALUE(LEFT(Protokoll_5p!I127,FIND(":",Protokoll_5p!I127)-1))&gt;VALUE(RIGHT(Protokoll_5p!I127,LEN(Protokoll_5p!I127)-FIND(":",Protokoll_5p!I127))),1,0))</f>
        <v/>
      </c>
      <c r="F161" s="1" t="str">
        <f>IF(Protokoll_5p!J127="","",IF(VALUE(LEFT(Protokoll_5p!J127,FIND(":",Protokoll_5p!J127)-1))&gt;VALUE(RIGHT(Protokoll_5p!J127,LEN(Protokoll_5p!J127)-FIND(":",Protokoll_5p!J127))),1,0))</f>
        <v/>
      </c>
      <c r="G161" s="1" t="str">
        <f t="shared" si="4"/>
        <v/>
      </c>
      <c r="I161" s="1" t="str">
        <f>IF(Protokoll_5p!F127="","",IF(VALUE(LEFT(Protokoll_5p!F127,FIND(":",Protokoll_5p!F127)-1))&gt;VALUE(RIGHT(Protokoll_5p!F127,LEN(Protokoll_5p!F127)-FIND(":",Protokoll_5p!F127))),0,1))</f>
        <v/>
      </c>
      <c r="J161" s="1" t="str">
        <f>IF(Protokoll_5p!G127="","",IF(VALUE(LEFT(Protokoll_5p!G127,FIND(":",Protokoll_5p!G127)-1))&gt;VALUE(RIGHT(Protokoll_5p!G127,LEN(Protokoll_5p!G127)-FIND(":",Protokoll_5p!G127))),0,1))</f>
        <v/>
      </c>
      <c r="K161" s="1" t="str">
        <f>IF(Protokoll_5p!H127="","",IF(VALUE(LEFT(Protokoll_5p!H127,FIND(":",Protokoll_5p!H127)-1))&gt;VALUE(RIGHT(Protokoll_5p!H127,LEN(Protokoll_5p!H127)-FIND(":",Protokoll_5p!H127))),0,1))</f>
        <v/>
      </c>
      <c r="L161" s="1" t="str">
        <f>IF(Protokoll_5p!I127="","",IF(VALUE(LEFT(Protokoll_5p!I127,FIND(":",Protokoll_5p!I127)-1))&gt;VALUE(RIGHT(Protokoll_5p!I127,LEN(Protokoll_5p!I127)-FIND(":",Protokoll_5p!I127))),0,1))</f>
        <v/>
      </c>
      <c r="M161" s="1" t="str">
        <f>IF(Protokoll_5p!J127="","",IF(VALUE(LEFT(Protokoll_5p!J127,FIND(":",Protokoll_5p!J127)-1))&gt;VALUE(RIGHT(Protokoll_5p!J127,LEN(Protokoll_5p!J127)-FIND(":",Protokoll_5p!J127))),0,1))</f>
        <v/>
      </c>
      <c r="N161" s="1" t="str">
        <f t="shared" si="5"/>
        <v/>
      </c>
    </row>
    <row r="162" spans="2:14">
      <c r="B162" s="1" t="str">
        <f>IF(Protokoll_5p!F128="","",IF(VALUE(LEFT(Protokoll_5p!F128,FIND(":",Protokoll_5p!F128)-1))&gt;VALUE(RIGHT(Protokoll_5p!F128,LEN(Protokoll_5p!F128)-FIND(":",Protokoll_5p!F128))),1,0))</f>
        <v/>
      </c>
      <c r="C162" s="1" t="str">
        <f>IF(Protokoll_5p!G128="","",IF(VALUE(LEFT(Protokoll_5p!G128,FIND(":",Protokoll_5p!G128)-1))&gt;VALUE(RIGHT(Protokoll_5p!G128,LEN(Protokoll_5p!G128)-FIND(":",Protokoll_5p!G128))),1,0))</f>
        <v/>
      </c>
      <c r="D162" s="1" t="str">
        <f>IF(Protokoll_5p!H128="","",IF(VALUE(LEFT(Protokoll_5p!H128,FIND(":",Protokoll_5p!H128)-1))&gt;VALUE(RIGHT(Protokoll_5p!H128,LEN(Protokoll_5p!H128)-FIND(":",Protokoll_5p!H128))),1,0))</f>
        <v/>
      </c>
      <c r="E162" s="1" t="str">
        <f>IF(Protokoll_5p!I128="","",IF(VALUE(LEFT(Protokoll_5p!I128,FIND(":",Protokoll_5p!I128)-1))&gt;VALUE(RIGHT(Protokoll_5p!I128,LEN(Protokoll_5p!I128)-FIND(":",Protokoll_5p!I128))),1,0))</f>
        <v/>
      </c>
      <c r="F162" s="1" t="str">
        <f>IF(Protokoll_5p!J128="","",IF(VALUE(LEFT(Protokoll_5p!J128,FIND(":",Protokoll_5p!J128)-1))&gt;VALUE(RIGHT(Protokoll_5p!J128,LEN(Protokoll_5p!J128)-FIND(":",Protokoll_5p!J128))),1,0))</f>
        <v/>
      </c>
      <c r="G162" s="1" t="str">
        <f t="shared" si="4"/>
        <v/>
      </c>
      <c r="I162" s="1" t="str">
        <f>IF(Protokoll_5p!F128="","",IF(VALUE(LEFT(Protokoll_5p!F128,FIND(":",Protokoll_5p!F128)-1))&gt;VALUE(RIGHT(Protokoll_5p!F128,LEN(Protokoll_5p!F128)-FIND(":",Protokoll_5p!F128))),0,1))</f>
        <v/>
      </c>
      <c r="J162" s="1" t="str">
        <f>IF(Protokoll_5p!G128="","",IF(VALUE(LEFT(Protokoll_5p!G128,FIND(":",Protokoll_5p!G128)-1))&gt;VALUE(RIGHT(Protokoll_5p!G128,LEN(Protokoll_5p!G128)-FIND(":",Protokoll_5p!G128))),0,1))</f>
        <v/>
      </c>
      <c r="K162" s="1" t="str">
        <f>IF(Protokoll_5p!H128="","",IF(VALUE(LEFT(Protokoll_5p!H128,FIND(":",Protokoll_5p!H128)-1))&gt;VALUE(RIGHT(Protokoll_5p!H128,LEN(Protokoll_5p!H128)-FIND(":",Protokoll_5p!H128))),0,1))</f>
        <v/>
      </c>
      <c r="L162" s="1" t="str">
        <f>IF(Protokoll_5p!I128="","",IF(VALUE(LEFT(Protokoll_5p!I128,FIND(":",Protokoll_5p!I128)-1))&gt;VALUE(RIGHT(Protokoll_5p!I128,LEN(Protokoll_5p!I128)-FIND(":",Protokoll_5p!I128))),0,1))</f>
        <v/>
      </c>
      <c r="M162" s="1" t="str">
        <f>IF(Protokoll_5p!J128="","",IF(VALUE(LEFT(Protokoll_5p!J128,FIND(":",Protokoll_5p!J128)-1))&gt;VALUE(RIGHT(Protokoll_5p!J128,LEN(Protokoll_5p!J128)-FIND(":",Protokoll_5p!J128))),0,1))</f>
        <v/>
      </c>
      <c r="N162" s="1" t="str">
        <f t="shared" si="5"/>
        <v/>
      </c>
    </row>
    <row r="163" spans="2:14">
      <c r="B163" s="1" t="str">
        <f>IF(Protokoll_5p!F129="","",IF(VALUE(LEFT(Protokoll_5p!F129,FIND(":",Protokoll_5p!F129)-1))&gt;VALUE(RIGHT(Protokoll_5p!F129,LEN(Protokoll_5p!F129)-FIND(":",Protokoll_5p!F129))),1,0))</f>
        <v/>
      </c>
      <c r="C163" s="1" t="str">
        <f>IF(Protokoll_5p!G129="","",IF(VALUE(LEFT(Protokoll_5p!G129,FIND(":",Protokoll_5p!G129)-1))&gt;VALUE(RIGHT(Protokoll_5p!G129,LEN(Protokoll_5p!G129)-FIND(":",Protokoll_5p!G129))),1,0))</f>
        <v/>
      </c>
      <c r="D163" s="1" t="str">
        <f>IF(Protokoll_5p!H129="","",IF(VALUE(LEFT(Protokoll_5p!H129,FIND(":",Protokoll_5p!H129)-1))&gt;VALUE(RIGHT(Protokoll_5p!H129,LEN(Protokoll_5p!H129)-FIND(":",Protokoll_5p!H129))),1,0))</f>
        <v/>
      </c>
      <c r="E163" s="1" t="str">
        <f>IF(Protokoll_5p!I129="","",IF(VALUE(LEFT(Protokoll_5p!I129,FIND(":",Protokoll_5p!I129)-1))&gt;VALUE(RIGHT(Protokoll_5p!I129,LEN(Protokoll_5p!I129)-FIND(":",Protokoll_5p!I129))),1,0))</f>
        <v/>
      </c>
      <c r="F163" s="1" t="str">
        <f>IF(Protokoll_5p!J129="","",IF(VALUE(LEFT(Protokoll_5p!J129,FIND(":",Protokoll_5p!J129)-1))&gt;VALUE(RIGHT(Protokoll_5p!J129,LEN(Protokoll_5p!J129)-FIND(":",Protokoll_5p!J129))),1,0))</f>
        <v/>
      </c>
      <c r="G163" s="1" t="str">
        <f t="shared" si="4"/>
        <v/>
      </c>
      <c r="I163" s="1" t="str">
        <f>IF(Protokoll_5p!F129="","",IF(VALUE(LEFT(Protokoll_5p!F129,FIND(":",Protokoll_5p!F129)-1))&gt;VALUE(RIGHT(Protokoll_5p!F129,LEN(Protokoll_5p!F129)-FIND(":",Protokoll_5p!F129))),0,1))</f>
        <v/>
      </c>
      <c r="J163" s="1" t="str">
        <f>IF(Protokoll_5p!G129="","",IF(VALUE(LEFT(Protokoll_5p!G129,FIND(":",Protokoll_5p!G129)-1))&gt;VALUE(RIGHT(Protokoll_5p!G129,LEN(Protokoll_5p!G129)-FIND(":",Protokoll_5p!G129))),0,1))</f>
        <v/>
      </c>
      <c r="K163" s="1" t="str">
        <f>IF(Protokoll_5p!H129="","",IF(VALUE(LEFT(Protokoll_5p!H129,FIND(":",Protokoll_5p!H129)-1))&gt;VALUE(RIGHT(Protokoll_5p!H129,LEN(Protokoll_5p!H129)-FIND(":",Protokoll_5p!H129))),0,1))</f>
        <v/>
      </c>
      <c r="L163" s="1" t="str">
        <f>IF(Protokoll_5p!I129="","",IF(VALUE(LEFT(Protokoll_5p!I129,FIND(":",Protokoll_5p!I129)-1))&gt;VALUE(RIGHT(Protokoll_5p!I129,LEN(Protokoll_5p!I129)-FIND(":",Protokoll_5p!I129))),0,1))</f>
        <v/>
      </c>
      <c r="M163" s="1" t="str">
        <f>IF(Protokoll_5p!J129="","",IF(VALUE(LEFT(Protokoll_5p!J129,FIND(":",Protokoll_5p!J129)-1))&gt;VALUE(RIGHT(Protokoll_5p!J129,LEN(Protokoll_5p!J129)-FIND(":",Protokoll_5p!J129))),0,1))</f>
        <v/>
      </c>
      <c r="N163" s="1" t="str">
        <f t="shared" si="5"/>
        <v/>
      </c>
    </row>
    <row r="164" spans="2:14">
      <c r="B164" s="1" t="str">
        <f>IF(Protokoll_5p!F130="","",IF(VALUE(LEFT(Protokoll_5p!F130,FIND(":",Protokoll_5p!F130)-1))&gt;VALUE(RIGHT(Protokoll_5p!F130,LEN(Protokoll_5p!F130)-FIND(":",Protokoll_5p!F130))),1,0))</f>
        <v/>
      </c>
      <c r="C164" s="1" t="str">
        <f>IF(Protokoll_5p!G130="","",IF(VALUE(LEFT(Protokoll_5p!G130,FIND(":",Protokoll_5p!G130)-1))&gt;VALUE(RIGHT(Protokoll_5p!G130,LEN(Protokoll_5p!G130)-FIND(":",Protokoll_5p!G130))),1,0))</f>
        <v/>
      </c>
      <c r="D164" s="1" t="str">
        <f>IF(Protokoll_5p!H130="","",IF(VALUE(LEFT(Protokoll_5p!H130,FIND(":",Protokoll_5p!H130)-1))&gt;VALUE(RIGHT(Protokoll_5p!H130,LEN(Protokoll_5p!H130)-FIND(":",Protokoll_5p!H130))),1,0))</f>
        <v/>
      </c>
      <c r="E164" s="1" t="str">
        <f>IF(Protokoll_5p!I130="","",IF(VALUE(LEFT(Protokoll_5p!I130,FIND(":",Protokoll_5p!I130)-1))&gt;VALUE(RIGHT(Protokoll_5p!I130,LEN(Protokoll_5p!I130)-FIND(":",Protokoll_5p!I130))),1,0))</f>
        <v/>
      </c>
      <c r="F164" s="1" t="str">
        <f>IF(Protokoll_5p!J130="","",IF(VALUE(LEFT(Protokoll_5p!J130,FIND(":",Protokoll_5p!J130)-1))&gt;VALUE(RIGHT(Protokoll_5p!J130,LEN(Protokoll_5p!J130)-FIND(":",Protokoll_5p!J130))),1,0))</f>
        <v/>
      </c>
      <c r="G164" s="1" t="str">
        <f t="shared" si="4"/>
        <v/>
      </c>
      <c r="I164" s="1" t="str">
        <f>IF(Protokoll_5p!F130="","",IF(VALUE(LEFT(Protokoll_5p!F130,FIND(":",Protokoll_5p!F130)-1))&gt;VALUE(RIGHT(Protokoll_5p!F130,LEN(Protokoll_5p!F130)-FIND(":",Protokoll_5p!F130))),0,1))</f>
        <v/>
      </c>
      <c r="J164" s="1" t="str">
        <f>IF(Protokoll_5p!G130="","",IF(VALUE(LEFT(Protokoll_5p!G130,FIND(":",Protokoll_5p!G130)-1))&gt;VALUE(RIGHT(Protokoll_5p!G130,LEN(Protokoll_5p!G130)-FIND(":",Protokoll_5p!G130))),0,1))</f>
        <v/>
      </c>
      <c r="K164" s="1" t="str">
        <f>IF(Protokoll_5p!H130="","",IF(VALUE(LEFT(Protokoll_5p!H130,FIND(":",Protokoll_5p!H130)-1))&gt;VALUE(RIGHT(Protokoll_5p!H130,LEN(Protokoll_5p!H130)-FIND(":",Protokoll_5p!H130))),0,1))</f>
        <v/>
      </c>
      <c r="L164" s="1" t="str">
        <f>IF(Protokoll_5p!I130="","",IF(VALUE(LEFT(Protokoll_5p!I130,FIND(":",Protokoll_5p!I130)-1))&gt;VALUE(RIGHT(Protokoll_5p!I130,LEN(Protokoll_5p!I130)-FIND(":",Protokoll_5p!I130))),0,1))</f>
        <v/>
      </c>
      <c r="M164" s="1" t="str">
        <f>IF(Protokoll_5p!J130="","",IF(VALUE(LEFT(Protokoll_5p!J130,FIND(":",Protokoll_5p!J130)-1))&gt;VALUE(RIGHT(Protokoll_5p!J130,LEN(Protokoll_5p!J130)-FIND(":",Protokoll_5p!J130))),0,1))</f>
        <v/>
      </c>
      <c r="N164" s="1" t="str">
        <f t="shared" si="5"/>
        <v/>
      </c>
    </row>
    <row r="165" spans="2:14">
      <c r="B165" s="1" t="str">
        <f>IF(Protokoll_5p!F131="","",IF(VALUE(LEFT(Protokoll_5p!F131,FIND(":",Protokoll_5p!F131)-1))&gt;VALUE(RIGHT(Protokoll_5p!F131,LEN(Protokoll_5p!F131)-FIND(":",Protokoll_5p!F131))),1,0))</f>
        <v/>
      </c>
      <c r="C165" s="1" t="str">
        <f>IF(Protokoll_5p!G131="","",IF(VALUE(LEFT(Protokoll_5p!G131,FIND(":",Protokoll_5p!G131)-1))&gt;VALUE(RIGHT(Protokoll_5p!G131,LEN(Protokoll_5p!G131)-FIND(":",Protokoll_5p!G131))),1,0))</f>
        <v/>
      </c>
      <c r="D165" s="1" t="str">
        <f>IF(Protokoll_5p!H131="","",IF(VALUE(LEFT(Protokoll_5p!H131,FIND(":",Protokoll_5p!H131)-1))&gt;VALUE(RIGHT(Protokoll_5p!H131,LEN(Protokoll_5p!H131)-FIND(":",Protokoll_5p!H131))),1,0))</f>
        <v/>
      </c>
      <c r="E165" s="1" t="str">
        <f>IF(Protokoll_5p!I131="","",IF(VALUE(LEFT(Protokoll_5p!I131,FIND(":",Protokoll_5p!I131)-1))&gt;VALUE(RIGHT(Protokoll_5p!I131,LEN(Protokoll_5p!I131)-FIND(":",Protokoll_5p!I131))),1,0))</f>
        <v/>
      </c>
      <c r="F165" s="1" t="str">
        <f>IF(Protokoll_5p!J131="","",IF(VALUE(LEFT(Protokoll_5p!J131,FIND(":",Protokoll_5p!J131)-1))&gt;VALUE(RIGHT(Protokoll_5p!J131,LEN(Protokoll_5p!J131)-FIND(":",Protokoll_5p!J131))),1,0))</f>
        <v/>
      </c>
      <c r="G165" s="1" t="str">
        <f t="shared" si="4"/>
        <v/>
      </c>
      <c r="I165" s="1" t="str">
        <f>IF(Protokoll_5p!F131="","",IF(VALUE(LEFT(Protokoll_5p!F131,FIND(":",Protokoll_5p!F131)-1))&gt;VALUE(RIGHT(Protokoll_5p!F131,LEN(Protokoll_5p!F131)-FIND(":",Protokoll_5p!F131))),0,1))</f>
        <v/>
      </c>
      <c r="J165" s="1" t="str">
        <f>IF(Protokoll_5p!G131="","",IF(VALUE(LEFT(Protokoll_5p!G131,FIND(":",Protokoll_5p!G131)-1))&gt;VALUE(RIGHT(Protokoll_5p!G131,LEN(Protokoll_5p!G131)-FIND(":",Protokoll_5p!G131))),0,1))</f>
        <v/>
      </c>
      <c r="K165" s="1" t="str">
        <f>IF(Protokoll_5p!H131="","",IF(VALUE(LEFT(Protokoll_5p!H131,FIND(":",Protokoll_5p!H131)-1))&gt;VALUE(RIGHT(Protokoll_5p!H131,LEN(Protokoll_5p!H131)-FIND(":",Protokoll_5p!H131))),0,1))</f>
        <v/>
      </c>
      <c r="L165" s="1" t="str">
        <f>IF(Protokoll_5p!I131="","",IF(VALUE(LEFT(Protokoll_5p!I131,FIND(":",Protokoll_5p!I131)-1))&gt;VALUE(RIGHT(Protokoll_5p!I131,LEN(Protokoll_5p!I131)-FIND(":",Protokoll_5p!I131))),0,1))</f>
        <v/>
      </c>
      <c r="M165" s="1" t="str">
        <f>IF(Protokoll_5p!J131="","",IF(VALUE(LEFT(Protokoll_5p!J131,FIND(":",Protokoll_5p!J131)-1))&gt;VALUE(RIGHT(Protokoll_5p!J131,LEN(Protokoll_5p!J131)-FIND(":",Protokoll_5p!J131))),0,1))</f>
        <v/>
      </c>
      <c r="N165" s="1" t="str">
        <f t="shared" si="5"/>
        <v/>
      </c>
    </row>
    <row r="166" spans="2:14">
      <c r="B166" s="1" t="str">
        <f>IF(Protokoll_5p!F132="","",IF(VALUE(LEFT(Protokoll_5p!F132,FIND(":",Protokoll_5p!F132)-1))&gt;VALUE(RIGHT(Protokoll_5p!F132,LEN(Protokoll_5p!F132)-FIND(":",Protokoll_5p!F132))),1,0))</f>
        <v/>
      </c>
      <c r="C166" s="1" t="str">
        <f>IF(Protokoll_5p!G132="","",IF(VALUE(LEFT(Protokoll_5p!G132,FIND(":",Protokoll_5p!G132)-1))&gt;VALUE(RIGHT(Protokoll_5p!G132,LEN(Protokoll_5p!G132)-FIND(":",Protokoll_5p!G132))),1,0))</f>
        <v/>
      </c>
      <c r="D166" s="1" t="str">
        <f>IF(Protokoll_5p!H132="","",IF(VALUE(LEFT(Protokoll_5p!H132,FIND(":",Protokoll_5p!H132)-1))&gt;VALUE(RIGHT(Protokoll_5p!H132,LEN(Protokoll_5p!H132)-FIND(":",Protokoll_5p!H132))),1,0))</f>
        <v/>
      </c>
      <c r="E166" s="1" t="str">
        <f>IF(Protokoll_5p!I132="","",IF(VALUE(LEFT(Protokoll_5p!I132,FIND(":",Protokoll_5p!I132)-1))&gt;VALUE(RIGHT(Protokoll_5p!I132,LEN(Protokoll_5p!I132)-FIND(":",Protokoll_5p!I132))),1,0))</f>
        <v/>
      </c>
      <c r="F166" s="1" t="str">
        <f>IF(Protokoll_5p!J132="","",IF(VALUE(LEFT(Protokoll_5p!J132,FIND(":",Protokoll_5p!J132)-1))&gt;VALUE(RIGHT(Protokoll_5p!J132,LEN(Protokoll_5p!J132)-FIND(":",Protokoll_5p!J132))),1,0))</f>
        <v/>
      </c>
      <c r="G166" s="1" t="str">
        <f t="shared" si="4"/>
        <v/>
      </c>
      <c r="I166" s="1" t="str">
        <f>IF(Protokoll_5p!F132="","",IF(VALUE(LEFT(Protokoll_5p!F132,FIND(":",Protokoll_5p!F132)-1))&gt;VALUE(RIGHT(Protokoll_5p!F132,LEN(Protokoll_5p!F132)-FIND(":",Protokoll_5p!F132))),0,1))</f>
        <v/>
      </c>
      <c r="J166" s="1" t="str">
        <f>IF(Protokoll_5p!G132="","",IF(VALUE(LEFT(Protokoll_5p!G132,FIND(":",Protokoll_5p!G132)-1))&gt;VALUE(RIGHT(Protokoll_5p!G132,LEN(Protokoll_5p!G132)-FIND(":",Protokoll_5p!G132))),0,1))</f>
        <v/>
      </c>
      <c r="K166" s="1" t="str">
        <f>IF(Protokoll_5p!H132="","",IF(VALUE(LEFT(Protokoll_5p!H132,FIND(":",Protokoll_5p!H132)-1))&gt;VALUE(RIGHT(Protokoll_5p!H132,LEN(Protokoll_5p!H132)-FIND(":",Protokoll_5p!H132))),0,1))</f>
        <v/>
      </c>
      <c r="L166" s="1" t="str">
        <f>IF(Protokoll_5p!I132="","",IF(VALUE(LEFT(Protokoll_5p!I132,FIND(":",Protokoll_5p!I132)-1))&gt;VALUE(RIGHT(Protokoll_5p!I132,LEN(Protokoll_5p!I132)-FIND(":",Protokoll_5p!I132))),0,1))</f>
        <v/>
      </c>
      <c r="M166" s="1" t="str">
        <f>IF(Protokoll_5p!J132="","",IF(VALUE(LEFT(Protokoll_5p!J132,FIND(":",Protokoll_5p!J132)-1))&gt;VALUE(RIGHT(Protokoll_5p!J132,LEN(Protokoll_5p!J132)-FIND(":",Protokoll_5p!J132))),0,1))</f>
        <v/>
      </c>
      <c r="N166" s="1" t="str">
        <f t="shared" si="5"/>
        <v/>
      </c>
    </row>
    <row r="167" spans="2:14">
      <c r="B167" s="1" t="str">
        <f>IF(Protokoll_5p!F133="","",IF(VALUE(LEFT(Protokoll_5p!F133,FIND(":",Protokoll_5p!F133)-1))&gt;VALUE(RIGHT(Protokoll_5p!F133,LEN(Protokoll_5p!F133)-FIND(":",Protokoll_5p!F133))),1,0))</f>
        <v/>
      </c>
      <c r="C167" s="1" t="str">
        <f>IF(Protokoll_5p!G133="","",IF(VALUE(LEFT(Protokoll_5p!G133,FIND(":",Protokoll_5p!G133)-1))&gt;VALUE(RIGHT(Protokoll_5p!G133,LEN(Protokoll_5p!G133)-FIND(":",Protokoll_5p!G133))),1,0))</f>
        <v/>
      </c>
      <c r="D167" s="1" t="str">
        <f>IF(Protokoll_5p!H133="","",IF(VALUE(LEFT(Protokoll_5p!H133,FIND(":",Protokoll_5p!H133)-1))&gt;VALUE(RIGHT(Protokoll_5p!H133,LEN(Protokoll_5p!H133)-FIND(":",Protokoll_5p!H133))),1,0))</f>
        <v/>
      </c>
      <c r="E167" s="1" t="str">
        <f>IF(Protokoll_5p!I133="","",IF(VALUE(LEFT(Protokoll_5p!I133,FIND(":",Protokoll_5p!I133)-1))&gt;VALUE(RIGHT(Protokoll_5p!I133,LEN(Protokoll_5p!I133)-FIND(":",Protokoll_5p!I133))),1,0))</f>
        <v/>
      </c>
      <c r="F167" s="1" t="str">
        <f>IF(Protokoll_5p!J133="","",IF(VALUE(LEFT(Protokoll_5p!J133,FIND(":",Protokoll_5p!J133)-1))&gt;VALUE(RIGHT(Protokoll_5p!J133,LEN(Protokoll_5p!J133)-FIND(":",Protokoll_5p!J133))),1,0))</f>
        <v/>
      </c>
      <c r="G167" s="1" t="str">
        <f t="shared" si="4"/>
        <v/>
      </c>
      <c r="I167" s="1" t="str">
        <f>IF(Protokoll_5p!F133="","",IF(VALUE(LEFT(Protokoll_5p!F133,FIND(":",Protokoll_5p!F133)-1))&gt;VALUE(RIGHT(Protokoll_5p!F133,LEN(Protokoll_5p!F133)-FIND(":",Protokoll_5p!F133))),0,1))</f>
        <v/>
      </c>
      <c r="J167" s="1" t="str">
        <f>IF(Protokoll_5p!G133="","",IF(VALUE(LEFT(Protokoll_5p!G133,FIND(":",Protokoll_5p!G133)-1))&gt;VALUE(RIGHT(Protokoll_5p!G133,LEN(Protokoll_5p!G133)-FIND(":",Protokoll_5p!G133))),0,1))</f>
        <v/>
      </c>
      <c r="K167" s="1" t="str">
        <f>IF(Protokoll_5p!H133="","",IF(VALUE(LEFT(Protokoll_5p!H133,FIND(":",Protokoll_5p!H133)-1))&gt;VALUE(RIGHT(Protokoll_5p!H133,LEN(Protokoll_5p!H133)-FIND(":",Protokoll_5p!H133))),0,1))</f>
        <v/>
      </c>
      <c r="L167" s="1" t="str">
        <f>IF(Protokoll_5p!I133="","",IF(VALUE(LEFT(Protokoll_5p!I133,FIND(":",Protokoll_5p!I133)-1))&gt;VALUE(RIGHT(Protokoll_5p!I133,LEN(Protokoll_5p!I133)-FIND(":",Protokoll_5p!I133))),0,1))</f>
        <v/>
      </c>
      <c r="M167" s="1" t="str">
        <f>IF(Protokoll_5p!J133="","",IF(VALUE(LEFT(Protokoll_5p!J133,FIND(":",Protokoll_5p!J133)-1))&gt;VALUE(RIGHT(Protokoll_5p!J133,LEN(Protokoll_5p!J133)-FIND(":",Protokoll_5p!J133))),0,1))</f>
        <v/>
      </c>
      <c r="N167" s="1" t="str">
        <f t="shared" si="5"/>
        <v/>
      </c>
    </row>
    <row r="168" spans="2:14">
      <c r="B168" s="1" t="str">
        <f>IF(Protokoll_5p!F134="","",IF(VALUE(LEFT(Protokoll_5p!F134,FIND(":",Protokoll_5p!F134)-1))&gt;VALUE(RIGHT(Protokoll_5p!F134,LEN(Protokoll_5p!F134)-FIND(":",Protokoll_5p!F134))),1,0))</f>
        <v/>
      </c>
      <c r="C168" s="1" t="str">
        <f>IF(Protokoll_5p!G134="","",IF(VALUE(LEFT(Protokoll_5p!G134,FIND(":",Protokoll_5p!G134)-1))&gt;VALUE(RIGHT(Protokoll_5p!G134,LEN(Protokoll_5p!G134)-FIND(":",Protokoll_5p!G134))),1,0))</f>
        <v/>
      </c>
      <c r="D168" s="1" t="str">
        <f>IF(Protokoll_5p!H134="","",IF(VALUE(LEFT(Protokoll_5p!H134,FIND(":",Protokoll_5p!H134)-1))&gt;VALUE(RIGHT(Protokoll_5p!H134,LEN(Protokoll_5p!H134)-FIND(":",Protokoll_5p!H134))),1,0))</f>
        <v/>
      </c>
      <c r="E168" s="1" t="str">
        <f>IF(Protokoll_5p!I134="","",IF(VALUE(LEFT(Protokoll_5p!I134,FIND(":",Protokoll_5p!I134)-1))&gt;VALUE(RIGHT(Protokoll_5p!I134,LEN(Protokoll_5p!I134)-FIND(":",Protokoll_5p!I134))),1,0))</f>
        <v/>
      </c>
      <c r="F168" s="1" t="str">
        <f>IF(Protokoll_5p!J134="","",IF(VALUE(LEFT(Protokoll_5p!J134,FIND(":",Protokoll_5p!J134)-1))&gt;VALUE(RIGHT(Protokoll_5p!J134,LEN(Protokoll_5p!J134)-FIND(":",Protokoll_5p!J134))),1,0))</f>
        <v/>
      </c>
      <c r="G168" s="1" t="str">
        <f t="shared" si="4"/>
        <v/>
      </c>
      <c r="I168" s="1" t="str">
        <f>IF(Protokoll_5p!F134="","",IF(VALUE(LEFT(Protokoll_5p!F134,FIND(":",Protokoll_5p!F134)-1))&gt;VALUE(RIGHT(Protokoll_5p!F134,LEN(Protokoll_5p!F134)-FIND(":",Protokoll_5p!F134))),0,1))</f>
        <v/>
      </c>
      <c r="J168" s="1" t="str">
        <f>IF(Protokoll_5p!G134="","",IF(VALUE(LEFT(Protokoll_5p!G134,FIND(":",Protokoll_5p!G134)-1))&gt;VALUE(RIGHT(Protokoll_5p!G134,LEN(Protokoll_5p!G134)-FIND(":",Protokoll_5p!G134))),0,1))</f>
        <v/>
      </c>
      <c r="K168" s="1" t="str">
        <f>IF(Protokoll_5p!H134="","",IF(VALUE(LEFT(Protokoll_5p!H134,FIND(":",Protokoll_5p!H134)-1))&gt;VALUE(RIGHT(Protokoll_5p!H134,LEN(Protokoll_5p!H134)-FIND(":",Protokoll_5p!H134))),0,1))</f>
        <v/>
      </c>
      <c r="L168" s="1" t="str">
        <f>IF(Protokoll_5p!I134="","",IF(VALUE(LEFT(Protokoll_5p!I134,FIND(":",Protokoll_5p!I134)-1))&gt;VALUE(RIGHT(Protokoll_5p!I134,LEN(Protokoll_5p!I134)-FIND(":",Protokoll_5p!I134))),0,1))</f>
        <v/>
      </c>
      <c r="M168" s="1" t="str">
        <f>IF(Protokoll_5p!J134="","",IF(VALUE(LEFT(Protokoll_5p!J134,FIND(":",Protokoll_5p!J134)-1))&gt;VALUE(RIGHT(Protokoll_5p!J134,LEN(Protokoll_5p!J134)-FIND(":",Protokoll_5p!J134))),0,1))</f>
        <v/>
      </c>
      <c r="N168" s="1" t="str">
        <f t="shared" si="5"/>
        <v/>
      </c>
    </row>
    <row r="169" spans="2:14">
      <c r="B169" s="1" t="str">
        <f>IF(Protokoll_5p!F135="","",IF(VALUE(LEFT(Protokoll_5p!F135,FIND(":",Protokoll_5p!F135)-1))&gt;VALUE(RIGHT(Protokoll_5p!F135,LEN(Protokoll_5p!F135)-FIND(":",Protokoll_5p!F135))),1,0))</f>
        <v/>
      </c>
      <c r="C169" s="1" t="str">
        <f>IF(Protokoll_5p!G135="","",IF(VALUE(LEFT(Protokoll_5p!G135,FIND(":",Protokoll_5p!G135)-1))&gt;VALUE(RIGHT(Protokoll_5p!G135,LEN(Protokoll_5p!G135)-FIND(":",Protokoll_5p!G135))),1,0))</f>
        <v/>
      </c>
      <c r="D169" s="1" t="str">
        <f>IF(Protokoll_5p!H135="","",IF(VALUE(LEFT(Protokoll_5p!H135,FIND(":",Protokoll_5p!H135)-1))&gt;VALUE(RIGHT(Protokoll_5p!H135,LEN(Protokoll_5p!H135)-FIND(":",Protokoll_5p!H135))),1,0))</f>
        <v/>
      </c>
      <c r="E169" s="1" t="str">
        <f>IF(Protokoll_5p!I135="","",IF(VALUE(LEFT(Protokoll_5p!I135,FIND(":",Protokoll_5p!I135)-1))&gt;VALUE(RIGHT(Protokoll_5p!I135,LEN(Protokoll_5p!I135)-FIND(":",Protokoll_5p!I135))),1,0))</f>
        <v/>
      </c>
      <c r="F169" s="1" t="str">
        <f>IF(Protokoll_5p!J135="","",IF(VALUE(LEFT(Protokoll_5p!J135,FIND(":",Protokoll_5p!J135)-1))&gt;VALUE(RIGHT(Protokoll_5p!J135,LEN(Protokoll_5p!J135)-FIND(":",Protokoll_5p!J135))),1,0))</f>
        <v/>
      </c>
      <c r="G169" s="1" t="str">
        <f t="shared" si="4"/>
        <v/>
      </c>
      <c r="I169" s="1" t="str">
        <f>IF(Protokoll_5p!F135="","",IF(VALUE(LEFT(Protokoll_5p!F135,FIND(":",Protokoll_5p!F135)-1))&gt;VALUE(RIGHT(Protokoll_5p!F135,LEN(Protokoll_5p!F135)-FIND(":",Protokoll_5p!F135))),0,1))</f>
        <v/>
      </c>
      <c r="J169" s="1" t="str">
        <f>IF(Protokoll_5p!G135="","",IF(VALUE(LEFT(Protokoll_5p!G135,FIND(":",Protokoll_5p!G135)-1))&gt;VALUE(RIGHT(Protokoll_5p!G135,LEN(Protokoll_5p!G135)-FIND(":",Protokoll_5p!G135))),0,1))</f>
        <v/>
      </c>
      <c r="K169" s="1" t="str">
        <f>IF(Protokoll_5p!H135="","",IF(VALUE(LEFT(Protokoll_5p!H135,FIND(":",Protokoll_5p!H135)-1))&gt;VALUE(RIGHT(Protokoll_5p!H135,LEN(Protokoll_5p!H135)-FIND(":",Protokoll_5p!H135))),0,1))</f>
        <v/>
      </c>
      <c r="L169" s="1" t="str">
        <f>IF(Protokoll_5p!I135="","",IF(VALUE(LEFT(Protokoll_5p!I135,FIND(":",Protokoll_5p!I135)-1))&gt;VALUE(RIGHT(Protokoll_5p!I135,LEN(Protokoll_5p!I135)-FIND(":",Protokoll_5p!I135))),0,1))</f>
        <v/>
      </c>
      <c r="M169" s="1" t="str">
        <f>IF(Protokoll_5p!J135="","",IF(VALUE(LEFT(Protokoll_5p!J135,FIND(":",Protokoll_5p!J135)-1))&gt;VALUE(RIGHT(Protokoll_5p!J135,LEN(Protokoll_5p!J135)-FIND(":",Protokoll_5p!J135))),0,1))</f>
        <v/>
      </c>
      <c r="N169" s="1" t="str">
        <f t="shared" si="5"/>
        <v/>
      </c>
    </row>
    <row r="170" spans="2:14">
      <c r="B170" s="1" t="str">
        <f>IF(Protokoll_5p!F136="","",IF(VALUE(LEFT(Protokoll_5p!F136,FIND(":",Protokoll_5p!F136)-1))&gt;VALUE(RIGHT(Protokoll_5p!F136,LEN(Protokoll_5p!F136)-FIND(":",Protokoll_5p!F136))),1,0))</f>
        <v/>
      </c>
      <c r="C170" s="1" t="str">
        <f>IF(Protokoll_5p!G136="","",IF(VALUE(LEFT(Protokoll_5p!G136,FIND(":",Protokoll_5p!G136)-1))&gt;VALUE(RIGHT(Protokoll_5p!G136,LEN(Protokoll_5p!G136)-FIND(":",Protokoll_5p!G136))),1,0))</f>
        <v/>
      </c>
      <c r="D170" s="1" t="str">
        <f>IF(Protokoll_5p!H136="","",IF(VALUE(LEFT(Protokoll_5p!H136,FIND(":",Protokoll_5p!H136)-1))&gt;VALUE(RIGHT(Protokoll_5p!H136,LEN(Protokoll_5p!H136)-FIND(":",Protokoll_5p!H136))),1,0))</f>
        <v/>
      </c>
      <c r="E170" s="1" t="str">
        <f>IF(Protokoll_5p!I136="","",IF(VALUE(LEFT(Protokoll_5p!I136,FIND(":",Protokoll_5p!I136)-1))&gt;VALUE(RIGHT(Protokoll_5p!I136,LEN(Protokoll_5p!I136)-FIND(":",Protokoll_5p!I136))),1,0))</f>
        <v/>
      </c>
      <c r="F170" s="1" t="str">
        <f>IF(Protokoll_5p!J136="","",IF(VALUE(LEFT(Protokoll_5p!J136,FIND(":",Protokoll_5p!J136)-1))&gt;VALUE(RIGHT(Protokoll_5p!J136,LEN(Protokoll_5p!J136)-FIND(":",Protokoll_5p!J136))),1,0))</f>
        <v/>
      </c>
      <c r="G170" s="1" t="str">
        <f t="shared" si="4"/>
        <v/>
      </c>
      <c r="I170" s="1" t="str">
        <f>IF(Protokoll_5p!F136="","",IF(VALUE(LEFT(Protokoll_5p!F136,FIND(":",Protokoll_5p!F136)-1))&gt;VALUE(RIGHT(Protokoll_5p!F136,LEN(Protokoll_5p!F136)-FIND(":",Protokoll_5p!F136))),0,1))</f>
        <v/>
      </c>
      <c r="J170" s="1" t="str">
        <f>IF(Protokoll_5p!G136="","",IF(VALUE(LEFT(Protokoll_5p!G136,FIND(":",Protokoll_5p!G136)-1))&gt;VALUE(RIGHT(Protokoll_5p!G136,LEN(Protokoll_5p!G136)-FIND(":",Protokoll_5p!G136))),0,1))</f>
        <v/>
      </c>
      <c r="K170" s="1" t="str">
        <f>IF(Protokoll_5p!H136="","",IF(VALUE(LEFT(Protokoll_5p!H136,FIND(":",Protokoll_5p!H136)-1))&gt;VALUE(RIGHT(Protokoll_5p!H136,LEN(Protokoll_5p!H136)-FIND(":",Protokoll_5p!H136))),0,1))</f>
        <v/>
      </c>
      <c r="L170" s="1" t="str">
        <f>IF(Protokoll_5p!I136="","",IF(VALUE(LEFT(Protokoll_5p!I136,FIND(":",Protokoll_5p!I136)-1))&gt;VALUE(RIGHT(Protokoll_5p!I136,LEN(Protokoll_5p!I136)-FIND(":",Protokoll_5p!I136))),0,1))</f>
        <v/>
      </c>
      <c r="M170" s="1" t="str">
        <f>IF(Protokoll_5p!J136="","",IF(VALUE(LEFT(Protokoll_5p!J136,FIND(":",Protokoll_5p!J136)-1))&gt;VALUE(RIGHT(Protokoll_5p!J136,LEN(Protokoll_5p!J136)-FIND(":",Protokoll_5p!J136))),0,1))</f>
        <v/>
      </c>
      <c r="N170" s="1" t="str">
        <f t="shared" si="5"/>
        <v/>
      </c>
    </row>
    <row r="171" spans="2:14">
      <c r="B171" s="1" t="str">
        <f>IF(Protokoll_5p!F137="","",IF(VALUE(LEFT(Protokoll_5p!F137,FIND(":",Protokoll_5p!F137)-1))&gt;VALUE(RIGHT(Protokoll_5p!F137,LEN(Protokoll_5p!F137)-FIND(":",Protokoll_5p!F137))),1,0))</f>
        <v/>
      </c>
      <c r="C171" s="1" t="str">
        <f>IF(Protokoll_5p!G137="","",IF(VALUE(LEFT(Protokoll_5p!G137,FIND(":",Protokoll_5p!G137)-1))&gt;VALUE(RIGHT(Protokoll_5p!G137,LEN(Protokoll_5p!G137)-FIND(":",Protokoll_5p!G137))),1,0))</f>
        <v/>
      </c>
      <c r="D171" s="1" t="str">
        <f>IF(Protokoll_5p!H137="","",IF(VALUE(LEFT(Protokoll_5p!H137,FIND(":",Protokoll_5p!H137)-1))&gt;VALUE(RIGHT(Protokoll_5p!H137,LEN(Protokoll_5p!H137)-FIND(":",Protokoll_5p!H137))),1,0))</f>
        <v/>
      </c>
      <c r="E171" s="1" t="str">
        <f>IF(Protokoll_5p!I137="","",IF(VALUE(LEFT(Protokoll_5p!I137,FIND(":",Protokoll_5p!I137)-1))&gt;VALUE(RIGHT(Protokoll_5p!I137,LEN(Protokoll_5p!I137)-FIND(":",Protokoll_5p!I137))),1,0))</f>
        <v/>
      </c>
      <c r="F171" s="1" t="str">
        <f>IF(Protokoll_5p!J137="","",IF(VALUE(LEFT(Protokoll_5p!J137,FIND(":",Protokoll_5p!J137)-1))&gt;VALUE(RIGHT(Protokoll_5p!J137,LEN(Protokoll_5p!J137)-FIND(":",Protokoll_5p!J137))),1,0))</f>
        <v/>
      </c>
      <c r="G171" s="1" t="str">
        <f t="shared" si="4"/>
        <v/>
      </c>
      <c r="I171" s="1" t="str">
        <f>IF(Protokoll_5p!F137="","",IF(VALUE(LEFT(Protokoll_5p!F137,FIND(":",Protokoll_5p!F137)-1))&gt;VALUE(RIGHT(Protokoll_5p!F137,LEN(Protokoll_5p!F137)-FIND(":",Protokoll_5p!F137))),0,1))</f>
        <v/>
      </c>
      <c r="J171" s="1" t="str">
        <f>IF(Protokoll_5p!G137="","",IF(VALUE(LEFT(Protokoll_5p!G137,FIND(":",Protokoll_5p!G137)-1))&gt;VALUE(RIGHT(Protokoll_5p!G137,LEN(Protokoll_5p!G137)-FIND(":",Protokoll_5p!G137))),0,1))</f>
        <v/>
      </c>
      <c r="K171" s="1" t="str">
        <f>IF(Protokoll_5p!H137="","",IF(VALUE(LEFT(Protokoll_5p!H137,FIND(":",Protokoll_5p!H137)-1))&gt;VALUE(RIGHT(Protokoll_5p!H137,LEN(Protokoll_5p!H137)-FIND(":",Protokoll_5p!H137))),0,1))</f>
        <v/>
      </c>
      <c r="L171" s="1" t="str">
        <f>IF(Protokoll_5p!I137="","",IF(VALUE(LEFT(Protokoll_5p!I137,FIND(":",Protokoll_5p!I137)-1))&gt;VALUE(RIGHT(Protokoll_5p!I137,LEN(Protokoll_5p!I137)-FIND(":",Protokoll_5p!I137))),0,1))</f>
        <v/>
      </c>
      <c r="M171" s="1" t="str">
        <f>IF(Protokoll_5p!J137="","",IF(VALUE(LEFT(Protokoll_5p!J137,FIND(":",Protokoll_5p!J137)-1))&gt;VALUE(RIGHT(Protokoll_5p!J137,LEN(Protokoll_5p!J137)-FIND(":",Protokoll_5p!J137))),0,1))</f>
        <v/>
      </c>
      <c r="N171" s="1" t="str">
        <f t="shared" si="5"/>
        <v/>
      </c>
    </row>
    <row r="172" spans="2:14">
      <c r="B172" s="1" t="str">
        <f>IF(Protokoll_5p!F138="","",IF(VALUE(LEFT(Protokoll_5p!F138,FIND(":",Protokoll_5p!F138)-1))&gt;VALUE(RIGHT(Protokoll_5p!F138,LEN(Protokoll_5p!F138)-FIND(":",Protokoll_5p!F138))),1,0))</f>
        <v/>
      </c>
      <c r="C172" s="1" t="str">
        <f>IF(Protokoll_5p!G138="","",IF(VALUE(LEFT(Protokoll_5p!G138,FIND(":",Protokoll_5p!G138)-1))&gt;VALUE(RIGHT(Protokoll_5p!G138,LEN(Protokoll_5p!G138)-FIND(":",Protokoll_5p!G138))),1,0))</f>
        <v/>
      </c>
      <c r="D172" s="1" t="str">
        <f>IF(Protokoll_5p!H138="","",IF(VALUE(LEFT(Protokoll_5p!H138,FIND(":",Protokoll_5p!H138)-1))&gt;VALUE(RIGHT(Protokoll_5p!H138,LEN(Protokoll_5p!H138)-FIND(":",Protokoll_5p!H138))),1,0))</f>
        <v/>
      </c>
      <c r="E172" s="1" t="str">
        <f>IF(Protokoll_5p!I138="","",IF(VALUE(LEFT(Protokoll_5p!I138,FIND(":",Protokoll_5p!I138)-1))&gt;VALUE(RIGHT(Protokoll_5p!I138,LEN(Protokoll_5p!I138)-FIND(":",Protokoll_5p!I138))),1,0))</f>
        <v/>
      </c>
      <c r="F172" s="1" t="str">
        <f>IF(Protokoll_5p!J138="","",IF(VALUE(LEFT(Protokoll_5p!J138,FIND(":",Protokoll_5p!J138)-1))&gt;VALUE(RIGHT(Protokoll_5p!J138,LEN(Protokoll_5p!J138)-FIND(":",Protokoll_5p!J138))),1,0))</f>
        <v/>
      </c>
      <c r="G172" s="1" t="str">
        <f t="shared" si="4"/>
        <v/>
      </c>
      <c r="I172" s="1" t="str">
        <f>IF(Protokoll_5p!F138="","",IF(VALUE(LEFT(Protokoll_5p!F138,FIND(":",Protokoll_5p!F138)-1))&gt;VALUE(RIGHT(Protokoll_5p!F138,LEN(Protokoll_5p!F138)-FIND(":",Protokoll_5p!F138))),0,1))</f>
        <v/>
      </c>
      <c r="J172" s="1" t="str">
        <f>IF(Protokoll_5p!G138="","",IF(VALUE(LEFT(Protokoll_5p!G138,FIND(":",Protokoll_5p!G138)-1))&gt;VALUE(RIGHT(Protokoll_5p!G138,LEN(Protokoll_5p!G138)-FIND(":",Protokoll_5p!G138))),0,1))</f>
        <v/>
      </c>
      <c r="K172" s="1" t="str">
        <f>IF(Protokoll_5p!H138="","",IF(VALUE(LEFT(Protokoll_5p!H138,FIND(":",Protokoll_5p!H138)-1))&gt;VALUE(RIGHT(Protokoll_5p!H138,LEN(Protokoll_5p!H138)-FIND(":",Protokoll_5p!H138))),0,1))</f>
        <v/>
      </c>
      <c r="L172" s="1" t="str">
        <f>IF(Protokoll_5p!I138="","",IF(VALUE(LEFT(Protokoll_5p!I138,FIND(":",Protokoll_5p!I138)-1))&gt;VALUE(RIGHT(Protokoll_5p!I138,LEN(Protokoll_5p!I138)-FIND(":",Protokoll_5p!I138))),0,1))</f>
        <v/>
      </c>
      <c r="M172" s="1" t="str">
        <f>IF(Protokoll_5p!J138="","",IF(VALUE(LEFT(Protokoll_5p!J138,FIND(":",Protokoll_5p!J138)-1))&gt;VALUE(RIGHT(Protokoll_5p!J138,LEN(Protokoll_5p!J138)-FIND(":",Protokoll_5p!J138))),0,1))</f>
        <v/>
      </c>
      <c r="N172" s="1" t="str">
        <f t="shared" si="5"/>
        <v/>
      </c>
    </row>
    <row r="173" spans="2:14">
      <c r="B173" s="1" t="str">
        <f>IF(Protokoll_5p!F139="","",IF(VALUE(LEFT(Protokoll_5p!F139,FIND(":",Protokoll_5p!F139)-1))&gt;VALUE(RIGHT(Protokoll_5p!F139,LEN(Protokoll_5p!F139)-FIND(":",Protokoll_5p!F139))),1,0))</f>
        <v/>
      </c>
      <c r="C173" s="1" t="str">
        <f>IF(Protokoll_5p!G139="","",IF(VALUE(LEFT(Protokoll_5p!G139,FIND(":",Protokoll_5p!G139)-1))&gt;VALUE(RIGHT(Protokoll_5p!G139,LEN(Protokoll_5p!G139)-FIND(":",Protokoll_5p!G139))),1,0))</f>
        <v/>
      </c>
      <c r="D173" s="1" t="str">
        <f>IF(Protokoll_5p!H139="","",IF(VALUE(LEFT(Protokoll_5p!H139,FIND(":",Protokoll_5p!H139)-1))&gt;VALUE(RIGHT(Protokoll_5p!H139,LEN(Protokoll_5p!H139)-FIND(":",Protokoll_5p!H139))),1,0))</f>
        <v/>
      </c>
      <c r="E173" s="1" t="str">
        <f>IF(Protokoll_5p!I139="","",IF(VALUE(LEFT(Protokoll_5p!I139,FIND(":",Protokoll_5p!I139)-1))&gt;VALUE(RIGHT(Protokoll_5p!I139,LEN(Protokoll_5p!I139)-FIND(":",Protokoll_5p!I139))),1,0))</f>
        <v/>
      </c>
      <c r="F173" s="1" t="str">
        <f>IF(Protokoll_5p!J139="","",IF(VALUE(LEFT(Protokoll_5p!J139,FIND(":",Protokoll_5p!J139)-1))&gt;VALUE(RIGHT(Protokoll_5p!J139,LEN(Protokoll_5p!J139)-FIND(":",Protokoll_5p!J139))),1,0))</f>
        <v/>
      </c>
      <c r="G173" s="1" t="str">
        <f t="shared" si="4"/>
        <v/>
      </c>
      <c r="I173" s="1" t="str">
        <f>IF(Protokoll_5p!F139="","",IF(VALUE(LEFT(Protokoll_5p!F139,FIND(":",Protokoll_5p!F139)-1))&gt;VALUE(RIGHT(Protokoll_5p!F139,LEN(Protokoll_5p!F139)-FIND(":",Protokoll_5p!F139))),0,1))</f>
        <v/>
      </c>
      <c r="J173" s="1" t="str">
        <f>IF(Protokoll_5p!G139="","",IF(VALUE(LEFT(Protokoll_5p!G139,FIND(":",Protokoll_5p!G139)-1))&gt;VALUE(RIGHT(Protokoll_5p!G139,LEN(Protokoll_5p!G139)-FIND(":",Protokoll_5p!G139))),0,1))</f>
        <v/>
      </c>
      <c r="K173" s="1" t="str">
        <f>IF(Protokoll_5p!H139="","",IF(VALUE(LEFT(Protokoll_5p!H139,FIND(":",Protokoll_5p!H139)-1))&gt;VALUE(RIGHT(Protokoll_5p!H139,LEN(Protokoll_5p!H139)-FIND(":",Protokoll_5p!H139))),0,1))</f>
        <v/>
      </c>
      <c r="L173" s="1" t="str">
        <f>IF(Protokoll_5p!I139="","",IF(VALUE(LEFT(Protokoll_5p!I139,FIND(":",Protokoll_5p!I139)-1))&gt;VALUE(RIGHT(Protokoll_5p!I139,LEN(Protokoll_5p!I139)-FIND(":",Protokoll_5p!I139))),0,1))</f>
        <v/>
      </c>
      <c r="M173" s="1" t="str">
        <f>IF(Protokoll_5p!J139="","",IF(VALUE(LEFT(Protokoll_5p!J139,FIND(":",Protokoll_5p!J139)-1))&gt;VALUE(RIGHT(Protokoll_5p!J139,LEN(Protokoll_5p!J139)-FIND(":",Protokoll_5p!J139))),0,1))</f>
        <v/>
      </c>
      <c r="N173" s="1" t="str">
        <f t="shared" si="5"/>
        <v/>
      </c>
    </row>
    <row r="174" spans="2:14">
      <c r="B174" s="1" t="str">
        <f>IF(Protokoll_5p!F140="","",IF(VALUE(LEFT(Protokoll_5p!F140,FIND(":",Protokoll_5p!F140)-1))&gt;VALUE(RIGHT(Protokoll_5p!F140,LEN(Protokoll_5p!F140)-FIND(":",Protokoll_5p!F140))),1,0))</f>
        <v/>
      </c>
      <c r="C174" s="1" t="str">
        <f>IF(Protokoll_5p!G140="","",IF(VALUE(LEFT(Protokoll_5p!G140,FIND(":",Protokoll_5p!G140)-1))&gt;VALUE(RIGHT(Protokoll_5p!G140,LEN(Protokoll_5p!G140)-FIND(":",Protokoll_5p!G140))),1,0))</f>
        <v/>
      </c>
      <c r="D174" s="1" t="str">
        <f>IF(Protokoll_5p!H140="","",IF(VALUE(LEFT(Protokoll_5p!H140,FIND(":",Protokoll_5p!H140)-1))&gt;VALUE(RIGHT(Protokoll_5p!H140,LEN(Protokoll_5p!H140)-FIND(":",Protokoll_5p!H140))),1,0))</f>
        <v/>
      </c>
      <c r="E174" s="1" t="str">
        <f>IF(Protokoll_5p!I140="","",IF(VALUE(LEFT(Protokoll_5p!I140,FIND(":",Protokoll_5p!I140)-1))&gt;VALUE(RIGHT(Protokoll_5p!I140,LEN(Protokoll_5p!I140)-FIND(":",Protokoll_5p!I140))),1,0))</f>
        <v/>
      </c>
      <c r="F174" s="1" t="str">
        <f>IF(Protokoll_5p!J140="","",IF(VALUE(LEFT(Protokoll_5p!J140,FIND(":",Protokoll_5p!J140)-1))&gt;VALUE(RIGHT(Protokoll_5p!J140,LEN(Protokoll_5p!J140)-FIND(":",Protokoll_5p!J140))),1,0))</f>
        <v/>
      </c>
      <c r="G174" s="1" t="str">
        <f t="shared" si="4"/>
        <v/>
      </c>
      <c r="I174" s="1" t="str">
        <f>IF(Protokoll_5p!F140="","",IF(VALUE(LEFT(Protokoll_5p!F140,FIND(":",Protokoll_5p!F140)-1))&gt;VALUE(RIGHT(Protokoll_5p!F140,LEN(Protokoll_5p!F140)-FIND(":",Protokoll_5p!F140))),0,1))</f>
        <v/>
      </c>
      <c r="J174" s="1" t="str">
        <f>IF(Protokoll_5p!G140="","",IF(VALUE(LEFT(Protokoll_5p!G140,FIND(":",Protokoll_5p!G140)-1))&gt;VALUE(RIGHT(Protokoll_5p!G140,LEN(Protokoll_5p!G140)-FIND(":",Protokoll_5p!G140))),0,1))</f>
        <v/>
      </c>
      <c r="K174" s="1" t="str">
        <f>IF(Protokoll_5p!H140="","",IF(VALUE(LEFT(Protokoll_5p!H140,FIND(":",Protokoll_5p!H140)-1))&gt;VALUE(RIGHT(Protokoll_5p!H140,LEN(Protokoll_5p!H140)-FIND(":",Protokoll_5p!H140))),0,1))</f>
        <v/>
      </c>
      <c r="L174" s="1" t="str">
        <f>IF(Protokoll_5p!I140="","",IF(VALUE(LEFT(Protokoll_5p!I140,FIND(":",Protokoll_5p!I140)-1))&gt;VALUE(RIGHT(Protokoll_5p!I140,LEN(Protokoll_5p!I140)-FIND(":",Protokoll_5p!I140))),0,1))</f>
        <v/>
      </c>
      <c r="M174" s="1" t="str">
        <f>IF(Protokoll_5p!J140="","",IF(VALUE(LEFT(Protokoll_5p!J140,FIND(":",Protokoll_5p!J140)-1))&gt;VALUE(RIGHT(Protokoll_5p!J140,LEN(Protokoll_5p!J140)-FIND(":",Protokoll_5p!J140))),0,1))</f>
        <v/>
      </c>
      <c r="N174" s="1" t="str">
        <f t="shared" si="5"/>
        <v/>
      </c>
    </row>
    <row r="175" spans="2:14">
      <c r="B175" s="1" t="str">
        <f>IF(Protokoll_5p!F141="","",IF(VALUE(LEFT(Protokoll_5p!F141,FIND(":",Protokoll_5p!F141)-1))&gt;VALUE(RIGHT(Protokoll_5p!F141,LEN(Protokoll_5p!F141)-FIND(":",Protokoll_5p!F141))),1,0))</f>
        <v/>
      </c>
      <c r="C175" s="1" t="str">
        <f>IF(Protokoll_5p!G141="","",IF(VALUE(LEFT(Protokoll_5p!G141,FIND(":",Protokoll_5p!G141)-1))&gt;VALUE(RIGHT(Protokoll_5p!G141,LEN(Protokoll_5p!G141)-FIND(":",Protokoll_5p!G141))),1,0))</f>
        <v/>
      </c>
      <c r="D175" s="1" t="str">
        <f>IF(Protokoll_5p!H141="","",IF(VALUE(LEFT(Protokoll_5p!H141,FIND(":",Protokoll_5p!H141)-1))&gt;VALUE(RIGHT(Protokoll_5p!H141,LEN(Protokoll_5p!H141)-FIND(":",Protokoll_5p!H141))),1,0))</f>
        <v/>
      </c>
      <c r="E175" s="1" t="str">
        <f>IF(Protokoll_5p!I141="","",IF(VALUE(LEFT(Protokoll_5p!I141,FIND(":",Protokoll_5p!I141)-1))&gt;VALUE(RIGHT(Protokoll_5p!I141,LEN(Protokoll_5p!I141)-FIND(":",Protokoll_5p!I141))),1,0))</f>
        <v/>
      </c>
      <c r="F175" s="1" t="str">
        <f>IF(Protokoll_5p!J141="","",IF(VALUE(LEFT(Protokoll_5p!J141,FIND(":",Protokoll_5p!J141)-1))&gt;VALUE(RIGHT(Protokoll_5p!J141,LEN(Protokoll_5p!J141)-FIND(":",Protokoll_5p!J141))),1,0))</f>
        <v/>
      </c>
      <c r="G175" s="1" t="str">
        <f t="shared" si="4"/>
        <v/>
      </c>
      <c r="I175" s="1" t="str">
        <f>IF(Protokoll_5p!F141="","",IF(VALUE(LEFT(Protokoll_5p!F141,FIND(":",Protokoll_5p!F141)-1))&gt;VALUE(RIGHT(Protokoll_5p!F141,LEN(Protokoll_5p!F141)-FIND(":",Protokoll_5p!F141))),0,1))</f>
        <v/>
      </c>
      <c r="J175" s="1" t="str">
        <f>IF(Protokoll_5p!G141="","",IF(VALUE(LEFT(Protokoll_5p!G141,FIND(":",Protokoll_5p!G141)-1))&gt;VALUE(RIGHT(Protokoll_5p!G141,LEN(Protokoll_5p!G141)-FIND(":",Protokoll_5p!G141))),0,1))</f>
        <v/>
      </c>
      <c r="K175" s="1" t="str">
        <f>IF(Protokoll_5p!H141="","",IF(VALUE(LEFT(Protokoll_5p!H141,FIND(":",Protokoll_5p!H141)-1))&gt;VALUE(RIGHT(Protokoll_5p!H141,LEN(Protokoll_5p!H141)-FIND(":",Protokoll_5p!H141))),0,1))</f>
        <v/>
      </c>
      <c r="L175" s="1" t="str">
        <f>IF(Protokoll_5p!I141="","",IF(VALUE(LEFT(Protokoll_5p!I141,FIND(":",Protokoll_5p!I141)-1))&gt;VALUE(RIGHT(Protokoll_5p!I141,LEN(Protokoll_5p!I141)-FIND(":",Protokoll_5p!I141))),0,1))</f>
        <v/>
      </c>
      <c r="M175" s="1" t="str">
        <f>IF(Protokoll_5p!J141="","",IF(VALUE(LEFT(Protokoll_5p!J141,FIND(":",Protokoll_5p!J141)-1))&gt;VALUE(RIGHT(Protokoll_5p!J141,LEN(Protokoll_5p!J141)-FIND(":",Protokoll_5p!J141))),0,1))</f>
        <v/>
      </c>
      <c r="N175" s="1" t="str">
        <f t="shared" si="5"/>
        <v/>
      </c>
    </row>
    <row r="176" spans="2:14">
      <c r="B176" s="1" t="str">
        <f>IF(Protokoll_5p!F142="","",IF(VALUE(LEFT(Protokoll_5p!F142,FIND(":",Protokoll_5p!F142)-1))&gt;VALUE(RIGHT(Protokoll_5p!F142,LEN(Protokoll_5p!F142)-FIND(":",Protokoll_5p!F142))),1,0))</f>
        <v/>
      </c>
      <c r="C176" s="1" t="str">
        <f>IF(Protokoll_5p!G142="","",IF(VALUE(LEFT(Protokoll_5p!G142,FIND(":",Protokoll_5p!G142)-1))&gt;VALUE(RIGHT(Protokoll_5p!G142,LEN(Protokoll_5p!G142)-FIND(":",Protokoll_5p!G142))),1,0))</f>
        <v/>
      </c>
      <c r="D176" s="1" t="str">
        <f>IF(Protokoll_5p!H142="","",IF(VALUE(LEFT(Protokoll_5p!H142,FIND(":",Protokoll_5p!H142)-1))&gt;VALUE(RIGHT(Protokoll_5p!H142,LEN(Protokoll_5p!H142)-FIND(":",Protokoll_5p!H142))),1,0))</f>
        <v/>
      </c>
      <c r="E176" s="1" t="str">
        <f>IF(Protokoll_5p!I142="","",IF(VALUE(LEFT(Protokoll_5p!I142,FIND(":",Protokoll_5p!I142)-1))&gt;VALUE(RIGHT(Protokoll_5p!I142,LEN(Protokoll_5p!I142)-FIND(":",Protokoll_5p!I142))),1,0))</f>
        <v/>
      </c>
      <c r="F176" s="1" t="str">
        <f>IF(Protokoll_5p!J142="","",IF(VALUE(LEFT(Protokoll_5p!J142,FIND(":",Protokoll_5p!J142)-1))&gt;VALUE(RIGHT(Protokoll_5p!J142,LEN(Protokoll_5p!J142)-FIND(":",Protokoll_5p!J142))),1,0))</f>
        <v/>
      </c>
      <c r="G176" s="1" t="str">
        <f t="shared" si="4"/>
        <v/>
      </c>
      <c r="I176" s="1" t="str">
        <f>IF(Protokoll_5p!F142="","",IF(VALUE(LEFT(Protokoll_5p!F142,FIND(":",Protokoll_5p!F142)-1))&gt;VALUE(RIGHT(Protokoll_5p!F142,LEN(Protokoll_5p!F142)-FIND(":",Protokoll_5p!F142))),0,1))</f>
        <v/>
      </c>
      <c r="J176" s="1" t="str">
        <f>IF(Protokoll_5p!G142="","",IF(VALUE(LEFT(Protokoll_5p!G142,FIND(":",Protokoll_5p!G142)-1))&gt;VALUE(RIGHT(Protokoll_5p!G142,LEN(Protokoll_5p!G142)-FIND(":",Protokoll_5p!G142))),0,1))</f>
        <v/>
      </c>
      <c r="K176" s="1" t="str">
        <f>IF(Protokoll_5p!H142="","",IF(VALUE(LEFT(Protokoll_5p!H142,FIND(":",Protokoll_5p!H142)-1))&gt;VALUE(RIGHT(Protokoll_5p!H142,LEN(Protokoll_5p!H142)-FIND(":",Protokoll_5p!H142))),0,1))</f>
        <v/>
      </c>
      <c r="L176" s="1" t="str">
        <f>IF(Protokoll_5p!I142="","",IF(VALUE(LEFT(Protokoll_5p!I142,FIND(":",Protokoll_5p!I142)-1))&gt;VALUE(RIGHT(Protokoll_5p!I142,LEN(Protokoll_5p!I142)-FIND(":",Protokoll_5p!I142))),0,1))</f>
        <v/>
      </c>
      <c r="M176" s="1" t="str">
        <f>IF(Protokoll_5p!J142="","",IF(VALUE(LEFT(Protokoll_5p!J142,FIND(":",Protokoll_5p!J142)-1))&gt;VALUE(RIGHT(Protokoll_5p!J142,LEN(Protokoll_5p!J142)-FIND(":",Protokoll_5p!J142))),0,1))</f>
        <v/>
      </c>
      <c r="N176" s="1" t="str">
        <f t="shared" si="5"/>
        <v/>
      </c>
    </row>
    <row r="177" spans="2:14">
      <c r="B177" s="1" t="str">
        <f>IF(Protokoll_5p!F143="","",IF(VALUE(LEFT(Protokoll_5p!F143,FIND(":",Protokoll_5p!F143)-1))&gt;VALUE(RIGHT(Protokoll_5p!F143,LEN(Protokoll_5p!F143)-FIND(":",Protokoll_5p!F143))),1,0))</f>
        <v/>
      </c>
      <c r="C177" s="1" t="str">
        <f>IF(Protokoll_5p!G143="","",IF(VALUE(LEFT(Protokoll_5p!G143,FIND(":",Protokoll_5p!G143)-1))&gt;VALUE(RIGHT(Protokoll_5p!G143,LEN(Protokoll_5p!G143)-FIND(":",Protokoll_5p!G143))),1,0))</f>
        <v/>
      </c>
      <c r="D177" s="1" t="str">
        <f>IF(Protokoll_5p!H143="","",IF(VALUE(LEFT(Protokoll_5p!H143,FIND(":",Protokoll_5p!H143)-1))&gt;VALUE(RIGHT(Protokoll_5p!H143,LEN(Protokoll_5p!H143)-FIND(":",Protokoll_5p!H143))),1,0))</f>
        <v/>
      </c>
      <c r="E177" s="1" t="str">
        <f>IF(Protokoll_5p!I143="","",IF(VALUE(LEFT(Protokoll_5p!I143,FIND(":",Protokoll_5p!I143)-1))&gt;VALUE(RIGHT(Protokoll_5p!I143,LEN(Protokoll_5p!I143)-FIND(":",Protokoll_5p!I143))),1,0))</f>
        <v/>
      </c>
      <c r="F177" s="1" t="str">
        <f>IF(Protokoll_5p!J143="","",IF(VALUE(LEFT(Protokoll_5p!J143,FIND(":",Protokoll_5p!J143)-1))&gt;VALUE(RIGHT(Protokoll_5p!J143,LEN(Protokoll_5p!J143)-FIND(":",Protokoll_5p!J143))),1,0))</f>
        <v/>
      </c>
      <c r="G177" s="1" t="str">
        <f t="shared" si="4"/>
        <v/>
      </c>
      <c r="I177" s="1" t="str">
        <f>IF(Protokoll_5p!F143="","",IF(VALUE(LEFT(Protokoll_5p!F143,FIND(":",Protokoll_5p!F143)-1))&gt;VALUE(RIGHT(Protokoll_5p!F143,LEN(Protokoll_5p!F143)-FIND(":",Protokoll_5p!F143))),0,1))</f>
        <v/>
      </c>
      <c r="J177" s="1" t="str">
        <f>IF(Protokoll_5p!G143="","",IF(VALUE(LEFT(Protokoll_5p!G143,FIND(":",Protokoll_5p!G143)-1))&gt;VALUE(RIGHT(Protokoll_5p!G143,LEN(Protokoll_5p!G143)-FIND(":",Protokoll_5p!G143))),0,1))</f>
        <v/>
      </c>
      <c r="K177" s="1" t="str">
        <f>IF(Protokoll_5p!H143="","",IF(VALUE(LEFT(Protokoll_5p!H143,FIND(":",Protokoll_5p!H143)-1))&gt;VALUE(RIGHT(Protokoll_5p!H143,LEN(Protokoll_5p!H143)-FIND(":",Protokoll_5p!H143))),0,1))</f>
        <v/>
      </c>
      <c r="L177" s="1" t="str">
        <f>IF(Protokoll_5p!I143="","",IF(VALUE(LEFT(Protokoll_5p!I143,FIND(":",Protokoll_5p!I143)-1))&gt;VALUE(RIGHT(Protokoll_5p!I143,LEN(Protokoll_5p!I143)-FIND(":",Protokoll_5p!I143))),0,1))</f>
        <v/>
      </c>
      <c r="M177" s="1" t="str">
        <f>IF(Protokoll_5p!J143="","",IF(VALUE(LEFT(Protokoll_5p!J143,FIND(":",Protokoll_5p!J143)-1))&gt;VALUE(RIGHT(Protokoll_5p!J143,LEN(Protokoll_5p!J143)-FIND(":",Protokoll_5p!J143))),0,1))</f>
        <v/>
      </c>
      <c r="N177" s="1" t="str">
        <f t="shared" si="5"/>
        <v/>
      </c>
    </row>
    <row r="178" spans="2:14">
      <c r="B178" s="1" t="str">
        <f>IF(Protokoll_5p!F144="","",IF(VALUE(LEFT(Protokoll_5p!F144,FIND(":",Protokoll_5p!F144)-1))&gt;VALUE(RIGHT(Protokoll_5p!F144,LEN(Protokoll_5p!F144)-FIND(":",Protokoll_5p!F144))),1,0))</f>
        <v/>
      </c>
      <c r="C178" s="1" t="str">
        <f>IF(Protokoll_5p!G144="","",IF(VALUE(LEFT(Protokoll_5p!G144,FIND(":",Protokoll_5p!G144)-1))&gt;VALUE(RIGHT(Protokoll_5p!G144,LEN(Protokoll_5p!G144)-FIND(":",Protokoll_5p!G144))),1,0))</f>
        <v/>
      </c>
      <c r="D178" s="1" t="str">
        <f>IF(Protokoll_5p!H144="","",IF(VALUE(LEFT(Protokoll_5p!H144,FIND(":",Protokoll_5p!H144)-1))&gt;VALUE(RIGHT(Protokoll_5p!H144,LEN(Protokoll_5p!H144)-FIND(":",Protokoll_5p!H144))),1,0))</f>
        <v/>
      </c>
      <c r="E178" s="1" t="str">
        <f>IF(Protokoll_5p!I144="","",IF(VALUE(LEFT(Protokoll_5p!I144,FIND(":",Protokoll_5p!I144)-1))&gt;VALUE(RIGHT(Protokoll_5p!I144,LEN(Protokoll_5p!I144)-FIND(":",Protokoll_5p!I144))),1,0))</f>
        <v/>
      </c>
      <c r="F178" s="1" t="str">
        <f>IF(Protokoll_5p!J144="","",IF(VALUE(LEFT(Protokoll_5p!J144,FIND(":",Protokoll_5p!J144)-1))&gt;VALUE(RIGHT(Protokoll_5p!J144,LEN(Protokoll_5p!J144)-FIND(":",Protokoll_5p!J144))),1,0))</f>
        <v/>
      </c>
      <c r="G178" s="1" t="str">
        <f t="shared" si="4"/>
        <v/>
      </c>
      <c r="I178" s="1" t="str">
        <f>IF(Protokoll_5p!F144="","",IF(VALUE(LEFT(Protokoll_5p!F144,FIND(":",Protokoll_5p!F144)-1))&gt;VALUE(RIGHT(Protokoll_5p!F144,LEN(Protokoll_5p!F144)-FIND(":",Protokoll_5p!F144))),0,1))</f>
        <v/>
      </c>
      <c r="J178" s="1" t="str">
        <f>IF(Protokoll_5p!G144="","",IF(VALUE(LEFT(Protokoll_5p!G144,FIND(":",Protokoll_5p!G144)-1))&gt;VALUE(RIGHT(Protokoll_5p!G144,LEN(Protokoll_5p!G144)-FIND(":",Protokoll_5p!G144))),0,1))</f>
        <v/>
      </c>
      <c r="K178" s="1" t="str">
        <f>IF(Protokoll_5p!H144="","",IF(VALUE(LEFT(Protokoll_5p!H144,FIND(":",Protokoll_5p!H144)-1))&gt;VALUE(RIGHT(Protokoll_5p!H144,LEN(Protokoll_5p!H144)-FIND(":",Protokoll_5p!H144))),0,1))</f>
        <v/>
      </c>
      <c r="L178" s="1" t="str">
        <f>IF(Protokoll_5p!I144="","",IF(VALUE(LEFT(Protokoll_5p!I144,FIND(":",Protokoll_5p!I144)-1))&gt;VALUE(RIGHT(Protokoll_5p!I144,LEN(Protokoll_5p!I144)-FIND(":",Protokoll_5p!I144))),0,1))</f>
        <v/>
      </c>
      <c r="M178" s="1" t="str">
        <f>IF(Protokoll_5p!J144="","",IF(VALUE(LEFT(Protokoll_5p!J144,FIND(":",Protokoll_5p!J144)-1))&gt;VALUE(RIGHT(Protokoll_5p!J144,LEN(Protokoll_5p!J144)-FIND(":",Protokoll_5p!J144))),0,1))</f>
        <v/>
      </c>
      <c r="N178" s="1" t="str">
        <f t="shared" si="5"/>
        <v/>
      </c>
    </row>
    <row r="179" spans="2:14">
      <c r="B179" s="1" t="str">
        <f>IF(Protokoll_5p!F145="","",IF(VALUE(LEFT(Protokoll_5p!F145,FIND(":",Protokoll_5p!F145)-1))&gt;VALUE(RIGHT(Protokoll_5p!F145,LEN(Protokoll_5p!F145)-FIND(":",Protokoll_5p!F145))),1,0))</f>
        <v/>
      </c>
      <c r="C179" s="1" t="str">
        <f>IF(Protokoll_5p!G145="","",IF(VALUE(LEFT(Protokoll_5p!G145,FIND(":",Protokoll_5p!G145)-1))&gt;VALUE(RIGHT(Protokoll_5p!G145,LEN(Protokoll_5p!G145)-FIND(":",Protokoll_5p!G145))),1,0))</f>
        <v/>
      </c>
      <c r="D179" s="1" t="str">
        <f>IF(Protokoll_5p!H145="","",IF(VALUE(LEFT(Protokoll_5p!H145,FIND(":",Protokoll_5p!H145)-1))&gt;VALUE(RIGHT(Protokoll_5p!H145,LEN(Protokoll_5p!H145)-FIND(":",Protokoll_5p!H145))),1,0))</f>
        <v/>
      </c>
      <c r="E179" s="1" t="str">
        <f>IF(Protokoll_5p!I145="","",IF(VALUE(LEFT(Protokoll_5p!I145,FIND(":",Protokoll_5p!I145)-1))&gt;VALUE(RIGHT(Protokoll_5p!I145,LEN(Protokoll_5p!I145)-FIND(":",Protokoll_5p!I145))),1,0))</f>
        <v/>
      </c>
      <c r="F179" s="1" t="str">
        <f>IF(Protokoll_5p!J145="","",IF(VALUE(LEFT(Protokoll_5p!J145,FIND(":",Protokoll_5p!J145)-1))&gt;VALUE(RIGHT(Protokoll_5p!J145,LEN(Protokoll_5p!J145)-FIND(":",Protokoll_5p!J145))),1,0))</f>
        <v/>
      </c>
      <c r="G179" s="1" t="str">
        <f t="shared" si="4"/>
        <v/>
      </c>
      <c r="I179" s="1" t="str">
        <f>IF(Protokoll_5p!F145="","",IF(VALUE(LEFT(Protokoll_5p!F145,FIND(":",Protokoll_5p!F145)-1))&gt;VALUE(RIGHT(Protokoll_5p!F145,LEN(Protokoll_5p!F145)-FIND(":",Protokoll_5p!F145))),0,1))</f>
        <v/>
      </c>
      <c r="J179" s="1" t="str">
        <f>IF(Protokoll_5p!G145="","",IF(VALUE(LEFT(Protokoll_5p!G145,FIND(":",Protokoll_5p!G145)-1))&gt;VALUE(RIGHT(Protokoll_5p!G145,LEN(Protokoll_5p!G145)-FIND(":",Protokoll_5p!G145))),0,1))</f>
        <v/>
      </c>
      <c r="K179" s="1" t="str">
        <f>IF(Protokoll_5p!H145="","",IF(VALUE(LEFT(Protokoll_5p!H145,FIND(":",Protokoll_5p!H145)-1))&gt;VALUE(RIGHT(Protokoll_5p!H145,LEN(Protokoll_5p!H145)-FIND(":",Protokoll_5p!H145))),0,1))</f>
        <v/>
      </c>
      <c r="L179" s="1" t="str">
        <f>IF(Protokoll_5p!I145="","",IF(VALUE(LEFT(Protokoll_5p!I145,FIND(":",Protokoll_5p!I145)-1))&gt;VALUE(RIGHT(Protokoll_5p!I145,LEN(Protokoll_5p!I145)-FIND(":",Protokoll_5p!I145))),0,1))</f>
        <v/>
      </c>
      <c r="M179" s="1" t="str">
        <f>IF(Protokoll_5p!J145="","",IF(VALUE(LEFT(Protokoll_5p!J145,FIND(":",Protokoll_5p!J145)-1))&gt;VALUE(RIGHT(Protokoll_5p!J145,LEN(Protokoll_5p!J145)-FIND(":",Protokoll_5p!J145))),0,1))</f>
        <v/>
      </c>
      <c r="N179" s="1" t="str">
        <f t="shared" si="5"/>
        <v/>
      </c>
    </row>
    <row r="180" spans="2:14">
      <c r="B180" s="1" t="str">
        <f>IF(Protokoll_5p!F146="","",IF(VALUE(LEFT(Protokoll_5p!F146,FIND(":",Protokoll_5p!F146)-1))&gt;VALUE(RIGHT(Protokoll_5p!F146,LEN(Protokoll_5p!F146)-FIND(":",Protokoll_5p!F146))),1,0))</f>
        <v/>
      </c>
      <c r="C180" s="1" t="str">
        <f>IF(Protokoll_5p!G146="","",IF(VALUE(LEFT(Protokoll_5p!G146,FIND(":",Protokoll_5p!G146)-1))&gt;VALUE(RIGHT(Protokoll_5p!G146,LEN(Protokoll_5p!G146)-FIND(":",Protokoll_5p!G146))),1,0))</f>
        <v/>
      </c>
      <c r="D180" s="1" t="str">
        <f>IF(Protokoll_5p!H146="","",IF(VALUE(LEFT(Protokoll_5p!H146,FIND(":",Protokoll_5p!H146)-1))&gt;VALUE(RIGHT(Protokoll_5p!H146,LEN(Protokoll_5p!H146)-FIND(":",Protokoll_5p!H146))),1,0))</f>
        <v/>
      </c>
      <c r="E180" s="1" t="str">
        <f>IF(Protokoll_5p!I146="","",IF(VALUE(LEFT(Protokoll_5p!I146,FIND(":",Protokoll_5p!I146)-1))&gt;VALUE(RIGHT(Protokoll_5p!I146,LEN(Protokoll_5p!I146)-FIND(":",Protokoll_5p!I146))),1,0))</f>
        <v/>
      </c>
      <c r="F180" s="1" t="str">
        <f>IF(Protokoll_5p!J146="","",IF(VALUE(LEFT(Protokoll_5p!J146,FIND(":",Protokoll_5p!J146)-1))&gt;VALUE(RIGHT(Protokoll_5p!J146,LEN(Protokoll_5p!J146)-FIND(":",Protokoll_5p!J146))),1,0))</f>
        <v/>
      </c>
      <c r="G180" s="1" t="str">
        <f t="shared" si="4"/>
        <v/>
      </c>
      <c r="I180" s="1" t="str">
        <f>IF(Protokoll_5p!F146="","",IF(VALUE(LEFT(Protokoll_5p!F146,FIND(":",Protokoll_5p!F146)-1))&gt;VALUE(RIGHT(Protokoll_5p!F146,LEN(Protokoll_5p!F146)-FIND(":",Protokoll_5p!F146))),0,1))</f>
        <v/>
      </c>
      <c r="J180" s="1" t="str">
        <f>IF(Protokoll_5p!G146="","",IF(VALUE(LEFT(Protokoll_5p!G146,FIND(":",Protokoll_5p!G146)-1))&gt;VALUE(RIGHT(Protokoll_5p!G146,LEN(Protokoll_5p!G146)-FIND(":",Protokoll_5p!G146))),0,1))</f>
        <v/>
      </c>
      <c r="K180" s="1" t="str">
        <f>IF(Protokoll_5p!H146="","",IF(VALUE(LEFT(Protokoll_5p!H146,FIND(":",Protokoll_5p!H146)-1))&gt;VALUE(RIGHT(Protokoll_5p!H146,LEN(Protokoll_5p!H146)-FIND(":",Protokoll_5p!H146))),0,1))</f>
        <v/>
      </c>
      <c r="L180" s="1" t="str">
        <f>IF(Protokoll_5p!I146="","",IF(VALUE(LEFT(Protokoll_5p!I146,FIND(":",Protokoll_5p!I146)-1))&gt;VALUE(RIGHT(Protokoll_5p!I146,LEN(Protokoll_5p!I146)-FIND(":",Protokoll_5p!I146))),0,1))</f>
        <v/>
      </c>
      <c r="M180" s="1" t="str">
        <f>IF(Protokoll_5p!J146="","",IF(VALUE(LEFT(Protokoll_5p!J146,FIND(":",Protokoll_5p!J146)-1))&gt;VALUE(RIGHT(Protokoll_5p!J146,LEN(Protokoll_5p!J146)-FIND(":",Protokoll_5p!J146))),0,1))</f>
        <v/>
      </c>
      <c r="N180" s="1" t="str">
        <f t="shared" si="5"/>
        <v/>
      </c>
    </row>
    <row r="181" spans="2:14">
      <c r="B181" s="1" t="str">
        <f>IF(Protokoll_5p!F147="","",IF(VALUE(LEFT(Protokoll_5p!F147,FIND(":",Protokoll_5p!F147)-1))&gt;VALUE(RIGHT(Protokoll_5p!F147,LEN(Protokoll_5p!F147)-FIND(":",Protokoll_5p!F147))),1,0))</f>
        <v/>
      </c>
      <c r="C181" s="1" t="str">
        <f>IF(Protokoll_5p!G147="","",IF(VALUE(LEFT(Protokoll_5p!G147,FIND(":",Protokoll_5p!G147)-1))&gt;VALUE(RIGHT(Protokoll_5p!G147,LEN(Protokoll_5p!G147)-FIND(":",Protokoll_5p!G147))),1,0))</f>
        <v/>
      </c>
      <c r="D181" s="1" t="str">
        <f>IF(Protokoll_5p!H147="","",IF(VALUE(LEFT(Protokoll_5p!H147,FIND(":",Protokoll_5p!H147)-1))&gt;VALUE(RIGHT(Protokoll_5p!H147,LEN(Protokoll_5p!H147)-FIND(":",Protokoll_5p!H147))),1,0))</f>
        <v/>
      </c>
      <c r="E181" s="1" t="str">
        <f>IF(Protokoll_5p!I147="","",IF(VALUE(LEFT(Protokoll_5p!I147,FIND(":",Protokoll_5p!I147)-1))&gt;VALUE(RIGHT(Protokoll_5p!I147,LEN(Protokoll_5p!I147)-FIND(":",Protokoll_5p!I147))),1,0))</f>
        <v/>
      </c>
      <c r="F181" s="1" t="str">
        <f>IF(Protokoll_5p!J147="","",IF(VALUE(LEFT(Protokoll_5p!J147,FIND(":",Protokoll_5p!J147)-1))&gt;VALUE(RIGHT(Protokoll_5p!J147,LEN(Protokoll_5p!J147)-FIND(":",Protokoll_5p!J147))),1,0))</f>
        <v/>
      </c>
      <c r="G181" s="1" t="str">
        <f t="shared" si="4"/>
        <v/>
      </c>
      <c r="I181" s="1" t="str">
        <f>IF(Protokoll_5p!F147="","",IF(VALUE(LEFT(Protokoll_5p!F147,FIND(":",Protokoll_5p!F147)-1))&gt;VALUE(RIGHT(Protokoll_5p!F147,LEN(Protokoll_5p!F147)-FIND(":",Protokoll_5p!F147))),0,1))</f>
        <v/>
      </c>
      <c r="J181" s="1" t="str">
        <f>IF(Protokoll_5p!G147="","",IF(VALUE(LEFT(Protokoll_5p!G147,FIND(":",Protokoll_5p!G147)-1))&gt;VALUE(RIGHT(Protokoll_5p!G147,LEN(Protokoll_5p!G147)-FIND(":",Protokoll_5p!G147))),0,1))</f>
        <v/>
      </c>
      <c r="K181" s="1" t="str">
        <f>IF(Protokoll_5p!H147="","",IF(VALUE(LEFT(Protokoll_5p!H147,FIND(":",Protokoll_5p!H147)-1))&gt;VALUE(RIGHT(Protokoll_5p!H147,LEN(Protokoll_5p!H147)-FIND(":",Protokoll_5p!H147))),0,1))</f>
        <v/>
      </c>
      <c r="L181" s="1" t="str">
        <f>IF(Protokoll_5p!I147="","",IF(VALUE(LEFT(Protokoll_5p!I147,FIND(":",Protokoll_5p!I147)-1))&gt;VALUE(RIGHT(Protokoll_5p!I147,LEN(Protokoll_5p!I147)-FIND(":",Protokoll_5p!I147))),0,1))</f>
        <v/>
      </c>
      <c r="M181" s="1" t="str">
        <f>IF(Protokoll_5p!J147="","",IF(VALUE(LEFT(Protokoll_5p!J147,FIND(":",Protokoll_5p!J147)-1))&gt;VALUE(RIGHT(Protokoll_5p!J147,LEN(Protokoll_5p!J147)-FIND(":",Protokoll_5p!J147))),0,1))</f>
        <v/>
      </c>
      <c r="N181" s="1" t="str">
        <f t="shared" si="5"/>
        <v/>
      </c>
    </row>
    <row r="182" spans="2:14">
      <c r="B182" s="1" t="str">
        <f>IF(Protokoll_5p!F148="","",IF(VALUE(LEFT(Protokoll_5p!F148,FIND(":",Protokoll_5p!F148)-1))&gt;VALUE(RIGHT(Protokoll_5p!F148,LEN(Protokoll_5p!F148)-FIND(":",Protokoll_5p!F148))),1,0))</f>
        <v/>
      </c>
      <c r="C182" s="1" t="str">
        <f>IF(Protokoll_5p!G148="","",IF(VALUE(LEFT(Protokoll_5p!G148,FIND(":",Protokoll_5p!G148)-1))&gt;VALUE(RIGHT(Protokoll_5p!G148,LEN(Protokoll_5p!G148)-FIND(":",Protokoll_5p!G148))),1,0))</f>
        <v/>
      </c>
      <c r="D182" s="1" t="str">
        <f>IF(Protokoll_5p!H148="","",IF(VALUE(LEFT(Protokoll_5p!H148,FIND(":",Protokoll_5p!H148)-1))&gt;VALUE(RIGHT(Protokoll_5p!H148,LEN(Protokoll_5p!H148)-FIND(":",Protokoll_5p!H148))),1,0))</f>
        <v/>
      </c>
      <c r="E182" s="1" t="str">
        <f>IF(Protokoll_5p!I148="","",IF(VALUE(LEFT(Protokoll_5p!I148,FIND(":",Protokoll_5p!I148)-1))&gt;VALUE(RIGHT(Protokoll_5p!I148,LEN(Protokoll_5p!I148)-FIND(":",Protokoll_5p!I148))),1,0))</f>
        <v/>
      </c>
      <c r="F182" s="1" t="str">
        <f>IF(Protokoll_5p!J148="","",IF(VALUE(LEFT(Protokoll_5p!J148,FIND(":",Protokoll_5p!J148)-1))&gt;VALUE(RIGHT(Protokoll_5p!J148,LEN(Protokoll_5p!J148)-FIND(":",Protokoll_5p!J148))),1,0))</f>
        <v/>
      </c>
      <c r="G182" s="1" t="str">
        <f t="shared" si="4"/>
        <v/>
      </c>
      <c r="I182" s="1" t="str">
        <f>IF(Protokoll_5p!F148="","",IF(VALUE(LEFT(Protokoll_5p!F148,FIND(":",Protokoll_5p!F148)-1))&gt;VALUE(RIGHT(Protokoll_5p!F148,LEN(Protokoll_5p!F148)-FIND(":",Protokoll_5p!F148))),0,1))</f>
        <v/>
      </c>
      <c r="J182" s="1" t="str">
        <f>IF(Protokoll_5p!G148="","",IF(VALUE(LEFT(Protokoll_5p!G148,FIND(":",Protokoll_5p!G148)-1))&gt;VALUE(RIGHT(Protokoll_5p!G148,LEN(Protokoll_5p!G148)-FIND(":",Protokoll_5p!G148))),0,1))</f>
        <v/>
      </c>
      <c r="K182" s="1" t="str">
        <f>IF(Protokoll_5p!H148="","",IF(VALUE(LEFT(Protokoll_5p!H148,FIND(":",Protokoll_5p!H148)-1))&gt;VALUE(RIGHT(Protokoll_5p!H148,LEN(Protokoll_5p!H148)-FIND(":",Protokoll_5p!H148))),0,1))</f>
        <v/>
      </c>
      <c r="L182" s="1" t="str">
        <f>IF(Protokoll_5p!I148="","",IF(VALUE(LEFT(Protokoll_5p!I148,FIND(":",Protokoll_5p!I148)-1))&gt;VALUE(RIGHT(Protokoll_5p!I148,LEN(Protokoll_5p!I148)-FIND(":",Protokoll_5p!I148))),0,1))</f>
        <v/>
      </c>
      <c r="M182" s="1" t="str">
        <f>IF(Protokoll_5p!J148="","",IF(VALUE(LEFT(Protokoll_5p!J148,FIND(":",Protokoll_5p!J148)-1))&gt;VALUE(RIGHT(Protokoll_5p!J148,LEN(Protokoll_5p!J148)-FIND(":",Protokoll_5p!J148))),0,1))</f>
        <v/>
      </c>
      <c r="N182" s="1" t="str">
        <f t="shared" si="5"/>
        <v/>
      </c>
    </row>
    <row r="183" spans="2:14">
      <c r="B183" s="1" t="str">
        <f>IF(Protokoll_5p!F149="","",IF(VALUE(LEFT(Protokoll_5p!F149,FIND(":",Protokoll_5p!F149)-1))&gt;VALUE(RIGHT(Protokoll_5p!F149,LEN(Protokoll_5p!F149)-FIND(":",Protokoll_5p!F149))),1,0))</f>
        <v/>
      </c>
      <c r="C183" s="1" t="str">
        <f>IF(Protokoll_5p!G149="","",IF(VALUE(LEFT(Protokoll_5p!G149,FIND(":",Protokoll_5p!G149)-1))&gt;VALUE(RIGHT(Protokoll_5p!G149,LEN(Protokoll_5p!G149)-FIND(":",Protokoll_5p!G149))),1,0))</f>
        <v/>
      </c>
      <c r="D183" s="1" t="str">
        <f>IF(Protokoll_5p!H149="","",IF(VALUE(LEFT(Protokoll_5p!H149,FIND(":",Protokoll_5p!H149)-1))&gt;VALUE(RIGHT(Protokoll_5p!H149,LEN(Protokoll_5p!H149)-FIND(":",Protokoll_5p!H149))),1,0))</f>
        <v/>
      </c>
      <c r="E183" s="1" t="str">
        <f>IF(Protokoll_5p!I149="","",IF(VALUE(LEFT(Protokoll_5p!I149,FIND(":",Protokoll_5p!I149)-1))&gt;VALUE(RIGHT(Protokoll_5p!I149,LEN(Protokoll_5p!I149)-FIND(":",Protokoll_5p!I149))),1,0))</f>
        <v/>
      </c>
      <c r="F183" s="1" t="str">
        <f>IF(Protokoll_5p!J149="","",IF(VALUE(LEFT(Protokoll_5p!J149,FIND(":",Protokoll_5p!J149)-1))&gt;VALUE(RIGHT(Protokoll_5p!J149,LEN(Protokoll_5p!J149)-FIND(":",Protokoll_5p!J149))),1,0))</f>
        <v/>
      </c>
      <c r="G183" s="1" t="str">
        <f t="shared" si="4"/>
        <v/>
      </c>
      <c r="I183" s="1" t="str">
        <f>IF(Protokoll_5p!F149="","",IF(VALUE(LEFT(Protokoll_5p!F149,FIND(":",Protokoll_5p!F149)-1))&gt;VALUE(RIGHT(Protokoll_5p!F149,LEN(Protokoll_5p!F149)-FIND(":",Protokoll_5p!F149))),0,1))</f>
        <v/>
      </c>
      <c r="J183" s="1" t="str">
        <f>IF(Protokoll_5p!G149="","",IF(VALUE(LEFT(Protokoll_5p!G149,FIND(":",Protokoll_5p!G149)-1))&gt;VALUE(RIGHT(Protokoll_5p!G149,LEN(Protokoll_5p!G149)-FIND(":",Protokoll_5p!G149))),0,1))</f>
        <v/>
      </c>
      <c r="K183" s="1" t="str">
        <f>IF(Protokoll_5p!H149="","",IF(VALUE(LEFT(Protokoll_5p!H149,FIND(":",Protokoll_5p!H149)-1))&gt;VALUE(RIGHT(Protokoll_5p!H149,LEN(Protokoll_5p!H149)-FIND(":",Protokoll_5p!H149))),0,1))</f>
        <v/>
      </c>
      <c r="L183" s="1" t="str">
        <f>IF(Protokoll_5p!I149="","",IF(VALUE(LEFT(Protokoll_5p!I149,FIND(":",Protokoll_5p!I149)-1))&gt;VALUE(RIGHT(Protokoll_5p!I149,LEN(Protokoll_5p!I149)-FIND(":",Protokoll_5p!I149))),0,1))</f>
        <v/>
      </c>
      <c r="M183" s="1" t="str">
        <f>IF(Protokoll_5p!J149="","",IF(VALUE(LEFT(Protokoll_5p!J149,FIND(":",Protokoll_5p!J149)-1))&gt;VALUE(RIGHT(Protokoll_5p!J149,LEN(Protokoll_5p!J149)-FIND(":",Protokoll_5p!J149))),0,1))</f>
        <v/>
      </c>
      <c r="N183" s="1" t="str">
        <f t="shared" si="5"/>
        <v/>
      </c>
    </row>
    <row r="184" spans="2:14">
      <c r="B184" s="1" t="str">
        <f>IF(Protokoll_5p!F150="","",IF(VALUE(LEFT(Protokoll_5p!F150,FIND(":",Protokoll_5p!F150)-1))&gt;VALUE(RIGHT(Protokoll_5p!F150,LEN(Protokoll_5p!F150)-FIND(":",Protokoll_5p!F150))),1,0))</f>
        <v/>
      </c>
      <c r="C184" s="1" t="str">
        <f>IF(Protokoll_5p!G150="","",IF(VALUE(LEFT(Protokoll_5p!G150,FIND(":",Protokoll_5p!G150)-1))&gt;VALUE(RIGHT(Protokoll_5p!G150,LEN(Protokoll_5p!G150)-FIND(":",Protokoll_5p!G150))),1,0))</f>
        <v/>
      </c>
      <c r="D184" s="1" t="str">
        <f>IF(Protokoll_5p!H150="","",IF(VALUE(LEFT(Protokoll_5p!H150,FIND(":",Protokoll_5p!H150)-1))&gt;VALUE(RIGHT(Protokoll_5p!H150,LEN(Protokoll_5p!H150)-FIND(":",Protokoll_5p!H150))),1,0))</f>
        <v/>
      </c>
      <c r="E184" s="1" t="str">
        <f>IF(Protokoll_5p!I150="","",IF(VALUE(LEFT(Protokoll_5p!I150,FIND(":",Protokoll_5p!I150)-1))&gt;VALUE(RIGHT(Protokoll_5p!I150,LEN(Protokoll_5p!I150)-FIND(":",Protokoll_5p!I150))),1,0))</f>
        <v/>
      </c>
      <c r="F184" s="1" t="str">
        <f>IF(Protokoll_5p!J150="","",IF(VALUE(LEFT(Protokoll_5p!J150,FIND(":",Protokoll_5p!J150)-1))&gt;VALUE(RIGHT(Protokoll_5p!J150,LEN(Protokoll_5p!J150)-FIND(":",Protokoll_5p!J150))),1,0))</f>
        <v/>
      </c>
      <c r="G184" s="1" t="str">
        <f t="shared" si="4"/>
        <v/>
      </c>
      <c r="I184" s="1" t="str">
        <f>IF(Protokoll_5p!F150="","",IF(VALUE(LEFT(Protokoll_5p!F150,FIND(":",Protokoll_5p!F150)-1))&gt;VALUE(RIGHT(Protokoll_5p!F150,LEN(Protokoll_5p!F150)-FIND(":",Protokoll_5p!F150))),0,1))</f>
        <v/>
      </c>
      <c r="J184" s="1" t="str">
        <f>IF(Protokoll_5p!G150="","",IF(VALUE(LEFT(Protokoll_5p!G150,FIND(":",Protokoll_5p!G150)-1))&gt;VALUE(RIGHT(Protokoll_5p!G150,LEN(Protokoll_5p!G150)-FIND(":",Protokoll_5p!G150))),0,1))</f>
        <v/>
      </c>
      <c r="K184" s="1" t="str">
        <f>IF(Protokoll_5p!H150="","",IF(VALUE(LEFT(Protokoll_5p!H150,FIND(":",Protokoll_5p!H150)-1))&gt;VALUE(RIGHT(Protokoll_5p!H150,LEN(Protokoll_5p!H150)-FIND(":",Protokoll_5p!H150))),0,1))</f>
        <v/>
      </c>
      <c r="L184" s="1" t="str">
        <f>IF(Protokoll_5p!I150="","",IF(VALUE(LEFT(Protokoll_5p!I150,FIND(":",Protokoll_5p!I150)-1))&gt;VALUE(RIGHT(Protokoll_5p!I150,LEN(Protokoll_5p!I150)-FIND(":",Protokoll_5p!I150))),0,1))</f>
        <v/>
      </c>
      <c r="M184" s="1" t="str">
        <f>IF(Protokoll_5p!J150="","",IF(VALUE(LEFT(Protokoll_5p!J150,FIND(":",Protokoll_5p!J150)-1))&gt;VALUE(RIGHT(Protokoll_5p!J150,LEN(Protokoll_5p!J150)-FIND(":",Protokoll_5p!J150))),0,1))</f>
        <v/>
      </c>
      <c r="N184" s="1" t="str">
        <f t="shared" si="5"/>
        <v/>
      </c>
    </row>
    <row r="185" spans="2:14">
      <c r="B185" s="1" t="str">
        <f>IF(Protokoll_5p!F151="","",IF(VALUE(LEFT(Protokoll_5p!F151,FIND(":",Protokoll_5p!F151)-1))&gt;VALUE(RIGHT(Protokoll_5p!F151,LEN(Protokoll_5p!F151)-FIND(":",Protokoll_5p!F151))),1,0))</f>
        <v/>
      </c>
      <c r="C185" s="1" t="str">
        <f>IF(Protokoll_5p!G151="","",IF(VALUE(LEFT(Protokoll_5p!G151,FIND(":",Protokoll_5p!G151)-1))&gt;VALUE(RIGHT(Protokoll_5p!G151,LEN(Protokoll_5p!G151)-FIND(":",Protokoll_5p!G151))),1,0))</f>
        <v/>
      </c>
      <c r="D185" s="1" t="str">
        <f>IF(Protokoll_5p!H151="","",IF(VALUE(LEFT(Protokoll_5p!H151,FIND(":",Protokoll_5p!H151)-1))&gt;VALUE(RIGHT(Protokoll_5p!H151,LEN(Protokoll_5p!H151)-FIND(":",Protokoll_5p!H151))),1,0))</f>
        <v/>
      </c>
      <c r="E185" s="1" t="str">
        <f>IF(Protokoll_5p!I151="","",IF(VALUE(LEFT(Protokoll_5p!I151,FIND(":",Protokoll_5p!I151)-1))&gt;VALUE(RIGHT(Protokoll_5p!I151,LEN(Protokoll_5p!I151)-FIND(":",Protokoll_5p!I151))),1,0))</f>
        <v/>
      </c>
      <c r="F185" s="1" t="str">
        <f>IF(Protokoll_5p!J151="","",IF(VALUE(LEFT(Protokoll_5p!J151,FIND(":",Protokoll_5p!J151)-1))&gt;VALUE(RIGHT(Protokoll_5p!J151,LEN(Protokoll_5p!J151)-FIND(":",Protokoll_5p!J151))),1,0))</f>
        <v/>
      </c>
      <c r="G185" s="1" t="str">
        <f t="shared" si="4"/>
        <v/>
      </c>
      <c r="I185" s="1" t="str">
        <f>IF(Protokoll_5p!F151="","",IF(VALUE(LEFT(Protokoll_5p!F151,FIND(":",Protokoll_5p!F151)-1))&gt;VALUE(RIGHT(Protokoll_5p!F151,LEN(Protokoll_5p!F151)-FIND(":",Protokoll_5p!F151))),0,1))</f>
        <v/>
      </c>
      <c r="J185" s="1" t="str">
        <f>IF(Protokoll_5p!G151="","",IF(VALUE(LEFT(Protokoll_5p!G151,FIND(":",Protokoll_5p!G151)-1))&gt;VALUE(RIGHT(Protokoll_5p!G151,LEN(Protokoll_5p!G151)-FIND(":",Protokoll_5p!G151))),0,1))</f>
        <v/>
      </c>
      <c r="K185" s="1" t="str">
        <f>IF(Protokoll_5p!H151="","",IF(VALUE(LEFT(Protokoll_5p!H151,FIND(":",Protokoll_5p!H151)-1))&gt;VALUE(RIGHT(Protokoll_5p!H151,LEN(Protokoll_5p!H151)-FIND(":",Protokoll_5p!H151))),0,1))</f>
        <v/>
      </c>
      <c r="L185" s="1" t="str">
        <f>IF(Protokoll_5p!I151="","",IF(VALUE(LEFT(Protokoll_5p!I151,FIND(":",Protokoll_5p!I151)-1))&gt;VALUE(RIGHT(Protokoll_5p!I151,LEN(Protokoll_5p!I151)-FIND(":",Protokoll_5p!I151))),0,1))</f>
        <v/>
      </c>
      <c r="M185" s="1" t="str">
        <f>IF(Protokoll_5p!J151="","",IF(VALUE(LEFT(Protokoll_5p!J151,FIND(":",Protokoll_5p!J151)-1))&gt;VALUE(RIGHT(Protokoll_5p!J151,LEN(Protokoll_5p!J151)-FIND(":",Protokoll_5p!J151))),0,1))</f>
        <v/>
      </c>
      <c r="N185" s="1" t="str">
        <f t="shared" si="5"/>
        <v/>
      </c>
    </row>
    <row r="186" spans="2:14">
      <c r="B186" s="1" t="str">
        <f>IF(Protokoll_5p!F152="","",IF(VALUE(LEFT(Protokoll_5p!F152,FIND(":",Protokoll_5p!F152)-1))&gt;VALUE(RIGHT(Protokoll_5p!F152,LEN(Protokoll_5p!F152)-FIND(":",Protokoll_5p!F152))),1,0))</f>
        <v/>
      </c>
      <c r="C186" s="1" t="str">
        <f>IF(Protokoll_5p!G152="","",IF(VALUE(LEFT(Protokoll_5p!G152,FIND(":",Protokoll_5p!G152)-1))&gt;VALUE(RIGHT(Protokoll_5p!G152,LEN(Protokoll_5p!G152)-FIND(":",Protokoll_5p!G152))),1,0))</f>
        <v/>
      </c>
      <c r="D186" s="1" t="str">
        <f>IF(Protokoll_5p!H152="","",IF(VALUE(LEFT(Protokoll_5p!H152,FIND(":",Protokoll_5p!H152)-1))&gt;VALUE(RIGHT(Protokoll_5p!H152,LEN(Protokoll_5p!H152)-FIND(":",Protokoll_5p!H152))),1,0))</f>
        <v/>
      </c>
      <c r="E186" s="1" t="str">
        <f>IF(Protokoll_5p!I152="","",IF(VALUE(LEFT(Protokoll_5p!I152,FIND(":",Protokoll_5p!I152)-1))&gt;VALUE(RIGHT(Protokoll_5p!I152,LEN(Protokoll_5p!I152)-FIND(":",Protokoll_5p!I152))),1,0))</f>
        <v/>
      </c>
      <c r="F186" s="1" t="str">
        <f>IF(Protokoll_5p!J152="","",IF(VALUE(LEFT(Protokoll_5p!J152,FIND(":",Protokoll_5p!J152)-1))&gt;VALUE(RIGHT(Protokoll_5p!J152,LEN(Protokoll_5p!J152)-FIND(":",Protokoll_5p!J152))),1,0))</f>
        <v/>
      </c>
      <c r="G186" s="1" t="str">
        <f t="shared" si="4"/>
        <v/>
      </c>
      <c r="I186" s="1" t="str">
        <f>IF(Protokoll_5p!F152="","",IF(VALUE(LEFT(Protokoll_5p!F152,FIND(":",Protokoll_5p!F152)-1))&gt;VALUE(RIGHT(Protokoll_5p!F152,LEN(Protokoll_5p!F152)-FIND(":",Protokoll_5p!F152))),0,1))</f>
        <v/>
      </c>
      <c r="J186" s="1" t="str">
        <f>IF(Protokoll_5p!G152="","",IF(VALUE(LEFT(Protokoll_5p!G152,FIND(":",Protokoll_5p!G152)-1))&gt;VALUE(RIGHT(Protokoll_5p!G152,LEN(Protokoll_5p!G152)-FIND(":",Protokoll_5p!G152))),0,1))</f>
        <v/>
      </c>
      <c r="K186" s="1" t="str">
        <f>IF(Protokoll_5p!H152="","",IF(VALUE(LEFT(Protokoll_5p!H152,FIND(":",Protokoll_5p!H152)-1))&gt;VALUE(RIGHT(Protokoll_5p!H152,LEN(Protokoll_5p!H152)-FIND(":",Protokoll_5p!H152))),0,1))</f>
        <v/>
      </c>
      <c r="L186" s="1" t="str">
        <f>IF(Protokoll_5p!I152="","",IF(VALUE(LEFT(Protokoll_5p!I152,FIND(":",Protokoll_5p!I152)-1))&gt;VALUE(RIGHT(Protokoll_5p!I152,LEN(Protokoll_5p!I152)-FIND(":",Protokoll_5p!I152))),0,1))</f>
        <v/>
      </c>
      <c r="M186" s="1" t="str">
        <f>IF(Protokoll_5p!J152="","",IF(VALUE(LEFT(Protokoll_5p!J152,FIND(":",Protokoll_5p!J152)-1))&gt;VALUE(RIGHT(Protokoll_5p!J152,LEN(Protokoll_5p!J152)-FIND(":",Protokoll_5p!J152))),0,1))</f>
        <v/>
      </c>
      <c r="N186" s="1" t="str">
        <f t="shared" si="5"/>
        <v/>
      </c>
    </row>
    <row r="187" spans="2:14">
      <c r="B187" s="1" t="str">
        <f>IF(Protokoll_5p!F153="","",IF(VALUE(LEFT(Protokoll_5p!F153,FIND(":",Protokoll_5p!F153)-1))&gt;VALUE(RIGHT(Protokoll_5p!F153,LEN(Protokoll_5p!F153)-FIND(":",Protokoll_5p!F153))),1,0))</f>
        <v/>
      </c>
      <c r="C187" s="1" t="str">
        <f>IF(Protokoll_5p!G153="","",IF(VALUE(LEFT(Protokoll_5p!G153,FIND(":",Protokoll_5p!G153)-1))&gt;VALUE(RIGHT(Protokoll_5p!G153,LEN(Protokoll_5p!G153)-FIND(":",Protokoll_5p!G153))),1,0))</f>
        <v/>
      </c>
      <c r="D187" s="1" t="str">
        <f>IF(Protokoll_5p!H153="","",IF(VALUE(LEFT(Protokoll_5p!H153,FIND(":",Protokoll_5p!H153)-1))&gt;VALUE(RIGHT(Protokoll_5p!H153,LEN(Protokoll_5p!H153)-FIND(":",Protokoll_5p!H153))),1,0))</f>
        <v/>
      </c>
      <c r="E187" s="1" t="str">
        <f>IF(Protokoll_5p!I153="","",IF(VALUE(LEFT(Protokoll_5p!I153,FIND(":",Protokoll_5p!I153)-1))&gt;VALUE(RIGHT(Protokoll_5p!I153,LEN(Protokoll_5p!I153)-FIND(":",Protokoll_5p!I153))),1,0))</f>
        <v/>
      </c>
      <c r="F187" s="1" t="str">
        <f>IF(Protokoll_5p!J153="","",IF(VALUE(LEFT(Protokoll_5p!J153,FIND(":",Protokoll_5p!J153)-1))&gt;VALUE(RIGHT(Protokoll_5p!J153,LEN(Protokoll_5p!J153)-FIND(":",Protokoll_5p!J153))),1,0))</f>
        <v/>
      </c>
      <c r="G187" s="1" t="str">
        <f t="shared" si="4"/>
        <v/>
      </c>
      <c r="I187" s="1" t="str">
        <f>IF(Protokoll_5p!F153="","",IF(VALUE(LEFT(Protokoll_5p!F153,FIND(":",Protokoll_5p!F153)-1))&gt;VALUE(RIGHT(Protokoll_5p!F153,LEN(Protokoll_5p!F153)-FIND(":",Protokoll_5p!F153))),0,1))</f>
        <v/>
      </c>
      <c r="J187" s="1" t="str">
        <f>IF(Protokoll_5p!G153="","",IF(VALUE(LEFT(Protokoll_5p!G153,FIND(":",Protokoll_5p!G153)-1))&gt;VALUE(RIGHT(Protokoll_5p!G153,LEN(Protokoll_5p!G153)-FIND(":",Protokoll_5p!G153))),0,1))</f>
        <v/>
      </c>
      <c r="K187" s="1" t="str">
        <f>IF(Protokoll_5p!H153="","",IF(VALUE(LEFT(Protokoll_5p!H153,FIND(":",Protokoll_5p!H153)-1))&gt;VALUE(RIGHT(Protokoll_5p!H153,LEN(Protokoll_5p!H153)-FIND(":",Protokoll_5p!H153))),0,1))</f>
        <v/>
      </c>
      <c r="L187" s="1" t="str">
        <f>IF(Protokoll_5p!I153="","",IF(VALUE(LEFT(Protokoll_5p!I153,FIND(":",Protokoll_5p!I153)-1))&gt;VALUE(RIGHT(Protokoll_5p!I153,LEN(Protokoll_5p!I153)-FIND(":",Protokoll_5p!I153))),0,1))</f>
        <v/>
      </c>
      <c r="M187" s="1" t="str">
        <f>IF(Protokoll_5p!J153="","",IF(VALUE(LEFT(Protokoll_5p!J153,FIND(":",Protokoll_5p!J153)-1))&gt;VALUE(RIGHT(Protokoll_5p!J153,LEN(Protokoll_5p!J153)-FIND(":",Protokoll_5p!J153))),0,1))</f>
        <v/>
      </c>
      <c r="N187" s="1" t="str">
        <f t="shared" si="5"/>
        <v/>
      </c>
    </row>
    <row r="188" spans="2:14">
      <c r="B188" s="1" t="str">
        <f>IF(Protokoll_5p!F154="","",IF(VALUE(LEFT(Protokoll_5p!F154,FIND(":",Protokoll_5p!F154)-1))&gt;VALUE(RIGHT(Protokoll_5p!F154,LEN(Protokoll_5p!F154)-FIND(":",Protokoll_5p!F154))),1,0))</f>
        <v/>
      </c>
      <c r="C188" s="1" t="str">
        <f>IF(Protokoll_5p!G154="","",IF(VALUE(LEFT(Protokoll_5p!G154,FIND(":",Protokoll_5p!G154)-1))&gt;VALUE(RIGHT(Protokoll_5p!G154,LEN(Protokoll_5p!G154)-FIND(":",Protokoll_5p!G154))),1,0))</f>
        <v/>
      </c>
      <c r="D188" s="1" t="str">
        <f>IF(Protokoll_5p!H154="","",IF(VALUE(LEFT(Protokoll_5p!H154,FIND(":",Protokoll_5p!H154)-1))&gt;VALUE(RIGHT(Protokoll_5p!H154,LEN(Protokoll_5p!H154)-FIND(":",Protokoll_5p!H154))),1,0))</f>
        <v/>
      </c>
      <c r="E188" s="1" t="str">
        <f>IF(Protokoll_5p!I154="","",IF(VALUE(LEFT(Protokoll_5p!I154,FIND(":",Protokoll_5p!I154)-1))&gt;VALUE(RIGHT(Protokoll_5p!I154,LEN(Protokoll_5p!I154)-FIND(":",Protokoll_5p!I154))),1,0))</f>
        <v/>
      </c>
      <c r="F188" s="1" t="str">
        <f>IF(Protokoll_5p!J154="","",IF(VALUE(LEFT(Protokoll_5p!J154,FIND(":",Protokoll_5p!J154)-1))&gt;VALUE(RIGHT(Protokoll_5p!J154,LEN(Protokoll_5p!J154)-FIND(":",Protokoll_5p!J154))),1,0))</f>
        <v/>
      </c>
      <c r="G188" s="1" t="str">
        <f t="shared" si="4"/>
        <v/>
      </c>
      <c r="I188" s="1" t="str">
        <f>IF(Protokoll_5p!F154="","",IF(VALUE(LEFT(Protokoll_5p!F154,FIND(":",Protokoll_5p!F154)-1))&gt;VALUE(RIGHT(Protokoll_5p!F154,LEN(Protokoll_5p!F154)-FIND(":",Protokoll_5p!F154))),0,1))</f>
        <v/>
      </c>
      <c r="J188" s="1" t="str">
        <f>IF(Protokoll_5p!G154="","",IF(VALUE(LEFT(Protokoll_5p!G154,FIND(":",Protokoll_5p!G154)-1))&gt;VALUE(RIGHT(Protokoll_5p!G154,LEN(Protokoll_5p!G154)-FIND(":",Protokoll_5p!G154))),0,1))</f>
        <v/>
      </c>
      <c r="K188" s="1" t="str">
        <f>IF(Protokoll_5p!H154="","",IF(VALUE(LEFT(Protokoll_5p!H154,FIND(":",Protokoll_5p!H154)-1))&gt;VALUE(RIGHT(Protokoll_5p!H154,LEN(Protokoll_5p!H154)-FIND(":",Protokoll_5p!H154))),0,1))</f>
        <v/>
      </c>
      <c r="L188" s="1" t="str">
        <f>IF(Protokoll_5p!I154="","",IF(VALUE(LEFT(Protokoll_5p!I154,FIND(":",Protokoll_5p!I154)-1))&gt;VALUE(RIGHT(Protokoll_5p!I154,LEN(Protokoll_5p!I154)-FIND(":",Protokoll_5p!I154))),0,1))</f>
        <v/>
      </c>
      <c r="M188" s="1" t="str">
        <f>IF(Protokoll_5p!J154="","",IF(VALUE(LEFT(Protokoll_5p!J154,FIND(":",Protokoll_5p!J154)-1))&gt;VALUE(RIGHT(Protokoll_5p!J154,LEN(Protokoll_5p!J154)-FIND(":",Protokoll_5p!J154))),0,1))</f>
        <v/>
      </c>
      <c r="N188" s="1" t="str">
        <f t="shared" si="5"/>
        <v/>
      </c>
    </row>
    <row r="189" spans="2:14">
      <c r="B189" s="1" t="str">
        <f>IF(Protokoll_5p!F155="","",IF(VALUE(LEFT(Protokoll_5p!F155,FIND(":",Protokoll_5p!F155)-1))&gt;VALUE(RIGHT(Protokoll_5p!F155,LEN(Protokoll_5p!F155)-FIND(":",Protokoll_5p!F155))),1,0))</f>
        <v/>
      </c>
      <c r="C189" s="1" t="str">
        <f>IF(Protokoll_5p!G155="","",IF(VALUE(LEFT(Protokoll_5p!G155,FIND(":",Protokoll_5p!G155)-1))&gt;VALUE(RIGHT(Protokoll_5p!G155,LEN(Protokoll_5p!G155)-FIND(":",Protokoll_5p!G155))),1,0))</f>
        <v/>
      </c>
      <c r="D189" s="1" t="str">
        <f>IF(Protokoll_5p!H155="","",IF(VALUE(LEFT(Protokoll_5p!H155,FIND(":",Protokoll_5p!H155)-1))&gt;VALUE(RIGHT(Protokoll_5p!H155,LEN(Protokoll_5p!H155)-FIND(":",Protokoll_5p!H155))),1,0))</f>
        <v/>
      </c>
      <c r="E189" s="1" t="str">
        <f>IF(Protokoll_5p!I155="","",IF(VALUE(LEFT(Protokoll_5p!I155,FIND(":",Protokoll_5p!I155)-1))&gt;VALUE(RIGHT(Protokoll_5p!I155,LEN(Protokoll_5p!I155)-FIND(":",Protokoll_5p!I155))),1,0))</f>
        <v/>
      </c>
      <c r="F189" s="1" t="str">
        <f>IF(Protokoll_5p!J155="","",IF(VALUE(LEFT(Protokoll_5p!J155,FIND(":",Protokoll_5p!J155)-1))&gt;VALUE(RIGHT(Protokoll_5p!J155,LEN(Protokoll_5p!J155)-FIND(":",Protokoll_5p!J155))),1,0))</f>
        <v/>
      </c>
      <c r="G189" s="1" t="str">
        <f t="shared" si="4"/>
        <v/>
      </c>
      <c r="I189" s="1" t="str">
        <f>IF(Protokoll_5p!F155="","",IF(VALUE(LEFT(Protokoll_5p!F155,FIND(":",Protokoll_5p!F155)-1))&gt;VALUE(RIGHT(Protokoll_5p!F155,LEN(Protokoll_5p!F155)-FIND(":",Protokoll_5p!F155))),0,1))</f>
        <v/>
      </c>
      <c r="J189" s="1" t="str">
        <f>IF(Protokoll_5p!G155="","",IF(VALUE(LEFT(Protokoll_5p!G155,FIND(":",Protokoll_5p!G155)-1))&gt;VALUE(RIGHT(Protokoll_5p!G155,LEN(Protokoll_5p!G155)-FIND(":",Protokoll_5p!G155))),0,1))</f>
        <v/>
      </c>
      <c r="K189" s="1" t="str">
        <f>IF(Protokoll_5p!H155="","",IF(VALUE(LEFT(Protokoll_5p!H155,FIND(":",Protokoll_5p!H155)-1))&gt;VALUE(RIGHT(Protokoll_5p!H155,LEN(Protokoll_5p!H155)-FIND(":",Protokoll_5p!H155))),0,1))</f>
        <v/>
      </c>
      <c r="L189" s="1" t="str">
        <f>IF(Protokoll_5p!I155="","",IF(VALUE(LEFT(Protokoll_5p!I155,FIND(":",Protokoll_5p!I155)-1))&gt;VALUE(RIGHT(Protokoll_5p!I155,LEN(Protokoll_5p!I155)-FIND(":",Protokoll_5p!I155))),0,1))</f>
        <v/>
      </c>
      <c r="M189" s="1" t="str">
        <f>IF(Protokoll_5p!J155="","",IF(VALUE(LEFT(Protokoll_5p!J155,FIND(":",Protokoll_5p!J155)-1))&gt;VALUE(RIGHT(Protokoll_5p!J155,LEN(Protokoll_5p!J155)-FIND(":",Protokoll_5p!J155))),0,1))</f>
        <v/>
      </c>
      <c r="N189" s="1" t="str">
        <f t="shared" si="5"/>
        <v/>
      </c>
    </row>
    <row r="190" spans="2:14">
      <c r="B190" s="1" t="str">
        <f>IF(Protokoll_5p!F156="","",IF(VALUE(LEFT(Protokoll_5p!F156,FIND(":",Protokoll_5p!F156)-1))&gt;VALUE(RIGHT(Protokoll_5p!F156,LEN(Protokoll_5p!F156)-FIND(":",Protokoll_5p!F156))),1,0))</f>
        <v/>
      </c>
      <c r="C190" s="1" t="str">
        <f>IF(Protokoll_5p!G156="","",IF(VALUE(LEFT(Protokoll_5p!G156,FIND(":",Protokoll_5p!G156)-1))&gt;VALUE(RIGHT(Protokoll_5p!G156,LEN(Protokoll_5p!G156)-FIND(":",Protokoll_5p!G156))),1,0))</f>
        <v/>
      </c>
      <c r="D190" s="1" t="str">
        <f>IF(Protokoll_5p!H156="","",IF(VALUE(LEFT(Protokoll_5p!H156,FIND(":",Protokoll_5p!H156)-1))&gt;VALUE(RIGHT(Protokoll_5p!H156,LEN(Protokoll_5p!H156)-FIND(":",Protokoll_5p!H156))),1,0))</f>
        <v/>
      </c>
      <c r="E190" s="1" t="str">
        <f>IF(Protokoll_5p!I156="","",IF(VALUE(LEFT(Protokoll_5p!I156,FIND(":",Protokoll_5p!I156)-1))&gt;VALUE(RIGHT(Protokoll_5p!I156,LEN(Protokoll_5p!I156)-FIND(":",Protokoll_5p!I156))),1,0))</f>
        <v/>
      </c>
      <c r="F190" s="1" t="str">
        <f>IF(Protokoll_5p!J156="","",IF(VALUE(LEFT(Protokoll_5p!J156,FIND(":",Protokoll_5p!J156)-1))&gt;VALUE(RIGHT(Protokoll_5p!J156,LEN(Protokoll_5p!J156)-FIND(":",Protokoll_5p!J156))),1,0))</f>
        <v/>
      </c>
      <c r="G190" s="1" t="str">
        <f t="shared" si="4"/>
        <v/>
      </c>
      <c r="I190" s="1" t="str">
        <f>IF(Protokoll_5p!F156="","",IF(VALUE(LEFT(Protokoll_5p!F156,FIND(":",Protokoll_5p!F156)-1))&gt;VALUE(RIGHT(Protokoll_5p!F156,LEN(Protokoll_5p!F156)-FIND(":",Protokoll_5p!F156))),0,1))</f>
        <v/>
      </c>
      <c r="J190" s="1" t="str">
        <f>IF(Protokoll_5p!G156="","",IF(VALUE(LEFT(Protokoll_5p!G156,FIND(":",Protokoll_5p!G156)-1))&gt;VALUE(RIGHT(Protokoll_5p!G156,LEN(Protokoll_5p!G156)-FIND(":",Protokoll_5p!G156))),0,1))</f>
        <v/>
      </c>
      <c r="K190" s="1" t="str">
        <f>IF(Protokoll_5p!H156="","",IF(VALUE(LEFT(Protokoll_5p!H156,FIND(":",Protokoll_5p!H156)-1))&gt;VALUE(RIGHT(Protokoll_5p!H156,LEN(Protokoll_5p!H156)-FIND(":",Protokoll_5p!H156))),0,1))</f>
        <v/>
      </c>
      <c r="L190" s="1" t="str">
        <f>IF(Protokoll_5p!I156="","",IF(VALUE(LEFT(Protokoll_5p!I156,FIND(":",Protokoll_5p!I156)-1))&gt;VALUE(RIGHT(Protokoll_5p!I156,LEN(Protokoll_5p!I156)-FIND(":",Protokoll_5p!I156))),0,1))</f>
        <v/>
      </c>
      <c r="M190" s="1" t="str">
        <f>IF(Protokoll_5p!J156="","",IF(VALUE(LEFT(Protokoll_5p!J156,FIND(":",Protokoll_5p!J156)-1))&gt;VALUE(RIGHT(Protokoll_5p!J156,LEN(Protokoll_5p!J156)-FIND(":",Protokoll_5p!J156))),0,1))</f>
        <v/>
      </c>
      <c r="N190" s="1" t="str">
        <f t="shared" si="5"/>
        <v/>
      </c>
    </row>
    <row r="191" spans="2:14">
      <c r="B191" s="1" t="str">
        <f>IF(Protokoll_5p!F157="","",IF(VALUE(LEFT(Protokoll_5p!F157,FIND(":",Protokoll_5p!F157)-1))&gt;VALUE(RIGHT(Protokoll_5p!F157,LEN(Protokoll_5p!F157)-FIND(":",Protokoll_5p!F157))),1,0))</f>
        <v/>
      </c>
      <c r="C191" s="1" t="str">
        <f>IF(Protokoll_5p!G157="","",IF(VALUE(LEFT(Protokoll_5p!G157,FIND(":",Protokoll_5p!G157)-1))&gt;VALUE(RIGHT(Protokoll_5p!G157,LEN(Protokoll_5p!G157)-FIND(":",Protokoll_5p!G157))),1,0))</f>
        <v/>
      </c>
      <c r="D191" s="1" t="str">
        <f>IF(Protokoll_5p!H157="","",IF(VALUE(LEFT(Protokoll_5p!H157,FIND(":",Protokoll_5p!H157)-1))&gt;VALUE(RIGHT(Protokoll_5p!H157,LEN(Protokoll_5p!H157)-FIND(":",Protokoll_5p!H157))),1,0))</f>
        <v/>
      </c>
      <c r="E191" s="1" t="str">
        <f>IF(Protokoll_5p!I157="","",IF(VALUE(LEFT(Protokoll_5p!I157,FIND(":",Protokoll_5p!I157)-1))&gt;VALUE(RIGHT(Protokoll_5p!I157,LEN(Protokoll_5p!I157)-FIND(":",Protokoll_5p!I157))),1,0))</f>
        <v/>
      </c>
      <c r="F191" s="1" t="str">
        <f>IF(Protokoll_5p!J157="","",IF(VALUE(LEFT(Protokoll_5p!J157,FIND(":",Protokoll_5p!J157)-1))&gt;VALUE(RIGHT(Protokoll_5p!J157,LEN(Protokoll_5p!J157)-FIND(":",Protokoll_5p!J157))),1,0))</f>
        <v/>
      </c>
      <c r="G191" s="1" t="str">
        <f t="shared" si="4"/>
        <v/>
      </c>
      <c r="I191" s="1" t="str">
        <f>IF(Protokoll_5p!F157="","",IF(VALUE(LEFT(Protokoll_5p!F157,FIND(":",Protokoll_5p!F157)-1))&gt;VALUE(RIGHT(Protokoll_5p!F157,LEN(Protokoll_5p!F157)-FIND(":",Protokoll_5p!F157))),0,1))</f>
        <v/>
      </c>
      <c r="J191" s="1" t="str">
        <f>IF(Protokoll_5p!G157="","",IF(VALUE(LEFT(Protokoll_5p!G157,FIND(":",Protokoll_5p!G157)-1))&gt;VALUE(RIGHT(Protokoll_5p!G157,LEN(Protokoll_5p!G157)-FIND(":",Protokoll_5p!G157))),0,1))</f>
        <v/>
      </c>
      <c r="K191" s="1" t="str">
        <f>IF(Protokoll_5p!H157="","",IF(VALUE(LEFT(Protokoll_5p!H157,FIND(":",Protokoll_5p!H157)-1))&gt;VALUE(RIGHT(Protokoll_5p!H157,LEN(Protokoll_5p!H157)-FIND(":",Protokoll_5p!H157))),0,1))</f>
        <v/>
      </c>
      <c r="L191" s="1" t="str">
        <f>IF(Protokoll_5p!I157="","",IF(VALUE(LEFT(Protokoll_5p!I157,FIND(":",Protokoll_5p!I157)-1))&gt;VALUE(RIGHT(Protokoll_5p!I157,LEN(Protokoll_5p!I157)-FIND(":",Protokoll_5p!I157))),0,1))</f>
        <v/>
      </c>
      <c r="M191" s="1" t="str">
        <f>IF(Protokoll_5p!J157="","",IF(VALUE(LEFT(Protokoll_5p!J157,FIND(":",Protokoll_5p!J157)-1))&gt;VALUE(RIGHT(Protokoll_5p!J157,LEN(Protokoll_5p!J157)-FIND(":",Protokoll_5p!J157))),0,1))</f>
        <v/>
      </c>
      <c r="N191" s="1" t="str">
        <f t="shared" si="5"/>
        <v/>
      </c>
    </row>
    <row r="192" spans="2:14">
      <c r="B192" s="1" t="str">
        <f>IF(Protokoll_5p!F158="","",IF(VALUE(LEFT(Protokoll_5p!F158,FIND(":",Protokoll_5p!F158)-1))&gt;VALUE(RIGHT(Protokoll_5p!F158,LEN(Protokoll_5p!F158)-FIND(":",Protokoll_5p!F158))),1,0))</f>
        <v/>
      </c>
      <c r="C192" s="1" t="str">
        <f>IF(Protokoll_5p!G158="","",IF(VALUE(LEFT(Protokoll_5p!G158,FIND(":",Protokoll_5p!G158)-1))&gt;VALUE(RIGHT(Protokoll_5p!G158,LEN(Protokoll_5p!G158)-FIND(":",Protokoll_5p!G158))),1,0))</f>
        <v/>
      </c>
      <c r="D192" s="1" t="str">
        <f>IF(Protokoll_5p!H158="","",IF(VALUE(LEFT(Protokoll_5p!H158,FIND(":",Protokoll_5p!H158)-1))&gt;VALUE(RIGHT(Protokoll_5p!H158,LEN(Protokoll_5p!H158)-FIND(":",Protokoll_5p!H158))),1,0))</f>
        <v/>
      </c>
      <c r="E192" s="1" t="str">
        <f>IF(Protokoll_5p!I158="","",IF(VALUE(LEFT(Protokoll_5p!I158,FIND(":",Protokoll_5p!I158)-1))&gt;VALUE(RIGHT(Protokoll_5p!I158,LEN(Protokoll_5p!I158)-FIND(":",Protokoll_5p!I158))),1,0))</f>
        <v/>
      </c>
      <c r="F192" s="1" t="str">
        <f>IF(Protokoll_5p!J158="","",IF(VALUE(LEFT(Protokoll_5p!J158,FIND(":",Protokoll_5p!J158)-1))&gt;VALUE(RIGHT(Protokoll_5p!J158,LEN(Protokoll_5p!J158)-FIND(":",Protokoll_5p!J158))),1,0))</f>
        <v/>
      </c>
      <c r="G192" s="1" t="str">
        <f t="shared" si="4"/>
        <v/>
      </c>
      <c r="I192" s="1" t="str">
        <f>IF(Protokoll_5p!F158="","",IF(VALUE(LEFT(Protokoll_5p!F158,FIND(":",Protokoll_5p!F158)-1))&gt;VALUE(RIGHT(Protokoll_5p!F158,LEN(Protokoll_5p!F158)-FIND(":",Protokoll_5p!F158))),0,1))</f>
        <v/>
      </c>
      <c r="J192" s="1" t="str">
        <f>IF(Protokoll_5p!G158="","",IF(VALUE(LEFT(Protokoll_5p!G158,FIND(":",Protokoll_5p!G158)-1))&gt;VALUE(RIGHT(Protokoll_5p!G158,LEN(Protokoll_5p!G158)-FIND(":",Protokoll_5p!G158))),0,1))</f>
        <v/>
      </c>
      <c r="K192" s="1" t="str">
        <f>IF(Protokoll_5p!H158="","",IF(VALUE(LEFT(Protokoll_5p!H158,FIND(":",Protokoll_5p!H158)-1))&gt;VALUE(RIGHT(Protokoll_5p!H158,LEN(Protokoll_5p!H158)-FIND(":",Protokoll_5p!H158))),0,1))</f>
        <v/>
      </c>
      <c r="L192" s="1" t="str">
        <f>IF(Protokoll_5p!I158="","",IF(VALUE(LEFT(Protokoll_5p!I158,FIND(":",Protokoll_5p!I158)-1))&gt;VALUE(RIGHT(Protokoll_5p!I158,LEN(Protokoll_5p!I158)-FIND(":",Protokoll_5p!I158))),0,1))</f>
        <v/>
      </c>
      <c r="M192" s="1" t="str">
        <f>IF(Protokoll_5p!J158="","",IF(VALUE(LEFT(Protokoll_5p!J158,FIND(":",Protokoll_5p!J158)-1))&gt;VALUE(RIGHT(Protokoll_5p!J158,LEN(Protokoll_5p!J158)-FIND(":",Protokoll_5p!J158))),0,1))</f>
        <v/>
      </c>
      <c r="N192" s="1" t="str">
        <f t="shared" si="5"/>
        <v/>
      </c>
    </row>
    <row r="193" spans="2:14">
      <c r="B193" s="1" t="str">
        <f>IF(Protokoll_5p!F159="","",IF(VALUE(LEFT(Protokoll_5p!F159,FIND(":",Protokoll_5p!F159)-1))&gt;VALUE(RIGHT(Protokoll_5p!F159,LEN(Protokoll_5p!F159)-FIND(":",Protokoll_5p!F159))),1,0))</f>
        <v/>
      </c>
      <c r="C193" s="1" t="str">
        <f>IF(Protokoll_5p!G159="","",IF(VALUE(LEFT(Protokoll_5p!G159,FIND(":",Protokoll_5p!G159)-1))&gt;VALUE(RIGHT(Protokoll_5p!G159,LEN(Protokoll_5p!G159)-FIND(":",Protokoll_5p!G159))),1,0))</f>
        <v/>
      </c>
      <c r="D193" s="1" t="str">
        <f>IF(Protokoll_5p!H159="","",IF(VALUE(LEFT(Protokoll_5p!H159,FIND(":",Protokoll_5p!H159)-1))&gt;VALUE(RIGHT(Protokoll_5p!H159,LEN(Protokoll_5p!H159)-FIND(":",Protokoll_5p!H159))),1,0))</f>
        <v/>
      </c>
      <c r="E193" s="1" t="str">
        <f>IF(Protokoll_5p!I159="","",IF(VALUE(LEFT(Protokoll_5p!I159,FIND(":",Protokoll_5p!I159)-1))&gt;VALUE(RIGHT(Protokoll_5p!I159,LEN(Protokoll_5p!I159)-FIND(":",Protokoll_5p!I159))),1,0))</f>
        <v/>
      </c>
      <c r="F193" s="1" t="str">
        <f>IF(Protokoll_5p!J159="","",IF(VALUE(LEFT(Protokoll_5p!J159,FIND(":",Protokoll_5p!J159)-1))&gt;VALUE(RIGHT(Protokoll_5p!J159,LEN(Protokoll_5p!J159)-FIND(":",Protokoll_5p!J159))),1,0))</f>
        <v/>
      </c>
      <c r="G193" s="1" t="str">
        <f t="shared" si="4"/>
        <v/>
      </c>
      <c r="I193" s="1" t="str">
        <f>IF(Protokoll_5p!F159="","",IF(VALUE(LEFT(Protokoll_5p!F159,FIND(":",Protokoll_5p!F159)-1))&gt;VALUE(RIGHT(Protokoll_5p!F159,LEN(Protokoll_5p!F159)-FIND(":",Protokoll_5p!F159))),0,1))</f>
        <v/>
      </c>
      <c r="J193" s="1" t="str">
        <f>IF(Protokoll_5p!G159="","",IF(VALUE(LEFT(Protokoll_5p!G159,FIND(":",Protokoll_5p!G159)-1))&gt;VALUE(RIGHT(Protokoll_5p!G159,LEN(Protokoll_5p!G159)-FIND(":",Protokoll_5p!G159))),0,1))</f>
        <v/>
      </c>
      <c r="K193" s="1" t="str">
        <f>IF(Protokoll_5p!H159="","",IF(VALUE(LEFT(Protokoll_5p!H159,FIND(":",Protokoll_5p!H159)-1))&gt;VALUE(RIGHT(Protokoll_5p!H159,LEN(Protokoll_5p!H159)-FIND(":",Protokoll_5p!H159))),0,1))</f>
        <v/>
      </c>
      <c r="L193" s="1" t="str">
        <f>IF(Protokoll_5p!I159="","",IF(VALUE(LEFT(Protokoll_5p!I159,FIND(":",Protokoll_5p!I159)-1))&gt;VALUE(RIGHT(Protokoll_5p!I159,LEN(Protokoll_5p!I159)-FIND(":",Protokoll_5p!I159))),0,1))</f>
        <v/>
      </c>
      <c r="M193" s="1" t="str">
        <f>IF(Protokoll_5p!J159="","",IF(VALUE(LEFT(Protokoll_5p!J159,FIND(":",Protokoll_5p!J159)-1))&gt;VALUE(RIGHT(Protokoll_5p!J159,LEN(Protokoll_5p!J159)-FIND(":",Protokoll_5p!J159))),0,1))</f>
        <v/>
      </c>
      <c r="N193" s="1" t="str">
        <f t="shared" si="5"/>
        <v/>
      </c>
    </row>
    <row r="194" spans="2:14">
      <c r="B194" s="1" t="str">
        <f>IF(Protokoll_5p!F160="","",IF(VALUE(LEFT(Protokoll_5p!F160,FIND(":",Protokoll_5p!F160)-1))&gt;VALUE(RIGHT(Protokoll_5p!F160,LEN(Protokoll_5p!F160)-FIND(":",Protokoll_5p!F160))),1,0))</f>
        <v/>
      </c>
      <c r="C194" s="1" t="str">
        <f>IF(Protokoll_5p!G160="","",IF(VALUE(LEFT(Protokoll_5p!G160,FIND(":",Protokoll_5p!G160)-1))&gt;VALUE(RIGHT(Protokoll_5p!G160,LEN(Protokoll_5p!G160)-FIND(":",Protokoll_5p!G160))),1,0))</f>
        <v/>
      </c>
      <c r="D194" s="1" t="str">
        <f>IF(Protokoll_5p!H160="","",IF(VALUE(LEFT(Protokoll_5p!H160,FIND(":",Protokoll_5p!H160)-1))&gt;VALUE(RIGHT(Protokoll_5p!H160,LEN(Protokoll_5p!H160)-FIND(":",Protokoll_5p!H160))),1,0))</f>
        <v/>
      </c>
      <c r="E194" s="1" t="str">
        <f>IF(Protokoll_5p!I160="","",IF(VALUE(LEFT(Protokoll_5p!I160,FIND(":",Protokoll_5p!I160)-1))&gt;VALUE(RIGHT(Protokoll_5p!I160,LEN(Protokoll_5p!I160)-FIND(":",Protokoll_5p!I160))),1,0))</f>
        <v/>
      </c>
      <c r="F194" s="1" t="str">
        <f>IF(Protokoll_5p!J160="","",IF(VALUE(LEFT(Protokoll_5p!J160,FIND(":",Protokoll_5p!J160)-1))&gt;VALUE(RIGHT(Protokoll_5p!J160,LEN(Protokoll_5p!J160)-FIND(":",Protokoll_5p!J160))),1,0))</f>
        <v/>
      </c>
      <c r="G194" s="1" t="str">
        <f t="shared" si="4"/>
        <v/>
      </c>
      <c r="I194" s="1" t="str">
        <f>IF(Protokoll_5p!F160="","",IF(VALUE(LEFT(Protokoll_5p!F160,FIND(":",Protokoll_5p!F160)-1))&gt;VALUE(RIGHT(Protokoll_5p!F160,LEN(Protokoll_5p!F160)-FIND(":",Protokoll_5p!F160))),0,1))</f>
        <v/>
      </c>
      <c r="J194" s="1" t="str">
        <f>IF(Protokoll_5p!G160="","",IF(VALUE(LEFT(Protokoll_5p!G160,FIND(":",Protokoll_5p!G160)-1))&gt;VALUE(RIGHT(Protokoll_5p!G160,LEN(Protokoll_5p!G160)-FIND(":",Protokoll_5p!G160))),0,1))</f>
        <v/>
      </c>
      <c r="K194" s="1" t="str">
        <f>IF(Protokoll_5p!H160="","",IF(VALUE(LEFT(Protokoll_5p!H160,FIND(":",Protokoll_5p!H160)-1))&gt;VALUE(RIGHT(Protokoll_5p!H160,LEN(Protokoll_5p!H160)-FIND(":",Protokoll_5p!H160))),0,1))</f>
        <v/>
      </c>
      <c r="L194" s="1" t="str">
        <f>IF(Protokoll_5p!I160="","",IF(VALUE(LEFT(Protokoll_5p!I160,FIND(":",Protokoll_5p!I160)-1))&gt;VALUE(RIGHT(Protokoll_5p!I160,LEN(Protokoll_5p!I160)-FIND(":",Protokoll_5p!I160))),0,1))</f>
        <v/>
      </c>
      <c r="M194" s="1" t="str">
        <f>IF(Protokoll_5p!J160="","",IF(VALUE(LEFT(Protokoll_5p!J160,FIND(":",Protokoll_5p!J160)-1))&gt;VALUE(RIGHT(Protokoll_5p!J160,LEN(Protokoll_5p!J160)-FIND(":",Protokoll_5p!J160))),0,1))</f>
        <v/>
      </c>
      <c r="N194" s="1" t="str">
        <f t="shared" si="5"/>
        <v/>
      </c>
    </row>
    <row r="195" spans="2:14">
      <c r="B195" s="1" t="str">
        <f>IF(Protokoll_5p!F161="","",IF(VALUE(LEFT(Protokoll_5p!F161,FIND(":",Protokoll_5p!F161)-1))&gt;VALUE(RIGHT(Protokoll_5p!F161,LEN(Protokoll_5p!F161)-FIND(":",Protokoll_5p!F161))),1,0))</f>
        <v/>
      </c>
      <c r="C195" s="1" t="str">
        <f>IF(Protokoll_5p!G161="","",IF(VALUE(LEFT(Protokoll_5p!G161,FIND(":",Protokoll_5p!G161)-1))&gt;VALUE(RIGHT(Protokoll_5p!G161,LEN(Protokoll_5p!G161)-FIND(":",Protokoll_5p!G161))),1,0))</f>
        <v/>
      </c>
      <c r="D195" s="1" t="str">
        <f>IF(Protokoll_5p!H161="","",IF(VALUE(LEFT(Protokoll_5p!H161,FIND(":",Protokoll_5p!H161)-1))&gt;VALUE(RIGHT(Protokoll_5p!H161,LEN(Protokoll_5p!H161)-FIND(":",Protokoll_5p!H161))),1,0))</f>
        <v/>
      </c>
      <c r="E195" s="1" t="str">
        <f>IF(Protokoll_5p!I161="","",IF(VALUE(LEFT(Protokoll_5p!I161,FIND(":",Protokoll_5p!I161)-1))&gt;VALUE(RIGHT(Protokoll_5p!I161,LEN(Protokoll_5p!I161)-FIND(":",Protokoll_5p!I161))),1,0))</f>
        <v/>
      </c>
      <c r="F195" s="1" t="str">
        <f>IF(Protokoll_5p!J161="","",IF(VALUE(LEFT(Protokoll_5p!J161,FIND(":",Protokoll_5p!J161)-1))&gt;VALUE(RIGHT(Protokoll_5p!J161,LEN(Protokoll_5p!J161)-FIND(":",Protokoll_5p!J161))),1,0))</f>
        <v/>
      </c>
      <c r="G195" s="1" t="str">
        <f t="shared" ref="G195:G258" si="6">IF(B195="","",SUM(B195:F195))</f>
        <v/>
      </c>
      <c r="I195" s="1" t="str">
        <f>IF(Protokoll_5p!F161="","",IF(VALUE(LEFT(Protokoll_5p!F161,FIND(":",Protokoll_5p!F161)-1))&gt;VALUE(RIGHT(Protokoll_5p!F161,LEN(Protokoll_5p!F161)-FIND(":",Protokoll_5p!F161))),0,1))</f>
        <v/>
      </c>
      <c r="J195" s="1" t="str">
        <f>IF(Protokoll_5p!G161="","",IF(VALUE(LEFT(Protokoll_5p!G161,FIND(":",Protokoll_5p!G161)-1))&gt;VALUE(RIGHT(Protokoll_5p!G161,LEN(Protokoll_5p!G161)-FIND(":",Protokoll_5p!G161))),0,1))</f>
        <v/>
      </c>
      <c r="K195" s="1" t="str">
        <f>IF(Protokoll_5p!H161="","",IF(VALUE(LEFT(Protokoll_5p!H161,FIND(":",Protokoll_5p!H161)-1))&gt;VALUE(RIGHT(Protokoll_5p!H161,LEN(Protokoll_5p!H161)-FIND(":",Protokoll_5p!H161))),0,1))</f>
        <v/>
      </c>
      <c r="L195" s="1" t="str">
        <f>IF(Protokoll_5p!I161="","",IF(VALUE(LEFT(Protokoll_5p!I161,FIND(":",Protokoll_5p!I161)-1))&gt;VALUE(RIGHT(Protokoll_5p!I161,LEN(Protokoll_5p!I161)-FIND(":",Protokoll_5p!I161))),0,1))</f>
        <v/>
      </c>
      <c r="M195" s="1" t="str">
        <f>IF(Protokoll_5p!J161="","",IF(VALUE(LEFT(Protokoll_5p!J161,FIND(":",Protokoll_5p!J161)-1))&gt;VALUE(RIGHT(Protokoll_5p!J161,LEN(Protokoll_5p!J161)-FIND(":",Protokoll_5p!J161))),0,1))</f>
        <v/>
      </c>
      <c r="N195" s="1" t="str">
        <f t="shared" ref="N195:N258" si="7">IF(I195="","",SUM(I195:M195))</f>
        <v/>
      </c>
    </row>
    <row r="196" spans="2:14">
      <c r="B196" s="1" t="str">
        <f>IF(Protokoll_5p!F162="","",IF(VALUE(LEFT(Protokoll_5p!F162,FIND(":",Protokoll_5p!F162)-1))&gt;VALUE(RIGHT(Protokoll_5p!F162,LEN(Protokoll_5p!F162)-FIND(":",Protokoll_5p!F162))),1,0))</f>
        <v/>
      </c>
      <c r="C196" s="1" t="str">
        <f>IF(Protokoll_5p!G162="","",IF(VALUE(LEFT(Protokoll_5p!G162,FIND(":",Protokoll_5p!G162)-1))&gt;VALUE(RIGHT(Protokoll_5p!G162,LEN(Protokoll_5p!G162)-FIND(":",Protokoll_5p!G162))),1,0))</f>
        <v/>
      </c>
      <c r="D196" s="1" t="str">
        <f>IF(Protokoll_5p!H162="","",IF(VALUE(LEFT(Protokoll_5p!H162,FIND(":",Protokoll_5p!H162)-1))&gt;VALUE(RIGHT(Protokoll_5p!H162,LEN(Protokoll_5p!H162)-FIND(":",Protokoll_5p!H162))),1,0))</f>
        <v/>
      </c>
      <c r="E196" s="1" t="str">
        <f>IF(Protokoll_5p!I162="","",IF(VALUE(LEFT(Protokoll_5p!I162,FIND(":",Protokoll_5p!I162)-1))&gt;VALUE(RIGHT(Protokoll_5p!I162,LEN(Protokoll_5p!I162)-FIND(":",Protokoll_5p!I162))),1,0))</f>
        <v/>
      </c>
      <c r="F196" s="1" t="str">
        <f>IF(Protokoll_5p!J162="","",IF(VALUE(LEFT(Protokoll_5p!J162,FIND(":",Protokoll_5p!J162)-1))&gt;VALUE(RIGHT(Protokoll_5p!J162,LEN(Protokoll_5p!J162)-FIND(":",Protokoll_5p!J162))),1,0))</f>
        <v/>
      </c>
      <c r="G196" s="1" t="str">
        <f t="shared" si="6"/>
        <v/>
      </c>
      <c r="I196" s="1" t="str">
        <f>IF(Protokoll_5p!F162="","",IF(VALUE(LEFT(Protokoll_5p!F162,FIND(":",Protokoll_5p!F162)-1))&gt;VALUE(RIGHT(Protokoll_5p!F162,LEN(Protokoll_5p!F162)-FIND(":",Protokoll_5p!F162))),0,1))</f>
        <v/>
      </c>
      <c r="J196" s="1" t="str">
        <f>IF(Protokoll_5p!G162="","",IF(VALUE(LEFT(Protokoll_5p!G162,FIND(":",Protokoll_5p!G162)-1))&gt;VALUE(RIGHT(Protokoll_5p!G162,LEN(Protokoll_5p!G162)-FIND(":",Protokoll_5p!G162))),0,1))</f>
        <v/>
      </c>
      <c r="K196" s="1" t="str">
        <f>IF(Protokoll_5p!H162="","",IF(VALUE(LEFT(Protokoll_5p!H162,FIND(":",Protokoll_5p!H162)-1))&gt;VALUE(RIGHT(Protokoll_5p!H162,LEN(Protokoll_5p!H162)-FIND(":",Protokoll_5p!H162))),0,1))</f>
        <v/>
      </c>
      <c r="L196" s="1" t="str">
        <f>IF(Protokoll_5p!I162="","",IF(VALUE(LEFT(Protokoll_5p!I162,FIND(":",Protokoll_5p!I162)-1))&gt;VALUE(RIGHT(Protokoll_5p!I162,LEN(Protokoll_5p!I162)-FIND(":",Protokoll_5p!I162))),0,1))</f>
        <v/>
      </c>
      <c r="M196" s="1" t="str">
        <f>IF(Protokoll_5p!J162="","",IF(VALUE(LEFT(Protokoll_5p!J162,FIND(":",Protokoll_5p!J162)-1))&gt;VALUE(RIGHT(Protokoll_5p!J162,LEN(Protokoll_5p!J162)-FIND(":",Protokoll_5p!J162))),0,1))</f>
        <v/>
      </c>
      <c r="N196" s="1" t="str">
        <f t="shared" si="7"/>
        <v/>
      </c>
    </row>
    <row r="197" spans="2:14">
      <c r="B197" s="1" t="str">
        <f>IF(Protokoll_5p!F163="","",IF(VALUE(LEFT(Protokoll_5p!F163,FIND(":",Protokoll_5p!F163)-1))&gt;VALUE(RIGHT(Protokoll_5p!F163,LEN(Protokoll_5p!F163)-FIND(":",Protokoll_5p!F163))),1,0))</f>
        <v/>
      </c>
      <c r="C197" s="1" t="str">
        <f>IF(Protokoll_5p!G163="","",IF(VALUE(LEFT(Protokoll_5p!G163,FIND(":",Protokoll_5p!G163)-1))&gt;VALUE(RIGHT(Protokoll_5p!G163,LEN(Protokoll_5p!G163)-FIND(":",Protokoll_5p!G163))),1,0))</f>
        <v/>
      </c>
      <c r="D197" s="1" t="str">
        <f>IF(Protokoll_5p!H163="","",IF(VALUE(LEFT(Protokoll_5p!H163,FIND(":",Protokoll_5p!H163)-1))&gt;VALUE(RIGHT(Protokoll_5p!H163,LEN(Protokoll_5p!H163)-FIND(":",Protokoll_5p!H163))),1,0))</f>
        <v/>
      </c>
      <c r="E197" s="1" t="str">
        <f>IF(Protokoll_5p!I163="","",IF(VALUE(LEFT(Protokoll_5p!I163,FIND(":",Protokoll_5p!I163)-1))&gt;VALUE(RIGHT(Protokoll_5p!I163,LEN(Protokoll_5p!I163)-FIND(":",Protokoll_5p!I163))),1,0))</f>
        <v/>
      </c>
      <c r="F197" s="1" t="str">
        <f>IF(Protokoll_5p!J163="","",IF(VALUE(LEFT(Protokoll_5p!J163,FIND(":",Protokoll_5p!J163)-1))&gt;VALUE(RIGHT(Protokoll_5p!J163,LEN(Protokoll_5p!J163)-FIND(":",Protokoll_5p!J163))),1,0))</f>
        <v/>
      </c>
      <c r="G197" s="1" t="str">
        <f t="shared" si="6"/>
        <v/>
      </c>
      <c r="I197" s="1" t="str">
        <f>IF(Protokoll_5p!F163="","",IF(VALUE(LEFT(Protokoll_5p!F163,FIND(":",Protokoll_5p!F163)-1))&gt;VALUE(RIGHT(Protokoll_5p!F163,LEN(Protokoll_5p!F163)-FIND(":",Protokoll_5p!F163))),0,1))</f>
        <v/>
      </c>
      <c r="J197" s="1" t="str">
        <f>IF(Protokoll_5p!G163="","",IF(VALUE(LEFT(Protokoll_5p!G163,FIND(":",Protokoll_5p!G163)-1))&gt;VALUE(RIGHT(Protokoll_5p!G163,LEN(Protokoll_5p!G163)-FIND(":",Protokoll_5p!G163))),0,1))</f>
        <v/>
      </c>
      <c r="K197" s="1" t="str">
        <f>IF(Protokoll_5p!H163="","",IF(VALUE(LEFT(Protokoll_5p!H163,FIND(":",Protokoll_5p!H163)-1))&gt;VALUE(RIGHT(Protokoll_5p!H163,LEN(Protokoll_5p!H163)-FIND(":",Protokoll_5p!H163))),0,1))</f>
        <v/>
      </c>
      <c r="L197" s="1" t="str">
        <f>IF(Protokoll_5p!I163="","",IF(VALUE(LEFT(Protokoll_5p!I163,FIND(":",Protokoll_5p!I163)-1))&gt;VALUE(RIGHT(Protokoll_5p!I163,LEN(Protokoll_5p!I163)-FIND(":",Protokoll_5p!I163))),0,1))</f>
        <v/>
      </c>
      <c r="M197" s="1" t="str">
        <f>IF(Protokoll_5p!J163="","",IF(VALUE(LEFT(Protokoll_5p!J163,FIND(":",Protokoll_5p!J163)-1))&gt;VALUE(RIGHT(Protokoll_5p!J163,LEN(Protokoll_5p!J163)-FIND(":",Protokoll_5p!J163))),0,1))</f>
        <v/>
      </c>
      <c r="N197" s="1" t="str">
        <f t="shared" si="7"/>
        <v/>
      </c>
    </row>
    <row r="198" spans="2:14">
      <c r="B198" s="1" t="str">
        <f>IF(Protokoll_5p!F164="","",IF(VALUE(LEFT(Protokoll_5p!F164,FIND(":",Protokoll_5p!F164)-1))&gt;VALUE(RIGHT(Protokoll_5p!F164,LEN(Protokoll_5p!F164)-FIND(":",Protokoll_5p!F164))),1,0))</f>
        <v/>
      </c>
      <c r="C198" s="1" t="str">
        <f>IF(Protokoll_5p!G164="","",IF(VALUE(LEFT(Protokoll_5p!G164,FIND(":",Protokoll_5p!G164)-1))&gt;VALUE(RIGHT(Protokoll_5p!G164,LEN(Protokoll_5p!G164)-FIND(":",Protokoll_5p!G164))),1,0))</f>
        <v/>
      </c>
      <c r="D198" s="1" t="str">
        <f>IF(Protokoll_5p!H164="","",IF(VALUE(LEFT(Protokoll_5p!H164,FIND(":",Protokoll_5p!H164)-1))&gt;VALUE(RIGHT(Protokoll_5p!H164,LEN(Protokoll_5p!H164)-FIND(":",Protokoll_5p!H164))),1,0))</f>
        <v/>
      </c>
      <c r="E198" s="1" t="str">
        <f>IF(Protokoll_5p!I164="","",IF(VALUE(LEFT(Protokoll_5p!I164,FIND(":",Protokoll_5p!I164)-1))&gt;VALUE(RIGHT(Protokoll_5p!I164,LEN(Protokoll_5p!I164)-FIND(":",Protokoll_5p!I164))),1,0))</f>
        <v/>
      </c>
      <c r="F198" s="1" t="str">
        <f>IF(Protokoll_5p!J164="","",IF(VALUE(LEFT(Protokoll_5p!J164,FIND(":",Protokoll_5p!J164)-1))&gt;VALUE(RIGHT(Protokoll_5p!J164,LEN(Protokoll_5p!J164)-FIND(":",Protokoll_5p!J164))),1,0))</f>
        <v/>
      </c>
      <c r="G198" s="1" t="str">
        <f t="shared" si="6"/>
        <v/>
      </c>
      <c r="I198" s="1" t="str">
        <f>IF(Protokoll_5p!F164="","",IF(VALUE(LEFT(Protokoll_5p!F164,FIND(":",Protokoll_5p!F164)-1))&gt;VALUE(RIGHT(Protokoll_5p!F164,LEN(Protokoll_5p!F164)-FIND(":",Protokoll_5p!F164))),0,1))</f>
        <v/>
      </c>
      <c r="J198" s="1" t="str">
        <f>IF(Protokoll_5p!G164="","",IF(VALUE(LEFT(Protokoll_5p!G164,FIND(":",Protokoll_5p!G164)-1))&gt;VALUE(RIGHT(Protokoll_5p!G164,LEN(Protokoll_5p!G164)-FIND(":",Protokoll_5p!G164))),0,1))</f>
        <v/>
      </c>
      <c r="K198" s="1" t="str">
        <f>IF(Protokoll_5p!H164="","",IF(VALUE(LEFT(Protokoll_5p!H164,FIND(":",Protokoll_5p!H164)-1))&gt;VALUE(RIGHT(Protokoll_5p!H164,LEN(Protokoll_5p!H164)-FIND(":",Protokoll_5p!H164))),0,1))</f>
        <v/>
      </c>
      <c r="L198" s="1" t="str">
        <f>IF(Protokoll_5p!I164="","",IF(VALUE(LEFT(Protokoll_5p!I164,FIND(":",Protokoll_5p!I164)-1))&gt;VALUE(RIGHT(Protokoll_5p!I164,LEN(Protokoll_5p!I164)-FIND(":",Protokoll_5p!I164))),0,1))</f>
        <v/>
      </c>
      <c r="M198" s="1" t="str">
        <f>IF(Protokoll_5p!J164="","",IF(VALUE(LEFT(Protokoll_5p!J164,FIND(":",Protokoll_5p!J164)-1))&gt;VALUE(RIGHT(Protokoll_5p!J164,LEN(Protokoll_5p!J164)-FIND(":",Protokoll_5p!J164))),0,1))</f>
        <v/>
      </c>
      <c r="N198" s="1" t="str">
        <f t="shared" si="7"/>
        <v/>
      </c>
    </row>
    <row r="199" spans="2:14">
      <c r="B199" s="1" t="str">
        <f>IF(Protokoll_5p!F165="","",IF(VALUE(LEFT(Protokoll_5p!F165,FIND(":",Protokoll_5p!F165)-1))&gt;VALUE(RIGHT(Protokoll_5p!F165,LEN(Protokoll_5p!F165)-FIND(":",Protokoll_5p!F165))),1,0))</f>
        <v/>
      </c>
      <c r="C199" s="1" t="str">
        <f>IF(Protokoll_5p!G165="","",IF(VALUE(LEFT(Protokoll_5p!G165,FIND(":",Protokoll_5p!G165)-1))&gt;VALUE(RIGHT(Protokoll_5p!G165,LEN(Protokoll_5p!G165)-FIND(":",Protokoll_5p!G165))),1,0))</f>
        <v/>
      </c>
      <c r="D199" s="1" t="str">
        <f>IF(Protokoll_5p!H165="","",IF(VALUE(LEFT(Protokoll_5p!H165,FIND(":",Protokoll_5p!H165)-1))&gt;VALUE(RIGHT(Protokoll_5p!H165,LEN(Protokoll_5p!H165)-FIND(":",Protokoll_5p!H165))),1,0))</f>
        <v/>
      </c>
      <c r="E199" s="1" t="str">
        <f>IF(Protokoll_5p!I165="","",IF(VALUE(LEFT(Protokoll_5p!I165,FIND(":",Protokoll_5p!I165)-1))&gt;VALUE(RIGHT(Protokoll_5p!I165,LEN(Protokoll_5p!I165)-FIND(":",Protokoll_5p!I165))),1,0))</f>
        <v/>
      </c>
      <c r="F199" s="1" t="str">
        <f>IF(Protokoll_5p!J165="","",IF(VALUE(LEFT(Protokoll_5p!J165,FIND(":",Protokoll_5p!J165)-1))&gt;VALUE(RIGHT(Protokoll_5p!J165,LEN(Protokoll_5p!J165)-FIND(":",Protokoll_5p!J165))),1,0))</f>
        <v/>
      </c>
      <c r="G199" s="1" t="str">
        <f t="shared" si="6"/>
        <v/>
      </c>
      <c r="I199" s="1" t="str">
        <f>IF(Protokoll_5p!F165="","",IF(VALUE(LEFT(Protokoll_5p!F165,FIND(":",Protokoll_5p!F165)-1))&gt;VALUE(RIGHT(Protokoll_5p!F165,LEN(Protokoll_5p!F165)-FIND(":",Protokoll_5p!F165))),0,1))</f>
        <v/>
      </c>
      <c r="J199" s="1" t="str">
        <f>IF(Protokoll_5p!G165="","",IF(VALUE(LEFT(Protokoll_5p!G165,FIND(":",Protokoll_5p!G165)-1))&gt;VALUE(RIGHT(Protokoll_5p!G165,LEN(Protokoll_5p!G165)-FIND(":",Protokoll_5p!G165))),0,1))</f>
        <v/>
      </c>
      <c r="K199" s="1" t="str">
        <f>IF(Protokoll_5p!H165="","",IF(VALUE(LEFT(Protokoll_5p!H165,FIND(":",Protokoll_5p!H165)-1))&gt;VALUE(RIGHT(Protokoll_5p!H165,LEN(Protokoll_5p!H165)-FIND(":",Protokoll_5p!H165))),0,1))</f>
        <v/>
      </c>
      <c r="L199" s="1" t="str">
        <f>IF(Protokoll_5p!I165="","",IF(VALUE(LEFT(Protokoll_5p!I165,FIND(":",Protokoll_5p!I165)-1))&gt;VALUE(RIGHT(Protokoll_5p!I165,LEN(Protokoll_5p!I165)-FIND(":",Protokoll_5p!I165))),0,1))</f>
        <v/>
      </c>
      <c r="M199" s="1" t="str">
        <f>IF(Protokoll_5p!J165="","",IF(VALUE(LEFT(Protokoll_5p!J165,FIND(":",Protokoll_5p!J165)-1))&gt;VALUE(RIGHT(Protokoll_5p!J165,LEN(Protokoll_5p!J165)-FIND(":",Protokoll_5p!J165))),0,1))</f>
        <v/>
      </c>
      <c r="N199" s="1" t="str">
        <f t="shared" si="7"/>
        <v/>
      </c>
    </row>
    <row r="200" spans="2:14">
      <c r="B200" s="1" t="str">
        <f>IF(Protokoll_5p!F166="","",IF(VALUE(LEFT(Protokoll_5p!F166,FIND(":",Protokoll_5p!F166)-1))&gt;VALUE(RIGHT(Protokoll_5p!F166,LEN(Protokoll_5p!F166)-FIND(":",Protokoll_5p!F166))),1,0))</f>
        <v/>
      </c>
      <c r="C200" s="1" t="str">
        <f>IF(Protokoll_5p!G166="","",IF(VALUE(LEFT(Protokoll_5p!G166,FIND(":",Protokoll_5p!G166)-1))&gt;VALUE(RIGHT(Protokoll_5p!G166,LEN(Protokoll_5p!G166)-FIND(":",Protokoll_5p!G166))),1,0))</f>
        <v/>
      </c>
      <c r="D200" s="1" t="str">
        <f>IF(Protokoll_5p!H166="","",IF(VALUE(LEFT(Protokoll_5p!H166,FIND(":",Protokoll_5p!H166)-1))&gt;VALUE(RIGHT(Protokoll_5p!H166,LEN(Protokoll_5p!H166)-FIND(":",Protokoll_5p!H166))),1,0))</f>
        <v/>
      </c>
      <c r="E200" s="1" t="str">
        <f>IF(Protokoll_5p!I166="","",IF(VALUE(LEFT(Protokoll_5p!I166,FIND(":",Protokoll_5p!I166)-1))&gt;VALUE(RIGHT(Protokoll_5p!I166,LEN(Protokoll_5p!I166)-FIND(":",Protokoll_5p!I166))),1,0))</f>
        <v/>
      </c>
      <c r="F200" s="1" t="str">
        <f>IF(Protokoll_5p!J166="","",IF(VALUE(LEFT(Protokoll_5p!J166,FIND(":",Protokoll_5p!J166)-1))&gt;VALUE(RIGHT(Protokoll_5p!J166,LEN(Protokoll_5p!J166)-FIND(":",Protokoll_5p!J166))),1,0))</f>
        <v/>
      </c>
      <c r="G200" s="1" t="str">
        <f t="shared" si="6"/>
        <v/>
      </c>
      <c r="I200" s="1" t="str">
        <f>IF(Protokoll_5p!F166="","",IF(VALUE(LEFT(Protokoll_5p!F166,FIND(":",Protokoll_5p!F166)-1))&gt;VALUE(RIGHT(Protokoll_5p!F166,LEN(Protokoll_5p!F166)-FIND(":",Protokoll_5p!F166))),0,1))</f>
        <v/>
      </c>
      <c r="J200" s="1" t="str">
        <f>IF(Protokoll_5p!G166="","",IF(VALUE(LEFT(Protokoll_5p!G166,FIND(":",Protokoll_5p!G166)-1))&gt;VALUE(RIGHT(Protokoll_5p!G166,LEN(Protokoll_5p!G166)-FIND(":",Protokoll_5p!G166))),0,1))</f>
        <v/>
      </c>
      <c r="K200" s="1" t="str">
        <f>IF(Protokoll_5p!H166="","",IF(VALUE(LEFT(Protokoll_5p!H166,FIND(":",Protokoll_5p!H166)-1))&gt;VALUE(RIGHT(Protokoll_5p!H166,LEN(Protokoll_5p!H166)-FIND(":",Protokoll_5p!H166))),0,1))</f>
        <v/>
      </c>
      <c r="L200" s="1" t="str">
        <f>IF(Protokoll_5p!I166="","",IF(VALUE(LEFT(Protokoll_5p!I166,FIND(":",Protokoll_5p!I166)-1))&gt;VALUE(RIGHT(Protokoll_5p!I166,LEN(Protokoll_5p!I166)-FIND(":",Protokoll_5p!I166))),0,1))</f>
        <v/>
      </c>
      <c r="M200" s="1" t="str">
        <f>IF(Protokoll_5p!J166="","",IF(VALUE(LEFT(Protokoll_5p!J166,FIND(":",Protokoll_5p!J166)-1))&gt;VALUE(RIGHT(Protokoll_5p!J166,LEN(Protokoll_5p!J166)-FIND(":",Protokoll_5p!J166))),0,1))</f>
        <v/>
      </c>
      <c r="N200" s="1" t="str">
        <f t="shared" si="7"/>
        <v/>
      </c>
    </row>
    <row r="201" spans="2:14">
      <c r="B201" s="1" t="str">
        <f>IF(Protokoll_5p!F167="","",IF(VALUE(LEFT(Protokoll_5p!F167,FIND(":",Protokoll_5p!F167)-1))&gt;VALUE(RIGHT(Protokoll_5p!F167,LEN(Protokoll_5p!F167)-FIND(":",Protokoll_5p!F167))),1,0))</f>
        <v/>
      </c>
      <c r="C201" s="1" t="str">
        <f>IF(Protokoll_5p!G167="","",IF(VALUE(LEFT(Protokoll_5p!G167,FIND(":",Protokoll_5p!G167)-1))&gt;VALUE(RIGHT(Protokoll_5p!G167,LEN(Protokoll_5p!G167)-FIND(":",Protokoll_5p!G167))),1,0))</f>
        <v/>
      </c>
      <c r="D201" s="1" t="str">
        <f>IF(Protokoll_5p!H167="","",IF(VALUE(LEFT(Protokoll_5p!H167,FIND(":",Protokoll_5p!H167)-1))&gt;VALUE(RIGHT(Protokoll_5p!H167,LEN(Protokoll_5p!H167)-FIND(":",Protokoll_5p!H167))),1,0))</f>
        <v/>
      </c>
      <c r="E201" s="1" t="str">
        <f>IF(Protokoll_5p!I167="","",IF(VALUE(LEFT(Protokoll_5p!I167,FIND(":",Protokoll_5p!I167)-1))&gt;VALUE(RIGHT(Protokoll_5p!I167,LEN(Protokoll_5p!I167)-FIND(":",Protokoll_5p!I167))),1,0))</f>
        <v/>
      </c>
      <c r="F201" s="1" t="str">
        <f>IF(Protokoll_5p!J167="","",IF(VALUE(LEFT(Protokoll_5p!J167,FIND(":",Protokoll_5p!J167)-1))&gt;VALUE(RIGHT(Protokoll_5p!J167,LEN(Protokoll_5p!J167)-FIND(":",Protokoll_5p!J167))),1,0))</f>
        <v/>
      </c>
      <c r="G201" s="1" t="str">
        <f t="shared" si="6"/>
        <v/>
      </c>
      <c r="I201" s="1" t="str">
        <f>IF(Protokoll_5p!F167="","",IF(VALUE(LEFT(Protokoll_5p!F167,FIND(":",Protokoll_5p!F167)-1))&gt;VALUE(RIGHT(Protokoll_5p!F167,LEN(Protokoll_5p!F167)-FIND(":",Protokoll_5p!F167))),0,1))</f>
        <v/>
      </c>
      <c r="J201" s="1" t="str">
        <f>IF(Protokoll_5p!G167="","",IF(VALUE(LEFT(Protokoll_5p!G167,FIND(":",Protokoll_5p!G167)-1))&gt;VALUE(RIGHT(Protokoll_5p!G167,LEN(Protokoll_5p!G167)-FIND(":",Protokoll_5p!G167))),0,1))</f>
        <v/>
      </c>
      <c r="K201" s="1" t="str">
        <f>IF(Protokoll_5p!H167="","",IF(VALUE(LEFT(Protokoll_5p!H167,FIND(":",Protokoll_5p!H167)-1))&gt;VALUE(RIGHT(Protokoll_5p!H167,LEN(Protokoll_5p!H167)-FIND(":",Protokoll_5p!H167))),0,1))</f>
        <v/>
      </c>
      <c r="L201" s="1" t="str">
        <f>IF(Protokoll_5p!I167="","",IF(VALUE(LEFT(Protokoll_5p!I167,FIND(":",Protokoll_5p!I167)-1))&gt;VALUE(RIGHT(Protokoll_5p!I167,LEN(Protokoll_5p!I167)-FIND(":",Protokoll_5p!I167))),0,1))</f>
        <v/>
      </c>
      <c r="M201" s="1" t="str">
        <f>IF(Protokoll_5p!J167="","",IF(VALUE(LEFT(Protokoll_5p!J167,FIND(":",Protokoll_5p!J167)-1))&gt;VALUE(RIGHT(Protokoll_5p!J167,LEN(Protokoll_5p!J167)-FIND(":",Protokoll_5p!J167))),0,1))</f>
        <v/>
      </c>
      <c r="N201" s="1" t="str">
        <f t="shared" si="7"/>
        <v/>
      </c>
    </row>
    <row r="202" spans="2:14">
      <c r="B202" s="1" t="str">
        <f>IF(Protokoll_5p!F168="","",IF(VALUE(LEFT(Protokoll_5p!F168,FIND(":",Protokoll_5p!F168)-1))&gt;VALUE(RIGHT(Protokoll_5p!F168,LEN(Protokoll_5p!F168)-FIND(":",Protokoll_5p!F168))),1,0))</f>
        <v/>
      </c>
      <c r="C202" s="1" t="str">
        <f>IF(Protokoll_5p!G168="","",IF(VALUE(LEFT(Protokoll_5p!G168,FIND(":",Protokoll_5p!G168)-1))&gt;VALUE(RIGHT(Protokoll_5p!G168,LEN(Protokoll_5p!G168)-FIND(":",Protokoll_5p!G168))),1,0))</f>
        <v/>
      </c>
      <c r="D202" s="1" t="str">
        <f>IF(Protokoll_5p!H168="","",IF(VALUE(LEFT(Protokoll_5p!H168,FIND(":",Protokoll_5p!H168)-1))&gt;VALUE(RIGHT(Protokoll_5p!H168,LEN(Protokoll_5p!H168)-FIND(":",Protokoll_5p!H168))),1,0))</f>
        <v/>
      </c>
      <c r="E202" s="1" t="str">
        <f>IF(Protokoll_5p!I168="","",IF(VALUE(LEFT(Protokoll_5p!I168,FIND(":",Protokoll_5p!I168)-1))&gt;VALUE(RIGHT(Protokoll_5p!I168,LEN(Protokoll_5p!I168)-FIND(":",Protokoll_5p!I168))),1,0))</f>
        <v/>
      </c>
      <c r="F202" s="1" t="str">
        <f>IF(Protokoll_5p!J168="","",IF(VALUE(LEFT(Protokoll_5p!J168,FIND(":",Protokoll_5p!J168)-1))&gt;VALUE(RIGHT(Protokoll_5p!J168,LEN(Protokoll_5p!J168)-FIND(":",Protokoll_5p!J168))),1,0))</f>
        <v/>
      </c>
      <c r="G202" s="1" t="str">
        <f t="shared" si="6"/>
        <v/>
      </c>
      <c r="I202" s="1" t="str">
        <f>IF(Protokoll_5p!F168="","",IF(VALUE(LEFT(Protokoll_5p!F168,FIND(":",Protokoll_5p!F168)-1))&gt;VALUE(RIGHT(Protokoll_5p!F168,LEN(Protokoll_5p!F168)-FIND(":",Protokoll_5p!F168))),0,1))</f>
        <v/>
      </c>
      <c r="J202" s="1" t="str">
        <f>IF(Protokoll_5p!G168="","",IF(VALUE(LEFT(Protokoll_5p!G168,FIND(":",Protokoll_5p!G168)-1))&gt;VALUE(RIGHT(Protokoll_5p!G168,LEN(Protokoll_5p!G168)-FIND(":",Protokoll_5p!G168))),0,1))</f>
        <v/>
      </c>
      <c r="K202" s="1" t="str">
        <f>IF(Protokoll_5p!H168="","",IF(VALUE(LEFT(Protokoll_5p!H168,FIND(":",Protokoll_5p!H168)-1))&gt;VALUE(RIGHT(Protokoll_5p!H168,LEN(Protokoll_5p!H168)-FIND(":",Protokoll_5p!H168))),0,1))</f>
        <v/>
      </c>
      <c r="L202" s="1" t="str">
        <f>IF(Protokoll_5p!I168="","",IF(VALUE(LEFT(Protokoll_5p!I168,FIND(":",Protokoll_5p!I168)-1))&gt;VALUE(RIGHT(Protokoll_5p!I168,LEN(Protokoll_5p!I168)-FIND(":",Protokoll_5p!I168))),0,1))</f>
        <v/>
      </c>
      <c r="M202" s="1" t="str">
        <f>IF(Protokoll_5p!J168="","",IF(VALUE(LEFT(Protokoll_5p!J168,FIND(":",Protokoll_5p!J168)-1))&gt;VALUE(RIGHT(Protokoll_5p!J168,LEN(Protokoll_5p!J168)-FIND(":",Protokoll_5p!J168))),0,1))</f>
        <v/>
      </c>
      <c r="N202" s="1" t="str">
        <f t="shared" si="7"/>
        <v/>
      </c>
    </row>
    <row r="203" spans="2:14">
      <c r="B203" s="1" t="str">
        <f>IF(Protokoll_5p!F169="","",IF(VALUE(LEFT(Protokoll_5p!F169,FIND(":",Protokoll_5p!F169)-1))&gt;VALUE(RIGHT(Protokoll_5p!F169,LEN(Protokoll_5p!F169)-FIND(":",Protokoll_5p!F169))),1,0))</f>
        <v/>
      </c>
      <c r="C203" s="1" t="str">
        <f>IF(Protokoll_5p!G169="","",IF(VALUE(LEFT(Protokoll_5p!G169,FIND(":",Protokoll_5p!G169)-1))&gt;VALUE(RIGHT(Protokoll_5p!G169,LEN(Protokoll_5p!G169)-FIND(":",Protokoll_5p!G169))),1,0))</f>
        <v/>
      </c>
      <c r="D203" s="1" t="str">
        <f>IF(Protokoll_5p!H169="","",IF(VALUE(LEFT(Protokoll_5p!H169,FIND(":",Protokoll_5p!H169)-1))&gt;VALUE(RIGHT(Protokoll_5p!H169,LEN(Protokoll_5p!H169)-FIND(":",Protokoll_5p!H169))),1,0))</f>
        <v/>
      </c>
      <c r="E203" s="1" t="str">
        <f>IF(Protokoll_5p!I169="","",IF(VALUE(LEFT(Protokoll_5p!I169,FIND(":",Protokoll_5p!I169)-1))&gt;VALUE(RIGHT(Protokoll_5p!I169,LEN(Protokoll_5p!I169)-FIND(":",Protokoll_5p!I169))),1,0))</f>
        <v/>
      </c>
      <c r="F203" s="1" t="str">
        <f>IF(Protokoll_5p!J169="","",IF(VALUE(LEFT(Protokoll_5p!J169,FIND(":",Protokoll_5p!J169)-1))&gt;VALUE(RIGHT(Protokoll_5p!J169,LEN(Protokoll_5p!J169)-FIND(":",Protokoll_5p!J169))),1,0))</f>
        <v/>
      </c>
      <c r="G203" s="1" t="str">
        <f t="shared" si="6"/>
        <v/>
      </c>
      <c r="I203" s="1" t="str">
        <f>IF(Protokoll_5p!F169="","",IF(VALUE(LEFT(Protokoll_5p!F169,FIND(":",Protokoll_5p!F169)-1))&gt;VALUE(RIGHT(Protokoll_5p!F169,LEN(Protokoll_5p!F169)-FIND(":",Protokoll_5p!F169))),0,1))</f>
        <v/>
      </c>
      <c r="J203" s="1" t="str">
        <f>IF(Protokoll_5p!G169="","",IF(VALUE(LEFT(Protokoll_5p!G169,FIND(":",Protokoll_5p!G169)-1))&gt;VALUE(RIGHT(Protokoll_5p!G169,LEN(Protokoll_5p!G169)-FIND(":",Protokoll_5p!G169))),0,1))</f>
        <v/>
      </c>
      <c r="K203" s="1" t="str">
        <f>IF(Protokoll_5p!H169="","",IF(VALUE(LEFT(Protokoll_5p!H169,FIND(":",Protokoll_5p!H169)-1))&gt;VALUE(RIGHT(Protokoll_5p!H169,LEN(Protokoll_5p!H169)-FIND(":",Protokoll_5p!H169))),0,1))</f>
        <v/>
      </c>
      <c r="L203" s="1" t="str">
        <f>IF(Protokoll_5p!I169="","",IF(VALUE(LEFT(Protokoll_5p!I169,FIND(":",Protokoll_5p!I169)-1))&gt;VALUE(RIGHT(Protokoll_5p!I169,LEN(Protokoll_5p!I169)-FIND(":",Protokoll_5p!I169))),0,1))</f>
        <v/>
      </c>
      <c r="M203" s="1" t="str">
        <f>IF(Protokoll_5p!J169="","",IF(VALUE(LEFT(Protokoll_5p!J169,FIND(":",Protokoll_5p!J169)-1))&gt;VALUE(RIGHT(Protokoll_5p!J169,LEN(Protokoll_5p!J169)-FIND(":",Protokoll_5p!J169))),0,1))</f>
        <v/>
      </c>
      <c r="N203" s="1" t="str">
        <f t="shared" si="7"/>
        <v/>
      </c>
    </row>
    <row r="204" spans="2:14">
      <c r="B204" s="1" t="str">
        <f>IF(Protokoll_5p!F170="","",IF(VALUE(LEFT(Protokoll_5p!F170,FIND(":",Protokoll_5p!F170)-1))&gt;VALUE(RIGHT(Protokoll_5p!F170,LEN(Protokoll_5p!F170)-FIND(":",Protokoll_5p!F170))),1,0))</f>
        <v/>
      </c>
      <c r="C204" s="1" t="str">
        <f>IF(Protokoll_5p!G170="","",IF(VALUE(LEFT(Protokoll_5p!G170,FIND(":",Protokoll_5p!G170)-1))&gt;VALUE(RIGHT(Protokoll_5p!G170,LEN(Protokoll_5p!G170)-FIND(":",Protokoll_5p!G170))),1,0))</f>
        <v/>
      </c>
      <c r="D204" s="1" t="str">
        <f>IF(Protokoll_5p!H170="","",IF(VALUE(LEFT(Protokoll_5p!H170,FIND(":",Protokoll_5p!H170)-1))&gt;VALUE(RIGHT(Protokoll_5p!H170,LEN(Protokoll_5p!H170)-FIND(":",Protokoll_5p!H170))),1,0))</f>
        <v/>
      </c>
      <c r="E204" s="1" t="str">
        <f>IF(Protokoll_5p!I170="","",IF(VALUE(LEFT(Protokoll_5p!I170,FIND(":",Protokoll_5p!I170)-1))&gt;VALUE(RIGHT(Protokoll_5p!I170,LEN(Protokoll_5p!I170)-FIND(":",Protokoll_5p!I170))),1,0))</f>
        <v/>
      </c>
      <c r="F204" s="1" t="str">
        <f>IF(Protokoll_5p!J170="","",IF(VALUE(LEFT(Protokoll_5p!J170,FIND(":",Protokoll_5p!J170)-1))&gt;VALUE(RIGHT(Protokoll_5p!J170,LEN(Protokoll_5p!J170)-FIND(":",Protokoll_5p!J170))),1,0))</f>
        <v/>
      </c>
      <c r="G204" s="1" t="str">
        <f t="shared" si="6"/>
        <v/>
      </c>
      <c r="I204" s="1" t="str">
        <f>IF(Protokoll_5p!F170="","",IF(VALUE(LEFT(Protokoll_5p!F170,FIND(":",Protokoll_5p!F170)-1))&gt;VALUE(RIGHT(Protokoll_5p!F170,LEN(Protokoll_5p!F170)-FIND(":",Protokoll_5p!F170))),0,1))</f>
        <v/>
      </c>
      <c r="J204" s="1" t="str">
        <f>IF(Protokoll_5p!G170="","",IF(VALUE(LEFT(Protokoll_5p!G170,FIND(":",Protokoll_5p!G170)-1))&gt;VALUE(RIGHT(Protokoll_5p!G170,LEN(Protokoll_5p!G170)-FIND(":",Protokoll_5p!G170))),0,1))</f>
        <v/>
      </c>
      <c r="K204" s="1" t="str">
        <f>IF(Protokoll_5p!H170="","",IF(VALUE(LEFT(Protokoll_5p!H170,FIND(":",Protokoll_5p!H170)-1))&gt;VALUE(RIGHT(Protokoll_5p!H170,LEN(Protokoll_5p!H170)-FIND(":",Protokoll_5p!H170))),0,1))</f>
        <v/>
      </c>
      <c r="L204" s="1" t="str">
        <f>IF(Protokoll_5p!I170="","",IF(VALUE(LEFT(Protokoll_5p!I170,FIND(":",Protokoll_5p!I170)-1))&gt;VALUE(RIGHT(Protokoll_5p!I170,LEN(Protokoll_5p!I170)-FIND(":",Protokoll_5p!I170))),0,1))</f>
        <v/>
      </c>
      <c r="M204" s="1" t="str">
        <f>IF(Protokoll_5p!J170="","",IF(VALUE(LEFT(Protokoll_5p!J170,FIND(":",Protokoll_5p!J170)-1))&gt;VALUE(RIGHT(Protokoll_5p!J170,LEN(Protokoll_5p!J170)-FIND(":",Protokoll_5p!J170))),0,1))</f>
        <v/>
      </c>
      <c r="N204" s="1" t="str">
        <f t="shared" si="7"/>
        <v/>
      </c>
    </row>
    <row r="205" spans="2:14">
      <c r="B205" s="1" t="str">
        <f>IF(Protokoll_5p!F171="","",IF(VALUE(LEFT(Protokoll_5p!F171,FIND(":",Protokoll_5p!F171)-1))&gt;VALUE(RIGHT(Protokoll_5p!F171,LEN(Protokoll_5p!F171)-FIND(":",Protokoll_5p!F171))),1,0))</f>
        <v/>
      </c>
      <c r="C205" s="1" t="str">
        <f>IF(Protokoll_5p!G171="","",IF(VALUE(LEFT(Protokoll_5p!G171,FIND(":",Protokoll_5p!G171)-1))&gt;VALUE(RIGHT(Protokoll_5p!G171,LEN(Protokoll_5p!G171)-FIND(":",Protokoll_5p!G171))),1,0))</f>
        <v/>
      </c>
      <c r="D205" s="1" t="str">
        <f>IF(Protokoll_5p!H171="","",IF(VALUE(LEFT(Protokoll_5p!H171,FIND(":",Protokoll_5p!H171)-1))&gt;VALUE(RIGHT(Protokoll_5p!H171,LEN(Protokoll_5p!H171)-FIND(":",Protokoll_5p!H171))),1,0))</f>
        <v/>
      </c>
      <c r="E205" s="1" t="str">
        <f>IF(Protokoll_5p!I171="","",IF(VALUE(LEFT(Protokoll_5p!I171,FIND(":",Protokoll_5p!I171)-1))&gt;VALUE(RIGHT(Protokoll_5p!I171,LEN(Protokoll_5p!I171)-FIND(":",Protokoll_5p!I171))),1,0))</f>
        <v/>
      </c>
      <c r="F205" s="1" t="str">
        <f>IF(Protokoll_5p!J171="","",IF(VALUE(LEFT(Protokoll_5p!J171,FIND(":",Protokoll_5p!J171)-1))&gt;VALUE(RIGHT(Protokoll_5p!J171,LEN(Protokoll_5p!J171)-FIND(":",Protokoll_5p!J171))),1,0))</f>
        <v/>
      </c>
      <c r="G205" s="1" t="str">
        <f t="shared" si="6"/>
        <v/>
      </c>
      <c r="I205" s="1" t="str">
        <f>IF(Protokoll_5p!F171="","",IF(VALUE(LEFT(Protokoll_5p!F171,FIND(":",Protokoll_5p!F171)-1))&gt;VALUE(RIGHT(Protokoll_5p!F171,LEN(Protokoll_5p!F171)-FIND(":",Protokoll_5p!F171))),0,1))</f>
        <v/>
      </c>
      <c r="J205" s="1" t="str">
        <f>IF(Protokoll_5p!G171="","",IF(VALUE(LEFT(Protokoll_5p!G171,FIND(":",Protokoll_5p!G171)-1))&gt;VALUE(RIGHT(Protokoll_5p!G171,LEN(Protokoll_5p!G171)-FIND(":",Protokoll_5p!G171))),0,1))</f>
        <v/>
      </c>
      <c r="K205" s="1" t="str">
        <f>IF(Protokoll_5p!H171="","",IF(VALUE(LEFT(Protokoll_5p!H171,FIND(":",Protokoll_5p!H171)-1))&gt;VALUE(RIGHT(Protokoll_5p!H171,LEN(Protokoll_5p!H171)-FIND(":",Protokoll_5p!H171))),0,1))</f>
        <v/>
      </c>
      <c r="L205" s="1" t="str">
        <f>IF(Protokoll_5p!I171="","",IF(VALUE(LEFT(Protokoll_5p!I171,FIND(":",Protokoll_5p!I171)-1))&gt;VALUE(RIGHT(Protokoll_5p!I171,LEN(Protokoll_5p!I171)-FIND(":",Protokoll_5p!I171))),0,1))</f>
        <v/>
      </c>
      <c r="M205" s="1" t="str">
        <f>IF(Protokoll_5p!J171="","",IF(VALUE(LEFT(Protokoll_5p!J171,FIND(":",Protokoll_5p!J171)-1))&gt;VALUE(RIGHT(Protokoll_5p!J171,LEN(Protokoll_5p!J171)-FIND(":",Protokoll_5p!J171))),0,1))</f>
        <v/>
      </c>
      <c r="N205" s="1" t="str">
        <f t="shared" si="7"/>
        <v/>
      </c>
    </row>
    <row r="206" spans="2:14">
      <c r="B206" s="1" t="str">
        <f>IF(Protokoll_5p!F172="","",IF(VALUE(LEFT(Protokoll_5p!F172,FIND(":",Protokoll_5p!F172)-1))&gt;VALUE(RIGHT(Protokoll_5p!F172,LEN(Protokoll_5p!F172)-FIND(":",Protokoll_5p!F172))),1,0))</f>
        <v/>
      </c>
      <c r="C206" s="1" t="str">
        <f>IF(Protokoll_5p!G172="","",IF(VALUE(LEFT(Protokoll_5p!G172,FIND(":",Protokoll_5p!G172)-1))&gt;VALUE(RIGHT(Protokoll_5p!G172,LEN(Protokoll_5p!G172)-FIND(":",Protokoll_5p!G172))),1,0))</f>
        <v/>
      </c>
      <c r="D206" s="1" t="str">
        <f>IF(Protokoll_5p!H172="","",IF(VALUE(LEFT(Protokoll_5p!H172,FIND(":",Protokoll_5p!H172)-1))&gt;VALUE(RIGHT(Protokoll_5p!H172,LEN(Protokoll_5p!H172)-FIND(":",Protokoll_5p!H172))),1,0))</f>
        <v/>
      </c>
      <c r="E206" s="1" t="str">
        <f>IF(Protokoll_5p!I172="","",IF(VALUE(LEFT(Protokoll_5p!I172,FIND(":",Protokoll_5p!I172)-1))&gt;VALUE(RIGHT(Protokoll_5p!I172,LEN(Protokoll_5p!I172)-FIND(":",Protokoll_5p!I172))),1,0))</f>
        <v/>
      </c>
      <c r="F206" s="1" t="str">
        <f>IF(Protokoll_5p!J172="","",IF(VALUE(LEFT(Protokoll_5p!J172,FIND(":",Protokoll_5p!J172)-1))&gt;VALUE(RIGHT(Protokoll_5p!J172,LEN(Protokoll_5p!J172)-FIND(":",Protokoll_5p!J172))),1,0))</f>
        <v/>
      </c>
      <c r="G206" s="1" t="str">
        <f t="shared" si="6"/>
        <v/>
      </c>
      <c r="I206" s="1" t="str">
        <f>IF(Protokoll_5p!F172="","",IF(VALUE(LEFT(Protokoll_5p!F172,FIND(":",Protokoll_5p!F172)-1))&gt;VALUE(RIGHT(Protokoll_5p!F172,LEN(Protokoll_5p!F172)-FIND(":",Protokoll_5p!F172))),0,1))</f>
        <v/>
      </c>
      <c r="J206" s="1" t="str">
        <f>IF(Protokoll_5p!G172="","",IF(VALUE(LEFT(Protokoll_5p!G172,FIND(":",Protokoll_5p!G172)-1))&gt;VALUE(RIGHT(Protokoll_5p!G172,LEN(Protokoll_5p!G172)-FIND(":",Protokoll_5p!G172))),0,1))</f>
        <v/>
      </c>
      <c r="K206" s="1" t="str">
        <f>IF(Protokoll_5p!H172="","",IF(VALUE(LEFT(Protokoll_5p!H172,FIND(":",Protokoll_5p!H172)-1))&gt;VALUE(RIGHT(Protokoll_5p!H172,LEN(Protokoll_5p!H172)-FIND(":",Protokoll_5p!H172))),0,1))</f>
        <v/>
      </c>
      <c r="L206" s="1" t="str">
        <f>IF(Protokoll_5p!I172="","",IF(VALUE(LEFT(Protokoll_5p!I172,FIND(":",Protokoll_5p!I172)-1))&gt;VALUE(RIGHT(Protokoll_5p!I172,LEN(Protokoll_5p!I172)-FIND(":",Protokoll_5p!I172))),0,1))</f>
        <v/>
      </c>
      <c r="M206" s="1" t="str">
        <f>IF(Protokoll_5p!J172="","",IF(VALUE(LEFT(Protokoll_5p!J172,FIND(":",Protokoll_5p!J172)-1))&gt;VALUE(RIGHT(Protokoll_5p!J172,LEN(Protokoll_5p!J172)-FIND(":",Protokoll_5p!J172))),0,1))</f>
        <v/>
      </c>
      <c r="N206" s="1" t="str">
        <f t="shared" si="7"/>
        <v/>
      </c>
    </row>
    <row r="207" spans="2:14">
      <c r="B207" s="1" t="str">
        <f>IF(Protokoll_5p!F173="","",IF(VALUE(LEFT(Protokoll_5p!F173,FIND(":",Protokoll_5p!F173)-1))&gt;VALUE(RIGHT(Protokoll_5p!F173,LEN(Protokoll_5p!F173)-FIND(":",Protokoll_5p!F173))),1,0))</f>
        <v/>
      </c>
      <c r="C207" s="1" t="str">
        <f>IF(Protokoll_5p!G173="","",IF(VALUE(LEFT(Protokoll_5p!G173,FIND(":",Protokoll_5p!G173)-1))&gt;VALUE(RIGHT(Protokoll_5p!G173,LEN(Protokoll_5p!G173)-FIND(":",Protokoll_5p!G173))),1,0))</f>
        <v/>
      </c>
      <c r="D207" s="1" t="str">
        <f>IF(Protokoll_5p!H173="","",IF(VALUE(LEFT(Protokoll_5p!H173,FIND(":",Protokoll_5p!H173)-1))&gt;VALUE(RIGHT(Protokoll_5p!H173,LEN(Protokoll_5p!H173)-FIND(":",Protokoll_5p!H173))),1,0))</f>
        <v/>
      </c>
      <c r="E207" s="1" t="str">
        <f>IF(Protokoll_5p!I173="","",IF(VALUE(LEFT(Protokoll_5p!I173,FIND(":",Protokoll_5p!I173)-1))&gt;VALUE(RIGHT(Protokoll_5p!I173,LEN(Protokoll_5p!I173)-FIND(":",Protokoll_5p!I173))),1,0))</f>
        <v/>
      </c>
      <c r="F207" s="1" t="str">
        <f>IF(Protokoll_5p!J173="","",IF(VALUE(LEFT(Protokoll_5p!J173,FIND(":",Protokoll_5p!J173)-1))&gt;VALUE(RIGHT(Protokoll_5p!J173,LEN(Protokoll_5p!J173)-FIND(":",Protokoll_5p!J173))),1,0))</f>
        <v/>
      </c>
      <c r="G207" s="1" t="str">
        <f t="shared" si="6"/>
        <v/>
      </c>
      <c r="I207" s="1" t="str">
        <f>IF(Protokoll_5p!F173="","",IF(VALUE(LEFT(Protokoll_5p!F173,FIND(":",Protokoll_5p!F173)-1))&gt;VALUE(RIGHT(Protokoll_5p!F173,LEN(Protokoll_5p!F173)-FIND(":",Protokoll_5p!F173))),0,1))</f>
        <v/>
      </c>
      <c r="J207" s="1" t="str">
        <f>IF(Protokoll_5p!G173="","",IF(VALUE(LEFT(Protokoll_5p!G173,FIND(":",Protokoll_5p!G173)-1))&gt;VALUE(RIGHT(Protokoll_5p!G173,LEN(Protokoll_5p!G173)-FIND(":",Protokoll_5p!G173))),0,1))</f>
        <v/>
      </c>
      <c r="K207" s="1" t="str">
        <f>IF(Protokoll_5p!H173="","",IF(VALUE(LEFT(Protokoll_5p!H173,FIND(":",Protokoll_5p!H173)-1))&gt;VALUE(RIGHT(Protokoll_5p!H173,LEN(Protokoll_5p!H173)-FIND(":",Protokoll_5p!H173))),0,1))</f>
        <v/>
      </c>
      <c r="L207" s="1" t="str">
        <f>IF(Protokoll_5p!I173="","",IF(VALUE(LEFT(Protokoll_5p!I173,FIND(":",Protokoll_5p!I173)-1))&gt;VALUE(RIGHT(Protokoll_5p!I173,LEN(Protokoll_5p!I173)-FIND(":",Protokoll_5p!I173))),0,1))</f>
        <v/>
      </c>
      <c r="M207" s="1" t="str">
        <f>IF(Protokoll_5p!J173="","",IF(VALUE(LEFT(Protokoll_5p!J173,FIND(":",Protokoll_5p!J173)-1))&gt;VALUE(RIGHT(Protokoll_5p!J173,LEN(Protokoll_5p!J173)-FIND(":",Protokoll_5p!J173))),0,1))</f>
        <v/>
      </c>
      <c r="N207" s="1" t="str">
        <f t="shared" si="7"/>
        <v/>
      </c>
    </row>
    <row r="208" spans="2:14">
      <c r="B208" s="1" t="str">
        <f>IF(Protokoll_5p!F174="","",IF(VALUE(LEFT(Protokoll_5p!F174,FIND(":",Protokoll_5p!F174)-1))&gt;VALUE(RIGHT(Protokoll_5p!F174,LEN(Protokoll_5p!F174)-FIND(":",Protokoll_5p!F174))),1,0))</f>
        <v/>
      </c>
      <c r="C208" s="1" t="str">
        <f>IF(Protokoll_5p!G174="","",IF(VALUE(LEFT(Protokoll_5p!G174,FIND(":",Protokoll_5p!G174)-1))&gt;VALUE(RIGHT(Protokoll_5p!G174,LEN(Protokoll_5p!G174)-FIND(":",Protokoll_5p!G174))),1,0))</f>
        <v/>
      </c>
      <c r="D208" s="1" t="str">
        <f>IF(Protokoll_5p!H174="","",IF(VALUE(LEFT(Protokoll_5p!H174,FIND(":",Protokoll_5p!H174)-1))&gt;VALUE(RIGHT(Protokoll_5p!H174,LEN(Protokoll_5p!H174)-FIND(":",Protokoll_5p!H174))),1,0))</f>
        <v/>
      </c>
      <c r="E208" s="1" t="str">
        <f>IF(Protokoll_5p!I174="","",IF(VALUE(LEFT(Protokoll_5p!I174,FIND(":",Protokoll_5p!I174)-1))&gt;VALUE(RIGHT(Protokoll_5p!I174,LEN(Protokoll_5p!I174)-FIND(":",Protokoll_5p!I174))),1,0))</f>
        <v/>
      </c>
      <c r="F208" s="1" t="str">
        <f>IF(Protokoll_5p!J174="","",IF(VALUE(LEFT(Protokoll_5p!J174,FIND(":",Protokoll_5p!J174)-1))&gt;VALUE(RIGHT(Protokoll_5p!J174,LEN(Protokoll_5p!J174)-FIND(":",Protokoll_5p!J174))),1,0))</f>
        <v/>
      </c>
      <c r="G208" s="1" t="str">
        <f t="shared" si="6"/>
        <v/>
      </c>
      <c r="I208" s="1" t="str">
        <f>IF(Protokoll_5p!F174="","",IF(VALUE(LEFT(Protokoll_5p!F174,FIND(":",Protokoll_5p!F174)-1))&gt;VALUE(RIGHT(Protokoll_5p!F174,LEN(Protokoll_5p!F174)-FIND(":",Protokoll_5p!F174))),0,1))</f>
        <v/>
      </c>
      <c r="J208" s="1" t="str">
        <f>IF(Protokoll_5p!G174="","",IF(VALUE(LEFT(Protokoll_5p!G174,FIND(":",Protokoll_5p!G174)-1))&gt;VALUE(RIGHT(Protokoll_5p!G174,LEN(Protokoll_5p!G174)-FIND(":",Protokoll_5p!G174))),0,1))</f>
        <v/>
      </c>
      <c r="K208" s="1" t="str">
        <f>IF(Protokoll_5p!H174="","",IF(VALUE(LEFT(Protokoll_5p!H174,FIND(":",Protokoll_5p!H174)-1))&gt;VALUE(RIGHT(Protokoll_5p!H174,LEN(Protokoll_5p!H174)-FIND(":",Protokoll_5p!H174))),0,1))</f>
        <v/>
      </c>
      <c r="L208" s="1" t="str">
        <f>IF(Protokoll_5p!I174="","",IF(VALUE(LEFT(Protokoll_5p!I174,FIND(":",Protokoll_5p!I174)-1))&gt;VALUE(RIGHT(Protokoll_5p!I174,LEN(Protokoll_5p!I174)-FIND(":",Protokoll_5p!I174))),0,1))</f>
        <v/>
      </c>
      <c r="M208" s="1" t="str">
        <f>IF(Protokoll_5p!J174="","",IF(VALUE(LEFT(Protokoll_5p!J174,FIND(":",Protokoll_5p!J174)-1))&gt;VALUE(RIGHT(Protokoll_5p!J174,LEN(Protokoll_5p!J174)-FIND(":",Protokoll_5p!J174))),0,1))</f>
        <v/>
      </c>
      <c r="N208" s="1" t="str">
        <f t="shared" si="7"/>
        <v/>
      </c>
    </row>
    <row r="209" spans="2:14">
      <c r="B209" s="1" t="str">
        <f>IF(Protokoll_5p!F175="","",IF(VALUE(LEFT(Protokoll_5p!F175,FIND(":",Protokoll_5p!F175)-1))&gt;VALUE(RIGHT(Protokoll_5p!F175,LEN(Protokoll_5p!F175)-FIND(":",Protokoll_5p!F175))),1,0))</f>
        <v/>
      </c>
      <c r="C209" s="1" t="str">
        <f>IF(Protokoll_5p!G175="","",IF(VALUE(LEFT(Protokoll_5p!G175,FIND(":",Protokoll_5p!G175)-1))&gt;VALUE(RIGHT(Protokoll_5p!G175,LEN(Protokoll_5p!G175)-FIND(":",Protokoll_5p!G175))),1,0))</f>
        <v/>
      </c>
      <c r="D209" s="1" t="str">
        <f>IF(Protokoll_5p!H175="","",IF(VALUE(LEFT(Protokoll_5p!H175,FIND(":",Protokoll_5p!H175)-1))&gt;VALUE(RIGHT(Protokoll_5p!H175,LEN(Protokoll_5p!H175)-FIND(":",Protokoll_5p!H175))),1,0))</f>
        <v/>
      </c>
      <c r="E209" s="1" t="str">
        <f>IF(Protokoll_5p!I175="","",IF(VALUE(LEFT(Protokoll_5p!I175,FIND(":",Protokoll_5p!I175)-1))&gt;VALUE(RIGHT(Protokoll_5p!I175,LEN(Protokoll_5p!I175)-FIND(":",Protokoll_5p!I175))),1,0))</f>
        <v/>
      </c>
      <c r="F209" s="1" t="str">
        <f>IF(Protokoll_5p!J175="","",IF(VALUE(LEFT(Protokoll_5p!J175,FIND(":",Protokoll_5p!J175)-1))&gt;VALUE(RIGHT(Protokoll_5p!J175,LEN(Protokoll_5p!J175)-FIND(":",Protokoll_5p!J175))),1,0))</f>
        <v/>
      </c>
      <c r="G209" s="1" t="str">
        <f t="shared" si="6"/>
        <v/>
      </c>
      <c r="I209" s="1" t="str">
        <f>IF(Protokoll_5p!F175="","",IF(VALUE(LEFT(Protokoll_5p!F175,FIND(":",Protokoll_5p!F175)-1))&gt;VALUE(RIGHT(Protokoll_5p!F175,LEN(Protokoll_5p!F175)-FIND(":",Protokoll_5p!F175))),0,1))</f>
        <v/>
      </c>
      <c r="J209" s="1" t="str">
        <f>IF(Protokoll_5p!G175="","",IF(VALUE(LEFT(Protokoll_5p!G175,FIND(":",Protokoll_5p!G175)-1))&gt;VALUE(RIGHT(Protokoll_5p!G175,LEN(Protokoll_5p!G175)-FIND(":",Protokoll_5p!G175))),0,1))</f>
        <v/>
      </c>
      <c r="K209" s="1" t="str">
        <f>IF(Protokoll_5p!H175="","",IF(VALUE(LEFT(Protokoll_5p!H175,FIND(":",Protokoll_5p!H175)-1))&gt;VALUE(RIGHT(Protokoll_5p!H175,LEN(Protokoll_5p!H175)-FIND(":",Protokoll_5p!H175))),0,1))</f>
        <v/>
      </c>
      <c r="L209" s="1" t="str">
        <f>IF(Protokoll_5p!I175="","",IF(VALUE(LEFT(Protokoll_5p!I175,FIND(":",Protokoll_5p!I175)-1))&gt;VALUE(RIGHT(Protokoll_5p!I175,LEN(Protokoll_5p!I175)-FIND(":",Protokoll_5p!I175))),0,1))</f>
        <v/>
      </c>
      <c r="M209" s="1" t="str">
        <f>IF(Protokoll_5p!J175="","",IF(VALUE(LEFT(Protokoll_5p!J175,FIND(":",Protokoll_5p!J175)-1))&gt;VALUE(RIGHT(Protokoll_5p!J175,LEN(Protokoll_5p!J175)-FIND(":",Protokoll_5p!J175))),0,1))</f>
        <v/>
      </c>
      <c r="N209" s="1" t="str">
        <f t="shared" si="7"/>
        <v/>
      </c>
    </row>
    <row r="210" spans="2:14">
      <c r="B210" s="1" t="str">
        <f>IF(Protokoll_5p!F176="","",IF(VALUE(LEFT(Protokoll_5p!F176,FIND(":",Protokoll_5p!F176)-1))&gt;VALUE(RIGHT(Protokoll_5p!F176,LEN(Protokoll_5p!F176)-FIND(":",Protokoll_5p!F176))),1,0))</f>
        <v/>
      </c>
      <c r="C210" s="1" t="str">
        <f>IF(Protokoll_5p!G176="","",IF(VALUE(LEFT(Protokoll_5p!G176,FIND(":",Protokoll_5p!G176)-1))&gt;VALUE(RIGHT(Protokoll_5p!G176,LEN(Protokoll_5p!G176)-FIND(":",Protokoll_5p!G176))),1,0))</f>
        <v/>
      </c>
      <c r="D210" s="1" t="str">
        <f>IF(Protokoll_5p!H176="","",IF(VALUE(LEFT(Protokoll_5p!H176,FIND(":",Protokoll_5p!H176)-1))&gt;VALUE(RIGHT(Protokoll_5p!H176,LEN(Protokoll_5p!H176)-FIND(":",Protokoll_5p!H176))),1,0))</f>
        <v/>
      </c>
      <c r="E210" s="1" t="str">
        <f>IF(Protokoll_5p!I176="","",IF(VALUE(LEFT(Protokoll_5p!I176,FIND(":",Protokoll_5p!I176)-1))&gt;VALUE(RIGHT(Protokoll_5p!I176,LEN(Protokoll_5p!I176)-FIND(":",Protokoll_5p!I176))),1,0))</f>
        <v/>
      </c>
      <c r="F210" s="1" t="str">
        <f>IF(Protokoll_5p!J176="","",IF(VALUE(LEFT(Protokoll_5p!J176,FIND(":",Protokoll_5p!J176)-1))&gt;VALUE(RIGHT(Protokoll_5p!J176,LEN(Protokoll_5p!J176)-FIND(":",Protokoll_5p!J176))),1,0))</f>
        <v/>
      </c>
      <c r="G210" s="1" t="str">
        <f t="shared" si="6"/>
        <v/>
      </c>
      <c r="I210" s="1" t="str">
        <f>IF(Protokoll_5p!F176="","",IF(VALUE(LEFT(Protokoll_5p!F176,FIND(":",Protokoll_5p!F176)-1))&gt;VALUE(RIGHT(Protokoll_5p!F176,LEN(Protokoll_5p!F176)-FIND(":",Protokoll_5p!F176))),0,1))</f>
        <v/>
      </c>
      <c r="J210" s="1" t="str">
        <f>IF(Protokoll_5p!G176="","",IF(VALUE(LEFT(Protokoll_5p!G176,FIND(":",Protokoll_5p!G176)-1))&gt;VALUE(RIGHT(Protokoll_5p!G176,LEN(Protokoll_5p!G176)-FIND(":",Protokoll_5p!G176))),0,1))</f>
        <v/>
      </c>
      <c r="K210" s="1" t="str">
        <f>IF(Protokoll_5p!H176="","",IF(VALUE(LEFT(Protokoll_5p!H176,FIND(":",Protokoll_5p!H176)-1))&gt;VALUE(RIGHT(Protokoll_5p!H176,LEN(Protokoll_5p!H176)-FIND(":",Protokoll_5p!H176))),0,1))</f>
        <v/>
      </c>
      <c r="L210" s="1" t="str">
        <f>IF(Protokoll_5p!I176="","",IF(VALUE(LEFT(Protokoll_5p!I176,FIND(":",Protokoll_5p!I176)-1))&gt;VALUE(RIGHT(Protokoll_5p!I176,LEN(Protokoll_5p!I176)-FIND(":",Protokoll_5p!I176))),0,1))</f>
        <v/>
      </c>
      <c r="M210" s="1" t="str">
        <f>IF(Protokoll_5p!J176="","",IF(VALUE(LEFT(Protokoll_5p!J176,FIND(":",Protokoll_5p!J176)-1))&gt;VALUE(RIGHT(Protokoll_5p!J176,LEN(Protokoll_5p!J176)-FIND(":",Protokoll_5p!J176))),0,1))</f>
        <v/>
      </c>
      <c r="N210" s="1" t="str">
        <f t="shared" si="7"/>
        <v/>
      </c>
    </row>
    <row r="211" spans="2:14">
      <c r="B211" s="1" t="str">
        <f>IF(Protokoll_5p!F177="","",IF(VALUE(LEFT(Protokoll_5p!F177,FIND(":",Protokoll_5p!F177)-1))&gt;VALUE(RIGHT(Protokoll_5p!F177,LEN(Protokoll_5p!F177)-FIND(":",Protokoll_5p!F177))),1,0))</f>
        <v/>
      </c>
      <c r="C211" s="1" t="str">
        <f>IF(Protokoll_5p!G177="","",IF(VALUE(LEFT(Protokoll_5p!G177,FIND(":",Protokoll_5p!G177)-1))&gt;VALUE(RIGHT(Protokoll_5p!G177,LEN(Protokoll_5p!G177)-FIND(":",Protokoll_5p!G177))),1,0))</f>
        <v/>
      </c>
      <c r="D211" s="1" t="str">
        <f>IF(Protokoll_5p!H177="","",IF(VALUE(LEFT(Protokoll_5p!H177,FIND(":",Protokoll_5p!H177)-1))&gt;VALUE(RIGHT(Protokoll_5p!H177,LEN(Protokoll_5p!H177)-FIND(":",Protokoll_5p!H177))),1,0))</f>
        <v/>
      </c>
      <c r="E211" s="1" t="str">
        <f>IF(Protokoll_5p!I177="","",IF(VALUE(LEFT(Protokoll_5p!I177,FIND(":",Protokoll_5p!I177)-1))&gt;VALUE(RIGHT(Protokoll_5p!I177,LEN(Protokoll_5p!I177)-FIND(":",Protokoll_5p!I177))),1,0))</f>
        <v/>
      </c>
      <c r="F211" s="1" t="str">
        <f>IF(Protokoll_5p!J177="","",IF(VALUE(LEFT(Protokoll_5p!J177,FIND(":",Protokoll_5p!J177)-1))&gt;VALUE(RIGHT(Protokoll_5p!J177,LEN(Protokoll_5p!J177)-FIND(":",Protokoll_5p!J177))),1,0))</f>
        <v/>
      </c>
      <c r="G211" s="1" t="str">
        <f t="shared" si="6"/>
        <v/>
      </c>
      <c r="I211" s="1" t="str">
        <f>IF(Protokoll_5p!F177="","",IF(VALUE(LEFT(Protokoll_5p!F177,FIND(":",Protokoll_5p!F177)-1))&gt;VALUE(RIGHT(Protokoll_5p!F177,LEN(Protokoll_5p!F177)-FIND(":",Protokoll_5p!F177))),0,1))</f>
        <v/>
      </c>
      <c r="J211" s="1" t="str">
        <f>IF(Protokoll_5p!G177="","",IF(VALUE(LEFT(Protokoll_5p!G177,FIND(":",Protokoll_5p!G177)-1))&gt;VALUE(RIGHT(Protokoll_5p!G177,LEN(Protokoll_5p!G177)-FIND(":",Protokoll_5p!G177))),0,1))</f>
        <v/>
      </c>
      <c r="K211" s="1" t="str">
        <f>IF(Protokoll_5p!H177="","",IF(VALUE(LEFT(Protokoll_5p!H177,FIND(":",Protokoll_5p!H177)-1))&gt;VALUE(RIGHT(Protokoll_5p!H177,LEN(Protokoll_5p!H177)-FIND(":",Protokoll_5p!H177))),0,1))</f>
        <v/>
      </c>
      <c r="L211" s="1" t="str">
        <f>IF(Protokoll_5p!I177="","",IF(VALUE(LEFT(Protokoll_5p!I177,FIND(":",Protokoll_5p!I177)-1))&gt;VALUE(RIGHT(Protokoll_5p!I177,LEN(Protokoll_5p!I177)-FIND(":",Protokoll_5p!I177))),0,1))</f>
        <v/>
      </c>
      <c r="M211" s="1" t="str">
        <f>IF(Protokoll_5p!J177="","",IF(VALUE(LEFT(Protokoll_5p!J177,FIND(":",Protokoll_5p!J177)-1))&gt;VALUE(RIGHT(Protokoll_5p!J177,LEN(Protokoll_5p!J177)-FIND(":",Protokoll_5p!J177))),0,1))</f>
        <v/>
      </c>
      <c r="N211" s="1" t="str">
        <f t="shared" si="7"/>
        <v/>
      </c>
    </row>
    <row r="212" spans="2:14">
      <c r="B212" s="1" t="str">
        <f>IF(Protokoll_5p!F178="","",IF(VALUE(LEFT(Protokoll_5p!F178,FIND(":",Protokoll_5p!F178)-1))&gt;VALUE(RIGHT(Protokoll_5p!F178,LEN(Protokoll_5p!F178)-FIND(":",Protokoll_5p!F178))),1,0))</f>
        <v/>
      </c>
      <c r="C212" s="1" t="str">
        <f>IF(Protokoll_5p!G178="","",IF(VALUE(LEFT(Protokoll_5p!G178,FIND(":",Protokoll_5p!G178)-1))&gt;VALUE(RIGHT(Protokoll_5p!G178,LEN(Protokoll_5p!G178)-FIND(":",Protokoll_5p!G178))),1,0))</f>
        <v/>
      </c>
      <c r="D212" s="1" t="str">
        <f>IF(Protokoll_5p!H178="","",IF(VALUE(LEFT(Protokoll_5p!H178,FIND(":",Protokoll_5p!H178)-1))&gt;VALUE(RIGHT(Protokoll_5p!H178,LEN(Protokoll_5p!H178)-FIND(":",Protokoll_5p!H178))),1,0))</f>
        <v/>
      </c>
      <c r="E212" s="1" t="str">
        <f>IF(Protokoll_5p!I178="","",IF(VALUE(LEFT(Protokoll_5p!I178,FIND(":",Protokoll_5p!I178)-1))&gt;VALUE(RIGHT(Protokoll_5p!I178,LEN(Protokoll_5p!I178)-FIND(":",Protokoll_5p!I178))),1,0))</f>
        <v/>
      </c>
      <c r="F212" s="1" t="str">
        <f>IF(Protokoll_5p!J178="","",IF(VALUE(LEFT(Protokoll_5p!J178,FIND(":",Protokoll_5p!J178)-1))&gt;VALUE(RIGHT(Protokoll_5p!J178,LEN(Protokoll_5p!J178)-FIND(":",Protokoll_5p!J178))),1,0))</f>
        <v/>
      </c>
      <c r="G212" s="1" t="str">
        <f t="shared" si="6"/>
        <v/>
      </c>
      <c r="I212" s="1" t="str">
        <f>IF(Protokoll_5p!F178="","",IF(VALUE(LEFT(Protokoll_5p!F178,FIND(":",Protokoll_5p!F178)-1))&gt;VALUE(RIGHT(Protokoll_5p!F178,LEN(Protokoll_5p!F178)-FIND(":",Protokoll_5p!F178))),0,1))</f>
        <v/>
      </c>
      <c r="J212" s="1" t="str">
        <f>IF(Protokoll_5p!G178="","",IF(VALUE(LEFT(Protokoll_5p!G178,FIND(":",Protokoll_5p!G178)-1))&gt;VALUE(RIGHT(Protokoll_5p!G178,LEN(Protokoll_5p!G178)-FIND(":",Protokoll_5p!G178))),0,1))</f>
        <v/>
      </c>
      <c r="K212" s="1" t="str">
        <f>IF(Protokoll_5p!H178="","",IF(VALUE(LEFT(Protokoll_5p!H178,FIND(":",Protokoll_5p!H178)-1))&gt;VALUE(RIGHT(Protokoll_5p!H178,LEN(Protokoll_5p!H178)-FIND(":",Protokoll_5p!H178))),0,1))</f>
        <v/>
      </c>
      <c r="L212" s="1" t="str">
        <f>IF(Protokoll_5p!I178="","",IF(VALUE(LEFT(Protokoll_5p!I178,FIND(":",Protokoll_5p!I178)-1))&gt;VALUE(RIGHT(Protokoll_5p!I178,LEN(Protokoll_5p!I178)-FIND(":",Protokoll_5p!I178))),0,1))</f>
        <v/>
      </c>
      <c r="M212" s="1" t="str">
        <f>IF(Protokoll_5p!J178="","",IF(VALUE(LEFT(Protokoll_5p!J178,FIND(":",Protokoll_5p!J178)-1))&gt;VALUE(RIGHT(Protokoll_5p!J178,LEN(Protokoll_5p!J178)-FIND(":",Protokoll_5p!J178))),0,1))</f>
        <v/>
      </c>
      <c r="N212" s="1" t="str">
        <f t="shared" si="7"/>
        <v/>
      </c>
    </row>
    <row r="213" spans="2:14">
      <c r="B213" s="1" t="str">
        <f>IF(Protokoll_5p!F179="","",IF(VALUE(LEFT(Protokoll_5p!F179,FIND(":",Protokoll_5p!F179)-1))&gt;VALUE(RIGHT(Protokoll_5p!F179,LEN(Protokoll_5p!F179)-FIND(":",Protokoll_5p!F179))),1,0))</f>
        <v/>
      </c>
      <c r="C213" s="1" t="str">
        <f>IF(Protokoll_5p!G179="","",IF(VALUE(LEFT(Protokoll_5p!G179,FIND(":",Protokoll_5p!G179)-1))&gt;VALUE(RIGHT(Protokoll_5p!G179,LEN(Protokoll_5p!G179)-FIND(":",Protokoll_5p!G179))),1,0))</f>
        <v/>
      </c>
      <c r="D213" s="1" t="str">
        <f>IF(Protokoll_5p!H179="","",IF(VALUE(LEFT(Protokoll_5p!H179,FIND(":",Protokoll_5p!H179)-1))&gt;VALUE(RIGHT(Protokoll_5p!H179,LEN(Protokoll_5p!H179)-FIND(":",Protokoll_5p!H179))),1,0))</f>
        <v/>
      </c>
      <c r="E213" s="1" t="str">
        <f>IF(Protokoll_5p!I179="","",IF(VALUE(LEFT(Protokoll_5p!I179,FIND(":",Protokoll_5p!I179)-1))&gt;VALUE(RIGHT(Protokoll_5p!I179,LEN(Protokoll_5p!I179)-FIND(":",Protokoll_5p!I179))),1,0))</f>
        <v/>
      </c>
      <c r="F213" s="1" t="str">
        <f>IF(Protokoll_5p!J179="","",IF(VALUE(LEFT(Protokoll_5p!J179,FIND(":",Protokoll_5p!J179)-1))&gt;VALUE(RIGHT(Protokoll_5p!J179,LEN(Protokoll_5p!J179)-FIND(":",Protokoll_5p!J179))),1,0))</f>
        <v/>
      </c>
      <c r="G213" s="1" t="str">
        <f t="shared" si="6"/>
        <v/>
      </c>
      <c r="I213" s="1" t="str">
        <f>IF(Protokoll_5p!F179="","",IF(VALUE(LEFT(Protokoll_5p!F179,FIND(":",Protokoll_5p!F179)-1))&gt;VALUE(RIGHT(Protokoll_5p!F179,LEN(Protokoll_5p!F179)-FIND(":",Protokoll_5p!F179))),0,1))</f>
        <v/>
      </c>
      <c r="J213" s="1" t="str">
        <f>IF(Protokoll_5p!G179="","",IF(VALUE(LEFT(Protokoll_5p!G179,FIND(":",Protokoll_5p!G179)-1))&gt;VALUE(RIGHT(Protokoll_5p!G179,LEN(Protokoll_5p!G179)-FIND(":",Protokoll_5p!G179))),0,1))</f>
        <v/>
      </c>
      <c r="K213" s="1" t="str">
        <f>IF(Protokoll_5p!H179="","",IF(VALUE(LEFT(Protokoll_5p!H179,FIND(":",Protokoll_5p!H179)-1))&gt;VALUE(RIGHT(Protokoll_5p!H179,LEN(Protokoll_5p!H179)-FIND(":",Protokoll_5p!H179))),0,1))</f>
        <v/>
      </c>
      <c r="L213" s="1" t="str">
        <f>IF(Protokoll_5p!I179="","",IF(VALUE(LEFT(Protokoll_5p!I179,FIND(":",Protokoll_5p!I179)-1))&gt;VALUE(RIGHT(Protokoll_5p!I179,LEN(Protokoll_5p!I179)-FIND(":",Protokoll_5p!I179))),0,1))</f>
        <v/>
      </c>
      <c r="M213" s="1" t="str">
        <f>IF(Protokoll_5p!J179="","",IF(VALUE(LEFT(Protokoll_5p!J179,FIND(":",Protokoll_5p!J179)-1))&gt;VALUE(RIGHT(Protokoll_5p!J179,LEN(Protokoll_5p!J179)-FIND(":",Protokoll_5p!J179))),0,1))</f>
        <v/>
      </c>
      <c r="N213" s="1" t="str">
        <f t="shared" si="7"/>
        <v/>
      </c>
    </row>
    <row r="214" spans="2:14">
      <c r="B214" s="1" t="str">
        <f>IF(Protokoll_5p!F180="","",IF(VALUE(LEFT(Protokoll_5p!F180,FIND(":",Protokoll_5p!F180)-1))&gt;VALUE(RIGHT(Protokoll_5p!F180,LEN(Protokoll_5p!F180)-FIND(":",Protokoll_5p!F180))),1,0))</f>
        <v/>
      </c>
      <c r="C214" s="1" t="str">
        <f>IF(Protokoll_5p!G180="","",IF(VALUE(LEFT(Protokoll_5p!G180,FIND(":",Protokoll_5p!G180)-1))&gt;VALUE(RIGHT(Protokoll_5p!G180,LEN(Protokoll_5p!G180)-FIND(":",Protokoll_5p!G180))),1,0))</f>
        <v/>
      </c>
      <c r="D214" s="1" t="str">
        <f>IF(Protokoll_5p!H180="","",IF(VALUE(LEFT(Protokoll_5p!H180,FIND(":",Protokoll_5p!H180)-1))&gt;VALUE(RIGHT(Protokoll_5p!H180,LEN(Protokoll_5p!H180)-FIND(":",Protokoll_5p!H180))),1,0))</f>
        <v/>
      </c>
      <c r="E214" s="1" t="str">
        <f>IF(Protokoll_5p!I180="","",IF(VALUE(LEFT(Protokoll_5p!I180,FIND(":",Protokoll_5p!I180)-1))&gt;VALUE(RIGHT(Protokoll_5p!I180,LEN(Protokoll_5p!I180)-FIND(":",Protokoll_5p!I180))),1,0))</f>
        <v/>
      </c>
      <c r="F214" s="1" t="str">
        <f>IF(Protokoll_5p!J180="","",IF(VALUE(LEFT(Protokoll_5p!J180,FIND(":",Protokoll_5p!J180)-1))&gt;VALUE(RIGHT(Protokoll_5p!J180,LEN(Protokoll_5p!J180)-FIND(":",Protokoll_5p!J180))),1,0))</f>
        <v/>
      </c>
      <c r="G214" s="1" t="str">
        <f t="shared" si="6"/>
        <v/>
      </c>
      <c r="I214" s="1" t="str">
        <f>IF(Protokoll_5p!F180="","",IF(VALUE(LEFT(Protokoll_5p!F180,FIND(":",Protokoll_5p!F180)-1))&gt;VALUE(RIGHT(Protokoll_5p!F180,LEN(Protokoll_5p!F180)-FIND(":",Protokoll_5p!F180))),0,1))</f>
        <v/>
      </c>
      <c r="J214" s="1" t="str">
        <f>IF(Protokoll_5p!G180="","",IF(VALUE(LEFT(Protokoll_5p!G180,FIND(":",Protokoll_5p!G180)-1))&gt;VALUE(RIGHT(Protokoll_5p!G180,LEN(Protokoll_5p!G180)-FIND(":",Protokoll_5p!G180))),0,1))</f>
        <v/>
      </c>
      <c r="K214" s="1" t="str">
        <f>IF(Protokoll_5p!H180="","",IF(VALUE(LEFT(Protokoll_5p!H180,FIND(":",Protokoll_5p!H180)-1))&gt;VALUE(RIGHT(Protokoll_5p!H180,LEN(Protokoll_5p!H180)-FIND(":",Protokoll_5p!H180))),0,1))</f>
        <v/>
      </c>
      <c r="L214" s="1" t="str">
        <f>IF(Protokoll_5p!I180="","",IF(VALUE(LEFT(Protokoll_5p!I180,FIND(":",Protokoll_5p!I180)-1))&gt;VALUE(RIGHT(Protokoll_5p!I180,LEN(Protokoll_5p!I180)-FIND(":",Protokoll_5p!I180))),0,1))</f>
        <v/>
      </c>
      <c r="M214" s="1" t="str">
        <f>IF(Protokoll_5p!J180="","",IF(VALUE(LEFT(Protokoll_5p!J180,FIND(":",Protokoll_5p!J180)-1))&gt;VALUE(RIGHT(Protokoll_5p!J180,LEN(Protokoll_5p!J180)-FIND(":",Protokoll_5p!J180))),0,1))</f>
        <v/>
      </c>
      <c r="N214" s="1" t="str">
        <f t="shared" si="7"/>
        <v/>
      </c>
    </row>
    <row r="215" spans="2:14">
      <c r="B215" s="1" t="str">
        <f>IF(Protokoll_5p!F181="","",IF(VALUE(LEFT(Protokoll_5p!F181,FIND(":",Protokoll_5p!F181)-1))&gt;VALUE(RIGHT(Protokoll_5p!F181,LEN(Protokoll_5p!F181)-FIND(":",Protokoll_5p!F181))),1,0))</f>
        <v/>
      </c>
      <c r="C215" s="1" t="str">
        <f>IF(Protokoll_5p!G181="","",IF(VALUE(LEFT(Protokoll_5p!G181,FIND(":",Protokoll_5p!G181)-1))&gt;VALUE(RIGHT(Protokoll_5p!G181,LEN(Protokoll_5p!G181)-FIND(":",Protokoll_5p!G181))),1,0))</f>
        <v/>
      </c>
      <c r="D215" s="1" t="str">
        <f>IF(Protokoll_5p!H181="","",IF(VALUE(LEFT(Protokoll_5p!H181,FIND(":",Protokoll_5p!H181)-1))&gt;VALUE(RIGHT(Protokoll_5p!H181,LEN(Protokoll_5p!H181)-FIND(":",Protokoll_5p!H181))),1,0))</f>
        <v/>
      </c>
      <c r="E215" s="1" t="str">
        <f>IF(Protokoll_5p!I181="","",IF(VALUE(LEFT(Protokoll_5p!I181,FIND(":",Protokoll_5p!I181)-1))&gt;VALUE(RIGHT(Protokoll_5p!I181,LEN(Protokoll_5p!I181)-FIND(":",Protokoll_5p!I181))),1,0))</f>
        <v/>
      </c>
      <c r="F215" s="1" t="str">
        <f>IF(Protokoll_5p!J181="","",IF(VALUE(LEFT(Protokoll_5p!J181,FIND(":",Protokoll_5p!J181)-1))&gt;VALUE(RIGHT(Protokoll_5p!J181,LEN(Protokoll_5p!J181)-FIND(":",Protokoll_5p!J181))),1,0))</f>
        <v/>
      </c>
      <c r="G215" s="1" t="str">
        <f t="shared" si="6"/>
        <v/>
      </c>
      <c r="I215" s="1" t="str">
        <f>IF(Protokoll_5p!F181="","",IF(VALUE(LEFT(Protokoll_5p!F181,FIND(":",Protokoll_5p!F181)-1))&gt;VALUE(RIGHT(Protokoll_5p!F181,LEN(Protokoll_5p!F181)-FIND(":",Protokoll_5p!F181))),0,1))</f>
        <v/>
      </c>
      <c r="J215" s="1" t="str">
        <f>IF(Protokoll_5p!G181="","",IF(VALUE(LEFT(Protokoll_5p!G181,FIND(":",Protokoll_5p!G181)-1))&gt;VALUE(RIGHT(Protokoll_5p!G181,LEN(Protokoll_5p!G181)-FIND(":",Protokoll_5p!G181))),0,1))</f>
        <v/>
      </c>
      <c r="K215" s="1" t="str">
        <f>IF(Protokoll_5p!H181="","",IF(VALUE(LEFT(Protokoll_5p!H181,FIND(":",Protokoll_5p!H181)-1))&gt;VALUE(RIGHT(Protokoll_5p!H181,LEN(Protokoll_5p!H181)-FIND(":",Protokoll_5p!H181))),0,1))</f>
        <v/>
      </c>
      <c r="L215" s="1" t="str">
        <f>IF(Protokoll_5p!I181="","",IF(VALUE(LEFT(Protokoll_5p!I181,FIND(":",Protokoll_5p!I181)-1))&gt;VALUE(RIGHT(Protokoll_5p!I181,LEN(Protokoll_5p!I181)-FIND(":",Protokoll_5p!I181))),0,1))</f>
        <v/>
      </c>
      <c r="M215" s="1" t="str">
        <f>IF(Protokoll_5p!J181="","",IF(VALUE(LEFT(Protokoll_5p!J181,FIND(":",Protokoll_5p!J181)-1))&gt;VALUE(RIGHT(Protokoll_5p!J181,LEN(Protokoll_5p!J181)-FIND(":",Protokoll_5p!J181))),0,1))</f>
        <v/>
      </c>
      <c r="N215" s="1" t="str">
        <f t="shared" si="7"/>
        <v/>
      </c>
    </row>
    <row r="216" spans="2:14">
      <c r="B216" s="1" t="str">
        <f>IF(Protokoll_5p!F182="","",IF(VALUE(LEFT(Protokoll_5p!F182,FIND(":",Protokoll_5p!F182)-1))&gt;VALUE(RIGHT(Protokoll_5p!F182,LEN(Protokoll_5p!F182)-FIND(":",Protokoll_5p!F182))),1,0))</f>
        <v/>
      </c>
      <c r="C216" s="1" t="str">
        <f>IF(Protokoll_5p!G182="","",IF(VALUE(LEFT(Protokoll_5p!G182,FIND(":",Protokoll_5p!G182)-1))&gt;VALUE(RIGHT(Protokoll_5p!G182,LEN(Protokoll_5p!G182)-FIND(":",Protokoll_5p!G182))),1,0))</f>
        <v/>
      </c>
      <c r="D216" s="1" t="str">
        <f>IF(Protokoll_5p!H182="","",IF(VALUE(LEFT(Protokoll_5p!H182,FIND(":",Protokoll_5p!H182)-1))&gt;VALUE(RIGHT(Protokoll_5p!H182,LEN(Protokoll_5p!H182)-FIND(":",Protokoll_5p!H182))),1,0))</f>
        <v/>
      </c>
      <c r="E216" s="1" t="str">
        <f>IF(Protokoll_5p!I182="","",IF(VALUE(LEFT(Protokoll_5p!I182,FIND(":",Protokoll_5p!I182)-1))&gt;VALUE(RIGHT(Protokoll_5p!I182,LEN(Protokoll_5p!I182)-FIND(":",Protokoll_5p!I182))),1,0))</f>
        <v/>
      </c>
      <c r="F216" s="1" t="str">
        <f>IF(Protokoll_5p!J182="","",IF(VALUE(LEFT(Protokoll_5p!J182,FIND(":",Protokoll_5p!J182)-1))&gt;VALUE(RIGHT(Protokoll_5p!J182,LEN(Protokoll_5p!J182)-FIND(":",Protokoll_5p!J182))),1,0))</f>
        <v/>
      </c>
      <c r="G216" s="1" t="str">
        <f t="shared" si="6"/>
        <v/>
      </c>
      <c r="I216" s="1" t="str">
        <f>IF(Protokoll_5p!F182="","",IF(VALUE(LEFT(Protokoll_5p!F182,FIND(":",Protokoll_5p!F182)-1))&gt;VALUE(RIGHT(Protokoll_5p!F182,LEN(Protokoll_5p!F182)-FIND(":",Protokoll_5p!F182))),0,1))</f>
        <v/>
      </c>
      <c r="J216" s="1" t="str">
        <f>IF(Protokoll_5p!G182="","",IF(VALUE(LEFT(Protokoll_5p!G182,FIND(":",Protokoll_5p!G182)-1))&gt;VALUE(RIGHT(Protokoll_5p!G182,LEN(Protokoll_5p!G182)-FIND(":",Protokoll_5p!G182))),0,1))</f>
        <v/>
      </c>
      <c r="K216" s="1" t="str">
        <f>IF(Protokoll_5p!H182="","",IF(VALUE(LEFT(Protokoll_5p!H182,FIND(":",Protokoll_5p!H182)-1))&gt;VALUE(RIGHT(Protokoll_5p!H182,LEN(Protokoll_5p!H182)-FIND(":",Protokoll_5p!H182))),0,1))</f>
        <v/>
      </c>
      <c r="L216" s="1" t="str">
        <f>IF(Protokoll_5p!I182="","",IF(VALUE(LEFT(Protokoll_5p!I182,FIND(":",Protokoll_5p!I182)-1))&gt;VALUE(RIGHT(Protokoll_5p!I182,LEN(Protokoll_5p!I182)-FIND(":",Protokoll_5p!I182))),0,1))</f>
        <v/>
      </c>
      <c r="M216" s="1" t="str">
        <f>IF(Protokoll_5p!J182="","",IF(VALUE(LEFT(Protokoll_5p!J182,FIND(":",Protokoll_5p!J182)-1))&gt;VALUE(RIGHT(Protokoll_5p!J182,LEN(Protokoll_5p!J182)-FIND(":",Protokoll_5p!J182))),0,1))</f>
        <v/>
      </c>
      <c r="N216" s="1" t="str">
        <f t="shared" si="7"/>
        <v/>
      </c>
    </row>
    <row r="217" spans="2:14">
      <c r="B217" s="1" t="str">
        <f>IF(Protokoll_5p!F183="","",IF(VALUE(LEFT(Protokoll_5p!F183,FIND(":",Protokoll_5p!F183)-1))&gt;VALUE(RIGHT(Protokoll_5p!F183,LEN(Protokoll_5p!F183)-FIND(":",Protokoll_5p!F183))),1,0))</f>
        <v/>
      </c>
      <c r="C217" s="1" t="str">
        <f>IF(Protokoll_5p!G183="","",IF(VALUE(LEFT(Protokoll_5p!G183,FIND(":",Protokoll_5p!G183)-1))&gt;VALUE(RIGHT(Protokoll_5p!G183,LEN(Protokoll_5p!G183)-FIND(":",Protokoll_5p!G183))),1,0))</f>
        <v/>
      </c>
      <c r="D217" s="1" t="str">
        <f>IF(Protokoll_5p!H183="","",IF(VALUE(LEFT(Protokoll_5p!H183,FIND(":",Protokoll_5p!H183)-1))&gt;VALUE(RIGHT(Protokoll_5p!H183,LEN(Protokoll_5p!H183)-FIND(":",Protokoll_5p!H183))),1,0))</f>
        <v/>
      </c>
      <c r="E217" s="1" t="str">
        <f>IF(Protokoll_5p!I183="","",IF(VALUE(LEFT(Protokoll_5p!I183,FIND(":",Protokoll_5p!I183)-1))&gt;VALUE(RIGHT(Protokoll_5p!I183,LEN(Protokoll_5p!I183)-FIND(":",Protokoll_5p!I183))),1,0))</f>
        <v/>
      </c>
      <c r="F217" s="1" t="str">
        <f>IF(Protokoll_5p!J183="","",IF(VALUE(LEFT(Protokoll_5p!J183,FIND(":",Protokoll_5p!J183)-1))&gt;VALUE(RIGHT(Protokoll_5p!J183,LEN(Protokoll_5p!J183)-FIND(":",Protokoll_5p!J183))),1,0))</f>
        <v/>
      </c>
      <c r="G217" s="1" t="str">
        <f t="shared" si="6"/>
        <v/>
      </c>
      <c r="I217" s="1" t="str">
        <f>IF(Protokoll_5p!F183="","",IF(VALUE(LEFT(Protokoll_5p!F183,FIND(":",Protokoll_5p!F183)-1))&gt;VALUE(RIGHT(Protokoll_5p!F183,LEN(Protokoll_5p!F183)-FIND(":",Protokoll_5p!F183))),0,1))</f>
        <v/>
      </c>
      <c r="J217" s="1" t="str">
        <f>IF(Protokoll_5p!G183="","",IF(VALUE(LEFT(Protokoll_5p!G183,FIND(":",Protokoll_5p!G183)-1))&gt;VALUE(RIGHT(Protokoll_5p!G183,LEN(Protokoll_5p!G183)-FIND(":",Protokoll_5p!G183))),0,1))</f>
        <v/>
      </c>
      <c r="K217" s="1" t="str">
        <f>IF(Protokoll_5p!H183="","",IF(VALUE(LEFT(Protokoll_5p!H183,FIND(":",Protokoll_5p!H183)-1))&gt;VALUE(RIGHT(Protokoll_5p!H183,LEN(Protokoll_5p!H183)-FIND(":",Protokoll_5p!H183))),0,1))</f>
        <v/>
      </c>
      <c r="L217" s="1" t="str">
        <f>IF(Protokoll_5p!I183="","",IF(VALUE(LEFT(Protokoll_5p!I183,FIND(":",Protokoll_5p!I183)-1))&gt;VALUE(RIGHT(Protokoll_5p!I183,LEN(Protokoll_5p!I183)-FIND(":",Protokoll_5p!I183))),0,1))</f>
        <v/>
      </c>
      <c r="M217" s="1" t="str">
        <f>IF(Protokoll_5p!J183="","",IF(VALUE(LEFT(Protokoll_5p!J183,FIND(":",Protokoll_5p!J183)-1))&gt;VALUE(RIGHT(Protokoll_5p!J183,LEN(Protokoll_5p!J183)-FIND(":",Protokoll_5p!J183))),0,1))</f>
        <v/>
      </c>
      <c r="N217" s="1" t="str">
        <f t="shared" si="7"/>
        <v/>
      </c>
    </row>
    <row r="218" spans="2:14">
      <c r="B218" s="1" t="str">
        <f>IF(Protokoll_5p!F184="","",IF(VALUE(LEFT(Protokoll_5p!F184,FIND(":",Protokoll_5p!F184)-1))&gt;VALUE(RIGHT(Protokoll_5p!F184,LEN(Protokoll_5p!F184)-FIND(":",Protokoll_5p!F184))),1,0))</f>
        <v/>
      </c>
      <c r="C218" s="1" t="str">
        <f>IF(Protokoll_5p!G184="","",IF(VALUE(LEFT(Protokoll_5p!G184,FIND(":",Protokoll_5p!G184)-1))&gt;VALUE(RIGHT(Protokoll_5p!G184,LEN(Protokoll_5p!G184)-FIND(":",Protokoll_5p!G184))),1,0))</f>
        <v/>
      </c>
      <c r="D218" s="1" t="str">
        <f>IF(Protokoll_5p!H184="","",IF(VALUE(LEFT(Protokoll_5p!H184,FIND(":",Protokoll_5p!H184)-1))&gt;VALUE(RIGHT(Protokoll_5p!H184,LEN(Protokoll_5p!H184)-FIND(":",Protokoll_5p!H184))),1,0))</f>
        <v/>
      </c>
      <c r="E218" s="1" t="str">
        <f>IF(Protokoll_5p!I184="","",IF(VALUE(LEFT(Protokoll_5p!I184,FIND(":",Protokoll_5p!I184)-1))&gt;VALUE(RIGHT(Protokoll_5p!I184,LEN(Protokoll_5p!I184)-FIND(":",Protokoll_5p!I184))),1,0))</f>
        <v/>
      </c>
      <c r="F218" s="1" t="str">
        <f>IF(Protokoll_5p!J184="","",IF(VALUE(LEFT(Protokoll_5p!J184,FIND(":",Protokoll_5p!J184)-1))&gt;VALUE(RIGHT(Protokoll_5p!J184,LEN(Protokoll_5p!J184)-FIND(":",Protokoll_5p!J184))),1,0))</f>
        <v/>
      </c>
      <c r="G218" s="1" t="str">
        <f t="shared" si="6"/>
        <v/>
      </c>
      <c r="I218" s="1" t="str">
        <f>IF(Protokoll_5p!F184="","",IF(VALUE(LEFT(Protokoll_5p!F184,FIND(":",Protokoll_5p!F184)-1))&gt;VALUE(RIGHT(Protokoll_5p!F184,LEN(Protokoll_5p!F184)-FIND(":",Protokoll_5p!F184))),0,1))</f>
        <v/>
      </c>
      <c r="J218" s="1" t="str">
        <f>IF(Protokoll_5p!G184="","",IF(VALUE(LEFT(Protokoll_5p!G184,FIND(":",Protokoll_5p!G184)-1))&gt;VALUE(RIGHT(Protokoll_5p!G184,LEN(Protokoll_5p!G184)-FIND(":",Protokoll_5p!G184))),0,1))</f>
        <v/>
      </c>
      <c r="K218" s="1" t="str">
        <f>IF(Protokoll_5p!H184="","",IF(VALUE(LEFT(Protokoll_5p!H184,FIND(":",Protokoll_5p!H184)-1))&gt;VALUE(RIGHT(Protokoll_5p!H184,LEN(Protokoll_5p!H184)-FIND(":",Protokoll_5p!H184))),0,1))</f>
        <v/>
      </c>
      <c r="L218" s="1" t="str">
        <f>IF(Protokoll_5p!I184="","",IF(VALUE(LEFT(Protokoll_5p!I184,FIND(":",Protokoll_5p!I184)-1))&gt;VALUE(RIGHT(Protokoll_5p!I184,LEN(Protokoll_5p!I184)-FIND(":",Protokoll_5p!I184))),0,1))</f>
        <v/>
      </c>
      <c r="M218" s="1" t="str">
        <f>IF(Protokoll_5p!J184="","",IF(VALUE(LEFT(Protokoll_5p!J184,FIND(":",Protokoll_5p!J184)-1))&gt;VALUE(RIGHT(Protokoll_5p!J184,LEN(Protokoll_5p!J184)-FIND(":",Protokoll_5p!J184))),0,1))</f>
        <v/>
      </c>
      <c r="N218" s="1" t="str">
        <f t="shared" si="7"/>
        <v/>
      </c>
    </row>
    <row r="219" spans="2:14">
      <c r="B219" s="1" t="str">
        <f>IF(Protokoll_5p!F185="","",IF(VALUE(LEFT(Protokoll_5p!F185,FIND(":",Protokoll_5p!F185)-1))&gt;VALUE(RIGHT(Protokoll_5p!F185,LEN(Protokoll_5p!F185)-FIND(":",Protokoll_5p!F185))),1,0))</f>
        <v/>
      </c>
      <c r="C219" s="1" t="str">
        <f>IF(Protokoll_5p!G185="","",IF(VALUE(LEFT(Protokoll_5p!G185,FIND(":",Protokoll_5p!G185)-1))&gt;VALUE(RIGHT(Protokoll_5p!G185,LEN(Protokoll_5p!G185)-FIND(":",Protokoll_5p!G185))),1,0))</f>
        <v/>
      </c>
      <c r="D219" s="1" t="str">
        <f>IF(Protokoll_5p!H185="","",IF(VALUE(LEFT(Protokoll_5p!H185,FIND(":",Protokoll_5p!H185)-1))&gt;VALUE(RIGHT(Protokoll_5p!H185,LEN(Protokoll_5p!H185)-FIND(":",Protokoll_5p!H185))),1,0))</f>
        <v/>
      </c>
      <c r="E219" s="1" t="str">
        <f>IF(Protokoll_5p!I185="","",IF(VALUE(LEFT(Protokoll_5p!I185,FIND(":",Protokoll_5p!I185)-1))&gt;VALUE(RIGHT(Protokoll_5p!I185,LEN(Protokoll_5p!I185)-FIND(":",Protokoll_5p!I185))),1,0))</f>
        <v/>
      </c>
      <c r="F219" s="1" t="str">
        <f>IF(Protokoll_5p!J185="","",IF(VALUE(LEFT(Protokoll_5p!J185,FIND(":",Protokoll_5p!J185)-1))&gt;VALUE(RIGHT(Protokoll_5p!J185,LEN(Protokoll_5p!J185)-FIND(":",Protokoll_5p!J185))),1,0))</f>
        <v/>
      </c>
      <c r="G219" s="1" t="str">
        <f t="shared" si="6"/>
        <v/>
      </c>
      <c r="I219" s="1" t="str">
        <f>IF(Protokoll_5p!F185="","",IF(VALUE(LEFT(Protokoll_5p!F185,FIND(":",Protokoll_5p!F185)-1))&gt;VALUE(RIGHT(Protokoll_5p!F185,LEN(Protokoll_5p!F185)-FIND(":",Protokoll_5p!F185))),0,1))</f>
        <v/>
      </c>
      <c r="J219" s="1" t="str">
        <f>IF(Protokoll_5p!G185="","",IF(VALUE(LEFT(Protokoll_5p!G185,FIND(":",Protokoll_5p!G185)-1))&gt;VALUE(RIGHT(Protokoll_5p!G185,LEN(Protokoll_5p!G185)-FIND(":",Protokoll_5p!G185))),0,1))</f>
        <v/>
      </c>
      <c r="K219" s="1" t="str">
        <f>IF(Protokoll_5p!H185="","",IF(VALUE(LEFT(Protokoll_5p!H185,FIND(":",Protokoll_5p!H185)-1))&gt;VALUE(RIGHT(Protokoll_5p!H185,LEN(Protokoll_5p!H185)-FIND(":",Protokoll_5p!H185))),0,1))</f>
        <v/>
      </c>
      <c r="L219" s="1" t="str">
        <f>IF(Protokoll_5p!I185="","",IF(VALUE(LEFT(Protokoll_5p!I185,FIND(":",Protokoll_5p!I185)-1))&gt;VALUE(RIGHT(Protokoll_5p!I185,LEN(Protokoll_5p!I185)-FIND(":",Protokoll_5p!I185))),0,1))</f>
        <v/>
      </c>
      <c r="M219" s="1" t="str">
        <f>IF(Protokoll_5p!J185="","",IF(VALUE(LEFT(Protokoll_5p!J185,FIND(":",Protokoll_5p!J185)-1))&gt;VALUE(RIGHT(Protokoll_5p!J185,LEN(Protokoll_5p!J185)-FIND(":",Protokoll_5p!J185))),0,1))</f>
        <v/>
      </c>
      <c r="N219" s="1" t="str">
        <f t="shared" si="7"/>
        <v/>
      </c>
    </row>
    <row r="220" spans="2:14">
      <c r="B220" s="1" t="str">
        <f>IF(Protokoll_5p!F186="","",IF(VALUE(LEFT(Protokoll_5p!F186,FIND(":",Protokoll_5p!F186)-1))&gt;VALUE(RIGHT(Protokoll_5p!F186,LEN(Protokoll_5p!F186)-FIND(":",Protokoll_5p!F186))),1,0))</f>
        <v/>
      </c>
      <c r="C220" s="1" t="str">
        <f>IF(Protokoll_5p!G186="","",IF(VALUE(LEFT(Protokoll_5p!G186,FIND(":",Protokoll_5p!G186)-1))&gt;VALUE(RIGHT(Protokoll_5p!G186,LEN(Protokoll_5p!G186)-FIND(":",Protokoll_5p!G186))),1,0))</f>
        <v/>
      </c>
      <c r="D220" s="1" t="str">
        <f>IF(Protokoll_5p!H186="","",IF(VALUE(LEFT(Protokoll_5p!H186,FIND(":",Protokoll_5p!H186)-1))&gt;VALUE(RIGHT(Protokoll_5p!H186,LEN(Protokoll_5p!H186)-FIND(":",Protokoll_5p!H186))),1,0))</f>
        <v/>
      </c>
      <c r="E220" s="1" t="str">
        <f>IF(Protokoll_5p!I186="","",IF(VALUE(LEFT(Protokoll_5p!I186,FIND(":",Protokoll_5p!I186)-1))&gt;VALUE(RIGHT(Protokoll_5p!I186,LEN(Protokoll_5p!I186)-FIND(":",Protokoll_5p!I186))),1,0))</f>
        <v/>
      </c>
      <c r="F220" s="1" t="str">
        <f>IF(Protokoll_5p!J186="","",IF(VALUE(LEFT(Protokoll_5p!J186,FIND(":",Protokoll_5p!J186)-1))&gt;VALUE(RIGHT(Protokoll_5p!J186,LEN(Protokoll_5p!J186)-FIND(":",Protokoll_5p!J186))),1,0))</f>
        <v/>
      </c>
      <c r="G220" s="1" t="str">
        <f t="shared" si="6"/>
        <v/>
      </c>
      <c r="I220" s="1" t="str">
        <f>IF(Protokoll_5p!F186="","",IF(VALUE(LEFT(Protokoll_5p!F186,FIND(":",Protokoll_5p!F186)-1))&gt;VALUE(RIGHT(Protokoll_5p!F186,LEN(Protokoll_5p!F186)-FIND(":",Protokoll_5p!F186))),0,1))</f>
        <v/>
      </c>
      <c r="J220" s="1" t="str">
        <f>IF(Protokoll_5p!G186="","",IF(VALUE(LEFT(Protokoll_5p!G186,FIND(":",Protokoll_5p!G186)-1))&gt;VALUE(RIGHT(Protokoll_5p!G186,LEN(Protokoll_5p!G186)-FIND(":",Protokoll_5p!G186))),0,1))</f>
        <v/>
      </c>
      <c r="K220" s="1" t="str">
        <f>IF(Protokoll_5p!H186="","",IF(VALUE(LEFT(Protokoll_5p!H186,FIND(":",Protokoll_5p!H186)-1))&gt;VALUE(RIGHT(Protokoll_5p!H186,LEN(Protokoll_5p!H186)-FIND(":",Protokoll_5p!H186))),0,1))</f>
        <v/>
      </c>
      <c r="L220" s="1" t="str">
        <f>IF(Protokoll_5p!I186="","",IF(VALUE(LEFT(Protokoll_5p!I186,FIND(":",Protokoll_5p!I186)-1))&gt;VALUE(RIGHT(Protokoll_5p!I186,LEN(Protokoll_5p!I186)-FIND(":",Protokoll_5p!I186))),0,1))</f>
        <v/>
      </c>
      <c r="M220" s="1" t="str">
        <f>IF(Protokoll_5p!J186="","",IF(VALUE(LEFT(Protokoll_5p!J186,FIND(":",Protokoll_5p!J186)-1))&gt;VALUE(RIGHT(Protokoll_5p!J186,LEN(Protokoll_5p!J186)-FIND(":",Protokoll_5p!J186))),0,1))</f>
        <v/>
      </c>
      <c r="N220" s="1" t="str">
        <f t="shared" si="7"/>
        <v/>
      </c>
    </row>
    <row r="221" spans="2:14">
      <c r="B221" s="1" t="str">
        <f>IF(Protokoll_5p!F187="","",IF(VALUE(LEFT(Protokoll_5p!F187,FIND(":",Protokoll_5p!F187)-1))&gt;VALUE(RIGHT(Protokoll_5p!F187,LEN(Protokoll_5p!F187)-FIND(":",Protokoll_5p!F187))),1,0))</f>
        <v/>
      </c>
      <c r="C221" s="1" t="str">
        <f>IF(Protokoll_5p!G187="","",IF(VALUE(LEFT(Protokoll_5p!G187,FIND(":",Protokoll_5p!G187)-1))&gt;VALUE(RIGHT(Protokoll_5p!G187,LEN(Protokoll_5p!G187)-FIND(":",Protokoll_5p!G187))),1,0))</f>
        <v/>
      </c>
      <c r="D221" s="1" t="str">
        <f>IF(Protokoll_5p!H187="","",IF(VALUE(LEFT(Protokoll_5p!H187,FIND(":",Protokoll_5p!H187)-1))&gt;VALUE(RIGHT(Protokoll_5p!H187,LEN(Protokoll_5p!H187)-FIND(":",Protokoll_5p!H187))),1,0))</f>
        <v/>
      </c>
      <c r="E221" s="1" t="str">
        <f>IF(Protokoll_5p!I187="","",IF(VALUE(LEFT(Protokoll_5p!I187,FIND(":",Protokoll_5p!I187)-1))&gt;VALUE(RIGHT(Protokoll_5p!I187,LEN(Protokoll_5p!I187)-FIND(":",Protokoll_5p!I187))),1,0))</f>
        <v/>
      </c>
      <c r="F221" s="1" t="str">
        <f>IF(Protokoll_5p!J187="","",IF(VALUE(LEFT(Protokoll_5p!J187,FIND(":",Protokoll_5p!J187)-1))&gt;VALUE(RIGHT(Protokoll_5p!J187,LEN(Protokoll_5p!J187)-FIND(":",Protokoll_5p!J187))),1,0))</f>
        <v/>
      </c>
      <c r="G221" s="1" t="str">
        <f t="shared" si="6"/>
        <v/>
      </c>
      <c r="I221" s="1" t="str">
        <f>IF(Protokoll_5p!F187="","",IF(VALUE(LEFT(Protokoll_5p!F187,FIND(":",Protokoll_5p!F187)-1))&gt;VALUE(RIGHT(Protokoll_5p!F187,LEN(Protokoll_5p!F187)-FIND(":",Protokoll_5p!F187))),0,1))</f>
        <v/>
      </c>
      <c r="J221" s="1" t="str">
        <f>IF(Protokoll_5p!G187="","",IF(VALUE(LEFT(Protokoll_5p!G187,FIND(":",Protokoll_5p!G187)-1))&gt;VALUE(RIGHT(Protokoll_5p!G187,LEN(Protokoll_5p!G187)-FIND(":",Protokoll_5p!G187))),0,1))</f>
        <v/>
      </c>
      <c r="K221" s="1" t="str">
        <f>IF(Protokoll_5p!H187="","",IF(VALUE(LEFT(Protokoll_5p!H187,FIND(":",Protokoll_5p!H187)-1))&gt;VALUE(RIGHT(Protokoll_5p!H187,LEN(Protokoll_5p!H187)-FIND(":",Protokoll_5p!H187))),0,1))</f>
        <v/>
      </c>
      <c r="L221" s="1" t="str">
        <f>IF(Protokoll_5p!I187="","",IF(VALUE(LEFT(Protokoll_5p!I187,FIND(":",Protokoll_5p!I187)-1))&gt;VALUE(RIGHT(Protokoll_5p!I187,LEN(Protokoll_5p!I187)-FIND(":",Protokoll_5p!I187))),0,1))</f>
        <v/>
      </c>
      <c r="M221" s="1" t="str">
        <f>IF(Protokoll_5p!J187="","",IF(VALUE(LEFT(Protokoll_5p!J187,FIND(":",Protokoll_5p!J187)-1))&gt;VALUE(RIGHT(Protokoll_5p!J187,LEN(Protokoll_5p!J187)-FIND(":",Protokoll_5p!J187))),0,1))</f>
        <v/>
      </c>
      <c r="N221" s="1" t="str">
        <f t="shared" si="7"/>
        <v/>
      </c>
    </row>
    <row r="222" spans="2:14">
      <c r="B222" s="1" t="str">
        <f>IF(Protokoll_5p!F188="","",IF(VALUE(LEFT(Protokoll_5p!F188,FIND(":",Protokoll_5p!F188)-1))&gt;VALUE(RIGHT(Protokoll_5p!F188,LEN(Protokoll_5p!F188)-FIND(":",Protokoll_5p!F188))),1,0))</f>
        <v/>
      </c>
      <c r="C222" s="1" t="str">
        <f>IF(Protokoll_5p!G188="","",IF(VALUE(LEFT(Protokoll_5p!G188,FIND(":",Protokoll_5p!G188)-1))&gt;VALUE(RIGHT(Protokoll_5p!G188,LEN(Protokoll_5p!G188)-FIND(":",Protokoll_5p!G188))),1,0))</f>
        <v/>
      </c>
      <c r="D222" s="1" t="str">
        <f>IF(Protokoll_5p!H188="","",IF(VALUE(LEFT(Protokoll_5p!H188,FIND(":",Protokoll_5p!H188)-1))&gt;VALUE(RIGHT(Protokoll_5p!H188,LEN(Protokoll_5p!H188)-FIND(":",Protokoll_5p!H188))),1,0))</f>
        <v/>
      </c>
      <c r="E222" s="1" t="str">
        <f>IF(Protokoll_5p!I188="","",IF(VALUE(LEFT(Protokoll_5p!I188,FIND(":",Protokoll_5p!I188)-1))&gt;VALUE(RIGHT(Protokoll_5p!I188,LEN(Protokoll_5p!I188)-FIND(":",Protokoll_5p!I188))),1,0))</f>
        <v/>
      </c>
      <c r="F222" s="1" t="str">
        <f>IF(Protokoll_5p!J188="","",IF(VALUE(LEFT(Protokoll_5p!J188,FIND(":",Protokoll_5p!J188)-1))&gt;VALUE(RIGHT(Protokoll_5p!J188,LEN(Protokoll_5p!J188)-FIND(":",Protokoll_5p!J188))),1,0))</f>
        <v/>
      </c>
      <c r="G222" s="1" t="str">
        <f t="shared" si="6"/>
        <v/>
      </c>
      <c r="I222" s="1" t="str">
        <f>IF(Protokoll_5p!F188="","",IF(VALUE(LEFT(Protokoll_5p!F188,FIND(":",Protokoll_5p!F188)-1))&gt;VALUE(RIGHT(Protokoll_5p!F188,LEN(Protokoll_5p!F188)-FIND(":",Protokoll_5p!F188))),0,1))</f>
        <v/>
      </c>
      <c r="J222" s="1" t="str">
        <f>IF(Protokoll_5p!G188="","",IF(VALUE(LEFT(Protokoll_5p!G188,FIND(":",Protokoll_5p!G188)-1))&gt;VALUE(RIGHT(Protokoll_5p!G188,LEN(Protokoll_5p!G188)-FIND(":",Protokoll_5p!G188))),0,1))</f>
        <v/>
      </c>
      <c r="K222" s="1" t="str">
        <f>IF(Protokoll_5p!H188="","",IF(VALUE(LEFT(Protokoll_5p!H188,FIND(":",Protokoll_5p!H188)-1))&gt;VALUE(RIGHT(Protokoll_5p!H188,LEN(Protokoll_5p!H188)-FIND(":",Protokoll_5p!H188))),0,1))</f>
        <v/>
      </c>
      <c r="L222" s="1" t="str">
        <f>IF(Protokoll_5p!I188="","",IF(VALUE(LEFT(Protokoll_5p!I188,FIND(":",Protokoll_5p!I188)-1))&gt;VALUE(RIGHT(Protokoll_5p!I188,LEN(Protokoll_5p!I188)-FIND(":",Protokoll_5p!I188))),0,1))</f>
        <v/>
      </c>
      <c r="M222" s="1" t="str">
        <f>IF(Protokoll_5p!J188="","",IF(VALUE(LEFT(Protokoll_5p!J188,FIND(":",Protokoll_5p!J188)-1))&gt;VALUE(RIGHT(Protokoll_5p!J188,LEN(Protokoll_5p!J188)-FIND(":",Protokoll_5p!J188))),0,1))</f>
        <v/>
      </c>
      <c r="N222" s="1" t="str">
        <f t="shared" si="7"/>
        <v/>
      </c>
    </row>
    <row r="223" spans="2:14">
      <c r="B223" s="1" t="str">
        <f>IF(Protokoll_5p!F189="","",IF(VALUE(LEFT(Protokoll_5p!F189,FIND(":",Protokoll_5p!F189)-1))&gt;VALUE(RIGHT(Protokoll_5p!F189,LEN(Protokoll_5p!F189)-FIND(":",Protokoll_5p!F189))),1,0))</f>
        <v/>
      </c>
      <c r="C223" s="1" t="str">
        <f>IF(Protokoll_5p!G189="","",IF(VALUE(LEFT(Protokoll_5p!G189,FIND(":",Protokoll_5p!G189)-1))&gt;VALUE(RIGHT(Protokoll_5p!G189,LEN(Protokoll_5p!G189)-FIND(":",Protokoll_5p!G189))),1,0))</f>
        <v/>
      </c>
      <c r="D223" s="1" t="str">
        <f>IF(Protokoll_5p!H189="","",IF(VALUE(LEFT(Protokoll_5p!H189,FIND(":",Protokoll_5p!H189)-1))&gt;VALUE(RIGHT(Protokoll_5p!H189,LEN(Protokoll_5p!H189)-FIND(":",Protokoll_5p!H189))),1,0))</f>
        <v/>
      </c>
      <c r="E223" s="1" t="str">
        <f>IF(Protokoll_5p!I189="","",IF(VALUE(LEFT(Protokoll_5p!I189,FIND(":",Protokoll_5p!I189)-1))&gt;VALUE(RIGHT(Protokoll_5p!I189,LEN(Protokoll_5p!I189)-FIND(":",Protokoll_5p!I189))),1,0))</f>
        <v/>
      </c>
      <c r="F223" s="1" t="str">
        <f>IF(Protokoll_5p!J189="","",IF(VALUE(LEFT(Protokoll_5p!J189,FIND(":",Protokoll_5p!J189)-1))&gt;VALUE(RIGHT(Protokoll_5p!J189,LEN(Protokoll_5p!J189)-FIND(":",Protokoll_5p!J189))),1,0))</f>
        <v/>
      </c>
      <c r="G223" s="1" t="str">
        <f t="shared" si="6"/>
        <v/>
      </c>
      <c r="I223" s="1" t="str">
        <f>IF(Protokoll_5p!F189="","",IF(VALUE(LEFT(Protokoll_5p!F189,FIND(":",Protokoll_5p!F189)-1))&gt;VALUE(RIGHT(Protokoll_5p!F189,LEN(Protokoll_5p!F189)-FIND(":",Protokoll_5p!F189))),0,1))</f>
        <v/>
      </c>
      <c r="J223" s="1" t="str">
        <f>IF(Protokoll_5p!G189="","",IF(VALUE(LEFT(Protokoll_5p!G189,FIND(":",Protokoll_5p!G189)-1))&gt;VALUE(RIGHT(Protokoll_5p!G189,LEN(Protokoll_5p!G189)-FIND(":",Protokoll_5p!G189))),0,1))</f>
        <v/>
      </c>
      <c r="K223" s="1" t="str">
        <f>IF(Protokoll_5p!H189="","",IF(VALUE(LEFT(Protokoll_5p!H189,FIND(":",Protokoll_5p!H189)-1))&gt;VALUE(RIGHT(Protokoll_5p!H189,LEN(Protokoll_5p!H189)-FIND(":",Protokoll_5p!H189))),0,1))</f>
        <v/>
      </c>
      <c r="L223" s="1" t="str">
        <f>IF(Protokoll_5p!I189="","",IF(VALUE(LEFT(Protokoll_5p!I189,FIND(":",Protokoll_5p!I189)-1))&gt;VALUE(RIGHT(Protokoll_5p!I189,LEN(Protokoll_5p!I189)-FIND(":",Protokoll_5p!I189))),0,1))</f>
        <v/>
      </c>
      <c r="M223" s="1" t="str">
        <f>IF(Protokoll_5p!J189="","",IF(VALUE(LEFT(Protokoll_5p!J189,FIND(":",Protokoll_5p!J189)-1))&gt;VALUE(RIGHT(Protokoll_5p!J189,LEN(Protokoll_5p!J189)-FIND(":",Protokoll_5p!J189))),0,1))</f>
        <v/>
      </c>
      <c r="N223" s="1" t="str">
        <f t="shared" si="7"/>
        <v/>
      </c>
    </row>
    <row r="224" spans="2:14">
      <c r="B224" s="1" t="str">
        <f>IF(Protokoll_5p!F190="","",IF(VALUE(LEFT(Protokoll_5p!F190,FIND(":",Protokoll_5p!F190)-1))&gt;VALUE(RIGHT(Protokoll_5p!F190,LEN(Protokoll_5p!F190)-FIND(":",Protokoll_5p!F190))),1,0))</f>
        <v/>
      </c>
      <c r="C224" s="1" t="str">
        <f>IF(Protokoll_5p!G190="","",IF(VALUE(LEFT(Protokoll_5p!G190,FIND(":",Protokoll_5p!G190)-1))&gt;VALUE(RIGHT(Protokoll_5p!G190,LEN(Protokoll_5p!G190)-FIND(":",Protokoll_5p!G190))),1,0))</f>
        <v/>
      </c>
      <c r="D224" s="1" t="str">
        <f>IF(Protokoll_5p!H190="","",IF(VALUE(LEFT(Protokoll_5p!H190,FIND(":",Protokoll_5p!H190)-1))&gt;VALUE(RIGHT(Protokoll_5p!H190,LEN(Protokoll_5p!H190)-FIND(":",Protokoll_5p!H190))),1,0))</f>
        <v/>
      </c>
      <c r="E224" s="1" t="str">
        <f>IF(Protokoll_5p!I190="","",IF(VALUE(LEFT(Protokoll_5p!I190,FIND(":",Protokoll_5p!I190)-1))&gt;VALUE(RIGHT(Protokoll_5p!I190,LEN(Protokoll_5p!I190)-FIND(":",Protokoll_5p!I190))),1,0))</f>
        <v/>
      </c>
      <c r="F224" s="1" t="str">
        <f>IF(Protokoll_5p!J190="","",IF(VALUE(LEFT(Protokoll_5p!J190,FIND(":",Protokoll_5p!J190)-1))&gt;VALUE(RIGHT(Protokoll_5p!J190,LEN(Protokoll_5p!J190)-FIND(":",Protokoll_5p!J190))),1,0))</f>
        <v/>
      </c>
      <c r="G224" s="1" t="str">
        <f t="shared" si="6"/>
        <v/>
      </c>
      <c r="I224" s="1" t="str">
        <f>IF(Protokoll_5p!F190="","",IF(VALUE(LEFT(Protokoll_5p!F190,FIND(":",Protokoll_5p!F190)-1))&gt;VALUE(RIGHT(Protokoll_5p!F190,LEN(Protokoll_5p!F190)-FIND(":",Protokoll_5p!F190))),0,1))</f>
        <v/>
      </c>
      <c r="J224" s="1" t="str">
        <f>IF(Protokoll_5p!G190="","",IF(VALUE(LEFT(Protokoll_5p!G190,FIND(":",Protokoll_5p!G190)-1))&gt;VALUE(RIGHT(Protokoll_5p!G190,LEN(Protokoll_5p!G190)-FIND(":",Protokoll_5p!G190))),0,1))</f>
        <v/>
      </c>
      <c r="K224" s="1" t="str">
        <f>IF(Protokoll_5p!H190="","",IF(VALUE(LEFT(Protokoll_5p!H190,FIND(":",Protokoll_5p!H190)-1))&gt;VALUE(RIGHT(Protokoll_5p!H190,LEN(Protokoll_5p!H190)-FIND(":",Protokoll_5p!H190))),0,1))</f>
        <v/>
      </c>
      <c r="L224" s="1" t="str">
        <f>IF(Protokoll_5p!I190="","",IF(VALUE(LEFT(Protokoll_5p!I190,FIND(":",Protokoll_5p!I190)-1))&gt;VALUE(RIGHT(Protokoll_5p!I190,LEN(Protokoll_5p!I190)-FIND(":",Protokoll_5p!I190))),0,1))</f>
        <v/>
      </c>
      <c r="M224" s="1" t="str">
        <f>IF(Protokoll_5p!J190="","",IF(VALUE(LEFT(Protokoll_5p!J190,FIND(":",Protokoll_5p!J190)-1))&gt;VALUE(RIGHT(Protokoll_5p!J190,LEN(Protokoll_5p!J190)-FIND(":",Protokoll_5p!J190))),0,1))</f>
        <v/>
      </c>
      <c r="N224" s="1" t="str">
        <f t="shared" si="7"/>
        <v/>
      </c>
    </row>
    <row r="225" spans="2:14">
      <c r="B225" s="1" t="str">
        <f>IF(Protokoll_5p!F191="","",IF(VALUE(LEFT(Protokoll_5p!F191,FIND(":",Protokoll_5p!F191)-1))&gt;VALUE(RIGHT(Protokoll_5p!F191,LEN(Protokoll_5p!F191)-FIND(":",Protokoll_5p!F191))),1,0))</f>
        <v/>
      </c>
      <c r="C225" s="1" t="str">
        <f>IF(Protokoll_5p!G191="","",IF(VALUE(LEFT(Protokoll_5p!G191,FIND(":",Protokoll_5p!G191)-1))&gt;VALUE(RIGHT(Protokoll_5p!G191,LEN(Protokoll_5p!G191)-FIND(":",Protokoll_5p!G191))),1,0))</f>
        <v/>
      </c>
      <c r="D225" s="1" t="str">
        <f>IF(Protokoll_5p!H191="","",IF(VALUE(LEFT(Protokoll_5p!H191,FIND(":",Protokoll_5p!H191)-1))&gt;VALUE(RIGHT(Protokoll_5p!H191,LEN(Protokoll_5p!H191)-FIND(":",Protokoll_5p!H191))),1,0))</f>
        <v/>
      </c>
      <c r="E225" s="1" t="str">
        <f>IF(Protokoll_5p!I191="","",IF(VALUE(LEFT(Protokoll_5p!I191,FIND(":",Protokoll_5p!I191)-1))&gt;VALUE(RIGHT(Protokoll_5p!I191,LEN(Protokoll_5p!I191)-FIND(":",Protokoll_5p!I191))),1,0))</f>
        <v/>
      </c>
      <c r="F225" s="1" t="str">
        <f>IF(Protokoll_5p!J191="","",IF(VALUE(LEFT(Protokoll_5p!J191,FIND(":",Protokoll_5p!J191)-1))&gt;VALUE(RIGHT(Protokoll_5p!J191,LEN(Protokoll_5p!J191)-FIND(":",Protokoll_5p!J191))),1,0))</f>
        <v/>
      </c>
      <c r="G225" s="1" t="str">
        <f t="shared" si="6"/>
        <v/>
      </c>
      <c r="I225" s="1" t="str">
        <f>IF(Protokoll_5p!F191="","",IF(VALUE(LEFT(Protokoll_5p!F191,FIND(":",Protokoll_5p!F191)-1))&gt;VALUE(RIGHT(Protokoll_5p!F191,LEN(Protokoll_5p!F191)-FIND(":",Protokoll_5p!F191))),0,1))</f>
        <v/>
      </c>
      <c r="J225" s="1" t="str">
        <f>IF(Protokoll_5p!G191="","",IF(VALUE(LEFT(Protokoll_5p!G191,FIND(":",Protokoll_5p!G191)-1))&gt;VALUE(RIGHT(Protokoll_5p!G191,LEN(Protokoll_5p!G191)-FIND(":",Protokoll_5p!G191))),0,1))</f>
        <v/>
      </c>
      <c r="K225" s="1" t="str">
        <f>IF(Protokoll_5p!H191="","",IF(VALUE(LEFT(Protokoll_5p!H191,FIND(":",Protokoll_5p!H191)-1))&gt;VALUE(RIGHT(Protokoll_5p!H191,LEN(Protokoll_5p!H191)-FIND(":",Protokoll_5p!H191))),0,1))</f>
        <v/>
      </c>
      <c r="L225" s="1" t="str">
        <f>IF(Protokoll_5p!I191="","",IF(VALUE(LEFT(Protokoll_5p!I191,FIND(":",Protokoll_5p!I191)-1))&gt;VALUE(RIGHT(Protokoll_5p!I191,LEN(Protokoll_5p!I191)-FIND(":",Protokoll_5p!I191))),0,1))</f>
        <v/>
      </c>
      <c r="M225" s="1" t="str">
        <f>IF(Protokoll_5p!J191="","",IF(VALUE(LEFT(Protokoll_5p!J191,FIND(":",Protokoll_5p!J191)-1))&gt;VALUE(RIGHT(Protokoll_5p!J191,LEN(Protokoll_5p!J191)-FIND(":",Protokoll_5p!J191))),0,1))</f>
        <v/>
      </c>
      <c r="N225" s="1" t="str">
        <f t="shared" si="7"/>
        <v/>
      </c>
    </row>
    <row r="226" spans="2:14">
      <c r="B226" s="1" t="str">
        <f>IF(Protokoll_5p!F192="","",IF(VALUE(LEFT(Protokoll_5p!F192,FIND(":",Protokoll_5p!F192)-1))&gt;VALUE(RIGHT(Protokoll_5p!F192,LEN(Protokoll_5p!F192)-FIND(":",Protokoll_5p!F192))),1,0))</f>
        <v/>
      </c>
      <c r="C226" s="1" t="str">
        <f>IF(Protokoll_5p!G192="","",IF(VALUE(LEFT(Protokoll_5p!G192,FIND(":",Protokoll_5p!G192)-1))&gt;VALUE(RIGHT(Protokoll_5p!G192,LEN(Protokoll_5p!G192)-FIND(":",Protokoll_5p!G192))),1,0))</f>
        <v/>
      </c>
      <c r="D226" s="1" t="str">
        <f>IF(Protokoll_5p!H192="","",IF(VALUE(LEFT(Protokoll_5p!H192,FIND(":",Protokoll_5p!H192)-1))&gt;VALUE(RIGHT(Protokoll_5p!H192,LEN(Protokoll_5p!H192)-FIND(":",Protokoll_5p!H192))),1,0))</f>
        <v/>
      </c>
      <c r="E226" s="1" t="str">
        <f>IF(Protokoll_5p!I192="","",IF(VALUE(LEFT(Protokoll_5p!I192,FIND(":",Protokoll_5p!I192)-1))&gt;VALUE(RIGHT(Protokoll_5p!I192,LEN(Protokoll_5p!I192)-FIND(":",Protokoll_5p!I192))),1,0))</f>
        <v/>
      </c>
      <c r="F226" s="1" t="str">
        <f>IF(Protokoll_5p!J192="","",IF(VALUE(LEFT(Protokoll_5p!J192,FIND(":",Protokoll_5p!J192)-1))&gt;VALUE(RIGHT(Protokoll_5p!J192,LEN(Protokoll_5p!J192)-FIND(":",Protokoll_5p!J192))),1,0))</f>
        <v/>
      </c>
      <c r="G226" s="1" t="str">
        <f t="shared" si="6"/>
        <v/>
      </c>
      <c r="I226" s="1" t="str">
        <f>IF(Protokoll_5p!F192="","",IF(VALUE(LEFT(Protokoll_5p!F192,FIND(":",Protokoll_5p!F192)-1))&gt;VALUE(RIGHT(Protokoll_5p!F192,LEN(Protokoll_5p!F192)-FIND(":",Protokoll_5p!F192))),0,1))</f>
        <v/>
      </c>
      <c r="J226" s="1" t="str">
        <f>IF(Protokoll_5p!G192="","",IF(VALUE(LEFT(Protokoll_5p!G192,FIND(":",Protokoll_5p!G192)-1))&gt;VALUE(RIGHT(Protokoll_5p!G192,LEN(Protokoll_5p!G192)-FIND(":",Protokoll_5p!G192))),0,1))</f>
        <v/>
      </c>
      <c r="K226" s="1" t="str">
        <f>IF(Protokoll_5p!H192="","",IF(VALUE(LEFT(Protokoll_5p!H192,FIND(":",Protokoll_5p!H192)-1))&gt;VALUE(RIGHT(Protokoll_5p!H192,LEN(Protokoll_5p!H192)-FIND(":",Protokoll_5p!H192))),0,1))</f>
        <v/>
      </c>
      <c r="L226" s="1" t="str">
        <f>IF(Protokoll_5p!I192="","",IF(VALUE(LEFT(Protokoll_5p!I192,FIND(":",Protokoll_5p!I192)-1))&gt;VALUE(RIGHT(Protokoll_5p!I192,LEN(Protokoll_5p!I192)-FIND(":",Protokoll_5p!I192))),0,1))</f>
        <v/>
      </c>
      <c r="M226" s="1" t="str">
        <f>IF(Protokoll_5p!J192="","",IF(VALUE(LEFT(Protokoll_5p!J192,FIND(":",Protokoll_5p!J192)-1))&gt;VALUE(RIGHT(Protokoll_5p!J192,LEN(Protokoll_5p!J192)-FIND(":",Protokoll_5p!J192))),0,1))</f>
        <v/>
      </c>
      <c r="N226" s="1" t="str">
        <f t="shared" si="7"/>
        <v/>
      </c>
    </row>
    <row r="227" spans="2:14">
      <c r="B227" s="1" t="str">
        <f>IF(Protokoll_5p!F193="","",IF(VALUE(LEFT(Protokoll_5p!F193,FIND(":",Protokoll_5p!F193)-1))&gt;VALUE(RIGHT(Protokoll_5p!F193,LEN(Protokoll_5p!F193)-FIND(":",Protokoll_5p!F193))),1,0))</f>
        <v/>
      </c>
      <c r="C227" s="1" t="str">
        <f>IF(Protokoll_5p!G193="","",IF(VALUE(LEFT(Protokoll_5p!G193,FIND(":",Protokoll_5p!G193)-1))&gt;VALUE(RIGHT(Protokoll_5p!G193,LEN(Protokoll_5p!G193)-FIND(":",Protokoll_5p!G193))),1,0))</f>
        <v/>
      </c>
      <c r="D227" s="1" t="str">
        <f>IF(Protokoll_5p!H193="","",IF(VALUE(LEFT(Protokoll_5p!H193,FIND(":",Protokoll_5p!H193)-1))&gt;VALUE(RIGHT(Protokoll_5p!H193,LEN(Protokoll_5p!H193)-FIND(":",Protokoll_5p!H193))),1,0))</f>
        <v/>
      </c>
      <c r="E227" s="1" t="str">
        <f>IF(Protokoll_5p!I193="","",IF(VALUE(LEFT(Protokoll_5p!I193,FIND(":",Protokoll_5p!I193)-1))&gt;VALUE(RIGHT(Protokoll_5p!I193,LEN(Protokoll_5p!I193)-FIND(":",Protokoll_5p!I193))),1,0))</f>
        <v/>
      </c>
      <c r="F227" s="1" t="str">
        <f>IF(Protokoll_5p!J193="","",IF(VALUE(LEFT(Protokoll_5p!J193,FIND(":",Protokoll_5p!J193)-1))&gt;VALUE(RIGHT(Protokoll_5p!J193,LEN(Protokoll_5p!J193)-FIND(":",Protokoll_5p!J193))),1,0))</f>
        <v/>
      </c>
      <c r="G227" s="1" t="str">
        <f t="shared" si="6"/>
        <v/>
      </c>
      <c r="I227" s="1" t="str">
        <f>IF(Protokoll_5p!F193="","",IF(VALUE(LEFT(Protokoll_5p!F193,FIND(":",Protokoll_5p!F193)-1))&gt;VALUE(RIGHT(Protokoll_5p!F193,LEN(Protokoll_5p!F193)-FIND(":",Protokoll_5p!F193))),0,1))</f>
        <v/>
      </c>
      <c r="J227" s="1" t="str">
        <f>IF(Protokoll_5p!G193="","",IF(VALUE(LEFT(Protokoll_5p!G193,FIND(":",Protokoll_5p!G193)-1))&gt;VALUE(RIGHT(Protokoll_5p!G193,LEN(Protokoll_5p!G193)-FIND(":",Protokoll_5p!G193))),0,1))</f>
        <v/>
      </c>
      <c r="K227" s="1" t="str">
        <f>IF(Protokoll_5p!H193="","",IF(VALUE(LEFT(Protokoll_5p!H193,FIND(":",Protokoll_5p!H193)-1))&gt;VALUE(RIGHT(Protokoll_5p!H193,LEN(Protokoll_5p!H193)-FIND(":",Protokoll_5p!H193))),0,1))</f>
        <v/>
      </c>
      <c r="L227" s="1" t="str">
        <f>IF(Protokoll_5p!I193="","",IF(VALUE(LEFT(Protokoll_5p!I193,FIND(":",Protokoll_5p!I193)-1))&gt;VALUE(RIGHT(Protokoll_5p!I193,LEN(Protokoll_5p!I193)-FIND(":",Protokoll_5p!I193))),0,1))</f>
        <v/>
      </c>
      <c r="M227" s="1" t="str">
        <f>IF(Protokoll_5p!J193="","",IF(VALUE(LEFT(Protokoll_5p!J193,FIND(":",Protokoll_5p!J193)-1))&gt;VALUE(RIGHT(Protokoll_5p!J193,LEN(Protokoll_5p!J193)-FIND(":",Protokoll_5p!J193))),0,1))</f>
        <v/>
      </c>
      <c r="N227" s="1" t="str">
        <f t="shared" si="7"/>
        <v/>
      </c>
    </row>
    <row r="228" spans="2:14">
      <c r="B228" s="1" t="str">
        <f>IF(Protokoll_5p!F194="","",IF(VALUE(LEFT(Protokoll_5p!F194,FIND(":",Protokoll_5p!F194)-1))&gt;VALUE(RIGHT(Protokoll_5p!F194,LEN(Protokoll_5p!F194)-FIND(":",Protokoll_5p!F194))),1,0))</f>
        <v/>
      </c>
      <c r="C228" s="1" t="str">
        <f>IF(Protokoll_5p!G194="","",IF(VALUE(LEFT(Protokoll_5p!G194,FIND(":",Protokoll_5p!G194)-1))&gt;VALUE(RIGHT(Protokoll_5p!G194,LEN(Protokoll_5p!G194)-FIND(":",Protokoll_5p!G194))),1,0))</f>
        <v/>
      </c>
      <c r="D228" s="1" t="str">
        <f>IF(Protokoll_5p!H194="","",IF(VALUE(LEFT(Protokoll_5p!H194,FIND(":",Protokoll_5p!H194)-1))&gt;VALUE(RIGHT(Protokoll_5p!H194,LEN(Protokoll_5p!H194)-FIND(":",Protokoll_5p!H194))),1,0))</f>
        <v/>
      </c>
      <c r="E228" s="1" t="str">
        <f>IF(Protokoll_5p!I194="","",IF(VALUE(LEFT(Protokoll_5p!I194,FIND(":",Protokoll_5p!I194)-1))&gt;VALUE(RIGHT(Protokoll_5p!I194,LEN(Protokoll_5p!I194)-FIND(":",Protokoll_5p!I194))),1,0))</f>
        <v/>
      </c>
      <c r="F228" s="1" t="str">
        <f>IF(Protokoll_5p!J194="","",IF(VALUE(LEFT(Protokoll_5p!J194,FIND(":",Protokoll_5p!J194)-1))&gt;VALUE(RIGHT(Protokoll_5p!J194,LEN(Protokoll_5p!J194)-FIND(":",Protokoll_5p!J194))),1,0))</f>
        <v/>
      </c>
      <c r="G228" s="1" t="str">
        <f t="shared" si="6"/>
        <v/>
      </c>
      <c r="I228" s="1" t="str">
        <f>IF(Protokoll_5p!F194="","",IF(VALUE(LEFT(Protokoll_5p!F194,FIND(":",Protokoll_5p!F194)-1))&gt;VALUE(RIGHT(Protokoll_5p!F194,LEN(Protokoll_5p!F194)-FIND(":",Protokoll_5p!F194))),0,1))</f>
        <v/>
      </c>
      <c r="J228" s="1" t="str">
        <f>IF(Protokoll_5p!G194="","",IF(VALUE(LEFT(Protokoll_5p!G194,FIND(":",Protokoll_5p!G194)-1))&gt;VALUE(RIGHT(Protokoll_5p!G194,LEN(Protokoll_5p!G194)-FIND(":",Protokoll_5p!G194))),0,1))</f>
        <v/>
      </c>
      <c r="K228" s="1" t="str">
        <f>IF(Protokoll_5p!H194="","",IF(VALUE(LEFT(Protokoll_5p!H194,FIND(":",Protokoll_5p!H194)-1))&gt;VALUE(RIGHT(Protokoll_5p!H194,LEN(Protokoll_5p!H194)-FIND(":",Protokoll_5p!H194))),0,1))</f>
        <v/>
      </c>
      <c r="L228" s="1" t="str">
        <f>IF(Protokoll_5p!I194="","",IF(VALUE(LEFT(Protokoll_5p!I194,FIND(":",Protokoll_5p!I194)-1))&gt;VALUE(RIGHT(Protokoll_5p!I194,LEN(Protokoll_5p!I194)-FIND(":",Protokoll_5p!I194))),0,1))</f>
        <v/>
      </c>
      <c r="M228" s="1" t="str">
        <f>IF(Protokoll_5p!J194="","",IF(VALUE(LEFT(Protokoll_5p!J194,FIND(":",Protokoll_5p!J194)-1))&gt;VALUE(RIGHT(Protokoll_5p!J194,LEN(Protokoll_5p!J194)-FIND(":",Protokoll_5p!J194))),0,1))</f>
        <v/>
      </c>
      <c r="N228" s="1" t="str">
        <f t="shared" si="7"/>
        <v/>
      </c>
    </row>
    <row r="229" spans="2:14">
      <c r="B229" s="1" t="str">
        <f>IF(Protokoll_5p!F195="","",IF(VALUE(LEFT(Protokoll_5p!F195,FIND(":",Protokoll_5p!F195)-1))&gt;VALUE(RIGHT(Protokoll_5p!F195,LEN(Protokoll_5p!F195)-FIND(":",Protokoll_5p!F195))),1,0))</f>
        <v/>
      </c>
      <c r="C229" s="1" t="str">
        <f>IF(Protokoll_5p!G195="","",IF(VALUE(LEFT(Protokoll_5p!G195,FIND(":",Protokoll_5p!G195)-1))&gt;VALUE(RIGHT(Protokoll_5p!G195,LEN(Protokoll_5p!G195)-FIND(":",Protokoll_5p!G195))),1,0))</f>
        <v/>
      </c>
      <c r="D229" s="1" t="str">
        <f>IF(Protokoll_5p!H195="","",IF(VALUE(LEFT(Protokoll_5p!H195,FIND(":",Protokoll_5p!H195)-1))&gt;VALUE(RIGHT(Protokoll_5p!H195,LEN(Protokoll_5p!H195)-FIND(":",Protokoll_5p!H195))),1,0))</f>
        <v/>
      </c>
      <c r="E229" s="1" t="str">
        <f>IF(Protokoll_5p!I195="","",IF(VALUE(LEFT(Protokoll_5p!I195,FIND(":",Protokoll_5p!I195)-1))&gt;VALUE(RIGHT(Protokoll_5p!I195,LEN(Protokoll_5p!I195)-FIND(":",Protokoll_5p!I195))),1,0))</f>
        <v/>
      </c>
      <c r="F229" s="1" t="str">
        <f>IF(Protokoll_5p!J195="","",IF(VALUE(LEFT(Protokoll_5p!J195,FIND(":",Protokoll_5p!J195)-1))&gt;VALUE(RIGHT(Protokoll_5p!J195,LEN(Protokoll_5p!J195)-FIND(":",Protokoll_5p!J195))),1,0))</f>
        <v/>
      </c>
      <c r="G229" s="1" t="str">
        <f t="shared" si="6"/>
        <v/>
      </c>
      <c r="I229" s="1" t="str">
        <f>IF(Protokoll_5p!F195="","",IF(VALUE(LEFT(Protokoll_5p!F195,FIND(":",Protokoll_5p!F195)-1))&gt;VALUE(RIGHT(Protokoll_5p!F195,LEN(Protokoll_5p!F195)-FIND(":",Protokoll_5p!F195))),0,1))</f>
        <v/>
      </c>
      <c r="J229" s="1" t="str">
        <f>IF(Protokoll_5p!G195="","",IF(VALUE(LEFT(Protokoll_5p!G195,FIND(":",Protokoll_5p!G195)-1))&gt;VALUE(RIGHT(Protokoll_5p!G195,LEN(Protokoll_5p!G195)-FIND(":",Protokoll_5p!G195))),0,1))</f>
        <v/>
      </c>
      <c r="K229" s="1" t="str">
        <f>IF(Protokoll_5p!H195="","",IF(VALUE(LEFT(Protokoll_5p!H195,FIND(":",Protokoll_5p!H195)-1))&gt;VALUE(RIGHT(Protokoll_5p!H195,LEN(Protokoll_5p!H195)-FIND(":",Protokoll_5p!H195))),0,1))</f>
        <v/>
      </c>
      <c r="L229" s="1" t="str">
        <f>IF(Protokoll_5p!I195="","",IF(VALUE(LEFT(Protokoll_5p!I195,FIND(":",Protokoll_5p!I195)-1))&gt;VALUE(RIGHT(Protokoll_5p!I195,LEN(Protokoll_5p!I195)-FIND(":",Protokoll_5p!I195))),0,1))</f>
        <v/>
      </c>
      <c r="M229" s="1" t="str">
        <f>IF(Protokoll_5p!J195="","",IF(VALUE(LEFT(Protokoll_5p!J195,FIND(":",Protokoll_5p!J195)-1))&gt;VALUE(RIGHT(Protokoll_5p!J195,LEN(Protokoll_5p!J195)-FIND(":",Protokoll_5p!J195))),0,1))</f>
        <v/>
      </c>
      <c r="N229" s="1" t="str">
        <f t="shared" si="7"/>
        <v/>
      </c>
    </row>
    <row r="230" spans="2:14">
      <c r="B230" s="1" t="str">
        <f>IF(Protokoll_5p!F196="","",IF(VALUE(LEFT(Protokoll_5p!F196,FIND(":",Protokoll_5p!F196)-1))&gt;VALUE(RIGHT(Protokoll_5p!F196,LEN(Protokoll_5p!F196)-FIND(":",Protokoll_5p!F196))),1,0))</f>
        <v/>
      </c>
      <c r="C230" s="1" t="str">
        <f>IF(Protokoll_5p!G196="","",IF(VALUE(LEFT(Protokoll_5p!G196,FIND(":",Protokoll_5p!G196)-1))&gt;VALUE(RIGHT(Protokoll_5p!G196,LEN(Protokoll_5p!G196)-FIND(":",Protokoll_5p!G196))),1,0))</f>
        <v/>
      </c>
      <c r="D230" s="1" t="str">
        <f>IF(Protokoll_5p!H196="","",IF(VALUE(LEFT(Protokoll_5p!H196,FIND(":",Protokoll_5p!H196)-1))&gt;VALUE(RIGHT(Protokoll_5p!H196,LEN(Protokoll_5p!H196)-FIND(":",Protokoll_5p!H196))),1,0))</f>
        <v/>
      </c>
      <c r="E230" s="1" t="str">
        <f>IF(Protokoll_5p!I196="","",IF(VALUE(LEFT(Protokoll_5p!I196,FIND(":",Protokoll_5p!I196)-1))&gt;VALUE(RIGHT(Protokoll_5p!I196,LEN(Protokoll_5p!I196)-FIND(":",Protokoll_5p!I196))),1,0))</f>
        <v/>
      </c>
      <c r="F230" s="1" t="str">
        <f>IF(Protokoll_5p!J196="","",IF(VALUE(LEFT(Protokoll_5p!J196,FIND(":",Protokoll_5p!J196)-1))&gt;VALUE(RIGHT(Protokoll_5p!J196,LEN(Protokoll_5p!J196)-FIND(":",Protokoll_5p!J196))),1,0))</f>
        <v/>
      </c>
      <c r="G230" s="1" t="str">
        <f t="shared" si="6"/>
        <v/>
      </c>
      <c r="I230" s="1" t="str">
        <f>IF(Protokoll_5p!F196="","",IF(VALUE(LEFT(Protokoll_5p!F196,FIND(":",Protokoll_5p!F196)-1))&gt;VALUE(RIGHT(Protokoll_5p!F196,LEN(Protokoll_5p!F196)-FIND(":",Protokoll_5p!F196))),0,1))</f>
        <v/>
      </c>
      <c r="J230" s="1" t="str">
        <f>IF(Protokoll_5p!G196="","",IF(VALUE(LEFT(Protokoll_5p!G196,FIND(":",Protokoll_5p!G196)-1))&gt;VALUE(RIGHT(Protokoll_5p!G196,LEN(Protokoll_5p!G196)-FIND(":",Protokoll_5p!G196))),0,1))</f>
        <v/>
      </c>
      <c r="K230" s="1" t="str">
        <f>IF(Protokoll_5p!H196="","",IF(VALUE(LEFT(Protokoll_5p!H196,FIND(":",Protokoll_5p!H196)-1))&gt;VALUE(RIGHT(Protokoll_5p!H196,LEN(Protokoll_5p!H196)-FIND(":",Protokoll_5p!H196))),0,1))</f>
        <v/>
      </c>
      <c r="L230" s="1" t="str">
        <f>IF(Protokoll_5p!I196="","",IF(VALUE(LEFT(Protokoll_5p!I196,FIND(":",Protokoll_5p!I196)-1))&gt;VALUE(RIGHT(Protokoll_5p!I196,LEN(Protokoll_5p!I196)-FIND(":",Protokoll_5p!I196))),0,1))</f>
        <v/>
      </c>
      <c r="M230" s="1" t="str">
        <f>IF(Protokoll_5p!J196="","",IF(VALUE(LEFT(Protokoll_5p!J196,FIND(":",Protokoll_5p!J196)-1))&gt;VALUE(RIGHT(Protokoll_5p!J196,LEN(Protokoll_5p!J196)-FIND(":",Protokoll_5p!J196))),0,1))</f>
        <v/>
      </c>
      <c r="N230" s="1" t="str">
        <f t="shared" si="7"/>
        <v/>
      </c>
    </row>
    <row r="231" spans="2:14">
      <c r="B231" s="1" t="str">
        <f>IF(Protokoll_5p!F197="","",IF(VALUE(LEFT(Protokoll_5p!F197,FIND(":",Protokoll_5p!F197)-1))&gt;VALUE(RIGHT(Protokoll_5p!F197,LEN(Protokoll_5p!F197)-FIND(":",Protokoll_5p!F197))),1,0))</f>
        <v/>
      </c>
      <c r="C231" s="1" t="str">
        <f>IF(Protokoll_5p!G197="","",IF(VALUE(LEFT(Protokoll_5p!G197,FIND(":",Protokoll_5p!G197)-1))&gt;VALUE(RIGHT(Protokoll_5p!G197,LEN(Protokoll_5p!G197)-FIND(":",Protokoll_5p!G197))),1,0))</f>
        <v/>
      </c>
      <c r="D231" s="1" t="str">
        <f>IF(Protokoll_5p!H197="","",IF(VALUE(LEFT(Protokoll_5p!H197,FIND(":",Protokoll_5p!H197)-1))&gt;VALUE(RIGHT(Protokoll_5p!H197,LEN(Protokoll_5p!H197)-FIND(":",Protokoll_5p!H197))),1,0))</f>
        <v/>
      </c>
      <c r="E231" s="1" t="str">
        <f>IF(Protokoll_5p!I197="","",IF(VALUE(LEFT(Protokoll_5p!I197,FIND(":",Protokoll_5p!I197)-1))&gt;VALUE(RIGHT(Protokoll_5p!I197,LEN(Protokoll_5p!I197)-FIND(":",Protokoll_5p!I197))),1,0))</f>
        <v/>
      </c>
      <c r="F231" s="1" t="str">
        <f>IF(Protokoll_5p!J197="","",IF(VALUE(LEFT(Protokoll_5p!J197,FIND(":",Protokoll_5p!J197)-1))&gt;VALUE(RIGHT(Protokoll_5p!J197,LEN(Protokoll_5p!J197)-FIND(":",Protokoll_5p!J197))),1,0))</f>
        <v/>
      </c>
      <c r="G231" s="1" t="str">
        <f t="shared" si="6"/>
        <v/>
      </c>
      <c r="I231" s="1" t="str">
        <f>IF(Protokoll_5p!F197="","",IF(VALUE(LEFT(Protokoll_5p!F197,FIND(":",Protokoll_5p!F197)-1))&gt;VALUE(RIGHT(Protokoll_5p!F197,LEN(Protokoll_5p!F197)-FIND(":",Protokoll_5p!F197))),0,1))</f>
        <v/>
      </c>
      <c r="J231" s="1" t="str">
        <f>IF(Protokoll_5p!G197="","",IF(VALUE(LEFT(Protokoll_5p!G197,FIND(":",Protokoll_5p!G197)-1))&gt;VALUE(RIGHT(Protokoll_5p!G197,LEN(Protokoll_5p!G197)-FIND(":",Protokoll_5p!G197))),0,1))</f>
        <v/>
      </c>
      <c r="K231" s="1" t="str">
        <f>IF(Protokoll_5p!H197="","",IF(VALUE(LEFT(Protokoll_5p!H197,FIND(":",Protokoll_5p!H197)-1))&gt;VALUE(RIGHT(Protokoll_5p!H197,LEN(Protokoll_5p!H197)-FIND(":",Protokoll_5p!H197))),0,1))</f>
        <v/>
      </c>
      <c r="L231" s="1" t="str">
        <f>IF(Protokoll_5p!I197="","",IF(VALUE(LEFT(Protokoll_5p!I197,FIND(":",Protokoll_5p!I197)-1))&gt;VALUE(RIGHT(Protokoll_5p!I197,LEN(Protokoll_5p!I197)-FIND(":",Protokoll_5p!I197))),0,1))</f>
        <v/>
      </c>
      <c r="M231" s="1" t="str">
        <f>IF(Protokoll_5p!J197="","",IF(VALUE(LEFT(Protokoll_5p!J197,FIND(":",Protokoll_5p!J197)-1))&gt;VALUE(RIGHT(Protokoll_5p!J197,LEN(Protokoll_5p!J197)-FIND(":",Protokoll_5p!J197))),0,1))</f>
        <v/>
      </c>
      <c r="N231" s="1" t="str">
        <f t="shared" si="7"/>
        <v/>
      </c>
    </row>
    <row r="232" spans="2:14">
      <c r="B232" s="1" t="str">
        <f>IF(Protokoll_5p!F198="","",IF(VALUE(LEFT(Protokoll_5p!F198,FIND(":",Protokoll_5p!F198)-1))&gt;VALUE(RIGHT(Protokoll_5p!F198,LEN(Protokoll_5p!F198)-FIND(":",Protokoll_5p!F198))),1,0))</f>
        <v/>
      </c>
      <c r="C232" s="1" t="str">
        <f>IF(Protokoll_5p!G198="","",IF(VALUE(LEFT(Protokoll_5p!G198,FIND(":",Protokoll_5p!G198)-1))&gt;VALUE(RIGHT(Protokoll_5p!G198,LEN(Protokoll_5p!G198)-FIND(":",Protokoll_5p!G198))),1,0))</f>
        <v/>
      </c>
      <c r="D232" s="1" t="str">
        <f>IF(Protokoll_5p!H198="","",IF(VALUE(LEFT(Protokoll_5p!H198,FIND(":",Protokoll_5p!H198)-1))&gt;VALUE(RIGHT(Protokoll_5p!H198,LEN(Protokoll_5p!H198)-FIND(":",Protokoll_5p!H198))),1,0))</f>
        <v/>
      </c>
      <c r="E232" s="1" t="str">
        <f>IF(Protokoll_5p!I198="","",IF(VALUE(LEFT(Protokoll_5p!I198,FIND(":",Protokoll_5p!I198)-1))&gt;VALUE(RIGHT(Protokoll_5p!I198,LEN(Protokoll_5p!I198)-FIND(":",Protokoll_5p!I198))),1,0))</f>
        <v/>
      </c>
      <c r="F232" s="1" t="str">
        <f>IF(Protokoll_5p!J198="","",IF(VALUE(LEFT(Protokoll_5p!J198,FIND(":",Protokoll_5p!J198)-1))&gt;VALUE(RIGHT(Protokoll_5p!J198,LEN(Protokoll_5p!J198)-FIND(":",Protokoll_5p!J198))),1,0))</f>
        <v/>
      </c>
      <c r="G232" s="1" t="str">
        <f t="shared" si="6"/>
        <v/>
      </c>
      <c r="I232" s="1" t="str">
        <f>IF(Protokoll_5p!F198="","",IF(VALUE(LEFT(Protokoll_5p!F198,FIND(":",Protokoll_5p!F198)-1))&gt;VALUE(RIGHT(Protokoll_5p!F198,LEN(Protokoll_5p!F198)-FIND(":",Protokoll_5p!F198))),0,1))</f>
        <v/>
      </c>
      <c r="J232" s="1" t="str">
        <f>IF(Protokoll_5p!G198="","",IF(VALUE(LEFT(Protokoll_5p!G198,FIND(":",Protokoll_5p!G198)-1))&gt;VALUE(RIGHT(Protokoll_5p!G198,LEN(Protokoll_5p!G198)-FIND(":",Protokoll_5p!G198))),0,1))</f>
        <v/>
      </c>
      <c r="K232" s="1" t="str">
        <f>IF(Protokoll_5p!H198="","",IF(VALUE(LEFT(Protokoll_5p!H198,FIND(":",Protokoll_5p!H198)-1))&gt;VALUE(RIGHT(Protokoll_5p!H198,LEN(Protokoll_5p!H198)-FIND(":",Protokoll_5p!H198))),0,1))</f>
        <v/>
      </c>
      <c r="L232" s="1" t="str">
        <f>IF(Protokoll_5p!I198="","",IF(VALUE(LEFT(Protokoll_5p!I198,FIND(":",Protokoll_5p!I198)-1))&gt;VALUE(RIGHT(Protokoll_5p!I198,LEN(Protokoll_5p!I198)-FIND(":",Protokoll_5p!I198))),0,1))</f>
        <v/>
      </c>
      <c r="M232" s="1" t="str">
        <f>IF(Protokoll_5p!J198="","",IF(VALUE(LEFT(Protokoll_5p!J198,FIND(":",Protokoll_5p!J198)-1))&gt;VALUE(RIGHT(Protokoll_5p!J198,LEN(Protokoll_5p!J198)-FIND(":",Protokoll_5p!J198))),0,1))</f>
        <v/>
      </c>
      <c r="N232" s="1" t="str">
        <f t="shared" si="7"/>
        <v/>
      </c>
    </row>
    <row r="233" spans="2:14">
      <c r="B233" s="1" t="str">
        <f>IF(Protokoll_5p!F199="","",IF(VALUE(LEFT(Protokoll_5p!F199,FIND(":",Protokoll_5p!F199)-1))&gt;VALUE(RIGHT(Protokoll_5p!F199,LEN(Protokoll_5p!F199)-FIND(":",Protokoll_5p!F199))),1,0))</f>
        <v/>
      </c>
      <c r="C233" s="1" t="str">
        <f>IF(Protokoll_5p!G199="","",IF(VALUE(LEFT(Protokoll_5p!G199,FIND(":",Protokoll_5p!G199)-1))&gt;VALUE(RIGHT(Protokoll_5p!G199,LEN(Protokoll_5p!G199)-FIND(":",Protokoll_5p!G199))),1,0))</f>
        <v/>
      </c>
      <c r="D233" s="1" t="str">
        <f>IF(Protokoll_5p!H199="","",IF(VALUE(LEFT(Protokoll_5p!H199,FIND(":",Protokoll_5p!H199)-1))&gt;VALUE(RIGHT(Protokoll_5p!H199,LEN(Protokoll_5p!H199)-FIND(":",Protokoll_5p!H199))),1,0))</f>
        <v/>
      </c>
      <c r="E233" s="1" t="str">
        <f>IF(Protokoll_5p!I199="","",IF(VALUE(LEFT(Protokoll_5p!I199,FIND(":",Protokoll_5p!I199)-1))&gt;VALUE(RIGHT(Protokoll_5p!I199,LEN(Protokoll_5p!I199)-FIND(":",Protokoll_5p!I199))),1,0))</f>
        <v/>
      </c>
      <c r="F233" s="1" t="str">
        <f>IF(Protokoll_5p!J199="","",IF(VALUE(LEFT(Protokoll_5p!J199,FIND(":",Protokoll_5p!J199)-1))&gt;VALUE(RIGHT(Protokoll_5p!J199,LEN(Protokoll_5p!J199)-FIND(":",Protokoll_5p!J199))),1,0))</f>
        <v/>
      </c>
      <c r="G233" s="1" t="str">
        <f t="shared" si="6"/>
        <v/>
      </c>
      <c r="I233" s="1" t="str">
        <f>IF(Protokoll_5p!F199="","",IF(VALUE(LEFT(Protokoll_5p!F199,FIND(":",Protokoll_5p!F199)-1))&gt;VALUE(RIGHT(Protokoll_5p!F199,LEN(Protokoll_5p!F199)-FIND(":",Protokoll_5p!F199))),0,1))</f>
        <v/>
      </c>
      <c r="J233" s="1" t="str">
        <f>IF(Protokoll_5p!G199="","",IF(VALUE(LEFT(Protokoll_5p!G199,FIND(":",Protokoll_5p!G199)-1))&gt;VALUE(RIGHT(Protokoll_5p!G199,LEN(Protokoll_5p!G199)-FIND(":",Protokoll_5p!G199))),0,1))</f>
        <v/>
      </c>
      <c r="K233" s="1" t="str">
        <f>IF(Protokoll_5p!H199="","",IF(VALUE(LEFT(Protokoll_5p!H199,FIND(":",Protokoll_5p!H199)-1))&gt;VALUE(RIGHT(Protokoll_5p!H199,LEN(Protokoll_5p!H199)-FIND(":",Protokoll_5p!H199))),0,1))</f>
        <v/>
      </c>
      <c r="L233" s="1" t="str">
        <f>IF(Protokoll_5p!I199="","",IF(VALUE(LEFT(Protokoll_5p!I199,FIND(":",Protokoll_5p!I199)-1))&gt;VALUE(RIGHT(Protokoll_5p!I199,LEN(Protokoll_5p!I199)-FIND(":",Protokoll_5p!I199))),0,1))</f>
        <v/>
      </c>
      <c r="M233" s="1" t="str">
        <f>IF(Protokoll_5p!J199="","",IF(VALUE(LEFT(Protokoll_5p!J199,FIND(":",Protokoll_5p!J199)-1))&gt;VALUE(RIGHT(Protokoll_5p!J199,LEN(Protokoll_5p!J199)-FIND(":",Protokoll_5p!J199))),0,1))</f>
        <v/>
      </c>
      <c r="N233" s="1" t="str">
        <f t="shared" si="7"/>
        <v/>
      </c>
    </row>
    <row r="234" spans="2:14">
      <c r="B234" s="1" t="str">
        <f>IF(Protokoll_5p!F200="","",IF(VALUE(LEFT(Protokoll_5p!F200,FIND(":",Protokoll_5p!F200)-1))&gt;VALUE(RIGHT(Protokoll_5p!F200,LEN(Protokoll_5p!F200)-FIND(":",Protokoll_5p!F200))),1,0))</f>
        <v/>
      </c>
      <c r="C234" s="1" t="str">
        <f>IF(Protokoll_5p!G200="","",IF(VALUE(LEFT(Protokoll_5p!G200,FIND(":",Protokoll_5p!G200)-1))&gt;VALUE(RIGHT(Protokoll_5p!G200,LEN(Protokoll_5p!G200)-FIND(":",Protokoll_5p!G200))),1,0))</f>
        <v/>
      </c>
      <c r="D234" s="1" t="str">
        <f>IF(Protokoll_5p!H200="","",IF(VALUE(LEFT(Protokoll_5p!H200,FIND(":",Protokoll_5p!H200)-1))&gt;VALUE(RIGHT(Protokoll_5p!H200,LEN(Protokoll_5p!H200)-FIND(":",Protokoll_5p!H200))),1,0))</f>
        <v/>
      </c>
      <c r="E234" s="1" t="str">
        <f>IF(Protokoll_5p!I200="","",IF(VALUE(LEFT(Protokoll_5p!I200,FIND(":",Protokoll_5p!I200)-1))&gt;VALUE(RIGHT(Protokoll_5p!I200,LEN(Protokoll_5p!I200)-FIND(":",Protokoll_5p!I200))),1,0))</f>
        <v/>
      </c>
      <c r="F234" s="1" t="str">
        <f>IF(Protokoll_5p!J200="","",IF(VALUE(LEFT(Protokoll_5p!J200,FIND(":",Protokoll_5p!J200)-1))&gt;VALUE(RIGHT(Protokoll_5p!J200,LEN(Protokoll_5p!J200)-FIND(":",Protokoll_5p!J200))),1,0))</f>
        <v/>
      </c>
      <c r="G234" s="1" t="str">
        <f t="shared" si="6"/>
        <v/>
      </c>
      <c r="I234" s="1" t="str">
        <f>IF(Protokoll_5p!F200="","",IF(VALUE(LEFT(Protokoll_5p!F200,FIND(":",Protokoll_5p!F200)-1))&gt;VALUE(RIGHT(Protokoll_5p!F200,LEN(Protokoll_5p!F200)-FIND(":",Protokoll_5p!F200))),0,1))</f>
        <v/>
      </c>
      <c r="J234" s="1" t="str">
        <f>IF(Protokoll_5p!G200="","",IF(VALUE(LEFT(Protokoll_5p!G200,FIND(":",Protokoll_5p!G200)-1))&gt;VALUE(RIGHT(Protokoll_5p!G200,LEN(Protokoll_5p!G200)-FIND(":",Protokoll_5p!G200))),0,1))</f>
        <v/>
      </c>
      <c r="K234" s="1" t="str">
        <f>IF(Protokoll_5p!H200="","",IF(VALUE(LEFT(Protokoll_5p!H200,FIND(":",Protokoll_5p!H200)-1))&gt;VALUE(RIGHT(Protokoll_5p!H200,LEN(Protokoll_5p!H200)-FIND(":",Protokoll_5p!H200))),0,1))</f>
        <v/>
      </c>
      <c r="L234" s="1" t="str">
        <f>IF(Protokoll_5p!I200="","",IF(VALUE(LEFT(Protokoll_5p!I200,FIND(":",Protokoll_5p!I200)-1))&gt;VALUE(RIGHT(Protokoll_5p!I200,LEN(Protokoll_5p!I200)-FIND(":",Protokoll_5p!I200))),0,1))</f>
        <v/>
      </c>
      <c r="M234" s="1" t="str">
        <f>IF(Protokoll_5p!J200="","",IF(VALUE(LEFT(Protokoll_5p!J200,FIND(":",Protokoll_5p!J200)-1))&gt;VALUE(RIGHT(Protokoll_5p!J200,LEN(Protokoll_5p!J200)-FIND(":",Protokoll_5p!J200))),0,1))</f>
        <v/>
      </c>
      <c r="N234" s="1" t="str">
        <f t="shared" si="7"/>
        <v/>
      </c>
    </row>
    <row r="235" spans="2:14">
      <c r="B235" s="1" t="str">
        <f>IF(Protokoll_5p!F201="","",IF(VALUE(LEFT(Protokoll_5p!F201,FIND(":",Protokoll_5p!F201)-1))&gt;VALUE(RIGHT(Protokoll_5p!F201,LEN(Protokoll_5p!F201)-FIND(":",Protokoll_5p!F201))),1,0))</f>
        <v/>
      </c>
      <c r="C235" s="1" t="str">
        <f>IF(Protokoll_5p!G201="","",IF(VALUE(LEFT(Protokoll_5p!G201,FIND(":",Protokoll_5p!G201)-1))&gt;VALUE(RIGHT(Protokoll_5p!G201,LEN(Protokoll_5p!G201)-FIND(":",Protokoll_5p!G201))),1,0))</f>
        <v/>
      </c>
      <c r="D235" s="1" t="str">
        <f>IF(Protokoll_5p!H201="","",IF(VALUE(LEFT(Protokoll_5p!H201,FIND(":",Protokoll_5p!H201)-1))&gt;VALUE(RIGHT(Protokoll_5p!H201,LEN(Protokoll_5p!H201)-FIND(":",Protokoll_5p!H201))),1,0))</f>
        <v/>
      </c>
      <c r="E235" s="1" t="str">
        <f>IF(Protokoll_5p!I201="","",IF(VALUE(LEFT(Protokoll_5p!I201,FIND(":",Protokoll_5p!I201)-1))&gt;VALUE(RIGHT(Protokoll_5p!I201,LEN(Protokoll_5p!I201)-FIND(":",Protokoll_5p!I201))),1,0))</f>
        <v/>
      </c>
      <c r="F235" s="1" t="str">
        <f>IF(Protokoll_5p!J201="","",IF(VALUE(LEFT(Protokoll_5p!J201,FIND(":",Protokoll_5p!J201)-1))&gt;VALUE(RIGHT(Protokoll_5p!J201,LEN(Protokoll_5p!J201)-FIND(":",Protokoll_5p!J201))),1,0))</f>
        <v/>
      </c>
      <c r="G235" s="1" t="str">
        <f t="shared" si="6"/>
        <v/>
      </c>
      <c r="I235" s="1" t="str">
        <f>IF(Protokoll_5p!F201="","",IF(VALUE(LEFT(Protokoll_5p!F201,FIND(":",Protokoll_5p!F201)-1))&gt;VALUE(RIGHT(Protokoll_5p!F201,LEN(Protokoll_5p!F201)-FIND(":",Protokoll_5p!F201))),0,1))</f>
        <v/>
      </c>
      <c r="J235" s="1" t="str">
        <f>IF(Protokoll_5p!G201="","",IF(VALUE(LEFT(Protokoll_5p!G201,FIND(":",Protokoll_5p!G201)-1))&gt;VALUE(RIGHT(Protokoll_5p!G201,LEN(Protokoll_5p!G201)-FIND(":",Protokoll_5p!G201))),0,1))</f>
        <v/>
      </c>
      <c r="K235" s="1" t="str">
        <f>IF(Protokoll_5p!H201="","",IF(VALUE(LEFT(Protokoll_5p!H201,FIND(":",Protokoll_5p!H201)-1))&gt;VALUE(RIGHT(Protokoll_5p!H201,LEN(Protokoll_5p!H201)-FIND(":",Protokoll_5p!H201))),0,1))</f>
        <v/>
      </c>
      <c r="L235" s="1" t="str">
        <f>IF(Protokoll_5p!I201="","",IF(VALUE(LEFT(Protokoll_5p!I201,FIND(":",Protokoll_5p!I201)-1))&gt;VALUE(RIGHT(Protokoll_5p!I201,LEN(Protokoll_5p!I201)-FIND(":",Protokoll_5p!I201))),0,1))</f>
        <v/>
      </c>
      <c r="M235" s="1" t="str">
        <f>IF(Protokoll_5p!J201="","",IF(VALUE(LEFT(Protokoll_5p!J201,FIND(":",Protokoll_5p!J201)-1))&gt;VALUE(RIGHT(Protokoll_5p!J201,LEN(Protokoll_5p!J201)-FIND(":",Protokoll_5p!J201))),0,1))</f>
        <v/>
      </c>
      <c r="N235" s="1" t="str">
        <f t="shared" si="7"/>
        <v/>
      </c>
    </row>
    <row r="236" spans="2:14">
      <c r="B236" s="1" t="str">
        <f>IF(Protokoll_5p!F202="","",IF(VALUE(LEFT(Protokoll_5p!F202,FIND(":",Protokoll_5p!F202)-1))&gt;VALUE(RIGHT(Protokoll_5p!F202,LEN(Protokoll_5p!F202)-FIND(":",Protokoll_5p!F202))),1,0))</f>
        <v/>
      </c>
      <c r="C236" s="1" t="str">
        <f>IF(Protokoll_5p!G202="","",IF(VALUE(LEFT(Protokoll_5p!G202,FIND(":",Protokoll_5p!G202)-1))&gt;VALUE(RIGHT(Protokoll_5p!G202,LEN(Protokoll_5p!G202)-FIND(":",Protokoll_5p!G202))),1,0))</f>
        <v/>
      </c>
      <c r="D236" s="1" t="str">
        <f>IF(Protokoll_5p!H202="","",IF(VALUE(LEFT(Protokoll_5p!H202,FIND(":",Protokoll_5p!H202)-1))&gt;VALUE(RIGHT(Protokoll_5p!H202,LEN(Protokoll_5p!H202)-FIND(":",Protokoll_5p!H202))),1,0))</f>
        <v/>
      </c>
      <c r="E236" s="1" t="str">
        <f>IF(Protokoll_5p!I202="","",IF(VALUE(LEFT(Protokoll_5p!I202,FIND(":",Protokoll_5p!I202)-1))&gt;VALUE(RIGHT(Protokoll_5p!I202,LEN(Protokoll_5p!I202)-FIND(":",Protokoll_5p!I202))),1,0))</f>
        <v/>
      </c>
      <c r="F236" s="1" t="str">
        <f>IF(Protokoll_5p!J202="","",IF(VALUE(LEFT(Protokoll_5p!J202,FIND(":",Protokoll_5p!J202)-1))&gt;VALUE(RIGHT(Protokoll_5p!J202,LEN(Protokoll_5p!J202)-FIND(":",Protokoll_5p!J202))),1,0))</f>
        <v/>
      </c>
      <c r="G236" s="1" t="str">
        <f t="shared" si="6"/>
        <v/>
      </c>
      <c r="I236" s="1" t="str">
        <f>IF(Protokoll_5p!F202="","",IF(VALUE(LEFT(Protokoll_5p!F202,FIND(":",Protokoll_5p!F202)-1))&gt;VALUE(RIGHT(Protokoll_5p!F202,LEN(Protokoll_5p!F202)-FIND(":",Protokoll_5p!F202))),0,1))</f>
        <v/>
      </c>
      <c r="J236" s="1" t="str">
        <f>IF(Protokoll_5p!G202="","",IF(VALUE(LEFT(Protokoll_5p!G202,FIND(":",Protokoll_5p!G202)-1))&gt;VALUE(RIGHT(Protokoll_5p!G202,LEN(Protokoll_5p!G202)-FIND(":",Protokoll_5p!G202))),0,1))</f>
        <v/>
      </c>
      <c r="K236" s="1" t="str">
        <f>IF(Protokoll_5p!H202="","",IF(VALUE(LEFT(Protokoll_5p!H202,FIND(":",Protokoll_5p!H202)-1))&gt;VALUE(RIGHT(Protokoll_5p!H202,LEN(Protokoll_5p!H202)-FIND(":",Protokoll_5p!H202))),0,1))</f>
        <v/>
      </c>
      <c r="L236" s="1" t="str">
        <f>IF(Protokoll_5p!I202="","",IF(VALUE(LEFT(Protokoll_5p!I202,FIND(":",Protokoll_5p!I202)-1))&gt;VALUE(RIGHT(Protokoll_5p!I202,LEN(Protokoll_5p!I202)-FIND(":",Protokoll_5p!I202))),0,1))</f>
        <v/>
      </c>
      <c r="M236" s="1" t="str">
        <f>IF(Protokoll_5p!J202="","",IF(VALUE(LEFT(Protokoll_5p!J202,FIND(":",Protokoll_5p!J202)-1))&gt;VALUE(RIGHT(Protokoll_5p!J202,LEN(Protokoll_5p!J202)-FIND(":",Protokoll_5p!J202))),0,1))</f>
        <v/>
      </c>
      <c r="N236" s="1" t="str">
        <f t="shared" si="7"/>
        <v/>
      </c>
    </row>
    <row r="237" spans="2:14">
      <c r="B237" s="1" t="str">
        <f>IF(Protokoll_5p!F203="","",IF(VALUE(LEFT(Protokoll_5p!F203,FIND(":",Protokoll_5p!F203)-1))&gt;VALUE(RIGHT(Protokoll_5p!F203,LEN(Protokoll_5p!F203)-FIND(":",Protokoll_5p!F203))),1,0))</f>
        <v/>
      </c>
      <c r="C237" s="1" t="str">
        <f>IF(Protokoll_5p!G203="","",IF(VALUE(LEFT(Protokoll_5p!G203,FIND(":",Protokoll_5p!G203)-1))&gt;VALUE(RIGHT(Protokoll_5p!G203,LEN(Protokoll_5p!G203)-FIND(":",Protokoll_5p!G203))),1,0))</f>
        <v/>
      </c>
      <c r="D237" s="1" t="str">
        <f>IF(Protokoll_5p!H203="","",IF(VALUE(LEFT(Protokoll_5p!H203,FIND(":",Protokoll_5p!H203)-1))&gt;VALUE(RIGHT(Protokoll_5p!H203,LEN(Protokoll_5p!H203)-FIND(":",Protokoll_5p!H203))),1,0))</f>
        <v/>
      </c>
      <c r="E237" s="1" t="str">
        <f>IF(Protokoll_5p!I203="","",IF(VALUE(LEFT(Protokoll_5p!I203,FIND(":",Protokoll_5p!I203)-1))&gt;VALUE(RIGHT(Protokoll_5p!I203,LEN(Protokoll_5p!I203)-FIND(":",Protokoll_5p!I203))),1,0))</f>
        <v/>
      </c>
      <c r="F237" s="1" t="str">
        <f>IF(Protokoll_5p!J203="","",IF(VALUE(LEFT(Protokoll_5p!J203,FIND(":",Protokoll_5p!J203)-1))&gt;VALUE(RIGHT(Protokoll_5p!J203,LEN(Protokoll_5p!J203)-FIND(":",Protokoll_5p!J203))),1,0))</f>
        <v/>
      </c>
      <c r="G237" s="1" t="str">
        <f t="shared" si="6"/>
        <v/>
      </c>
      <c r="I237" s="1" t="str">
        <f>IF(Protokoll_5p!F203="","",IF(VALUE(LEFT(Protokoll_5p!F203,FIND(":",Protokoll_5p!F203)-1))&gt;VALUE(RIGHT(Protokoll_5p!F203,LEN(Protokoll_5p!F203)-FIND(":",Protokoll_5p!F203))),0,1))</f>
        <v/>
      </c>
      <c r="J237" s="1" t="str">
        <f>IF(Protokoll_5p!G203="","",IF(VALUE(LEFT(Protokoll_5p!G203,FIND(":",Protokoll_5p!G203)-1))&gt;VALUE(RIGHT(Protokoll_5p!G203,LEN(Protokoll_5p!G203)-FIND(":",Protokoll_5p!G203))),0,1))</f>
        <v/>
      </c>
      <c r="K237" s="1" t="str">
        <f>IF(Protokoll_5p!H203="","",IF(VALUE(LEFT(Protokoll_5p!H203,FIND(":",Protokoll_5p!H203)-1))&gt;VALUE(RIGHT(Protokoll_5p!H203,LEN(Protokoll_5p!H203)-FIND(":",Protokoll_5p!H203))),0,1))</f>
        <v/>
      </c>
      <c r="L237" s="1" t="str">
        <f>IF(Protokoll_5p!I203="","",IF(VALUE(LEFT(Protokoll_5p!I203,FIND(":",Protokoll_5p!I203)-1))&gt;VALUE(RIGHT(Protokoll_5p!I203,LEN(Protokoll_5p!I203)-FIND(":",Protokoll_5p!I203))),0,1))</f>
        <v/>
      </c>
      <c r="M237" s="1" t="str">
        <f>IF(Protokoll_5p!J203="","",IF(VALUE(LEFT(Protokoll_5p!J203,FIND(":",Protokoll_5p!J203)-1))&gt;VALUE(RIGHT(Protokoll_5p!J203,LEN(Protokoll_5p!J203)-FIND(":",Protokoll_5p!J203))),0,1))</f>
        <v/>
      </c>
      <c r="N237" s="1" t="str">
        <f t="shared" si="7"/>
        <v/>
      </c>
    </row>
    <row r="238" spans="2:14">
      <c r="B238" s="1" t="str">
        <f>IF(Protokoll_5p!F204="","",IF(VALUE(LEFT(Protokoll_5p!F204,FIND(":",Protokoll_5p!F204)-1))&gt;VALUE(RIGHT(Protokoll_5p!F204,LEN(Protokoll_5p!F204)-FIND(":",Protokoll_5p!F204))),1,0))</f>
        <v/>
      </c>
      <c r="C238" s="1" t="str">
        <f>IF(Protokoll_5p!G204="","",IF(VALUE(LEFT(Protokoll_5p!G204,FIND(":",Protokoll_5p!G204)-1))&gt;VALUE(RIGHT(Protokoll_5p!G204,LEN(Protokoll_5p!G204)-FIND(":",Protokoll_5p!G204))),1,0))</f>
        <v/>
      </c>
      <c r="D238" s="1" t="str">
        <f>IF(Protokoll_5p!H204="","",IF(VALUE(LEFT(Protokoll_5p!H204,FIND(":",Protokoll_5p!H204)-1))&gt;VALUE(RIGHT(Protokoll_5p!H204,LEN(Protokoll_5p!H204)-FIND(":",Protokoll_5p!H204))),1,0))</f>
        <v/>
      </c>
      <c r="E238" s="1" t="str">
        <f>IF(Protokoll_5p!I204="","",IF(VALUE(LEFT(Protokoll_5p!I204,FIND(":",Protokoll_5p!I204)-1))&gt;VALUE(RIGHT(Protokoll_5p!I204,LEN(Protokoll_5p!I204)-FIND(":",Protokoll_5p!I204))),1,0))</f>
        <v/>
      </c>
      <c r="F238" s="1" t="str">
        <f>IF(Protokoll_5p!J204="","",IF(VALUE(LEFT(Protokoll_5p!J204,FIND(":",Protokoll_5p!J204)-1))&gt;VALUE(RIGHT(Protokoll_5p!J204,LEN(Protokoll_5p!J204)-FIND(":",Protokoll_5p!J204))),1,0))</f>
        <v/>
      </c>
      <c r="G238" s="1" t="str">
        <f t="shared" si="6"/>
        <v/>
      </c>
      <c r="I238" s="1" t="str">
        <f>IF(Protokoll_5p!F204="","",IF(VALUE(LEFT(Protokoll_5p!F204,FIND(":",Protokoll_5p!F204)-1))&gt;VALUE(RIGHT(Protokoll_5p!F204,LEN(Protokoll_5p!F204)-FIND(":",Protokoll_5p!F204))),0,1))</f>
        <v/>
      </c>
      <c r="J238" s="1" t="str">
        <f>IF(Protokoll_5p!G204="","",IF(VALUE(LEFT(Protokoll_5p!G204,FIND(":",Protokoll_5p!G204)-1))&gt;VALUE(RIGHT(Protokoll_5p!G204,LEN(Protokoll_5p!G204)-FIND(":",Protokoll_5p!G204))),0,1))</f>
        <v/>
      </c>
      <c r="K238" s="1" t="str">
        <f>IF(Protokoll_5p!H204="","",IF(VALUE(LEFT(Protokoll_5p!H204,FIND(":",Protokoll_5p!H204)-1))&gt;VALUE(RIGHT(Protokoll_5p!H204,LEN(Protokoll_5p!H204)-FIND(":",Protokoll_5p!H204))),0,1))</f>
        <v/>
      </c>
      <c r="L238" s="1" t="str">
        <f>IF(Protokoll_5p!I204="","",IF(VALUE(LEFT(Protokoll_5p!I204,FIND(":",Protokoll_5p!I204)-1))&gt;VALUE(RIGHT(Protokoll_5p!I204,LEN(Protokoll_5p!I204)-FIND(":",Protokoll_5p!I204))),0,1))</f>
        <v/>
      </c>
      <c r="M238" s="1" t="str">
        <f>IF(Protokoll_5p!J204="","",IF(VALUE(LEFT(Protokoll_5p!J204,FIND(":",Protokoll_5p!J204)-1))&gt;VALUE(RIGHT(Protokoll_5p!J204,LEN(Protokoll_5p!J204)-FIND(":",Protokoll_5p!J204))),0,1))</f>
        <v/>
      </c>
      <c r="N238" s="1" t="str">
        <f t="shared" si="7"/>
        <v/>
      </c>
    </row>
    <row r="239" spans="2:14">
      <c r="B239" s="1" t="str">
        <f>IF(Protokoll_5p!F205="","",IF(VALUE(LEFT(Protokoll_5p!F205,FIND(":",Protokoll_5p!F205)-1))&gt;VALUE(RIGHT(Protokoll_5p!F205,LEN(Protokoll_5p!F205)-FIND(":",Protokoll_5p!F205))),1,0))</f>
        <v/>
      </c>
      <c r="C239" s="1" t="str">
        <f>IF(Protokoll_5p!G205="","",IF(VALUE(LEFT(Protokoll_5p!G205,FIND(":",Protokoll_5p!G205)-1))&gt;VALUE(RIGHT(Protokoll_5p!G205,LEN(Protokoll_5p!G205)-FIND(":",Protokoll_5p!G205))),1,0))</f>
        <v/>
      </c>
      <c r="D239" s="1" t="str">
        <f>IF(Protokoll_5p!H205="","",IF(VALUE(LEFT(Protokoll_5p!H205,FIND(":",Protokoll_5p!H205)-1))&gt;VALUE(RIGHT(Protokoll_5p!H205,LEN(Protokoll_5p!H205)-FIND(":",Protokoll_5p!H205))),1,0))</f>
        <v/>
      </c>
      <c r="E239" s="1" t="str">
        <f>IF(Protokoll_5p!I205="","",IF(VALUE(LEFT(Protokoll_5p!I205,FIND(":",Protokoll_5p!I205)-1))&gt;VALUE(RIGHT(Protokoll_5p!I205,LEN(Protokoll_5p!I205)-FIND(":",Protokoll_5p!I205))),1,0))</f>
        <v/>
      </c>
      <c r="F239" s="1" t="str">
        <f>IF(Protokoll_5p!J205="","",IF(VALUE(LEFT(Protokoll_5p!J205,FIND(":",Protokoll_5p!J205)-1))&gt;VALUE(RIGHT(Protokoll_5p!J205,LEN(Protokoll_5p!J205)-FIND(":",Protokoll_5p!J205))),1,0))</f>
        <v/>
      </c>
      <c r="G239" s="1" t="str">
        <f t="shared" si="6"/>
        <v/>
      </c>
      <c r="I239" s="1" t="str">
        <f>IF(Protokoll_5p!F205="","",IF(VALUE(LEFT(Protokoll_5p!F205,FIND(":",Protokoll_5p!F205)-1))&gt;VALUE(RIGHT(Protokoll_5p!F205,LEN(Protokoll_5p!F205)-FIND(":",Protokoll_5p!F205))),0,1))</f>
        <v/>
      </c>
      <c r="J239" s="1" t="str">
        <f>IF(Protokoll_5p!G205="","",IF(VALUE(LEFT(Protokoll_5p!G205,FIND(":",Protokoll_5p!G205)-1))&gt;VALUE(RIGHT(Protokoll_5p!G205,LEN(Protokoll_5p!G205)-FIND(":",Protokoll_5p!G205))),0,1))</f>
        <v/>
      </c>
      <c r="K239" s="1" t="str">
        <f>IF(Protokoll_5p!H205="","",IF(VALUE(LEFT(Protokoll_5p!H205,FIND(":",Protokoll_5p!H205)-1))&gt;VALUE(RIGHT(Protokoll_5p!H205,LEN(Protokoll_5p!H205)-FIND(":",Protokoll_5p!H205))),0,1))</f>
        <v/>
      </c>
      <c r="L239" s="1" t="str">
        <f>IF(Protokoll_5p!I205="","",IF(VALUE(LEFT(Protokoll_5p!I205,FIND(":",Protokoll_5p!I205)-1))&gt;VALUE(RIGHT(Protokoll_5p!I205,LEN(Protokoll_5p!I205)-FIND(":",Protokoll_5p!I205))),0,1))</f>
        <v/>
      </c>
      <c r="M239" s="1" t="str">
        <f>IF(Protokoll_5p!J205="","",IF(VALUE(LEFT(Protokoll_5p!J205,FIND(":",Protokoll_5p!J205)-1))&gt;VALUE(RIGHT(Protokoll_5p!J205,LEN(Protokoll_5p!J205)-FIND(":",Protokoll_5p!J205))),0,1))</f>
        <v/>
      </c>
      <c r="N239" s="1" t="str">
        <f t="shared" si="7"/>
        <v/>
      </c>
    </row>
    <row r="240" spans="2:14">
      <c r="B240" s="1" t="str">
        <f>IF(Protokoll_5p!F206="","",IF(VALUE(LEFT(Protokoll_5p!F206,FIND(":",Protokoll_5p!F206)-1))&gt;VALUE(RIGHT(Protokoll_5p!F206,LEN(Protokoll_5p!F206)-FIND(":",Protokoll_5p!F206))),1,0))</f>
        <v/>
      </c>
      <c r="C240" s="1" t="str">
        <f>IF(Protokoll_5p!G206="","",IF(VALUE(LEFT(Protokoll_5p!G206,FIND(":",Protokoll_5p!G206)-1))&gt;VALUE(RIGHT(Protokoll_5p!G206,LEN(Protokoll_5p!G206)-FIND(":",Protokoll_5p!G206))),1,0))</f>
        <v/>
      </c>
      <c r="D240" s="1" t="str">
        <f>IF(Protokoll_5p!H206="","",IF(VALUE(LEFT(Protokoll_5p!H206,FIND(":",Protokoll_5p!H206)-1))&gt;VALUE(RIGHT(Protokoll_5p!H206,LEN(Protokoll_5p!H206)-FIND(":",Protokoll_5p!H206))),1,0))</f>
        <v/>
      </c>
      <c r="E240" s="1" t="str">
        <f>IF(Protokoll_5p!I206="","",IF(VALUE(LEFT(Protokoll_5p!I206,FIND(":",Protokoll_5p!I206)-1))&gt;VALUE(RIGHT(Protokoll_5p!I206,LEN(Protokoll_5p!I206)-FIND(":",Protokoll_5p!I206))),1,0))</f>
        <v/>
      </c>
      <c r="F240" s="1" t="str">
        <f>IF(Protokoll_5p!J206="","",IF(VALUE(LEFT(Protokoll_5p!J206,FIND(":",Protokoll_5p!J206)-1))&gt;VALUE(RIGHT(Protokoll_5p!J206,LEN(Protokoll_5p!J206)-FIND(":",Protokoll_5p!J206))),1,0))</f>
        <v/>
      </c>
      <c r="G240" s="1" t="str">
        <f t="shared" si="6"/>
        <v/>
      </c>
      <c r="I240" s="1" t="str">
        <f>IF(Protokoll_5p!F206="","",IF(VALUE(LEFT(Protokoll_5p!F206,FIND(":",Protokoll_5p!F206)-1))&gt;VALUE(RIGHT(Protokoll_5p!F206,LEN(Protokoll_5p!F206)-FIND(":",Protokoll_5p!F206))),0,1))</f>
        <v/>
      </c>
      <c r="J240" s="1" t="str">
        <f>IF(Protokoll_5p!G206="","",IF(VALUE(LEFT(Protokoll_5p!G206,FIND(":",Protokoll_5p!G206)-1))&gt;VALUE(RIGHT(Protokoll_5p!G206,LEN(Protokoll_5p!G206)-FIND(":",Protokoll_5p!G206))),0,1))</f>
        <v/>
      </c>
      <c r="K240" s="1" t="str">
        <f>IF(Protokoll_5p!H206="","",IF(VALUE(LEFT(Protokoll_5p!H206,FIND(":",Protokoll_5p!H206)-1))&gt;VALUE(RIGHT(Protokoll_5p!H206,LEN(Protokoll_5p!H206)-FIND(":",Protokoll_5p!H206))),0,1))</f>
        <v/>
      </c>
      <c r="L240" s="1" t="str">
        <f>IF(Protokoll_5p!I206="","",IF(VALUE(LEFT(Protokoll_5p!I206,FIND(":",Protokoll_5p!I206)-1))&gt;VALUE(RIGHT(Protokoll_5p!I206,LEN(Protokoll_5p!I206)-FIND(":",Protokoll_5p!I206))),0,1))</f>
        <v/>
      </c>
      <c r="M240" s="1" t="str">
        <f>IF(Protokoll_5p!J206="","",IF(VALUE(LEFT(Protokoll_5p!J206,FIND(":",Protokoll_5p!J206)-1))&gt;VALUE(RIGHT(Protokoll_5p!J206,LEN(Protokoll_5p!J206)-FIND(":",Protokoll_5p!J206))),0,1))</f>
        <v/>
      </c>
      <c r="N240" s="1" t="str">
        <f t="shared" si="7"/>
        <v/>
      </c>
    </row>
    <row r="241" spans="2:14">
      <c r="B241" s="1" t="str">
        <f>IF(Protokoll_5p!F207="","",IF(VALUE(LEFT(Protokoll_5p!F207,FIND(":",Protokoll_5p!F207)-1))&gt;VALUE(RIGHT(Protokoll_5p!F207,LEN(Protokoll_5p!F207)-FIND(":",Protokoll_5p!F207))),1,0))</f>
        <v/>
      </c>
      <c r="C241" s="1" t="str">
        <f>IF(Protokoll_5p!G207="","",IF(VALUE(LEFT(Protokoll_5p!G207,FIND(":",Protokoll_5p!G207)-1))&gt;VALUE(RIGHT(Protokoll_5p!G207,LEN(Protokoll_5p!G207)-FIND(":",Protokoll_5p!G207))),1,0))</f>
        <v/>
      </c>
      <c r="D241" s="1" t="str">
        <f>IF(Protokoll_5p!H207="","",IF(VALUE(LEFT(Protokoll_5p!H207,FIND(":",Protokoll_5p!H207)-1))&gt;VALUE(RIGHT(Protokoll_5p!H207,LEN(Protokoll_5p!H207)-FIND(":",Protokoll_5p!H207))),1,0))</f>
        <v/>
      </c>
      <c r="E241" s="1" t="str">
        <f>IF(Protokoll_5p!I207="","",IF(VALUE(LEFT(Protokoll_5p!I207,FIND(":",Protokoll_5p!I207)-1))&gt;VALUE(RIGHT(Protokoll_5p!I207,LEN(Protokoll_5p!I207)-FIND(":",Protokoll_5p!I207))),1,0))</f>
        <v/>
      </c>
      <c r="F241" s="1" t="str">
        <f>IF(Protokoll_5p!J207="","",IF(VALUE(LEFT(Protokoll_5p!J207,FIND(":",Protokoll_5p!J207)-1))&gt;VALUE(RIGHT(Protokoll_5p!J207,LEN(Protokoll_5p!J207)-FIND(":",Protokoll_5p!J207))),1,0))</f>
        <v/>
      </c>
      <c r="G241" s="1" t="str">
        <f t="shared" si="6"/>
        <v/>
      </c>
      <c r="I241" s="1" t="str">
        <f>IF(Protokoll_5p!F207="","",IF(VALUE(LEFT(Protokoll_5p!F207,FIND(":",Protokoll_5p!F207)-1))&gt;VALUE(RIGHT(Protokoll_5p!F207,LEN(Protokoll_5p!F207)-FIND(":",Protokoll_5p!F207))),0,1))</f>
        <v/>
      </c>
      <c r="J241" s="1" t="str">
        <f>IF(Protokoll_5p!G207="","",IF(VALUE(LEFT(Protokoll_5p!G207,FIND(":",Protokoll_5p!G207)-1))&gt;VALUE(RIGHT(Protokoll_5p!G207,LEN(Protokoll_5p!G207)-FIND(":",Protokoll_5p!G207))),0,1))</f>
        <v/>
      </c>
      <c r="K241" s="1" t="str">
        <f>IF(Protokoll_5p!H207="","",IF(VALUE(LEFT(Protokoll_5p!H207,FIND(":",Protokoll_5p!H207)-1))&gt;VALUE(RIGHT(Protokoll_5p!H207,LEN(Protokoll_5p!H207)-FIND(":",Protokoll_5p!H207))),0,1))</f>
        <v/>
      </c>
      <c r="L241" s="1" t="str">
        <f>IF(Protokoll_5p!I207="","",IF(VALUE(LEFT(Protokoll_5p!I207,FIND(":",Protokoll_5p!I207)-1))&gt;VALUE(RIGHT(Protokoll_5p!I207,LEN(Protokoll_5p!I207)-FIND(":",Protokoll_5p!I207))),0,1))</f>
        <v/>
      </c>
      <c r="M241" s="1" t="str">
        <f>IF(Protokoll_5p!J207="","",IF(VALUE(LEFT(Protokoll_5p!J207,FIND(":",Protokoll_5p!J207)-1))&gt;VALUE(RIGHT(Protokoll_5p!J207,LEN(Protokoll_5p!J207)-FIND(":",Protokoll_5p!J207))),0,1))</f>
        <v/>
      </c>
      <c r="N241" s="1" t="str">
        <f t="shared" si="7"/>
        <v/>
      </c>
    </row>
    <row r="242" spans="2:14">
      <c r="B242" s="1" t="str">
        <f>IF(Protokoll_5p!F208="","",IF(VALUE(LEFT(Protokoll_5p!F208,FIND(":",Protokoll_5p!F208)-1))&gt;VALUE(RIGHT(Protokoll_5p!F208,LEN(Protokoll_5p!F208)-FIND(":",Protokoll_5p!F208))),1,0))</f>
        <v/>
      </c>
      <c r="C242" s="1" t="str">
        <f>IF(Protokoll_5p!G208="","",IF(VALUE(LEFT(Protokoll_5p!G208,FIND(":",Protokoll_5p!G208)-1))&gt;VALUE(RIGHT(Protokoll_5p!G208,LEN(Protokoll_5p!G208)-FIND(":",Protokoll_5p!G208))),1,0))</f>
        <v/>
      </c>
      <c r="D242" s="1" t="str">
        <f>IF(Protokoll_5p!H208="","",IF(VALUE(LEFT(Protokoll_5p!H208,FIND(":",Protokoll_5p!H208)-1))&gt;VALUE(RIGHT(Protokoll_5p!H208,LEN(Protokoll_5p!H208)-FIND(":",Protokoll_5p!H208))),1,0))</f>
        <v/>
      </c>
      <c r="E242" s="1" t="str">
        <f>IF(Protokoll_5p!I208="","",IF(VALUE(LEFT(Protokoll_5p!I208,FIND(":",Protokoll_5p!I208)-1))&gt;VALUE(RIGHT(Protokoll_5p!I208,LEN(Protokoll_5p!I208)-FIND(":",Protokoll_5p!I208))),1,0))</f>
        <v/>
      </c>
      <c r="F242" s="1" t="str">
        <f>IF(Protokoll_5p!J208="","",IF(VALUE(LEFT(Protokoll_5p!J208,FIND(":",Protokoll_5p!J208)-1))&gt;VALUE(RIGHT(Protokoll_5p!J208,LEN(Protokoll_5p!J208)-FIND(":",Protokoll_5p!J208))),1,0))</f>
        <v/>
      </c>
      <c r="G242" s="1" t="str">
        <f t="shared" si="6"/>
        <v/>
      </c>
      <c r="I242" s="1" t="str">
        <f>IF(Protokoll_5p!F208="","",IF(VALUE(LEFT(Protokoll_5p!F208,FIND(":",Protokoll_5p!F208)-1))&gt;VALUE(RIGHT(Protokoll_5p!F208,LEN(Protokoll_5p!F208)-FIND(":",Protokoll_5p!F208))),0,1))</f>
        <v/>
      </c>
      <c r="J242" s="1" t="str">
        <f>IF(Protokoll_5p!G208="","",IF(VALUE(LEFT(Protokoll_5p!G208,FIND(":",Protokoll_5p!G208)-1))&gt;VALUE(RIGHT(Protokoll_5p!G208,LEN(Protokoll_5p!G208)-FIND(":",Protokoll_5p!G208))),0,1))</f>
        <v/>
      </c>
      <c r="K242" s="1" t="str">
        <f>IF(Protokoll_5p!H208="","",IF(VALUE(LEFT(Protokoll_5p!H208,FIND(":",Protokoll_5p!H208)-1))&gt;VALUE(RIGHT(Protokoll_5p!H208,LEN(Protokoll_5p!H208)-FIND(":",Protokoll_5p!H208))),0,1))</f>
        <v/>
      </c>
      <c r="L242" s="1" t="str">
        <f>IF(Protokoll_5p!I208="","",IF(VALUE(LEFT(Protokoll_5p!I208,FIND(":",Protokoll_5p!I208)-1))&gt;VALUE(RIGHT(Protokoll_5p!I208,LEN(Protokoll_5p!I208)-FIND(":",Protokoll_5p!I208))),0,1))</f>
        <v/>
      </c>
      <c r="M242" s="1" t="str">
        <f>IF(Protokoll_5p!J208="","",IF(VALUE(LEFT(Protokoll_5p!J208,FIND(":",Protokoll_5p!J208)-1))&gt;VALUE(RIGHT(Protokoll_5p!J208,LEN(Protokoll_5p!J208)-FIND(":",Protokoll_5p!J208))),0,1))</f>
        <v/>
      </c>
      <c r="N242" s="1" t="str">
        <f t="shared" si="7"/>
        <v/>
      </c>
    </row>
    <row r="243" spans="2:14">
      <c r="B243" s="1" t="str">
        <f>IF(Protokoll_5p!F209="","",IF(VALUE(LEFT(Protokoll_5p!F209,FIND(":",Protokoll_5p!F209)-1))&gt;VALUE(RIGHT(Protokoll_5p!F209,LEN(Protokoll_5p!F209)-FIND(":",Protokoll_5p!F209))),1,0))</f>
        <v/>
      </c>
      <c r="C243" s="1" t="str">
        <f>IF(Protokoll_5p!G209="","",IF(VALUE(LEFT(Protokoll_5p!G209,FIND(":",Protokoll_5p!G209)-1))&gt;VALUE(RIGHT(Protokoll_5p!G209,LEN(Protokoll_5p!G209)-FIND(":",Protokoll_5p!G209))),1,0))</f>
        <v/>
      </c>
      <c r="D243" s="1" t="str">
        <f>IF(Protokoll_5p!H209="","",IF(VALUE(LEFT(Protokoll_5p!H209,FIND(":",Protokoll_5p!H209)-1))&gt;VALUE(RIGHT(Protokoll_5p!H209,LEN(Protokoll_5p!H209)-FIND(":",Protokoll_5p!H209))),1,0))</f>
        <v/>
      </c>
      <c r="E243" s="1" t="str">
        <f>IF(Protokoll_5p!I209="","",IF(VALUE(LEFT(Protokoll_5p!I209,FIND(":",Protokoll_5p!I209)-1))&gt;VALUE(RIGHT(Protokoll_5p!I209,LEN(Protokoll_5p!I209)-FIND(":",Protokoll_5p!I209))),1,0))</f>
        <v/>
      </c>
      <c r="F243" s="1" t="str">
        <f>IF(Protokoll_5p!J209="","",IF(VALUE(LEFT(Protokoll_5p!J209,FIND(":",Protokoll_5p!J209)-1))&gt;VALUE(RIGHT(Protokoll_5p!J209,LEN(Protokoll_5p!J209)-FIND(":",Protokoll_5p!J209))),1,0))</f>
        <v/>
      </c>
      <c r="G243" s="1" t="str">
        <f t="shared" si="6"/>
        <v/>
      </c>
      <c r="I243" s="1" t="str">
        <f>IF(Protokoll_5p!F209="","",IF(VALUE(LEFT(Protokoll_5p!F209,FIND(":",Protokoll_5p!F209)-1))&gt;VALUE(RIGHT(Protokoll_5p!F209,LEN(Protokoll_5p!F209)-FIND(":",Protokoll_5p!F209))),0,1))</f>
        <v/>
      </c>
      <c r="J243" s="1" t="str">
        <f>IF(Protokoll_5p!G209="","",IF(VALUE(LEFT(Protokoll_5p!G209,FIND(":",Protokoll_5p!G209)-1))&gt;VALUE(RIGHT(Protokoll_5p!G209,LEN(Protokoll_5p!G209)-FIND(":",Protokoll_5p!G209))),0,1))</f>
        <v/>
      </c>
      <c r="K243" s="1" t="str">
        <f>IF(Protokoll_5p!H209="","",IF(VALUE(LEFT(Protokoll_5p!H209,FIND(":",Protokoll_5p!H209)-1))&gt;VALUE(RIGHT(Protokoll_5p!H209,LEN(Protokoll_5p!H209)-FIND(":",Protokoll_5p!H209))),0,1))</f>
        <v/>
      </c>
      <c r="L243" s="1" t="str">
        <f>IF(Protokoll_5p!I209="","",IF(VALUE(LEFT(Protokoll_5p!I209,FIND(":",Protokoll_5p!I209)-1))&gt;VALUE(RIGHT(Protokoll_5p!I209,LEN(Protokoll_5p!I209)-FIND(":",Protokoll_5p!I209))),0,1))</f>
        <v/>
      </c>
      <c r="M243" s="1" t="str">
        <f>IF(Protokoll_5p!J209="","",IF(VALUE(LEFT(Protokoll_5p!J209,FIND(":",Protokoll_5p!J209)-1))&gt;VALUE(RIGHT(Protokoll_5p!J209,LEN(Protokoll_5p!J209)-FIND(":",Protokoll_5p!J209))),0,1))</f>
        <v/>
      </c>
      <c r="N243" s="1" t="str">
        <f t="shared" si="7"/>
        <v/>
      </c>
    </row>
    <row r="244" spans="2:14">
      <c r="B244" s="1" t="str">
        <f>IF(Protokoll_5p!F210="","",IF(VALUE(LEFT(Protokoll_5p!F210,FIND(":",Protokoll_5p!F210)-1))&gt;VALUE(RIGHT(Protokoll_5p!F210,LEN(Protokoll_5p!F210)-FIND(":",Protokoll_5p!F210))),1,0))</f>
        <v/>
      </c>
      <c r="C244" s="1" t="str">
        <f>IF(Protokoll_5p!G210="","",IF(VALUE(LEFT(Protokoll_5p!G210,FIND(":",Protokoll_5p!G210)-1))&gt;VALUE(RIGHT(Protokoll_5p!G210,LEN(Protokoll_5p!G210)-FIND(":",Protokoll_5p!G210))),1,0))</f>
        <v/>
      </c>
      <c r="D244" s="1" t="str">
        <f>IF(Protokoll_5p!H210="","",IF(VALUE(LEFT(Protokoll_5p!H210,FIND(":",Protokoll_5p!H210)-1))&gt;VALUE(RIGHT(Protokoll_5p!H210,LEN(Protokoll_5p!H210)-FIND(":",Protokoll_5p!H210))),1,0))</f>
        <v/>
      </c>
      <c r="E244" s="1" t="str">
        <f>IF(Protokoll_5p!I210="","",IF(VALUE(LEFT(Protokoll_5p!I210,FIND(":",Protokoll_5p!I210)-1))&gt;VALUE(RIGHT(Protokoll_5p!I210,LEN(Protokoll_5p!I210)-FIND(":",Protokoll_5p!I210))),1,0))</f>
        <v/>
      </c>
      <c r="F244" s="1" t="str">
        <f>IF(Protokoll_5p!J210="","",IF(VALUE(LEFT(Protokoll_5p!J210,FIND(":",Protokoll_5p!J210)-1))&gt;VALUE(RIGHT(Protokoll_5p!J210,LEN(Protokoll_5p!J210)-FIND(":",Protokoll_5p!J210))),1,0))</f>
        <v/>
      </c>
      <c r="G244" s="1" t="str">
        <f t="shared" si="6"/>
        <v/>
      </c>
      <c r="I244" s="1" t="str">
        <f>IF(Protokoll_5p!F210="","",IF(VALUE(LEFT(Protokoll_5p!F210,FIND(":",Protokoll_5p!F210)-1))&gt;VALUE(RIGHT(Protokoll_5p!F210,LEN(Protokoll_5p!F210)-FIND(":",Protokoll_5p!F210))),0,1))</f>
        <v/>
      </c>
      <c r="J244" s="1" t="str">
        <f>IF(Protokoll_5p!G210="","",IF(VALUE(LEFT(Protokoll_5p!G210,FIND(":",Protokoll_5p!G210)-1))&gt;VALUE(RIGHT(Protokoll_5p!G210,LEN(Protokoll_5p!G210)-FIND(":",Protokoll_5p!G210))),0,1))</f>
        <v/>
      </c>
      <c r="K244" s="1" t="str">
        <f>IF(Protokoll_5p!H210="","",IF(VALUE(LEFT(Protokoll_5p!H210,FIND(":",Protokoll_5p!H210)-1))&gt;VALUE(RIGHT(Protokoll_5p!H210,LEN(Protokoll_5p!H210)-FIND(":",Protokoll_5p!H210))),0,1))</f>
        <v/>
      </c>
      <c r="L244" s="1" t="str">
        <f>IF(Protokoll_5p!I210="","",IF(VALUE(LEFT(Protokoll_5p!I210,FIND(":",Protokoll_5p!I210)-1))&gt;VALUE(RIGHT(Protokoll_5p!I210,LEN(Protokoll_5p!I210)-FIND(":",Protokoll_5p!I210))),0,1))</f>
        <v/>
      </c>
      <c r="M244" s="1" t="str">
        <f>IF(Protokoll_5p!J210="","",IF(VALUE(LEFT(Protokoll_5p!J210,FIND(":",Protokoll_5p!J210)-1))&gt;VALUE(RIGHT(Protokoll_5p!J210,LEN(Protokoll_5p!J210)-FIND(":",Protokoll_5p!J210))),0,1))</f>
        <v/>
      </c>
      <c r="N244" s="1" t="str">
        <f t="shared" si="7"/>
        <v/>
      </c>
    </row>
    <row r="245" spans="2:14">
      <c r="B245" s="1" t="str">
        <f>IF(Protokoll_5p!F211="","",IF(VALUE(LEFT(Protokoll_5p!F211,FIND(":",Protokoll_5p!F211)-1))&gt;VALUE(RIGHT(Protokoll_5p!F211,LEN(Protokoll_5p!F211)-FIND(":",Protokoll_5p!F211))),1,0))</f>
        <v/>
      </c>
      <c r="C245" s="1" t="str">
        <f>IF(Protokoll_5p!G211="","",IF(VALUE(LEFT(Protokoll_5p!G211,FIND(":",Protokoll_5p!G211)-1))&gt;VALUE(RIGHT(Protokoll_5p!G211,LEN(Protokoll_5p!G211)-FIND(":",Protokoll_5p!G211))),1,0))</f>
        <v/>
      </c>
      <c r="D245" s="1" t="str">
        <f>IF(Protokoll_5p!H211="","",IF(VALUE(LEFT(Protokoll_5p!H211,FIND(":",Protokoll_5p!H211)-1))&gt;VALUE(RIGHT(Protokoll_5p!H211,LEN(Protokoll_5p!H211)-FIND(":",Protokoll_5p!H211))),1,0))</f>
        <v/>
      </c>
      <c r="E245" s="1" t="str">
        <f>IF(Protokoll_5p!I211="","",IF(VALUE(LEFT(Protokoll_5p!I211,FIND(":",Protokoll_5p!I211)-1))&gt;VALUE(RIGHT(Protokoll_5p!I211,LEN(Protokoll_5p!I211)-FIND(":",Protokoll_5p!I211))),1,0))</f>
        <v/>
      </c>
      <c r="F245" s="1" t="str">
        <f>IF(Protokoll_5p!J211="","",IF(VALUE(LEFT(Protokoll_5p!J211,FIND(":",Protokoll_5p!J211)-1))&gt;VALUE(RIGHT(Protokoll_5p!J211,LEN(Protokoll_5p!J211)-FIND(":",Protokoll_5p!J211))),1,0))</f>
        <v/>
      </c>
      <c r="G245" s="1" t="str">
        <f t="shared" si="6"/>
        <v/>
      </c>
      <c r="I245" s="1" t="str">
        <f>IF(Protokoll_5p!F211="","",IF(VALUE(LEFT(Protokoll_5p!F211,FIND(":",Protokoll_5p!F211)-1))&gt;VALUE(RIGHT(Protokoll_5p!F211,LEN(Protokoll_5p!F211)-FIND(":",Protokoll_5p!F211))),0,1))</f>
        <v/>
      </c>
      <c r="J245" s="1" t="str">
        <f>IF(Protokoll_5p!G211="","",IF(VALUE(LEFT(Protokoll_5p!G211,FIND(":",Protokoll_5p!G211)-1))&gt;VALUE(RIGHT(Protokoll_5p!G211,LEN(Protokoll_5p!G211)-FIND(":",Protokoll_5p!G211))),0,1))</f>
        <v/>
      </c>
      <c r="K245" s="1" t="str">
        <f>IF(Protokoll_5p!H211="","",IF(VALUE(LEFT(Protokoll_5p!H211,FIND(":",Protokoll_5p!H211)-1))&gt;VALUE(RIGHT(Protokoll_5p!H211,LEN(Protokoll_5p!H211)-FIND(":",Protokoll_5p!H211))),0,1))</f>
        <v/>
      </c>
      <c r="L245" s="1" t="str">
        <f>IF(Protokoll_5p!I211="","",IF(VALUE(LEFT(Protokoll_5p!I211,FIND(":",Protokoll_5p!I211)-1))&gt;VALUE(RIGHT(Protokoll_5p!I211,LEN(Protokoll_5p!I211)-FIND(":",Protokoll_5p!I211))),0,1))</f>
        <v/>
      </c>
      <c r="M245" s="1" t="str">
        <f>IF(Protokoll_5p!J211="","",IF(VALUE(LEFT(Protokoll_5p!J211,FIND(":",Protokoll_5p!J211)-1))&gt;VALUE(RIGHT(Protokoll_5p!J211,LEN(Protokoll_5p!J211)-FIND(":",Protokoll_5p!J211))),0,1))</f>
        <v/>
      </c>
      <c r="N245" s="1" t="str">
        <f t="shared" si="7"/>
        <v/>
      </c>
    </row>
    <row r="246" spans="2:14">
      <c r="B246" s="1" t="str">
        <f>IF(Protokoll_5p!F212="","",IF(VALUE(LEFT(Protokoll_5p!F212,FIND(":",Protokoll_5p!F212)-1))&gt;VALUE(RIGHT(Protokoll_5p!F212,LEN(Protokoll_5p!F212)-FIND(":",Protokoll_5p!F212))),1,0))</f>
        <v/>
      </c>
      <c r="C246" s="1" t="str">
        <f>IF(Protokoll_5p!G212="","",IF(VALUE(LEFT(Protokoll_5p!G212,FIND(":",Protokoll_5p!G212)-1))&gt;VALUE(RIGHT(Protokoll_5p!G212,LEN(Protokoll_5p!G212)-FIND(":",Protokoll_5p!G212))),1,0))</f>
        <v/>
      </c>
      <c r="D246" s="1" t="str">
        <f>IF(Protokoll_5p!H212="","",IF(VALUE(LEFT(Protokoll_5p!H212,FIND(":",Protokoll_5p!H212)-1))&gt;VALUE(RIGHT(Protokoll_5p!H212,LEN(Protokoll_5p!H212)-FIND(":",Protokoll_5p!H212))),1,0))</f>
        <v/>
      </c>
      <c r="E246" s="1" t="str">
        <f>IF(Protokoll_5p!I212="","",IF(VALUE(LEFT(Protokoll_5p!I212,FIND(":",Protokoll_5p!I212)-1))&gt;VALUE(RIGHT(Protokoll_5p!I212,LEN(Protokoll_5p!I212)-FIND(":",Protokoll_5p!I212))),1,0))</f>
        <v/>
      </c>
      <c r="F246" s="1" t="str">
        <f>IF(Protokoll_5p!J212="","",IF(VALUE(LEFT(Protokoll_5p!J212,FIND(":",Protokoll_5p!J212)-1))&gt;VALUE(RIGHT(Protokoll_5p!J212,LEN(Protokoll_5p!J212)-FIND(":",Protokoll_5p!J212))),1,0))</f>
        <v/>
      </c>
      <c r="G246" s="1" t="str">
        <f t="shared" si="6"/>
        <v/>
      </c>
      <c r="I246" s="1" t="str">
        <f>IF(Protokoll_5p!F212="","",IF(VALUE(LEFT(Protokoll_5p!F212,FIND(":",Protokoll_5p!F212)-1))&gt;VALUE(RIGHT(Protokoll_5p!F212,LEN(Protokoll_5p!F212)-FIND(":",Protokoll_5p!F212))),0,1))</f>
        <v/>
      </c>
      <c r="J246" s="1" t="str">
        <f>IF(Protokoll_5p!G212="","",IF(VALUE(LEFT(Protokoll_5p!G212,FIND(":",Protokoll_5p!G212)-1))&gt;VALUE(RIGHT(Protokoll_5p!G212,LEN(Protokoll_5p!G212)-FIND(":",Protokoll_5p!G212))),0,1))</f>
        <v/>
      </c>
      <c r="K246" s="1" t="str">
        <f>IF(Protokoll_5p!H212="","",IF(VALUE(LEFT(Protokoll_5p!H212,FIND(":",Protokoll_5p!H212)-1))&gt;VALUE(RIGHT(Protokoll_5p!H212,LEN(Protokoll_5p!H212)-FIND(":",Protokoll_5p!H212))),0,1))</f>
        <v/>
      </c>
      <c r="L246" s="1" t="str">
        <f>IF(Protokoll_5p!I212="","",IF(VALUE(LEFT(Protokoll_5p!I212,FIND(":",Protokoll_5p!I212)-1))&gt;VALUE(RIGHT(Protokoll_5p!I212,LEN(Protokoll_5p!I212)-FIND(":",Protokoll_5p!I212))),0,1))</f>
        <v/>
      </c>
      <c r="M246" s="1" t="str">
        <f>IF(Protokoll_5p!J212="","",IF(VALUE(LEFT(Protokoll_5p!J212,FIND(":",Protokoll_5p!J212)-1))&gt;VALUE(RIGHT(Protokoll_5p!J212,LEN(Protokoll_5p!J212)-FIND(":",Protokoll_5p!J212))),0,1))</f>
        <v/>
      </c>
      <c r="N246" s="1" t="str">
        <f t="shared" si="7"/>
        <v/>
      </c>
    </row>
    <row r="247" spans="2:14">
      <c r="B247" s="1" t="str">
        <f>IF(Protokoll_5p!F213="","",IF(VALUE(LEFT(Protokoll_5p!F213,FIND(":",Protokoll_5p!F213)-1))&gt;VALUE(RIGHT(Protokoll_5p!F213,LEN(Protokoll_5p!F213)-FIND(":",Protokoll_5p!F213))),1,0))</f>
        <v/>
      </c>
      <c r="C247" s="1" t="str">
        <f>IF(Protokoll_5p!G213="","",IF(VALUE(LEFT(Protokoll_5p!G213,FIND(":",Protokoll_5p!G213)-1))&gt;VALUE(RIGHT(Protokoll_5p!G213,LEN(Protokoll_5p!G213)-FIND(":",Protokoll_5p!G213))),1,0))</f>
        <v/>
      </c>
      <c r="D247" s="1" t="str">
        <f>IF(Protokoll_5p!H213="","",IF(VALUE(LEFT(Protokoll_5p!H213,FIND(":",Protokoll_5p!H213)-1))&gt;VALUE(RIGHT(Protokoll_5p!H213,LEN(Protokoll_5p!H213)-FIND(":",Protokoll_5p!H213))),1,0))</f>
        <v/>
      </c>
      <c r="E247" s="1" t="str">
        <f>IF(Protokoll_5p!I213="","",IF(VALUE(LEFT(Protokoll_5p!I213,FIND(":",Protokoll_5p!I213)-1))&gt;VALUE(RIGHT(Protokoll_5p!I213,LEN(Protokoll_5p!I213)-FIND(":",Protokoll_5p!I213))),1,0))</f>
        <v/>
      </c>
      <c r="F247" s="1" t="str">
        <f>IF(Protokoll_5p!J213="","",IF(VALUE(LEFT(Protokoll_5p!J213,FIND(":",Protokoll_5p!J213)-1))&gt;VALUE(RIGHT(Protokoll_5p!J213,LEN(Protokoll_5p!J213)-FIND(":",Protokoll_5p!J213))),1,0))</f>
        <v/>
      </c>
      <c r="G247" s="1" t="str">
        <f t="shared" si="6"/>
        <v/>
      </c>
      <c r="I247" s="1" t="str">
        <f>IF(Protokoll_5p!F213="","",IF(VALUE(LEFT(Protokoll_5p!F213,FIND(":",Protokoll_5p!F213)-1))&gt;VALUE(RIGHT(Protokoll_5p!F213,LEN(Protokoll_5p!F213)-FIND(":",Protokoll_5p!F213))),0,1))</f>
        <v/>
      </c>
      <c r="J247" s="1" t="str">
        <f>IF(Protokoll_5p!G213="","",IF(VALUE(LEFT(Protokoll_5p!G213,FIND(":",Protokoll_5p!G213)-1))&gt;VALUE(RIGHT(Protokoll_5p!G213,LEN(Protokoll_5p!G213)-FIND(":",Protokoll_5p!G213))),0,1))</f>
        <v/>
      </c>
      <c r="K247" s="1" t="str">
        <f>IF(Protokoll_5p!H213="","",IF(VALUE(LEFT(Protokoll_5p!H213,FIND(":",Protokoll_5p!H213)-1))&gt;VALUE(RIGHT(Protokoll_5p!H213,LEN(Protokoll_5p!H213)-FIND(":",Protokoll_5p!H213))),0,1))</f>
        <v/>
      </c>
      <c r="L247" s="1" t="str">
        <f>IF(Protokoll_5p!I213="","",IF(VALUE(LEFT(Protokoll_5p!I213,FIND(":",Protokoll_5p!I213)-1))&gt;VALUE(RIGHT(Protokoll_5p!I213,LEN(Protokoll_5p!I213)-FIND(":",Protokoll_5p!I213))),0,1))</f>
        <v/>
      </c>
      <c r="M247" s="1" t="str">
        <f>IF(Protokoll_5p!J213="","",IF(VALUE(LEFT(Protokoll_5p!J213,FIND(":",Protokoll_5p!J213)-1))&gt;VALUE(RIGHT(Protokoll_5p!J213,LEN(Protokoll_5p!J213)-FIND(":",Protokoll_5p!J213))),0,1))</f>
        <v/>
      </c>
      <c r="N247" s="1" t="str">
        <f t="shared" si="7"/>
        <v/>
      </c>
    </row>
    <row r="248" spans="2:14">
      <c r="B248" s="1" t="str">
        <f>IF(Protokoll_5p!F214="","",IF(VALUE(LEFT(Protokoll_5p!F214,FIND(":",Protokoll_5p!F214)-1))&gt;VALUE(RIGHT(Protokoll_5p!F214,LEN(Protokoll_5p!F214)-FIND(":",Protokoll_5p!F214))),1,0))</f>
        <v/>
      </c>
      <c r="C248" s="1" t="str">
        <f>IF(Protokoll_5p!G214="","",IF(VALUE(LEFT(Protokoll_5p!G214,FIND(":",Protokoll_5p!G214)-1))&gt;VALUE(RIGHT(Protokoll_5p!G214,LEN(Protokoll_5p!G214)-FIND(":",Protokoll_5p!G214))),1,0))</f>
        <v/>
      </c>
      <c r="D248" s="1" t="str">
        <f>IF(Protokoll_5p!H214="","",IF(VALUE(LEFT(Protokoll_5p!H214,FIND(":",Protokoll_5p!H214)-1))&gt;VALUE(RIGHT(Protokoll_5p!H214,LEN(Protokoll_5p!H214)-FIND(":",Protokoll_5p!H214))),1,0))</f>
        <v/>
      </c>
      <c r="E248" s="1" t="str">
        <f>IF(Protokoll_5p!I214="","",IF(VALUE(LEFT(Protokoll_5p!I214,FIND(":",Protokoll_5p!I214)-1))&gt;VALUE(RIGHT(Protokoll_5p!I214,LEN(Protokoll_5p!I214)-FIND(":",Protokoll_5p!I214))),1,0))</f>
        <v/>
      </c>
      <c r="F248" s="1" t="str">
        <f>IF(Protokoll_5p!J214="","",IF(VALUE(LEFT(Protokoll_5p!J214,FIND(":",Protokoll_5p!J214)-1))&gt;VALUE(RIGHT(Protokoll_5p!J214,LEN(Protokoll_5p!J214)-FIND(":",Protokoll_5p!J214))),1,0))</f>
        <v/>
      </c>
      <c r="G248" s="1" t="str">
        <f t="shared" si="6"/>
        <v/>
      </c>
      <c r="I248" s="1" t="str">
        <f>IF(Protokoll_5p!F214="","",IF(VALUE(LEFT(Protokoll_5p!F214,FIND(":",Protokoll_5p!F214)-1))&gt;VALUE(RIGHT(Protokoll_5p!F214,LEN(Protokoll_5p!F214)-FIND(":",Protokoll_5p!F214))),0,1))</f>
        <v/>
      </c>
      <c r="J248" s="1" t="str">
        <f>IF(Protokoll_5p!G214="","",IF(VALUE(LEFT(Protokoll_5p!G214,FIND(":",Protokoll_5p!G214)-1))&gt;VALUE(RIGHT(Protokoll_5p!G214,LEN(Protokoll_5p!G214)-FIND(":",Protokoll_5p!G214))),0,1))</f>
        <v/>
      </c>
      <c r="K248" s="1" t="str">
        <f>IF(Protokoll_5p!H214="","",IF(VALUE(LEFT(Protokoll_5p!H214,FIND(":",Protokoll_5p!H214)-1))&gt;VALUE(RIGHT(Protokoll_5p!H214,LEN(Protokoll_5p!H214)-FIND(":",Protokoll_5p!H214))),0,1))</f>
        <v/>
      </c>
      <c r="L248" s="1" t="str">
        <f>IF(Protokoll_5p!I214="","",IF(VALUE(LEFT(Protokoll_5p!I214,FIND(":",Protokoll_5p!I214)-1))&gt;VALUE(RIGHT(Protokoll_5p!I214,LEN(Protokoll_5p!I214)-FIND(":",Protokoll_5p!I214))),0,1))</f>
        <v/>
      </c>
      <c r="M248" s="1" t="str">
        <f>IF(Protokoll_5p!J214="","",IF(VALUE(LEFT(Protokoll_5p!J214,FIND(":",Protokoll_5p!J214)-1))&gt;VALUE(RIGHT(Protokoll_5p!J214,LEN(Protokoll_5p!J214)-FIND(":",Protokoll_5p!J214))),0,1))</f>
        <v/>
      </c>
      <c r="N248" s="1" t="str">
        <f t="shared" si="7"/>
        <v/>
      </c>
    </row>
    <row r="249" spans="2:14">
      <c r="B249" s="1" t="str">
        <f>IF(Protokoll_5p!F215="","",IF(VALUE(LEFT(Protokoll_5p!F215,FIND(":",Protokoll_5p!F215)-1))&gt;VALUE(RIGHT(Protokoll_5p!F215,LEN(Protokoll_5p!F215)-FIND(":",Protokoll_5p!F215))),1,0))</f>
        <v/>
      </c>
      <c r="C249" s="1" t="str">
        <f>IF(Protokoll_5p!G215="","",IF(VALUE(LEFT(Protokoll_5p!G215,FIND(":",Protokoll_5p!G215)-1))&gt;VALUE(RIGHT(Protokoll_5p!G215,LEN(Protokoll_5p!G215)-FIND(":",Protokoll_5p!G215))),1,0))</f>
        <v/>
      </c>
      <c r="D249" s="1" t="str">
        <f>IF(Protokoll_5p!H215="","",IF(VALUE(LEFT(Protokoll_5p!H215,FIND(":",Protokoll_5p!H215)-1))&gt;VALUE(RIGHT(Protokoll_5p!H215,LEN(Protokoll_5p!H215)-FIND(":",Protokoll_5p!H215))),1,0))</f>
        <v/>
      </c>
      <c r="E249" s="1" t="str">
        <f>IF(Protokoll_5p!I215="","",IF(VALUE(LEFT(Protokoll_5p!I215,FIND(":",Protokoll_5p!I215)-1))&gt;VALUE(RIGHT(Protokoll_5p!I215,LEN(Protokoll_5p!I215)-FIND(":",Protokoll_5p!I215))),1,0))</f>
        <v/>
      </c>
      <c r="F249" s="1" t="str">
        <f>IF(Protokoll_5p!J215="","",IF(VALUE(LEFT(Protokoll_5p!J215,FIND(":",Protokoll_5p!J215)-1))&gt;VALUE(RIGHT(Protokoll_5p!J215,LEN(Protokoll_5p!J215)-FIND(":",Protokoll_5p!J215))),1,0))</f>
        <v/>
      </c>
      <c r="G249" s="1" t="str">
        <f t="shared" si="6"/>
        <v/>
      </c>
      <c r="I249" s="1" t="str">
        <f>IF(Protokoll_5p!F215="","",IF(VALUE(LEFT(Protokoll_5p!F215,FIND(":",Protokoll_5p!F215)-1))&gt;VALUE(RIGHT(Protokoll_5p!F215,LEN(Protokoll_5p!F215)-FIND(":",Protokoll_5p!F215))),0,1))</f>
        <v/>
      </c>
      <c r="J249" s="1" t="str">
        <f>IF(Protokoll_5p!G215="","",IF(VALUE(LEFT(Protokoll_5p!G215,FIND(":",Protokoll_5p!G215)-1))&gt;VALUE(RIGHT(Protokoll_5p!G215,LEN(Protokoll_5p!G215)-FIND(":",Protokoll_5p!G215))),0,1))</f>
        <v/>
      </c>
      <c r="K249" s="1" t="str">
        <f>IF(Protokoll_5p!H215="","",IF(VALUE(LEFT(Protokoll_5p!H215,FIND(":",Protokoll_5p!H215)-1))&gt;VALUE(RIGHT(Protokoll_5p!H215,LEN(Protokoll_5p!H215)-FIND(":",Protokoll_5p!H215))),0,1))</f>
        <v/>
      </c>
      <c r="L249" s="1" t="str">
        <f>IF(Protokoll_5p!I215="","",IF(VALUE(LEFT(Protokoll_5p!I215,FIND(":",Protokoll_5p!I215)-1))&gt;VALUE(RIGHT(Protokoll_5p!I215,LEN(Protokoll_5p!I215)-FIND(":",Protokoll_5p!I215))),0,1))</f>
        <v/>
      </c>
      <c r="M249" s="1" t="str">
        <f>IF(Protokoll_5p!J215="","",IF(VALUE(LEFT(Protokoll_5p!J215,FIND(":",Protokoll_5p!J215)-1))&gt;VALUE(RIGHT(Protokoll_5p!J215,LEN(Protokoll_5p!J215)-FIND(":",Protokoll_5p!J215))),0,1))</f>
        <v/>
      </c>
      <c r="N249" s="1" t="str">
        <f t="shared" si="7"/>
        <v/>
      </c>
    </row>
    <row r="250" spans="2:14">
      <c r="B250" s="1" t="str">
        <f>IF(Protokoll_5p!F216="","",IF(VALUE(LEFT(Protokoll_5p!F216,FIND(":",Protokoll_5p!F216)-1))&gt;VALUE(RIGHT(Protokoll_5p!F216,LEN(Protokoll_5p!F216)-FIND(":",Protokoll_5p!F216))),1,0))</f>
        <v/>
      </c>
      <c r="C250" s="1" t="str">
        <f>IF(Protokoll_5p!G216="","",IF(VALUE(LEFT(Protokoll_5p!G216,FIND(":",Protokoll_5p!G216)-1))&gt;VALUE(RIGHT(Protokoll_5p!G216,LEN(Protokoll_5p!G216)-FIND(":",Protokoll_5p!G216))),1,0))</f>
        <v/>
      </c>
      <c r="D250" s="1" t="str">
        <f>IF(Protokoll_5p!H216="","",IF(VALUE(LEFT(Protokoll_5p!H216,FIND(":",Protokoll_5p!H216)-1))&gt;VALUE(RIGHT(Protokoll_5p!H216,LEN(Protokoll_5p!H216)-FIND(":",Protokoll_5p!H216))),1,0))</f>
        <v/>
      </c>
      <c r="E250" s="1" t="str">
        <f>IF(Protokoll_5p!I216="","",IF(VALUE(LEFT(Protokoll_5p!I216,FIND(":",Protokoll_5p!I216)-1))&gt;VALUE(RIGHT(Protokoll_5p!I216,LEN(Protokoll_5p!I216)-FIND(":",Protokoll_5p!I216))),1,0))</f>
        <v/>
      </c>
      <c r="F250" s="1" t="str">
        <f>IF(Protokoll_5p!J216="","",IF(VALUE(LEFT(Protokoll_5p!J216,FIND(":",Protokoll_5p!J216)-1))&gt;VALUE(RIGHT(Protokoll_5p!J216,LEN(Protokoll_5p!J216)-FIND(":",Protokoll_5p!J216))),1,0))</f>
        <v/>
      </c>
      <c r="G250" s="1" t="str">
        <f t="shared" si="6"/>
        <v/>
      </c>
      <c r="I250" s="1" t="str">
        <f>IF(Protokoll_5p!F216="","",IF(VALUE(LEFT(Protokoll_5p!F216,FIND(":",Protokoll_5p!F216)-1))&gt;VALUE(RIGHT(Protokoll_5p!F216,LEN(Protokoll_5p!F216)-FIND(":",Protokoll_5p!F216))),0,1))</f>
        <v/>
      </c>
      <c r="J250" s="1" t="str">
        <f>IF(Protokoll_5p!G216="","",IF(VALUE(LEFT(Protokoll_5p!G216,FIND(":",Protokoll_5p!G216)-1))&gt;VALUE(RIGHT(Protokoll_5p!G216,LEN(Protokoll_5p!G216)-FIND(":",Protokoll_5p!G216))),0,1))</f>
        <v/>
      </c>
      <c r="K250" s="1" t="str">
        <f>IF(Protokoll_5p!H216="","",IF(VALUE(LEFT(Protokoll_5p!H216,FIND(":",Protokoll_5p!H216)-1))&gt;VALUE(RIGHT(Protokoll_5p!H216,LEN(Protokoll_5p!H216)-FIND(":",Protokoll_5p!H216))),0,1))</f>
        <v/>
      </c>
      <c r="L250" s="1" t="str">
        <f>IF(Protokoll_5p!I216="","",IF(VALUE(LEFT(Protokoll_5p!I216,FIND(":",Protokoll_5p!I216)-1))&gt;VALUE(RIGHT(Protokoll_5p!I216,LEN(Protokoll_5p!I216)-FIND(":",Protokoll_5p!I216))),0,1))</f>
        <v/>
      </c>
      <c r="M250" s="1" t="str">
        <f>IF(Protokoll_5p!J216="","",IF(VALUE(LEFT(Protokoll_5p!J216,FIND(":",Protokoll_5p!J216)-1))&gt;VALUE(RIGHT(Protokoll_5p!J216,LEN(Protokoll_5p!J216)-FIND(":",Protokoll_5p!J216))),0,1))</f>
        <v/>
      </c>
      <c r="N250" s="1" t="str">
        <f t="shared" si="7"/>
        <v/>
      </c>
    </row>
    <row r="251" spans="2:14">
      <c r="B251" s="1" t="str">
        <f>IF(Protokoll_5p!F217="","",IF(VALUE(LEFT(Protokoll_5p!F217,FIND(":",Protokoll_5p!F217)-1))&gt;VALUE(RIGHT(Protokoll_5p!F217,LEN(Protokoll_5p!F217)-FIND(":",Protokoll_5p!F217))),1,0))</f>
        <v/>
      </c>
      <c r="C251" s="1" t="str">
        <f>IF(Protokoll_5p!G217="","",IF(VALUE(LEFT(Protokoll_5p!G217,FIND(":",Protokoll_5p!G217)-1))&gt;VALUE(RIGHT(Protokoll_5p!G217,LEN(Protokoll_5p!G217)-FIND(":",Protokoll_5p!G217))),1,0))</f>
        <v/>
      </c>
      <c r="D251" s="1" t="str">
        <f>IF(Protokoll_5p!H217="","",IF(VALUE(LEFT(Protokoll_5p!H217,FIND(":",Protokoll_5p!H217)-1))&gt;VALUE(RIGHT(Protokoll_5p!H217,LEN(Protokoll_5p!H217)-FIND(":",Protokoll_5p!H217))),1,0))</f>
        <v/>
      </c>
      <c r="E251" s="1" t="str">
        <f>IF(Protokoll_5p!I217="","",IF(VALUE(LEFT(Protokoll_5p!I217,FIND(":",Protokoll_5p!I217)-1))&gt;VALUE(RIGHT(Protokoll_5p!I217,LEN(Protokoll_5p!I217)-FIND(":",Protokoll_5p!I217))),1,0))</f>
        <v/>
      </c>
      <c r="F251" s="1" t="str">
        <f>IF(Protokoll_5p!J217="","",IF(VALUE(LEFT(Protokoll_5p!J217,FIND(":",Protokoll_5p!J217)-1))&gt;VALUE(RIGHT(Protokoll_5p!J217,LEN(Protokoll_5p!J217)-FIND(":",Protokoll_5p!J217))),1,0))</f>
        <v/>
      </c>
      <c r="G251" s="1" t="str">
        <f t="shared" si="6"/>
        <v/>
      </c>
      <c r="I251" s="1" t="str">
        <f>IF(Protokoll_5p!F217="","",IF(VALUE(LEFT(Protokoll_5p!F217,FIND(":",Protokoll_5p!F217)-1))&gt;VALUE(RIGHT(Protokoll_5p!F217,LEN(Protokoll_5p!F217)-FIND(":",Protokoll_5p!F217))),0,1))</f>
        <v/>
      </c>
      <c r="J251" s="1" t="str">
        <f>IF(Protokoll_5p!G217="","",IF(VALUE(LEFT(Protokoll_5p!G217,FIND(":",Protokoll_5p!G217)-1))&gt;VALUE(RIGHT(Protokoll_5p!G217,LEN(Protokoll_5p!G217)-FIND(":",Protokoll_5p!G217))),0,1))</f>
        <v/>
      </c>
      <c r="K251" s="1" t="str">
        <f>IF(Protokoll_5p!H217="","",IF(VALUE(LEFT(Protokoll_5p!H217,FIND(":",Protokoll_5p!H217)-1))&gt;VALUE(RIGHT(Protokoll_5p!H217,LEN(Protokoll_5p!H217)-FIND(":",Protokoll_5p!H217))),0,1))</f>
        <v/>
      </c>
      <c r="L251" s="1" t="str">
        <f>IF(Protokoll_5p!I217="","",IF(VALUE(LEFT(Protokoll_5p!I217,FIND(":",Protokoll_5p!I217)-1))&gt;VALUE(RIGHT(Protokoll_5p!I217,LEN(Protokoll_5p!I217)-FIND(":",Protokoll_5p!I217))),0,1))</f>
        <v/>
      </c>
      <c r="M251" s="1" t="str">
        <f>IF(Protokoll_5p!J217="","",IF(VALUE(LEFT(Protokoll_5p!J217,FIND(":",Protokoll_5p!J217)-1))&gt;VALUE(RIGHT(Protokoll_5p!J217,LEN(Protokoll_5p!J217)-FIND(":",Protokoll_5p!J217))),0,1))</f>
        <v/>
      </c>
      <c r="N251" s="1" t="str">
        <f t="shared" si="7"/>
        <v/>
      </c>
    </row>
    <row r="252" spans="2:14">
      <c r="B252" s="1" t="str">
        <f>IF(Protokoll_5p!F218="","",IF(VALUE(LEFT(Protokoll_5p!F218,FIND(":",Protokoll_5p!F218)-1))&gt;VALUE(RIGHT(Protokoll_5p!F218,LEN(Protokoll_5p!F218)-FIND(":",Protokoll_5p!F218))),1,0))</f>
        <v/>
      </c>
      <c r="C252" s="1" t="str">
        <f>IF(Protokoll_5p!G218="","",IF(VALUE(LEFT(Protokoll_5p!G218,FIND(":",Protokoll_5p!G218)-1))&gt;VALUE(RIGHT(Protokoll_5p!G218,LEN(Protokoll_5p!G218)-FIND(":",Protokoll_5p!G218))),1,0))</f>
        <v/>
      </c>
      <c r="D252" s="1" t="str">
        <f>IF(Protokoll_5p!H218="","",IF(VALUE(LEFT(Protokoll_5p!H218,FIND(":",Protokoll_5p!H218)-1))&gt;VALUE(RIGHT(Protokoll_5p!H218,LEN(Protokoll_5p!H218)-FIND(":",Protokoll_5p!H218))),1,0))</f>
        <v/>
      </c>
      <c r="E252" s="1" t="str">
        <f>IF(Protokoll_5p!I218="","",IF(VALUE(LEFT(Protokoll_5p!I218,FIND(":",Protokoll_5p!I218)-1))&gt;VALUE(RIGHT(Protokoll_5p!I218,LEN(Protokoll_5p!I218)-FIND(":",Protokoll_5p!I218))),1,0))</f>
        <v/>
      </c>
      <c r="F252" s="1" t="str">
        <f>IF(Protokoll_5p!J218="","",IF(VALUE(LEFT(Protokoll_5p!J218,FIND(":",Protokoll_5p!J218)-1))&gt;VALUE(RIGHT(Protokoll_5p!J218,LEN(Protokoll_5p!J218)-FIND(":",Protokoll_5p!J218))),1,0))</f>
        <v/>
      </c>
      <c r="G252" s="1" t="str">
        <f t="shared" si="6"/>
        <v/>
      </c>
      <c r="I252" s="1" t="str">
        <f>IF(Protokoll_5p!F218="","",IF(VALUE(LEFT(Protokoll_5p!F218,FIND(":",Protokoll_5p!F218)-1))&gt;VALUE(RIGHT(Protokoll_5p!F218,LEN(Protokoll_5p!F218)-FIND(":",Protokoll_5p!F218))),0,1))</f>
        <v/>
      </c>
      <c r="J252" s="1" t="str">
        <f>IF(Protokoll_5p!G218="","",IF(VALUE(LEFT(Protokoll_5p!G218,FIND(":",Protokoll_5p!G218)-1))&gt;VALUE(RIGHT(Protokoll_5p!G218,LEN(Protokoll_5p!G218)-FIND(":",Protokoll_5p!G218))),0,1))</f>
        <v/>
      </c>
      <c r="K252" s="1" t="str">
        <f>IF(Protokoll_5p!H218="","",IF(VALUE(LEFT(Protokoll_5p!H218,FIND(":",Protokoll_5p!H218)-1))&gt;VALUE(RIGHT(Protokoll_5p!H218,LEN(Protokoll_5p!H218)-FIND(":",Protokoll_5p!H218))),0,1))</f>
        <v/>
      </c>
      <c r="L252" s="1" t="str">
        <f>IF(Protokoll_5p!I218="","",IF(VALUE(LEFT(Protokoll_5p!I218,FIND(":",Protokoll_5p!I218)-1))&gt;VALUE(RIGHT(Protokoll_5p!I218,LEN(Protokoll_5p!I218)-FIND(":",Protokoll_5p!I218))),0,1))</f>
        <v/>
      </c>
      <c r="M252" s="1" t="str">
        <f>IF(Protokoll_5p!J218="","",IF(VALUE(LEFT(Protokoll_5p!J218,FIND(":",Protokoll_5p!J218)-1))&gt;VALUE(RIGHT(Protokoll_5p!J218,LEN(Protokoll_5p!J218)-FIND(":",Protokoll_5p!J218))),0,1))</f>
        <v/>
      </c>
      <c r="N252" s="1" t="str">
        <f t="shared" si="7"/>
        <v/>
      </c>
    </row>
    <row r="253" spans="2:14">
      <c r="B253" s="1" t="str">
        <f>IF(Protokoll_5p!F219="","",IF(VALUE(LEFT(Protokoll_5p!F219,FIND(":",Protokoll_5p!F219)-1))&gt;VALUE(RIGHT(Protokoll_5p!F219,LEN(Protokoll_5p!F219)-FIND(":",Protokoll_5p!F219))),1,0))</f>
        <v/>
      </c>
      <c r="C253" s="1" t="str">
        <f>IF(Protokoll_5p!G219="","",IF(VALUE(LEFT(Protokoll_5p!G219,FIND(":",Protokoll_5p!G219)-1))&gt;VALUE(RIGHT(Protokoll_5p!G219,LEN(Protokoll_5p!G219)-FIND(":",Protokoll_5p!G219))),1,0))</f>
        <v/>
      </c>
      <c r="D253" s="1" t="str">
        <f>IF(Protokoll_5p!H219="","",IF(VALUE(LEFT(Protokoll_5p!H219,FIND(":",Protokoll_5p!H219)-1))&gt;VALUE(RIGHT(Protokoll_5p!H219,LEN(Protokoll_5p!H219)-FIND(":",Protokoll_5p!H219))),1,0))</f>
        <v/>
      </c>
      <c r="E253" s="1" t="str">
        <f>IF(Protokoll_5p!I219="","",IF(VALUE(LEFT(Protokoll_5p!I219,FIND(":",Protokoll_5p!I219)-1))&gt;VALUE(RIGHT(Protokoll_5p!I219,LEN(Protokoll_5p!I219)-FIND(":",Protokoll_5p!I219))),1,0))</f>
        <v/>
      </c>
      <c r="F253" s="1" t="str">
        <f>IF(Protokoll_5p!J219="","",IF(VALUE(LEFT(Protokoll_5p!J219,FIND(":",Protokoll_5p!J219)-1))&gt;VALUE(RIGHT(Protokoll_5p!J219,LEN(Protokoll_5p!J219)-FIND(":",Protokoll_5p!J219))),1,0))</f>
        <v/>
      </c>
      <c r="G253" s="1" t="str">
        <f t="shared" si="6"/>
        <v/>
      </c>
      <c r="I253" s="1" t="str">
        <f>IF(Protokoll_5p!F219="","",IF(VALUE(LEFT(Protokoll_5p!F219,FIND(":",Protokoll_5p!F219)-1))&gt;VALUE(RIGHT(Protokoll_5p!F219,LEN(Protokoll_5p!F219)-FIND(":",Protokoll_5p!F219))),0,1))</f>
        <v/>
      </c>
      <c r="J253" s="1" t="str">
        <f>IF(Protokoll_5p!G219="","",IF(VALUE(LEFT(Protokoll_5p!G219,FIND(":",Protokoll_5p!G219)-1))&gt;VALUE(RIGHT(Protokoll_5p!G219,LEN(Protokoll_5p!G219)-FIND(":",Protokoll_5p!G219))),0,1))</f>
        <v/>
      </c>
      <c r="K253" s="1" t="str">
        <f>IF(Protokoll_5p!H219="","",IF(VALUE(LEFT(Protokoll_5p!H219,FIND(":",Protokoll_5p!H219)-1))&gt;VALUE(RIGHT(Protokoll_5p!H219,LEN(Protokoll_5p!H219)-FIND(":",Protokoll_5p!H219))),0,1))</f>
        <v/>
      </c>
      <c r="L253" s="1" t="str">
        <f>IF(Protokoll_5p!I219="","",IF(VALUE(LEFT(Protokoll_5p!I219,FIND(":",Protokoll_5p!I219)-1))&gt;VALUE(RIGHT(Protokoll_5p!I219,LEN(Protokoll_5p!I219)-FIND(":",Protokoll_5p!I219))),0,1))</f>
        <v/>
      </c>
      <c r="M253" s="1" t="str">
        <f>IF(Protokoll_5p!J219="","",IF(VALUE(LEFT(Protokoll_5p!J219,FIND(":",Protokoll_5p!J219)-1))&gt;VALUE(RIGHT(Protokoll_5p!J219,LEN(Protokoll_5p!J219)-FIND(":",Protokoll_5p!J219))),0,1))</f>
        <v/>
      </c>
      <c r="N253" s="1" t="str">
        <f t="shared" si="7"/>
        <v/>
      </c>
    </row>
    <row r="254" spans="2:14">
      <c r="B254" s="1" t="str">
        <f>IF(Protokoll_5p!F220="","",IF(VALUE(LEFT(Protokoll_5p!F220,FIND(":",Protokoll_5p!F220)-1))&gt;VALUE(RIGHT(Protokoll_5p!F220,LEN(Protokoll_5p!F220)-FIND(":",Protokoll_5p!F220))),1,0))</f>
        <v/>
      </c>
      <c r="C254" s="1" t="str">
        <f>IF(Protokoll_5p!G220="","",IF(VALUE(LEFT(Protokoll_5p!G220,FIND(":",Protokoll_5p!G220)-1))&gt;VALUE(RIGHT(Protokoll_5p!G220,LEN(Protokoll_5p!G220)-FIND(":",Protokoll_5p!G220))),1,0))</f>
        <v/>
      </c>
      <c r="D254" s="1" t="str">
        <f>IF(Protokoll_5p!H220="","",IF(VALUE(LEFT(Protokoll_5p!H220,FIND(":",Protokoll_5p!H220)-1))&gt;VALUE(RIGHT(Protokoll_5p!H220,LEN(Protokoll_5p!H220)-FIND(":",Protokoll_5p!H220))),1,0))</f>
        <v/>
      </c>
      <c r="E254" s="1" t="str">
        <f>IF(Protokoll_5p!I220="","",IF(VALUE(LEFT(Protokoll_5p!I220,FIND(":",Protokoll_5p!I220)-1))&gt;VALUE(RIGHT(Protokoll_5p!I220,LEN(Protokoll_5p!I220)-FIND(":",Protokoll_5p!I220))),1,0))</f>
        <v/>
      </c>
      <c r="F254" s="1" t="str">
        <f>IF(Protokoll_5p!J220="","",IF(VALUE(LEFT(Protokoll_5p!J220,FIND(":",Protokoll_5p!J220)-1))&gt;VALUE(RIGHT(Protokoll_5p!J220,LEN(Protokoll_5p!J220)-FIND(":",Protokoll_5p!J220))),1,0))</f>
        <v/>
      </c>
      <c r="G254" s="1" t="str">
        <f t="shared" si="6"/>
        <v/>
      </c>
      <c r="I254" s="1" t="str">
        <f>IF(Protokoll_5p!F220="","",IF(VALUE(LEFT(Protokoll_5p!F220,FIND(":",Protokoll_5p!F220)-1))&gt;VALUE(RIGHT(Protokoll_5p!F220,LEN(Protokoll_5p!F220)-FIND(":",Protokoll_5p!F220))),0,1))</f>
        <v/>
      </c>
      <c r="J254" s="1" t="str">
        <f>IF(Protokoll_5p!G220="","",IF(VALUE(LEFT(Protokoll_5p!G220,FIND(":",Protokoll_5p!G220)-1))&gt;VALUE(RIGHT(Protokoll_5p!G220,LEN(Protokoll_5p!G220)-FIND(":",Protokoll_5p!G220))),0,1))</f>
        <v/>
      </c>
      <c r="K254" s="1" t="str">
        <f>IF(Protokoll_5p!H220="","",IF(VALUE(LEFT(Protokoll_5p!H220,FIND(":",Protokoll_5p!H220)-1))&gt;VALUE(RIGHT(Protokoll_5p!H220,LEN(Protokoll_5p!H220)-FIND(":",Protokoll_5p!H220))),0,1))</f>
        <v/>
      </c>
      <c r="L254" s="1" t="str">
        <f>IF(Protokoll_5p!I220="","",IF(VALUE(LEFT(Protokoll_5p!I220,FIND(":",Protokoll_5p!I220)-1))&gt;VALUE(RIGHT(Protokoll_5p!I220,LEN(Protokoll_5p!I220)-FIND(":",Protokoll_5p!I220))),0,1))</f>
        <v/>
      </c>
      <c r="M254" s="1" t="str">
        <f>IF(Protokoll_5p!J220="","",IF(VALUE(LEFT(Protokoll_5p!J220,FIND(":",Protokoll_5p!J220)-1))&gt;VALUE(RIGHT(Protokoll_5p!J220,LEN(Protokoll_5p!J220)-FIND(":",Protokoll_5p!J220))),0,1))</f>
        <v/>
      </c>
      <c r="N254" s="1" t="str">
        <f t="shared" si="7"/>
        <v/>
      </c>
    </row>
    <row r="255" spans="2:14">
      <c r="B255" s="1" t="str">
        <f>IF(Protokoll_5p!F221="","",IF(VALUE(LEFT(Protokoll_5p!F221,FIND(":",Protokoll_5p!F221)-1))&gt;VALUE(RIGHT(Protokoll_5p!F221,LEN(Protokoll_5p!F221)-FIND(":",Protokoll_5p!F221))),1,0))</f>
        <v/>
      </c>
      <c r="C255" s="1" t="str">
        <f>IF(Protokoll_5p!G221="","",IF(VALUE(LEFT(Protokoll_5p!G221,FIND(":",Protokoll_5p!G221)-1))&gt;VALUE(RIGHT(Protokoll_5p!G221,LEN(Protokoll_5p!G221)-FIND(":",Protokoll_5p!G221))),1,0))</f>
        <v/>
      </c>
      <c r="D255" s="1" t="str">
        <f>IF(Protokoll_5p!H221="","",IF(VALUE(LEFT(Protokoll_5p!H221,FIND(":",Protokoll_5p!H221)-1))&gt;VALUE(RIGHT(Protokoll_5p!H221,LEN(Protokoll_5p!H221)-FIND(":",Protokoll_5p!H221))),1,0))</f>
        <v/>
      </c>
      <c r="E255" s="1" t="str">
        <f>IF(Protokoll_5p!I221="","",IF(VALUE(LEFT(Protokoll_5p!I221,FIND(":",Protokoll_5p!I221)-1))&gt;VALUE(RIGHT(Protokoll_5p!I221,LEN(Protokoll_5p!I221)-FIND(":",Protokoll_5p!I221))),1,0))</f>
        <v/>
      </c>
      <c r="F255" s="1" t="str">
        <f>IF(Protokoll_5p!J221="","",IF(VALUE(LEFT(Protokoll_5p!J221,FIND(":",Protokoll_5p!J221)-1))&gt;VALUE(RIGHT(Protokoll_5p!J221,LEN(Protokoll_5p!J221)-FIND(":",Protokoll_5p!J221))),1,0))</f>
        <v/>
      </c>
      <c r="G255" s="1" t="str">
        <f t="shared" si="6"/>
        <v/>
      </c>
      <c r="I255" s="1" t="str">
        <f>IF(Protokoll_5p!F221="","",IF(VALUE(LEFT(Protokoll_5p!F221,FIND(":",Protokoll_5p!F221)-1))&gt;VALUE(RIGHT(Protokoll_5p!F221,LEN(Protokoll_5p!F221)-FIND(":",Protokoll_5p!F221))),0,1))</f>
        <v/>
      </c>
      <c r="J255" s="1" t="str">
        <f>IF(Protokoll_5p!G221="","",IF(VALUE(LEFT(Protokoll_5p!G221,FIND(":",Protokoll_5p!G221)-1))&gt;VALUE(RIGHT(Protokoll_5p!G221,LEN(Protokoll_5p!G221)-FIND(":",Protokoll_5p!G221))),0,1))</f>
        <v/>
      </c>
      <c r="K255" s="1" t="str">
        <f>IF(Protokoll_5p!H221="","",IF(VALUE(LEFT(Protokoll_5p!H221,FIND(":",Protokoll_5p!H221)-1))&gt;VALUE(RIGHT(Protokoll_5p!H221,LEN(Protokoll_5p!H221)-FIND(":",Protokoll_5p!H221))),0,1))</f>
        <v/>
      </c>
      <c r="L255" s="1" t="str">
        <f>IF(Protokoll_5p!I221="","",IF(VALUE(LEFT(Protokoll_5p!I221,FIND(":",Protokoll_5p!I221)-1))&gt;VALUE(RIGHT(Protokoll_5p!I221,LEN(Protokoll_5p!I221)-FIND(":",Protokoll_5p!I221))),0,1))</f>
        <v/>
      </c>
      <c r="M255" s="1" t="str">
        <f>IF(Protokoll_5p!J221="","",IF(VALUE(LEFT(Protokoll_5p!J221,FIND(":",Protokoll_5p!J221)-1))&gt;VALUE(RIGHT(Protokoll_5p!J221,LEN(Protokoll_5p!J221)-FIND(":",Protokoll_5p!J221))),0,1))</f>
        <v/>
      </c>
      <c r="N255" s="1" t="str">
        <f t="shared" si="7"/>
        <v/>
      </c>
    </row>
    <row r="256" spans="2:14">
      <c r="B256" s="1" t="str">
        <f>IF(Protokoll_5p!F222="","",IF(VALUE(LEFT(Protokoll_5p!F222,FIND(":",Protokoll_5p!F222)-1))&gt;VALUE(RIGHT(Protokoll_5p!F222,LEN(Protokoll_5p!F222)-FIND(":",Protokoll_5p!F222))),1,0))</f>
        <v/>
      </c>
      <c r="C256" s="1" t="str">
        <f>IF(Protokoll_5p!G222="","",IF(VALUE(LEFT(Protokoll_5p!G222,FIND(":",Protokoll_5p!G222)-1))&gt;VALUE(RIGHT(Protokoll_5p!G222,LEN(Protokoll_5p!G222)-FIND(":",Protokoll_5p!G222))),1,0))</f>
        <v/>
      </c>
      <c r="D256" s="1" t="str">
        <f>IF(Protokoll_5p!H222="","",IF(VALUE(LEFT(Protokoll_5p!H222,FIND(":",Protokoll_5p!H222)-1))&gt;VALUE(RIGHT(Protokoll_5p!H222,LEN(Protokoll_5p!H222)-FIND(":",Protokoll_5p!H222))),1,0))</f>
        <v/>
      </c>
      <c r="E256" s="1" t="str">
        <f>IF(Protokoll_5p!I222="","",IF(VALUE(LEFT(Protokoll_5p!I222,FIND(":",Protokoll_5p!I222)-1))&gt;VALUE(RIGHT(Protokoll_5p!I222,LEN(Protokoll_5p!I222)-FIND(":",Protokoll_5p!I222))),1,0))</f>
        <v/>
      </c>
      <c r="F256" s="1" t="str">
        <f>IF(Protokoll_5p!J222="","",IF(VALUE(LEFT(Protokoll_5p!J222,FIND(":",Protokoll_5p!J222)-1))&gt;VALUE(RIGHT(Protokoll_5p!J222,LEN(Protokoll_5p!J222)-FIND(":",Protokoll_5p!J222))),1,0))</f>
        <v/>
      </c>
      <c r="G256" s="1" t="str">
        <f t="shared" si="6"/>
        <v/>
      </c>
      <c r="I256" s="1" t="str">
        <f>IF(Protokoll_5p!F222="","",IF(VALUE(LEFT(Protokoll_5p!F222,FIND(":",Protokoll_5p!F222)-1))&gt;VALUE(RIGHT(Protokoll_5p!F222,LEN(Protokoll_5p!F222)-FIND(":",Protokoll_5p!F222))),0,1))</f>
        <v/>
      </c>
      <c r="J256" s="1" t="str">
        <f>IF(Protokoll_5p!G222="","",IF(VALUE(LEFT(Protokoll_5p!G222,FIND(":",Protokoll_5p!G222)-1))&gt;VALUE(RIGHT(Protokoll_5p!G222,LEN(Protokoll_5p!G222)-FIND(":",Protokoll_5p!G222))),0,1))</f>
        <v/>
      </c>
      <c r="K256" s="1" t="str">
        <f>IF(Protokoll_5p!H222="","",IF(VALUE(LEFT(Protokoll_5p!H222,FIND(":",Protokoll_5p!H222)-1))&gt;VALUE(RIGHT(Protokoll_5p!H222,LEN(Protokoll_5p!H222)-FIND(":",Protokoll_5p!H222))),0,1))</f>
        <v/>
      </c>
      <c r="L256" s="1" t="str">
        <f>IF(Protokoll_5p!I222="","",IF(VALUE(LEFT(Protokoll_5p!I222,FIND(":",Protokoll_5p!I222)-1))&gt;VALUE(RIGHT(Protokoll_5p!I222,LEN(Protokoll_5p!I222)-FIND(":",Protokoll_5p!I222))),0,1))</f>
        <v/>
      </c>
      <c r="M256" s="1" t="str">
        <f>IF(Protokoll_5p!J222="","",IF(VALUE(LEFT(Protokoll_5p!J222,FIND(":",Protokoll_5p!J222)-1))&gt;VALUE(RIGHT(Protokoll_5p!J222,LEN(Protokoll_5p!J222)-FIND(":",Protokoll_5p!J222))),0,1))</f>
        <v/>
      </c>
      <c r="N256" s="1" t="str">
        <f t="shared" si="7"/>
        <v/>
      </c>
    </row>
    <row r="257" spans="2:14">
      <c r="B257" s="1" t="str">
        <f>IF(Protokoll_5p!F223="","",IF(VALUE(LEFT(Protokoll_5p!F223,FIND(":",Protokoll_5p!F223)-1))&gt;VALUE(RIGHT(Protokoll_5p!F223,LEN(Protokoll_5p!F223)-FIND(":",Protokoll_5p!F223))),1,0))</f>
        <v/>
      </c>
      <c r="C257" s="1" t="str">
        <f>IF(Protokoll_5p!G223="","",IF(VALUE(LEFT(Protokoll_5p!G223,FIND(":",Protokoll_5p!G223)-1))&gt;VALUE(RIGHT(Protokoll_5p!G223,LEN(Protokoll_5p!G223)-FIND(":",Protokoll_5p!G223))),1,0))</f>
        <v/>
      </c>
      <c r="D257" s="1" t="str">
        <f>IF(Protokoll_5p!H223="","",IF(VALUE(LEFT(Protokoll_5p!H223,FIND(":",Protokoll_5p!H223)-1))&gt;VALUE(RIGHT(Protokoll_5p!H223,LEN(Protokoll_5p!H223)-FIND(":",Protokoll_5p!H223))),1,0))</f>
        <v/>
      </c>
      <c r="E257" s="1" t="str">
        <f>IF(Protokoll_5p!I223="","",IF(VALUE(LEFT(Protokoll_5p!I223,FIND(":",Protokoll_5p!I223)-1))&gt;VALUE(RIGHT(Protokoll_5p!I223,LEN(Protokoll_5p!I223)-FIND(":",Protokoll_5p!I223))),1,0))</f>
        <v/>
      </c>
      <c r="F257" s="1" t="str">
        <f>IF(Protokoll_5p!J223="","",IF(VALUE(LEFT(Protokoll_5p!J223,FIND(":",Protokoll_5p!J223)-1))&gt;VALUE(RIGHT(Protokoll_5p!J223,LEN(Protokoll_5p!J223)-FIND(":",Protokoll_5p!J223))),1,0))</f>
        <v/>
      </c>
      <c r="G257" s="1" t="str">
        <f t="shared" si="6"/>
        <v/>
      </c>
      <c r="I257" s="1" t="str">
        <f>IF(Protokoll_5p!F223="","",IF(VALUE(LEFT(Protokoll_5p!F223,FIND(":",Protokoll_5p!F223)-1))&gt;VALUE(RIGHT(Protokoll_5p!F223,LEN(Protokoll_5p!F223)-FIND(":",Protokoll_5p!F223))),0,1))</f>
        <v/>
      </c>
      <c r="J257" s="1" t="str">
        <f>IF(Protokoll_5p!G223="","",IF(VALUE(LEFT(Protokoll_5p!G223,FIND(":",Protokoll_5p!G223)-1))&gt;VALUE(RIGHT(Protokoll_5p!G223,LEN(Protokoll_5p!G223)-FIND(":",Protokoll_5p!G223))),0,1))</f>
        <v/>
      </c>
      <c r="K257" s="1" t="str">
        <f>IF(Protokoll_5p!H223="","",IF(VALUE(LEFT(Protokoll_5p!H223,FIND(":",Protokoll_5p!H223)-1))&gt;VALUE(RIGHT(Protokoll_5p!H223,LEN(Protokoll_5p!H223)-FIND(":",Protokoll_5p!H223))),0,1))</f>
        <v/>
      </c>
      <c r="L257" s="1" t="str">
        <f>IF(Protokoll_5p!I223="","",IF(VALUE(LEFT(Protokoll_5p!I223,FIND(":",Protokoll_5p!I223)-1))&gt;VALUE(RIGHT(Protokoll_5p!I223,LEN(Protokoll_5p!I223)-FIND(":",Protokoll_5p!I223))),0,1))</f>
        <v/>
      </c>
      <c r="M257" s="1" t="str">
        <f>IF(Protokoll_5p!J223="","",IF(VALUE(LEFT(Protokoll_5p!J223,FIND(":",Protokoll_5p!J223)-1))&gt;VALUE(RIGHT(Protokoll_5p!J223,LEN(Protokoll_5p!J223)-FIND(":",Protokoll_5p!J223))),0,1))</f>
        <v/>
      </c>
      <c r="N257" s="1" t="str">
        <f t="shared" si="7"/>
        <v/>
      </c>
    </row>
    <row r="258" spans="2:14">
      <c r="B258" s="1" t="str">
        <f>IF(Protokoll_5p!F224="","",IF(VALUE(LEFT(Protokoll_5p!F224,FIND(":",Protokoll_5p!F224)-1))&gt;VALUE(RIGHT(Protokoll_5p!F224,LEN(Protokoll_5p!F224)-FIND(":",Protokoll_5p!F224))),1,0))</f>
        <v/>
      </c>
      <c r="C258" s="1" t="str">
        <f>IF(Protokoll_5p!G224="","",IF(VALUE(LEFT(Protokoll_5p!G224,FIND(":",Protokoll_5p!G224)-1))&gt;VALUE(RIGHT(Protokoll_5p!G224,LEN(Protokoll_5p!G224)-FIND(":",Protokoll_5p!G224))),1,0))</f>
        <v/>
      </c>
      <c r="D258" s="1" t="str">
        <f>IF(Protokoll_5p!H224="","",IF(VALUE(LEFT(Protokoll_5p!H224,FIND(":",Protokoll_5p!H224)-1))&gt;VALUE(RIGHT(Protokoll_5p!H224,LEN(Protokoll_5p!H224)-FIND(":",Protokoll_5p!H224))),1,0))</f>
        <v/>
      </c>
      <c r="E258" s="1" t="str">
        <f>IF(Protokoll_5p!I224="","",IF(VALUE(LEFT(Protokoll_5p!I224,FIND(":",Protokoll_5p!I224)-1))&gt;VALUE(RIGHT(Protokoll_5p!I224,LEN(Protokoll_5p!I224)-FIND(":",Protokoll_5p!I224))),1,0))</f>
        <v/>
      </c>
      <c r="F258" s="1" t="str">
        <f>IF(Protokoll_5p!J224="","",IF(VALUE(LEFT(Protokoll_5p!J224,FIND(":",Protokoll_5p!J224)-1))&gt;VALUE(RIGHT(Protokoll_5p!J224,LEN(Protokoll_5p!J224)-FIND(":",Protokoll_5p!J224))),1,0))</f>
        <v/>
      </c>
      <c r="G258" s="1" t="str">
        <f t="shared" si="6"/>
        <v/>
      </c>
      <c r="I258" s="1" t="str">
        <f>IF(Protokoll_5p!F224="","",IF(VALUE(LEFT(Protokoll_5p!F224,FIND(":",Protokoll_5p!F224)-1))&gt;VALUE(RIGHT(Protokoll_5p!F224,LEN(Protokoll_5p!F224)-FIND(":",Protokoll_5p!F224))),0,1))</f>
        <v/>
      </c>
      <c r="J258" s="1" t="str">
        <f>IF(Protokoll_5p!G224="","",IF(VALUE(LEFT(Protokoll_5p!G224,FIND(":",Protokoll_5p!G224)-1))&gt;VALUE(RIGHT(Protokoll_5p!G224,LEN(Protokoll_5p!G224)-FIND(":",Protokoll_5p!G224))),0,1))</f>
        <v/>
      </c>
      <c r="K258" s="1" t="str">
        <f>IF(Protokoll_5p!H224="","",IF(VALUE(LEFT(Protokoll_5p!H224,FIND(":",Protokoll_5p!H224)-1))&gt;VALUE(RIGHT(Protokoll_5p!H224,LEN(Protokoll_5p!H224)-FIND(":",Protokoll_5p!H224))),0,1))</f>
        <v/>
      </c>
      <c r="L258" s="1" t="str">
        <f>IF(Protokoll_5p!I224="","",IF(VALUE(LEFT(Protokoll_5p!I224,FIND(":",Protokoll_5p!I224)-1))&gt;VALUE(RIGHT(Protokoll_5p!I224,LEN(Protokoll_5p!I224)-FIND(":",Protokoll_5p!I224))),0,1))</f>
        <v/>
      </c>
      <c r="M258" s="1" t="str">
        <f>IF(Protokoll_5p!J224="","",IF(VALUE(LEFT(Protokoll_5p!J224,FIND(":",Protokoll_5p!J224)-1))&gt;VALUE(RIGHT(Protokoll_5p!J224,LEN(Protokoll_5p!J224)-FIND(":",Protokoll_5p!J224))),0,1))</f>
        <v/>
      </c>
      <c r="N258" s="1" t="str">
        <f t="shared" si="7"/>
        <v/>
      </c>
    </row>
    <row r="259" spans="2:14">
      <c r="B259" s="1" t="str">
        <f>IF(Protokoll_5p!F225="","",IF(VALUE(LEFT(Protokoll_5p!F225,FIND(":",Protokoll_5p!F225)-1))&gt;VALUE(RIGHT(Protokoll_5p!F225,LEN(Protokoll_5p!F225)-FIND(":",Protokoll_5p!F225))),1,0))</f>
        <v/>
      </c>
      <c r="C259" s="1" t="str">
        <f>IF(Protokoll_5p!G225="","",IF(VALUE(LEFT(Protokoll_5p!G225,FIND(":",Protokoll_5p!G225)-1))&gt;VALUE(RIGHT(Protokoll_5p!G225,LEN(Protokoll_5p!G225)-FIND(":",Protokoll_5p!G225))),1,0))</f>
        <v/>
      </c>
      <c r="D259" s="1" t="str">
        <f>IF(Protokoll_5p!H225="","",IF(VALUE(LEFT(Protokoll_5p!H225,FIND(":",Protokoll_5p!H225)-1))&gt;VALUE(RIGHT(Protokoll_5p!H225,LEN(Protokoll_5p!H225)-FIND(":",Protokoll_5p!H225))),1,0))</f>
        <v/>
      </c>
      <c r="E259" s="1" t="str">
        <f>IF(Protokoll_5p!I225="","",IF(VALUE(LEFT(Protokoll_5p!I225,FIND(":",Protokoll_5p!I225)-1))&gt;VALUE(RIGHT(Protokoll_5p!I225,LEN(Protokoll_5p!I225)-FIND(":",Protokoll_5p!I225))),1,0))</f>
        <v/>
      </c>
      <c r="F259" s="1" t="str">
        <f>IF(Protokoll_5p!J225="","",IF(VALUE(LEFT(Protokoll_5p!J225,FIND(":",Protokoll_5p!J225)-1))&gt;VALUE(RIGHT(Protokoll_5p!J225,LEN(Protokoll_5p!J225)-FIND(":",Protokoll_5p!J225))),1,0))</f>
        <v/>
      </c>
      <c r="G259" s="1" t="str">
        <f t="shared" ref="G259:G286" si="8">IF(B259="","",SUM(B259:F259))</f>
        <v/>
      </c>
      <c r="I259" s="1" t="str">
        <f>IF(Protokoll_5p!F225="","",IF(VALUE(LEFT(Protokoll_5p!F225,FIND(":",Protokoll_5p!F225)-1))&gt;VALUE(RIGHT(Protokoll_5p!F225,LEN(Protokoll_5p!F225)-FIND(":",Protokoll_5p!F225))),0,1))</f>
        <v/>
      </c>
      <c r="J259" s="1" t="str">
        <f>IF(Protokoll_5p!G225="","",IF(VALUE(LEFT(Protokoll_5p!G225,FIND(":",Protokoll_5p!G225)-1))&gt;VALUE(RIGHT(Protokoll_5p!G225,LEN(Protokoll_5p!G225)-FIND(":",Protokoll_5p!G225))),0,1))</f>
        <v/>
      </c>
      <c r="K259" s="1" t="str">
        <f>IF(Protokoll_5p!H225="","",IF(VALUE(LEFT(Protokoll_5p!H225,FIND(":",Protokoll_5p!H225)-1))&gt;VALUE(RIGHT(Protokoll_5p!H225,LEN(Protokoll_5p!H225)-FIND(":",Protokoll_5p!H225))),0,1))</f>
        <v/>
      </c>
      <c r="L259" s="1" t="str">
        <f>IF(Protokoll_5p!I225="","",IF(VALUE(LEFT(Protokoll_5p!I225,FIND(":",Protokoll_5p!I225)-1))&gt;VALUE(RIGHT(Protokoll_5p!I225,LEN(Protokoll_5p!I225)-FIND(":",Protokoll_5p!I225))),0,1))</f>
        <v/>
      </c>
      <c r="M259" s="1" t="str">
        <f>IF(Protokoll_5p!J225="","",IF(VALUE(LEFT(Protokoll_5p!J225,FIND(":",Protokoll_5p!J225)-1))&gt;VALUE(RIGHT(Protokoll_5p!J225,LEN(Protokoll_5p!J225)-FIND(":",Protokoll_5p!J225))),0,1))</f>
        <v/>
      </c>
      <c r="N259" s="1" t="str">
        <f t="shared" ref="N259:N286" si="9">IF(I259="","",SUM(I259:M259))</f>
        <v/>
      </c>
    </row>
    <row r="260" spans="2:14">
      <c r="B260" s="1" t="str">
        <f>IF(Protokoll_5p!F226="","",IF(VALUE(LEFT(Protokoll_5p!F226,FIND(":",Protokoll_5p!F226)-1))&gt;VALUE(RIGHT(Protokoll_5p!F226,LEN(Protokoll_5p!F226)-FIND(":",Protokoll_5p!F226))),1,0))</f>
        <v/>
      </c>
      <c r="C260" s="1" t="str">
        <f>IF(Protokoll_5p!G226="","",IF(VALUE(LEFT(Protokoll_5p!G226,FIND(":",Protokoll_5p!G226)-1))&gt;VALUE(RIGHT(Protokoll_5p!G226,LEN(Protokoll_5p!G226)-FIND(":",Protokoll_5p!G226))),1,0))</f>
        <v/>
      </c>
      <c r="D260" s="1" t="str">
        <f>IF(Protokoll_5p!H226="","",IF(VALUE(LEFT(Protokoll_5p!H226,FIND(":",Protokoll_5p!H226)-1))&gt;VALUE(RIGHT(Protokoll_5p!H226,LEN(Protokoll_5p!H226)-FIND(":",Protokoll_5p!H226))),1,0))</f>
        <v/>
      </c>
      <c r="E260" s="1" t="str">
        <f>IF(Protokoll_5p!I226="","",IF(VALUE(LEFT(Protokoll_5p!I226,FIND(":",Protokoll_5p!I226)-1))&gt;VALUE(RIGHT(Protokoll_5p!I226,LEN(Protokoll_5p!I226)-FIND(":",Protokoll_5p!I226))),1,0))</f>
        <v/>
      </c>
      <c r="F260" s="1" t="str">
        <f>IF(Protokoll_5p!J226="","",IF(VALUE(LEFT(Protokoll_5p!J226,FIND(":",Protokoll_5p!J226)-1))&gt;VALUE(RIGHT(Protokoll_5p!J226,LEN(Protokoll_5p!J226)-FIND(":",Protokoll_5p!J226))),1,0))</f>
        <v/>
      </c>
      <c r="G260" s="1" t="str">
        <f t="shared" si="8"/>
        <v/>
      </c>
      <c r="I260" s="1" t="str">
        <f>IF(Protokoll_5p!F226="","",IF(VALUE(LEFT(Protokoll_5p!F226,FIND(":",Protokoll_5p!F226)-1))&gt;VALUE(RIGHT(Protokoll_5p!F226,LEN(Protokoll_5p!F226)-FIND(":",Protokoll_5p!F226))),0,1))</f>
        <v/>
      </c>
      <c r="J260" s="1" t="str">
        <f>IF(Protokoll_5p!G226="","",IF(VALUE(LEFT(Protokoll_5p!G226,FIND(":",Protokoll_5p!G226)-1))&gt;VALUE(RIGHT(Protokoll_5p!G226,LEN(Protokoll_5p!G226)-FIND(":",Protokoll_5p!G226))),0,1))</f>
        <v/>
      </c>
      <c r="K260" s="1" t="str">
        <f>IF(Protokoll_5p!H226="","",IF(VALUE(LEFT(Protokoll_5p!H226,FIND(":",Protokoll_5p!H226)-1))&gt;VALUE(RIGHT(Protokoll_5p!H226,LEN(Protokoll_5p!H226)-FIND(":",Protokoll_5p!H226))),0,1))</f>
        <v/>
      </c>
      <c r="L260" s="1" t="str">
        <f>IF(Protokoll_5p!I226="","",IF(VALUE(LEFT(Protokoll_5p!I226,FIND(":",Protokoll_5p!I226)-1))&gt;VALUE(RIGHT(Protokoll_5p!I226,LEN(Protokoll_5p!I226)-FIND(":",Protokoll_5p!I226))),0,1))</f>
        <v/>
      </c>
      <c r="M260" s="1" t="str">
        <f>IF(Protokoll_5p!J226="","",IF(VALUE(LEFT(Protokoll_5p!J226,FIND(":",Protokoll_5p!J226)-1))&gt;VALUE(RIGHT(Protokoll_5p!J226,LEN(Protokoll_5p!J226)-FIND(":",Protokoll_5p!J226))),0,1))</f>
        <v/>
      </c>
      <c r="N260" s="1" t="str">
        <f t="shared" si="9"/>
        <v/>
      </c>
    </row>
    <row r="261" spans="2:14">
      <c r="B261" s="1" t="str">
        <f>IF(Protokoll_5p!F227="","",IF(VALUE(LEFT(Protokoll_5p!F227,FIND(":",Protokoll_5p!F227)-1))&gt;VALUE(RIGHT(Protokoll_5p!F227,LEN(Protokoll_5p!F227)-FIND(":",Protokoll_5p!F227))),1,0))</f>
        <v/>
      </c>
      <c r="C261" s="1" t="str">
        <f>IF(Protokoll_5p!G227="","",IF(VALUE(LEFT(Protokoll_5p!G227,FIND(":",Protokoll_5p!G227)-1))&gt;VALUE(RIGHT(Protokoll_5p!G227,LEN(Protokoll_5p!G227)-FIND(":",Protokoll_5p!G227))),1,0))</f>
        <v/>
      </c>
      <c r="D261" s="1" t="str">
        <f>IF(Protokoll_5p!H227="","",IF(VALUE(LEFT(Protokoll_5p!H227,FIND(":",Protokoll_5p!H227)-1))&gt;VALUE(RIGHT(Protokoll_5p!H227,LEN(Protokoll_5p!H227)-FIND(":",Protokoll_5p!H227))),1,0))</f>
        <v/>
      </c>
      <c r="E261" s="1" t="str">
        <f>IF(Protokoll_5p!I227="","",IF(VALUE(LEFT(Protokoll_5p!I227,FIND(":",Protokoll_5p!I227)-1))&gt;VALUE(RIGHT(Protokoll_5p!I227,LEN(Protokoll_5p!I227)-FIND(":",Protokoll_5p!I227))),1,0))</f>
        <v/>
      </c>
      <c r="F261" s="1" t="str">
        <f>IF(Protokoll_5p!J227="","",IF(VALUE(LEFT(Protokoll_5p!J227,FIND(":",Protokoll_5p!J227)-1))&gt;VALUE(RIGHT(Protokoll_5p!J227,LEN(Protokoll_5p!J227)-FIND(":",Protokoll_5p!J227))),1,0))</f>
        <v/>
      </c>
      <c r="G261" s="1" t="str">
        <f t="shared" si="8"/>
        <v/>
      </c>
      <c r="I261" s="1" t="str">
        <f>IF(Protokoll_5p!F227="","",IF(VALUE(LEFT(Protokoll_5p!F227,FIND(":",Protokoll_5p!F227)-1))&gt;VALUE(RIGHT(Protokoll_5p!F227,LEN(Protokoll_5p!F227)-FIND(":",Protokoll_5p!F227))),0,1))</f>
        <v/>
      </c>
      <c r="J261" s="1" t="str">
        <f>IF(Protokoll_5p!G227="","",IF(VALUE(LEFT(Protokoll_5p!G227,FIND(":",Protokoll_5p!G227)-1))&gt;VALUE(RIGHT(Protokoll_5p!G227,LEN(Protokoll_5p!G227)-FIND(":",Protokoll_5p!G227))),0,1))</f>
        <v/>
      </c>
      <c r="K261" s="1" t="str">
        <f>IF(Protokoll_5p!H227="","",IF(VALUE(LEFT(Protokoll_5p!H227,FIND(":",Protokoll_5p!H227)-1))&gt;VALUE(RIGHT(Protokoll_5p!H227,LEN(Protokoll_5p!H227)-FIND(":",Protokoll_5p!H227))),0,1))</f>
        <v/>
      </c>
      <c r="L261" s="1" t="str">
        <f>IF(Protokoll_5p!I227="","",IF(VALUE(LEFT(Protokoll_5p!I227,FIND(":",Protokoll_5p!I227)-1))&gt;VALUE(RIGHT(Protokoll_5p!I227,LEN(Protokoll_5p!I227)-FIND(":",Protokoll_5p!I227))),0,1))</f>
        <v/>
      </c>
      <c r="M261" s="1" t="str">
        <f>IF(Protokoll_5p!J227="","",IF(VALUE(LEFT(Protokoll_5p!J227,FIND(":",Protokoll_5p!J227)-1))&gt;VALUE(RIGHT(Protokoll_5p!J227,LEN(Protokoll_5p!J227)-FIND(":",Protokoll_5p!J227))),0,1))</f>
        <v/>
      </c>
      <c r="N261" s="1" t="str">
        <f t="shared" si="9"/>
        <v/>
      </c>
    </row>
    <row r="262" spans="2:14">
      <c r="B262" s="1" t="str">
        <f>IF(Protokoll_5p!F228="","",IF(VALUE(LEFT(Protokoll_5p!F228,FIND(":",Protokoll_5p!F228)-1))&gt;VALUE(RIGHT(Protokoll_5p!F228,LEN(Protokoll_5p!F228)-FIND(":",Protokoll_5p!F228))),1,0))</f>
        <v/>
      </c>
      <c r="C262" s="1" t="str">
        <f>IF(Protokoll_5p!G228="","",IF(VALUE(LEFT(Protokoll_5p!G228,FIND(":",Protokoll_5p!G228)-1))&gt;VALUE(RIGHT(Protokoll_5p!G228,LEN(Protokoll_5p!G228)-FIND(":",Protokoll_5p!G228))),1,0))</f>
        <v/>
      </c>
      <c r="D262" s="1" t="str">
        <f>IF(Protokoll_5p!H228="","",IF(VALUE(LEFT(Protokoll_5p!H228,FIND(":",Protokoll_5p!H228)-1))&gt;VALUE(RIGHT(Protokoll_5p!H228,LEN(Protokoll_5p!H228)-FIND(":",Protokoll_5p!H228))),1,0))</f>
        <v/>
      </c>
      <c r="E262" s="1" t="str">
        <f>IF(Protokoll_5p!I228="","",IF(VALUE(LEFT(Protokoll_5p!I228,FIND(":",Protokoll_5p!I228)-1))&gt;VALUE(RIGHT(Protokoll_5p!I228,LEN(Protokoll_5p!I228)-FIND(":",Protokoll_5p!I228))),1,0))</f>
        <v/>
      </c>
      <c r="F262" s="1" t="str">
        <f>IF(Protokoll_5p!J228="","",IF(VALUE(LEFT(Protokoll_5p!J228,FIND(":",Protokoll_5p!J228)-1))&gt;VALUE(RIGHT(Protokoll_5p!J228,LEN(Protokoll_5p!J228)-FIND(":",Protokoll_5p!J228))),1,0))</f>
        <v/>
      </c>
      <c r="G262" s="1" t="str">
        <f t="shared" si="8"/>
        <v/>
      </c>
      <c r="I262" s="1" t="str">
        <f>IF(Protokoll_5p!F228="","",IF(VALUE(LEFT(Protokoll_5p!F228,FIND(":",Protokoll_5p!F228)-1))&gt;VALUE(RIGHT(Protokoll_5p!F228,LEN(Protokoll_5p!F228)-FIND(":",Protokoll_5p!F228))),0,1))</f>
        <v/>
      </c>
      <c r="J262" s="1" t="str">
        <f>IF(Protokoll_5p!G228="","",IF(VALUE(LEFT(Protokoll_5p!G228,FIND(":",Protokoll_5p!G228)-1))&gt;VALUE(RIGHT(Protokoll_5p!G228,LEN(Protokoll_5p!G228)-FIND(":",Protokoll_5p!G228))),0,1))</f>
        <v/>
      </c>
      <c r="K262" s="1" t="str">
        <f>IF(Protokoll_5p!H228="","",IF(VALUE(LEFT(Protokoll_5p!H228,FIND(":",Protokoll_5p!H228)-1))&gt;VALUE(RIGHT(Protokoll_5p!H228,LEN(Protokoll_5p!H228)-FIND(":",Protokoll_5p!H228))),0,1))</f>
        <v/>
      </c>
      <c r="L262" s="1" t="str">
        <f>IF(Protokoll_5p!I228="","",IF(VALUE(LEFT(Protokoll_5p!I228,FIND(":",Protokoll_5p!I228)-1))&gt;VALUE(RIGHT(Protokoll_5p!I228,LEN(Protokoll_5p!I228)-FIND(":",Protokoll_5p!I228))),0,1))</f>
        <v/>
      </c>
      <c r="M262" s="1" t="str">
        <f>IF(Protokoll_5p!J228="","",IF(VALUE(LEFT(Protokoll_5p!J228,FIND(":",Protokoll_5p!J228)-1))&gt;VALUE(RIGHT(Protokoll_5p!J228,LEN(Protokoll_5p!J228)-FIND(":",Protokoll_5p!J228))),0,1))</f>
        <v/>
      </c>
      <c r="N262" s="1" t="str">
        <f t="shared" si="9"/>
        <v/>
      </c>
    </row>
    <row r="263" spans="2:14">
      <c r="B263" s="1" t="str">
        <f>IF(Protokoll_5p!F229="","",IF(VALUE(LEFT(Protokoll_5p!F229,FIND(":",Protokoll_5p!F229)-1))&gt;VALUE(RIGHT(Protokoll_5p!F229,LEN(Protokoll_5p!F229)-FIND(":",Protokoll_5p!F229))),1,0))</f>
        <v/>
      </c>
      <c r="C263" s="1" t="str">
        <f>IF(Protokoll_5p!G229="","",IF(VALUE(LEFT(Protokoll_5p!G229,FIND(":",Protokoll_5p!G229)-1))&gt;VALUE(RIGHT(Protokoll_5p!G229,LEN(Protokoll_5p!G229)-FIND(":",Protokoll_5p!G229))),1,0))</f>
        <v/>
      </c>
      <c r="D263" s="1" t="str">
        <f>IF(Protokoll_5p!H229="","",IF(VALUE(LEFT(Protokoll_5p!H229,FIND(":",Protokoll_5p!H229)-1))&gt;VALUE(RIGHT(Protokoll_5p!H229,LEN(Protokoll_5p!H229)-FIND(":",Protokoll_5p!H229))),1,0))</f>
        <v/>
      </c>
      <c r="E263" s="1" t="str">
        <f>IF(Protokoll_5p!I229="","",IF(VALUE(LEFT(Protokoll_5p!I229,FIND(":",Protokoll_5p!I229)-1))&gt;VALUE(RIGHT(Protokoll_5p!I229,LEN(Protokoll_5p!I229)-FIND(":",Protokoll_5p!I229))),1,0))</f>
        <v/>
      </c>
      <c r="F263" s="1" t="str">
        <f>IF(Protokoll_5p!J229="","",IF(VALUE(LEFT(Protokoll_5p!J229,FIND(":",Protokoll_5p!J229)-1))&gt;VALUE(RIGHT(Protokoll_5p!J229,LEN(Protokoll_5p!J229)-FIND(":",Protokoll_5p!J229))),1,0))</f>
        <v/>
      </c>
      <c r="G263" s="1" t="str">
        <f t="shared" si="8"/>
        <v/>
      </c>
      <c r="I263" s="1" t="str">
        <f>IF(Protokoll_5p!F229="","",IF(VALUE(LEFT(Protokoll_5p!F229,FIND(":",Protokoll_5p!F229)-1))&gt;VALUE(RIGHT(Protokoll_5p!F229,LEN(Protokoll_5p!F229)-FIND(":",Protokoll_5p!F229))),0,1))</f>
        <v/>
      </c>
      <c r="J263" s="1" t="str">
        <f>IF(Protokoll_5p!G229="","",IF(VALUE(LEFT(Protokoll_5p!G229,FIND(":",Protokoll_5p!G229)-1))&gt;VALUE(RIGHT(Protokoll_5p!G229,LEN(Protokoll_5p!G229)-FIND(":",Protokoll_5p!G229))),0,1))</f>
        <v/>
      </c>
      <c r="K263" s="1" t="str">
        <f>IF(Protokoll_5p!H229="","",IF(VALUE(LEFT(Protokoll_5p!H229,FIND(":",Protokoll_5p!H229)-1))&gt;VALUE(RIGHT(Protokoll_5p!H229,LEN(Protokoll_5p!H229)-FIND(":",Protokoll_5p!H229))),0,1))</f>
        <v/>
      </c>
      <c r="L263" s="1" t="str">
        <f>IF(Protokoll_5p!I229="","",IF(VALUE(LEFT(Protokoll_5p!I229,FIND(":",Protokoll_5p!I229)-1))&gt;VALUE(RIGHT(Protokoll_5p!I229,LEN(Protokoll_5p!I229)-FIND(":",Protokoll_5p!I229))),0,1))</f>
        <v/>
      </c>
      <c r="M263" s="1" t="str">
        <f>IF(Protokoll_5p!J229="","",IF(VALUE(LEFT(Protokoll_5p!J229,FIND(":",Protokoll_5p!J229)-1))&gt;VALUE(RIGHT(Protokoll_5p!J229,LEN(Protokoll_5p!J229)-FIND(":",Protokoll_5p!J229))),0,1))</f>
        <v/>
      </c>
      <c r="N263" s="1" t="str">
        <f t="shared" si="9"/>
        <v/>
      </c>
    </row>
    <row r="264" spans="2:14">
      <c r="B264" s="1" t="str">
        <f>IF(Protokoll_5p!F230="","",IF(VALUE(LEFT(Protokoll_5p!F230,FIND(":",Protokoll_5p!F230)-1))&gt;VALUE(RIGHT(Protokoll_5p!F230,LEN(Protokoll_5p!F230)-FIND(":",Protokoll_5p!F230))),1,0))</f>
        <v/>
      </c>
      <c r="C264" s="1" t="str">
        <f>IF(Protokoll_5p!G230="","",IF(VALUE(LEFT(Protokoll_5p!G230,FIND(":",Protokoll_5p!G230)-1))&gt;VALUE(RIGHT(Protokoll_5p!G230,LEN(Protokoll_5p!G230)-FIND(":",Protokoll_5p!G230))),1,0))</f>
        <v/>
      </c>
      <c r="D264" s="1" t="str">
        <f>IF(Protokoll_5p!H230="","",IF(VALUE(LEFT(Protokoll_5p!H230,FIND(":",Protokoll_5p!H230)-1))&gt;VALUE(RIGHT(Protokoll_5p!H230,LEN(Protokoll_5p!H230)-FIND(":",Protokoll_5p!H230))),1,0))</f>
        <v/>
      </c>
      <c r="E264" s="1" t="str">
        <f>IF(Protokoll_5p!I230="","",IF(VALUE(LEFT(Protokoll_5p!I230,FIND(":",Protokoll_5p!I230)-1))&gt;VALUE(RIGHT(Protokoll_5p!I230,LEN(Protokoll_5p!I230)-FIND(":",Protokoll_5p!I230))),1,0))</f>
        <v/>
      </c>
      <c r="F264" s="1" t="str">
        <f>IF(Protokoll_5p!J230="","",IF(VALUE(LEFT(Protokoll_5p!J230,FIND(":",Protokoll_5p!J230)-1))&gt;VALUE(RIGHT(Protokoll_5p!J230,LEN(Protokoll_5p!J230)-FIND(":",Protokoll_5p!J230))),1,0))</f>
        <v/>
      </c>
      <c r="G264" s="1" t="str">
        <f t="shared" si="8"/>
        <v/>
      </c>
      <c r="I264" s="1" t="str">
        <f>IF(Protokoll_5p!F230="","",IF(VALUE(LEFT(Protokoll_5p!F230,FIND(":",Protokoll_5p!F230)-1))&gt;VALUE(RIGHT(Protokoll_5p!F230,LEN(Protokoll_5p!F230)-FIND(":",Protokoll_5p!F230))),0,1))</f>
        <v/>
      </c>
      <c r="J264" s="1" t="str">
        <f>IF(Protokoll_5p!G230="","",IF(VALUE(LEFT(Protokoll_5p!G230,FIND(":",Protokoll_5p!G230)-1))&gt;VALUE(RIGHT(Protokoll_5p!G230,LEN(Protokoll_5p!G230)-FIND(":",Protokoll_5p!G230))),0,1))</f>
        <v/>
      </c>
      <c r="K264" s="1" t="str">
        <f>IF(Protokoll_5p!H230="","",IF(VALUE(LEFT(Protokoll_5p!H230,FIND(":",Protokoll_5p!H230)-1))&gt;VALUE(RIGHT(Protokoll_5p!H230,LEN(Protokoll_5p!H230)-FIND(":",Protokoll_5p!H230))),0,1))</f>
        <v/>
      </c>
      <c r="L264" s="1" t="str">
        <f>IF(Protokoll_5p!I230="","",IF(VALUE(LEFT(Protokoll_5p!I230,FIND(":",Protokoll_5p!I230)-1))&gt;VALUE(RIGHT(Protokoll_5p!I230,LEN(Protokoll_5p!I230)-FIND(":",Protokoll_5p!I230))),0,1))</f>
        <v/>
      </c>
      <c r="M264" s="1" t="str">
        <f>IF(Protokoll_5p!J230="","",IF(VALUE(LEFT(Protokoll_5p!J230,FIND(":",Protokoll_5p!J230)-1))&gt;VALUE(RIGHT(Protokoll_5p!J230,LEN(Protokoll_5p!J230)-FIND(":",Protokoll_5p!J230))),0,1))</f>
        <v/>
      </c>
      <c r="N264" s="1" t="str">
        <f t="shared" si="9"/>
        <v/>
      </c>
    </row>
    <row r="265" spans="2:14">
      <c r="B265" s="1" t="str">
        <f>IF(Protokoll_5p!F231="","",IF(VALUE(LEFT(Protokoll_5p!F231,FIND(":",Protokoll_5p!F231)-1))&gt;VALUE(RIGHT(Protokoll_5p!F231,LEN(Protokoll_5p!F231)-FIND(":",Protokoll_5p!F231))),1,0))</f>
        <v/>
      </c>
      <c r="C265" s="1" t="str">
        <f>IF(Protokoll_5p!G231="","",IF(VALUE(LEFT(Protokoll_5p!G231,FIND(":",Protokoll_5p!G231)-1))&gt;VALUE(RIGHT(Protokoll_5p!G231,LEN(Protokoll_5p!G231)-FIND(":",Protokoll_5p!G231))),1,0))</f>
        <v/>
      </c>
      <c r="D265" s="1" t="str">
        <f>IF(Protokoll_5p!H231="","",IF(VALUE(LEFT(Protokoll_5p!H231,FIND(":",Protokoll_5p!H231)-1))&gt;VALUE(RIGHT(Protokoll_5p!H231,LEN(Protokoll_5p!H231)-FIND(":",Protokoll_5p!H231))),1,0))</f>
        <v/>
      </c>
      <c r="E265" s="1" t="str">
        <f>IF(Protokoll_5p!I231="","",IF(VALUE(LEFT(Protokoll_5p!I231,FIND(":",Protokoll_5p!I231)-1))&gt;VALUE(RIGHT(Protokoll_5p!I231,LEN(Protokoll_5p!I231)-FIND(":",Protokoll_5p!I231))),1,0))</f>
        <v/>
      </c>
      <c r="F265" s="1" t="str">
        <f>IF(Protokoll_5p!J231="","",IF(VALUE(LEFT(Protokoll_5p!J231,FIND(":",Protokoll_5p!J231)-1))&gt;VALUE(RIGHT(Protokoll_5p!J231,LEN(Protokoll_5p!J231)-FIND(":",Protokoll_5p!J231))),1,0))</f>
        <v/>
      </c>
      <c r="G265" s="1" t="str">
        <f t="shared" si="8"/>
        <v/>
      </c>
      <c r="I265" s="1" t="str">
        <f>IF(Protokoll_5p!F231="","",IF(VALUE(LEFT(Protokoll_5p!F231,FIND(":",Protokoll_5p!F231)-1))&gt;VALUE(RIGHT(Protokoll_5p!F231,LEN(Protokoll_5p!F231)-FIND(":",Protokoll_5p!F231))),0,1))</f>
        <v/>
      </c>
      <c r="J265" s="1" t="str">
        <f>IF(Protokoll_5p!G231="","",IF(VALUE(LEFT(Protokoll_5p!G231,FIND(":",Protokoll_5p!G231)-1))&gt;VALUE(RIGHT(Protokoll_5p!G231,LEN(Protokoll_5p!G231)-FIND(":",Protokoll_5p!G231))),0,1))</f>
        <v/>
      </c>
      <c r="K265" s="1" t="str">
        <f>IF(Protokoll_5p!H231="","",IF(VALUE(LEFT(Protokoll_5p!H231,FIND(":",Protokoll_5p!H231)-1))&gt;VALUE(RIGHT(Protokoll_5p!H231,LEN(Protokoll_5p!H231)-FIND(":",Protokoll_5p!H231))),0,1))</f>
        <v/>
      </c>
      <c r="L265" s="1" t="str">
        <f>IF(Protokoll_5p!I231="","",IF(VALUE(LEFT(Protokoll_5p!I231,FIND(":",Protokoll_5p!I231)-1))&gt;VALUE(RIGHT(Protokoll_5p!I231,LEN(Protokoll_5p!I231)-FIND(":",Protokoll_5p!I231))),0,1))</f>
        <v/>
      </c>
      <c r="M265" s="1" t="str">
        <f>IF(Protokoll_5p!J231="","",IF(VALUE(LEFT(Protokoll_5p!J231,FIND(":",Protokoll_5p!J231)-1))&gt;VALUE(RIGHT(Protokoll_5p!J231,LEN(Protokoll_5p!J231)-FIND(":",Protokoll_5p!J231))),0,1))</f>
        <v/>
      </c>
      <c r="N265" s="1" t="str">
        <f t="shared" si="9"/>
        <v/>
      </c>
    </row>
    <row r="266" spans="2:14">
      <c r="B266" s="1" t="str">
        <f>IF(Protokoll_5p!F232="","",IF(VALUE(LEFT(Protokoll_5p!F232,FIND(":",Protokoll_5p!F232)-1))&gt;VALUE(RIGHT(Protokoll_5p!F232,LEN(Protokoll_5p!F232)-FIND(":",Protokoll_5p!F232))),1,0))</f>
        <v/>
      </c>
      <c r="C266" s="1" t="str">
        <f>IF(Protokoll_5p!G232="","",IF(VALUE(LEFT(Protokoll_5p!G232,FIND(":",Protokoll_5p!G232)-1))&gt;VALUE(RIGHT(Protokoll_5p!G232,LEN(Protokoll_5p!G232)-FIND(":",Protokoll_5p!G232))),1,0))</f>
        <v/>
      </c>
      <c r="D266" s="1" t="str">
        <f>IF(Protokoll_5p!H232="","",IF(VALUE(LEFT(Protokoll_5p!H232,FIND(":",Protokoll_5p!H232)-1))&gt;VALUE(RIGHT(Protokoll_5p!H232,LEN(Protokoll_5p!H232)-FIND(":",Protokoll_5p!H232))),1,0))</f>
        <v/>
      </c>
      <c r="E266" s="1" t="str">
        <f>IF(Protokoll_5p!I232="","",IF(VALUE(LEFT(Protokoll_5p!I232,FIND(":",Protokoll_5p!I232)-1))&gt;VALUE(RIGHT(Protokoll_5p!I232,LEN(Protokoll_5p!I232)-FIND(":",Protokoll_5p!I232))),1,0))</f>
        <v/>
      </c>
      <c r="F266" s="1" t="str">
        <f>IF(Protokoll_5p!J232="","",IF(VALUE(LEFT(Protokoll_5p!J232,FIND(":",Protokoll_5p!J232)-1))&gt;VALUE(RIGHT(Protokoll_5p!J232,LEN(Protokoll_5p!J232)-FIND(":",Protokoll_5p!J232))),1,0))</f>
        <v/>
      </c>
      <c r="G266" s="1" t="str">
        <f t="shared" si="8"/>
        <v/>
      </c>
      <c r="I266" s="1" t="str">
        <f>IF(Protokoll_5p!F232="","",IF(VALUE(LEFT(Protokoll_5p!F232,FIND(":",Protokoll_5p!F232)-1))&gt;VALUE(RIGHT(Protokoll_5p!F232,LEN(Protokoll_5p!F232)-FIND(":",Protokoll_5p!F232))),0,1))</f>
        <v/>
      </c>
      <c r="J266" s="1" t="str">
        <f>IF(Protokoll_5p!G232="","",IF(VALUE(LEFT(Protokoll_5p!G232,FIND(":",Protokoll_5p!G232)-1))&gt;VALUE(RIGHT(Protokoll_5p!G232,LEN(Protokoll_5p!G232)-FIND(":",Protokoll_5p!G232))),0,1))</f>
        <v/>
      </c>
      <c r="K266" s="1" t="str">
        <f>IF(Protokoll_5p!H232="","",IF(VALUE(LEFT(Protokoll_5p!H232,FIND(":",Protokoll_5p!H232)-1))&gt;VALUE(RIGHT(Protokoll_5p!H232,LEN(Protokoll_5p!H232)-FIND(":",Protokoll_5p!H232))),0,1))</f>
        <v/>
      </c>
      <c r="L266" s="1" t="str">
        <f>IF(Protokoll_5p!I232="","",IF(VALUE(LEFT(Protokoll_5p!I232,FIND(":",Protokoll_5p!I232)-1))&gt;VALUE(RIGHT(Protokoll_5p!I232,LEN(Protokoll_5p!I232)-FIND(":",Protokoll_5p!I232))),0,1))</f>
        <v/>
      </c>
      <c r="M266" s="1" t="str">
        <f>IF(Protokoll_5p!J232="","",IF(VALUE(LEFT(Protokoll_5p!J232,FIND(":",Protokoll_5p!J232)-1))&gt;VALUE(RIGHT(Protokoll_5p!J232,LEN(Protokoll_5p!J232)-FIND(":",Protokoll_5p!J232))),0,1))</f>
        <v/>
      </c>
      <c r="N266" s="1" t="str">
        <f t="shared" si="9"/>
        <v/>
      </c>
    </row>
    <row r="267" spans="2:14">
      <c r="B267" s="1" t="str">
        <f>IF(Protokoll_5p!F233="","",IF(VALUE(LEFT(Protokoll_5p!F233,FIND(":",Protokoll_5p!F233)-1))&gt;VALUE(RIGHT(Protokoll_5p!F233,LEN(Protokoll_5p!F233)-FIND(":",Protokoll_5p!F233))),1,0))</f>
        <v/>
      </c>
      <c r="C267" s="1" t="str">
        <f>IF(Protokoll_5p!G233="","",IF(VALUE(LEFT(Protokoll_5p!G233,FIND(":",Protokoll_5p!G233)-1))&gt;VALUE(RIGHT(Protokoll_5p!G233,LEN(Protokoll_5p!G233)-FIND(":",Protokoll_5p!G233))),1,0))</f>
        <v/>
      </c>
      <c r="D267" s="1" t="str">
        <f>IF(Protokoll_5p!H233="","",IF(VALUE(LEFT(Protokoll_5p!H233,FIND(":",Protokoll_5p!H233)-1))&gt;VALUE(RIGHT(Protokoll_5p!H233,LEN(Protokoll_5p!H233)-FIND(":",Protokoll_5p!H233))),1,0))</f>
        <v/>
      </c>
      <c r="E267" s="1" t="str">
        <f>IF(Protokoll_5p!I233="","",IF(VALUE(LEFT(Protokoll_5p!I233,FIND(":",Protokoll_5p!I233)-1))&gt;VALUE(RIGHT(Protokoll_5p!I233,LEN(Protokoll_5p!I233)-FIND(":",Protokoll_5p!I233))),1,0))</f>
        <v/>
      </c>
      <c r="F267" s="1" t="str">
        <f>IF(Protokoll_5p!J233="","",IF(VALUE(LEFT(Protokoll_5p!J233,FIND(":",Protokoll_5p!J233)-1))&gt;VALUE(RIGHT(Protokoll_5p!J233,LEN(Protokoll_5p!J233)-FIND(":",Protokoll_5p!J233))),1,0))</f>
        <v/>
      </c>
      <c r="G267" s="1" t="str">
        <f t="shared" si="8"/>
        <v/>
      </c>
      <c r="I267" s="1" t="str">
        <f>IF(Protokoll_5p!F233="","",IF(VALUE(LEFT(Protokoll_5p!F233,FIND(":",Protokoll_5p!F233)-1))&gt;VALUE(RIGHT(Protokoll_5p!F233,LEN(Protokoll_5p!F233)-FIND(":",Protokoll_5p!F233))),0,1))</f>
        <v/>
      </c>
      <c r="J267" s="1" t="str">
        <f>IF(Protokoll_5p!G233="","",IF(VALUE(LEFT(Protokoll_5p!G233,FIND(":",Protokoll_5p!G233)-1))&gt;VALUE(RIGHT(Protokoll_5p!G233,LEN(Protokoll_5p!G233)-FIND(":",Protokoll_5p!G233))),0,1))</f>
        <v/>
      </c>
      <c r="K267" s="1" t="str">
        <f>IF(Protokoll_5p!H233="","",IF(VALUE(LEFT(Protokoll_5p!H233,FIND(":",Protokoll_5p!H233)-1))&gt;VALUE(RIGHT(Protokoll_5p!H233,LEN(Protokoll_5p!H233)-FIND(":",Protokoll_5p!H233))),0,1))</f>
        <v/>
      </c>
      <c r="L267" s="1" t="str">
        <f>IF(Protokoll_5p!I233="","",IF(VALUE(LEFT(Protokoll_5p!I233,FIND(":",Protokoll_5p!I233)-1))&gt;VALUE(RIGHT(Protokoll_5p!I233,LEN(Protokoll_5p!I233)-FIND(":",Protokoll_5p!I233))),0,1))</f>
        <v/>
      </c>
      <c r="M267" s="1" t="str">
        <f>IF(Protokoll_5p!J233="","",IF(VALUE(LEFT(Protokoll_5p!J233,FIND(":",Protokoll_5p!J233)-1))&gt;VALUE(RIGHT(Protokoll_5p!J233,LEN(Protokoll_5p!J233)-FIND(":",Protokoll_5p!J233))),0,1))</f>
        <v/>
      </c>
      <c r="N267" s="1" t="str">
        <f t="shared" si="9"/>
        <v/>
      </c>
    </row>
    <row r="268" spans="2:14">
      <c r="B268" s="1" t="str">
        <f>IF(Protokoll_5p!F234="","",IF(VALUE(LEFT(Protokoll_5p!F234,FIND(":",Protokoll_5p!F234)-1))&gt;VALUE(RIGHT(Protokoll_5p!F234,LEN(Protokoll_5p!F234)-FIND(":",Protokoll_5p!F234))),1,0))</f>
        <v/>
      </c>
      <c r="C268" s="1" t="str">
        <f>IF(Protokoll_5p!G234="","",IF(VALUE(LEFT(Protokoll_5p!G234,FIND(":",Protokoll_5p!G234)-1))&gt;VALUE(RIGHT(Protokoll_5p!G234,LEN(Protokoll_5p!G234)-FIND(":",Protokoll_5p!G234))),1,0))</f>
        <v/>
      </c>
      <c r="D268" s="1" t="str">
        <f>IF(Protokoll_5p!H234="","",IF(VALUE(LEFT(Protokoll_5p!H234,FIND(":",Protokoll_5p!H234)-1))&gt;VALUE(RIGHT(Protokoll_5p!H234,LEN(Protokoll_5p!H234)-FIND(":",Protokoll_5p!H234))),1,0))</f>
        <v/>
      </c>
      <c r="E268" s="1" t="str">
        <f>IF(Protokoll_5p!I234="","",IF(VALUE(LEFT(Protokoll_5p!I234,FIND(":",Protokoll_5p!I234)-1))&gt;VALUE(RIGHT(Protokoll_5p!I234,LEN(Protokoll_5p!I234)-FIND(":",Protokoll_5p!I234))),1,0))</f>
        <v/>
      </c>
      <c r="F268" s="1" t="str">
        <f>IF(Protokoll_5p!J234="","",IF(VALUE(LEFT(Protokoll_5p!J234,FIND(":",Protokoll_5p!J234)-1))&gt;VALUE(RIGHT(Protokoll_5p!J234,LEN(Protokoll_5p!J234)-FIND(":",Protokoll_5p!J234))),1,0))</f>
        <v/>
      </c>
      <c r="G268" s="1" t="str">
        <f t="shared" si="8"/>
        <v/>
      </c>
      <c r="I268" s="1" t="str">
        <f>IF(Protokoll_5p!F234="","",IF(VALUE(LEFT(Protokoll_5p!F234,FIND(":",Protokoll_5p!F234)-1))&gt;VALUE(RIGHT(Protokoll_5p!F234,LEN(Protokoll_5p!F234)-FIND(":",Protokoll_5p!F234))),0,1))</f>
        <v/>
      </c>
      <c r="J268" s="1" t="str">
        <f>IF(Protokoll_5p!G234="","",IF(VALUE(LEFT(Protokoll_5p!G234,FIND(":",Protokoll_5p!G234)-1))&gt;VALUE(RIGHT(Protokoll_5p!G234,LEN(Protokoll_5p!G234)-FIND(":",Protokoll_5p!G234))),0,1))</f>
        <v/>
      </c>
      <c r="K268" s="1" t="str">
        <f>IF(Protokoll_5p!H234="","",IF(VALUE(LEFT(Protokoll_5p!H234,FIND(":",Protokoll_5p!H234)-1))&gt;VALUE(RIGHT(Protokoll_5p!H234,LEN(Protokoll_5p!H234)-FIND(":",Protokoll_5p!H234))),0,1))</f>
        <v/>
      </c>
      <c r="L268" s="1" t="str">
        <f>IF(Protokoll_5p!I234="","",IF(VALUE(LEFT(Protokoll_5p!I234,FIND(":",Protokoll_5p!I234)-1))&gt;VALUE(RIGHT(Protokoll_5p!I234,LEN(Protokoll_5p!I234)-FIND(":",Protokoll_5p!I234))),0,1))</f>
        <v/>
      </c>
      <c r="M268" s="1" t="str">
        <f>IF(Protokoll_5p!J234="","",IF(VALUE(LEFT(Protokoll_5p!J234,FIND(":",Protokoll_5p!J234)-1))&gt;VALUE(RIGHT(Protokoll_5p!J234,LEN(Protokoll_5p!J234)-FIND(":",Protokoll_5p!J234))),0,1))</f>
        <v/>
      </c>
      <c r="N268" s="1" t="str">
        <f t="shared" si="9"/>
        <v/>
      </c>
    </row>
    <row r="269" spans="2:14">
      <c r="B269" s="1" t="str">
        <f>IF(Protokoll_5p!F235="","",IF(VALUE(LEFT(Protokoll_5p!F235,FIND(":",Protokoll_5p!F235)-1))&gt;VALUE(RIGHT(Protokoll_5p!F235,LEN(Protokoll_5p!F235)-FIND(":",Protokoll_5p!F235))),1,0))</f>
        <v/>
      </c>
      <c r="C269" s="1" t="str">
        <f>IF(Protokoll_5p!G235="","",IF(VALUE(LEFT(Protokoll_5p!G235,FIND(":",Protokoll_5p!G235)-1))&gt;VALUE(RIGHT(Protokoll_5p!G235,LEN(Protokoll_5p!G235)-FIND(":",Protokoll_5p!G235))),1,0))</f>
        <v/>
      </c>
      <c r="D269" s="1" t="str">
        <f>IF(Protokoll_5p!H235="","",IF(VALUE(LEFT(Protokoll_5p!H235,FIND(":",Protokoll_5p!H235)-1))&gt;VALUE(RIGHT(Protokoll_5p!H235,LEN(Protokoll_5p!H235)-FIND(":",Protokoll_5p!H235))),1,0))</f>
        <v/>
      </c>
      <c r="E269" s="1" t="str">
        <f>IF(Protokoll_5p!I235="","",IF(VALUE(LEFT(Protokoll_5p!I235,FIND(":",Protokoll_5p!I235)-1))&gt;VALUE(RIGHT(Protokoll_5p!I235,LEN(Protokoll_5p!I235)-FIND(":",Protokoll_5p!I235))),1,0))</f>
        <v/>
      </c>
      <c r="F269" s="1" t="str">
        <f>IF(Protokoll_5p!J235="","",IF(VALUE(LEFT(Protokoll_5p!J235,FIND(":",Protokoll_5p!J235)-1))&gt;VALUE(RIGHT(Protokoll_5p!J235,LEN(Protokoll_5p!J235)-FIND(":",Protokoll_5p!J235))),1,0))</f>
        <v/>
      </c>
      <c r="G269" s="1" t="str">
        <f t="shared" si="8"/>
        <v/>
      </c>
      <c r="I269" s="1" t="str">
        <f>IF(Protokoll_5p!F235="","",IF(VALUE(LEFT(Protokoll_5p!F235,FIND(":",Protokoll_5p!F235)-1))&gt;VALUE(RIGHT(Protokoll_5p!F235,LEN(Protokoll_5p!F235)-FIND(":",Protokoll_5p!F235))),0,1))</f>
        <v/>
      </c>
      <c r="J269" s="1" t="str">
        <f>IF(Protokoll_5p!G235="","",IF(VALUE(LEFT(Protokoll_5p!G235,FIND(":",Protokoll_5p!G235)-1))&gt;VALUE(RIGHT(Protokoll_5p!G235,LEN(Protokoll_5p!G235)-FIND(":",Protokoll_5p!G235))),0,1))</f>
        <v/>
      </c>
      <c r="K269" s="1" t="str">
        <f>IF(Protokoll_5p!H235="","",IF(VALUE(LEFT(Protokoll_5p!H235,FIND(":",Protokoll_5p!H235)-1))&gt;VALUE(RIGHT(Protokoll_5p!H235,LEN(Protokoll_5p!H235)-FIND(":",Protokoll_5p!H235))),0,1))</f>
        <v/>
      </c>
      <c r="L269" s="1" t="str">
        <f>IF(Protokoll_5p!I235="","",IF(VALUE(LEFT(Protokoll_5p!I235,FIND(":",Protokoll_5p!I235)-1))&gt;VALUE(RIGHT(Protokoll_5p!I235,LEN(Protokoll_5p!I235)-FIND(":",Protokoll_5p!I235))),0,1))</f>
        <v/>
      </c>
      <c r="M269" s="1" t="str">
        <f>IF(Protokoll_5p!J235="","",IF(VALUE(LEFT(Protokoll_5p!J235,FIND(":",Protokoll_5p!J235)-1))&gt;VALUE(RIGHT(Protokoll_5p!J235,LEN(Protokoll_5p!J235)-FIND(":",Protokoll_5p!J235))),0,1))</f>
        <v/>
      </c>
      <c r="N269" s="1" t="str">
        <f t="shared" si="9"/>
        <v/>
      </c>
    </row>
    <row r="270" spans="2:14">
      <c r="B270" s="1" t="str">
        <f>IF(Protokoll_5p!F236="","",IF(VALUE(LEFT(Protokoll_5p!F236,FIND(":",Protokoll_5p!F236)-1))&gt;VALUE(RIGHT(Protokoll_5p!F236,LEN(Protokoll_5p!F236)-FIND(":",Protokoll_5p!F236))),1,0))</f>
        <v/>
      </c>
      <c r="C270" s="1" t="str">
        <f>IF(Protokoll_5p!G236="","",IF(VALUE(LEFT(Protokoll_5p!G236,FIND(":",Protokoll_5p!G236)-1))&gt;VALUE(RIGHT(Protokoll_5p!G236,LEN(Protokoll_5p!G236)-FIND(":",Protokoll_5p!G236))),1,0))</f>
        <v/>
      </c>
      <c r="D270" s="1" t="str">
        <f>IF(Protokoll_5p!H236="","",IF(VALUE(LEFT(Protokoll_5p!H236,FIND(":",Protokoll_5p!H236)-1))&gt;VALUE(RIGHT(Protokoll_5p!H236,LEN(Protokoll_5p!H236)-FIND(":",Protokoll_5p!H236))),1,0))</f>
        <v/>
      </c>
      <c r="E270" s="1" t="str">
        <f>IF(Protokoll_5p!I236="","",IF(VALUE(LEFT(Protokoll_5p!I236,FIND(":",Protokoll_5p!I236)-1))&gt;VALUE(RIGHT(Protokoll_5p!I236,LEN(Protokoll_5p!I236)-FIND(":",Protokoll_5p!I236))),1,0))</f>
        <v/>
      </c>
      <c r="F270" s="1" t="str">
        <f>IF(Protokoll_5p!J236="","",IF(VALUE(LEFT(Protokoll_5p!J236,FIND(":",Protokoll_5p!J236)-1))&gt;VALUE(RIGHT(Protokoll_5p!J236,LEN(Protokoll_5p!J236)-FIND(":",Protokoll_5p!J236))),1,0))</f>
        <v/>
      </c>
      <c r="G270" s="1" t="str">
        <f t="shared" si="8"/>
        <v/>
      </c>
      <c r="I270" s="1" t="str">
        <f>IF(Protokoll_5p!F236="","",IF(VALUE(LEFT(Protokoll_5p!F236,FIND(":",Protokoll_5p!F236)-1))&gt;VALUE(RIGHT(Protokoll_5p!F236,LEN(Protokoll_5p!F236)-FIND(":",Protokoll_5p!F236))),0,1))</f>
        <v/>
      </c>
      <c r="J270" s="1" t="str">
        <f>IF(Protokoll_5p!G236="","",IF(VALUE(LEFT(Protokoll_5p!G236,FIND(":",Protokoll_5p!G236)-1))&gt;VALUE(RIGHT(Protokoll_5p!G236,LEN(Protokoll_5p!G236)-FIND(":",Protokoll_5p!G236))),0,1))</f>
        <v/>
      </c>
      <c r="K270" s="1" t="str">
        <f>IF(Protokoll_5p!H236="","",IF(VALUE(LEFT(Protokoll_5p!H236,FIND(":",Protokoll_5p!H236)-1))&gt;VALUE(RIGHT(Protokoll_5p!H236,LEN(Protokoll_5p!H236)-FIND(":",Protokoll_5p!H236))),0,1))</f>
        <v/>
      </c>
      <c r="L270" s="1" t="str">
        <f>IF(Protokoll_5p!I236="","",IF(VALUE(LEFT(Protokoll_5p!I236,FIND(":",Protokoll_5p!I236)-1))&gt;VALUE(RIGHT(Protokoll_5p!I236,LEN(Protokoll_5p!I236)-FIND(":",Protokoll_5p!I236))),0,1))</f>
        <v/>
      </c>
      <c r="M270" s="1" t="str">
        <f>IF(Protokoll_5p!J236="","",IF(VALUE(LEFT(Protokoll_5p!J236,FIND(":",Protokoll_5p!J236)-1))&gt;VALUE(RIGHT(Protokoll_5p!J236,LEN(Protokoll_5p!J236)-FIND(":",Protokoll_5p!J236))),0,1))</f>
        <v/>
      </c>
      <c r="N270" s="1" t="str">
        <f t="shared" si="9"/>
        <v/>
      </c>
    </row>
    <row r="271" spans="2:14">
      <c r="B271" s="1" t="str">
        <f>IF(Protokoll_5p!F237="","",IF(VALUE(LEFT(Protokoll_5p!F237,FIND(":",Protokoll_5p!F237)-1))&gt;VALUE(RIGHT(Protokoll_5p!F237,LEN(Protokoll_5p!F237)-FIND(":",Protokoll_5p!F237))),1,0))</f>
        <v/>
      </c>
      <c r="C271" s="1" t="str">
        <f>IF(Protokoll_5p!G237="","",IF(VALUE(LEFT(Protokoll_5p!G237,FIND(":",Protokoll_5p!G237)-1))&gt;VALUE(RIGHT(Protokoll_5p!G237,LEN(Protokoll_5p!G237)-FIND(":",Protokoll_5p!G237))),1,0))</f>
        <v/>
      </c>
      <c r="D271" s="1" t="str">
        <f>IF(Protokoll_5p!H237="","",IF(VALUE(LEFT(Protokoll_5p!H237,FIND(":",Protokoll_5p!H237)-1))&gt;VALUE(RIGHT(Protokoll_5p!H237,LEN(Protokoll_5p!H237)-FIND(":",Protokoll_5p!H237))),1,0))</f>
        <v/>
      </c>
      <c r="E271" s="1" t="str">
        <f>IF(Protokoll_5p!I237="","",IF(VALUE(LEFT(Protokoll_5p!I237,FIND(":",Protokoll_5p!I237)-1))&gt;VALUE(RIGHT(Protokoll_5p!I237,LEN(Protokoll_5p!I237)-FIND(":",Protokoll_5p!I237))),1,0))</f>
        <v/>
      </c>
      <c r="F271" s="1" t="str">
        <f>IF(Protokoll_5p!J237="","",IF(VALUE(LEFT(Protokoll_5p!J237,FIND(":",Protokoll_5p!J237)-1))&gt;VALUE(RIGHT(Protokoll_5p!J237,LEN(Protokoll_5p!J237)-FIND(":",Protokoll_5p!J237))),1,0))</f>
        <v/>
      </c>
      <c r="G271" s="1" t="str">
        <f t="shared" si="8"/>
        <v/>
      </c>
      <c r="I271" s="1" t="str">
        <f>IF(Protokoll_5p!F237="","",IF(VALUE(LEFT(Protokoll_5p!F237,FIND(":",Protokoll_5p!F237)-1))&gt;VALUE(RIGHT(Protokoll_5p!F237,LEN(Protokoll_5p!F237)-FIND(":",Protokoll_5p!F237))),0,1))</f>
        <v/>
      </c>
      <c r="J271" s="1" t="str">
        <f>IF(Protokoll_5p!G237="","",IF(VALUE(LEFT(Protokoll_5p!G237,FIND(":",Protokoll_5p!G237)-1))&gt;VALUE(RIGHT(Protokoll_5p!G237,LEN(Protokoll_5p!G237)-FIND(":",Protokoll_5p!G237))),0,1))</f>
        <v/>
      </c>
      <c r="K271" s="1" t="str">
        <f>IF(Protokoll_5p!H237="","",IF(VALUE(LEFT(Protokoll_5p!H237,FIND(":",Protokoll_5p!H237)-1))&gt;VALUE(RIGHT(Protokoll_5p!H237,LEN(Protokoll_5p!H237)-FIND(":",Protokoll_5p!H237))),0,1))</f>
        <v/>
      </c>
      <c r="L271" s="1" t="str">
        <f>IF(Protokoll_5p!I237="","",IF(VALUE(LEFT(Protokoll_5p!I237,FIND(":",Protokoll_5p!I237)-1))&gt;VALUE(RIGHT(Protokoll_5p!I237,LEN(Protokoll_5p!I237)-FIND(":",Protokoll_5p!I237))),0,1))</f>
        <v/>
      </c>
      <c r="M271" s="1" t="str">
        <f>IF(Protokoll_5p!J237="","",IF(VALUE(LEFT(Protokoll_5p!J237,FIND(":",Protokoll_5p!J237)-1))&gt;VALUE(RIGHT(Protokoll_5p!J237,LEN(Protokoll_5p!J237)-FIND(":",Protokoll_5p!J237))),0,1))</f>
        <v/>
      </c>
      <c r="N271" s="1" t="str">
        <f t="shared" si="9"/>
        <v/>
      </c>
    </row>
    <row r="272" spans="2:14">
      <c r="B272" s="1" t="str">
        <f>IF(Protokoll_5p!F238="","",IF(VALUE(LEFT(Protokoll_5p!F238,FIND(":",Protokoll_5p!F238)-1))&gt;VALUE(RIGHT(Protokoll_5p!F238,LEN(Protokoll_5p!F238)-FIND(":",Protokoll_5p!F238))),1,0))</f>
        <v/>
      </c>
      <c r="C272" s="1" t="str">
        <f>IF(Protokoll_5p!G238="","",IF(VALUE(LEFT(Protokoll_5p!G238,FIND(":",Protokoll_5p!G238)-1))&gt;VALUE(RIGHT(Protokoll_5p!G238,LEN(Protokoll_5p!G238)-FIND(":",Protokoll_5p!G238))),1,0))</f>
        <v/>
      </c>
      <c r="D272" s="1" t="str">
        <f>IF(Protokoll_5p!H238="","",IF(VALUE(LEFT(Protokoll_5p!H238,FIND(":",Protokoll_5p!H238)-1))&gt;VALUE(RIGHT(Protokoll_5p!H238,LEN(Protokoll_5p!H238)-FIND(":",Protokoll_5p!H238))),1,0))</f>
        <v/>
      </c>
      <c r="E272" s="1" t="str">
        <f>IF(Protokoll_5p!I238="","",IF(VALUE(LEFT(Protokoll_5p!I238,FIND(":",Protokoll_5p!I238)-1))&gt;VALUE(RIGHT(Protokoll_5p!I238,LEN(Protokoll_5p!I238)-FIND(":",Protokoll_5p!I238))),1,0))</f>
        <v/>
      </c>
      <c r="F272" s="1" t="str">
        <f>IF(Protokoll_5p!J238="","",IF(VALUE(LEFT(Protokoll_5p!J238,FIND(":",Protokoll_5p!J238)-1))&gt;VALUE(RIGHT(Protokoll_5p!J238,LEN(Protokoll_5p!J238)-FIND(":",Protokoll_5p!J238))),1,0))</f>
        <v/>
      </c>
      <c r="G272" s="1" t="str">
        <f t="shared" si="8"/>
        <v/>
      </c>
      <c r="I272" s="1" t="str">
        <f>IF(Protokoll_5p!F238="","",IF(VALUE(LEFT(Protokoll_5p!F238,FIND(":",Protokoll_5p!F238)-1))&gt;VALUE(RIGHT(Protokoll_5p!F238,LEN(Protokoll_5p!F238)-FIND(":",Protokoll_5p!F238))),0,1))</f>
        <v/>
      </c>
      <c r="J272" s="1" t="str">
        <f>IF(Protokoll_5p!G238="","",IF(VALUE(LEFT(Protokoll_5p!G238,FIND(":",Protokoll_5p!G238)-1))&gt;VALUE(RIGHT(Protokoll_5p!G238,LEN(Protokoll_5p!G238)-FIND(":",Protokoll_5p!G238))),0,1))</f>
        <v/>
      </c>
      <c r="K272" s="1" t="str">
        <f>IF(Protokoll_5p!H238="","",IF(VALUE(LEFT(Protokoll_5p!H238,FIND(":",Protokoll_5p!H238)-1))&gt;VALUE(RIGHT(Protokoll_5p!H238,LEN(Protokoll_5p!H238)-FIND(":",Protokoll_5p!H238))),0,1))</f>
        <v/>
      </c>
      <c r="L272" s="1" t="str">
        <f>IF(Protokoll_5p!I238="","",IF(VALUE(LEFT(Protokoll_5p!I238,FIND(":",Protokoll_5p!I238)-1))&gt;VALUE(RIGHT(Protokoll_5p!I238,LEN(Protokoll_5p!I238)-FIND(":",Protokoll_5p!I238))),0,1))</f>
        <v/>
      </c>
      <c r="M272" s="1" t="str">
        <f>IF(Protokoll_5p!J238="","",IF(VALUE(LEFT(Protokoll_5p!J238,FIND(":",Protokoll_5p!J238)-1))&gt;VALUE(RIGHT(Protokoll_5p!J238,LEN(Protokoll_5p!J238)-FIND(":",Protokoll_5p!J238))),0,1))</f>
        <v/>
      </c>
      <c r="N272" s="1" t="str">
        <f t="shared" si="9"/>
        <v/>
      </c>
    </row>
    <row r="273" spans="2:14">
      <c r="B273" s="1" t="str">
        <f>IF(Protokoll_5p!F239="","",IF(VALUE(LEFT(Protokoll_5p!F239,FIND(":",Protokoll_5p!F239)-1))&gt;VALUE(RIGHT(Protokoll_5p!F239,LEN(Protokoll_5p!F239)-FIND(":",Protokoll_5p!F239))),1,0))</f>
        <v/>
      </c>
      <c r="C273" s="1" t="str">
        <f>IF(Protokoll_5p!G239="","",IF(VALUE(LEFT(Protokoll_5p!G239,FIND(":",Protokoll_5p!G239)-1))&gt;VALUE(RIGHT(Protokoll_5p!G239,LEN(Protokoll_5p!G239)-FIND(":",Protokoll_5p!G239))),1,0))</f>
        <v/>
      </c>
      <c r="D273" s="1" t="str">
        <f>IF(Protokoll_5p!H239="","",IF(VALUE(LEFT(Protokoll_5p!H239,FIND(":",Protokoll_5p!H239)-1))&gt;VALUE(RIGHT(Protokoll_5p!H239,LEN(Protokoll_5p!H239)-FIND(":",Protokoll_5p!H239))),1,0))</f>
        <v/>
      </c>
      <c r="E273" s="1" t="str">
        <f>IF(Protokoll_5p!I239="","",IF(VALUE(LEFT(Protokoll_5p!I239,FIND(":",Protokoll_5p!I239)-1))&gt;VALUE(RIGHT(Protokoll_5p!I239,LEN(Protokoll_5p!I239)-FIND(":",Protokoll_5p!I239))),1,0))</f>
        <v/>
      </c>
      <c r="F273" s="1" t="str">
        <f>IF(Protokoll_5p!J239="","",IF(VALUE(LEFT(Protokoll_5p!J239,FIND(":",Protokoll_5p!J239)-1))&gt;VALUE(RIGHT(Protokoll_5p!J239,LEN(Protokoll_5p!J239)-FIND(":",Protokoll_5p!J239))),1,0))</f>
        <v/>
      </c>
      <c r="G273" s="1" t="str">
        <f t="shared" si="8"/>
        <v/>
      </c>
      <c r="I273" s="1" t="str">
        <f>IF(Protokoll_5p!F239="","",IF(VALUE(LEFT(Protokoll_5p!F239,FIND(":",Protokoll_5p!F239)-1))&gt;VALUE(RIGHT(Protokoll_5p!F239,LEN(Protokoll_5p!F239)-FIND(":",Protokoll_5p!F239))),0,1))</f>
        <v/>
      </c>
      <c r="J273" s="1" t="str">
        <f>IF(Protokoll_5p!G239="","",IF(VALUE(LEFT(Protokoll_5p!G239,FIND(":",Protokoll_5p!G239)-1))&gt;VALUE(RIGHT(Protokoll_5p!G239,LEN(Protokoll_5p!G239)-FIND(":",Protokoll_5p!G239))),0,1))</f>
        <v/>
      </c>
      <c r="K273" s="1" t="str">
        <f>IF(Protokoll_5p!H239="","",IF(VALUE(LEFT(Protokoll_5p!H239,FIND(":",Protokoll_5p!H239)-1))&gt;VALUE(RIGHT(Protokoll_5p!H239,LEN(Protokoll_5p!H239)-FIND(":",Protokoll_5p!H239))),0,1))</f>
        <v/>
      </c>
      <c r="L273" s="1" t="str">
        <f>IF(Protokoll_5p!I239="","",IF(VALUE(LEFT(Protokoll_5p!I239,FIND(":",Protokoll_5p!I239)-1))&gt;VALUE(RIGHT(Protokoll_5p!I239,LEN(Protokoll_5p!I239)-FIND(":",Protokoll_5p!I239))),0,1))</f>
        <v/>
      </c>
      <c r="M273" s="1" t="str">
        <f>IF(Protokoll_5p!J239="","",IF(VALUE(LEFT(Protokoll_5p!J239,FIND(":",Protokoll_5p!J239)-1))&gt;VALUE(RIGHT(Protokoll_5p!J239,LEN(Protokoll_5p!J239)-FIND(":",Protokoll_5p!J239))),0,1))</f>
        <v/>
      </c>
      <c r="N273" s="1" t="str">
        <f t="shared" si="9"/>
        <v/>
      </c>
    </row>
    <row r="274" spans="2:14">
      <c r="B274" s="1" t="str">
        <f>IF(Protokoll_5p!F240="","",IF(VALUE(LEFT(Protokoll_5p!F240,FIND(":",Protokoll_5p!F240)-1))&gt;VALUE(RIGHT(Protokoll_5p!F240,LEN(Protokoll_5p!F240)-FIND(":",Protokoll_5p!F240))),1,0))</f>
        <v/>
      </c>
      <c r="C274" s="1" t="str">
        <f>IF(Protokoll_5p!G240="","",IF(VALUE(LEFT(Protokoll_5p!G240,FIND(":",Protokoll_5p!G240)-1))&gt;VALUE(RIGHT(Protokoll_5p!G240,LEN(Protokoll_5p!G240)-FIND(":",Protokoll_5p!G240))),1,0))</f>
        <v/>
      </c>
      <c r="D274" s="1" t="str">
        <f>IF(Protokoll_5p!H240="","",IF(VALUE(LEFT(Protokoll_5p!H240,FIND(":",Protokoll_5p!H240)-1))&gt;VALUE(RIGHT(Protokoll_5p!H240,LEN(Protokoll_5p!H240)-FIND(":",Protokoll_5p!H240))),1,0))</f>
        <v/>
      </c>
      <c r="E274" s="1" t="str">
        <f>IF(Protokoll_5p!I240="","",IF(VALUE(LEFT(Protokoll_5p!I240,FIND(":",Protokoll_5p!I240)-1))&gt;VALUE(RIGHT(Protokoll_5p!I240,LEN(Protokoll_5p!I240)-FIND(":",Protokoll_5p!I240))),1,0))</f>
        <v/>
      </c>
      <c r="F274" s="1" t="str">
        <f>IF(Protokoll_5p!J240="","",IF(VALUE(LEFT(Protokoll_5p!J240,FIND(":",Protokoll_5p!J240)-1))&gt;VALUE(RIGHT(Protokoll_5p!J240,LEN(Protokoll_5p!J240)-FIND(":",Protokoll_5p!J240))),1,0))</f>
        <v/>
      </c>
      <c r="G274" s="1" t="str">
        <f t="shared" si="8"/>
        <v/>
      </c>
      <c r="I274" s="1" t="str">
        <f>IF(Protokoll_5p!F240="","",IF(VALUE(LEFT(Protokoll_5p!F240,FIND(":",Protokoll_5p!F240)-1))&gt;VALUE(RIGHT(Protokoll_5p!F240,LEN(Protokoll_5p!F240)-FIND(":",Protokoll_5p!F240))),0,1))</f>
        <v/>
      </c>
      <c r="J274" s="1" t="str">
        <f>IF(Protokoll_5p!G240="","",IF(VALUE(LEFT(Protokoll_5p!G240,FIND(":",Protokoll_5p!G240)-1))&gt;VALUE(RIGHT(Protokoll_5p!G240,LEN(Protokoll_5p!G240)-FIND(":",Protokoll_5p!G240))),0,1))</f>
        <v/>
      </c>
      <c r="K274" s="1" t="str">
        <f>IF(Protokoll_5p!H240="","",IF(VALUE(LEFT(Protokoll_5p!H240,FIND(":",Protokoll_5p!H240)-1))&gt;VALUE(RIGHT(Protokoll_5p!H240,LEN(Protokoll_5p!H240)-FIND(":",Protokoll_5p!H240))),0,1))</f>
        <v/>
      </c>
      <c r="L274" s="1" t="str">
        <f>IF(Protokoll_5p!I240="","",IF(VALUE(LEFT(Protokoll_5p!I240,FIND(":",Protokoll_5p!I240)-1))&gt;VALUE(RIGHT(Protokoll_5p!I240,LEN(Protokoll_5p!I240)-FIND(":",Protokoll_5p!I240))),0,1))</f>
        <v/>
      </c>
      <c r="M274" s="1" t="str">
        <f>IF(Protokoll_5p!J240="","",IF(VALUE(LEFT(Protokoll_5p!J240,FIND(":",Protokoll_5p!J240)-1))&gt;VALUE(RIGHT(Protokoll_5p!J240,LEN(Protokoll_5p!J240)-FIND(":",Protokoll_5p!J240))),0,1))</f>
        <v/>
      </c>
      <c r="N274" s="1" t="str">
        <f t="shared" si="9"/>
        <v/>
      </c>
    </row>
    <row r="275" spans="2:14">
      <c r="B275" s="1" t="str">
        <f>IF(Protokoll_5p!F241="","",IF(VALUE(LEFT(Protokoll_5p!F241,FIND(":",Protokoll_5p!F241)-1))&gt;VALUE(RIGHT(Protokoll_5p!F241,LEN(Protokoll_5p!F241)-FIND(":",Protokoll_5p!F241))),1,0))</f>
        <v/>
      </c>
      <c r="C275" s="1" t="str">
        <f>IF(Protokoll_5p!G241="","",IF(VALUE(LEFT(Protokoll_5p!G241,FIND(":",Protokoll_5p!G241)-1))&gt;VALUE(RIGHT(Protokoll_5p!G241,LEN(Protokoll_5p!G241)-FIND(":",Protokoll_5p!G241))),1,0))</f>
        <v/>
      </c>
      <c r="D275" s="1" t="str">
        <f>IF(Protokoll_5p!H241="","",IF(VALUE(LEFT(Protokoll_5p!H241,FIND(":",Protokoll_5p!H241)-1))&gt;VALUE(RIGHT(Protokoll_5p!H241,LEN(Protokoll_5p!H241)-FIND(":",Protokoll_5p!H241))),1,0))</f>
        <v/>
      </c>
      <c r="E275" s="1" t="str">
        <f>IF(Protokoll_5p!I241="","",IF(VALUE(LEFT(Protokoll_5p!I241,FIND(":",Protokoll_5p!I241)-1))&gt;VALUE(RIGHT(Protokoll_5p!I241,LEN(Protokoll_5p!I241)-FIND(":",Protokoll_5p!I241))),1,0))</f>
        <v/>
      </c>
      <c r="F275" s="1" t="str">
        <f>IF(Protokoll_5p!J241="","",IF(VALUE(LEFT(Protokoll_5p!J241,FIND(":",Protokoll_5p!J241)-1))&gt;VALUE(RIGHT(Protokoll_5p!J241,LEN(Protokoll_5p!J241)-FIND(":",Protokoll_5p!J241))),1,0))</f>
        <v/>
      </c>
      <c r="G275" s="1" t="str">
        <f t="shared" si="8"/>
        <v/>
      </c>
      <c r="I275" s="1" t="str">
        <f>IF(Protokoll_5p!F241="","",IF(VALUE(LEFT(Protokoll_5p!F241,FIND(":",Protokoll_5p!F241)-1))&gt;VALUE(RIGHT(Protokoll_5p!F241,LEN(Protokoll_5p!F241)-FIND(":",Protokoll_5p!F241))),0,1))</f>
        <v/>
      </c>
      <c r="J275" s="1" t="str">
        <f>IF(Protokoll_5p!G241="","",IF(VALUE(LEFT(Protokoll_5p!G241,FIND(":",Protokoll_5p!G241)-1))&gt;VALUE(RIGHT(Protokoll_5p!G241,LEN(Protokoll_5p!G241)-FIND(":",Protokoll_5p!G241))),0,1))</f>
        <v/>
      </c>
      <c r="K275" s="1" t="str">
        <f>IF(Protokoll_5p!H241="","",IF(VALUE(LEFT(Protokoll_5p!H241,FIND(":",Protokoll_5p!H241)-1))&gt;VALUE(RIGHT(Protokoll_5p!H241,LEN(Protokoll_5p!H241)-FIND(":",Protokoll_5p!H241))),0,1))</f>
        <v/>
      </c>
      <c r="L275" s="1" t="str">
        <f>IF(Protokoll_5p!I241="","",IF(VALUE(LEFT(Protokoll_5p!I241,FIND(":",Protokoll_5p!I241)-1))&gt;VALUE(RIGHT(Protokoll_5p!I241,LEN(Protokoll_5p!I241)-FIND(":",Protokoll_5p!I241))),0,1))</f>
        <v/>
      </c>
      <c r="M275" s="1" t="str">
        <f>IF(Protokoll_5p!J241="","",IF(VALUE(LEFT(Protokoll_5p!J241,FIND(":",Protokoll_5p!J241)-1))&gt;VALUE(RIGHT(Protokoll_5p!J241,LEN(Protokoll_5p!J241)-FIND(":",Protokoll_5p!J241))),0,1))</f>
        <v/>
      </c>
      <c r="N275" s="1" t="str">
        <f t="shared" si="9"/>
        <v/>
      </c>
    </row>
    <row r="276" spans="2:14">
      <c r="B276" s="1" t="str">
        <f>IF(Protokoll_5p!F242="","",IF(VALUE(LEFT(Protokoll_5p!F242,FIND(":",Protokoll_5p!F242)-1))&gt;VALUE(RIGHT(Protokoll_5p!F242,LEN(Protokoll_5p!F242)-FIND(":",Protokoll_5p!F242))),1,0))</f>
        <v/>
      </c>
      <c r="C276" s="1" t="str">
        <f>IF(Protokoll_5p!G242="","",IF(VALUE(LEFT(Protokoll_5p!G242,FIND(":",Protokoll_5p!G242)-1))&gt;VALUE(RIGHT(Protokoll_5p!G242,LEN(Protokoll_5p!G242)-FIND(":",Protokoll_5p!G242))),1,0))</f>
        <v/>
      </c>
      <c r="D276" s="1" t="str">
        <f>IF(Protokoll_5p!H242="","",IF(VALUE(LEFT(Protokoll_5p!H242,FIND(":",Protokoll_5p!H242)-1))&gt;VALUE(RIGHT(Protokoll_5p!H242,LEN(Protokoll_5p!H242)-FIND(":",Protokoll_5p!H242))),1,0))</f>
        <v/>
      </c>
      <c r="E276" s="1" t="str">
        <f>IF(Protokoll_5p!I242="","",IF(VALUE(LEFT(Protokoll_5p!I242,FIND(":",Protokoll_5p!I242)-1))&gt;VALUE(RIGHT(Protokoll_5p!I242,LEN(Protokoll_5p!I242)-FIND(":",Protokoll_5p!I242))),1,0))</f>
        <v/>
      </c>
      <c r="F276" s="1" t="str">
        <f>IF(Protokoll_5p!J242="","",IF(VALUE(LEFT(Protokoll_5p!J242,FIND(":",Protokoll_5p!J242)-1))&gt;VALUE(RIGHT(Protokoll_5p!J242,LEN(Protokoll_5p!J242)-FIND(":",Protokoll_5p!J242))),1,0))</f>
        <v/>
      </c>
      <c r="G276" s="1" t="str">
        <f t="shared" si="8"/>
        <v/>
      </c>
      <c r="I276" s="1" t="str">
        <f>IF(Protokoll_5p!F242="","",IF(VALUE(LEFT(Protokoll_5p!F242,FIND(":",Protokoll_5p!F242)-1))&gt;VALUE(RIGHT(Protokoll_5p!F242,LEN(Protokoll_5p!F242)-FIND(":",Protokoll_5p!F242))),0,1))</f>
        <v/>
      </c>
      <c r="J276" s="1" t="str">
        <f>IF(Protokoll_5p!G242="","",IF(VALUE(LEFT(Protokoll_5p!G242,FIND(":",Protokoll_5p!G242)-1))&gt;VALUE(RIGHT(Protokoll_5p!G242,LEN(Protokoll_5p!G242)-FIND(":",Protokoll_5p!G242))),0,1))</f>
        <v/>
      </c>
      <c r="K276" s="1" t="str">
        <f>IF(Protokoll_5p!H242="","",IF(VALUE(LEFT(Protokoll_5p!H242,FIND(":",Protokoll_5p!H242)-1))&gt;VALUE(RIGHT(Protokoll_5p!H242,LEN(Protokoll_5p!H242)-FIND(":",Protokoll_5p!H242))),0,1))</f>
        <v/>
      </c>
      <c r="L276" s="1" t="str">
        <f>IF(Protokoll_5p!I242="","",IF(VALUE(LEFT(Protokoll_5p!I242,FIND(":",Protokoll_5p!I242)-1))&gt;VALUE(RIGHT(Protokoll_5p!I242,LEN(Protokoll_5p!I242)-FIND(":",Protokoll_5p!I242))),0,1))</f>
        <v/>
      </c>
      <c r="M276" s="1" t="str">
        <f>IF(Protokoll_5p!J242="","",IF(VALUE(LEFT(Protokoll_5p!J242,FIND(":",Protokoll_5p!J242)-1))&gt;VALUE(RIGHT(Protokoll_5p!J242,LEN(Protokoll_5p!J242)-FIND(":",Protokoll_5p!J242))),0,1))</f>
        <v/>
      </c>
      <c r="N276" s="1" t="str">
        <f t="shared" si="9"/>
        <v/>
      </c>
    </row>
    <row r="277" spans="2:14">
      <c r="B277" s="1" t="str">
        <f>IF(Protokoll_5p!F243="","",IF(VALUE(LEFT(Protokoll_5p!F243,FIND(":",Protokoll_5p!F243)-1))&gt;VALUE(RIGHT(Protokoll_5p!F243,LEN(Protokoll_5p!F243)-FIND(":",Protokoll_5p!F243))),1,0))</f>
        <v/>
      </c>
      <c r="C277" s="1" t="str">
        <f>IF(Protokoll_5p!G243="","",IF(VALUE(LEFT(Protokoll_5p!G243,FIND(":",Protokoll_5p!G243)-1))&gt;VALUE(RIGHT(Protokoll_5p!G243,LEN(Protokoll_5p!G243)-FIND(":",Protokoll_5p!G243))),1,0))</f>
        <v/>
      </c>
      <c r="D277" s="1" t="str">
        <f>IF(Protokoll_5p!H243="","",IF(VALUE(LEFT(Protokoll_5p!H243,FIND(":",Protokoll_5p!H243)-1))&gt;VALUE(RIGHT(Protokoll_5p!H243,LEN(Protokoll_5p!H243)-FIND(":",Protokoll_5p!H243))),1,0))</f>
        <v/>
      </c>
      <c r="E277" s="1" t="str">
        <f>IF(Protokoll_5p!I243="","",IF(VALUE(LEFT(Protokoll_5p!I243,FIND(":",Protokoll_5p!I243)-1))&gt;VALUE(RIGHT(Protokoll_5p!I243,LEN(Protokoll_5p!I243)-FIND(":",Protokoll_5p!I243))),1,0))</f>
        <v/>
      </c>
      <c r="F277" s="1" t="str">
        <f>IF(Protokoll_5p!J243="","",IF(VALUE(LEFT(Protokoll_5p!J243,FIND(":",Protokoll_5p!J243)-1))&gt;VALUE(RIGHT(Protokoll_5p!J243,LEN(Protokoll_5p!J243)-FIND(":",Protokoll_5p!J243))),1,0))</f>
        <v/>
      </c>
      <c r="G277" s="1" t="str">
        <f t="shared" si="8"/>
        <v/>
      </c>
      <c r="I277" s="1" t="str">
        <f>IF(Protokoll_5p!F243="","",IF(VALUE(LEFT(Protokoll_5p!F243,FIND(":",Protokoll_5p!F243)-1))&gt;VALUE(RIGHT(Protokoll_5p!F243,LEN(Protokoll_5p!F243)-FIND(":",Protokoll_5p!F243))),0,1))</f>
        <v/>
      </c>
      <c r="J277" s="1" t="str">
        <f>IF(Protokoll_5p!G243="","",IF(VALUE(LEFT(Protokoll_5p!G243,FIND(":",Protokoll_5p!G243)-1))&gt;VALUE(RIGHT(Protokoll_5p!G243,LEN(Protokoll_5p!G243)-FIND(":",Protokoll_5p!G243))),0,1))</f>
        <v/>
      </c>
      <c r="K277" s="1" t="str">
        <f>IF(Protokoll_5p!H243="","",IF(VALUE(LEFT(Protokoll_5p!H243,FIND(":",Protokoll_5p!H243)-1))&gt;VALUE(RIGHT(Protokoll_5p!H243,LEN(Protokoll_5p!H243)-FIND(":",Protokoll_5p!H243))),0,1))</f>
        <v/>
      </c>
      <c r="L277" s="1" t="str">
        <f>IF(Protokoll_5p!I243="","",IF(VALUE(LEFT(Protokoll_5p!I243,FIND(":",Protokoll_5p!I243)-1))&gt;VALUE(RIGHT(Protokoll_5p!I243,LEN(Protokoll_5p!I243)-FIND(":",Protokoll_5p!I243))),0,1))</f>
        <v/>
      </c>
      <c r="M277" s="1" t="str">
        <f>IF(Protokoll_5p!J243="","",IF(VALUE(LEFT(Protokoll_5p!J243,FIND(":",Protokoll_5p!J243)-1))&gt;VALUE(RIGHT(Protokoll_5p!J243,LEN(Protokoll_5p!J243)-FIND(":",Protokoll_5p!J243))),0,1))</f>
        <v/>
      </c>
      <c r="N277" s="1" t="str">
        <f t="shared" si="9"/>
        <v/>
      </c>
    </row>
    <row r="278" spans="2:14">
      <c r="B278" s="1" t="str">
        <f>IF(Protokoll_5p!F244="","",IF(VALUE(LEFT(Protokoll_5p!F244,FIND(":",Protokoll_5p!F244)-1))&gt;VALUE(RIGHT(Protokoll_5p!F244,LEN(Protokoll_5p!F244)-FIND(":",Protokoll_5p!F244))),1,0))</f>
        <v/>
      </c>
      <c r="C278" s="1" t="str">
        <f>IF(Protokoll_5p!G244="","",IF(VALUE(LEFT(Protokoll_5p!G244,FIND(":",Protokoll_5p!G244)-1))&gt;VALUE(RIGHT(Protokoll_5p!G244,LEN(Protokoll_5p!G244)-FIND(":",Protokoll_5p!G244))),1,0))</f>
        <v/>
      </c>
      <c r="D278" s="1" t="str">
        <f>IF(Protokoll_5p!H244="","",IF(VALUE(LEFT(Protokoll_5p!H244,FIND(":",Protokoll_5p!H244)-1))&gt;VALUE(RIGHT(Protokoll_5p!H244,LEN(Protokoll_5p!H244)-FIND(":",Protokoll_5p!H244))),1,0))</f>
        <v/>
      </c>
      <c r="E278" s="1" t="str">
        <f>IF(Protokoll_5p!I244="","",IF(VALUE(LEFT(Protokoll_5p!I244,FIND(":",Protokoll_5p!I244)-1))&gt;VALUE(RIGHT(Protokoll_5p!I244,LEN(Protokoll_5p!I244)-FIND(":",Protokoll_5p!I244))),1,0))</f>
        <v/>
      </c>
      <c r="F278" s="1" t="str">
        <f>IF(Protokoll_5p!J244="","",IF(VALUE(LEFT(Protokoll_5p!J244,FIND(":",Protokoll_5p!J244)-1))&gt;VALUE(RIGHT(Protokoll_5p!J244,LEN(Protokoll_5p!J244)-FIND(":",Protokoll_5p!J244))),1,0))</f>
        <v/>
      </c>
      <c r="G278" s="1" t="str">
        <f t="shared" si="8"/>
        <v/>
      </c>
      <c r="I278" s="1" t="str">
        <f>IF(Protokoll_5p!F244="","",IF(VALUE(LEFT(Protokoll_5p!F244,FIND(":",Protokoll_5p!F244)-1))&gt;VALUE(RIGHT(Protokoll_5p!F244,LEN(Protokoll_5p!F244)-FIND(":",Protokoll_5p!F244))),0,1))</f>
        <v/>
      </c>
      <c r="J278" s="1" t="str">
        <f>IF(Protokoll_5p!G244="","",IF(VALUE(LEFT(Protokoll_5p!G244,FIND(":",Protokoll_5p!G244)-1))&gt;VALUE(RIGHT(Protokoll_5p!G244,LEN(Protokoll_5p!G244)-FIND(":",Protokoll_5p!G244))),0,1))</f>
        <v/>
      </c>
      <c r="K278" s="1" t="str">
        <f>IF(Protokoll_5p!H244="","",IF(VALUE(LEFT(Protokoll_5p!H244,FIND(":",Protokoll_5p!H244)-1))&gt;VALUE(RIGHT(Protokoll_5p!H244,LEN(Protokoll_5p!H244)-FIND(":",Protokoll_5p!H244))),0,1))</f>
        <v/>
      </c>
      <c r="L278" s="1" t="str">
        <f>IF(Protokoll_5p!I244="","",IF(VALUE(LEFT(Protokoll_5p!I244,FIND(":",Protokoll_5p!I244)-1))&gt;VALUE(RIGHT(Protokoll_5p!I244,LEN(Protokoll_5p!I244)-FIND(":",Protokoll_5p!I244))),0,1))</f>
        <v/>
      </c>
      <c r="M278" s="1" t="str">
        <f>IF(Protokoll_5p!J244="","",IF(VALUE(LEFT(Protokoll_5p!J244,FIND(":",Protokoll_5p!J244)-1))&gt;VALUE(RIGHT(Protokoll_5p!J244,LEN(Protokoll_5p!J244)-FIND(":",Protokoll_5p!J244))),0,1))</f>
        <v/>
      </c>
      <c r="N278" s="1" t="str">
        <f t="shared" si="9"/>
        <v/>
      </c>
    </row>
    <row r="279" spans="2:14">
      <c r="B279" s="1" t="str">
        <f>IF(Protokoll_5p!F245="","",IF(VALUE(LEFT(Protokoll_5p!F245,FIND(":",Protokoll_5p!F245)-1))&gt;VALUE(RIGHT(Protokoll_5p!F245,LEN(Protokoll_5p!F245)-FIND(":",Protokoll_5p!F245))),1,0))</f>
        <v/>
      </c>
      <c r="C279" s="1" t="str">
        <f>IF(Protokoll_5p!G245="","",IF(VALUE(LEFT(Protokoll_5p!G245,FIND(":",Protokoll_5p!G245)-1))&gt;VALUE(RIGHT(Protokoll_5p!G245,LEN(Protokoll_5p!G245)-FIND(":",Protokoll_5p!G245))),1,0))</f>
        <v/>
      </c>
      <c r="D279" s="1" t="str">
        <f>IF(Protokoll_5p!H245="","",IF(VALUE(LEFT(Protokoll_5p!H245,FIND(":",Protokoll_5p!H245)-1))&gt;VALUE(RIGHT(Protokoll_5p!H245,LEN(Protokoll_5p!H245)-FIND(":",Protokoll_5p!H245))),1,0))</f>
        <v/>
      </c>
      <c r="E279" s="1" t="str">
        <f>IF(Protokoll_5p!I245="","",IF(VALUE(LEFT(Protokoll_5p!I245,FIND(":",Protokoll_5p!I245)-1))&gt;VALUE(RIGHT(Protokoll_5p!I245,LEN(Protokoll_5p!I245)-FIND(":",Protokoll_5p!I245))),1,0))</f>
        <v/>
      </c>
      <c r="F279" s="1" t="str">
        <f>IF(Protokoll_5p!J245="","",IF(VALUE(LEFT(Protokoll_5p!J245,FIND(":",Protokoll_5p!J245)-1))&gt;VALUE(RIGHT(Protokoll_5p!J245,LEN(Protokoll_5p!J245)-FIND(":",Protokoll_5p!J245))),1,0))</f>
        <v/>
      </c>
      <c r="G279" s="1" t="str">
        <f t="shared" si="8"/>
        <v/>
      </c>
      <c r="I279" s="1" t="str">
        <f>IF(Protokoll_5p!F245="","",IF(VALUE(LEFT(Protokoll_5p!F245,FIND(":",Protokoll_5p!F245)-1))&gt;VALUE(RIGHT(Protokoll_5p!F245,LEN(Protokoll_5p!F245)-FIND(":",Protokoll_5p!F245))),0,1))</f>
        <v/>
      </c>
      <c r="J279" s="1" t="str">
        <f>IF(Protokoll_5p!G245="","",IF(VALUE(LEFT(Protokoll_5p!G245,FIND(":",Protokoll_5p!G245)-1))&gt;VALUE(RIGHT(Protokoll_5p!G245,LEN(Protokoll_5p!G245)-FIND(":",Protokoll_5p!G245))),0,1))</f>
        <v/>
      </c>
      <c r="K279" s="1" t="str">
        <f>IF(Protokoll_5p!H245="","",IF(VALUE(LEFT(Protokoll_5p!H245,FIND(":",Protokoll_5p!H245)-1))&gt;VALUE(RIGHT(Protokoll_5p!H245,LEN(Protokoll_5p!H245)-FIND(":",Protokoll_5p!H245))),0,1))</f>
        <v/>
      </c>
      <c r="L279" s="1" t="str">
        <f>IF(Protokoll_5p!I245="","",IF(VALUE(LEFT(Protokoll_5p!I245,FIND(":",Protokoll_5p!I245)-1))&gt;VALUE(RIGHT(Protokoll_5p!I245,LEN(Protokoll_5p!I245)-FIND(":",Protokoll_5p!I245))),0,1))</f>
        <v/>
      </c>
      <c r="M279" s="1" t="str">
        <f>IF(Protokoll_5p!J245="","",IF(VALUE(LEFT(Protokoll_5p!J245,FIND(":",Protokoll_5p!J245)-1))&gt;VALUE(RIGHT(Protokoll_5p!J245,LEN(Protokoll_5p!J245)-FIND(":",Protokoll_5p!J245))),0,1))</f>
        <v/>
      </c>
      <c r="N279" s="1" t="str">
        <f t="shared" si="9"/>
        <v/>
      </c>
    </row>
    <row r="280" spans="2:14">
      <c r="B280" s="1" t="str">
        <f>IF(Protokoll_5p!F246="","",IF(VALUE(LEFT(Protokoll_5p!F246,FIND(":",Protokoll_5p!F246)-1))&gt;VALUE(RIGHT(Protokoll_5p!F246,LEN(Protokoll_5p!F246)-FIND(":",Protokoll_5p!F246))),1,0))</f>
        <v/>
      </c>
      <c r="C280" s="1" t="str">
        <f>IF(Protokoll_5p!G246="","",IF(VALUE(LEFT(Protokoll_5p!G246,FIND(":",Protokoll_5p!G246)-1))&gt;VALUE(RIGHT(Protokoll_5p!G246,LEN(Protokoll_5p!G246)-FIND(":",Protokoll_5p!G246))),1,0))</f>
        <v/>
      </c>
      <c r="D280" s="1" t="str">
        <f>IF(Protokoll_5p!H246="","",IF(VALUE(LEFT(Protokoll_5p!H246,FIND(":",Protokoll_5p!H246)-1))&gt;VALUE(RIGHT(Protokoll_5p!H246,LEN(Protokoll_5p!H246)-FIND(":",Protokoll_5p!H246))),1,0))</f>
        <v/>
      </c>
      <c r="E280" s="1" t="str">
        <f>IF(Protokoll_5p!I246="","",IF(VALUE(LEFT(Protokoll_5p!I246,FIND(":",Protokoll_5p!I246)-1))&gt;VALUE(RIGHT(Protokoll_5p!I246,LEN(Protokoll_5p!I246)-FIND(":",Protokoll_5p!I246))),1,0))</f>
        <v/>
      </c>
      <c r="F280" s="1" t="str">
        <f>IF(Protokoll_5p!J246="","",IF(VALUE(LEFT(Protokoll_5p!J246,FIND(":",Protokoll_5p!J246)-1))&gt;VALUE(RIGHT(Protokoll_5p!J246,LEN(Protokoll_5p!J246)-FIND(":",Protokoll_5p!J246))),1,0))</f>
        <v/>
      </c>
      <c r="G280" s="1" t="str">
        <f t="shared" si="8"/>
        <v/>
      </c>
      <c r="I280" s="1" t="str">
        <f>IF(Protokoll_5p!F246="","",IF(VALUE(LEFT(Protokoll_5p!F246,FIND(":",Protokoll_5p!F246)-1))&gt;VALUE(RIGHT(Protokoll_5p!F246,LEN(Protokoll_5p!F246)-FIND(":",Protokoll_5p!F246))),0,1))</f>
        <v/>
      </c>
      <c r="J280" s="1" t="str">
        <f>IF(Protokoll_5p!G246="","",IF(VALUE(LEFT(Protokoll_5p!G246,FIND(":",Protokoll_5p!G246)-1))&gt;VALUE(RIGHT(Protokoll_5p!G246,LEN(Protokoll_5p!G246)-FIND(":",Protokoll_5p!G246))),0,1))</f>
        <v/>
      </c>
      <c r="K280" s="1" t="str">
        <f>IF(Protokoll_5p!H246="","",IF(VALUE(LEFT(Protokoll_5p!H246,FIND(":",Protokoll_5p!H246)-1))&gt;VALUE(RIGHT(Protokoll_5p!H246,LEN(Protokoll_5p!H246)-FIND(":",Protokoll_5p!H246))),0,1))</f>
        <v/>
      </c>
      <c r="L280" s="1" t="str">
        <f>IF(Protokoll_5p!I246="","",IF(VALUE(LEFT(Protokoll_5p!I246,FIND(":",Protokoll_5p!I246)-1))&gt;VALUE(RIGHT(Protokoll_5p!I246,LEN(Protokoll_5p!I246)-FIND(":",Protokoll_5p!I246))),0,1))</f>
        <v/>
      </c>
      <c r="M280" s="1" t="str">
        <f>IF(Protokoll_5p!J246="","",IF(VALUE(LEFT(Protokoll_5p!J246,FIND(":",Protokoll_5p!J246)-1))&gt;VALUE(RIGHT(Protokoll_5p!J246,LEN(Protokoll_5p!J246)-FIND(":",Protokoll_5p!J246))),0,1))</f>
        <v/>
      </c>
      <c r="N280" s="1" t="str">
        <f t="shared" si="9"/>
        <v/>
      </c>
    </row>
    <row r="281" spans="2:14">
      <c r="B281" s="1" t="str">
        <f>IF(Protokoll_5p!F247="","",IF(VALUE(LEFT(Protokoll_5p!F247,FIND(":",Protokoll_5p!F247)-1))&gt;VALUE(RIGHT(Protokoll_5p!F247,LEN(Protokoll_5p!F247)-FIND(":",Protokoll_5p!F247))),1,0))</f>
        <v/>
      </c>
      <c r="C281" s="1" t="str">
        <f>IF(Protokoll_5p!G247="","",IF(VALUE(LEFT(Protokoll_5p!G247,FIND(":",Protokoll_5p!G247)-1))&gt;VALUE(RIGHT(Protokoll_5p!G247,LEN(Protokoll_5p!G247)-FIND(":",Protokoll_5p!G247))),1,0))</f>
        <v/>
      </c>
      <c r="D281" s="1" t="str">
        <f>IF(Protokoll_5p!H247="","",IF(VALUE(LEFT(Protokoll_5p!H247,FIND(":",Protokoll_5p!H247)-1))&gt;VALUE(RIGHT(Protokoll_5p!H247,LEN(Protokoll_5p!H247)-FIND(":",Protokoll_5p!H247))),1,0))</f>
        <v/>
      </c>
      <c r="E281" s="1" t="str">
        <f>IF(Protokoll_5p!I247="","",IF(VALUE(LEFT(Protokoll_5p!I247,FIND(":",Protokoll_5p!I247)-1))&gt;VALUE(RIGHT(Protokoll_5p!I247,LEN(Protokoll_5p!I247)-FIND(":",Protokoll_5p!I247))),1,0))</f>
        <v/>
      </c>
      <c r="F281" s="1" t="str">
        <f>IF(Protokoll_5p!J247="","",IF(VALUE(LEFT(Protokoll_5p!J247,FIND(":",Protokoll_5p!J247)-1))&gt;VALUE(RIGHT(Protokoll_5p!J247,LEN(Protokoll_5p!J247)-FIND(":",Protokoll_5p!J247))),1,0))</f>
        <v/>
      </c>
      <c r="G281" s="1" t="str">
        <f t="shared" si="8"/>
        <v/>
      </c>
      <c r="I281" s="1" t="str">
        <f>IF(Protokoll_5p!F247="","",IF(VALUE(LEFT(Protokoll_5p!F247,FIND(":",Protokoll_5p!F247)-1))&gt;VALUE(RIGHT(Protokoll_5p!F247,LEN(Protokoll_5p!F247)-FIND(":",Protokoll_5p!F247))),0,1))</f>
        <v/>
      </c>
      <c r="J281" s="1" t="str">
        <f>IF(Protokoll_5p!G247="","",IF(VALUE(LEFT(Protokoll_5p!G247,FIND(":",Protokoll_5p!G247)-1))&gt;VALUE(RIGHT(Protokoll_5p!G247,LEN(Protokoll_5p!G247)-FIND(":",Protokoll_5p!G247))),0,1))</f>
        <v/>
      </c>
      <c r="K281" s="1" t="str">
        <f>IF(Protokoll_5p!H247="","",IF(VALUE(LEFT(Protokoll_5p!H247,FIND(":",Protokoll_5p!H247)-1))&gt;VALUE(RIGHT(Protokoll_5p!H247,LEN(Protokoll_5p!H247)-FIND(":",Protokoll_5p!H247))),0,1))</f>
        <v/>
      </c>
      <c r="L281" s="1" t="str">
        <f>IF(Protokoll_5p!I247="","",IF(VALUE(LEFT(Protokoll_5p!I247,FIND(":",Protokoll_5p!I247)-1))&gt;VALUE(RIGHT(Protokoll_5p!I247,LEN(Protokoll_5p!I247)-FIND(":",Protokoll_5p!I247))),0,1))</f>
        <v/>
      </c>
      <c r="M281" s="1" t="str">
        <f>IF(Protokoll_5p!J247="","",IF(VALUE(LEFT(Protokoll_5p!J247,FIND(":",Protokoll_5p!J247)-1))&gt;VALUE(RIGHT(Protokoll_5p!J247,LEN(Protokoll_5p!J247)-FIND(":",Protokoll_5p!J247))),0,1))</f>
        <v/>
      </c>
      <c r="N281" s="1" t="str">
        <f t="shared" si="9"/>
        <v/>
      </c>
    </row>
    <row r="282" spans="2:14">
      <c r="B282" s="1" t="str">
        <f>IF(Protokoll_5p!F248="","",IF(VALUE(LEFT(Protokoll_5p!F248,FIND(":",Protokoll_5p!F248)-1))&gt;VALUE(RIGHT(Protokoll_5p!F248,LEN(Protokoll_5p!F248)-FIND(":",Protokoll_5p!F248))),1,0))</f>
        <v/>
      </c>
      <c r="C282" s="1" t="str">
        <f>IF(Protokoll_5p!G248="","",IF(VALUE(LEFT(Protokoll_5p!G248,FIND(":",Protokoll_5p!G248)-1))&gt;VALUE(RIGHT(Protokoll_5p!G248,LEN(Protokoll_5p!G248)-FIND(":",Protokoll_5p!G248))),1,0))</f>
        <v/>
      </c>
      <c r="D282" s="1" t="str">
        <f>IF(Protokoll_5p!H248="","",IF(VALUE(LEFT(Protokoll_5p!H248,FIND(":",Protokoll_5p!H248)-1))&gt;VALUE(RIGHT(Protokoll_5p!H248,LEN(Protokoll_5p!H248)-FIND(":",Protokoll_5p!H248))),1,0))</f>
        <v/>
      </c>
      <c r="E282" s="1" t="str">
        <f>IF(Protokoll_5p!I248="","",IF(VALUE(LEFT(Protokoll_5p!I248,FIND(":",Protokoll_5p!I248)-1))&gt;VALUE(RIGHT(Protokoll_5p!I248,LEN(Protokoll_5p!I248)-FIND(":",Protokoll_5p!I248))),1,0))</f>
        <v/>
      </c>
      <c r="F282" s="1" t="str">
        <f>IF(Protokoll_5p!J248="","",IF(VALUE(LEFT(Protokoll_5p!J248,FIND(":",Protokoll_5p!J248)-1))&gt;VALUE(RIGHT(Protokoll_5p!J248,LEN(Protokoll_5p!J248)-FIND(":",Protokoll_5p!J248))),1,0))</f>
        <v/>
      </c>
      <c r="G282" s="1" t="str">
        <f t="shared" si="8"/>
        <v/>
      </c>
      <c r="I282" s="1" t="str">
        <f>IF(Protokoll_5p!F248="","",IF(VALUE(LEFT(Protokoll_5p!F248,FIND(":",Protokoll_5p!F248)-1))&gt;VALUE(RIGHT(Protokoll_5p!F248,LEN(Protokoll_5p!F248)-FIND(":",Protokoll_5p!F248))),0,1))</f>
        <v/>
      </c>
      <c r="J282" s="1" t="str">
        <f>IF(Protokoll_5p!G248="","",IF(VALUE(LEFT(Protokoll_5p!G248,FIND(":",Protokoll_5p!G248)-1))&gt;VALUE(RIGHT(Protokoll_5p!G248,LEN(Protokoll_5p!G248)-FIND(":",Protokoll_5p!G248))),0,1))</f>
        <v/>
      </c>
      <c r="K282" s="1" t="str">
        <f>IF(Protokoll_5p!H248="","",IF(VALUE(LEFT(Protokoll_5p!H248,FIND(":",Protokoll_5p!H248)-1))&gt;VALUE(RIGHT(Protokoll_5p!H248,LEN(Protokoll_5p!H248)-FIND(":",Protokoll_5p!H248))),0,1))</f>
        <v/>
      </c>
      <c r="L282" s="1" t="str">
        <f>IF(Protokoll_5p!I248="","",IF(VALUE(LEFT(Protokoll_5p!I248,FIND(":",Protokoll_5p!I248)-1))&gt;VALUE(RIGHT(Protokoll_5p!I248,LEN(Protokoll_5p!I248)-FIND(":",Protokoll_5p!I248))),0,1))</f>
        <v/>
      </c>
      <c r="M282" s="1" t="str">
        <f>IF(Protokoll_5p!J248="","",IF(VALUE(LEFT(Protokoll_5p!J248,FIND(":",Protokoll_5p!J248)-1))&gt;VALUE(RIGHT(Protokoll_5p!J248,LEN(Protokoll_5p!J248)-FIND(":",Protokoll_5p!J248))),0,1))</f>
        <v/>
      </c>
      <c r="N282" s="1" t="str">
        <f t="shared" si="9"/>
        <v/>
      </c>
    </row>
    <row r="283" spans="2:14">
      <c r="B283" s="1" t="str">
        <f>IF(Protokoll_5p!F249="","",IF(VALUE(LEFT(Protokoll_5p!F249,FIND(":",Protokoll_5p!F249)-1))&gt;VALUE(RIGHT(Protokoll_5p!F249,LEN(Protokoll_5p!F249)-FIND(":",Protokoll_5p!F249))),1,0))</f>
        <v/>
      </c>
      <c r="C283" s="1" t="str">
        <f>IF(Protokoll_5p!G249="","",IF(VALUE(LEFT(Protokoll_5p!G249,FIND(":",Protokoll_5p!G249)-1))&gt;VALUE(RIGHT(Protokoll_5p!G249,LEN(Protokoll_5p!G249)-FIND(":",Protokoll_5p!G249))),1,0))</f>
        <v/>
      </c>
      <c r="D283" s="1" t="str">
        <f>IF(Protokoll_5p!H249="","",IF(VALUE(LEFT(Protokoll_5p!H249,FIND(":",Protokoll_5p!H249)-1))&gt;VALUE(RIGHT(Protokoll_5p!H249,LEN(Protokoll_5p!H249)-FIND(":",Protokoll_5p!H249))),1,0))</f>
        <v/>
      </c>
      <c r="E283" s="1" t="str">
        <f>IF(Protokoll_5p!I249="","",IF(VALUE(LEFT(Protokoll_5p!I249,FIND(":",Protokoll_5p!I249)-1))&gt;VALUE(RIGHT(Protokoll_5p!I249,LEN(Protokoll_5p!I249)-FIND(":",Protokoll_5p!I249))),1,0))</f>
        <v/>
      </c>
      <c r="F283" s="1" t="str">
        <f>IF(Protokoll_5p!J249="","",IF(VALUE(LEFT(Protokoll_5p!J249,FIND(":",Protokoll_5p!J249)-1))&gt;VALUE(RIGHT(Protokoll_5p!J249,LEN(Protokoll_5p!J249)-FIND(":",Protokoll_5p!J249))),1,0))</f>
        <v/>
      </c>
      <c r="G283" s="1" t="str">
        <f t="shared" si="8"/>
        <v/>
      </c>
      <c r="I283" s="1" t="str">
        <f>IF(Protokoll_5p!F249="","",IF(VALUE(LEFT(Protokoll_5p!F249,FIND(":",Protokoll_5p!F249)-1))&gt;VALUE(RIGHT(Protokoll_5p!F249,LEN(Protokoll_5p!F249)-FIND(":",Protokoll_5p!F249))),0,1))</f>
        <v/>
      </c>
      <c r="J283" s="1" t="str">
        <f>IF(Protokoll_5p!G249="","",IF(VALUE(LEFT(Protokoll_5p!G249,FIND(":",Protokoll_5p!G249)-1))&gt;VALUE(RIGHT(Protokoll_5p!G249,LEN(Protokoll_5p!G249)-FIND(":",Protokoll_5p!G249))),0,1))</f>
        <v/>
      </c>
      <c r="K283" s="1" t="str">
        <f>IF(Protokoll_5p!H249="","",IF(VALUE(LEFT(Protokoll_5p!H249,FIND(":",Protokoll_5p!H249)-1))&gt;VALUE(RIGHT(Protokoll_5p!H249,LEN(Protokoll_5p!H249)-FIND(":",Protokoll_5p!H249))),0,1))</f>
        <v/>
      </c>
      <c r="L283" s="1" t="str">
        <f>IF(Protokoll_5p!I249="","",IF(VALUE(LEFT(Protokoll_5p!I249,FIND(":",Protokoll_5p!I249)-1))&gt;VALUE(RIGHT(Protokoll_5p!I249,LEN(Protokoll_5p!I249)-FIND(":",Protokoll_5p!I249))),0,1))</f>
        <v/>
      </c>
      <c r="M283" s="1" t="str">
        <f>IF(Protokoll_5p!J249="","",IF(VALUE(LEFT(Protokoll_5p!J249,FIND(":",Protokoll_5p!J249)-1))&gt;VALUE(RIGHT(Protokoll_5p!J249,LEN(Protokoll_5p!J249)-FIND(":",Protokoll_5p!J249))),0,1))</f>
        <v/>
      </c>
      <c r="N283" s="1" t="str">
        <f t="shared" si="9"/>
        <v/>
      </c>
    </row>
    <row r="284" spans="2:14">
      <c r="B284" s="1" t="str">
        <f>IF(Protokoll_5p!F250="","",IF(VALUE(LEFT(Protokoll_5p!F250,FIND(":",Protokoll_5p!F250)-1))&gt;VALUE(RIGHT(Protokoll_5p!F250,LEN(Protokoll_5p!F250)-FIND(":",Protokoll_5p!F250))),1,0))</f>
        <v/>
      </c>
      <c r="C284" s="1" t="str">
        <f>IF(Protokoll_5p!G250="","",IF(VALUE(LEFT(Protokoll_5p!G250,FIND(":",Protokoll_5p!G250)-1))&gt;VALUE(RIGHT(Protokoll_5p!G250,LEN(Protokoll_5p!G250)-FIND(":",Protokoll_5p!G250))),1,0))</f>
        <v/>
      </c>
      <c r="D284" s="1" t="str">
        <f>IF(Protokoll_5p!H250="","",IF(VALUE(LEFT(Protokoll_5p!H250,FIND(":",Protokoll_5p!H250)-1))&gt;VALUE(RIGHT(Protokoll_5p!H250,LEN(Protokoll_5p!H250)-FIND(":",Protokoll_5p!H250))),1,0))</f>
        <v/>
      </c>
      <c r="E284" s="1" t="str">
        <f>IF(Protokoll_5p!I250="","",IF(VALUE(LEFT(Protokoll_5p!I250,FIND(":",Protokoll_5p!I250)-1))&gt;VALUE(RIGHT(Protokoll_5p!I250,LEN(Protokoll_5p!I250)-FIND(":",Protokoll_5p!I250))),1,0))</f>
        <v/>
      </c>
      <c r="F284" s="1" t="str">
        <f>IF(Protokoll_5p!J250="","",IF(VALUE(LEFT(Protokoll_5p!J250,FIND(":",Protokoll_5p!J250)-1))&gt;VALUE(RIGHT(Protokoll_5p!J250,LEN(Protokoll_5p!J250)-FIND(":",Protokoll_5p!J250))),1,0))</f>
        <v/>
      </c>
      <c r="G284" s="1" t="str">
        <f t="shared" si="8"/>
        <v/>
      </c>
      <c r="I284" s="1" t="str">
        <f>IF(Protokoll_5p!F250="","",IF(VALUE(LEFT(Protokoll_5p!F250,FIND(":",Protokoll_5p!F250)-1))&gt;VALUE(RIGHT(Protokoll_5p!F250,LEN(Protokoll_5p!F250)-FIND(":",Protokoll_5p!F250))),0,1))</f>
        <v/>
      </c>
      <c r="J284" s="1" t="str">
        <f>IF(Protokoll_5p!G250="","",IF(VALUE(LEFT(Protokoll_5p!G250,FIND(":",Protokoll_5p!G250)-1))&gt;VALUE(RIGHT(Protokoll_5p!G250,LEN(Protokoll_5p!G250)-FIND(":",Protokoll_5p!G250))),0,1))</f>
        <v/>
      </c>
      <c r="K284" s="1" t="str">
        <f>IF(Protokoll_5p!H250="","",IF(VALUE(LEFT(Protokoll_5p!H250,FIND(":",Protokoll_5p!H250)-1))&gt;VALUE(RIGHT(Protokoll_5p!H250,LEN(Protokoll_5p!H250)-FIND(":",Protokoll_5p!H250))),0,1))</f>
        <v/>
      </c>
      <c r="L284" s="1" t="str">
        <f>IF(Protokoll_5p!I250="","",IF(VALUE(LEFT(Protokoll_5p!I250,FIND(":",Protokoll_5p!I250)-1))&gt;VALUE(RIGHT(Protokoll_5p!I250,LEN(Protokoll_5p!I250)-FIND(":",Protokoll_5p!I250))),0,1))</f>
        <v/>
      </c>
      <c r="M284" s="1" t="str">
        <f>IF(Protokoll_5p!J250="","",IF(VALUE(LEFT(Protokoll_5p!J250,FIND(":",Protokoll_5p!J250)-1))&gt;VALUE(RIGHT(Protokoll_5p!J250,LEN(Protokoll_5p!J250)-FIND(":",Protokoll_5p!J250))),0,1))</f>
        <v/>
      </c>
      <c r="N284" s="1" t="str">
        <f t="shared" si="9"/>
        <v/>
      </c>
    </row>
    <row r="285" spans="2:14">
      <c r="B285" s="1" t="str">
        <f>IF(Protokoll_5p!F251="","",IF(VALUE(LEFT(Protokoll_5p!F251,FIND(":",Protokoll_5p!F251)-1))&gt;VALUE(RIGHT(Protokoll_5p!F251,LEN(Protokoll_5p!F251)-FIND(":",Protokoll_5p!F251))),1,0))</f>
        <v/>
      </c>
      <c r="C285" s="1" t="str">
        <f>IF(Protokoll_5p!G251="","",IF(VALUE(LEFT(Protokoll_5p!G251,FIND(":",Protokoll_5p!G251)-1))&gt;VALUE(RIGHT(Protokoll_5p!G251,LEN(Protokoll_5p!G251)-FIND(":",Protokoll_5p!G251))),1,0))</f>
        <v/>
      </c>
      <c r="D285" s="1" t="str">
        <f>IF(Protokoll_5p!H251="","",IF(VALUE(LEFT(Protokoll_5p!H251,FIND(":",Protokoll_5p!H251)-1))&gt;VALUE(RIGHT(Protokoll_5p!H251,LEN(Protokoll_5p!H251)-FIND(":",Protokoll_5p!H251))),1,0))</f>
        <v/>
      </c>
      <c r="E285" s="1" t="str">
        <f>IF(Protokoll_5p!I251="","",IF(VALUE(LEFT(Protokoll_5p!I251,FIND(":",Protokoll_5p!I251)-1))&gt;VALUE(RIGHT(Protokoll_5p!I251,LEN(Protokoll_5p!I251)-FIND(":",Protokoll_5p!I251))),1,0))</f>
        <v/>
      </c>
      <c r="F285" s="1" t="str">
        <f>IF(Protokoll_5p!J251="","",IF(VALUE(LEFT(Protokoll_5p!J251,FIND(":",Protokoll_5p!J251)-1))&gt;VALUE(RIGHT(Protokoll_5p!J251,LEN(Protokoll_5p!J251)-FIND(":",Protokoll_5p!J251))),1,0))</f>
        <v/>
      </c>
      <c r="G285" s="1" t="str">
        <f t="shared" si="8"/>
        <v/>
      </c>
      <c r="I285" s="1" t="str">
        <f>IF(Protokoll_5p!F251="","",IF(VALUE(LEFT(Protokoll_5p!F251,FIND(":",Protokoll_5p!F251)-1))&gt;VALUE(RIGHT(Protokoll_5p!F251,LEN(Protokoll_5p!F251)-FIND(":",Protokoll_5p!F251))),0,1))</f>
        <v/>
      </c>
      <c r="J285" s="1" t="str">
        <f>IF(Protokoll_5p!G251="","",IF(VALUE(LEFT(Protokoll_5p!G251,FIND(":",Protokoll_5p!G251)-1))&gt;VALUE(RIGHT(Protokoll_5p!G251,LEN(Protokoll_5p!G251)-FIND(":",Protokoll_5p!G251))),0,1))</f>
        <v/>
      </c>
      <c r="K285" s="1" t="str">
        <f>IF(Protokoll_5p!H251="","",IF(VALUE(LEFT(Protokoll_5p!H251,FIND(":",Protokoll_5p!H251)-1))&gt;VALUE(RIGHT(Protokoll_5p!H251,LEN(Protokoll_5p!H251)-FIND(":",Protokoll_5p!H251))),0,1))</f>
        <v/>
      </c>
      <c r="L285" s="1" t="str">
        <f>IF(Protokoll_5p!I251="","",IF(VALUE(LEFT(Protokoll_5p!I251,FIND(":",Protokoll_5p!I251)-1))&gt;VALUE(RIGHT(Protokoll_5p!I251,LEN(Protokoll_5p!I251)-FIND(":",Protokoll_5p!I251))),0,1))</f>
        <v/>
      </c>
      <c r="M285" s="1" t="str">
        <f>IF(Protokoll_5p!J251="","",IF(VALUE(LEFT(Protokoll_5p!J251,FIND(":",Protokoll_5p!J251)-1))&gt;VALUE(RIGHT(Protokoll_5p!J251,LEN(Protokoll_5p!J251)-FIND(":",Protokoll_5p!J251))),0,1))</f>
        <v/>
      </c>
      <c r="N285" s="1" t="str">
        <f t="shared" si="9"/>
        <v/>
      </c>
    </row>
    <row r="286" spans="2:14">
      <c r="B286" s="1" t="str">
        <f>IF(Protokoll_5p!F257="","",IF(VALUE(LEFT(Protokoll_5p!F257,FIND(":",Protokoll_5p!F257)-1))&gt;VALUE(RIGHT(Protokoll_5p!F257,LEN(Protokoll_5p!F257)-FIND(":",Protokoll_5p!F257))),1,0))</f>
        <v/>
      </c>
      <c r="C286" s="1" t="str">
        <f>IF(Protokoll_5p!G257="","",IF(VALUE(LEFT(Protokoll_5p!G257,FIND(":",Protokoll_5p!G257)-1))&gt;VALUE(RIGHT(Protokoll_5p!G257,LEN(Protokoll_5p!G257)-FIND(":",Protokoll_5p!G257))),1,0))</f>
        <v/>
      </c>
      <c r="D286" s="1" t="str">
        <f>IF(Protokoll_5p!H257="","",IF(VALUE(LEFT(Protokoll_5p!H257,FIND(":",Protokoll_5p!H257)-1))&gt;VALUE(RIGHT(Protokoll_5p!H257,LEN(Protokoll_5p!H257)-FIND(":",Protokoll_5p!H257))),1,0))</f>
        <v/>
      </c>
      <c r="E286" s="1" t="str">
        <f>IF(Protokoll_5p!I257="","",IF(VALUE(LEFT(Protokoll_5p!I257,FIND(":",Protokoll_5p!I257)-1))&gt;VALUE(RIGHT(Protokoll_5p!I257,LEN(Protokoll_5p!I257)-FIND(":",Protokoll_5p!I257))),1,0))</f>
        <v/>
      </c>
      <c r="F286" s="1" t="str">
        <f>IF(Protokoll_5p!J257="","",IF(VALUE(LEFT(Protokoll_5p!J257,FIND(":",Protokoll_5p!J257)-1))&gt;VALUE(RIGHT(Protokoll_5p!J257,LEN(Protokoll_5p!J257)-FIND(":",Protokoll_5p!J257))),1,0))</f>
        <v/>
      </c>
      <c r="G286" s="1" t="str">
        <f t="shared" si="8"/>
        <v/>
      </c>
      <c r="I286" s="1" t="str">
        <f>IF(Protokoll_5p!F257="","",IF(VALUE(LEFT(Protokoll_5p!F257,FIND(":",Protokoll_5p!F257)-1))&gt;VALUE(RIGHT(Protokoll_5p!F257,LEN(Protokoll_5p!F257)-FIND(":",Protokoll_5p!F257))),0,1))</f>
        <v/>
      </c>
      <c r="J286" s="1" t="str">
        <f>IF(Protokoll_5p!G257="","",IF(VALUE(LEFT(Protokoll_5p!G257,FIND(":",Protokoll_5p!G257)-1))&gt;VALUE(RIGHT(Protokoll_5p!G257,LEN(Protokoll_5p!G257)-FIND(":",Protokoll_5p!G257))),0,1))</f>
        <v/>
      </c>
      <c r="K286" s="1" t="str">
        <f>IF(Protokoll_5p!H257="","",IF(VALUE(LEFT(Protokoll_5p!H257,FIND(":",Protokoll_5p!H257)-1))&gt;VALUE(RIGHT(Protokoll_5p!H257,LEN(Protokoll_5p!H257)-FIND(":",Protokoll_5p!H257))),0,1))</f>
        <v/>
      </c>
      <c r="L286" s="1" t="str">
        <f>IF(Protokoll_5p!I257="","",IF(VALUE(LEFT(Protokoll_5p!I257,FIND(":",Protokoll_5p!I257)-1))&gt;VALUE(RIGHT(Protokoll_5p!I257,LEN(Protokoll_5p!I257)-FIND(":",Protokoll_5p!I257))),0,1))</f>
        <v/>
      </c>
      <c r="M286" s="1" t="str">
        <f>IF(Protokoll_5p!J257="","",IF(VALUE(LEFT(Protokoll_5p!J257,FIND(":",Protokoll_5p!J257)-1))&gt;VALUE(RIGHT(Protokoll_5p!J257,LEN(Protokoll_5p!J257)-FIND(":",Protokoll_5p!J257))),0,1))</f>
        <v/>
      </c>
      <c r="N286" s="1" t="str">
        <f t="shared" si="9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35</vt:i4>
      </vt:variant>
    </vt:vector>
  </HeadingPairs>
  <TitlesOfParts>
    <vt:vector size="67" baseType="lpstr">
      <vt:lpstr>Üldtabel</vt:lpstr>
      <vt:lpstr>Loosileht</vt:lpstr>
      <vt:lpstr>Finaali loosileht</vt:lpstr>
      <vt:lpstr>I_voor_1p</vt:lpstr>
      <vt:lpstr>II_voor_1p</vt:lpstr>
      <vt:lpstr>III_voor_1p</vt:lpstr>
      <vt:lpstr>I_voor_2p</vt:lpstr>
      <vt:lpstr>II_voor_2p</vt:lpstr>
      <vt:lpstr>III_voor_2p</vt:lpstr>
      <vt:lpstr>I_voor_3p</vt:lpstr>
      <vt:lpstr>II_voor_3p</vt:lpstr>
      <vt:lpstr>I_voor_4p</vt:lpstr>
      <vt:lpstr>II_voor_4p</vt:lpstr>
      <vt:lpstr>III_voor_4p</vt:lpstr>
      <vt:lpstr>I_voor_5p</vt:lpstr>
      <vt:lpstr>II_voor_5p</vt:lpstr>
      <vt:lpstr>III_voor_5p</vt:lpstr>
      <vt:lpstr>Protokoll_1p</vt:lpstr>
      <vt:lpstr>Protokoll_2p</vt:lpstr>
      <vt:lpstr>Protokoll_3p</vt:lpstr>
      <vt:lpstr>Protokoll_4p</vt:lpstr>
      <vt:lpstr>Protokoll_5p</vt:lpstr>
      <vt:lpstr>Finaal</vt:lpstr>
      <vt:lpstr>Protokoll_finaal</vt:lpstr>
      <vt:lpstr>Koosseisud</vt:lpstr>
      <vt:lpstr>Reitinguks</vt:lpstr>
      <vt:lpstr>Abitabel</vt:lpstr>
      <vt:lpstr>Abitabel2</vt:lpstr>
      <vt:lpstr>Abitabel3</vt:lpstr>
      <vt:lpstr>Abitabel4</vt:lpstr>
      <vt:lpstr>Abitabel5</vt:lpstr>
      <vt:lpstr>Abitabel6</vt:lpstr>
      <vt:lpstr>Mansad</vt:lpstr>
      <vt:lpstr>Meeskond1</vt:lpstr>
      <vt:lpstr>Meeskond2</vt:lpstr>
      <vt:lpstr>Meeskond3</vt:lpstr>
      <vt:lpstr>Meeskond4</vt:lpstr>
      <vt:lpstr>Meeskond5</vt:lpstr>
      <vt:lpstr>Meeskond6</vt:lpstr>
      <vt:lpstr>Meeskond7</vt:lpstr>
      <vt:lpstr>Meeskond8</vt:lpstr>
      <vt:lpstr>Finaal!Print_Area</vt:lpstr>
      <vt:lpstr>'Finaali loosileht'!Print_Area</vt:lpstr>
      <vt:lpstr>I_voor_1p!Print_Area</vt:lpstr>
      <vt:lpstr>I_voor_2p!Print_Area</vt:lpstr>
      <vt:lpstr>I_voor_3p!Print_Area</vt:lpstr>
      <vt:lpstr>I_voor_4p!Print_Area</vt:lpstr>
      <vt:lpstr>I_voor_5p!Print_Area</vt:lpstr>
      <vt:lpstr>II_voor_1p!Print_Area</vt:lpstr>
      <vt:lpstr>II_voor_2p!Print_Area</vt:lpstr>
      <vt:lpstr>II_voor_3p!Print_Area</vt:lpstr>
      <vt:lpstr>II_voor_4p!Print_Area</vt:lpstr>
      <vt:lpstr>II_voor_5p!Print_Area</vt:lpstr>
      <vt:lpstr>III_voor_1p!Print_Area</vt:lpstr>
      <vt:lpstr>III_voor_2p!Print_Area</vt:lpstr>
      <vt:lpstr>III_voor_4p!Print_Area</vt:lpstr>
      <vt:lpstr>III_voor_5p!Print_Area</vt:lpstr>
      <vt:lpstr>Loosileht!Print_Area</vt:lpstr>
      <vt:lpstr>Protokoll_1p!Print_Area</vt:lpstr>
      <vt:lpstr>Protokoll_2p!Print_Area</vt:lpstr>
      <vt:lpstr>Protokoll_3p!Print_Area</vt:lpstr>
      <vt:lpstr>Protokoll_4p!Print_Area</vt:lpstr>
      <vt:lpstr>Protokoll_5p!Print_Area</vt:lpstr>
      <vt:lpstr>Protokoll_finaal!Print_Area</vt:lpstr>
      <vt:lpstr>Üldtabel!Print_Area</vt:lpstr>
      <vt:lpstr>Tiim_FORUS_Maardu_LTK</vt:lpstr>
      <vt:lpstr>Viimsi_Pinx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 Kirpu</dc:creator>
  <cp:lastModifiedBy>Allar Vellner</cp:lastModifiedBy>
  <cp:lastPrinted>2025-05-03T14:45:44Z</cp:lastPrinted>
  <dcterms:created xsi:type="dcterms:W3CDTF">2018-11-05T20:46:40Z</dcterms:created>
  <dcterms:modified xsi:type="dcterms:W3CDTF">2025-09-23T16:57:14Z</dcterms:modified>
</cp:coreProperties>
</file>